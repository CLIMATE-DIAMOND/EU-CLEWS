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yisites-my.sharepoint.com/personal/c_taliotis_cyi_ac_cy/Documents/CyI/01 Projects/2022-12 DIAMOND/WP3/Task 3_3 CLEWs-EU/Data/Industry/"/>
    </mc:Choice>
  </mc:AlternateContent>
  <xr:revisionPtr revIDLastSave="458" documentId="11_AD4DCBB4A06381AAC71CFC4A3612E8F6683EDF2B" xr6:coauthVersionLast="47" xr6:coauthVersionMax="47" xr10:uidLastSave="{BDDBB670-A277-43BA-A3D7-7F315BD413CA}"/>
  <bookViews>
    <workbookView xWindow="-28920" yWindow="-5265" windowWidth="29040" windowHeight="15720" tabRatio="866" firstSheet="1" activeTab="5" xr2:uid="{00000000-000D-0000-FFFF-FFFF00000000}"/>
  </bookViews>
  <sheets>
    <sheet name="Useful energy - all" sheetId="1" r:id="rId1"/>
    <sheet name="Useful energy - mech" sheetId="2" r:id="rId2"/>
    <sheet name="Useful energy - thermal" sheetId="3" r:id="rId3"/>
    <sheet name="Thermal-Pivot" sheetId="4" r:id="rId4"/>
    <sheet name="Useful Thermal - Aggregate" sheetId="5" r:id="rId5"/>
    <sheet name="EU Ref Scenario 2020" sheetId="6" r:id="rId6"/>
    <sheet name="EU Ref Sc 2020 Y2Y change" sheetId="7" r:id="rId7"/>
    <sheet name="EU Ref Sc 2020 Energy intensive" sheetId="8" r:id="rId8"/>
    <sheet name="EU Ref Sc 2020 Other industries" sheetId="9" r:id="rId9"/>
  </sheets>
  <definedNames>
    <definedName name="_xlnm._FilterDatabase" localSheetId="6" hidden="1">'EU Ref Sc 2020 Y2Y change'!$A$5:$AX$89</definedName>
    <definedName name="_xlnm._FilterDatabase" localSheetId="0" hidden="1">'Useful energy - all'!$A$3:$G$1389</definedName>
    <definedName name="_xlnm._FilterDatabase" localSheetId="1" hidden="1">'Useful energy - mech'!$A$3:$AR$129</definedName>
    <definedName name="_xlnm._FilterDatabase" localSheetId="4" hidden="1">'Useful Thermal - Aggregate'!$A$3:$AQ$129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D86" i="5"/>
  <c r="D85" i="5"/>
  <c r="D84" i="5"/>
  <c r="D83" i="5"/>
  <c r="D40" i="5"/>
  <c r="D82" i="5"/>
  <c r="D79" i="5"/>
  <c r="D31" i="5"/>
  <c r="D30" i="5"/>
  <c r="D28" i="5"/>
  <c r="D77" i="5"/>
  <c r="D76" i="5"/>
  <c r="E76" i="5" s="1"/>
  <c r="F76" i="5" s="1"/>
  <c r="G76" i="5" s="1"/>
  <c r="H76" i="5" s="1"/>
  <c r="I76" i="5" s="1"/>
  <c r="J76" i="5" s="1"/>
  <c r="K76" i="5" s="1"/>
  <c r="L76" i="5" s="1"/>
  <c r="M76" i="5" s="1"/>
  <c r="N76" i="5" s="1"/>
  <c r="O76" i="5" s="1"/>
  <c r="P76" i="5" s="1"/>
  <c r="Q76" i="5" s="1"/>
  <c r="R76" i="5" s="1"/>
  <c r="S76" i="5" s="1"/>
  <c r="T76" i="5" s="1"/>
  <c r="U76" i="5" s="1"/>
  <c r="V76" i="5" s="1"/>
  <c r="W76" i="5" s="1"/>
  <c r="X76" i="5" s="1"/>
  <c r="Y76" i="5" s="1"/>
  <c r="Z76" i="5" s="1"/>
  <c r="AA76" i="5" s="1"/>
  <c r="AB76" i="5" s="1"/>
  <c r="AC76" i="5" s="1"/>
  <c r="AD76" i="5" s="1"/>
  <c r="AE76" i="5" s="1"/>
  <c r="AF76" i="5" s="1"/>
  <c r="AG76" i="5" s="1"/>
  <c r="AH76" i="5" s="1"/>
  <c r="AI76" i="5" s="1"/>
  <c r="AJ76" i="5" s="1"/>
  <c r="AK76" i="5" s="1"/>
  <c r="AL76" i="5" s="1"/>
  <c r="AM76" i="5" s="1"/>
  <c r="AN76" i="5" s="1"/>
  <c r="AO76" i="5" s="1"/>
  <c r="AP76" i="5" s="1"/>
  <c r="AQ76" i="5" s="1"/>
  <c r="D78" i="5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D75" i="5"/>
  <c r="D20" i="5"/>
  <c r="D74" i="5"/>
  <c r="D73" i="5"/>
  <c r="D72" i="5"/>
  <c r="D80" i="5"/>
  <c r="E126" i="5"/>
  <c r="F126" i="5" s="1"/>
  <c r="G126" i="5" s="1"/>
  <c r="H126" i="5" s="1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AG126" i="5" s="1"/>
  <c r="AH126" i="5" s="1"/>
  <c r="AI126" i="5" s="1"/>
  <c r="AJ126" i="5" s="1"/>
  <c r="AK126" i="5" s="1"/>
  <c r="AL126" i="5" s="1"/>
  <c r="AM126" i="5" s="1"/>
  <c r="AN126" i="5" s="1"/>
  <c r="AO126" i="5" s="1"/>
  <c r="AP126" i="5" s="1"/>
  <c r="AQ126" i="5" s="1"/>
  <c r="E127" i="5"/>
  <c r="F127" i="5" s="1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AG127" i="5" s="1"/>
  <c r="AH127" i="5" s="1"/>
  <c r="AI127" i="5" s="1"/>
  <c r="AJ127" i="5" s="1"/>
  <c r="AK127" i="5" s="1"/>
  <c r="AL127" i="5" s="1"/>
  <c r="AM127" i="5" s="1"/>
  <c r="AN127" i="5" s="1"/>
  <c r="AO127" i="5" s="1"/>
  <c r="AP127" i="5" s="1"/>
  <c r="AQ127" i="5" s="1"/>
  <c r="E128" i="5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AG128" i="5" s="1"/>
  <c r="AH128" i="5" s="1"/>
  <c r="AI128" i="5" s="1"/>
  <c r="AJ128" i="5" s="1"/>
  <c r="AK128" i="5" s="1"/>
  <c r="AL128" i="5" s="1"/>
  <c r="AM128" i="5" s="1"/>
  <c r="AN128" i="5" s="1"/>
  <c r="AO128" i="5" s="1"/>
  <c r="AP128" i="5" s="1"/>
  <c r="AQ128" i="5" s="1"/>
  <c r="E129" i="5"/>
  <c r="F129" i="5" s="1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AG129" i="5" s="1"/>
  <c r="AH129" i="5" s="1"/>
  <c r="AI129" i="5" s="1"/>
  <c r="AJ129" i="5" s="1"/>
  <c r="AK129" i="5" s="1"/>
  <c r="AL129" i="5" s="1"/>
  <c r="AM129" i="5" s="1"/>
  <c r="AN129" i="5" s="1"/>
  <c r="AO129" i="5" s="1"/>
  <c r="AP129" i="5" s="1"/>
  <c r="AQ129" i="5" s="1"/>
  <c r="E125" i="5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AG125" i="5" s="1"/>
  <c r="AH125" i="5" s="1"/>
  <c r="AI125" i="5" s="1"/>
  <c r="AJ125" i="5" s="1"/>
  <c r="AK125" i="5" s="1"/>
  <c r="AL125" i="5" s="1"/>
  <c r="AM125" i="5" s="1"/>
  <c r="AN125" i="5" s="1"/>
  <c r="AO125" i="5" s="1"/>
  <c r="AP125" i="5" s="1"/>
  <c r="AQ125" i="5" s="1"/>
  <c r="E105" i="5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AG105" i="5" s="1"/>
  <c r="AH105" i="5" s="1"/>
  <c r="AI105" i="5" s="1"/>
  <c r="AJ105" i="5" s="1"/>
  <c r="AK105" i="5" s="1"/>
  <c r="AL105" i="5" s="1"/>
  <c r="AM105" i="5" s="1"/>
  <c r="AN105" i="5" s="1"/>
  <c r="AO105" i="5" s="1"/>
  <c r="AP105" i="5" s="1"/>
  <c r="AQ105" i="5" s="1"/>
  <c r="E106" i="5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AG106" i="5" s="1"/>
  <c r="AH106" i="5" s="1"/>
  <c r="AI106" i="5" s="1"/>
  <c r="AJ106" i="5" s="1"/>
  <c r="AK106" i="5" s="1"/>
  <c r="AL106" i="5" s="1"/>
  <c r="AM106" i="5" s="1"/>
  <c r="AN106" i="5" s="1"/>
  <c r="AO106" i="5" s="1"/>
  <c r="AP106" i="5" s="1"/>
  <c r="AQ106" i="5" s="1"/>
  <c r="E107" i="5"/>
  <c r="F107" i="5" s="1"/>
  <c r="G107" i="5" s="1"/>
  <c r="H107" i="5" s="1"/>
  <c r="I107" i="5" s="1"/>
  <c r="J107" i="5" s="1"/>
  <c r="K107" i="5" s="1"/>
  <c r="L107" i="5" s="1"/>
  <c r="M107" i="5" s="1"/>
  <c r="N107" i="5" s="1"/>
  <c r="O107" i="5" s="1"/>
  <c r="P107" i="5" s="1"/>
  <c r="Q107" i="5" s="1"/>
  <c r="R107" i="5" s="1"/>
  <c r="S107" i="5" s="1"/>
  <c r="T107" i="5" s="1"/>
  <c r="U107" i="5" s="1"/>
  <c r="V107" i="5" s="1"/>
  <c r="W107" i="5" s="1"/>
  <c r="X107" i="5" s="1"/>
  <c r="Y107" i="5" s="1"/>
  <c r="Z107" i="5" s="1"/>
  <c r="AA107" i="5" s="1"/>
  <c r="AB107" i="5" s="1"/>
  <c r="AC107" i="5" s="1"/>
  <c r="AD107" i="5" s="1"/>
  <c r="AE107" i="5" s="1"/>
  <c r="AF107" i="5" s="1"/>
  <c r="AG107" i="5" s="1"/>
  <c r="AH107" i="5" s="1"/>
  <c r="AI107" i="5" s="1"/>
  <c r="AJ107" i="5" s="1"/>
  <c r="AK107" i="5" s="1"/>
  <c r="AL107" i="5" s="1"/>
  <c r="AM107" i="5" s="1"/>
  <c r="AN107" i="5" s="1"/>
  <c r="AO107" i="5" s="1"/>
  <c r="AP107" i="5" s="1"/>
  <c r="AQ107" i="5" s="1"/>
  <c r="E108" i="5"/>
  <c r="F108" i="5" s="1"/>
  <c r="G108" i="5" s="1"/>
  <c r="H108" i="5" s="1"/>
  <c r="I108" i="5" s="1"/>
  <c r="J108" i="5" s="1"/>
  <c r="K108" i="5" s="1"/>
  <c r="L108" i="5" s="1"/>
  <c r="M108" i="5" s="1"/>
  <c r="N108" i="5" s="1"/>
  <c r="O108" i="5" s="1"/>
  <c r="P108" i="5" s="1"/>
  <c r="Q108" i="5" s="1"/>
  <c r="R108" i="5" s="1"/>
  <c r="S108" i="5" s="1"/>
  <c r="T108" i="5" s="1"/>
  <c r="U108" i="5" s="1"/>
  <c r="V108" i="5" s="1"/>
  <c r="W108" i="5" s="1"/>
  <c r="X108" i="5" s="1"/>
  <c r="Y108" i="5" s="1"/>
  <c r="Z108" i="5" s="1"/>
  <c r="AA108" i="5" s="1"/>
  <c r="AB108" i="5" s="1"/>
  <c r="AC108" i="5" s="1"/>
  <c r="AD108" i="5" s="1"/>
  <c r="AE108" i="5" s="1"/>
  <c r="AF108" i="5" s="1"/>
  <c r="AG108" i="5" s="1"/>
  <c r="AH108" i="5" s="1"/>
  <c r="AI108" i="5" s="1"/>
  <c r="AJ108" i="5" s="1"/>
  <c r="AK108" i="5" s="1"/>
  <c r="AL108" i="5" s="1"/>
  <c r="AM108" i="5" s="1"/>
  <c r="AN108" i="5" s="1"/>
  <c r="AO108" i="5" s="1"/>
  <c r="AP108" i="5" s="1"/>
  <c r="AQ108" i="5" s="1"/>
  <c r="E109" i="5"/>
  <c r="F109" i="5" s="1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AG109" i="5" s="1"/>
  <c r="AH109" i="5" s="1"/>
  <c r="AI109" i="5" s="1"/>
  <c r="AJ109" i="5" s="1"/>
  <c r="AK109" i="5" s="1"/>
  <c r="AL109" i="5" s="1"/>
  <c r="AM109" i="5" s="1"/>
  <c r="AN109" i="5" s="1"/>
  <c r="AO109" i="5" s="1"/>
  <c r="AP109" i="5" s="1"/>
  <c r="AQ109" i="5" s="1"/>
  <c r="E110" i="5"/>
  <c r="F110" i="5" s="1"/>
  <c r="G110" i="5" s="1"/>
  <c r="H110" i="5" s="1"/>
  <c r="I110" i="5" s="1"/>
  <c r="J110" i="5" s="1"/>
  <c r="K110" i="5" s="1"/>
  <c r="L110" i="5" s="1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AG110" i="5" s="1"/>
  <c r="AH110" i="5" s="1"/>
  <c r="AI110" i="5" s="1"/>
  <c r="AJ110" i="5" s="1"/>
  <c r="AK110" i="5" s="1"/>
  <c r="AL110" i="5" s="1"/>
  <c r="AM110" i="5" s="1"/>
  <c r="AN110" i="5" s="1"/>
  <c r="AO110" i="5" s="1"/>
  <c r="AP110" i="5" s="1"/>
  <c r="AQ110" i="5" s="1"/>
  <c r="E111" i="5"/>
  <c r="F111" i="5" s="1"/>
  <c r="G111" i="5" s="1"/>
  <c r="H111" i="5" s="1"/>
  <c r="I111" i="5" s="1"/>
  <c r="J111" i="5" s="1"/>
  <c r="K111" i="5" s="1"/>
  <c r="L111" i="5" s="1"/>
  <c r="M111" i="5" s="1"/>
  <c r="N111" i="5" s="1"/>
  <c r="O111" i="5" s="1"/>
  <c r="P111" i="5" s="1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A111" i="5" s="1"/>
  <c r="AB111" i="5" s="1"/>
  <c r="AC111" i="5" s="1"/>
  <c r="AD111" i="5" s="1"/>
  <c r="AE111" i="5" s="1"/>
  <c r="AF111" i="5" s="1"/>
  <c r="AG111" i="5" s="1"/>
  <c r="AH111" i="5" s="1"/>
  <c r="AI111" i="5" s="1"/>
  <c r="AJ111" i="5" s="1"/>
  <c r="AK111" i="5" s="1"/>
  <c r="AL111" i="5" s="1"/>
  <c r="AM111" i="5" s="1"/>
  <c r="AN111" i="5" s="1"/>
  <c r="AO111" i="5" s="1"/>
  <c r="AP111" i="5" s="1"/>
  <c r="AQ111" i="5" s="1"/>
  <c r="E112" i="5"/>
  <c r="F112" i="5" s="1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AG112" i="5" s="1"/>
  <c r="AH112" i="5" s="1"/>
  <c r="AI112" i="5" s="1"/>
  <c r="AJ112" i="5" s="1"/>
  <c r="AK112" i="5" s="1"/>
  <c r="AL112" i="5" s="1"/>
  <c r="AM112" i="5" s="1"/>
  <c r="AN112" i="5" s="1"/>
  <c r="AO112" i="5" s="1"/>
  <c r="AP112" i="5" s="1"/>
  <c r="AQ112" i="5" s="1"/>
  <c r="E113" i="5"/>
  <c r="F113" i="5" s="1"/>
  <c r="G113" i="5" s="1"/>
  <c r="H113" i="5" s="1"/>
  <c r="I113" i="5" s="1"/>
  <c r="J113" i="5" s="1"/>
  <c r="K113" i="5" s="1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AG113" i="5" s="1"/>
  <c r="AH113" i="5" s="1"/>
  <c r="AI113" i="5" s="1"/>
  <c r="AJ113" i="5" s="1"/>
  <c r="AK113" i="5" s="1"/>
  <c r="AL113" i="5" s="1"/>
  <c r="AM113" i="5" s="1"/>
  <c r="AN113" i="5" s="1"/>
  <c r="AO113" i="5" s="1"/>
  <c r="AP113" i="5" s="1"/>
  <c r="AQ113" i="5" s="1"/>
  <c r="E114" i="5"/>
  <c r="F114" i="5" s="1"/>
  <c r="G114" i="5" s="1"/>
  <c r="H114" i="5" s="1"/>
  <c r="I114" i="5" s="1"/>
  <c r="J114" i="5" s="1"/>
  <c r="K114" i="5" s="1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AG114" i="5" s="1"/>
  <c r="AH114" i="5" s="1"/>
  <c r="AI114" i="5" s="1"/>
  <c r="AJ114" i="5" s="1"/>
  <c r="AK114" i="5" s="1"/>
  <c r="AL114" i="5" s="1"/>
  <c r="AM114" i="5" s="1"/>
  <c r="AN114" i="5" s="1"/>
  <c r="AO114" i="5" s="1"/>
  <c r="AP114" i="5" s="1"/>
  <c r="AQ114" i="5" s="1"/>
  <c r="E115" i="5"/>
  <c r="F115" i="5" s="1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AG115" i="5" s="1"/>
  <c r="AH115" i="5" s="1"/>
  <c r="AI115" i="5" s="1"/>
  <c r="AJ115" i="5" s="1"/>
  <c r="AK115" i="5" s="1"/>
  <c r="AL115" i="5" s="1"/>
  <c r="AM115" i="5" s="1"/>
  <c r="AN115" i="5" s="1"/>
  <c r="AO115" i="5" s="1"/>
  <c r="AP115" i="5" s="1"/>
  <c r="AQ115" i="5" s="1"/>
  <c r="E116" i="5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AG116" i="5" s="1"/>
  <c r="AH116" i="5" s="1"/>
  <c r="AI116" i="5" s="1"/>
  <c r="AJ116" i="5" s="1"/>
  <c r="AK116" i="5" s="1"/>
  <c r="AL116" i="5" s="1"/>
  <c r="AM116" i="5" s="1"/>
  <c r="AN116" i="5" s="1"/>
  <c r="AO116" i="5" s="1"/>
  <c r="AP116" i="5" s="1"/>
  <c r="AQ116" i="5" s="1"/>
  <c r="E117" i="5"/>
  <c r="F117" i="5" s="1"/>
  <c r="G117" i="5" s="1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AG117" i="5" s="1"/>
  <c r="AH117" i="5" s="1"/>
  <c r="AI117" i="5" s="1"/>
  <c r="AJ117" i="5" s="1"/>
  <c r="AK117" i="5" s="1"/>
  <c r="AL117" i="5" s="1"/>
  <c r="AM117" i="5" s="1"/>
  <c r="AN117" i="5" s="1"/>
  <c r="AO117" i="5" s="1"/>
  <c r="AP117" i="5" s="1"/>
  <c r="AQ117" i="5" s="1"/>
  <c r="E118" i="5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AG118" i="5" s="1"/>
  <c r="AH118" i="5" s="1"/>
  <c r="AI118" i="5" s="1"/>
  <c r="AJ118" i="5" s="1"/>
  <c r="AK118" i="5" s="1"/>
  <c r="AL118" i="5" s="1"/>
  <c r="AM118" i="5" s="1"/>
  <c r="AN118" i="5" s="1"/>
  <c r="AO118" i="5" s="1"/>
  <c r="AP118" i="5" s="1"/>
  <c r="AQ118" i="5" s="1"/>
  <c r="E119" i="5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AG119" i="5" s="1"/>
  <c r="AH119" i="5" s="1"/>
  <c r="AI119" i="5" s="1"/>
  <c r="AJ119" i="5" s="1"/>
  <c r="AK119" i="5" s="1"/>
  <c r="AL119" i="5" s="1"/>
  <c r="AM119" i="5" s="1"/>
  <c r="AN119" i="5" s="1"/>
  <c r="AO119" i="5" s="1"/>
  <c r="AP119" i="5" s="1"/>
  <c r="AQ119" i="5" s="1"/>
  <c r="E120" i="5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AG120" i="5" s="1"/>
  <c r="AH120" i="5" s="1"/>
  <c r="AI120" i="5" s="1"/>
  <c r="AJ120" i="5" s="1"/>
  <c r="AK120" i="5" s="1"/>
  <c r="AL120" i="5" s="1"/>
  <c r="AM120" i="5" s="1"/>
  <c r="AN120" i="5" s="1"/>
  <c r="AO120" i="5" s="1"/>
  <c r="AP120" i="5" s="1"/>
  <c r="AQ120" i="5" s="1"/>
  <c r="E121" i="5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AG121" i="5" s="1"/>
  <c r="AH121" i="5" s="1"/>
  <c r="AI121" i="5" s="1"/>
  <c r="AJ121" i="5" s="1"/>
  <c r="AK121" i="5" s="1"/>
  <c r="AL121" i="5" s="1"/>
  <c r="AM121" i="5" s="1"/>
  <c r="AN121" i="5" s="1"/>
  <c r="AO121" i="5" s="1"/>
  <c r="AP121" i="5" s="1"/>
  <c r="AQ121" i="5" s="1"/>
  <c r="E122" i="5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AG122" i="5" s="1"/>
  <c r="AH122" i="5" s="1"/>
  <c r="AI122" i="5" s="1"/>
  <c r="AJ122" i="5" s="1"/>
  <c r="AK122" i="5" s="1"/>
  <c r="AL122" i="5" s="1"/>
  <c r="AM122" i="5" s="1"/>
  <c r="AN122" i="5" s="1"/>
  <c r="AO122" i="5" s="1"/>
  <c r="AP122" i="5" s="1"/>
  <c r="AQ122" i="5" s="1"/>
  <c r="E123" i="5"/>
  <c r="F123" i="5" s="1"/>
  <c r="G123" i="5" s="1"/>
  <c r="H123" i="5" s="1"/>
  <c r="I123" i="5" s="1"/>
  <c r="J123" i="5" s="1"/>
  <c r="K123" i="5" s="1"/>
  <c r="L123" i="5" s="1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AG123" i="5" s="1"/>
  <c r="AH123" i="5" s="1"/>
  <c r="AI123" i="5" s="1"/>
  <c r="AJ123" i="5" s="1"/>
  <c r="AK123" i="5" s="1"/>
  <c r="AL123" i="5" s="1"/>
  <c r="AM123" i="5" s="1"/>
  <c r="AN123" i="5" s="1"/>
  <c r="AO123" i="5" s="1"/>
  <c r="AP123" i="5" s="1"/>
  <c r="AQ123" i="5" s="1"/>
  <c r="E124" i="5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AG124" i="5" s="1"/>
  <c r="AH124" i="5" s="1"/>
  <c r="AI124" i="5" s="1"/>
  <c r="AJ124" i="5" s="1"/>
  <c r="AK124" i="5" s="1"/>
  <c r="AL124" i="5" s="1"/>
  <c r="AM124" i="5" s="1"/>
  <c r="AN124" i="5" s="1"/>
  <c r="AO124" i="5" s="1"/>
  <c r="AP124" i="5" s="1"/>
  <c r="AQ124" i="5" s="1"/>
  <c r="E104" i="5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AG104" i="5" s="1"/>
  <c r="AH104" i="5" s="1"/>
  <c r="AI104" i="5" s="1"/>
  <c r="AJ104" i="5" s="1"/>
  <c r="AK104" i="5" s="1"/>
  <c r="AL104" i="5" s="1"/>
  <c r="AM104" i="5" s="1"/>
  <c r="AN104" i="5" s="1"/>
  <c r="AO104" i="5" s="1"/>
  <c r="AP104" i="5" s="1"/>
  <c r="AQ104" i="5" s="1"/>
  <c r="E88" i="5"/>
  <c r="F88" i="5" s="1"/>
  <c r="G88" i="5" s="1"/>
  <c r="H88" i="5" s="1"/>
  <c r="I88" i="5" s="1"/>
  <c r="J88" i="5" s="1"/>
  <c r="K88" i="5" s="1"/>
  <c r="L88" i="5" s="1"/>
  <c r="M88" i="5" s="1"/>
  <c r="N88" i="5" s="1"/>
  <c r="O88" i="5" s="1"/>
  <c r="P88" i="5" s="1"/>
  <c r="Q88" i="5" s="1"/>
  <c r="R88" i="5" s="1"/>
  <c r="S88" i="5" s="1"/>
  <c r="T88" i="5" s="1"/>
  <c r="U88" i="5" s="1"/>
  <c r="V88" i="5" s="1"/>
  <c r="W88" i="5" s="1"/>
  <c r="X88" i="5" s="1"/>
  <c r="Y88" i="5" s="1"/>
  <c r="Z88" i="5" s="1"/>
  <c r="AA88" i="5" s="1"/>
  <c r="AB88" i="5" s="1"/>
  <c r="AC88" i="5" s="1"/>
  <c r="AD88" i="5" s="1"/>
  <c r="AE88" i="5" s="1"/>
  <c r="AF88" i="5" s="1"/>
  <c r="AG88" i="5" s="1"/>
  <c r="AH88" i="5" s="1"/>
  <c r="AI88" i="5" s="1"/>
  <c r="AJ88" i="5" s="1"/>
  <c r="AK88" i="5" s="1"/>
  <c r="AL88" i="5" s="1"/>
  <c r="AM88" i="5" s="1"/>
  <c r="AN88" i="5" s="1"/>
  <c r="AO88" i="5" s="1"/>
  <c r="AP88" i="5" s="1"/>
  <c r="AQ88" i="5" s="1"/>
  <c r="E89" i="5"/>
  <c r="F89" i="5" s="1"/>
  <c r="G89" i="5" s="1"/>
  <c r="H89" i="5" s="1"/>
  <c r="I89" i="5" s="1"/>
  <c r="J89" i="5" s="1"/>
  <c r="K89" i="5" s="1"/>
  <c r="L89" i="5" s="1"/>
  <c r="M89" i="5" s="1"/>
  <c r="N89" i="5" s="1"/>
  <c r="O89" i="5" s="1"/>
  <c r="P89" i="5" s="1"/>
  <c r="Q89" i="5" s="1"/>
  <c r="R89" i="5" s="1"/>
  <c r="S89" i="5" s="1"/>
  <c r="T89" i="5" s="1"/>
  <c r="U89" i="5" s="1"/>
  <c r="V89" i="5" s="1"/>
  <c r="W89" i="5" s="1"/>
  <c r="X89" i="5" s="1"/>
  <c r="Y89" i="5" s="1"/>
  <c r="Z89" i="5" s="1"/>
  <c r="AA89" i="5" s="1"/>
  <c r="AB89" i="5" s="1"/>
  <c r="AC89" i="5" s="1"/>
  <c r="AD89" i="5" s="1"/>
  <c r="AE89" i="5" s="1"/>
  <c r="AF89" i="5" s="1"/>
  <c r="AG89" i="5" s="1"/>
  <c r="AH89" i="5" s="1"/>
  <c r="AI89" i="5" s="1"/>
  <c r="AJ89" i="5" s="1"/>
  <c r="AK89" i="5" s="1"/>
  <c r="AL89" i="5" s="1"/>
  <c r="AM89" i="5" s="1"/>
  <c r="AN89" i="5" s="1"/>
  <c r="AO89" i="5" s="1"/>
  <c r="AP89" i="5" s="1"/>
  <c r="AQ89" i="5" s="1"/>
  <c r="E90" i="5"/>
  <c r="F90" i="5" s="1"/>
  <c r="G90" i="5" s="1"/>
  <c r="H90" i="5" s="1"/>
  <c r="I90" i="5" s="1"/>
  <c r="J90" i="5" s="1"/>
  <c r="K90" i="5" s="1"/>
  <c r="L90" i="5" s="1"/>
  <c r="M90" i="5" s="1"/>
  <c r="N90" i="5" s="1"/>
  <c r="O90" i="5" s="1"/>
  <c r="P90" i="5" s="1"/>
  <c r="Q90" i="5" s="1"/>
  <c r="R90" i="5" s="1"/>
  <c r="S90" i="5" s="1"/>
  <c r="T90" i="5" s="1"/>
  <c r="U90" i="5" s="1"/>
  <c r="V90" i="5" s="1"/>
  <c r="W90" i="5" s="1"/>
  <c r="X90" i="5" s="1"/>
  <c r="Y90" i="5" s="1"/>
  <c r="Z90" i="5" s="1"/>
  <c r="AA90" i="5" s="1"/>
  <c r="AB90" i="5" s="1"/>
  <c r="AC90" i="5" s="1"/>
  <c r="AD90" i="5" s="1"/>
  <c r="AE90" i="5" s="1"/>
  <c r="AF90" i="5" s="1"/>
  <c r="AG90" i="5" s="1"/>
  <c r="AH90" i="5" s="1"/>
  <c r="AI90" i="5" s="1"/>
  <c r="AJ90" i="5" s="1"/>
  <c r="AK90" i="5" s="1"/>
  <c r="AL90" i="5" s="1"/>
  <c r="AM90" i="5" s="1"/>
  <c r="AN90" i="5" s="1"/>
  <c r="AO90" i="5" s="1"/>
  <c r="AP90" i="5" s="1"/>
  <c r="AQ90" i="5" s="1"/>
  <c r="E91" i="5"/>
  <c r="F91" i="5" s="1"/>
  <c r="G91" i="5" s="1"/>
  <c r="H91" i="5" s="1"/>
  <c r="I91" i="5" s="1"/>
  <c r="J91" i="5" s="1"/>
  <c r="K91" i="5" s="1"/>
  <c r="L91" i="5" s="1"/>
  <c r="M91" i="5" s="1"/>
  <c r="N91" i="5" s="1"/>
  <c r="O91" i="5" s="1"/>
  <c r="P91" i="5" s="1"/>
  <c r="Q91" i="5" s="1"/>
  <c r="R91" i="5" s="1"/>
  <c r="S91" i="5" s="1"/>
  <c r="T91" i="5" s="1"/>
  <c r="U91" i="5" s="1"/>
  <c r="V91" i="5" s="1"/>
  <c r="W91" i="5" s="1"/>
  <c r="X91" i="5" s="1"/>
  <c r="Y91" i="5" s="1"/>
  <c r="Z91" i="5" s="1"/>
  <c r="AA91" i="5" s="1"/>
  <c r="AB91" i="5" s="1"/>
  <c r="AC91" i="5" s="1"/>
  <c r="AD91" i="5" s="1"/>
  <c r="AE91" i="5" s="1"/>
  <c r="AF91" i="5" s="1"/>
  <c r="AG91" i="5" s="1"/>
  <c r="AH91" i="5" s="1"/>
  <c r="AI91" i="5" s="1"/>
  <c r="AJ91" i="5" s="1"/>
  <c r="AK91" i="5" s="1"/>
  <c r="AL91" i="5" s="1"/>
  <c r="AM91" i="5" s="1"/>
  <c r="AN91" i="5" s="1"/>
  <c r="AO91" i="5" s="1"/>
  <c r="AP91" i="5" s="1"/>
  <c r="AQ91" i="5" s="1"/>
  <c r="E92" i="5"/>
  <c r="F92" i="5" s="1"/>
  <c r="G92" i="5" s="1"/>
  <c r="H92" i="5" s="1"/>
  <c r="I92" i="5" s="1"/>
  <c r="J92" i="5" s="1"/>
  <c r="K92" i="5" s="1"/>
  <c r="L92" i="5" s="1"/>
  <c r="M92" i="5" s="1"/>
  <c r="N92" i="5" s="1"/>
  <c r="O92" i="5" s="1"/>
  <c r="P92" i="5" s="1"/>
  <c r="Q92" i="5" s="1"/>
  <c r="R92" i="5" s="1"/>
  <c r="S92" i="5" s="1"/>
  <c r="T92" i="5" s="1"/>
  <c r="U92" i="5" s="1"/>
  <c r="V92" i="5" s="1"/>
  <c r="W92" i="5" s="1"/>
  <c r="X92" i="5" s="1"/>
  <c r="Y92" i="5" s="1"/>
  <c r="Z92" i="5" s="1"/>
  <c r="AA92" i="5" s="1"/>
  <c r="AB92" i="5" s="1"/>
  <c r="AC92" i="5" s="1"/>
  <c r="AD92" i="5" s="1"/>
  <c r="AE92" i="5" s="1"/>
  <c r="AF92" i="5" s="1"/>
  <c r="AG92" i="5" s="1"/>
  <c r="AH92" i="5" s="1"/>
  <c r="AI92" i="5" s="1"/>
  <c r="AJ92" i="5" s="1"/>
  <c r="AK92" i="5" s="1"/>
  <c r="AL92" i="5" s="1"/>
  <c r="AM92" i="5" s="1"/>
  <c r="AN92" i="5" s="1"/>
  <c r="AO92" i="5" s="1"/>
  <c r="AP92" i="5" s="1"/>
  <c r="AQ92" i="5" s="1"/>
  <c r="E93" i="5"/>
  <c r="F93" i="5" s="1"/>
  <c r="G93" i="5" s="1"/>
  <c r="H93" i="5" s="1"/>
  <c r="I93" i="5" s="1"/>
  <c r="J93" i="5" s="1"/>
  <c r="K93" i="5" s="1"/>
  <c r="L93" i="5" s="1"/>
  <c r="M93" i="5" s="1"/>
  <c r="N93" i="5" s="1"/>
  <c r="O93" i="5" s="1"/>
  <c r="P93" i="5" s="1"/>
  <c r="Q93" i="5" s="1"/>
  <c r="R93" i="5" s="1"/>
  <c r="S93" i="5" s="1"/>
  <c r="T93" i="5" s="1"/>
  <c r="U93" i="5" s="1"/>
  <c r="V93" i="5" s="1"/>
  <c r="W93" i="5" s="1"/>
  <c r="X93" i="5" s="1"/>
  <c r="Y93" i="5" s="1"/>
  <c r="Z93" i="5" s="1"/>
  <c r="AA93" i="5" s="1"/>
  <c r="AB93" i="5" s="1"/>
  <c r="AC93" i="5" s="1"/>
  <c r="AD93" i="5" s="1"/>
  <c r="AE93" i="5" s="1"/>
  <c r="AF93" i="5" s="1"/>
  <c r="AG93" i="5" s="1"/>
  <c r="AH93" i="5" s="1"/>
  <c r="AI93" i="5" s="1"/>
  <c r="AJ93" i="5" s="1"/>
  <c r="AK93" i="5" s="1"/>
  <c r="AL93" i="5" s="1"/>
  <c r="AM93" i="5" s="1"/>
  <c r="AN93" i="5" s="1"/>
  <c r="AO93" i="5" s="1"/>
  <c r="AP93" i="5" s="1"/>
  <c r="AQ93" i="5" s="1"/>
  <c r="E94" i="5"/>
  <c r="F94" i="5" s="1"/>
  <c r="G94" i="5" s="1"/>
  <c r="H94" i="5" s="1"/>
  <c r="I94" i="5" s="1"/>
  <c r="J94" i="5" s="1"/>
  <c r="K94" i="5" s="1"/>
  <c r="L94" i="5" s="1"/>
  <c r="M94" i="5" s="1"/>
  <c r="N94" i="5" s="1"/>
  <c r="O94" i="5" s="1"/>
  <c r="P94" i="5" s="1"/>
  <c r="Q94" i="5" s="1"/>
  <c r="R94" i="5" s="1"/>
  <c r="S94" i="5" s="1"/>
  <c r="T94" i="5" s="1"/>
  <c r="U94" i="5" s="1"/>
  <c r="V94" i="5" s="1"/>
  <c r="W94" i="5" s="1"/>
  <c r="X94" i="5" s="1"/>
  <c r="Y94" i="5" s="1"/>
  <c r="Z94" i="5" s="1"/>
  <c r="AA94" i="5" s="1"/>
  <c r="AB94" i="5" s="1"/>
  <c r="AC94" i="5" s="1"/>
  <c r="AD94" i="5" s="1"/>
  <c r="AE94" i="5" s="1"/>
  <c r="AF94" i="5" s="1"/>
  <c r="AG94" i="5" s="1"/>
  <c r="AH94" i="5" s="1"/>
  <c r="AI94" i="5" s="1"/>
  <c r="AJ94" i="5" s="1"/>
  <c r="AK94" i="5" s="1"/>
  <c r="AL94" i="5" s="1"/>
  <c r="AM94" i="5" s="1"/>
  <c r="AN94" i="5" s="1"/>
  <c r="AO94" i="5" s="1"/>
  <c r="AP94" i="5" s="1"/>
  <c r="AQ94" i="5" s="1"/>
  <c r="E95" i="5"/>
  <c r="F95" i="5" s="1"/>
  <c r="G95" i="5" s="1"/>
  <c r="H95" i="5" s="1"/>
  <c r="I95" i="5" s="1"/>
  <c r="J95" i="5" s="1"/>
  <c r="K95" i="5" s="1"/>
  <c r="L95" i="5" s="1"/>
  <c r="M95" i="5" s="1"/>
  <c r="N95" i="5" s="1"/>
  <c r="O95" i="5" s="1"/>
  <c r="P95" i="5" s="1"/>
  <c r="Q95" i="5" s="1"/>
  <c r="R95" i="5" s="1"/>
  <c r="S95" i="5" s="1"/>
  <c r="T95" i="5" s="1"/>
  <c r="U95" i="5" s="1"/>
  <c r="V95" i="5" s="1"/>
  <c r="W95" i="5" s="1"/>
  <c r="X95" i="5" s="1"/>
  <c r="Y95" i="5" s="1"/>
  <c r="Z95" i="5" s="1"/>
  <c r="AA95" i="5" s="1"/>
  <c r="AB95" i="5" s="1"/>
  <c r="AC95" i="5" s="1"/>
  <c r="AD95" i="5" s="1"/>
  <c r="AE95" i="5" s="1"/>
  <c r="AF95" i="5" s="1"/>
  <c r="AG95" i="5" s="1"/>
  <c r="AH95" i="5" s="1"/>
  <c r="AI95" i="5" s="1"/>
  <c r="AJ95" i="5" s="1"/>
  <c r="AK95" i="5" s="1"/>
  <c r="AL95" i="5" s="1"/>
  <c r="AM95" i="5" s="1"/>
  <c r="AN95" i="5" s="1"/>
  <c r="AO95" i="5" s="1"/>
  <c r="AP95" i="5" s="1"/>
  <c r="AQ95" i="5" s="1"/>
  <c r="E96" i="5"/>
  <c r="F96" i="5" s="1"/>
  <c r="G96" i="5" s="1"/>
  <c r="H96" i="5" s="1"/>
  <c r="I96" i="5" s="1"/>
  <c r="J96" i="5" s="1"/>
  <c r="K96" i="5" s="1"/>
  <c r="L96" i="5" s="1"/>
  <c r="M96" i="5" s="1"/>
  <c r="N96" i="5" s="1"/>
  <c r="O96" i="5" s="1"/>
  <c r="P96" i="5" s="1"/>
  <c r="Q96" i="5" s="1"/>
  <c r="R96" i="5" s="1"/>
  <c r="S96" i="5" s="1"/>
  <c r="T96" i="5" s="1"/>
  <c r="U96" i="5" s="1"/>
  <c r="V96" i="5" s="1"/>
  <c r="W96" i="5" s="1"/>
  <c r="X96" i="5" s="1"/>
  <c r="Y96" i="5" s="1"/>
  <c r="Z96" i="5" s="1"/>
  <c r="AA96" i="5" s="1"/>
  <c r="AB96" i="5" s="1"/>
  <c r="AC96" i="5" s="1"/>
  <c r="AD96" i="5" s="1"/>
  <c r="AE96" i="5" s="1"/>
  <c r="AF96" i="5" s="1"/>
  <c r="AG96" i="5" s="1"/>
  <c r="AH96" i="5" s="1"/>
  <c r="AI96" i="5" s="1"/>
  <c r="AJ96" i="5" s="1"/>
  <c r="AK96" i="5" s="1"/>
  <c r="AL96" i="5" s="1"/>
  <c r="AM96" i="5" s="1"/>
  <c r="AN96" i="5" s="1"/>
  <c r="AO96" i="5" s="1"/>
  <c r="AP96" i="5" s="1"/>
  <c r="AQ96" i="5" s="1"/>
  <c r="E97" i="5"/>
  <c r="F97" i="5" s="1"/>
  <c r="G97" i="5" s="1"/>
  <c r="H97" i="5" s="1"/>
  <c r="I97" i="5" s="1"/>
  <c r="J97" i="5" s="1"/>
  <c r="K97" i="5" s="1"/>
  <c r="L97" i="5" s="1"/>
  <c r="M97" i="5" s="1"/>
  <c r="N97" i="5" s="1"/>
  <c r="O97" i="5" s="1"/>
  <c r="P97" i="5" s="1"/>
  <c r="Q97" i="5" s="1"/>
  <c r="R97" i="5" s="1"/>
  <c r="S97" i="5" s="1"/>
  <c r="T97" i="5" s="1"/>
  <c r="U97" i="5" s="1"/>
  <c r="V97" i="5" s="1"/>
  <c r="W97" i="5" s="1"/>
  <c r="X97" i="5" s="1"/>
  <c r="Y97" i="5" s="1"/>
  <c r="Z97" i="5" s="1"/>
  <c r="AA97" i="5" s="1"/>
  <c r="AB97" i="5" s="1"/>
  <c r="AC97" i="5" s="1"/>
  <c r="AD97" i="5" s="1"/>
  <c r="AE97" i="5" s="1"/>
  <c r="AF97" i="5" s="1"/>
  <c r="AG97" i="5" s="1"/>
  <c r="AH97" i="5" s="1"/>
  <c r="AI97" i="5" s="1"/>
  <c r="AJ97" i="5" s="1"/>
  <c r="AK97" i="5" s="1"/>
  <c r="AL97" i="5" s="1"/>
  <c r="AM97" i="5" s="1"/>
  <c r="AN97" i="5" s="1"/>
  <c r="AO97" i="5" s="1"/>
  <c r="AP97" i="5" s="1"/>
  <c r="AQ97" i="5" s="1"/>
  <c r="E98" i="5"/>
  <c r="F98" i="5" s="1"/>
  <c r="G98" i="5" s="1"/>
  <c r="H98" i="5" s="1"/>
  <c r="I98" i="5" s="1"/>
  <c r="J98" i="5" s="1"/>
  <c r="K98" i="5" s="1"/>
  <c r="L98" i="5" s="1"/>
  <c r="M98" i="5" s="1"/>
  <c r="N98" i="5" s="1"/>
  <c r="O98" i="5" s="1"/>
  <c r="P98" i="5" s="1"/>
  <c r="Q98" i="5" s="1"/>
  <c r="R98" i="5" s="1"/>
  <c r="S98" i="5" s="1"/>
  <c r="T98" i="5" s="1"/>
  <c r="U98" i="5" s="1"/>
  <c r="V98" i="5" s="1"/>
  <c r="W98" i="5" s="1"/>
  <c r="X98" i="5" s="1"/>
  <c r="Y98" i="5" s="1"/>
  <c r="Z98" i="5" s="1"/>
  <c r="AA98" i="5" s="1"/>
  <c r="AB98" i="5" s="1"/>
  <c r="AC98" i="5" s="1"/>
  <c r="AD98" i="5" s="1"/>
  <c r="AE98" i="5" s="1"/>
  <c r="AF98" i="5" s="1"/>
  <c r="AG98" i="5" s="1"/>
  <c r="AH98" i="5" s="1"/>
  <c r="AI98" i="5" s="1"/>
  <c r="AJ98" i="5" s="1"/>
  <c r="AK98" i="5" s="1"/>
  <c r="AL98" i="5" s="1"/>
  <c r="AM98" i="5" s="1"/>
  <c r="AN98" i="5" s="1"/>
  <c r="AO98" i="5" s="1"/>
  <c r="AP98" i="5" s="1"/>
  <c r="AQ98" i="5" s="1"/>
  <c r="E99" i="5"/>
  <c r="F99" i="5" s="1"/>
  <c r="G99" i="5" s="1"/>
  <c r="H99" i="5" s="1"/>
  <c r="I99" i="5" s="1"/>
  <c r="J99" i="5" s="1"/>
  <c r="K99" i="5" s="1"/>
  <c r="L99" i="5" s="1"/>
  <c r="M99" i="5" s="1"/>
  <c r="N99" i="5" s="1"/>
  <c r="O99" i="5" s="1"/>
  <c r="P99" i="5" s="1"/>
  <c r="Q99" i="5" s="1"/>
  <c r="R99" i="5" s="1"/>
  <c r="S99" i="5" s="1"/>
  <c r="T99" i="5" s="1"/>
  <c r="U99" i="5" s="1"/>
  <c r="V99" i="5" s="1"/>
  <c r="W99" i="5" s="1"/>
  <c r="X99" i="5" s="1"/>
  <c r="Y99" i="5" s="1"/>
  <c r="Z99" i="5" s="1"/>
  <c r="AA99" i="5" s="1"/>
  <c r="AB99" i="5" s="1"/>
  <c r="AC99" i="5" s="1"/>
  <c r="AD99" i="5" s="1"/>
  <c r="AE99" i="5" s="1"/>
  <c r="AF99" i="5" s="1"/>
  <c r="AG99" i="5" s="1"/>
  <c r="AH99" i="5" s="1"/>
  <c r="AI99" i="5" s="1"/>
  <c r="AJ99" i="5" s="1"/>
  <c r="AK99" i="5" s="1"/>
  <c r="AL99" i="5" s="1"/>
  <c r="AM99" i="5" s="1"/>
  <c r="AN99" i="5" s="1"/>
  <c r="AO99" i="5" s="1"/>
  <c r="AP99" i="5" s="1"/>
  <c r="AQ99" i="5" s="1"/>
  <c r="E100" i="5"/>
  <c r="F100" i="5" s="1"/>
  <c r="G100" i="5" s="1"/>
  <c r="H100" i="5" s="1"/>
  <c r="I100" i="5" s="1"/>
  <c r="J100" i="5" s="1"/>
  <c r="K100" i="5" s="1"/>
  <c r="L100" i="5" s="1"/>
  <c r="M100" i="5" s="1"/>
  <c r="N100" i="5" s="1"/>
  <c r="O100" i="5" s="1"/>
  <c r="P100" i="5" s="1"/>
  <c r="Q100" i="5" s="1"/>
  <c r="R100" i="5" s="1"/>
  <c r="S100" i="5" s="1"/>
  <c r="T100" i="5" s="1"/>
  <c r="U100" i="5" s="1"/>
  <c r="V100" i="5" s="1"/>
  <c r="W100" i="5" s="1"/>
  <c r="X100" i="5" s="1"/>
  <c r="Y100" i="5" s="1"/>
  <c r="Z100" i="5" s="1"/>
  <c r="AA100" i="5" s="1"/>
  <c r="AB100" i="5" s="1"/>
  <c r="AC100" i="5" s="1"/>
  <c r="AD100" i="5" s="1"/>
  <c r="AE100" i="5" s="1"/>
  <c r="AF100" i="5" s="1"/>
  <c r="AG100" i="5" s="1"/>
  <c r="AH100" i="5" s="1"/>
  <c r="AI100" i="5" s="1"/>
  <c r="AJ100" i="5" s="1"/>
  <c r="AK100" i="5" s="1"/>
  <c r="AL100" i="5" s="1"/>
  <c r="AM100" i="5" s="1"/>
  <c r="AN100" i="5" s="1"/>
  <c r="AO100" i="5" s="1"/>
  <c r="AP100" i="5" s="1"/>
  <c r="AQ100" i="5" s="1"/>
  <c r="E101" i="5"/>
  <c r="F101" i="5" s="1"/>
  <c r="G101" i="5" s="1"/>
  <c r="H101" i="5" s="1"/>
  <c r="I101" i="5" s="1"/>
  <c r="J101" i="5" s="1"/>
  <c r="K101" i="5" s="1"/>
  <c r="L101" i="5" s="1"/>
  <c r="M101" i="5" s="1"/>
  <c r="N101" i="5" s="1"/>
  <c r="O101" i="5" s="1"/>
  <c r="P101" i="5" s="1"/>
  <c r="Q101" i="5" s="1"/>
  <c r="R101" i="5" s="1"/>
  <c r="S101" i="5" s="1"/>
  <c r="T101" i="5" s="1"/>
  <c r="U101" i="5" s="1"/>
  <c r="V101" i="5" s="1"/>
  <c r="W101" i="5" s="1"/>
  <c r="X101" i="5" s="1"/>
  <c r="Y101" i="5" s="1"/>
  <c r="Z101" i="5" s="1"/>
  <c r="AA101" i="5" s="1"/>
  <c r="AB101" i="5" s="1"/>
  <c r="AC101" i="5" s="1"/>
  <c r="AD101" i="5" s="1"/>
  <c r="AE101" i="5" s="1"/>
  <c r="AF101" i="5" s="1"/>
  <c r="AG101" i="5" s="1"/>
  <c r="AH101" i="5" s="1"/>
  <c r="AI101" i="5" s="1"/>
  <c r="AJ101" i="5" s="1"/>
  <c r="AK101" i="5" s="1"/>
  <c r="AL101" i="5" s="1"/>
  <c r="AM101" i="5" s="1"/>
  <c r="AN101" i="5" s="1"/>
  <c r="AO101" i="5" s="1"/>
  <c r="AP101" i="5" s="1"/>
  <c r="AQ101" i="5" s="1"/>
  <c r="E102" i="5"/>
  <c r="F102" i="5" s="1"/>
  <c r="G102" i="5" s="1"/>
  <c r="H102" i="5" s="1"/>
  <c r="I102" i="5" s="1"/>
  <c r="J102" i="5" s="1"/>
  <c r="K102" i="5" s="1"/>
  <c r="L102" i="5" s="1"/>
  <c r="M102" i="5" s="1"/>
  <c r="N102" i="5" s="1"/>
  <c r="O102" i="5" s="1"/>
  <c r="P102" i="5" s="1"/>
  <c r="Q102" i="5" s="1"/>
  <c r="R102" i="5" s="1"/>
  <c r="S102" i="5" s="1"/>
  <c r="T102" i="5" s="1"/>
  <c r="U102" i="5" s="1"/>
  <c r="V102" i="5" s="1"/>
  <c r="W102" i="5" s="1"/>
  <c r="X102" i="5" s="1"/>
  <c r="Y102" i="5" s="1"/>
  <c r="Z102" i="5" s="1"/>
  <c r="AA102" i="5" s="1"/>
  <c r="AB102" i="5" s="1"/>
  <c r="AC102" i="5" s="1"/>
  <c r="AD102" i="5" s="1"/>
  <c r="AE102" i="5" s="1"/>
  <c r="AF102" i="5" s="1"/>
  <c r="AG102" i="5" s="1"/>
  <c r="AH102" i="5" s="1"/>
  <c r="AI102" i="5" s="1"/>
  <c r="AJ102" i="5" s="1"/>
  <c r="AK102" i="5" s="1"/>
  <c r="AL102" i="5" s="1"/>
  <c r="AM102" i="5" s="1"/>
  <c r="AN102" i="5" s="1"/>
  <c r="AO102" i="5" s="1"/>
  <c r="AP102" i="5" s="1"/>
  <c r="AQ102" i="5" s="1"/>
  <c r="E103" i="5"/>
  <c r="F103" i="5" s="1"/>
  <c r="G103" i="5" s="1"/>
  <c r="H103" i="5" s="1"/>
  <c r="I103" i="5" s="1"/>
  <c r="J103" i="5" s="1"/>
  <c r="K103" i="5" s="1"/>
  <c r="L103" i="5" s="1"/>
  <c r="M103" i="5" s="1"/>
  <c r="N103" i="5" s="1"/>
  <c r="O103" i="5" s="1"/>
  <c r="P103" i="5" s="1"/>
  <c r="Q103" i="5" s="1"/>
  <c r="R103" i="5" s="1"/>
  <c r="S103" i="5" s="1"/>
  <c r="T103" i="5" s="1"/>
  <c r="U103" i="5" s="1"/>
  <c r="V103" i="5" s="1"/>
  <c r="W103" i="5" s="1"/>
  <c r="X103" i="5" s="1"/>
  <c r="Y103" i="5" s="1"/>
  <c r="Z103" i="5" s="1"/>
  <c r="AA103" i="5" s="1"/>
  <c r="AB103" i="5" s="1"/>
  <c r="AC103" i="5" s="1"/>
  <c r="AD103" i="5" s="1"/>
  <c r="AE103" i="5" s="1"/>
  <c r="AF103" i="5" s="1"/>
  <c r="AG103" i="5" s="1"/>
  <c r="AH103" i="5" s="1"/>
  <c r="AI103" i="5" s="1"/>
  <c r="AJ103" i="5" s="1"/>
  <c r="AK103" i="5" s="1"/>
  <c r="AL103" i="5" s="1"/>
  <c r="AM103" i="5" s="1"/>
  <c r="AN103" i="5" s="1"/>
  <c r="AO103" i="5" s="1"/>
  <c r="AP103" i="5" s="1"/>
  <c r="AQ103" i="5" s="1"/>
  <c r="E87" i="5"/>
  <c r="F87" i="5" s="1"/>
  <c r="G87" i="5" s="1"/>
  <c r="H87" i="5" s="1"/>
  <c r="I87" i="5" s="1"/>
  <c r="J87" i="5" s="1"/>
  <c r="K87" i="5" s="1"/>
  <c r="L87" i="5" s="1"/>
  <c r="M87" i="5" s="1"/>
  <c r="N87" i="5" s="1"/>
  <c r="O87" i="5" s="1"/>
  <c r="P87" i="5" s="1"/>
  <c r="Q87" i="5" s="1"/>
  <c r="R87" i="5" s="1"/>
  <c r="S87" i="5" s="1"/>
  <c r="T87" i="5" s="1"/>
  <c r="U87" i="5" s="1"/>
  <c r="V87" i="5" s="1"/>
  <c r="W87" i="5" s="1"/>
  <c r="X87" i="5" s="1"/>
  <c r="Y87" i="5" s="1"/>
  <c r="Z87" i="5" s="1"/>
  <c r="AA87" i="5" s="1"/>
  <c r="AB87" i="5" s="1"/>
  <c r="AC87" i="5" s="1"/>
  <c r="AD87" i="5" s="1"/>
  <c r="AE87" i="5" s="1"/>
  <c r="AF87" i="5" s="1"/>
  <c r="AG87" i="5" s="1"/>
  <c r="AH87" i="5" s="1"/>
  <c r="AI87" i="5" s="1"/>
  <c r="AJ87" i="5" s="1"/>
  <c r="AK87" i="5" s="1"/>
  <c r="AL87" i="5" s="1"/>
  <c r="AM87" i="5" s="1"/>
  <c r="AN87" i="5" s="1"/>
  <c r="AO87" i="5" s="1"/>
  <c r="AP87" i="5" s="1"/>
  <c r="AQ87" i="5" s="1"/>
  <c r="E46" i="5"/>
  <c r="F46" i="5" s="1"/>
  <c r="G46" i="5" s="1"/>
  <c r="H46" i="5" s="1"/>
  <c r="I46" i="5" s="1"/>
  <c r="J46" i="5" s="1"/>
  <c r="K46" i="5" s="1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AJ46" i="5" s="1"/>
  <c r="AK46" i="5" s="1"/>
  <c r="AL46" i="5" s="1"/>
  <c r="AM46" i="5" s="1"/>
  <c r="AN46" i="5" s="1"/>
  <c r="AO46" i="5" s="1"/>
  <c r="AP46" i="5" s="1"/>
  <c r="AQ46" i="5" s="1"/>
  <c r="E47" i="5"/>
  <c r="F47" i="5" s="1"/>
  <c r="G47" i="5" s="1"/>
  <c r="H47" i="5" s="1"/>
  <c r="I47" i="5" s="1"/>
  <c r="J47" i="5" s="1"/>
  <c r="K47" i="5" s="1"/>
  <c r="L47" i="5" s="1"/>
  <c r="M47" i="5" s="1"/>
  <c r="N47" i="5" s="1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AF47" i="5" s="1"/>
  <c r="AG47" i="5" s="1"/>
  <c r="AH47" i="5" s="1"/>
  <c r="AI47" i="5" s="1"/>
  <c r="AJ47" i="5" s="1"/>
  <c r="AK47" i="5" s="1"/>
  <c r="AL47" i="5" s="1"/>
  <c r="AM47" i="5" s="1"/>
  <c r="AN47" i="5" s="1"/>
  <c r="AO47" i="5" s="1"/>
  <c r="AP47" i="5" s="1"/>
  <c r="AQ47" i="5" s="1"/>
  <c r="E48" i="5"/>
  <c r="F48" i="5" s="1"/>
  <c r="G48" i="5" s="1"/>
  <c r="H48" i="5" s="1"/>
  <c r="I48" i="5" s="1"/>
  <c r="J48" i="5" s="1"/>
  <c r="K48" i="5" s="1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AG48" i="5" s="1"/>
  <c r="AH48" i="5" s="1"/>
  <c r="AI48" i="5" s="1"/>
  <c r="AJ48" i="5" s="1"/>
  <c r="AK48" i="5" s="1"/>
  <c r="AL48" i="5" s="1"/>
  <c r="AM48" i="5" s="1"/>
  <c r="AN48" i="5" s="1"/>
  <c r="AO48" i="5" s="1"/>
  <c r="AP48" i="5" s="1"/>
  <c r="AQ48" i="5" s="1"/>
  <c r="E49" i="5"/>
  <c r="F49" i="5" s="1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AD49" i="5" s="1"/>
  <c r="AE49" i="5" s="1"/>
  <c r="AF49" i="5" s="1"/>
  <c r="AG49" i="5" s="1"/>
  <c r="AH49" i="5" s="1"/>
  <c r="AI49" i="5" s="1"/>
  <c r="AJ49" i="5" s="1"/>
  <c r="AK49" i="5" s="1"/>
  <c r="AL49" i="5" s="1"/>
  <c r="AM49" i="5" s="1"/>
  <c r="AN49" i="5" s="1"/>
  <c r="AO49" i="5" s="1"/>
  <c r="AP49" i="5" s="1"/>
  <c r="AQ49" i="5" s="1"/>
  <c r="E50" i="5"/>
  <c r="F50" i="5" s="1"/>
  <c r="G50" i="5" s="1"/>
  <c r="H50" i="5" s="1"/>
  <c r="I50" i="5" s="1"/>
  <c r="J50" i="5" s="1"/>
  <c r="K50" i="5" s="1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AC50" i="5" s="1"/>
  <c r="AD50" i="5" s="1"/>
  <c r="AE50" i="5" s="1"/>
  <c r="AF50" i="5" s="1"/>
  <c r="AG50" i="5" s="1"/>
  <c r="AH50" i="5" s="1"/>
  <c r="AI50" i="5" s="1"/>
  <c r="AJ50" i="5" s="1"/>
  <c r="AK50" i="5" s="1"/>
  <c r="AL50" i="5" s="1"/>
  <c r="AM50" i="5" s="1"/>
  <c r="AN50" i="5" s="1"/>
  <c r="AO50" i="5" s="1"/>
  <c r="AP50" i="5" s="1"/>
  <c r="AQ50" i="5" s="1"/>
  <c r="E51" i="5"/>
  <c r="F51" i="5" s="1"/>
  <c r="G51" i="5" s="1"/>
  <c r="H51" i="5" s="1"/>
  <c r="I51" i="5" s="1"/>
  <c r="J51" i="5" s="1"/>
  <c r="K51" i="5" s="1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AG51" i="5" s="1"/>
  <c r="AH51" i="5" s="1"/>
  <c r="AI51" i="5" s="1"/>
  <c r="AJ51" i="5" s="1"/>
  <c r="AK51" i="5" s="1"/>
  <c r="AL51" i="5" s="1"/>
  <c r="AM51" i="5" s="1"/>
  <c r="AN51" i="5" s="1"/>
  <c r="AO51" i="5" s="1"/>
  <c r="AP51" i="5" s="1"/>
  <c r="AQ51" i="5" s="1"/>
  <c r="E52" i="5"/>
  <c r="F52" i="5" s="1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AG52" i="5" s="1"/>
  <c r="AH52" i="5" s="1"/>
  <c r="AI52" i="5" s="1"/>
  <c r="AJ52" i="5" s="1"/>
  <c r="AK52" i="5" s="1"/>
  <c r="AL52" i="5" s="1"/>
  <c r="AM52" i="5" s="1"/>
  <c r="AN52" i="5" s="1"/>
  <c r="AO52" i="5" s="1"/>
  <c r="AP52" i="5" s="1"/>
  <c r="AQ52" i="5" s="1"/>
  <c r="E53" i="5"/>
  <c r="F53" i="5" s="1"/>
  <c r="G53" i="5" s="1"/>
  <c r="H53" i="5" s="1"/>
  <c r="I53" i="5" s="1"/>
  <c r="J53" i="5" s="1"/>
  <c r="K53" i="5" s="1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C53" i="5" s="1"/>
  <c r="AD53" i="5" s="1"/>
  <c r="AE53" i="5" s="1"/>
  <c r="AF53" i="5" s="1"/>
  <c r="AG53" i="5" s="1"/>
  <c r="AH53" i="5" s="1"/>
  <c r="AI53" i="5" s="1"/>
  <c r="AJ53" i="5" s="1"/>
  <c r="AK53" i="5" s="1"/>
  <c r="AL53" i="5" s="1"/>
  <c r="AM53" i="5" s="1"/>
  <c r="AN53" i="5" s="1"/>
  <c r="AO53" i="5" s="1"/>
  <c r="AP53" i="5" s="1"/>
  <c r="AQ53" i="5" s="1"/>
  <c r="E54" i="5"/>
  <c r="F54" i="5" s="1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AG54" i="5" s="1"/>
  <c r="AH54" i="5" s="1"/>
  <c r="AI54" i="5" s="1"/>
  <c r="AJ54" i="5" s="1"/>
  <c r="AK54" i="5" s="1"/>
  <c r="AL54" i="5" s="1"/>
  <c r="AM54" i="5" s="1"/>
  <c r="AN54" i="5" s="1"/>
  <c r="AO54" i="5" s="1"/>
  <c r="AP54" i="5" s="1"/>
  <c r="AQ54" i="5" s="1"/>
  <c r="E55" i="5"/>
  <c r="F55" i="5" s="1"/>
  <c r="G55" i="5" s="1"/>
  <c r="H55" i="5" s="1"/>
  <c r="I55" i="5" s="1"/>
  <c r="J55" i="5" s="1"/>
  <c r="K55" i="5" s="1"/>
  <c r="L55" i="5" s="1"/>
  <c r="M55" i="5" s="1"/>
  <c r="N55" i="5" s="1"/>
  <c r="O55" i="5" s="1"/>
  <c r="P55" i="5" s="1"/>
  <c r="Q55" i="5" s="1"/>
  <c r="R55" i="5" s="1"/>
  <c r="S55" i="5" s="1"/>
  <c r="T55" i="5" s="1"/>
  <c r="U55" i="5" s="1"/>
  <c r="V55" i="5" s="1"/>
  <c r="W55" i="5" s="1"/>
  <c r="X55" i="5" s="1"/>
  <c r="Y55" i="5" s="1"/>
  <c r="Z55" i="5" s="1"/>
  <c r="AA55" i="5" s="1"/>
  <c r="AB55" i="5" s="1"/>
  <c r="AC55" i="5" s="1"/>
  <c r="AD55" i="5" s="1"/>
  <c r="AE55" i="5" s="1"/>
  <c r="AF55" i="5" s="1"/>
  <c r="AG55" i="5" s="1"/>
  <c r="AH55" i="5" s="1"/>
  <c r="AI55" i="5" s="1"/>
  <c r="AJ55" i="5" s="1"/>
  <c r="AK55" i="5" s="1"/>
  <c r="AL55" i="5" s="1"/>
  <c r="AM55" i="5" s="1"/>
  <c r="AN55" i="5" s="1"/>
  <c r="AO55" i="5" s="1"/>
  <c r="AP55" i="5" s="1"/>
  <c r="AQ55" i="5" s="1"/>
  <c r="E56" i="5"/>
  <c r="F56" i="5" s="1"/>
  <c r="G56" i="5" s="1"/>
  <c r="H56" i="5" s="1"/>
  <c r="I56" i="5" s="1"/>
  <c r="J56" i="5" s="1"/>
  <c r="K56" i="5" s="1"/>
  <c r="L56" i="5" s="1"/>
  <c r="M56" i="5" s="1"/>
  <c r="N56" i="5" s="1"/>
  <c r="O56" i="5" s="1"/>
  <c r="P56" i="5" s="1"/>
  <c r="Q56" i="5" s="1"/>
  <c r="R56" i="5" s="1"/>
  <c r="S56" i="5" s="1"/>
  <c r="T56" i="5" s="1"/>
  <c r="U56" i="5" s="1"/>
  <c r="V56" i="5" s="1"/>
  <c r="W56" i="5" s="1"/>
  <c r="X56" i="5" s="1"/>
  <c r="Y56" i="5" s="1"/>
  <c r="Z56" i="5" s="1"/>
  <c r="AA56" i="5" s="1"/>
  <c r="AB56" i="5" s="1"/>
  <c r="AC56" i="5" s="1"/>
  <c r="AD56" i="5" s="1"/>
  <c r="AE56" i="5" s="1"/>
  <c r="AF56" i="5" s="1"/>
  <c r="AG56" i="5" s="1"/>
  <c r="AH56" i="5" s="1"/>
  <c r="AI56" i="5" s="1"/>
  <c r="AJ56" i="5" s="1"/>
  <c r="AK56" i="5" s="1"/>
  <c r="AL56" i="5" s="1"/>
  <c r="AM56" i="5" s="1"/>
  <c r="AN56" i="5" s="1"/>
  <c r="AO56" i="5" s="1"/>
  <c r="AP56" i="5" s="1"/>
  <c r="AQ56" i="5" s="1"/>
  <c r="E57" i="5"/>
  <c r="F57" i="5" s="1"/>
  <c r="G57" i="5" s="1"/>
  <c r="H57" i="5" s="1"/>
  <c r="I57" i="5" s="1"/>
  <c r="J57" i="5" s="1"/>
  <c r="K57" i="5" s="1"/>
  <c r="L57" i="5" s="1"/>
  <c r="M57" i="5" s="1"/>
  <c r="N57" i="5" s="1"/>
  <c r="O57" i="5" s="1"/>
  <c r="P57" i="5" s="1"/>
  <c r="Q57" i="5" s="1"/>
  <c r="R57" i="5" s="1"/>
  <c r="S57" i="5" s="1"/>
  <c r="T57" i="5" s="1"/>
  <c r="U57" i="5" s="1"/>
  <c r="V57" i="5" s="1"/>
  <c r="W57" i="5" s="1"/>
  <c r="X57" i="5" s="1"/>
  <c r="Y57" i="5" s="1"/>
  <c r="Z57" i="5" s="1"/>
  <c r="AA57" i="5" s="1"/>
  <c r="AB57" i="5" s="1"/>
  <c r="AC57" i="5" s="1"/>
  <c r="AD57" i="5" s="1"/>
  <c r="AE57" i="5" s="1"/>
  <c r="AF57" i="5" s="1"/>
  <c r="AG57" i="5" s="1"/>
  <c r="AH57" i="5" s="1"/>
  <c r="AI57" i="5" s="1"/>
  <c r="AJ57" i="5" s="1"/>
  <c r="AK57" i="5" s="1"/>
  <c r="AL57" i="5" s="1"/>
  <c r="AM57" i="5" s="1"/>
  <c r="AN57" i="5" s="1"/>
  <c r="AO57" i="5" s="1"/>
  <c r="AP57" i="5" s="1"/>
  <c r="AQ57" i="5" s="1"/>
  <c r="E58" i="5"/>
  <c r="F58" i="5" s="1"/>
  <c r="G58" i="5" s="1"/>
  <c r="H58" i="5" s="1"/>
  <c r="I58" i="5" s="1"/>
  <c r="J58" i="5" s="1"/>
  <c r="K58" i="5" s="1"/>
  <c r="L58" i="5" s="1"/>
  <c r="M58" i="5" s="1"/>
  <c r="N58" i="5" s="1"/>
  <c r="O58" i="5" s="1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AG58" i="5" s="1"/>
  <c r="AH58" i="5" s="1"/>
  <c r="AI58" i="5" s="1"/>
  <c r="AJ58" i="5" s="1"/>
  <c r="AK58" i="5" s="1"/>
  <c r="AL58" i="5" s="1"/>
  <c r="AM58" i="5" s="1"/>
  <c r="AN58" i="5" s="1"/>
  <c r="AO58" i="5" s="1"/>
  <c r="AP58" i="5" s="1"/>
  <c r="AQ58" i="5" s="1"/>
  <c r="E59" i="5"/>
  <c r="F59" i="5" s="1"/>
  <c r="G59" i="5" s="1"/>
  <c r="H59" i="5" s="1"/>
  <c r="I59" i="5" s="1"/>
  <c r="J59" i="5" s="1"/>
  <c r="K59" i="5" s="1"/>
  <c r="L59" i="5" s="1"/>
  <c r="M59" i="5" s="1"/>
  <c r="N59" i="5" s="1"/>
  <c r="O59" i="5" s="1"/>
  <c r="P59" i="5" s="1"/>
  <c r="Q59" i="5" s="1"/>
  <c r="R59" i="5" s="1"/>
  <c r="S59" i="5" s="1"/>
  <c r="T59" i="5" s="1"/>
  <c r="U59" i="5" s="1"/>
  <c r="V59" i="5" s="1"/>
  <c r="W59" i="5" s="1"/>
  <c r="X59" i="5" s="1"/>
  <c r="Y59" i="5" s="1"/>
  <c r="Z59" i="5" s="1"/>
  <c r="AA59" i="5" s="1"/>
  <c r="AB59" i="5" s="1"/>
  <c r="AC59" i="5" s="1"/>
  <c r="AD59" i="5" s="1"/>
  <c r="AE59" i="5" s="1"/>
  <c r="AF59" i="5" s="1"/>
  <c r="AG59" i="5" s="1"/>
  <c r="AH59" i="5" s="1"/>
  <c r="AI59" i="5" s="1"/>
  <c r="AJ59" i="5" s="1"/>
  <c r="AK59" i="5" s="1"/>
  <c r="AL59" i="5" s="1"/>
  <c r="AM59" i="5" s="1"/>
  <c r="AN59" i="5" s="1"/>
  <c r="AO59" i="5" s="1"/>
  <c r="AP59" i="5" s="1"/>
  <c r="AQ59" i="5" s="1"/>
  <c r="E60" i="5"/>
  <c r="F60" i="5" s="1"/>
  <c r="G60" i="5" s="1"/>
  <c r="H60" i="5" s="1"/>
  <c r="I60" i="5" s="1"/>
  <c r="J60" i="5" s="1"/>
  <c r="K60" i="5" s="1"/>
  <c r="L60" i="5" s="1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AG60" i="5" s="1"/>
  <c r="AH60" i="5" s="1"/>
  <c r="AI60" i="5" s="1"/>
  <c r="AJ60" i="5" s="1"/>
  <c r="AK60" i="5" s="1"/>
  <c r="AL60" i="5" s="1"/>
  <c r="AM60" i="5" s="1"/>
  <c r="AN60" i="5" s="1"/>
  <c r="AO60" i="5" s="1"/>
  <c r="AP60" i="5" s="1"/>
  <c r="AQ60" i="5" s="1"/>
  <c r="E61" i="5"/>
  <c r="F61" i="5" s="1"/>
  <c r="G61" i="5" s="1"/>
  <c r="H61" i="5" s="1"/>
  <c r="I61" i="5" s="1"/>
  <c r="J61" i="5" s="1"/>
  <c r="K61" i="5" s="1"/>
  <c r="L61" i="5" s="1"/>
  <c r="M61" i="5" s="1"/>
  <c r="N61" i="5" s="1"/>
  <c r="O61" i="5" s="1"/>
  <c r="P61" i="5" s="1"/>
  <c r="Q61" i="5" s="1"/>
  <c r="R61" i="5" s="1"/>
  <c r="S61" i="5" s="1"/>
  <c r="T61" i="5" s="1"/>
  <c r="U61" i="5" s="1"/>
  <c r="V61" i="5" s="1"/>
  <c r="W61" i="5" s="1"/>
  <c r="X61" i="5" s="1"/>
  <c r="Y61" i="5" s="1"/>
  <c r="Z61" i="5" s="1"/>
  <c r="AA61" i="5" s="1"/>
  <c r="AB61" i="5" s="1"/>
  <c r="AC61" i="5" s="1"/>
  <c r="AD61" i="5" s="1"/>
  <c r="AE61" i="5" s="1"/>
  <c r="AF61" i="5" s="1"/>
  <c r="AG61" i="5" s="1"/>
  <c r="AH61" i="5" s="1"/>
  <c r="AI61" i="5" s="1"/>
  <c r="AJ61" i="5" s="1"/>
  <c r="AK61" i="5" s="1"/>
  <c r="AL61" i="5" s="1"/>
  <c r="AM61" i="5" s="1"/>
  <c r="AN61" i="5" s="1"/>
  <c r="AO61" i="5" s="1"/>
  <c r="AP61" i="5" s="1"/>
  <c r="AQ61" i="5" s="1"/>
  <c r="E62" i="5"/>
  <c r="F62" i="5" s="1"/>
  <c r="G62" i="5" s="1"/>
  <c r="H62" i="5" s="1"/>
  <c r="I62" i="5" s="1"/>
  <c r="J62" i="5" s="1"/>
  <c r="K62" i="5" s="1"/>
  <c r="L62" i="5" s="1"/>
  <c r="M62" i="5" s="1"/>
  <c r="N62" i="5" s="1"/>
  <c r="O62" i="5" s="1"/>
  <c r="P62" i="5" s="1"/>
  <c r="Q62" i="5" s="1"/>
  <c r="R62" i="5" s="1"/>
  <c r="S62" i="5" s="1"/>
  <c r="T62" i="5" s="1"/>
  <c r="U62" i="5" s="1"/>
  <c r="V62" i="5" s="1"/>
  <c r="W62" i="5" s="1"/>
  <c r="X62" i="5" s="1"/>
  <c r="Y62" i="5" s="1"/>
  <c r="Z62" i="5" s="1"/>
  <c r="AA62" i="5" s="1"/>
  <c r="AB62" i="5" s="1"/>
  <c r="AC62" i="5" s="1"/>
  <c r="AD62" i="5" s="1"/>
  <c r="AE62" i="5" s="1"/>
  <c r="AF62" i="5" s="1"/>
  <c r="AG62" i="5" s="1"/>
  <c r="AH62" i="5" s="1"/>
  <c r="AI62" i="5" s="1"/>
  <c r="AJ62" i="5" s="1"/>
  <c r="AK62" i="5" s="1"/>
  <c r="AL62" i="5" s="1"/>
  <c r="AM62" i="5" s="1"/>
  <c r="AN62" i="5" s="1"/>
  <c r="AO62" i="5" s="1"/>
  <c r="AP62" i="5" s="1"/>
  <c r="AQ62" i="5" s="1"/>
  <c r="E63" i="5"/>
  <c r="F63" i="5" s="1"/>
  <c r="G63" i="5" s="1"/>
  <c r="H63" i="5" s="1"/>
  <c r="I63" i="5" s="1"/>
  <c r="J63" i="5" s="1"/>
  <c r="K63" i="5" s="1"/>
  <c r="L63" i="5" s="1"/>
  <c r="M63" i="5" s="1"/>
  <c r="N63" i="5" s="1"/>
  <c r="O63" i="5" s="1"/>
  <c r="P63" i="5" s="1"/>
  <c r="Q63" i="5" s="1"/>
  <c r="R63" i="5" s="1"/>
  <c r="S63" i="5" s="1"/>
  <c r="T63" i="5" s="1"/>
  <c r="U63" i="5" s="1"/>
  <c r="V63" i="5" s="1"/>
  <c r="W63" i="5" s="1"/>
  <c r="X63" i="5" s="1"/>
  <c r="Y63" i="5" s="1"/>
  <c r="Z63" i="5" s="1"/>
  <c r="AA63" i="5" s="1"/>
  <c r="AB63" i="5" s="1"/>
  <c r="AC63" i="5" s="1"/>
  <c r="AD63" i="5" s="1"/>
  <c r="AE63" i="5" s="1"/>
  <c r="AF63" i="5" s="1"/>
  <c r="AG63" i="5" s="1"/>
  <c r="AH63" i="5" s="1"/>
  <c r="AI63" i="5" s="1"/>
  <c r="AJ63" i="5" s="1"/>
  <c r="AK63" i="5" s="1"/>
  <c r="AL63" i="5" s="1"/>
  <c r="AM63" i="5" s="1"/>
  <c r="AN63" i="5" s="1"/>
  <c r="AO63" i="5" s="1"/>
  <c r="AP63" i="5" s="1"/>
  <c r="AQ63" i="5" s="1"/>
  <c r="E64" i="5"/>
  <c r="F64" i="5" s="1"/>
  <c r="G64" i="5" s="1"/>
  <c r="H64" i="5" s="1"/>
  <c r="I64" i="5" s="1"/>
  <c r="J64" i="5" s="1"/>
  <c r="K64" i="5" s="1"/>
  <c r="L64" i="5" s="1"/>
  <c r="M64" i="5" s="1"/>
  <c r="N64" i="5" s="1"/>
  <c r="O64" i="5" s="1"/>
  <c r="P64" i="5" s="1"/>
  <c r="Q64" i="5" s="1"/>
  <c r="R64" i="5" s="1"/>
  <c r="S64" i="5" s="1"/>
  <c r="T64" i="5" s="1"/>
  <c r="U64" i="5" s="1"/>
  <c r="V64" i="5" s="1"/>
  <c r="W64" i="5" s="1"/>
  <c r="X64" i="5" s="1"/>
  <c r="Y64" i="5" s="1"/>
  <c r="Z64" i="5" s="1"/>
  <c r="AA64" i="5" s="1"/>
  <c r="AB64" i="5" s="1"/>
  <c r="AC64" i="5" s="1"/>
  <c r="AD64" i="5" s="1"/>
  <c r="AE64" i="5" s="1"/>
  <c r="AF64" i="5" s="1"/>
  <c r="AG64" i="5" s="1"/>
  <c r="AH64" i="5" s="1"/>
  <c r="AI64" i="5" s="1"/>
  <c r="AJ64" i="5" s="1"/>
  <c r="AK64" i="5" s="1"/>
  <c r="AL64" i="5" s="1"/>
  <c r="AM64" i="5" s="1"/>
  <c r="AN64" i="5" s="1"/>
  <c r="AO64" i="5" s="1"/>
  <c r="AP64" i="5" s="1"/>
  <c r="AQ64" i="5" s="1"/>
  <c r="E65" i="5"/>
  <c r="F65" i="5" s="1"/>
  <c r="G65" i="5" s="1"/>
  <c r="H65" i="5" s="1"/>
  <c r="I65" i="5" s="1"/>
  <c r="J65" i="5" s="1"/>
  <c r="K65" i="5" s="1"/>
  <c r="L65" i="5" s="1"/>
  <c r="M65" i="5" s="1"/>
  <c r="N65" i="5" s="1"/>
  <c r="O65" i="5" s="1"/>
  <c r="P65" i="5" s="1"/>
  <c r="Q65" i="5" s="1"/>
  <c r="R65" i="5" s="1"/>
  <c r="S65" i="5" s="1"/>
  <c r="T65" i="5" s="1"/>
  <c r="U65" i="5" s="1"/>
  <c r="V65" i="5" s="1"/>
  <c r="W65" i="5" s="1"/>
  <c r="X65" i="5" s="1"/>
  <c r="Y65" i="5" s="1"/>
  <c r="Z65" i="5" s="1"/>
  <c r="AA65" i="5" s="1"/>
  <c r="AB65" i="5" s="1"/>
  <c r="AC65" i="5" s="1"/>
  <c r="AD65" i="5" s="1"/>
  <c r="AE65" i="5" s="1"/>
  <c r="AF65" i="5" s="1"/>
  <c r="AG65" i="5" s="1"/>
  <c r="AH65" i="5" s="1"/>
  <c r="AI65" i="5" s="1"/>
  <c r="AJ65" i="5" s="1"/>
  <c r="AK65" i="5" s="1"/>
  <c r="AL65" i="5" s="1"/>
  <c r="AM65" i="5" s="1"/>
  <c r="AN65" i="5" s="1"/>
  <c r="AO65" i="5" s="1"/>
  <c r="AP65" i="5" s="1"/>
  <c r="AQ65" i="5" s="1"/>
  <c r="E66" i="5"/>
  <c r="F66" i="5" s="1"/>
  <c r="G66" i="5" s="1"/>
  <c r="H66" i="5" s="1"/>
  <c r="I66" i="5" s="1"/>
  <c r="J66" i="5" s="1"/>
  <c r="K66" i="5" s="1"/>
  <c r="L66" i="5" s="1"/>
  <c r="M66" i="5" s="1"/>
  <c r="N66" i="5" s="1"/>
  <c r="O66" i="5" s="1"/>
  <c r="P66" i="5" s="1"/>
  <c r="Q66" i="5" s="1"/>
  <c r="R66" i="5" s="1"/>
  <c r="S66" i="5" s="1"/>
  <c r="T66" i="5" s="1"/>
  <c r="U66" i="5" s="1"/>
  <c r="V66" i="5" s="1"/>
  <c r="W66" i="5" s="1"/>
  <c r="X66" i="5" s="1"/>
  <c r="Y66" i="5" s="1"/>
  <c r="Z66" i="5" s="1"/>
  <c r="AA66" i="5" s="1"/>
  <c r="AB66" i="5" s="1"/>
  <c r="AC66" i="5" s="1"/>
  <c r="AD66" i="5" s="1"/>
  <c r="AE66" i="5" s="1"/>
  <c r="AF66" i="5" s="1"/>
  <c r="AG66" i="5" s="1"/>
  <c r="AH66" i="5" s="1"/>
  <c r="AI66" i="5" s="1"/>
  <c r="AJ66" i="5" s="1"/>
  <c r="AK66" i="5" s="1"/>
  <c r="AL66" i="5" s="1"/>
  <c r="AM66" i="5" s="1"/>
  <c r="AN66" i="5" s="1"/>
  <c r="AO66" i="5" s="1"/>
  <c r="AP66" i="5" s="1"/>
  <c r="AQ66" i="5" s="1"/>
  <c r="E67" i="5"/>
  <c r="F67" i="5" s="1"/>
  <c r="G67" i="5" s="1"/>
  <c r="H67" i="5" s="1"/>
  <c r="I67" i="5" s="1"/>
  <c r="J67" i="5" s="1"/>
  <c r="K67" i="5" s="1"/>
  <c r="L67" i="5" s="1"/>
  <c r="M67" i="5" s="1"/>
  <c r="N67" i="5" s="1"/>
  <c r="O67" i="5" s="1"/>
  <c r="P67" i="5" s="1"/>
  <c r="Q67" i="5" s="1"/>
  <c r="R67" i="5" s="1"/>
  <c r="S67" i="5" s="1"/>
  <c r="T67" i="5" s="1"/>
  <c r="U67" i="5" s="1"/>
  <c r="V67" i="5" s="1"/>
  <c r="W67" i="5" s="1"/>
  <c r="X67" i="5" s="1"/>
  <c r="Y67" i="5" s="1"/>
  <c r="Z67" i="5" s="1"/>
  <c r="AA67" i="5" s="1"/>
  <c r="AB67" i="5" s="1"/>
  <c r="AC67" i="5" s="1"/>
  <c r="AD67" i="5" s="1"/>
  <c r="AE67" i="5" s="1"/>
  <c r="AF67" i="5" s="1"/>
  <c r="AG67" i="5" s="1"/>
  <c r="AH67" i="5" s="1"/>
  <c r="AI67" i="5" s="1"/>
  <c r="AJ67" i="5" s="1"/>
  <c r="AK67" i="5" s="1"/>
  <c r="AL67" i="5" s="1"/>
  <c r="AM67" i="5" s="1"/>
  <c r="AN67" i="5" s="1"/>
  <c r="AO67" i="5" s="1"/>
  <c r="AP67" i="5" s="1"/>
  <c r="AQ67" i="5" s="1"/>
  <c r="E68" i="5"/>
  <c r="F68" i="5" s="1"/>
  <c r="G68" i="5" s="1"/>
  <c r="H68" i="5" s="1"/>
  <c r="I68" i="5" s="1"/>
  <c r="J68" i="5" s="1"/>
  <c r="K68" i="5" s="1"/>
  <c r="L68" i="5" s="1"/>
  <c r="M68" i="5" s="1"/>
  <c r="N68" i="5" s="1"/>
  <c r="O68" i="5" s="1"/>
  <c r="P68" i="5" s="1"/>
  <c r="Q68" i="5" s="1"/>
  <c r="R68" i="5" s="1"/>
  <c r="S68" i="5" s="1"/>
  <c r="T68" i="5" s="1"/>
  <c r="U68" i="5" s="1"/>
  <c r="V68" i="5" s="1"/>
  <c r="W68" i="5" s="1"/>
  <c r="X68" i="5" s="1"/>
  <c r="Y68" i="5" s="1"/>
  <c r="Z68" i="5" s="1"/>
  <c r="AA68" i="5" s="1"/>
  <c r="AB68" i="5" s="1"/>
  <c r="AC68" i="5" s="1"/>
  <c r="AD68" i="5" s="1"/>
  <c r="AE68" i="5" s="1"/>
  <c r="AF68" i="5" s="1"/>
  <c r="AG68" i="5" s="1"/>
  <c r="AH68" i="5" s="1"/>
  <c r="AI68" i="5" s="1"/>
  <c r="AJ68" i="5" s="1"/>
  <c r="AK68" i="5" s="1"/>
  <c r="AL68" i="5" s="1"/>
  <c r="AM68" i="5" s="1"/>
  <c r="AN68" i="5" s="1"/>
  <c r="AO68" i="5" s="1"/>
  <c r="AP68" i="5" s="1"/>
  <c r="AQ68" i="5" s="1"/>
  <c r="E69" i="5"/>
  <c r="F69" i="5" s="1"/>
  <c r="G69" i="5" s="1"/>
  <c r="H69" i="5" s="1"/>
  <c r="I69" i="5" s="1"/>
  <c r="J69" i="5" s="1"/>
  <c r="K69" i="5" s="1"/>
  <c r="L69" i="5" s="1"/>
  <c r="M69" i="5" s="1"/>
  <c r="N69" i="5" s="1"/>
  <c r="O69" i="5" s="1"/>
  <c r="P69" i="5" s="1"/>
  <c r="Q69" i="5" s="1"/>
  <c r="R69" i="5" s="1"/>
  <c r="S69" i="5" s="1"/>
  <c r="T69" i="5" s="1"/>
  <c r="U69" i="5" s="1"/>
  <c r="V69" i="5" s="1"/>
  <c r="W69" i="5" s="1"/>
  <c r="X69" i="5" s="1"/>
  <c r="Y69" i="5" s="1"/>
  <c r="Z69" i="5" s="1"/>
  <c r="AA69" i="5" s="1"/>
  <c r="AB69" i="5" s="1"/>
  <c r="AC69" i="5" s="1"/>
  <c r="AD69" i="5" s="1"/>
  <c r="AE69" i="5" s="1"/>
  <c r="AF69" i="5" s="1"/>
  <c r="AG69" i="5" s="1"/>
  <c r="AH69" i="5" s="1"/>
  <c r="AI69" i="5" s="1"/>
  <c r="AJ69" i="5" s="1"/>
  <c r="AK69" i="5" s="1"/>
  <c r="AL69" i="5" s="1"/>
  <c r="AM69" i="5" s="1"/>
  <c r="AN69" i="5" s="1"/>
  <c r="AO69" i="5" s="1"/>
  <c r="AP69" i="5" s="1"/>
  <c r="AQ69" i="5" s="1"/>
  <c r="E70" i="5"/>
  <c r="F70" i="5" s="1"/>
  <c r="G70" i="5" s="1"/>
  <c r="H70" i="5" s="1"/>
  <c r="I70" i="5" s="1"/>
  <c r="J70" i="5" s="1"/>
  <c r="K70" i="5" s="1"/>
  <c r="L70" i="5" s="1"/>
  <c r="M70" i="5" s="1"/>
  <c r="N70" i="5" s="1"/>
  <c r="O70" i="5" s="1"/>
  <c r="P70" i="5" s="1"/>
  <c r="Q70" i="5" s="1"/>
  <c r="R70" i="5" s="1"/>
  <c r="S70" i="5" s="1"/>
  <c r="T70" i="5" s="1"/>
  <c r="U70" i="5" s="1"/>
  <c r="V70" i="5" s="1"/>
  <c r="W70" i="5" s="1"/>
  <c r="X70" i="5" s="1"/>
  <c r="Y70" i="5" s="1"/>
  <c r="Z70" i="5" s="1"/>
  <c r="AA70" i="5" s="1"/>
  <c r="AB70" i="5" s="1"/>
  <c r="AC70" i="5" s="1"/>
  <c r="AD70" i="5" s="1"/>
  <c r="AE70" i="5" s="1"/>
  <c r="AF70" i="5" s="1"/>
  <c r="AG70" i="5" s="1"/>
  <c r="AH70" i="5" s="1"/>
  <c r="AI70" i="5" s="1"/>
  <c r="AJ70" i="5" s="1"/>
  <c r="AK70" i="5" s="1"/>
  <c r="AL70" i="5" s="1"/>
  <c r="AM70" i="5" s="1"/>
  <c r="AN70" i="5" s="1"/>
  <c r="AO70" i="5" s="1"/>
  <c r="AP70" i="5" s="1"/>
  <c r="AQ70" i="5" s="1"/>
  <c r="E71" i="5"/>
  <c r="F71" i="5" s="1"/>
  <c r="G71" i="5" s="1"/>
  <c r="H71" i="5" s="1"/>
  <c r="I71" i="5" s="1"/>
  <c r="J71" i="5" s="1"/>
  <c r="K71" i="5" s="1"/>
  <c r="L71" i="5" s="1"/>
  <c r="M71" i="5" s="1"/>
  <c r="N71" i="5" s="1"/>
  <c r="O71" i="5" s="1"/>
  <c r="P71" i="5" s="1"/>
  <c r="Q71" i="5" s="1"/>
  <c r="R71" i="5" s="1"/>
  <c r="S71" i="5" s="1"/>
  <c r="T71" i="5" s="1"/>
  <c r="U71" i="5" s="1"/>
  <c r="V71" i="5" s="1"/>
  <c r="W71" i="5" s="1"/>
  <c r="X71" i="5" s="1"/>
  <c r="Y71" i="5" s="1"/>
  <c r="Z71" i="5" s="1"/>
  <c r="AA71" i="5" s="1"/>
  <c r="AB71" i="5" s="1"/>
  <c r="AC71" i="5" s="1"/>
  <c r="AD71" i="5" s="1"/>
  <c r="AE71" i="5" s="1"/>
  <c r="AF71" i="5" s="1"/>
  <c r="AG71" i="5" s="1"/>
  <c r="AH71" i="5" s="1"/>
  <c r="AI71" i="5" s="1"/>
  <c r="AJ71" i="5" s="1"/>
  <c r="AK71" i="5" s="1"/>
  <c r="AL71" i="5" s="1"/>
  <c r="AM71" i="5" s="1"/>
  <c r="AN71" i="5" s="1"/>
  <c r="AO71" i="5" s="1"/>
  <c r="AP71" i="5" s="1"/>
  <c r="AQ71" i="5" s="1"/>
  <c r="E72" i="5"/>
  <c r="F72" i="5" s="1"/>
  <c r="G72" i="5" s="1"/>
  <c r="H72" i="5" s="1"/>
  <c r="I72" i="5" s="1"/>
  <c r="J72" i="5" s="1"/>
  <c r="K72" i="5" s="1"/>
  <c r="L72" i="5" s="1"/>
  <c r="M72" i="5" s="1"/>
  <c r="N72" i="5" s="1"/>
  <c r="O72" i="5" s="1"/>
  <c r="P72" i="5" s="1"/>
  <c r="Q72" i="5" s="1"/>
  <c r="R72" i="5" s="1"/>
  <c r="S72" i="5" s="1"/>
  <c r="T72" i="5" s="1"/>
  <c r="U72" i="5" s="1"/>
  <c r="V72" i="5" s="1"/>
  <c r="W72" i="5" s="1"/>
  <c r="X72" i="5" s="1"/>
  <c r="Y72" i="5" s="1"/>
  <c r="Z72" i="5" s="1"/>
  <c r="AA72" i="5" s="1"/>
  <c r="AB72" i="5" s="1"/>
  <c r="AC72" i="5" s="1"/>
  <c r="AD72" i="5" s="1"/>
  <c r="AE72" i="5" s="1"/>
  <c r="AF72" i="5" s="1"/>
  <c r="AG72" i="5" s="1"/>
  <c r="AH72" i="5" s="1"/>
  <c r="AI72" i="5" s="1"/>
  <c r="AJ72" i="5" s="1"/>
  <c r="AK72" i="5" s="1"/>
  <c r="AL72" i="5" s="1"/>
  <c r="AM72" i="5" s="1"/>
  <c r="AN72" i="5" s="1"/>
  <c r="AO72" i="5" s="1"/>
  <c r="AP72" i="5" s="1"/>
  <c r="AQ72" i="5" s="1"/>
  <c r="E73" i="5"/>
  <c r="F73" i="5" s="1"/>
  <c r="G73" i="5" s="1"/>
  <c r="H73" i="5" s="1"/>
  <c r="I73" i="5" s="1"/>
  <c r="J73" i="5" s="1"/>
  <c r="K73" i="5" s="1"/>
  <c r="L73" i="5" s="1"/>
  <c r="M73" i="5" s="1"/>
  <c r="N73" i="5" s="1"/>
  <c r="O73" i="5" s="1"/>
  <c r="P73" i="5" s="1"/>
  <c r="Q73" i="5" s="1"/>
  <c r="R73" i="5" s="1"/>
  <c r="S73" i="5" s="1"/>
  <c r="T73" i="5" s="1"/>
  <c r="U73" i="5" s="1"/>
  <c r="V73" i="5" s="1"/>
  <c r="W73" i="5" s="1"/>
  <c r="X73" i="5" s="1"/>
  <c r="Y73" i="5" s="1"/>
  <c r="Z73" i="5" s="1"/>
  <c r="AA73" i="5" s="1"/>
  <c r="AB73" i="5" s="1"/>
  <c r="AC73" i="5" s="1"/>
  <c r="AD73" i="5" s="1"/>
  <c r="AE73" i="5" s="1"/>
  <c r="AF73" i="5" s="1"/>
  <c r="AG73" i="5" s="1"/>
  <c r="AH73" i="5" s="1"/>
  <c r="AI73" i="5" s="1"/>
  <c r="AJ73" i="5" s="1"/>
  <c r="AK73" i="5" s="1"/>
  <c r="AL73" i="5" s="1"/>
  <c r="AM73" i="5" s="1"/>
  <c r="AN73" i="5" s="1"/>
  <c r="AO73" i="5" s="1"/>
  <c r="AP73" i="5" s="1"/>
  <c r="AQ73" i="5" s="1"/>
  <c r="E74" i="5"/>
  <c r="F74" i="5" s="1"/>
  <c r="G74" i="5" s="1"/>
  <c r="H74" i="5" s="1"/>
  <c r="I74" i="5" s="1"/>
  <c r="J74" i="5" s="1"/>
  <c r="K74" i="5" s="1"/>
  <c r="L74" i="5" s="1"/>
  <c r="M74" i="5" s="1"/>
  <c r="N74" i="5" s="1"/>
  <c r="O74" i="5" s="1"/>
  <c r="P74" i="5" s="1"/>
  <c r="Q74" i="5" s="1"/>
  <c r="R74" i="5" s="1"/>
  <c r="S74" i="5" s="1"/>
  <c r="T74" i="5" s="1"/>
  <c r="U74" i="5" s="1"/>
  <c r="V74" i="5" s="1"/>
  <c r="W74" i="5" s="1"/>
  <c r="X74" i="5" s="1"/>
  <c r="Y74" i="5" s="1"/>
  <c r="Z74" i="5" s="1"/>
  <c r="AA74" i="5" s="1"/>
  <c r="AB74" i="5" s="1"/>
  <c r="AC74" i="5" s="1"/>
  <c r="AD74" i="5" s="1"/>
  <c r="AE74" i="5" s="1"/>
  <c r="AF74" i="5" s="1"/>
  <c r="AG74" i="5" s="1"/>
  <c r="AH74" i="5" s="1"/>
  <c r="AI74" i="5" s="1"/>
  <c r="AJ74" i="5" s="1"/>
  <c r="AK74" i="5" s="1"/>
  <c r="AL74" i="5" s="1"/>
  <c r="AM74" i="5" s="1"/>
  <c r="AN74" i="5" s="1"/>
  <c r="AO74" i="5" s="1"/>
  <c r="AP74" i="5" s="1"/>
  <c r="AQ74" i="5" s="1"/>
  <c r="E75" i="5"/>
  <c r="F75" i="5" s="1"/>
  <c r="G75" i="5" s="1"/>
  <c r="H75" i="5" s="1"/>
  <c r="I75" i="5" s="1"/>
  <c r="J75" i="5" s="1"/>
  <c r="K75" i="5" s="1"/>
  <c r="L75" i="5" s="1"/>
  <c r="M75" i="5" s="1"/>
  <c r="N75" i="5" s="1"/>
  <c r="O75" i="5" s="1"/>
  <c r="P75" i="5" s="1"/>
  <c r="Q75" i="5" s="1"/>
  <c r="R75" i="5" s="1"/>
  <c r="S75" i="5" s="1"/>
  <c r="T75" i="5" s="1"/>
  <c r="U75" i="5" s="1"/>
  <c r="V75" i="5" s="1"/>
  <c r="W75" i="5" s="1"/>
  <c r="X75" i="5" s="1"/>
  <c r="Y75" i="5" s="1"/>
  <c r="Z75" i="5" s="1"/>
  <c r="AA75" i="5" s="1"/>
  <c r="AB75" i="5" s="1"/>
  <c r="AC75" i="5" s="1"/>
  <c r="AD75" i="5" s="1"/>
  <c r="AE75" i="5" s="1"/>
  <c r="AF75" i="5" s="1"/>
  <c r="AG75" i="5" s="1"/>
  <c r="AH75" i="5" s="1"/>
  <c r="AI75" i="5" s="1"/>
  <c r="AJ75" i="5" s="1"/>
  <c r="AK75" i="5" s="1"/>
  <c r="AL75" i="5" s="1"/>
  <c r="AM75" i="5" s="1"/>
  <c r="AN75" i="5" s="1"/>
  <c r="AO75" i="5" s="1"/>
  <c r="AP75" i="5" s="1"/>
  <c r="AQ75" i="5" s="1"/>
  <c r="E77" i="5"/>
  <c r="F77" i="5" s="1"/>
  <c r="G77" i="5" s="1"/>
  <c r="H77" i="5" s="1"/>
  <c r="I77" i="5" s="1"/>
  <c r="J77" i="5" s="1"/>
  <c r="K77" i="5" s="1"/>
  <c r="L77" i="5" s="1"/>
  <c r="M77" i="5" s="1"/>
  <c r="N77" i="5" s="1"/>
  <c r="O77" i="5" s="1"/>
  <c r="P77" i="5" s="1"/>
  <c r="Q77" i="5" s="1"/>
  <c r="R77" i="5" s="1"/>
  <c r="S77" i="5" s="1"/>
  <c r="T77" i="5" s="1"/>
  <c r="U77" i="5" s="1"/>
  <c r="V77" i="5" s="1"/>
  <c r="W77" i="5" s="1"/>
  <c r="X77" i="5" s="1"/>
  <c r="Y77" i="5" s="1"/>
  <c r="Z77" i="5" s="1"/>
  <c r="AA77" i="5" s="1"/>
  <c r="AB77" i="5" s="1"/>
  <c r="AC77" i="5" s="1"/>
  <c r="AD77" i="5" s="1"/>
  <c r="AE77" i="5" s="1"/>
  <c r="AF77" i="5" s="1"/>
  <c r="AG77" i="5" s="1"/>
  <c r="AH77" i="5" s="1"/>
  <c r="AI77" i="5" s="1"/>
  <c r="AJ77" i="5" s="1"/>
  <c r="AK77" i="5" s="1"/>
  <c r="AL77" i="5" s="1"/>
  <c r="AM77" i="5" s="1"/>
  <c r="AN77" i="5" s="1"/>
  <c r="AO77" i="5" s="1"/>
  <c r="AP77" i="5" s="1"/>
  <c r="AQ77" i="5" s="1"/>
  <c r="E78" i="5"/>
  <c r="F78" i="5" s="1"/>
  <c r="G78" i="5" s="1"/>
  <c r="H78" i="5" s="1"/>
  <c r="I78" i="5" s="1"/>
  <c r="J78" i="5" s="1"/>
  <c r="K78" i="5" s="1"/>
  <c r="L78" i="5" s="1"/>
  <c r="M78" i="5" s="1"/>
  <c r="N78" i="5" s="1"/>
  <c r="O78" i="5" s="1"/>
  <c r="P78" i="5" s="1"/>
  <c r="Q78" i="5" s="1"/>
  <c r="R78" i="5" s="1"/>
  <c r="S78" i="5" s="1"/>
  <c r="T78" i="5" s="1"/>
  <c r="U78" i="5" s="1"/>
  <c r="V78" i="5" s="1"/>
  <c r="W78" i="5" s="1"/>
  <c r="X78" i="5" s="1"/>
  <c r="Y78" i="5" s="1"/>
  <c r="Z78" i="5" s="1"/>
  <c r="AA78" i="5" s="1"/>
  <c r="AB78" i="5" s="1"/>
  <c r="AC78" i="5" s="1"/>
  <c r="AD78" i="5" s="1"/>
  <c r="AE78" i="5" s="1"/>
  <c r="AF78" i="5" s="1"/>
  <c r="AG78" i="5" s="1"/>
  <c r="AH78" i="5" s="1"/>
  <c r="AI78" i="5" s="1"/>
  <c r="AJ78" i="5" s="1"/>
  <c r="AK78" i="5" s="1"/>
  <c r="AL78" i="5" s="1"/>
  <c r="AM78" i="5" s="1"/>
  <c r="AN78" i="5" s="1"/>
  <c r="AO78" i="5" s="1"/>
  <c r="AP78" i="5" s="1"/>
  <c r="AQ78" i="5" s="1"/>
  <c r="E79" i="5"/>
  <c r="F79" i="5" s="1"/>
  <c r="G79" i="5" s="1"/>
  <c r="H79" i="5" s="1"/>
  <c r="I79" i="5" s="1"/>
  <c r="J79" i="5" s="1"/>
  <c r="K79" i="5" s="1"/>
  <c r="L79" i="5" s="1"/>
  <c r="M79" i="5" s="1"/>
  <c r="N79" i="5" s="1"/>
  <c r="O79" i="5" s="1"/>
  <c r="P79" i="5" s="1"/>
  <c r="Q79" i="5" s="1"/>
  <c r="R79" i="5" s="1"/>
  <c r="S79" i="5" s="1"/>
  <c r="T79" i="5" s="1"/>
  <c r="U79" i="5" s="1"/>
  <c r="V79" i="5" s="1"/>
  <c r="W79" i="5" s="1"/>
  <c r="X79" i="5" s="1"/>
  <c r="Y79" i="5" s="1"/>
  <c r="Z79" i="5" s="1"/>
  <c r="AA79" i="5" s="1"/>
  <c r="AB79" i="5" s="1"/>
  <c r="AC79" i="5" s="1"/>
  <c r="AD79" i="5" s="1"/>
  <c r="AE79" i="5" s="1"/>
  <c r="AF79" i="5" s="1"/>
  <c r="AG79" i="5" s="1"/>
  <c r="AH79" i="5" s="1"/>
  <c r="AI79" i="5" s="1"/>
  <c r="AJ79" i="5" s="1"/>
  <c r="AK79" i="5" s="1"/>
  <c r="AL79" i="5" s="1"/>
  <c r="AM79" i="5" s="1"/>
  <c r="AN79" i="5" s="1"/>
  <c r="AO79" i="5" s="1"/>
  <c r="AP79" i="5" s="1"/>
  <c r="AQ79" i="5" s="1"/>
  <c r="E80" i="5"/>
  <c r="F80" i="5" s="1"/>
  <c r="G80" i="5" s="1"/>
  <c r="H80" i="5" s="1"/>
  <c r="I80" i="5" s="1"/>
  <c r="J80" i="5" s="1"/>
  <c r="K80" i="5" s="1"/>
  <c r="L80" i="5" s="1"/>
  <c r="M80" i="5" s="1"/>
  <c r="N80" i="5" s="1"/>
  <c r="O80" i="5" s="1"/>
  <c r="P80" i="5" s="1"/>
  <c r="Q80" i="5" s="1"/>
  <c r="R80" i="5" s="1"/>
  <c r="S80" i="5" s="1"/>
  <c r="T80" i="5" s="1"/>
  <c r="U80" i="5" s="1"/>
  <c r="V80" i="5" s="1"/>
  <c r="W80" i="5" s="1"/>
  <c r="X80" i="5" s="1"/>
  <c r="Y80" i="5" s="1"/>
  <c r="Z80" i="5" s="1"/>
  <c r="AA80" i="5" s="1"/>
  <c r="AB80" i="5" s="1"/>
  <c r="AC80" i="5" s="1"/>
  <c r="AD80" i="5" s="1"/>
  <c r="AE80" i="5" s="1"/>
  <c r="AF80" i="5" s="1"/>
  <c r="AG80" i="5" s="1"/>
  <c r="AH80" i="5" s="1"/>
  <c r="AI80" i="5" s="1"/>
  <c r="AJ80" i="5" s="1"/>
  <c r="AK80" i="5" s="1"/>
  <c r="AL80" i="5" s="1"/>
  <c r="AM80" i="5" s="1"/>
  <c r="AN80" i="5" s="1"/>
  <c r="AO80" i="5" s="1"/>
  <c r="AP80" i="5" s="1"/>
  <c r="AQ80" i="5" s="1"/>
  <c r="E81" i="5"/>
  <c r="F81" i="5" s="1"/>
  <c r="G81" i="5" s="1"/>
  <c r="H81" i="5" s="1"/>
  <c r="I81" i="5" s="1"/>
  <c r="J81" i="5" s="1"/>
  <c r="K81" i="5" s="1"/>
  <c r="L81" i="5" s="1"/>
  <c r="M81" i="5" s="1"/>
  <c r="N81" i="5" s="1"/>
  <c r="O81" i="5" s="1"/>
  <c r="P81" i="5" s="1"/>
  <c r="Q81" i="5" s="1"/>
  <c r="R81" i="5" s="1"/>
  <c r="S81" i="5" s="1"/>
  <c r="T81" i="5" s="1"/>
  <c r="U81" i="5" s="1"/>
  <c r="V81" i="5" s="1"/>
  <c r="W81" i="5" s="1"/>
  <c r="X81" i="5" s="1"/>
  <c r="Y81" i="5" s="1"/>
  <c r="Z81" i="5" s="1"/>
  <c r="AA81" i="5" s="1"/>
  <c r="AB81" i="5" s="1"/>
  <c r="AC81" i="5" s="1"/>
  <c r="AD81" i="5" s="1"/>
  <c r="AE81" i="5" s="1"/>
  <c r="AF81" i="5" s="1"/>
  <c r="AG81" i="5" s="1"/>
  <c r="AH81" i="5" s="1"/>
  <c r="AI81" i="5" s="1"/>
  <c r="AJ81" i="5" s="1"/>
  <c r="AK81" i="5" s="1"/>
  <c r="AL81" i="5" s="1"/>
  <c r="AM81" i="5" s="1"/>
  <c r="AN81" i="5" s="1"/>
  <c r="AO81" i="5" s="1"/>
  <c r="AP81" i="5" s="1"/>
  <c r="AQ81" i="5" s="1"/>
  <c r="E82" i="5"/>
  <c r="F82" i="5" s="1"/>
  <c r="G82" i="5" s="1"/>
  <c r="H82" i="5" s="1"/>
  <c r="I82" i="5" s="1"/>
  <c r="J82" i="5" s="1"/>
  <c r="K82" i="5" s="1"/>
  <c r="L82" i="5" s="1"/>
  <c r="M82" i="5" s="1"/>
  <c r="N82" i="5" s="1"/>
  <c r="O82" i="5" s="1"/>
  <c r="P82" i="5" s="1"/>
  <c r="Q82" i="5" s="1"/>
  <c r="R82" i="5" s="1"/>
  <c r="S82" i="5" s="1"/>
  <c r="T82" i="5" s="1"/>
  <c r="U82" i="5" s="1"/>
  <c r="V82" i="5" s="1"/>
  <c r="W82" i="5" s="1"/>
  <c r="X82" i="5" s="1"/>
  <c r="Y82" i="5" s="1"/>
  <c r="Z82" i="5" s="1"/>
  <c r="AA82" i="5" s="1"/>
  <c r="AB82" i="5" s="1"/>
  <c r="AC82" i="5" s="1"/>
  <c r="AD82" i="5" s="1"/>
  <c r="AE82" i="5" s="1"/>
  <c r="AF82" i="5" s="1"/>
  <c r="AG82" i="5" s="1"/>
  <c r="AH82" i="5" s="1"/>
  <c r="AI82" i="5" s="1"/>
  <c r="AJ82" i="5" s="1"/>
  <c r="AK82" i="5" s="1"/>
  <c r="AL82" i="5" s="1"/>
  <c r="AM82" i="5" s="1"/>
  <c r="AN82" i="5" s="1"/>
  <c r="AO82" i="5" s="1"/>
  <c r="AP82" i="5" s="1"/>
  <c r="AQ82" i="5" s="1"/>
  <c r="E83" i="5"/>
  <c r="F83" i="5" s="1"/>
  <c r="G83" i="5" s="1"/>
  <c r="H83" i="5" s="1"/>
  <c r="I83" i="5" s="1"/>
  <c r="J83" i="5" s="1"/>
  <c r="K83" i="5" s="1"/>
  <c r="L83" i="5" s="1"/>
  <c r="M83" i="5" s="1"/>
  <c r="N83" i="5" s="1"/>
  <c r="O83" i="5" s="1"/>
  <c r="P83" i="5" s="1"/>
  <c r="Q83" i="5" s="1"/>
  <c r="R83" i="5" s="1"/>
  <c r="S83" i="5" s="1"/>
  <c r="T83" i="5" s="1"/>
  <c r="U83" i="5" s="1"/>
  <c r="V83" i="5" s="1"/>
  <c r="W83" i="5" s="1"/>
  <c r="X83" i="5" s="1"/>
  <c r="Y83" i="5" s="1"/>
  <c r="Z83" i="5" s="1"/>
  <c r="AA83" i="5" s="1"/>
  <c r="AB83" i="5" s="1"/>
  <c r="AC83" i="5" s="1"/>
  <c r="AD83" i="5" s="1"/>
  <c r="AE83" i="5" s="1"/>
  <c r="AF83" i="5" s="1"/>
  <c r="AG83" i="5" s="1"/>
  <c r="AH83" i="5" s="1"/>
  <c r="AI83" i="5" s="1"/>
  <c r="AJ83" i="5" s="1"/>
  <c r="AK83" i="5" s="1"/>
  <c r="AL83" i="5" s="1"/>
  <c r="AM83" i="5" s="1"/>
  <c r="AN83" i="5" s="1"/>
  <c r="AO83" i="5" s="1"/>
  <c r="AP83" i="5" s="1"/>
  <c r="AQ83" i="5" s="1"/>
  <c r="E84" i="5"/>
  <c r="F84" i="5" s="1"/>
  <c r="G84" i="5" s="1"/>
  <c r="H84" i="5" s="1"/>
  <c r="I84" i="5" s="1"/>
  <c r="J84" i="5" s="1"/>
  <c r="K84" i="5" s="1"/>
  <c r="L84" i="5" s="1"/>
  <c r="M84" i="5" s="1"/>
  <c r="N84" i="5" s="1"/>
  <c r="O84" i="5" s="1"/>
  <c r="P84" i="5" s="1"/>
  <c r="Q84" i="5" s="1"/>
  <c r="R84" i="5" s="1"/>
  <c r="S84" i="5" s="1"/>
  <c r="T84" i="5" s="1"/>
  <c r="U84" i="5" s="1"/>
  <c r="V84" i="5" s="1"/>
  <c r="W84" i="5" s="1"/>
  <c r="X84" i="5" s="1"/>
  <c r="Y84" i="5" s="1"/>
  <c r="Z84" i="5" s="1"/>
  <c r="AA84" i="5" s="1"/>
  <c r="AB84" i="5" s="1"/>
  <c r="AC84" i="5" s="1"/>
  <c r="AD84" i="5" s="1"/>
  <c r="AE84" i="5" s="1"/>
  <c r="AF84" i="5" s="1"/>
  <c r="AG84" i="5" s="1"/>
  <c r="AH84" i="5" s="1"/>
  <c r="AI84" i="5" s="1"/>
  <c r="AJ84" i="5" s="1"/>
  <c r="AK84" i="5" s="1"/>
  <c r="AL84" i="5" s="1"/>
  <c r="AM84" i="5" s="1"/>
  <c r="AN84" i="5" s="1"/>
  <c r="AO84" i="5" s="1"/>
  <c r="AP84" i="5" s="1"/>
  <c r="AQ84" i="5" s="1"/>
  <c r="E85" i="5"/>
  <c r="F85" i="5" s="1"/>
  <c r="G85" i="5" s="1"/>
  <c r="H85" i="5" s="1"/>
  <c r="I85" i="5" s="1"/>
  <c r="J85" i="5" s="1"/>
  <c r="K85" i="5" s="1"/>
  <c r="L85" i="5" s="1"/>
  <c r="M85" i="5" s="1"/>
  <c r="N85" i="5" s="1"/>
  <c r="O85" i="5" s="1"/>
  <c r="P85" i="5" s="1"/>
  <c r="Q85" i="5" s="1"/>
  <c r="R85" i="5" s="1"/>
  <c r="S85" i="5" s="1"/>
  <c r="T85" i="5" s="1"/>
  <c r="U85" i="5" s="1"/>
  <c r="V85" i="5" s="1"/>
  <c r="W85" i="5" s="1"/>
  <c r="X85" i="5" s="1"/>
  <c r="Y85" i="5" s="1"/>
  <c r="Z85" i="5" s="1"/>
  <c r="AA85" i="5" s="1"/>
  <c r="AB85" i="5" s="1"/>
  <c r="AC85" i="5" s="1"/>
  <c r="AD85" i="5" s="1"/>
  <c r="AE85" i="5" s="1"/>
  <c r="AF85" i="5" s="1"/>
  <c r="AG85" i="5" s="1"/>
  <c r="AH85" i="5" s="1"/>
  <c r="AI85" i="5" s="1"/>
  <c r="AJ85" i="5" s="1"/>
  <c r="AK85" i="5" s="1"/>
  <c r="AL85" i="5" s="1"/>
  <c r="AM85" i="5" s="1"/>
  <c r="AN85" i="5" s="1"/>
  <c r="AO85" i="5" s="1"/>
  <c r="AP85" i="5" s="1"/>
  <c r="AQ85" i="5" s="1"/>
  <c r="E86" i="5"/>
  <c r="F86" i="5" s="1"/>
  <c r="G86" i="5" s="1"/>
  <c r="H86" i="5" s="1"/>
  <c r="I86" i="5" s="1"/>
  <c r="J86" i="5" s="1"/>
  <c r="K86" i="5" s="1"/>
  <c r="L86" i="5" s="1"/>
  <c r="M86" i="5" s="1"/>
  <c r="N86" i="5" s="1"/>
  <c r="O86" i="5" s="1"/>
  <c r="P86" i="5" s="1"/>
  <c r="Q86" i="5" s="1"/>
  <c r="R86" i="5" s="1"/>
  <c r="S86" i="5" s="1"/>
  <c r="T86" i="5" s="1"/>
  <c r="U86" i="5" s="1"/>
  <c r="V86" i="5" s="1"/>
  <c r="W86" i="5" s="1"/>
  <c r="X86" i="5" s="1"/>
  <c r="Y86" i="5" s="1"/>
  <c r="Z86" i="5" s="1"/>
  <c r="AA86" i="5" s="1"/>
  <c r="AB86" i="5" s="1"/>
  <c r="AC86" i="5" s="1"/>
  <c r="AD86" i="5" s="1"/>
  <c r="AE86" i="5" s="1"/>
  <c r="AF86" i="5" s="1"/>
  <c r="AG86" i="5" s="1"/>
  <c r="AH86" i="5" s="1"/>
  <c r="AI86" i="5" s="1"/>
  <c r="AJ86" i="5" s="1"/>
  <c r="AK86" i="5" s="1"/>
  <c r="AL86" i="5" s="1"/>
  <c r="AM86" i="5" s="1"/>
  <c r="AN86" i="5" s="1"/>
  <c r="AO86" i="5" s="1"/>
  <c r="AP86" i="5" s="1"/>
  <c r="AQ86" i="5" s="1"/>
  <c r="E45" i="5"/>
  <c r="F45" i="5" s="1"/>
  <c r="G45" i="5" s="1"/>
  <c r="H45" i="5" s="1"/>
  <c r="I45" i="5" s="1"/>
  <c r="J45" i="5" s="1"/>
  <c r="K45" i="5" s="1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AB45" i="5" s="1"/>
  <c r="AC45" i="5" s="1"/>
  <c r="AD45" i="5" s="1"/>
  <c r="AE45" i="5" s="1"/>
  <c r="AF45" i="5" s="1"/>
  <c r="AG45" i="5" s="1"/>
  <c r="AH45" i="5" s="1"/>
  <c r="AI45" i="5" s="1"/>
  <c r="AJ45" i="5" s="1"/>
  <c r="AK45" i="5" s="1"/>
  <c r="AL45" i="5" s="1"/>
  <c r="AM45" i="5" s="1"/>
  <c r="AN45" i="5" s="1"/>
  <c r="AO45" i="5" s="1"/>
  <c r="AP45" i="5" s="1"/>
  <c r="AQ45" i="5" s="1"/>
  <c r="E19" i="5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E20" i="5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E21" i="5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E22" i="5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E23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E25" i="5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E26" i="5"/>
  <c r="F26" i="5" s="1"/>
  <c r="G26" i="5" s="1"/>
  <c r="H26" i="5" s="1"/>
  <c r="I26" i="5" s="1"/>
  <c r="J26" i="5" s="1"/>
  <c r="K26" i="5" s="1"/>
  <c r="L26" i="5" s="1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AG26" i="5" s="1"/>
  <c r="AH26" i="5" s="1"/>
  <c r="AI26" i="5" s="1"/>
  <c r="AJ26" i="5" s="1"/>
  <c r="AK26" i="5" s="1"/>
  <c r="AL26" i="5" s="1"/>
  <c r="AM26" i="5" s="1"/>
  <c r="AN26" i="5" s="1"/>
  <c r="AO26" i="5" s="1"/>
  <c r="AP26" i="5" s="1"/>
  <c r="AQ26" i="5" s="1"/>
  <c r="E27" i="5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AG27" i="5" s="1"/>
  <c r="AH27" i="5" s="1"/>
  <c r="AI27" i="5" s="1"/>
  <c r="AJ27" i="5" s="1"/>
  <c r="AK27" i="5" s="1"/>
  <c r="AL27" i="5" s="1"/>
  <c r="AM27" i="5" s="1"/>
  <c r="AN27" i="5" s="1"/>
  <c r="AO27" i="5" s="1"/>
  <c r="AP27" i="5" s="1"/>
  <c r="AQ27" i="5" s="1"/>
  <c r="E28" i="5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AK28" i="5" s="1"/>
  <c r="AL28" i="5" s="1"/>
  <c r="AM28" i="5" s="1"/>
  <c r="AN28" i="5" s="1"/>
  <c r="AO28" i="5" s="1"/>
  <c r="AP28" i="5" s="1"/>
  <c r="AQ28" i="5" s="1"/>
  <c r="E29" i="5"/>
  <c r="F29" i="5" s="1"/>
  <c r="G29" i="5" s="1"/>
  <c r="H29" i="5" s="1"/>
  <c r="I29" i="5" s="1"/>
  <c r="J29" i="5" s="1"/>
  <c r="K29" i="5" s="1"/>
  <c r="L29" i="5" s="1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AG29" i="5" s="1"/>
  <c r="AH29" i="5" s="1"/>
  <c r="AI29" i="5" s="1"/>
  <c r="AJ29" i="5" s="1"/>
  <c r="AK29" i="5" s="1"/>
  <c r="AL29" i="5" s="1"/>
  <c r="AM29" i="5" s="1"/>
  <c r="AN29" i="5" s="1"/>
  <c r="AO29" i="5" s="1"/>
  <c r="AP29" i="5" s="1"/>
  <c r="AQ29" i="5" s="1"/>
  <c r="E30" i="5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AG30" i="5" s="1"/>
  <c r="AH30" i="5" s="1"/>
  <c r="AI30" i="5" s="1"/>
  <c r="AJ30" i="5" s="1"/>
  <c r="AK30" i="5" s="1"/>
  <c r="AL30" i="5" s="1"/>
  <c r="AM30" i="5" s="1"/>
  <c r="AN30" i="5" s="1"/>
  <c r="AO30" i="5" s="1"/>
  <c r="AP30" i="5" s="1"/>
  <c r="AQ30" i="5" s="1"/>
  <c r="E31" i="5"/>
  <c r="F31" i="5" s="1"/>
  <c r="G31" i="5" s="1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AG31" i="5" s="1"/>
  <c r="AH31" i="5" s="1"/>
  <c r="AI31" i="5" s="1"/>
  <c r="AJ31" i="5" s="1"/>
  <c r="AK31" i="5" s="1"/>
  <c r="AL31" i="5" s="1"/>
  <c r="AM31" i="5" s="1"/>
  <c r="AN31" i="5" s="1"/>
  <c r="AO31" i="5" s="1"/>
  <c r="AP31" i="5" s="1"/>
  <c r="AQ31" i="5" s="1"/>
  <c r="E32" i="5"/>
  <c r="F32" i="5" s="1"/>
  <c r="G32" i="5" s="1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AG32" i="5" s="1"/>
  <c r="AH32" i="5" s="1"/>
  <c r="AI32" i="5" s="1"/>
  <c r="AJ32" i="5" s="1"/>
  <c r="AK32" i="5" s="1"/>
  <c r="AL32" i="5" s="1"/>
  <c r="AM32" i="5" s="1"/>
  <c r="AN32" i="5" s="1"/>
  <c r="AO32" i="5" s="1"/>
  <c r="AP32" i="5" s="1"/>
  <c r="AQ32" i="5" s="1"/>
  <c r="E33" i="5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AF33" i="5" s="1"/>
  <c r="AG33" i="5" s="1"/>
  <c r="AH33" i="5" s="1"/>
  <c r="AI33" i="5" s="1"/>
  <c r="AJ33" i="5" s="1"/>
  <c r="AK33" i="5" s="1"/>
  <c r="AL33" i="5" s="1"/>
  <c r="AM33" i="5" s="1"/>
  <c r="AN33" i="5" s="1"/>
  <c r="AO33" i="5" s="1"/>
  <c r="AP33" i="5" s="1"/>
  <c r="AQ33" i="5" s="1"/>
  <c r="E34" i="5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E35" i="5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AG35" i="5" s="1"/>
  <c r="AH35" i="5" s="1"/>
  <c r="AI35" i="5" s="1"/>
  <c r="AJ35" i="5" s="1"/>
  <c r="AK35" i="5" s="1"/>
  <c r="AL35" i="5" s="1"/>
  <c r="AM35" i="5" s="1"/>
  <c r="AN35" i="5" s="1"/>
  <c r="AO35" i="5" s="1"/>
  <c r="AP35" i="5" s="1"/>
  <c r="AQ35" i="5" s="1"/>
  <c r="E36" i="5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AG36" i="5" s="1"/>
  <c r="AH36" i="5" s="1"/>
  <c r="AI36" i="5" s="1"/>
  <c r="AJ36" i="5" s="1"/>
  <c r="AK36" i="5" s="1"/>
  <c r="AL36" i="5" s="1"/>
  <c r="AM36" i="5" s="1"/>
  <c r="AN36" i="5" s="1"/>
  <c r="AO36" i="5" s="1"/>
  <c r="AP36" i="5" s="1"/>
  <c r="AQ36" i="5" s="1"/>
  <c r="E37" i="5"/>
  <c r="F37" i="5" s="1"/>
  <c r="G37" i="5" s="1"/>
  <c r="H37" i="5" s="1"/>
  <c r="I37" i="5" s="1"/>
  <c r="J37" i="5" s="1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AG37" i="5" s="1"/>
  <c r="AH37" i="5" s="1"/>
  <c r="AI37" i="5" s="1"/>
  <c r="AJ37" i="5" s="1"/>
  <c r="AK37" i="5" s="1"/>
  <c r="AL37" i="5" s="1"/>
  <c r="AM37" i="5" s="1"/>
  <c r="AN37" i="5" s="1"/>
  <c r="AO37" i="5" s="1"/>
  <c r="AP37" i="5" s="1"/>
  <c r="AQ37" i="5" s="1"/>
  <c r="E38" i="5"/>
  <c r="F38" i="5" s="1"/>
  <c r="G38" i="5" s="1"/>
  <c r="H38" i="5" s="1"/>
  <c r="I38" i="5" s="1"/>
  <c r="J38" i="5" s="1"/>
  <c r="K38" i="5" s="1"/>
  <c r="L38" i="5" s="1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AQ38" i="5" s="1"/>
  <c r="E39" i="5"/>
  <c r="F39" i="5" s="1"/>
  <c r="G39" i="5" s="1"/>
  <c r="H39" i="5" s="1"/>
  <c r="I39" i="5" s="1"/>
  <c r="J39" i="5" s="1"/>
  <c r="K39" i="5" s="1"/>
  <c r="L39" i="5" s="1"/>
  <c r="M39" i="5" s="1"/>
  <c r="N39" i="5" s="1"/>
  <c r="O39" i="5" s="1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AG39" i="5" s="1"/>
  <c r="AH39" i="5" s="1"/>
  <c r="AI39" i="5" s="1"/>
  <c r="AJ39" i="5" s="1"/>
  <c r="AK39" i="5" s="1"/>
  <c r="AL39" i="5" s="1"/>
  <c r="AM39" i="5" s="1"/>
  <c r="AN39" i="5" s="1"/>
  <c r="AO39" i="5" s="1"/>
  <c r="AP39" i="5" s="1"/>
  <c r="AQ39" i="5" s="1"/>
  <c r="E40" i="5"/>
  <c r="F40" i="5" s="1"/>
  <c r="G40" i="5" s="1"/>
  <c r="H40" i="5" s="1"/>
  <c r="I40" i="5" s="1"/>
  <c r="J40" i="5" s="1"/>
  <c r="K40" i="5" s="1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AG40" i="5" s="1"/>
  <c r="AH40" i="5" s="1"/>
  <c r="AI40" i="5" s="1"/>
  <c r="AJ40" i="5" s="1"/>
  <c r="AK40" i="5" s="1"/>
  <c r="AL40" i="5" s="1"/>
  <c r="AM40" i="5" s="1"/>
  <c r="AN40" i="5" s="1"/>
  <c r="AO40" i="5" s="1"/>
  <c r="AP40" i="5" s="1"/>
  <c r="AQ40" i="5" s="1"/>
  <c r="E41" i="5"/>
  <c r="F41" i="5" s="1"/>
  <c r="G41" i="5" s="1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AC41" i="5" s="1"/>
  <c r="AD41" i="5" s="1"/>
  <c r="AE41" i="5" s="1"/>
  <c r="AF41" i="5" s="1"/>
  <c r="AG41" i="5" s="1"/>
  <c r="AH41" i="5" s="1"/>
  <c r="AI41" i="5" s="1"/>
  <c r="AJ41" i="5" s="1"/>
  <c r="AK41" i="5" s="1"/>
  <c r="AL41" i="5" s="1"/>
  <c r="AM41" i="5" s="1"/>
  <c r="AN41" i="5" s="1"/>
  <c r="AO41" i="5" s="1"/>
  <c r="AP41" i="5" s="1"/>
  <c r="AQ41" i="5" s="1"/>
  <c r="E42" i="5"/>
  <c r="F42" i="5" s="1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AG42" i="5" s="1"/>
  <c r="AH42" i="5" s="1"/>
  <c r="AI42" i="5" s="1"/>
  <c r="AJ42" i="5" s="1"/>
  <c r="AK42" i="5" s="1"/>
  <c r="AL42" i="5" s="1"/>
  <c r="AM42" i="5" s="1"/>
  <c r="AN42" i="5" s="1"/>
  <c r="AO42" i="5" s="1"/>
  <c r="AP42" i="5" s="1"/>
  <c r="AQ42" i="5" s="1"/>
  <c r="E43" i="5"/>
  <c r="F43" i="5" s="1"/>
  <c r="G43" i="5" s="1"/>
  <c r="H43" i="5" s="1"/>
  <c r="I43" i="5" s="1"/>
  <c r="J43" i="5" s="1"/>
  <c r="K43" i="5" s="1"/>
  <c r="L43" i="5" s="1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AM43" i="5" s="1"/>
  <c r="AN43" i="5" s="1"/>
  <c r="AO43" i="5" s="1"/>
  <c r="AP43" i="5" s="1"/>
  <c r="AQ43" i="5" s="1"/>
  <c r="E44" i="5"/>
  <c r="F44" i="5" s="1"/>
  <c r="G44" i="5" s="1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AM44" i="5" s="1"/>
  <c r="AN44" i="5" s="1"/>
  <c r="AO44" i="5" s="1"/>
  <c r="AP44" i="5" s="1"/>
  <c r="AQ44" i="5" s="1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E9" i="5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E10" i="5"/>
  <c r="F10" i="5" s="1"/>
  <c r="G10" i="5" s="1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AG10" i="5" s="1"/>
  <c r="AH10" i="5" s="1"/>
  <c r="AI10" i="5" s="1"/>
  <c r="AJ10" i="5" s="1"/>
  <c r="AK10" i="5" s="1"/>
  <c r="AL10" i="5" s="1"/>
  <c r="AM10" i="5" s="1"/>
  <c r="AN10" i="5" s="1"/>
  <c r="AO10" i="5" s="1"/>
  <c r="AP10" i="5" s="1"/>
  <c r="AQ10" i="5" s="1"/>
  <c r="E11" i="5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AG11" i="5" s="1"/>
  <c r="AH11" i="5" s="1"/>
  <c r="AI11" i="5" s="1"/>
  <c r="AJ11" i="5" s="1"/>
  <c r="AK11" i="5" s="1"/>
  <c r="AL11" i="5" s="1"/>
  <c r="AM11" i="5" s="1"/>
  <c r="AN11" i="5" s="1"/>
  <c r="AO11" i="5" s="1"/>
  <c r="AP11" i="5" s="1"/>
  <c r="AQ11" i="5" s="1"/>
  <c r="E12" i="5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E13" i="5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E14" i="5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E17" i="5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E8" i="5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AG8" i="5" s="1"/>
  <c r="AH8" i="5" s="1"/>
  <c r="AI8" i="5" s="1"/>
  <c r="AJ8" i="5" s="1"/>
  <c r="AK8" i="5" s="1"/>
  <c r="AL8" i="5" s="1"/>
  <c r="AM8" i="5" s="1"/>
  <c r="AN8" i="5" s="1"/>
  <c r="AO8" i="5" s="1"/>
  <c r="AP8" i="5" s="1"/>
  <c r="AQ8" i="5" s="1"/>
  <c r="F8" i="2"/>
  <c r="E5" i="5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AM5" i="5" s="1"/>
  <c r="AN5" i="5" s="1"/>
  <c r="AO5" i="5" s="1"/>
  <c r="AP5" i="5" s="1"/>
  <c r="AQ5" i="5" s="1"/>
  <c r="E6" i="5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E7" i="5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E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F126" i="2"/>
  <c r="G126" i="2" s="1"/>
  <c r="H126" i="2" s="1"/>
  <c r="I126" i="2" s="1"/>
  <c r="J126" i="2" s="1"/>
  <c r="K126" i="2" s="1"/>
  <c r="L126" i="2" s="1"/>
  <c r="M126" i="2" s="1"/>
  <c r="N126" i="2" s="1"/>
  <c r="O126" i="2" s="1"/>
  <c r="P126" i="2" s="1"/>
  <c r="Q126" i="2" s="1"/>
  <c r="R126" i="2" s="1"/>
  <c r="S126" i="2" s="1"/>
  <c r="T126" i="2" s="1"/>
  <c r="U126" i="2" s="1"/>
  <c r="V126" i="2" s="1"/>
  <c r="W126" i="2" s="1"/>
  <c r="X126" i="2" s="1"/>
  <c r="Y126" i="2" s="1"/>
  <c r="Z126" i="2" s="1"/>
  <c r="AA126" i="2" s="1"/>
  <c r="AB126" i="2" s="1"/>
  <c r="AC126" i="2" s="1"/>
  <c r="AD126" i="2" s="1"/>
  <c r="AE126" i="2" s="1"/>
  <c r="AF126" i="2" s="1"/>
  <c r="AG126" i="2" s="1"/>
  <c r="AH126" i="2" s="1"/>
  <c r="AI126" i="2" s="1"/>
  <c r="AJ126" i="2" s="1"/>
  <c r="AK126" i="2" s="1"/>
  <c r="AL126" i="2" s="1"/>
  <c r="AM126" i="2" s="1"/>
  <c r="AN126" i="2" s="1"/>
  <c r="AO126" i="2" s="1"/>
  <c r="AP126" i="2" s="1"/>
  <c r="AQ126" i="2" s="1"/>
  <c r="AR126" i="2" s="1"/>
  <c r="F127" i="2"/>
  <c r="G127" i="2" s="1"/>
  <c r="H127" i="2" s="1"/>
  <c r="I127" i="2" s="1"/>
  <c r="J127" i="2" s="1"/>
  <c r="K127" i="2" s="1"/>
  <c r="L127" i="2" s="1"/>
  <c r="M127" i="2" s="1"/>
  <c r="N127" i="2" s="1"/>
  <c r="O127" i="2" s="1"/>
  <c r="P127" i="2" s="1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AA127" i="2" s="1"/>
  <c r="AB127" i="2" s="1"/>
  <c r="AC127" i="2" s="1"/>
  <c r="AD127" i="2" s="1"/>
  <c r="AE127" i="2" s="1"/>
  <c r="AF127" i="2" s="1"/>
  <c r="AG127" i="2" s="1"/>
  <c r="AH127" i="2" s="1"/>
  <c r="AI127" i="2" s="1"/>
  <c r="AJ127" i="2" s="1"/>
  <c r="AK127" i="2" s="1"/>
  <c r="AL127" i="2" s="1"/>
  <c r="AM127" i="2" s="1"/>
  <c r="AN127" i="2" s="1"/>
  <c r="AO127" i="2" s="1"/>
  <c r="AP127" i="2" s="1"/>
  <c r="AQ127" i="2" s="1"/>
  <c r="AR127" i="2" s="1"/>
  <c r="F128" i="2"/>
  <c r="G128" i="2" s="1"/>
  <c r="H128" i="2" s="1"/>
  <c r="I128" i="2" s="1"/>
  <c r="J128" i="2" s="1"/>
  <c r="K128" i="2" s="1"/>
  <c r="L128" i="2" s="1"/>
  <c r="M128" i="2" s="1"/>
  <c r="N128" i="2" s="1"/>
  <c r="O128" i="2" s="1"/>
  <c r="P128" i="2" s="1"/>
  <c r="Q128" i="2" s="1"/>
  <c r="R128" i="2" s="1"/>
  <c r="S128" i="2" s="1"/>
  <c r="T128" i="2" s="1"/>
  <c r="U128" i="2" s="1"/>
  <c r="V128" i="2" s="1"/>
  <c r="W128" i="2" s="1"/>
  <c r="X128" i="2" s="1"/>
  <c r="Y128" i="2" s="1"/>
  <c r="Z128" i="2" s="1"/>
  <c r="AA128" i="2" s="1"/>
  <c r="AB128" i="2" s="1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M128" i="2" s="1"/>
  <c r="AN128" i="2" s="1"/>
  <c r="AO128" i="2" s="1"/>
  <c r="AP128" i="2" s="1"/>
  <c r="AQ128" i="2" s="1"/>
  <c r="AR128" i="2" s="1"/>
  <c r="F129" i="2"/>
  <c r="G129" i="2" s="1"/>
  <c r="H129" i="2" s="1"/>
  <c r="I129" i="2" s="1"/>
  <c r="J129" i="2" s="1"/>
  <c r="K129" i="2" s="1"/>
  <c r="L129" i="2" s="1"/>
  <c r="M129" i="2" s="1"/>
  <c r="N129" i="2" s="1"/>
  <c r="O129" i="2" s="1"/>
  <c r="P129" i="2" s="1"/>
  <c r="Q129" i="2" s="1"/>
  <c r="R129" i="2" s="1"/>
  <c r="S129" i="2" s="1"/>
  <c r="T129" i="2" s="1"/>
  <c r="U129" i="2" s="1"/>
  <c r="V129" i="2" s="1"/>
  <c r="W129" i="2" s="1"/>
  <c r="X129" i="2" s="1"/>
  <c r="Y129" i="2" s="1"/>
  <c r="Z129" i="2" s="1"/>
  <c r="AA129" i="2" s="1"/>
  <c r="AB129" i="2" s="1"/>
  <c r="AC129" i="2" s="1"/>
  <c r="AD129" i="2" s="1"/>
  <c r="AE129" i="2" s="1"/>
  <c r="AF129" i="2" s="1"/>
  <c r="AG129" i="2" s="1"/>
  <c r="AH129" i="2" s="1"/>
  <c r="AI129" i="2" s="1"/>
  <c r="AJ129" i="2" s="1"/>
  <c r="AK129" i="2" s="1"/>
  <c r="AL129" i="2" s="1"/>
  <c r="AM129" i="2" s="1"/>
  <c r="AN129" i="2" s="1"/>
  <c r="AO129" i="2" s="1"/>
  <c r="AP129" i="2" s="1"/>
  <c r="AQ129" i="2" s="1"/>
  <c r="AR129" i="2" s="1"/>
  <c r="F125" i="2"/>
  <c r="G125" i="2" s="1"/>
  <c r="H125" i="2" s="1"/>
  <c r="I125" i="2" s="1"/>
  <c r="J125" i="2" s="1"/>
  <c r="K125" i="2" s="1"/>
  <c r="L125" i="2" s="1"/>
  <c r="M125" i="2" s="1"/>
  <c r="N125" i="2" s="1"/>
  <c r="O125" i="2" s="1"/>
  <c r="P125" i="2" s="1"/>
  <c r="Q125" i="2" s="1"/>
  <c r="R125" i="2" s="1"/>
  <c r="S125" i="2" s="1"/>
  <c r="T125" i="2" s="1"/>
  <c r="U125" i="2" s="1"/>
  <c r="V125" i="2" s="1"/>
  <c r="W125" i="2" s="1"/>
  <c r="X125" i="2" s="1"/>
  <c r="Y125" i="2" s="1"/>
  <c r="Z125" i="2" s="1"/>
  <c r="AA125" i="2" s="1"/>
  <c r="AB125" i="2" s="1"/>
  <c r="AC125" i="2" s="1"/>
  <c r="AD125" i="2" s="1"/>
  <c r="AE125" i="2" s="1"/>
  <c r="AF125" i="2" s="1"/>
  <c r="AG125" i="2" s="1"/>
  <c r="AH125" i="2" s="1"/>
  <c r="AI125" i="2" s="1"/>
  <c r="AJ125" i="2" s="1"/>
  <c r="AK125" i="2" s="1"/>
  <c r="AL125" i="2" s="1"/>
  <c r="AM125" i="2" s="1"/>
  <c r="AN125" i="2" s="1"/>
  <c r="AO125" i="2" s="1"/>
  <c r="AP125" i="2" s="1"/>
  <c r="AQ125" i="2" s="1"/>
  <c r="AR125" i="2" s="1"/>
  <c r="F105" i="2"/>
  <c r="G105" i="2" s="1"/>
  <c r="H105" i="2" s="1"/>
  <c r="I105" i="2" s="1"/>
  <c r="J105" i="2" s="1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AA105" i="2" s="1"/>
  <c r="AB105" i="2" s="1"/>
  <c r="AC105" i="2" s="1"/>
  <c r="AD105" i="2" s="1"/>
  <c r="AE105" i="2" s="1"/>
  <c r="AF105" i="2" s="1"/>
  <c r="AG105" i="2" s="1"/>
  <c r="AH105" i="2" s="1"/>
  <c r="AI105" i="2" s="1"/>
  <c r="AJ105" i="2" s="1"/>
  <c r="AK105" i="2" s="1"/>
  <c r="AL105" i="2" s="1"/>
  <c r="AM105" i="2" s="1"/>
  <c r="AN105" i="2" s="1"/>
  <c r="AO105" i="2" s="1"/>
  <c r="AP105" i="2" s="1"/>
  <c r="AQ105" i="2" s="1"/>
  <c r="AR105" i="2" s="1"/>
  <c r="F106" i="2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AF106" i="2" s="1"/>
  <c r="AG106" i="2" s="1"/>
  <c r="AH106" i="2" s="1"/>
  <c r="AI106" i="2" s="1"/>
  <c r="AJ106" i="2" s="1"/>
  <c r="AK106" i="2" s="1"/>
  <c r="AL106" i="2" s="1"/>
  <c r="AM106" i="2" s="1"/>
  <c r="AN106" i="2" s="1"/>
  <c r="AO106" i="2" s="1"/>
  <c r="AP106" i="2" s="1"/>
  <c r="AQ106" i="2" s="1"/>
  <c r="AR106" i="2" s="1"/>
  <c r="F107" i="2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AA107" i="2" s="1"/>
  <c r="AB107" i="2" s="1"/>
  <c r="AC107" i="2" s="1"/>
  <c r="AD107" i="2" s="1"/>
  <c r="AE107" i="2" s="1"/>
  <c r="AF107" i="2" s="1"/>
  <c r="AG107" i="2" s="1"/>
  <c r="AH107" i="2" s="1"/>
  <c r="AI107" i="2" s="1"/>
  <c r="AJ107" i="2" s="1"/>
  <c r="AK107" i="2" s="1"/>
  <c r="AL107" i="2" s="1"/>
  <c r="AM107" i="2" s="1"/>
  <c r="AN107" i="2" s="1"/>
  <c r="AO107" i="2" s="1"/>
  <c r="AP107" i="2" s="1"/>
  <c r="AQ107" i="2" s="1"/>
  <c r="AR107" i="2" s="1"/>
  <c r="F108" i="2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Q108" i="2" s="1"/>
  <c r="R108" i="2" s="1"/>
  <c r="S108" i="2" s="1"/>
  <c r="T108" i="2" s="1"/>
  <c r="U108" i="2" s="1"/>
  <c r="V108" i="2" s="1"/>
  <c r="W108" i="2" s="1"/>
  <c r="X108" i="2" s="1"/>
  <c r="Y108" i="2" s="1"/>
  <c r="Z108" i="2" s="1"/>
  <c r="AA108" i="2" s="1"/>
  <c r="AB108" i="2" s="1"/>
  <c r="AC108" i="2" s="1"/>
  <c r="AD108" i="2" s="1"/>
  <c r="AE108" i="2" s="1"/>
  <c r="AF108" i="2" s="1"/>
  <c r="AG108" i="2" s="1"/>
  <c r="AH108" i="2" s="1"/>
  <c r="AI108" i="2" s="1"/>
  <c r="AJ108" i="2" s="1"/>
  <c r="AK108" i="2" s="1"/>
  <c r="AL108" i="2" s="1"/>
  <c r="AM108" i="2" s="1"/>
  <c r="AN108" i="2" s="1"/>
  <c r="AO108" i="2" s="1"/>
  <c r="AP108" i="2" s="1"/>
  <c r="AQ108" i="2" s="1"/>
  <c r="AR108" i="2" s="1"/>
  <c r="F109" i="2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AG109" i="2" s="1"/>
  <c r="AH109" i="2" s="1"/>
  <c r="AI109" i="2" s="1"/>
  <c r="AJ109" i="2" s="1"/>
  <c r="AK109" i="2" s="1"/>
  <c r="AL109" i="2" s="1"/>
  <c r="AM109" i="2" s="1"/>
  <c r="AN109" i="2" s="1"/>
  <c r="AO109" i="2" s="1"/>
  <c r="AP109" i="2" s="1"/>
  <c r="AQ109" i="2" s="1"/>
  <c r="AR109" i="2" s="1"/>
  <c r="F110" i="2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AQ110" i="2" s="1"/>
  <c r="AR110" i="2" s="1"/>
  <c r="F111" i="2"/>
  <c r="G111" i="2" s="1"/>
  <c r="H111" i="2" s="1"/>
  <c r="I111" i="2" s="1"/>
  <c r="J111" i="2" s="1"/>
  <c r="K111" i="2" s="1"/>
  <c r="L111" i="2" s="1"/>
  <c r="M111" i="2" s="1"/>
  <c r="N111" i="2" s="1"/>
  <c r="O111" i="2" s="1"/>
  <c r="P111" i="2" s="1"/>
  <c r="Q111" i="2" s="1"/>
  <c r="R111" i="2" s="1"/>
  <c r="S111" i="2" s="1"/>
  <c r="T111" i="2" s="1"/>
  <c r="U111" i="2" s="1"/>
  <c r="V111" i="2" s="1"/>
  <c r="W111" i="2" s="1"/>
  <c r="X111" i="2" s="1"/>
  <c r="Y111" i="2" s="1"/>
  <c r="Z111" i="2" s="1"/>
  <c r="AA111" i="2" s="1"/>
  <c r="AB111" i="2" s="1"/>
  <c r="AC111" i="2" s="1"/>
  <c r="AD111" i="2" s="1"/>
  <c r="AE111" i="2" s="1"/>
  <c r="AF111" i="2" s="1"/>
  <c r="AG111" i="2" s="1"/>
  <c r="AH111" i="2" s="1"/>
  <c r="AI111" i="2" s="1"/>
  <c r="AJ111" i="2" s="1"/>
  <c r="AK111" i="2" s="1"/>
  <c r="AL111" i="2" s="1"/>
  <c r="AM111" i="2" s="1"/>
  <c r="AN111" i="2" s="1"/>
  <c r="AO111" i="2" s="1"/>
  <c r="AP111" i="2" s="1"/>
  <c r="AQ111" i="2" s="1"/>
  <c r="AR111" i="2" s="1"/>
  <c r="F112" i="2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AG112" i="2" s="1"/>
  <c r="AH112" i="2" s="1"/>
  <c r="AI112" i="2" s="1"/>
  <c r="AJ112" i="2" s="1"/>
  <c r="AK112" i="2" s="1"/>
  <c r="AL112" i="2" s="1"/>
  <c r="AM112" i="2" s="1"/>
  <c r="AN112" i="2" s="1"/>
  <c r="AO112" i="2" s="1"/>
  <c r="AP112" i="2" s="1"/>
  <c r="AQ112" i="2" s="1"/>
  <c r="AR112" i="2" s="1"/>
  <c r="F113" i="2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S113" i="2" s="1"/>
  <c r="T113" i="2" s="1"/>
  <c r="U113" i="2" s="1"/>
  <c r="V113" i="2" s="1"/>
  <c r="W113" i="2" s="1"/>
  <c r="X113" i="2" s="1"/>
  <c r="Y113" i="2" s="1"/>
  <c r="Z113" i="2" s="1"/>
  <c r="AA113" i="2" s="1"/>
  <c r="AB113" i="2" s="1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Q113" i="2" s="1"/>
  <c r="AR113" i="2" s="1"/>
  <c r="F114" i="2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V114" i="2" s="1"/>
  <c r="W114" i="2" s="1"/>
  <c r="X114" i="2" s="1"/>
  <c r="Y114" i="2" s="1"/>
  <c r="Z114" i="2" s="1"/>
  <c r="AA114" i="2" s="1"/>
  <c r="AB114" i="2" s="1"/>
  <c r="AC114" i="2" s="1"/>
  <c r="AD114" i="2" s="1"/>
  <c r="AE114" i="2" s="1"/>
  <c r="AF114" i="2" s="1"/>
  <c r="AG114" i="2" s="1"/>
  <c r="AH114" i="2" s="1"/>
  <c r="AI114" i="2" s="1"/>
  <c r="AJ114" i="2" s="1"/>
  <c r="AK114" i="2" s="1"/>
  <c r="AL114" i="2" s="1"/>
  <c r="AM114" i="2" s="1"/>
  <c r="AN114" i="2" s="1"/>
  <c r="AO114" i="2" s="1"/>
  <c r="AP114" i="2" s="1"/>
  <c r="AQ114" i="2" s="1"/>
  <c r="AR114" i="2" s="1"/>
  <c r="F115" i="2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AC115" i="2" s="1"/>
  <c r="AD115" i="2" s="1"/>
  <c r="AE115" i="2" s="1"/>
  <c r="AF115" i="2" s="1"/>
  <c r="AG115" i="2" s="1"/>
  <c r="AH115" i="2" s="1"/>
  <c r="AI115" i="2" s="1"/>
  <c r="AJ115" i="2" s="1"/>
  <c r="AK115" i="2" s="1"/>
  <c r="AL115" i="2" s="1"/>
  <c r="AM115" i="2" s="1"/>
  <c r="AN115" i="2" s="1"/>
  <c r="AO115" i="2" s="1"/>
  <c r="AP115" i="2" s="1"/>
  <c r="AQ115" i="2" s="1"/>
  <c r="AR115" i="2" s="1"/>
  <c r="F116" i="2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T116" i="2" s="1"/>
  <c r="U116" i="2" s="1"/>
  <c r="V116" i="2" s="1"/>
  <c r="W116" i="2" s="1"/>
  <c r="X116" i="2" s="1"/>
  <c r="Y116" i="2" s="1"/>
  <c r="Z116" i="2" s="1"/>
  <c r="AA116" i="2" s="1"/>
  <c r="AB116" i="2" s="1"/>
  <c r="AC116" i="2" s="1"/>
  <c r="AD116" i="2" s="1"/>
  <c r="AE116" i="2" s="1"/>
  <c r="AF116" i="2" s="1"/>
  <c r="AG116" i="2" s="1"/>
  <c r="AH116" i="2" s="1"/>
  <c r="AI116" i="2" s="1"/>
  <c r="AJ116" i="2" s="1"/>
  <c r="AK116" i="2" s="1"/>
  <c r="AL116" i="2" s="1"/>
  <c r="AM116" i="2" s="1"/>
  <c r="AN116" i="2" s="1"/>
  <c r="AO116" i="2" s="1"/>
  <c r="AP116" i="2" s="1"/>
  <c r="AQ116" i="2" s="1"/>
  <c r="AR116" i="2" s="1"/>
  <c r="F117" i="2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AA117" i="2" s="1"/>
  <c r="AB117" i="2" s="1"/>
  <c r="AC117" i="2" s="1"/>
  <c r="AD117" i="2" s="1"/>
  <c r="AE117" i="2" s="1"/>
  <c r="AF117" i="2" s="1"/>
  <c r="AG117" i="2" s="1"/>
  <c r="AH117" i="2" s="1"/>
  <c r="AI117" i="2" s="1"/>
  <c r="AJ117" i="2" s="1"/>
  <c r="AK117" i="2" s="1"/>
  <c r="AL117" i="2" s="1"/>
  <c r="AM117" i="2" s="1"/>
  <c r="AN117" i="2" s="1"/>
  <c r="AO117" i="2" s="1"/>
  <c r="AP117" i="2" s="1"/>
  <c r="AQ117" i="2" s="1"/>
  <c r="AR117" i="2" s="1"/>
  <c r="F118" i="2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AA118" i="2" s="1"/>
  <c r="AB118" i="2" s="1"/>
  <c r="AC118" i="2" s="1"/>
  <c r="AD118" i="2" s="1"/>
  <c r="AE118" i="2" s="1"/>
  <c r="AF118" i="2" s="1"/>
  <c r="AG118" i="2" s="1"/>
  <c r="AH118" i="2" s="1"/>
  <c r="AI118" i="2" s="1"/>
  <c r="AJ118" i="2" s="1"/>
  <c r="AK118" i="2" s="1"/>
  <c r="AL118" i="2" s="1"/>
  <c r="AM118" i="2" s="1"/>
  <c r="AN118" i="2" s="1"/>
  <c r="AO118" i="2" s="1"/>
  <c r="AP118" i="2" s="1"/>
  <c r="AQ118" i="2" s="1"/>
  <c r="AR118" i="2" s="1"/>
  <c r="F119" i="2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Q119" i="2" s="1"/>
  <c r="R119" i="2" s="1"/>
  <c r="S119" i="2" s="1"/>
  <c r="T119" i="2" s="1"/>
  <c r="U119" i="2" s="1"/>
  <c r="V119" i="2" s="1"/>
  <c r="W119" i="2" s="1"/>
  <c r="X119" i="2" s="1"/>
  <c r="Y119" i="2" s="1"/>
  <c r="Z119" i="2" s="1"/>
  <c r="AA119" i="2" s="1"/>
  <c r="AB119" i="2" s="1"/>
  <c r="AC119" i="2" s="1"/>
  <c r="AD119" i="2" s="1"/>
  <c r="AE119" i="2" s="1"/>
  <c r="AF119" i="2" s="1"/>
  <c r="AG119" i="2" s="1"/>
  <c r="AH119" i="2" s="1"/>
  <c r="AI119" i="2" s="1"/>
  <c r="AJ119" i="2" s="1"/>
  <c r="AK119" i="2" s="1"/>
  <c r="AL119" i="2" s="1"/>
  <c r="AM119" i="2" s="1"/>
  <c r="AN119" i="2" s="1"/>
  <c r="AO119" i="2" s="1"/>
  <c r="AP119" i="2" s="1"/>
  <c r="AQ119" i="2" s="1"/>
  <c r="AR119" i="2" s="1"/>
  <c r="F120" i="2"/>
  <c r="G120" i="2" s="1"/>
  <c r="H120" i="2" s="1"/>
  <c r="I120" i="2" s="1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F121" i="2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AG121" i="2" s="1"/>
  <c r="AH121" i="2" s="1"/>
  <c r="AI121" i="2" s="1"/>
  <c r="AJ121" i="2" s="1"/>
  <c r="AK121" i="2" s="1"/>
  <c r="AL121" i="2" s="1"/>
  <c r="AM121" i="2" s="1"/>
  <c r="AN121" i="2" s="1"/>
  <c r="AO121" i="2" s="1"/>
  <c r="AP121" i="2" s="1"/>
  <c r="AQ121" i="2" s="1"/>
  <c r="AR121" i="2" s="1"/>
  <c r="F122" i="2"/>
  <c r="G122" i="2" s="1"/>
  <c r="H122" i="2" s="1"/>
  <c r="I122" i="2" s="1"/>
  <c r="J122" i="2" s="1"/>
  <c r="K122" i="2" s="1"/>
  <c r="L122" i="2" s="1"/>
  <c r="M122" i="2" s="1"/>
  <c r="N122" i="2" s="1"/>
  <c r="O122" i="2" s="1"/>
  <c r="P122" i="2" s="1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AA122" i="2" s="1"/>
  <c r="AB122" i="2" s="1"/>
  <c r="AC122" i="2" s="1"/>
  <c r="AD122" i="2" s="1"/>
  <c r="AE122" i="2" s="1"/>
  <c r="AF122" i="2" s="1"/>
  <c r="AG122" i="2" s="1"/>
  <c r="AH122" i="2" s="1"/>
  <c r="AI122" i="2" s="1"/>
  <c r="AJ122" i="2" s="1"/>
  <c r="AK122" i="2" s="1"/>
  <c r="AL122" i="2" s="1"/>
  <c r="AM122" i="2" s="1"/>
  <c r="AN122" i="2" s="1"/>
  <c r="AO122" i="2" s="1"/>
  <c r="AP122" i="2" s="1"/>
  <c r="AQ122" i="2" s="1"/>
  <c r="AR122" i="2" s="1"/>
  <c r="F123" i="2"/>
  <c r="G123" i="2" s="1"/>
  <c r="H123" i="2" s="1"/>
  <c r="I123" i="2" s="1"/>
  <c r="J123" i="2" s="1"/>
  <c r="K123" i="2" s="1"/>
  <c r="L123" i="2" s="1"/>
  <c r="M123" i="2" s="1"/>
  <c r="N123" i="2" s="1"/>
  <c r="O123" i="2" s="1"/>
  <c r="P123" i="2" s="1"/>
  <c r="Q123" i="2" s="1"/>
  <c r="R123" i="2" s="1"/>
  <c r="S123" i="2" s="1"/>
  <c r="T123" i="2" s="1"/>
  <c r="U123" i="2" s="1"/>
  <c r="V123" i="2" s="1"/>
  <c r="W123" i="2" s="1"/>
  <c r="X123" i="2" s="1"/>
  <c r="Y123" i="2" s="1"/>
  <c r="Z123" i="2" s="1"/>
  <c r="AA123" i="2" s="1"/>
  <c r="AB123" i="2" s="1"/>
  <c r="AC123" i="2" s="1"/>
  <c r="AD123" i="2" s="1"/>
  <c r="AE123" i="2" s="1"/>
  <c r="AF123" i="2" s="1"/>
  <c r="AG123" i="2" s="1"/>
  <c r="AH123" i="2" s="1"/>
  <c r="AI123" i="2" s="1"/>
  <c r="AJ123" i="2" s="1"/>
  <c r="AK123" i="2" s="1"/>
  <c r="AL123" i="2" s="1"/>
  <c r="AM123" i="2" s="1"/>
  <c r="AN123" i="2" s="1"/>
  <c r="AO123" i="2" s="1"/>
  <c r="AP123" i="2" s="1"/>
  <c r="AQ123" i="2" s="1"/>
  <c r="AR123" i="2" s="1"/>
  <c r="F124" i="2"/>
  <c r="G124" i="2" s="1"/>
  <c r="H124" i="2" s="1"/>
  <c r="I124" i="2" s="1"/>
  <c r="J124" i="2" s="1"/>
  <c r="K124" i="2" s="1"/>
  <c r="L124" i="2" s="1"/>
  <c r="M124" i="2" s="1"/>
  <c r="N124" i="2" s="1"/>
  <c r="O124" i="2" s="1"/>
  <c r="P124" i="2" s="1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AG124" i="2" s="1"/>
  <c r="AH124" i="2" s="1"/>
  <c r="AI124" i="2" s="1"/>
  <c r="AJ124" i="2" s="1"/>
  <c r="AK124" i="2" s="1"/>
  <c r="AL124" i="2" s="1"/>
  <c r="AM124" i="2" s="1"/>
  <c r="AN124" i="2" s="1"/>
  <c r="AO124" i="2" s="1"/>
  <c r="AP124" i="2" s="1"/>
  <c r="AQ124" i="2" s="1"/>
  <c r="AR124" i="2" s="1"/>
  <c r="F104" i="2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R104" i="2" s="1"/>
  <c r="S104" i="2" s="1"/>
  <c r="T104" i="2" s="1"/>
  <c r="U104" i="2" s="1"/>
  <c r="V104" i="2" s="1"/>
  <c r="W104" i="2" s="1"/>
  <c r="X104" i="2" s="1"/>
  <c r="Y104" i="2" s="1"/>
  <c r="Z104" i="2" s="1"/>
  <c r="AA104" i="2" s="1"/>
  <c r="AB104" i="2" s="1"/>
  <c r="AC104" i="2" s="1"/>
  <c r="AD104" i="2" s="1"/>
  <c r="AE104" i="2" s="1"/>
  <c r="AF104" i="2" s="1"/>
  <c r="AG104" i="2" s="1"/>
  <c r="AH104" i="2" s="1"/>
  <c r="AI104" i="2" s="1"/>
  <c r="AJ104" i="2" s="1"/>
  <c r="AK104" i="2" s="1"/>
  <c r="AL104" i="2" s="1"/>
  <c r="AM104" i="2" s="1"/>
  <c r="AN104" i="2" s="1"/>
  <c r="AO104" i="2" s="1"/>
  <c r="AP104" i="2" s="1"/>
  <c r="AQ104" i="2" s="1"/>
  <c r="AR104" i="2" s="1"/>
  <c r="F88" i="2"/>
  <c r="G88" i="2" s="1"/>
  <c r="H88" i="2" s="1"/>
  <c r="I88" i="2" s="1"/>
  <c r="J88" i="2" s="1"/>
  <c r="K88" i="2" s="1"/>
  <c r="L88" i="2" s="1"/>
  <c r="M88" i="2" s="1"/>
  <c r="N88" i="2" s="1"/>
  <c r="O88" i="2" s="1"/>
  <c r="P88" i="2" s="1"/>
  <c r="Q88" i="2" s="1"/>
  <c r="R88" i="2" s="1"/>
  <c r="S88" i="2" s="1"/>
  <c r="T88" i="2" s="1"/>
  <c r="U88" i="2" s="1"/>
  <c r="V88" i="2" s="1"/>
  <c r="W88" i="2" s="1"/>
  <c r="X88" i="2" s="1"/>
  <c r="Y88" i="2" s="1"/>
  <c r="Z88" i="2" s="1"/>
  <c r="AA88" i="2" s="1"/>
  <c r="AB88" i="2" s="1"/>
  <c r="AC88" i="2" s="1"/>
  <c r="AD88" i="2" s="1"/>
  <c r="AE88" i="2" s="1"/>
  <c r="AF88" i="2" s="1"/>
  <c r="AG88" i="2" s="1"/>
  <c r="AH88" i="2" s="1"/>
  <c r="AI88" i="2" s="1"/>
  <c r="AJ88" i="2" s="1"/>
  <c r="AK88" i="2" s="1"/>
  <c r="AL88" i="2" s="1"/>
  <c r="AM88" i="2" s="1"/>
  <c r="AN88" i="2" s="1"/>
  <c r="AO88" i="2" s="1"/>
  <c r="AP88" i="2" s="1"/>
  <c r="AQ88" i="2" s="1"/>
  <c r="AR88" i="2" s="1"/>
  <c r="F89" i="2"/>
  <c r="G89" i="2" s="1"/>
  <c r="H89" i="2" s="1"/>
  <c r="I89" i="2" s="1"/>
  <c r="J89" i="2" s="1"/>
  <c r="K89" i="2" s="1"/>
  <c r="L89" i="2" s="1"/>
  <c r="M89" i="2" s="1"/>
  <c r="N89" i="2" s="1"/>
  <c r="O89" i="2" s="1"/>
  <c r="P89" i="2" s="1"/>
  <c r="Q89" i="2" s="1"/>
  <c r="R89" i="2" s="1"/>
  <c r="S89" i="2" s="1"/>
  <c r="T89" i="2" s="1"/>
  <c r="U89" i="2" s="1"/>
  <c r="V89" i="2" s="1"/>
  <c r="W89" i="2" s="1"/>
  <c r="X89" i="2" s="1"/>
  <c r="Y89" i="2" s="1"/>
  <c r="Z89" i="2" s="1"/>
  <c r="AA89" i="2" s="1"/>
  <c r="AB89" i="2" s="1"/>
  <c r="AC89" i="2" s="1"/>
  <c r="AD89" i="2" s="1"/>
  <c r="AE89" i="2" s="1"/>
  <c r="AF89" i="2" s="1"/>
  <c r="AG89" i="2" s="1"/>
  <c r="AH89" i="2" s="1"/>
  <c r="AI89" i="2" s="1"/>
  <c r="AJ89" i="2" s="1"/>
  <c r="AK89" i="2" s="1"/>
  <c r="AL89" i="2" s="1"/>
  <c r="AM89" i="2" s="1"/>
  <c r="AN89" i="2" s="1"/>
  <c r="AO89" i="2" s="1"/>
  <c r="AP89" i="2" s="1"/>
  <c r="AQ89" i="2" s="1"/>
  <c r="AR89" i="2" s="1"/>
  <c r="F90" i="2"/>
  <c r="G90" i="2" s="1"/>
  <c r="H90" i="2" s="1"/>
  <c r="I90" i="2" s="1"/>
  <c r="J90" i="2" s="1"/>
  <c r="K90" i="2" s="1"/>
  <c r="L90" i="2" s="1"/>
  <c r="M90" i="2" s="1"/>
  <c r="N90" i="2" s="1"/>
  <c r="O90" i="2" s="1"/>
  <c r="P90" i="2" s="1"/>
  <c r="Q90" i="2" s="1"/>
  <c r="R90" i="2" s="1"/>
  <c r="S90" i="2" s="1"/>
  <c r="T90" i="2" s="1"/>
  <c r="U90" i="2" s="1"/>
  <c r="V90" i="2" s="1"/>
  <c r="W90" i="2" s="1"/>
  <c r="X90" i="2" s="1"/>
  <c r="Y90" i="2" s="1"/>
  <c r="Z90" i="2" s="1"/>
  <c r="AA90" i="2" s="1"/>
  <c r="AB90" i="2" s="1"/>
  <c r="AC90" i="2" s="1"/>
  <c r="AD90" i="2" s="1"/>
  <c r="AE90" i="2" s="1"/>
  <c r="AF90" i="2" s="1"/>
  <c r="AG90" i="2" s="1"/>
  <c r="AH90" i="2" s="1"/>
  <c r="AI90" i="2" s="1"/>
  <c r="AJ90" i="2" s="1"/>
  <c r="AK90" i="2" s="1"/>
  <c r="AL90" i="2" s="1"/>
  <c r="AM90" i="2" s="1"/>
  <c r="AN90" i="2" s="1"/>
  <c r="AO90" i="2" s="1"/>
  <c r="AP90" i="2" s="1"/>
  <c r="AQ90" i="2" s="1"/>
  <c r="AR90" i="2" s="1"/>
  <c r="F91" i="2"/>
  <c r="G91" i="2" s="1"/>
  <c r="H91" i="2" s="1"/>
  <c r="I91" i="2" s="1"/>
  <c r="J91" i="2" s="1"/>
  <c r="K91" i="2" s="1"/>
  <c r="L91" i="2" s="1"/>
  <c r="M91" i="2" s="1"/>
  <c r="N91" i="2" s="1"/>
  <c r="O91" i="2" s="1"/>
  <c r="P91" i="2" s="1"/>
  <c r="Q91" i="2" s="1"/>
  <c r="R91" i="2" s="1"/>
  <c r="S91" i="2" s="1"/>
  <c r="T91" i="2" s="1"/>
  <c r="U91" i="2" s="1"/>
  <c r="V91" i="2" s="1"/>
  <c r="W91" i="2" s="1"/>
  <c r="X91" i="2" s="1"/>
  <c r="Y91" i="2" s="1"/>
  <c r="Z91" i="2" s="1"/>
  <c r="AA91" i="2" s="1"/>
  <c r="AB91" i="2" s="1"/>
  <c r="AC91" i="2" s="1"/>
  <c r="AD91" i="2" s="1"/>
  <c r="AE91" i="2" s="1"/>
  <c r="AF91" i="2" s="1"/>
  <c r="AG91" i="2" s="1"/>
  <c r="AH91" i="2" s="1"/>
  <c r="AI91" i="2" s="1"/>
  <c r="AJ91" i="2" s="1"/>
  <c r="AK91" i="2" s="1"/>
  <c r="AL91" i="2" s="1"/>
  <c r="AM91" i="2" s="1"/>
  <c r="AN91" i="2" s="1"/>
  <c r="AO91" i="2" s="1"/>
  <c r="AP91" i="2" s="1"/>
  <c r="AQ91" i="2" s="1"/>
  <c r="AR91" i="2" s="1"/>
  <c r="F92" i="2"/>
  <c r="G92" i="2" s="1"/>
  <c r="H92" i="2" s="1"/>
  <c r="I92" i="2" s="1"/>
  <c r="J92" i="2" s="1"/>
  <c r="K92" i="2" s="1"/>
  <c r="L92" i="2" s="1"/>
  <c r="M92" i="2" s="1"/>
  <c r="N92" i="2" s="1"/>
  <c r="O92" i="2" s="1"/>
  <c r="P92" i="2" s="1"/>
  <c r="Q92" i="2" s="1"/>
  <c r="R92" i="2" s="1"/>
  <c r="S92" i="2" s="1"/>
  <c r="T92" i="2" s="1"/>
  <c r="U92" i="2" s="1"/>
  <c r="V92" i="2" s="1"/>
  <c r="W92" i="2" s="1"/>
  <c r="X92" i="2" s="1"/>
  <c r="Y92" i="2" s="1"/>
  <c r="Z92" i="2" s="1"/>
  <c r="AA92" i="2" s="1"/>
  <c r="AB92" i="2" s="1"/>
  <c r="AC92" i="2" s="1"/>
  <c r="AD92" i="2" s="1"/>
  <c r="AE92" i="2" s="1"/>
  <c r="AF92" i="2" s="1"/>
  <c r="AG92" i="2" s="1"/>
  <c r="AH92" i="2" s="1"/>
  <c r="AI92" i="2" s="1"/>
  <c r="AJ92" i="2" s="1"/>
  <c r="AK92" i="2" s="1"/>
  <c r="AL92" i="2" s="1"/>
  <c r="AM92" i="2" s="1"/>
  <c r="AN92" i="2" s="1"/>
  <c r="AO92" i="2" s="1"/>
  <c r="AP92" i="2" s="1"/>
  <c r="AQ92" i="2" s="1"/>
  <c r="AR92" i="2" s="1"/>
  <c r="F93" i="2"/>
  <c r="G93" i="2" s="1"/>
  <c r="H93" i="2" s="1"/>
  <c r="I93" i="2" s="1"/>
  <c r="J93" i="2" s="1"/>
  <c r="K93" i="2" s="1"/>
  <c r="L93" i="2" s="1"/>
  <c r="M93" i="2" s="1"/>
  <c r="N93" i="2" s="1"/>
  <c r="O93" i="2" s="1"/>
  <c r="P93" i="2" s="1"/>
  <c r="Q93" i="2" s="1"/>
  <c r="R93" i="2" s="1"/>
  <c r="S93" i="2" s="1"/>
  <c r="T93" i="2" s="1"/>
  <c r="U93" i="2" s="1"/>
  <c r="V93" i="2" s="1"/>
  <c r="W93" i="2" s="1"/>
  <c r="X93" i="2" s="1"/>
  <c r="Y93" i="2" s="1"/>
  <c r="Z93" i="2" s="1"/>
  <c r="AA93" i="2" s="1"/>
  <c r="AB93" i="2" s="1"/>
  <c r="AC93" i="2" s="1"/>
  <c r="AD93" i="2" s="1"/>
  <c r="AE93" i="2" s="1"/>
  <c r="AF93" i="2" s="1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Q93" i="2" s="1"/>
  <c r="AR93" i="2" s="1"/>
  <c r="F94" i="2"/>
  <c r="G94" i="2" s="1"/>
  <c r="H94" i="2" s="1"/>
  <c r="I94" i="2" s="1"/>
  <c r="J94" i="2" s="1"/>
  <c r="K94" i="2" s="1"/>
  <c r="L94" i="2" s="1"/>
  <c r="M94" i="2" s="1"/>
  <c r="N94" i="2" s="1"/>
  <c r="O94" i="2" s="1"/>
  <c r="P94" i="2" s="1"/>
  <c r="Q94" i="2" s="1"/>
  <c r="R94" i="2" s="1"/>
  <c r="S94" i="2" s="1"/>
  <c r="T94" i="2" s="1"/>
  <c r="U94" i="2" s="1"/>
  <c r="V94" i="2" s="1"/>
  <c r="W94" i="2" s="1"/>
  <c r="X94" i="2" s="1"/>
  <c r="Y94" i="2" s="1"/>
  <c r="Z94" i="2" s="1"/>
  <c r="AA94" i="2" s="1"/>
  <c r="AB94" i="2" s="1"/>
  <c r="AC94" i="2" s="1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AQ94" i="2" s="1"/>
  <c r="AR94" i="2" s="1"/>
  <c r="F95" i="2"/>
  <c r="G95" i="2" s="1"/>
  <c r="H95" i="2" s="1"/>
  <c r="I95" i="2" s="1"/>
  <c r="J95" i="2" s="1"/>
  <c r="K95" i="2" s="1"/>
  <c r="L95" i="2" s="1"/>
  <c r="M95" i="2" s="1"/>
  <c r="N95" i="2" s="1"/>
  <c r="O95" i="2" s="1"/>
  <c r="P95" i="2" s="1"/>
  <c r="Q95" i="2" s="1"/>
  <c r="R95" i="2" s="1"/>
  <c r="S95" i="2" s="1"/>
  <c r="T95" i="2" s="1"/>
  <c r="U95" i="2" s="1"/>
  <c r="V95" i="2" s="1"/>
  <c r="W95" i="2" s="1"/>
  <c r="X95" i="2" s="1"/>
  <c r="Y95" i="2" s="1"/>
  <c r="Z95" i="2" s="1"/>
  <c r="AA95" i="2" s="1"/>
  <c r="AB95" i="2" s="1"/>
  <c r="AC95" i="2" s="1"/>
  <c r="AD95" i="2" s="1"/>
  <c r="AE95" i="2" s="1"/>
  <c r="AF95" i="2" s="1"/>
  <c r="AG95" i="2" s="1"/>
  <c r="AH95" i="2" s="1"/>
  <c r="AI95" i="2" s="1"/>
  <c r="AJ95" i="2" s="1"/>
  <c r="AK95" i="2" s="1"/>
  <c r="AL95" i="2" s="1"/>
  <c r="AM95" i="2" s="1"/>
  <c r="AN95" i="2" s="1"/>
  <c r="AO95" i="2" s="1"/>
  <c r="AP95" i="2" s="1"/>
  <c r="AQ95" i="2" s="1"/>
  <c r="AR95" i="2" s="1"/>
  <c r="F96" i="2"/>
  <c r="G96" i="2" s="1"/>
  <c r="H96" i="2" s="1"/>
  <c r="I96" i="2" s="1"/>
  <c r="J96" i="2" s="1"/>
  <c r="K96" i="2" s="1"/>
  <c r="L96" i="2" s="1"/>
  <c r="M96" i="2" s="1"/>
  <c r="N96" i="2" s="1"/>
  <c r="O96" i="2" s="1"/>
  <c r="P96" i="2" s="1"/>
  <c r="Q96" i="2" s="1"/>
  <c r="R96" i="2" s="1"/>
  <c r="S96" i="2" s="1"/>
  <c r="T96" i="2" s="1"/>
  <c r="U96" i="2" s="1"/>
  <c r="V96" i="2" s="1"/>
  <c r="W96" i="2" s="1"/>
  <c r="X96" i="2" s="1"/>
  <c r="Y96" i="2" s="1"/>
  <c r="Z96" i="2" s="1"/>
  <c r="AA96" i="2" s="1"/>
  <c r="AB96" i="2" s="1"/>
  <c r="AC96" i="2" s="1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AQ96" i="2" s="1"/>
  <c r="AR96" i="2" s="1"/>
  <c r="F97" i="2"/>
  <c r="G97" i="2" s="1"/>
  <c r="H97" i="2" s="1"/>
  <c r="I97" i="2" s="1"/>
  <c r="J97" i="2" s="1"/>
  <c r="K97" i="2" s="1"/>
  <c r="L97" i="2" s="1"/>
  <c r="M97" i="2" s="1"/>
  <c r="N97" i="2" s="1"/>
  <c r="O97" i="2" s="1"/>
  <c r="P97" i="2" s="1"/>
  <c r="Q97" i="2" s="1"/>
  <c r="R97" i="2" s="1"/>
  <c r="S97" i="2" s="1"/>
  <c r="T97" i="2" s="1"/>
  <c r="U97" i="2" s="1"/>
  <c r="V97" i="2" s="1"/>
  <c r="W97" i="2" s="1"/>
  <c r="X97" i="2" s="1"/>
  <c r="Y97" i="2" s="1"/>
  <c r="Z97" i="2" s="1"/>
  <c r="AA97" i="2" s="1"/>
  <c r="AB97" i="2" s="1"/>
  <c r="AC97" i="2" s="1"/>
  <c r="AD97" i="2" s="1"/>
  <c r="AE97" i="2" s="1"/>
  <c r="AF97" i="2" s="1"/>
  <c r="AG97" i="2" s="1"/>
  <c r="AH97" i="2" s="1"/>
  <c r="AI97" i="2" s="1"/>
  <c r="AJ97" i="2" s="1"/>
  <c r="AK97" i="2" s="1"/>
  <c r="AL97" i="2" s="1"/>
  <c r="AM97" i="2" s="1"/>
  <c r="AN97" i="2" s="1"/>
  <c r="AO97" i="2" s="1"/>
  <c r="AP97" i="2" s="1"/>
  <c r="AQ97" i="2" s="1"/>
  <c r="AR97" i="2" s="1"/>
  <c r="F98" i="2"/>
  <c r="G98" i="2" s="1"/>
  <c r="H98" i="2" s="1"/>
  <c r="I98" i="2" s="1"/>
  <c r="J98" i="2" s="1"/>
  <c r="K98" i="2" s="1"/>
  <c r="L98" i="2" s="1"/>
  <c r="M98" i="2" s="1"/>
  <c r="N98" i="2" s="1"/>
  <c r="O98" i="2" s="1"/>
  <c r="P98" i="2" s="1"/>
  <c r="Q98" i="2" s="1"/>
  <c r="R98" i="2" s="1"/>
  <c r="S98" i="2" s="1"/>
  <c r="T98" i="2" s="1"/>
  <c r="U98" i="2" s="1"/>
  <c r="V98" i="2" s="1"/>
  <c r="W98" i="2" s="1"/>
  <c r="X98" i="2" s="1"/>
  <c r="Y98" i="2" s="1"/>
  <c r="Z98" i="2" s="1"/>
  <c r="AA98" i="2" s="1"/>
  <c r="AB98" i="2" s="1"/>
  <c r="AC98" i="2" s="1"/>
  <c r="AD98" i="2" s="1"/>
  <c r="AE98" i="2" s="1"/>
  <c r="AF98" i="2" s="1"/>
  <c r="AG98" i="2" s="1"/>
  <c r="AH98" i="2" s="1"/>
  <c r="AI98" i="2" s="1"/>
  <c r="AJ98" i="2" s="1"/>
  <c r="AK98" i="2" s="1"/>
  <c r="AL98" i="2" s="1"/>
  <c r="AM98" i="2" s="1"/>
  <c r="AN98" i="2" s="1"/>
  <c r="AO98" i="2" s="1"/>
  <c r="AP98" i="2" s="1"/>
  <c r="AQ98" i="2" s="1"/>
  <c r="AR98" i="2" s="1"/>
  <c r="F99" i="2"/>
  <c r="G99" i="2" s="1"/>
  <c r="H99" i="2" s="1"/>
  <c r="I99" i="2" s="1"/>
  <c r="J99" i="2" s="1"/>
  <c r="K99" i="2" s="1"/>
  <c r="L99" i="2" s="1"/>
  <c r="M99" i="2" s="1"/>
  <c r="N99" i="2" s="1"/>
  <c r="O99" i="2" s="1"/>
  <c r="P99" i="2" s="1"/>
  <c r="Q99" i="2" s="1"/>
  <c r="R99" i="2" s="1"/>
  <c r="S99" i="2" s="1"/>
  <c r="T99" i="2" s="1"/>
  <c r="U99" i="2" s="1"/>
  <c r="V99" i="2" s="1"/>
  <c r="W99" i="2" s="1"/>
  <c r="X99" i="2" s="1"/>
  <c r="Y99" i="2" s="1"/>
  <c r="Z99" i="2" s="1"/>
  <c r="AA99" i="2" s="1"/>
  <c r="AB99" i="2" s="1"/>
  <c r="AC99" i="2" s="1"/>
  <c r="AD99" i="2" s="1"/>
  <c r="AE99" i="2" s="1"/>
  <c r="AF99" i="2" s="1"/>
  <c r="AG99" i="2" s="1"/>
  <c r="AH99" i="2" s="1"/>
  <c r="AI99" i="2" s="1"/>
  <c r="AJ99" i="2" s="1"/>
  <c r="AK99" i="2" s="1"/>
  <c r="AL99" i="2" s="1"/>
  <c r="AM99" i="2" s="1"/>
  <c r="AN99" i="2" s="1"/>
  <c r="AO99" i="2" s="1"/>
  <c r="AP99" i="2" s="1"/>
  <c r="AQ99" i="2" s="1"/>
  <c r="AR99" i="2" s="1"/>
  <c r="F100" i="2"/>
  <c r="G100" i="2" s="1"/>
  <c r="H100" i="2" s="1"/>
  <c r="I100" i="2" s="1"/>
  <c r="J100" i="2" s="1"/>
  <c r="K100" i="2" s="1"/>
  <c r="L100" i="2" s="1"/>
  <c r="M100" i="2" s="1"/>
  <c r="N100" i="2" s="1"/>
  <c r="O100" i="2" s="1"/>
  <c r="P100" i="2" s="1"/>
  <c r="Q100" i="2" s="1"/>
  <c r="R100" i="2" s="1"/>
  <c r="S100" i="2" s="1"/>
  <c r="T100" i="2" s="1"/>
  <c r="U100" i="2" s="1"/>
  <c r="V100" i="2" s="1"/>
  <c r="W100" i="2" s="1"/>
  <c r="X100" i="2" s="1"/>
  <c r="Y100" i="2" s="1"/>
  <c r="Z100" i="2" s="1"/>
  <c r="AA100" i="2" s="1"/>
  <c r="AB100" i="2" s="1"/>
  <c r="AC100" i="2" s="1"/>
  <c r="AD100" i="2" s="1"/>
  <c r="AE100" i="2" s="1"/>
  <c r="AF100" i="2" s="1"/>
  <c r="AG100" i="2" s="1"/>
  <c r="AH100" i="2" s="1"/>
  <c r="AI100" i="2" s="1"/>
  <c r="AJ100" i="2" s="1"/>
  <c r="AK100" i="2" s="1"/>
  <c r="AL100" i="2" s="1"/>
  <c r="AM100" i="2" s="1"/>
  <c r="AN100" i="2" s="1"/>
  <c r="AO100" i="2" s="1"/>
  <c r="AP100" i="2" s="1"/>
  <c r="AQ100" i="2" s="1"/>
  <c r="AR100" i="2" s="1"/>
  <c r="F101" i="2"/>
  <c r="G101" i="2" s="1"/>
  <c r="H101" i="2" s="1"/>
  <c r="I101" i="2" s="1"/>
  <c r="J101" i="2" s="1"/>
  <c r="K101" i="2" s="1"/>
  <c r="L101" i="2" s="1"/>
  <c r="M101" i="2" s="1"/>
  <c r="N101" i="2" s="1"/>
  <c r="O101" i="2" s="1"/>
  <c r="P101" i="2" s="1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AC101" i="2" s="1"/>
  <c r="AD101" i="2" s="1"/>
  <c r="AE101" i="2" s="1"/>
  <c r="AF101" i="2" s="1"/>
  <c r="AG101" i="2" s="1"/>
  <c r="AH101" i="2" s="1"/>
  <c r="AI101" i="2" s="1"/>
  <c r="AJ101" i="2" s="1"/>
  <c r="AK101" i="2" s="1"/>
  <c r="AL101" i="2" s="1"/>
  <c r="AM101" i="2" s="1"/>
  <c r="AN101" i="2" s="1"/>
  <c r="AO101" i="2" s="1"/>
  <c r="AP101" i="2" s="1"/>
  <c r="AQ101" i="2" s="1"/>
  <c r="AR101" i="2" s="1"/>
  <c r="F102" i="2"/>
  <c r="G102" i="2" s="1"/>
  <c r="H102" i="2" s="1"/>
  <c r="I102" i="2" s="1"/>
  <c r="J102" i="2" s="1"/>
  <c r="K102" i="2" s="1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F103" i="2"/>
  <c r="G103" i="2" s="1"/>
  <c r="H103" i="2" s="1"/>
  <c r="I103" i="2" s="1"/>
  <c r="J103" i="2" s="1"/>
  <c r="K103" i="2" s="1"/>
  <c r="L103" i="2" s="1"/>
  <c r="M103" i="2" s="1"/>
  <c r="N103" i="2" s="1"/>
  <c r="O103" i="2" s="1"/>
  <c r="P103" i="2" s="1"/>
  <c r="Q103" i="2" s="1"/>
  <c r="R103" i="2" s="1"/>
  <c r="S103" i="2" s="1"/>
  <c r="T103" i="2" s="1"/>
  <c r="U103" i="2" s="1"/>
  <c r="V103" i="2" s="1"/>
  <c r="W103" i="2" s="1"/>
  <c r="X103" i="2" s="1"/>
  <c r="Y103" i="2" s="1"/>
  <c r="Z103" i="2" s="1"/>
  <c r="AA103" i="2" s="1"/>
  <c r="AB103" i="2" s="1"/>
  <c r="AC103" i="2" s="1"/>
  <c r="AD103" i="2" s="1"/>
  <c r="AE103" i="2" s="1"/>
  <c r="AF103" i="2" s="1"/>
  <c r="AG103" i="2" s="1"/>
  <c r="AH103" i="2" s="1"/>
  <c r="AI103" i="2" s="1"/>
  <c r="AJ103" i="2" s="1"/>
  <c r="AK103" i="2" s="1"/>
  <c r="AL103" i="2" s="1"/>
  <c r="AM103" i="2" s="1"/>
  <c r="AN103" i="2" s="1"/>
  <c r="AO103" i="2" s="1"/>
  <c r="AP103" i="2" s="1"/>
  <c r="AQ103" i="2" s="1"/>
  <c r="AR103" i="2" s="1"/>
  <c r="F87" i="2"/>
  <c r="G87" i="2" s="1"/>
  <c r="H87" i="2" s="1"/>
  <c r="I87" i="2" s="1"/>
  <c r="J87" i="2" s="1"/>
  <c r="K87" i="2" s="1"/>
  <c r="L87" i="2" s="1"/>
  <c r="M87" i="2" s="1"/>
  <c r="N87" i="2" s="1"/>
  <c r="O87" i="2" s="1"/>
  <c r="P87" i="2" s="1"/>
  <c r="Q87" i="2" s="1"/>
  <c r="R87" i="2" s="1"/>
  <c r="S87" i="2" s="1"/>
  <c r="T87" i="2" s="1"/>
  <c r="U87" i="2" s="1"/>
  <c r="V87" i="2" s="1"/>
  <c r="W87" i="2" s="1"/>
  <c r="X87" i="2" s="1"/>
  <c r="Y87" i="2" s="1"/>
  <c r="Z87" i="2" s="1"/>
  <c r="AA87" i="2" s="1"/>
  <c r="AB87" i="2" s="1"/>
  <c r="AC87" i="2" s="1"/>
  <c r="AD87" i="2" s="1"/>
  <c r="AE87" i="2" s="1"/>
  <c r="AF87" i="2" s="1"/>
  <c r="AG87" i="2" s="1"/>
  <c r="AH87" i="2" s="1"/>
  <c r="AI87" i="2" s="1"/>
  <c r="AJ87" i="2" s="1"/>
  <c r="AK87" i="2" s="1"/>
  <c r="AL87" i="2" s="1"/>
  <c r="AM87" i="2" s="1"/>
  <c r="AN87" i="2" s="1"/>
  <c r="AO87" i="2" s="1"/>
  <c r="AP87" i="2" s="1"/>
  <c r="AQ87" i="2" s="1"/>
  <c r="AR87" i="2" s="1"/>
  <c r="F46" i="2"/>
  <c r="G46" i="2" s="1"/>
  <c r="H46" i="2" s="1"/>
  <c r="I46" i="2" s="1"/>
  <c r="J46" i="2" s="1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M46" i="2" s="1"/>
  <c r="AN46" i="2" s="1"/>
  <c r="AO46" i="2" s="1"/>
  <c r="AP46" i="2" s="1"/>
  <c r="AQ46" i="2" s="1"/>
  <c r="AR46" i="2" s="1"/>
  <c r="F47" i="2"/>
  <c r="G47" i="2" s="1"/>
  <c r="H47" i="2" s="1"/>
  <c r="I47" i="2" s="1"/>
  <c r="J47" i="2" s="1"/>
  <c r="K47" i="2" s="1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AG47" i="2" s="1"/>
  <c r="AH47" i="2" s="1"/>
  <c r="AI47" i="2" s="1"/>
  <c r="AJ47" i="2" s="1"/>
  <c r="AK47" i="2" s="1"/>
  <c r="AL47" i="2" s="1"/>
  <c r="AM47" i="2" s="1"/>
  <c r="AN47" i="2" s="1"/>
  <c r="AO47" i="2" s="1"/>
  <c r="AP47" i="2" s="1"/>
  <c r="AQ47" i="2" s="1"/>
  <c r="AR47" i="2" s="1"/>
  <c r="F48" i="2"/>
  <c r="G48" i="2" s="1"/>
  <c r="H48" i="2" s="1"/>
  <c r="I48" i="2" s="1"/>
  <c r="J48" i="2" s="1"/>
  <c r="K48" i="2" s="1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AF48" i="2" s="1"/>
  <c r="AG48" i="2" s="1"/>
  <c r="AH48" i="2" s="1"/>
  <c r="AI48" i="2" s="1"/>
  <c r="AJ48" i="2" s="1"/>
  <c r="AK48" i="2" s="1"/>
  <c r="AL48" i="2" s="1"/>
  <c r="AM48" i="2" s="1"/>
  <c r="AN48" i="2" s="1"/>
  <c r="AO48" i="2" s="1"/>
  <c r="AP48" i="2" s="1"/>
  <c r="AQ48" i="2" s="1"/>
  <c r="AR48" i="2" s="1"/>
  <c r="F49" i="2"/>
  <c r="G49" i="2" s="1"/>
  <c r="H49" i="2" s="1"/>
  <c r="I49" i="2" s="1"/>
  <c r="J49" i="2" s="1"/>
  <c r="K49" i="2" s="1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AG49" i="2" s="1"/>
  <c r="AH49" i="2" s="1"/>
  <c r="AI49" i="2" s="1"/>
  <c r="AJ49" i="2" s="1"/>
  <c r="AK49" i="2" s="1"/>
  <c r="AL49" i="2" s="1"/>
  <c r="AM49" i="2" s="1"/>
  <c r="AN49" i="2" s="1"/>
  <c r="AO49" i="2" s="1"/>
  <c r="AP49" i="2" s="1"/>
  <c r="AQ49" i="2" s="1"/>
  <c r="AR49" i="2" s="1"/>
  <c r="F50" i="2"/>
  <c r="G50" i="2" s="1"/>
  <c r="H50" i="2" s="1"/>
  <c r="I50" i="2" s="1"/>
  <c r="J50" i="2" s="1"/>
  <c r="K50" i="2" s="1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AG50" i="2" s="1"/>
  <c r="AH50" i="2" s="1"/>
  <c r="AI50" i="2" s="1"/>
  <c r="AJ50" i="2" s="1"/>
  <c r="AK50" i="2" s="1"/>
  <c r="AL50" i="2" s="1"/>
  <c r="AM50" i="2" s="1"/>
  <c r="AN50" i="2" s="1"/>
  <c r="AO50" i="2" s="1"/>
  <c r="AP50" i="2" s="1"/>
  <c r="AQ50" i="2" s="1"/>
  <c r="AR50" i="2" s="1"/>
  <c r="F51" i="2"/>
  <c r="G51" i="2" s="1"/>
  <c r="H51" i="2" s="1"/>
  <c r="I51" i="2" s="1"/>
  <c r="J51" i="2" s="1"/>
  <c r="K51" i="2" s="1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AG51" i="2" s="1"/>
  <c r="AH51" i="2" s="1"/>
  <c r="AI51" i="2" s="1"/>
  <c r="AJ51" i="2" s="1"/>
  <c r="AK51" i="2" s="1"/>
  <c r="AL51" i="2" s="1"/>
  <c r="AM51" i="2" s="1"/>
  <c r="AN51" i="2" s="1"/>
  <c r="AO51" i="2" s="1"/>
  <c r="AP51" i="2" s="1"/>
  <c r="AQ51" i="2" s="1"/>
  <c r="AR51" i="2" s="1"/>
  <c r="F52" i="2"/>
  <c r="G52" i="2" s="1"/>
  <c r="H52" i="2" s="1"/>
  <c r="I52" i="2" s="1"/>
  <c r="J52" i="2" s="1"/>
  <c r="K52" i="2" s="1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AG52" i="2" s="1"/>
  <c r="AH52" i="2" s="1"/>
  <c r="AI52" i="2" s="1"/>
  <c r="AJ52" i="2" s="1"/>
  <c r="AK52" i="2" s="1"/>
  <c r="AL52" i="2" s="1"/>
  <c r="AM52" i="2" s="1"/>
  <c r="AN52" i="2" s="1"/>
  <c r="AO52" i="2" s="1"/>
  <c r="AP52" i="2" s="1"/>
  <c r="AQ52" i="2" s="1"/>
  <c r="AR52" i="2" s="1"/>
  <c r="F53" i="2"/>
  <c r="G53" i="2" s="1"/>
  <c r="H53" i="2" s="1"/>
  <c r="I53" i="2" s="1"/>
  <c r="J53" i="2" s="1"/>
  <c r="K53" i="2" s="1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AG53" i="2" s="1"/>
  <c r="AH53" i="2" s="1"/>
  <c r="AI53" i="2" s="1"/>
  <c r="AJ53" i="2" s="1"/>
  <c r="AK53" i="2" s="1"/>
  <c r="AL53" i="2" s="1"/>
  <c r="AM53" i="2" s="1"/>
  <c r="AN53" i="2" s="1"/>
  <c r="AO53" i="2" s="1"/>
  <c r="AP53" i="2" s="1"/>
  <c r="AQ53" i="2" s="1"/>
  <c r="AR53" i="2" s="1"/>
  <c r="F54" i="2"/>
  <c r="G54" i="2" s="1"/>
  <c r="H54" i="2" s="1"/>
  <c r="I54" i="2" s="1"/>
  <c r="J54" i="2" s="1"/>
  <c r="K54" i="2" s="1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AG54" i="2" s="1"/>
  <c r="AH54" i="2" s="1"/>
  <c r="AI54" i="2" s="1"/>
  <c r="AJ54" i="2" s="1"/>
  <c r="AK54" i="2" s="1"/>
  <c r="AL54" i="2" s="1"/>
  <c r="AM54" i="2" s="1"/>
  <c r="AN54" i="2" s="1"/>
  <c r="AO54" i="2" s="1"/>
  <c r="AP54" i="2" s="1"/>
  <c r="AQ54" i="2" s="1"/>
  <c r="AR54" i="2" s="1"/>
  <c r="F55" i="2"/>
  <c r="G55" i="2" s="1"/>
  <c r="H55" i="2" s="1"/>
  <c r="I55" i="2" s="1"/>
  <c r="J55" i="2" s="1"/>
  <c r="K55" i="2" s="1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AG55" i="2" s="1"/>
  <c r="AH55" i="2" s="1"/>
  <c r="AI55" i="2" s="1"/>
  <c r="AJ55" i="2" s="1"/>
  <c r="AK55" i="2" s="1"/>
  <c r="AL55" i="2" s="1"/>
  <c r="AM55" i="2" s="1"/>
  <c r="AN55" i="2" s="1"/>
  <c r="AO55" i="2" s="1"/>
  <c r="AP55" i="2" s="1"/>
  <c r="AQ55" i="2" s="1"/>
  <c r="AR55" i="2" s="1"/>
  <c r="F56" i="2"/>
  <c r="G56" i="2" s="1"/>
  <c r="H56" i="2" s="1"/>
  <c r="I56" i="2" s="1"/>
  <c r="J56" i="2" s="1"/>
  <c r="K56" i="2" s="1"/>
  <c r="L56" i="2" s="1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AC56" i="2" s="1"/>
  <c r="AD56" i="2" s="1"/>
  <c r="AE56" i="2" s="1"/>
  <c r="AF56" i="2" s="1"/>
  <c r="AG56" i="2" s="1"/>
  <c r="AH56" i="2" s="1"/>
  <c r="AI56" i="2" s="1"/>
  <c r="AJ56" i="2" s="1"/>
  <c r="AK56" i="2" s="1"/>
  <c r="AL56" i="2" s="1"/>
  <c r="AM56" i="2" s="1"/>
  <c r="AN56" i="2" s="1"/>
  <c r="AO56" i="2" s="1"/>
  <c r="AP56" i="2" s="1"/>
  <c r="AQ56" i="2" s="1"/>
  <c r="AR56" i="2" s="1"/>
  <c r="F57" i="2"/>
  <c r="G57" i="2" s="1"/>
  <c r="H57" i="2" s="1"/>
  <c r="I57" i="2" s="1"/>
  <c r="J57" i="2" s="1"/>
  <c r="K57" i="2" s="1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M57" i="2" s="1"/>
  <c r="AN57" i="2" s="1"/>
  <c r="AO57" i="2" s="1"/>
  <c r="AP57" i="2" s="1"/>
  <c r="AQ57" i="2" s="1"/>
  <c r="AR57" i="2" s="1"/>
  <c r="F58" i="2"/>
  <c r="G58" i="2" s="1"/>
  <c r="H58" i="2" s="1"/>
  <c r="I58" i="2" s="1"/>
  <c r="J58" i="2" s="1"/>
  <c r="K58" i="2" s="1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AG58" i="2" s="1"/>
  <c r="AH58" i="2" s="1"/>
  <c r="AI58" i="2" s="1"/>
  <c r="AJ58" i="2" s="1"/>
  <c r="AK58" i="2" s="1"/>
  <c r="AL58" i="2" s="1"/>
  <c r="AM58" i="2" s="1"/>
  <c r="AN58" i="2" s="1"/>
  <c r="AO58" i="2" s="1"/>
  <c r="AP58" i="2" s="1"/>
  <c r="AQ58" i="2" s="1"/>
  <c r="AR58" i="2" s="1"/>
  <c r="F59" i="2"/>
  <c r="G59" i="2" s="1"/>
  <c r="H59" i="2" s="1"/>
  <c r="I59" i="2" s="1"/>
  <c r="J59" i="2" s="1"/>
  <c r="K59" i="2" s="1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AG59" i="2" s="1"/>
  <c r="AH59" i="2" s="1"/>
  <c r="AI59" i="2" s="1"/>
  <c r="AJ59" i="2" s="1"/>
  <c r="AK59" i="2" s="1"/>
  <c r="AL59" i="2" s="1"/>
  <c r="AM59" i="2" s="1"/>
  <c r="AN59" i="2" s="1"/>
  <c r="AO59" i="2" s="1"/>
  <c r="AP59" i="2" s="1"/>
  <c r="AQ59" i="2" s="1"/>
  <c r="AR59" i="2" s="1"/>
  <c r="F60" i="2"/>
  <c r="G60" i="2" s="1"/>
  <c r="H60" i="2" s="1"/>
  <c r="I60" i="2" s="1"/>
  <c r="J60" i="2" s="1"/>
  <c r="K60" i="2" s="1"/>
  <c r="L60" i="2" s="1"/>
  <c r="M60" i="2" s="1"/>
  <c r="N60" i="2" s="1"/>
  <c r="O60" i="2" s="1"/>
  <c r="P60" i="2" s="1"/>
  <c r="Q60" i="2" s="1"/>
  <c r="R60" i="2" s="1"/>
  <c r="S60" i="2" s="1"/>
  <c r="T60" i="2" s="1"/>
  <c r="U60" i="2" s="1"/>
  <c r="V60" i="2" s="1"/>
  <c r="W60" i="2" s="1"/>
  <c r="X60" i="2" s="1"/>
  <c r="Y60" i="2" s="1"/>
  <c r="Z60" i="2" s="1"/>
  <c r="AA60" i="2" s="1"/>
  <c r="AB60" i="2" s="1"/>
  <c r="AC60" i="2" s="1"/>
  <c r="AD60" i="2" s="1"/>
  <c r="AE60" i="2" s="1"/>
  <c r="AF60" i="2" s="1"/>
  <c r="AG60" i="2" s="1"/>
  <c r="AH60" i="2" s="1"/>
  <c r="AI60" i="2" s="1"/>
  <c r="AJ60" i="2" s="1"/>
  <c r="AK60" i="2" s="1"/>
  <c r="AL60" i="2" s="1"/>
  <c r="AM60" i="2" s="1"/>
  <c r="AN60" i="2" s="1"/>
  <c r="AO60" i="2" s="1"/>
  <c r="AP60" i="2" s="1"/>
  <c r="AQ60" i="2" s="1"/>
  <c r="AR60" i="2" s="1"/>
  <c r="F61" i="2"/>
  <c r="G61" i="2" s="1"/>
  <c r="H61" i="2" s="1"/>
  <c r="I61" i="2" s="1"/>
  <c r="J61" i="2" s="1"/>
  <c r="K61" i="2" s="1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AG61" i="2" s="1"/>
  <c r="AH61" i="2" s="1"/>
  <c r="AI61" i="2" s="1"/>
  <c r="AJ61" i="2" s="1"/>
  <c r="AK61" i="2" s="1"/>
  <c r="AL61" i="2" s="1"/>
  <c r="AM61" i="2" s="1"/>
  <c r="AN61" i="2" s="1"/>
  <c r="AO61" i="2" s="1"/>
  <c r="AP61" i="2" s="1"/>
  <c r="AQ61" i="2" s="1"/>
  <c r="AR61" i="2" s="1"/>
  <c r="F62" i="2"/>
  <c r="G62" i="2" s="1"/>
  <c r="H62" i="2" s="1"/>
  <c r="I62" i="2" s="1"/>
  <c r="J62" i="2" s="1"/>
  <c r="K62" i="2" s="1"/>
  <c r="L62" i="2" s="1"/>
  <c r="M62" i="2" s="1"/>
  <c r="N62" i="2" s="1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AR62" i="2" s="1"/>
  <c r="F63" i="2"/>
  <c r="G63" i="2" s="1"/>
  <c r="H63" i="2" s="1"/>
  <c r="I63" i="2" s="1"/>
  <c r="J63" i="2" s="1"/>
  <c r="K63" i="2" s="1"/>
  <c r="L63" i="2" s="1"/>
  <c r="M63" i="2" s="1"/>
  <c r="N63" i="2" s="1"/>
  <c r="O63" i="2" s="1"/>
  <c r="P63" i="2" s="1"/>
  <c r="Q63" i="2" s="1"/>
  <c r="R63" i="2" s="1"/>
  <c r="S63" i="2" s="1"/>
  <c r="T63" i="2" s="1"/>
  <c r="U63" i="2" s="1"/>
  <c r="V63" i="2" s="1"/>
  <c r="W63" i="2" s="1"/>
  <c r="X63" i="2" s="1"/>
  <c r="Y63" i="2" s="1"/>
  <c r="Z63" i="2" s="1"/>
  <c r="AA63" i="2" s="1"/>
  <c r="AB63" i="2" s="1"/>
  <c r="AC63" i="2" s="1"/>
  <c r="AD63" i="2" s="1"/>
  <c r="AE63" i="2" s="1"/>
  <c r="AF63" i="2" s="1"/>
  <c r="AG63" i="2" s="1"/>
  <c r="AH63" i="2" s="1"/>
  <c r="AI63" i="2" s="1"/>
  <c r="AJ63" i="2" s="1"/>
  <c r="AK63" i="2" s="1"/>
  <c r="AL63" i="2" s="1"/>
  <c r="AM63" i="2" s="1"/>
  <c r="AN63" i="2" s="1"/>
  <c r="AO63" i="2" s="1"/>
  <c r="AP63" i="2" s="1"/>
  <c r="AQ63" i="2" s="1"/>
  <c r="AR63" i="2" s="1"/>
  <c r="F64" i="2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Q64" i="2" s="1"/>
  <c r="R64" i="2" s="1"/>
  <c r="S64" i="2" s="1"/>
  <c r="T64" i="2" s="1"/>
  <c r="U64" i="2" s="1"/>
  <c r="V64" i="2" s="1"/>
  <c r="W64" i="2" s="1"/>
  <c r="X64" i="2" s="1"/>
  <c r="Y64" i="2" s="1"/>
  <c r="Z64" i="2" s="1"/>
  <c r="AA64" i="2" s="1"/>
  <c r="AB64" i="2" s="1"/>
  <c r="AC64" i="2" s="1"/>
  <c r="AD64" i="2" s="1"/>
  <c r="AE64" i="2" s="1"/>
  <c r="AF64" i="2" s="1"/>
  <c r="AG64" i="2" s="1"/>
  <c r="AH64" i="2" s="1"/>
  <c r="AI64" i="2" s="1"/>
  <c r="AJ64" i="2" s="1"/>
  <c r="AK64" i="2" s="1"/>
  <c r="AL64" i="2" s="1"/>
  <c r="AM64" i="2" s="1"/>
  <c r="AN64" i="2" s="1"/>
  <c r="AO64" i="2" s="1"/>
  <c r="AP64" i="2" s="1"/>
  <c r="AQ64" i="2" s="1"/>
  <c r="AR64" i="2" s="1"/>
  <c r="F65" i="2"/>
  <c r="G65" i="2" s="1"/>
  <c r="H65" i="2" s="1"/>
  <c r="I65" i="2" s="1"/>
  <c r="J65" i="2" s="1"/>
  <c r="K65" i="2" s="1"/>
  <c r="L65" i="2" s="1"/>
  <c r="M65" i="2" s="1"/>
  <c r="N65" i="2" s="1"/>
  <c r="O65" i="2" s="1"/>
  <c r="P65" i="2" s="1"/>
  <c r="Q65" i="2" s="1"/>
  <c r="R65" i="2" s="1"/>
  <c r="S65" i="2" s="1"/>
  <c r="T65" i="2" s="1"/>
  <c r="U65" i="2" s="1"/>
  <c r="V65" i="2" s="1"/>
  <c r="W65" i="2" s="1"/>
  <c r="X65" i="2" s="1"/>
  <c r="Y65" i="2" s="1"/>
  <c r="Z65" i="2" s="1"/>
  <c r="AA65" i="2" s="1"/>
  <c r="AB65" i="2" s="1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M65" i="2" s="1"/>
  <c r="AN65" i="2" s="1"/>
  <c r="AO65" i="2" s="1"/>
  <c r="AP65" i="2" s="1"/>
  <c r="AQ65" i="2" s="1"/>
  <c r="AR65" i="2" s="1"/>
  <c r="F66" i="2"/>
  <c r="G66" i="2" s="1"/>
  <c r="H66" i="2" s="1"/>
  <c r="I66" i="2" s="1"/>
  <c r="J66" i="2" s="1"/>
  <c r="K66" i="2" s="1"/>
  <c r="L66" i="2" s="1"/>
  <c r="M66" i="2" s="1"/>
  <c r="N66" i="2" s="1"/>
  <c r="O66" i="2" s="1"/>
  <c r="P66" i="2" s="1"/>
  <c r="Q66" i="2" s="1"/>
  <c r="R66" i="2" s="1"/>
  <c r="S66" i="2" s="1"/>
  <c r="T66" i="2" s="1"/>
  <c r="U66" i="2" s="1"/>
  <c r="V66" i="2" s="1"/>
  <c r="W66" i="2" s="1"/>
  <c r="X66" i="2" s="1"/>
  <c r="Y66" i="2" s="1"/>
  <c r="Z66" i="2" s="1"/>
  <c r="AA66" i="2" s="1"/>
  <c r="AB66" i="2" s="1"/>
  <c r="AC66" i="2" s="1"/>
  <c r="AD66" i="2" s="1"/>
  <c r="AE66" i="2" s="1"/>
  <c r="AF66" i="2" s="1"/>
  <c r="AG66" i="2" s="1"/>
  <c r="AH66" i="2" s="1"/>
  <c r="AI66" i="2" s="1"/>
  <c r="AJ66" i="2" s="1"/>
  <c r="AK66" i="2" s="1"/>
  <c r="AL66" i="2" s="1"/>
  <c r="AM66" i="2" s="1"/>
  <c r="AN66" i="2" s="1"/>
  <c r="AO66" i="2" s="1"/>
  <c r="AP66" i="2" s="1"/>
  <c r="AQ66" i="2" s="1"/>
  <c r="AR66" i="2" s="1"/>
  <c r="F67" i="2"/>
  <c r="G67" i="2" s="1"/>
  <c r="H67" i="2" s="1"/>
  <c r="I67" i="2" s="1"/>
  <c r="J67" i="2" s="1"/>
  <c r="K67" i="2" s="1"/>
  <c r="L67" i="2" s="1"/>
  <c r="M67" i="2" s="1"/>
  <c r="N67" i="2" s="1"/>
  <c r="O67" i="2" s="1"/>
  <c r="P67" i="2" s="1"/>
  <c r="Q67" i="2" s="1"/>
  <c r="R67" i="2" s="1"/>
  <c r="S67" i="2" s="1"/>
  <c r="T67" i="2" s="1"/>
  <c r="U67" i="2" s="1"/>
  <c r="V67" i="2" s="1"/>
  <c r="W67" i="2" s="1"/>
  <c r="X67" i="2" s="1"/>
  <c r="Y67" i="2" s="1"/>
  <c r="Z67" i="2" s="1"/>
  <c r="AA67" i="2" s="1"/>
  <c r="AB67" i="2" s="1"/>
  <c r="AC67" i="2" s="1"/>
  <c r="AD67" i="2" s="1"/>
  <c r="AE67" i="2" s="1"/>
  <c r="AF67" i="2" s="1"/>
  <c r="AG67" i="2" s="1"/>
  <c r="AH67" i="2" s="1"/>
  <c r="AI67" i="2" s="1"/>
  <c r="AJ67" i="2" s="1"/>
  <c r="AK67" i="2" s="1"/>
  <c r="AL67" i="2" s="1"/>
  <c r="AM67" i="2" s="1"/>
  <c r="AN67" i="2" s="1"/>
  <c r="AO67" i="2" s="1"/>
  <c r="AP67" i="2" s="1"/>
  <c r="AQ67" i="2" s="1"/>
  <c r="AR67" i="2" s="1"/>
  <c r="F68" i="2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AA68" i="2" s="1"/>
  <c r="AB68" i="2" s="1"/>
  <c r="AC68" i="2" s="1"/>
  <c r="AD68" i="2" s="1"/>
  <c r="AE68" i="2" s="1"/>
  <c r="AF68" i="2" s="1"/>
  <c r="AG68" i="2" s="1"/>
  <c r="AH68" i="2" s="1"/>
  <c r="AI68" i="2" s="1"/>
  <c r="AJ68" i="2" s="1"/>
  <c r="AK68" i="2" s="1"/>
  <c r="AL68" i="2" s="1"/>
  <c r="AM68" i="2" s="1"/>
  <c r="AN68" i="2" s="1"/>
  <c r="AO68" i="2" s="1"/>
  <c r="AP68" i="2" s="1"/>
  <c r="AQ68" i="2" s="1"/>
  <c r="AR68" i="2" s="1"/>
  <c r="F69" i="2"/>
  <c r="G69" i="2" s="1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AA69" i="2" s="1"/>
  <c r="AB69" i="2" s="1"/>
  <c r="AC69" i="2" s="1"/>
  <c r="AD69" i="2" s="1"/>
  <c r="AE69" i="2" s="1"/>
  <c r="AF69" i="2" s="1"/>
  <c r="AG69" i="2" s="1"/>
  <c r="AH69" i="2" s="1"/>
  <c r="AI69" i="2" s="1"/>
  <c r="AJ69" i="2" s="1"/>
  <c r="AK69" i="2" s="1"/>
  <c r="AL69" i="2" s="1"/>
  <c r="AM69" i="2" s="1"/>
  <c r="AN69" i="2" s="1"/>
  <c r="AO69" i="2" s="1"/>
  <c r="AP69" i="2" s="1"/>
  <c r="AQ69" i="2" s="1"/>
  <c r="AR69" i="2" s="1"/>
  <c r="F70" i="2"/>
  <c r="G70" i="2" s="1"/>
  <c r="H70" i="2" s="1"/>
  <c r="I70" i="2" s="1"/>
  <c r="J70" i="2" s="1"/>
  <c r="K70" i="2" s="1"/>
  <c r="L70" i="2" s="1"/>
  <c r="M70" i="2" s="1"/>
  <c r="N70" i="2" s="1"/>
  <c r="O70" i="2" s="1"/>
  <c r="P70" i="2" s="1"/>
  <c r="Q70" i="2" s="1"/>
  <c r="R70" i="2" s="1"/>
  <c r="S70" i="2" s="1"/>
  <c r="T70" i="2" s="1"/>
  <c r="U70" i="2" s="1"/>
  <c r="V70" i="2" s="1"/>
  <c r="W70" i="2" s="1"/>
  <c r="X70" i="2" s="1"/>
  <c r="Y70" i="2" s="1"/>
  <c r="Z70" i="2" s="1"/>
  <c r="AA70" i="2" s="1"/>
  <c r="AB70" i="2" s="1"/>
  <c r="AC70" i="2" s="1"/>
  <c r="AD70" i="2" s="1"/>
  <c r="AE70" i="2" s="1"/>
  <c r="AF70" i="2" s="1"/>
  <c r="AG70" i="2" s="1"/>
  <c r="AH70" i="2" s="1"/>
  <c r="AI70" i="2" s="1"/>
  <c r="AJ70" i="2" s="1"/>
  <c r="AK70" i="2" s="1"/>
  <c r="AL70" i="2" s="1"/>
  <c r="AM70" i="2" s="1"/>
  <c r="AN70" i="2" s="1"/>
  <c r="AO70" i="2" s="1"/>
  <c r="AP70" i="2" s="1"/>
  <c r="AQ70" i="2" s="1"/>
  <c r="AR70" i="2" s="1"/>
  <c r="F71" i="2"/>
  <c r="G71" i="2" s="1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AB71" i="2" s="1"/>
  <c r="AC71" i="2" s="1"/>
  <c r="AD71" i="2" s="1"/>
  <c r="AE71" i="2" s="1"/>
  <c r="AF71" i="2" s="1"/>
  <c r="AG71" i="2" s="1"/>
  <c r="AH71" i="2" s="1"/>
  <c r="AI71" i="2" s="1"/>
  <c r="AJ71" i="2" s="1"/>
  <c r="AK71" i="2" s="1"/>
  <c r="AL71" i="2" s="1"/>
  <c r="AM71" i="2" s="1"/>
  <c r="AN71" i="2" s="1"/>
  <c r="AO71" i="2" s="1"/>
  <c r="AP71" i="2" s="1"/>
  <c r="AQ71" i="2" s="1"/>
  <c r="AR71" i="2" s="1"/>
  <c r="F72" i="2"/>
  <c r="G72" i="2" s="1"/>
  <c r="H72" i="2" s="1"/>
  <c r="I72" i="2" s="1"/>
  <c r="J72" i="2" s="1"/>
  <c r="K72" i="2" s="1"/>
  <c r="L72" i="2" s="1"/>
  <c r="M72" i="2" s="1"/>
  <c r="N72" i="2" s="1"/>
  <c r="O72" i="2" s="1"/>
  <c r="P72" i="2" s="1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AA72" i="2" s="1"/>
  <c r="AB72" i="2" s="1"/>
  <c r="AC72" i="2" s="1"/>
  <c r="AD72" i="2" s="1"/>
  <c r="AE72" i="2" s="1"/>
  <c r="AF72" i="2" s="1"/>
  <c r="AG72" i="2" s="1"/>
  <c r="AH72" i="2" s="1"/>
  <c r="AI72" i="2" s="1"/>
  <c r="AJ72" i="2" s="1"/>
  <c r="AK72" i="2" s="1"/>
  <c r="AL72" i="2" s="1"/>
  <c r="AM72" i="2" s="1"/>
  <c r="AN72" i="2" s="1"/>
  <c r="AO72" i="2" s="1"/>
  <c r="AP72" i="2" s="1"/>
  <c r="AQ72" i="2" s="1"/>
  <c r="AR72" i="2" s="1"/>
  <c r="F73" i="2"/>
  <c r="G73" i="2" s="1"/>
  <c r="H73" i="2" s="1"/>
  <c r="I73" i="2" s="1"/>
  <c r="J73" i="2" s="1"/>
  <c r="K73" i="2" s="1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AA73" i="2" s="1"/>
  <c r="AB73" i="2" s="1"/>
  <c r="AC73" i="2" s="1"/>
  <c r="AD73" i="2" s="1"/>
  <c r="AE73" i="2" s="1"/>
  <c r="AF73" i="2" s="1"/>
  <c r="AG73" i="2" s="1"/>
  <c r="AH73" i="2" s="1"/>
  <c r="AI73" i="2" s="1"/>
  <c r="AJ73" i="2" s="1"/>
  <c r="AK73" i="2" s="1"/>
  <c r="AL73" i="2" s="1"/>
  <c r="AM73" i="2" s="1"/>
  <c r="AN73" i="2" s="1"/>
  <c r="AO73" i="2" s="1"/>
  <c r="AP73" i="2" s="1"/>
  <c r="AQ73" i="2" s="1"/>
  <c r="AR73" i="2" s="1"/>
  <c r="F74" i="2"/>
  <c r="G74" i="2" s="1"/>
  <c r="H74" i="2" s="1"/>
  <c r="I74" i="2" s="1"/>
  <c r="J74" i="2" s="1"/>
  <c r="K74" i="2" s="1"/>
  <c r="L74" i="2" s="1"/>
  <c r="M74" i="2" s="1"/>
  <c r="N74" i="2" s="1"/>
  <c r="O74" i="2" s="1"/>
  <c r="P74" i="2" s="1"/>
  <c r="Q74" i="2" s="1"/>
  <c r="R74" i="2" s="1"/>
  <c r="S74" i="2" s="1"/>
  <c r="T74" i="2" s="1"/>
  <c r="U74" i="2" s="1"/>
  <c r="V74" i="2" s="1"/>
  <c r="W74" i="2" s="1"/>
  <c r="X74" i="2" s="1"/>
  <c r="Y74" i="2" s="1"/>
  <c r="Z74" i="2" s="1"/>
  <c r="AA74" i="2" s="1"/>
  <c r="AB74" i="2" s="1"/>
  <c r="AC74" i="2" s="1"/>
  <c r="AD74" i="2" s="1"/>
  <c r="AE74" i="2" s="1"/>
  <c r="AF74" i="2" s="1"/>
  <c r="AG74" i="2" s="1"/>
  <c r="AH74" i="2" s="1"/>
  <c r="AI74" i="2" s="1"/>
  <c r="AJ74" i="2" s="1"/>
  <c r="AK74" i="2" s="1"/>
  <c r="AL74" i="2" s="1"/>
  <c r="AM74" i="2" s="1"/>
  <c r="AN74" i="2" s="1"/>
  <c r="AO74" i="2" s="1"/>
  <c r="AP74" i="2" s="1"/>
  <c r="AQ74" i="2" s="1"/>
  <c r="AR74" i="2" s="1"/>
  <c r="F75" i="2"/>
  <c r="G75" i="2" s="1"/>
  <c r="H75" i="2" s="1"/>
  <c r="I75" i="2" s="1"/>
  <c r="J75" i="2" s="1"/>
  <c r="K75" i="2" s="1"/>
  <c r="L75" i="2" s="1"/>
  <c r="M75" i="2" s="1"/>
  <c r="N75" i="2" s="1"/>
  <c r="O75" i="2" s="1"/>
  <c r="P75" i="2" s="1"/>
  <c r="Q75" i="2" s="1"/>
  <c r="R75" i="2" s="1"/>
  <c r="S75" i="2" s="1"/>
  <c r="T75" i="2" s="1"/>
  <c r="U75" i="2" s="1"/>
  <c r="V75" i="2" s="1"/>
  <c r="W75" i="2" s="1"/>
  <c r="X75" i="2" s="1"/>
  <c r="Y75" i="2" s="1"/>
  <c r="Z75" i="2" s="1"/>
  <c r="AA75" i="2" s="1"/>
  <c r="AB75" i="2" s="1"/>
  <c r="AC75" i="2" s="1"/>
  <c r="AD75" i="2" s="1"/>
  <c r="AE75" i="2" s="1"/>
  <c r="AF75" i="2" s="1"/>
  <c r="AG75" i="2" s="1"/>
  <c r="AH75" i="2" s="1"/>
  <c r="AI75" i="2" s="1"/>
  <c r="AJ75" i="2" s="1"/>
  <c r="AK75" i="2" s="1"/>
  <c r="AL75" i="2" s="1"/>
  <c r="AM75" i="2" s="1"/>
  <c r="AN75" i="2" s="1"/>
  <c r="AO75" i="2" s="1"/>
  <c r="AP75" i="2" s="1"/>
  <c r="AQ75" i="2" s="1"/>
  <c r="AR75" i="2" s="1"/>
  <c r="F76" i="2"/>
  <c r="G76" i="2" s="1"/>
  <c r="H76" i="2" s="1"/>
  <c r="I76" i="2" s="1"/>
  <c r="J76" i="2" s="1"/>
  <c r="K76" i="2" s="1"/>
  <c r="L76" i="2" s="1"/>
  <c r="M76" i="2" s="1"/>
  <c r="N76" i="2" s="1"/>
  <c r="O76" i="2" s="1"/>
  <c r="P76" i="2" s="1"/>
  <c r="Q76" i="2" s="1"/>
  <c r="R76" i="2" s="1"/>
  <c r="S76" i="2" s="1"/>
  <c r="T76" i="2" s="1"/>
  <c r="U76" i="2" s="1"/>
  <c r="V76" i="2" s="1"/>
  <c r="W76" i="2" s="1"/>
  <c r="X76" i="2" s="1"/>
  <c r="Y76" i="2" s="1"/>
  <c r="Z76" i="2" s="1"/>
  <c r="AA76" i="2" s="1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AQ76" i="2" s="1"/>
  <c r="AR76" i="2" s="1"/>
  <c r="F77" i="2"/>
  <c r="G77" i="2" s="1"/>
  <c r="H77" i="2" s="1"/>
  <c r="I77" i="2" s="1"/>
  <c r="J77" i="2" s="1"/>
  <c r="K77" i="2" s="1"/>
  <c r="L77" i="2" s="1"/>
  <c r="M77" i="2" s="1"/>
  <c r="N77" i="2" s="1"/>
  <c r="O77" i="2" s="1"/>
  <c r="P77" i="2" s="1"/>
  <c r="Q77" i="2" s="1"/>
  <c r="R77" i="2" s="1"/>
  <c r="S77" i="2" s="1"/>
  <c r="T77" i="2" s="1"/>
  <c r="U77" i="2" s="1"/>
  <c r="V77" i="2" s="1"/>
  <c r="W77" i="2" s="1"/>
  <c r="X77" i="2" s="1"/>
  <c r="Y77" i="2" s="1"/>
  <c r="Z77" i="2" s="1"/>
  <c r="AA77" i="2" s="1"/>
  <c r="AB77" i="2" s="1"/>
  <c r="AC77" i="2" s="1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Q77" i="2" s="1"/>
  <c r="AR77" i="2" s="1"/>
  <c r="F78" i="2"/>
  <c r="G78" i="2" s="1"/>
  <c r="H78" i="2" s="1"/>
  <c r="I78" i="2" s="1"/>
  <c r="J78" i="2" s="1"/>
  <c r="K78" i="2" s="1"/>
  <c r="L78" i="2" s="1"/>
  <c r="M78" i="2" s="1"/>
  <c r="N78" i="2" s="1"/>
  <c r="O78" i="2" s="1"/>
  <c r="P78" i="2" s="1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AG78" i="2" s="1"/>
  <c r="AH78" i="2" s="1"/>
  <c r="AI78" i="2" s="1"/>
  <c r="AJ78" i="2" s="1"/>
  <c r="AK78" i="2" s="1"/>
  <c r="AL78" i="2" s="1"/>
  <c r="AM78" i="2" s="1"/>
  <c r="AN78" i="2" s="1"/>
  <c r="AO78" i="2" s="1"/>
  <c r="AP78" i="2" s="1"/>
  <c r="AQ78" i="2" s="1"/>
  <c r="AR78" i="2" s="1"/>
  <c r="F79" i="2"/>
  <c r="G79" i="2" s="1"/>
  <c r="H79" i="2" s="1"/>
  <c r="I79" i="2" s="1"/>
  <c r="J79" i="2" s="1"/>
  <c r="K79" i="2" s="1"/>
  <c r="L79" i="2" s="1"/>
  <c r="M79" i="2" s="1"/>
  <c r="N79" i="2" s="1"/>
  <c r="O79" i="2" s="1"/>
  <c r="P79" i="2" s="1"/>
  <c r="Q79" i="2" s="1"/>
  <c r="R79" i="2" s="1"/>
  <c r="S79" i="2" s="1"/>
  <c r="T79" i="2" s="1"/>
  <c r="U79" i="2" s="1"/>
  <c r="V79" i="2" s="1"/>
  <c r="W79" i="2" s="1"/>
  <c r="X79" i="2" s="1"/>
  <c r="Y79" i="2" s="1"/>
  <c r="Z79" i="2" s="1"/>
  <c r="AA79" i="2" s="1"/>
  <c r="AB79" i="2" s="1"/>
  <c r="AC79" i="2" s="1"/>
  <c r="AD79" i="2" s="1"/>
  <c r="AE79" i="2" s="1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AQ79" i="2" s="1"/>
  <c r="AR79" i="2" s="1"/>
  <c r="F80" i="2"/>
  <c r="G80" i="2" s="1"/>
  <c r="H80" i="2" s="1"/>
  <c r="I80" i="2" s="1"/>
  <c r="J80" i="2" s="1"/>
  <c r="K80" i="2" s="1"/>
  <c r="L80" i="2" s="1"/>
  <c r="M80" i="2" s="1"/>
  <c r="N80" i="2" s="1"/>
  <c r="O80" i="2" s="1"/>
  <c r="P80" i="2" s="1"/>
  <c r="Q80" i="2" s="1"/>
  <c r="R80" i="2" s="1"/>
  <c r="S80" i="2" s="1"/>
  <c r="T80" i="2" s="1"/>
  <c r="U80" i="2" s="1"/>
  <c r="V80" i="2" s="1"/>
  <c r="W80" i="2" s="1"/>
  <c r="X80" i="2" s="1"/>
  <c r="Y80" i="2" s="1"/>
  <c r="Z80" i="2" s="1"/>
  <c r="AA80" i="2" s="1"/>
  <c r="AB80" i="2" s="1"/>
  <c r="AC80" i="2" s="1"/>
  <c r="AD80" i="2" s="1"/>
  <c r="AE80" i="2" s="1"/>
  <c r="AF80" i="2" s="1"/>
  <c r="AG80" i="2" s="1"/>
  <c r="AH80" i="2" s="1"/>
  <c r="AI80" i="2" s="1"/>
  <c r="AJ80" i="2" s="1"/>
  <c r="AK80" i="2" s="1"/>
  <c r="AL80" i="2" s="1"/>
  <c r="AM80" i="2" s="1"/>
  <c r="AN80" i="2" s="1"/>
  <c r="AO80" i="2" s="1"/>
  <c r="AP80" i="2" s="1"/>
  <c r="AQ80" i="2" s="1"/>
  <c r="AR80" i="2" s="1"/>
  <c r="F81" i="2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AA81" i="2" s="1"/>
  <c r="AB81" i="2" s="1"/>
  <c r="AC81" i="2" s="1"/>
  <c r="AD81" i="2" s="1"/>
  <c r="AE81" i="2" s="1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AP81" i="2" s="1"/>
  <c r="AQ81" i="2" s="1"/>
  <c r="AR81" i="2" s="1"/>
  <c r="F82" i="2"/>
  <c r="G82" i="2" s="1"/>
  <c r="H82" i="2" s="1"/>
  <c r="I82" i="2" s="1"/>
  <c r="J82" i="2" s="1"/>
  <c r="K82" i="2" s="1"/>
  <c r="L82" i="2" s="1"/>
  <c r="M82" i="2" s="1"/>
  <c r="N82" i="2" s="1"/>
  <c r="O82" i="2" s="1"/>
  <c r="P82" i="2" s="1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AA82" i="2" s="1"/>
  <c r="AB82" i="2" s="1"/>
  <c r="AC82" i="2" s="1"/>
  <c r="AD82" i="2" s="1"/>
  <c r="AE82" i="2" s="1"/>
  <c r="AF82" i="2" s="1"/>
  <c r="AG82" i="2" s="1"/>
  <c r="AH82" i="2" s="1"/>
  <c r="AI82" i="2" s="1"/>
  <c r="AJ82" i="2" s="1"/>
  <c r="AK82" i="2" s="1"/>
  <c r="AL82" i="2" s="1"/>
  <c r="AM82" i="2" s="1"/>
  <c r="AN82" i="2" s="1"/>
  <c r="AO82" i="2" s="1"/>
  <c r="AP82" i="2" s="1"/>
  <c r="AQ82" i="2" s="1"/>
  <c r="AR82" i="2" s="1"/>
  <c r="F83" i="2"/>
  <c r="G83" i="2" s="1"/>
  <c r="H83" i="2" s="1"/>
  <c r="I83" i="2" s="1"/>
  <c r="J83" i="2" s="1"/>
  <c r="K83" i="2" s="1"/>
  <c r="L83" i="2" s="1"/>
  <c r="M83" i="2" s="1"/>
  <c r="N83" i="2" s="1"/>
  <c r="O83" i="2" s="1"/>
  <c r="P83" i="2" s="1"/>
  <c r="Q83" i="2" s="1"/>
  <c r="R83" i="2" s="1"/>
  <c r="S83" i="2" s="1"/>
  <c r="T83" i="2" s="1"/>
  <c r="U83" i="2" s="1"/>
  <c r="V83" i="2" s="1"/>
  <c r="W83" i="2" s="1"/>
  <c r="X83" i="2" s="1"/>
  <c r="Y83" i="2" s="1"/>
  <c r="Z83" i="2" s="1"/>
  <c r="AA83" i="2" s="1"/>
  <c r="AB83" i="2" s="1"/>
  <c r="AC83" i="2" s="1"/>
  <c r="AD83" i="2" s="1"/>
  <c r="AE83" i="2" s="1"/>
  <c r="AF83" i="2" s="1"/>
  <c r="AG83" i="2" s="1"/>
  <c r="AH83" i="2" s="1"/>
  <c r="AI83" i="2" s="1"/>
  <c r="AJ83" i="2" s="1"/>
  <c r="AK83" i="2" s="1"/>
  <c r="AL83" i="2" s="1"/>
  <c r="AM83" i="2" s="1"/>
  <c r="AN83" i="2" s="1"/>
  <c r="AO83" i="2" s="1"/>
  <c r="AP83" i="2" s="1"/>
  <c r="AQ83" i="2" s="1"/>
  <c r="AR83" i="2" s="1"/>
  <c r="F84" i="2"/>
  <c r="G84" i="2" s="1"/>
  <c r="H84" i="2" s="1"/>
  <c r="I84" i="2" s="1"/>
  <c r="J84" i="2" s="1"/>
  <c r="K84" i="2" s="1"/>
  <c r="L84" i="2" s="1"/>
  <c r="M84" i="2" s="1"/>
  <c r="N84" i="2" s="1"/>
  <c r="O84" i="2" s="1"/>
  <c r="P84" i="2" s="1"/>
  <c r="Q84" i="2" s="1"/>
  <c r="R84" i="2" s="1"/>
  <c r="S84" i="2" s="1"/>
  <c r="T84" i="2" s="1"/>
  <c r="U84" i="2" s="1"/>
  <c r="V84" i="2" s="1"/>
  <c r="W84" i="2" s="1"/>
  <c r="X84" i="2" s="1"/>
  <c r="Y84" i="2" s="1"/>
  <c r="Z84" i="2" s="1"/>
  <c r="AA84" i="2" s="1"/>
  <c r="AB84" i="2" s="1"/>
  <c r="AC84" i="2" s="1"/>
  <c r="AD84" i="2" s="1"/>
  <c r="AE84" i="2" s="1"/>
  <c r="AF84" i="2" s="1"/>
  <c r="AG84" i="2" s="1"/>
  <c r="AH84" i="2" s="1"/>
  <c r="AI84" i="2" s="1"/>
  <c r="AJ84" i="2" s="1"/>
  <c r="AK84" i="2" s="1"/>
  <c r="AL84" i="2" s="1"/>
  <c r="AM84" i="2" s="1"/>
  <c r="AN84" i="2" s="1"/>
  <c r="AO84" i="2" s="1"/>
  <c r="AP84" i="2" s="1"/>
  <c r="AQ84" i="2" s="1"/>
  <c r="AR84" i="2" s="1"/>
  <c r="F85" i="2"/>
  <c r="G85" i="2" s="1"/>
  <c r="H85" i="2" s="1"/>
  <c r="I85" i="2" s="1"/>
  <c r="J85" i="2" s="1"/>
  <c r="K85" i="2" s="1"/>
  <c r="L85" i="2" s="1"/>
  <c r="M85" i="2" s="1"/>
  <c r="N85" i="2" s="1"/>
  <c r="O85" i="2" s="1"/>
  <c r="P85" i="2" s="1"/>
  <c r="Q85" i="2" s="1"/>
  <c r="R85" i="2" s="1"/>
  <c r="S85" i="2" s="1"/>
  <c r="T85" i="2" s="1"/>
  <c r="U85" i="2" s="1"/>
  <c r="V85" i="2" s="1"/>
  <c r="W85" i="2" s="1"/>
  <c r="X85" i="2" s="1"/>
  <c r="Y85" i="2" s="1"/>
  <c r="Z85" i="2" s="1"/>
  <c r="AA85" i="2" s="1"/>
  <c r="AB85" i="2" s="1"/>
  <c r="AC85" i="2" s="1"/>
  <c r="AD85" i="2" s="1"/>
  <c r="AE85" i="2" s="1"/>
  <c r="AF85" i="2" s="1"/>
  <c r="AG85" i="2" s="1"/>
  <c r="AH85" i="2" s="1"/>
  <c r="AI85" i="2" s="1"/>
  <c r="AJ85" i="2" s="1"/>
  <c r="AK85" i="2" s="1"/>
  <c r="AL85" i="2" s="1"/>
  <c r="AM85" i="2" s="1"/>
  <c r="AN85" i="2" s="1"/>
  <c r="AO85" i="2" s="1"/>
  <c r="AP85" i="2" s="1"/>
  <c r="AQ85" i="2" s="1"/>
  <c r="AR85" i="2" s="1"/>
  <c r="F86" i="2"/>
  <c r="G86" i="2" s="1"/>
  <c r="H86" i="2" s="1"/>
  <c r="I86" i="2" s="1"/>
  <c r="J86" i="2" s="1"/>
  <c r="K86" i="2" s="1"/>
  <c r="L86" i="2" s="1"/>
  <c r="M86" i="2" s="1"/>
  <c r="N86" i="2" s="1"/>
  <c r="O86" i="2" s="1"/>
  <c r="P86" i="2" s="1"/>
  <c r="Q86" i="2" s="1"/>
  <c r="R86" i="2" s="1"/>
  <c r="S86" i="2" s="1"/>
  <c r="T86" i="2" s="1"/>
  <c r="U86" i="2" s="1"/>
  <c r="V86" i="2" s="1"/>
  <c r="W86" i="2" s="1"/>
  <c r="X86" i="2" s="1"/>
  <c r="Y86" i="2" s="1"/>
  <c r="Z86" i="2" s="1"/>
  <c r="AA86" i="2" s="1"/>
  <c r="AB86" i="2" s="1"/>
  <c r="AC86" i="2" s="1"/>
  <c r="AD86" i="2" s="1"/>
  <c r="AE86" i="2" s="1"/>
  <c r="AF86" i="2" s="1"/>
  <c r="AG86" i="2" s="1"/>
  <c r="AH86" i="2" s="1"/>
  <c r="AI86" i="2" s="1"/>
  <c r="AJ86" i="2" s="1"/>
  <c r="AK86" i="2" s="1"/>
  <c r="AL86" i="2" s="1"/>
  <c r="AM86" i="2" s="1"/>
  <c r="AN86" i="2" s="1"/>
  <c r="AO86" i="2" s="1"/>
  <c r="AP86" i="2" s="1"/>
  <c r="AQ86" i="2" s="1"/>
  <c r="AR86" i="2" s="1"/>
  <c r="F45" i="2"/>
  <c r="G45" i="2" s="1"/>
  <c r="H45" i="2" s="1"/>
  <c r="I45" i="2" s="1"/>
  <c r="J45" i="2" s="1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AG45" i="2" s="1"/>
  <c r="AH45" i="2" s="1"/>
  <c r="AI45" i="2" s="1"/>
  <c r="AJ45" i="2" s="1"/>
  <c r="AK45" i="2" s="1"/>
  <c r="AL45" i="2" s="1"/>
  <c r="AM45" i="2" s="1"/>
  <c r="AN45" i="2" s="1"/>
  <c r="AO45" i="2" s="1"/>
  <c r="AP45" i="2" s="1"/>
  <c r="AQ45" i="2" s="1"/>
  <c r="AR45" i="2" s="1"/>
  <c r="G8" i="2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F9" i="2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F12" i="2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F13" i="2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F14" i="2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F15" i="2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F16" i="2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F17" i="2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F44" i="2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AG44" i="2" s="1"/>
  <c r="AH44" i="2" s="1"/>
  <c r="AI44" i="2" s="1"/>
  <c r="AJ44" i="2" s="1"/>
  <c r="AK44" i="2" s="1"/>
  <c r="AL44" i="2" s="1"/>
  <c r="AM44" i="2" s="1"/>
  <c r="AN44" i="2" s="1"/>
  <c r="AO44" i="2" s="1"/>
  <c r="AP44" i="2" s="1"/>
  <c r="AQ44" i="2" s="1"/>
  <c r="AR44" i="2" s="1"/>
  <c r="F19" i="2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F20" i="2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F21" i="2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F22" i="2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F23" i="2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F24" i="2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F25" i="2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F26" i="2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F27" i="2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Q27" i="2" s="1"/>
  <c r="AR27" i="2" s="1"/>
  <c r="F28" i="2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AJ28" i="2" s="1"/>
  <c r="AK28" i="2" s="1"/>
  <c r="AL28" i="2" s="1"/>
  <c r="AM28" i="2" s="1"/>
  <c r="AN28" i="2" s="1"/>
  <c r="AO28" i="2" s="1"/>
  <c r="AP28" i="2" s="1"/>
  <c r="AQ28" i="2" s="1"/>
  <c r="AR28" i="2" s="1"/>
  <c r="F29" i="2"/>
  <c r="G29" i="2" s="1"/>
  <c r="H29" i="2" s="1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AG29" i="2" s="1"/>
  <c r="AH29" i="2" s="1"/>
  <c r="AI29" i="2" s="1"/>
  <c r="AJ29" i="2" s="1"/>
  <c r="AK29" i="2" s="1"/>
  <c r="AL29" i="2" s="1"/>
  <c r="AM29" i="2" s="1"/>
  <c r="AN29" i="2" s="1"/>
  <c r="AO29" i="2" s="1"/>
  <c r="AP29" i="2" s="1"/>
  <c r="AQ29" i="2" s="1"/>
  <c r="AR29" i="2" s="1"/>
  <c r="F30" i="2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AG30" i="2" s="1"/>
  <c r="AH30" i="2" s="1"/>
  <c r="AI30" i="2" s="1"/>
  <c r="AJ30" i="2" s="1"/>
  <c r="AK30" i="2" s="1"/>
  <c r="AL30" i="2" s="1"/>
  <c r="AM30" i="2" s="1"/>
  <c r="AN30" i="2" s="1"/>
  <c r="AO30" i="2" s="1"/>
  <c r="AP30" i="2" s="1"/>
  <c r="AQ30" i="2" s="1"/>
  <c r="AR30" i="2" s="1"/>
  <c r="F31" i="2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AM31" i="2" s="1"/>
  <c r="AN31" i="2" s="1"/>
  <c r="AO31" i="2" s="1"/>
  <c r="AP31" i="2" s="1"/>
  <c r="AQ31" i="2" s="1"/>
  <c r="AR31" i="2" s="1"/>
  <c r="F32" i="2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F33" i="2"/>
  <c r="G33" i="2" s="1"/>
  <c r="H33" i="2" s="1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AP33" i="2" s="1"/>
  <c r="AQ33" i="2" s="1"/>
  <c r="AR33" i="2" s="1"/>
  <c r="F34" i="2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F35" i="2"/>
  <c r="G35" i="2" s="1"/>
  <c r="H35" i="2" s="1"/>
  <c r="I35" i="2" s="1"/>
  <c r="J35" i="2" s="1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AG35" i="2" s="1"/>
  <c r="AH35" i="2" s="1"/>
  <c r="AI35" i="2" s="1"/>
  <c r="AJ35" i="2" s="1"/>
  <c r="AK35" i="2" s="1"/>
  <c r="AL35" i="2" s="1"/>
  <c r="AM35" i="2" s="1"/>
  <c r="AN35" i="2" s="1"/>
  <c r="AO35" i="2" s="1"/>
  <c r="AP35" i="2" s="1"/>
  <c r="AQ35" i="2" s="1"/>
  <c r="AR35" i="2" s="1"/>
  <c r="F36" i="2"/>
  <c r="G36" i="2" s="1"/>
  <c r="H36" i="2" s="1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M36" i="2" s="1"/>
  <c r="AN36" i="2" s="1"/>
  <c r="AO36" i="2" s="1"/>
  <c r="AP36" i="2" s="1"/>
  <c r="AQ36" i="2" s="1"/>
  <c r="AR36" i="2" s="1"/>
  <c r="F37" i="2"/>
  <c r="G37" i="2" s="1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AG37" i="2" s="1"/>
  <c r="AH37" i="2" s="1"/>
  <c r="AI37" i="2" s="1"/>
  <c r="AJ37" i="2" s="1"/>
  <c r="AK37" i="2" s="1"/>
  <c r="AL37" i="2" s="1"/>
  <c r="AM37" i="2" s="1"/>
  <c r="AN37" i="2" s="1"/>
  <c r="AO37" i="2" s="1"/>
  <c r="AP37" i="2" s="1"/>
  <c r="AQ37" i="2" s="1"/>
  <c r="AR37" i="2" s="1"/>
  <c r="F38" i="2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AG38" i="2" s="1"/>
  <c r="AH38" i="2" s="1"/>
  <c r="AI38" i="2" s="1"/>
  <c r="AJ38" i="2" s="1"/>
  <c r="AK38" i="2" s="1"/>
  <c r="AL38" i="2" s="1"/>
  <c r="AM38" i="2" s="1"/>
  <c r="AN38" i="2" s="1"/>
  <c r="AO38" i="2" s="1"/>
  <c r="AP38" i="2" s="1"/>
  <c r="AQ38" i="2" s="1"/>
  <c r="AR38" i="2" s="1"/>
  <c r="F39" i="2"/>
  <c r="G39" i="2" s="1"/>
  <c r="H39" i="2" s="1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AG39" i="2" s="1"/>
  <c r="AH39" i="2" s="1"/>
  <c r="AI39" i="2" s="1"/>
  <c r="AJ39" i="2" s="1"/>
  <c r="AK39" i="2" s="1"/>
  <c r="AL39" i="2" s="1"/>
  <c r="AM39" i="2" s="1"/>
  <c r="AN39" i="2" s="1"/>
  <c r="AO39" i="2" s="1"/>
  <c r="AP39" i="2" s="1"/>
  <c r="AQ39" i="2" s="1"/>
  <c r="AR39" i="2" s="1"/>
  <c r="F40" i="2"/>
  <c r="G40" i="2" s="1"/>
  <c r="H40" i="2" s="1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AG40" i="2" s="1"/>
  <c r="AH40" i="2" s="1"/>
  <c r="AI40" i="2" s="1"/>
  <c r="AJ40" i="2" s="1"/>
  <c r="AK40" i="2" s="1"/>
  <c r="AL40" i="2" s="1"/>
  <c r="AM40" i="2" s="1"/>
  <c r="AN40" i="2" s="1"/>
  <c r="AO40" i="2" s="1"/>
  <c r="AP40" i="2" s="1"/>
  <c r="AQ40" i="2" s="1"/>
  <c r="AR40" i="2" s="1"/>
  <c r="F41" i="2"/>
  <c r="G41" i="2" s="1"/>
  <c r="H41" i="2" s="1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M41" i="2" s="1"/>
  <c r="AN41" i="2" s="1"/>
  <c r="AO41" i="2" s="1"/>
  <c r="AP41" i="2" s="1"/>
  <c r="AQ41" i="2" s="1"/>
  <c r="AR41" i="2" s="1"/>
  <c r="F42" i="2"/>
  <c r="G42" i="2" s="1"/>
  <c r="H42" i="2" s="1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AG42" i="2" s="1"/>
  <c r="AH42" i="2" s="1"/>
  <c r="AI42" i="2" s="1"/>
  <c r="AJ42" i="2" s="1"/>
  <c r="AK42" i="2" s="1"/>
  <c r="AL42" i="2" s="1"/>
  <c r="AM42" i="2" s="1"/>
  <c r="AN42" i="2" s="1"/>
  <c r="AO42" i="2" s="1"/>
  <c r="AP42" i="2" s="1"/>
  <c r="AQ42" i="2" s="1"/>
  <c r="AR42" i="2" s="1"/>
  <c r="F43" i="2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F18" i="2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G5" i="2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H6" i="2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F5" i="2"/>
  <c r="F6" i="2"/>
  <c r="G6" i="2" s="1"/>
  <c r="F7" i="2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F4" i="2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F6" i="7"/>
  <c r="AO7" i="6"/>
  <c r="AP7" i="6" s="1"/>
  <c r="AQ7" i="6" s="1"/>
  <c r="AR7" i="6" s="1"/>
  <c r="AS7" i="6" s="1"/>
  <c r="AT7" i="6" s="1"/>
  <c r="AU7" i="6" s="1"/>
  <c r="AV7" i="6" s="1"/>
  <c r="AW7" i="6" s="1"/>
  <c r="AX7" i="6" s="1"/>
  <c r="AO8" i="6"/>
  <c r="AP8" i="6" s="1"/>
  <c r="AQ8" i="6" s="1"/>
  <c r="AR8" i="6" s="1"/>
  <c r="AS8" i="6" s="1"/>
  <c r="AT8" i="6" s="1"/>
  <c r="AU8" i="6" s="1"/>
  <c r="AV8" i="6" s="1"/>
  <c r="AW8" i="6" s="1"/>
  <c r="AX8" i="6" s="1"/>
  <c r="AO9" i="6"/>
  <c r="AP9" i="6" s="1"/>
  <c r="AQ9" i="6" s="1"/>
  <c r="AR9" i="6" s="1"/>
  <c r="AS9" i="6" s="1"/>
  <c r="AT9" i="6" s="1"/>
  <c r="AU9" i="6" s="1"/>
  <c r="AV9" i="6" s="1"/>
  <c r="AW9" i="6" s="1"/>
  <c r="AX9" i="6" s="1"/>
  <c r="AO10" i="6"/>
  <c r="AP10" i="6" s="1"/>
  <c r="AQ10" i="6" s="1"/>
  <c r="AR10" i="6" s="1"/>
  <c r="AS10" i="6" s="1"/>
  <c r="AT10" i="6" s="1"/>
  <c r="AU10" i="6" s="1"/>
  <c r="AV10" i="6" s="1"/>
  <c r="AW10" i="6" s="1"/>
  <c r="AX10" i="6" s="1"/>
  <c r="AO11" i="6"/>
  <c r="AP11" i="6" s="1"/>
  <c r="AQ11" i="6" s="1"/>
  <c r="AR11" i="6" s="1"/>
  <c r="AS11" i="6" s="1"/>
  <c r="AT11" i="6" s="1"/>
  <c r="AU11" i="6" s="1"/>
  <c r="AV11" i="6" s="1"/>
  <c r="AW11" i="6" s="1"/>
  <c r="AX11" i="6" s="1"/>
  <c r="AO12" i="6"/>
  <c r="AP12" i="6" s="1"/>
  <c r="AQ12" i="6" s="1"/>
  <c r="AR12" i="6" s="1"/>
  <c r="AS12" i="6" s="1"/>
  <c r="AT12" i="6" s="1"/>
  <c r="AU12" i="6" s="1"/>
  <c r="AV12" i="6" s="1"/>
  <c r="AW12" i="6" s="1"/>
  <c r="AX12" i="6" s="1"/>
  <c r="AO13" i="6"/>
  <c r="AP13" i="6" s="1"/>
  <c r="AQ13" i="6" s="1"/>
  <c r="AR13" i="6" s="1"/>
  <c r="AS13" i="6" s="1"/>
  <c r="AT13" i="6" s="1"/>
  <c r="AU13" i="6" s="1"/>
  <c r="AV13" i="6" s="1"/>
  <c r="AW13" i="6" s="1"/>
  <c r="AX13" i="6" s="1"/>
  <c r="AO14" i="6"/>
  <c r="AP14" i="6"/>
  <c r="AQ14" i="6" s="1"/>
  <c r="AR14" i="6" s="1"/>
  <c r="AS14" i="6" s="1"/>
  <c r="AT14" i="6" s="1"/>
  <c r="AU14" i="6" s="1"/>
  <c r="AV14" i="6" s="1"/>
  <c r="AW14" i="6" s="1"/>
  <c r="AX14" i="6" s="1"/>
  <c r="AO15" i="6"/>
  <c r="AP15" i="6" s="1"/>
  <c r="AQ15" i="6" s="1"/>
  <c r="AR15" i="6" s="1"/>
  <c r="AS15" i="6" s="1"/>
  <c r="AT15" i="6"/>
  <c r="AU15" i="6" s="1"/>
  <c r="AV15" i="6"/>
  <c r="AW15" i="6" s="1"/>
  <c r="AX15" i="6" s="1"/>
  <c r="AO16" i="6"/>
  <c r="AP16" i="6" s="1"/>
  <c r="AQ16" i="6" s="1"/>
  <c r="AR16" i="6" s="1"/>
  <c r="AS16" i="6" s="1"/>
  <c r="AT16" i="6" s="1"/>
  <c r="AU16" i="6" s="1"/>
  <c r="AV16" i="6" s="1"/>
  <c r="AW16" i="6" s="1"/>
  <c r="AX16" i="6" s="1"/>
  <c r="AO17" i="6"/>
  <c r="AP17" i="6"/>
  <c r="AQ17" i="6" s="1"/>
  <c r="AR17" i="6" s="1"/>
  <c r="AS17" i="6" s="1"/>
  <c r="AT17" i="6" s="1"/>
  <c r="AU17" i="6" s="1"/>
  <c r="AV17" i="6" s="1"/>
  <c r="AW17" i="6" s="1"/>
  <c r="AX17" i="6" s="1"/>
  <c r="AO18" i="6"/>
  <c r="AP18" i="6"/>
  <c r="AQ18" i="6" s="1"/>
  <c r="AR18" i="6" s="1"/>
  <c r="AS18" i="6" s="1"/>
  <c r="AT18" i="6" s="1"/>
  <c r="AU18" i="6" s="1"/>
  <c r="AV18" i="6" s="1"/>
  <c r="AW18" i="6" s="1"/>
  <c r="AX18" i="6" s="1"/>
  <c r="AO19" i="6"/>
  <c r="AP19" i="6" s="1"/>
  <c r="AQ19" i="6" s="1"/>
  <c r="AR19" i="6" s="1"/>
  <c r="AS19" i="6" s="1"/>
  <c r="AT19" i="6" s="1"/>
  <c r="AU19" i="6" s="1"/>
  <c r="AV19" i="6" s="1"/>
  <c r="AW19" i="6" s="1"/>
  <c r="AX19" i="6" s="1"/>
  <c r="AO20" i="6"/>
  <c r="AP20" i="6" s="1"/>
  <c r="AQ20" i="6" s="1"/>
  <c r="AR20" i="6" s="1"/>
  <c r="AS20" i="6" s="1"/>
  <c r="AT20" i="6" s="1"/>
  <c r="AU20" i="6" s="1"/>
  <c r="AV20" i="6" s="1"/>
  <c r="AW20" i="6" s="1"/>
  <c r="AX20" i="6" s="1"/>
  <c r="AO21" i="6"/>
  <c r="AP21" i="6" s="1"/>
  <c r="AQ21" i="6" s="1"/>
  <c r="AR21" i="6" s="1"/>
  <c r="AS21" i="6" s="1"/>
  <c r="AT21" i="6" s="1"/>
  <c r="AU21" i="6" s="1"/>
  <c r="AV21" i="6" s="1"/>
  <c r="AW21" i="6" s="1"/>
  <c r="AX21" i="6" s="1"/>
  <c r="AO22" i="6"/>
  <c r="AP22" i="6" s="1"/>
  <c r="AQ22" i="6" s="1"/>
  <c r="AR22" i="6" s="1"/>
  <c r="AS22" i="6" s="1"/>
  <c r="AT22" i="6" s="1"/>
  <c r="AU22" i="6" s="1"/>
  <c r="AV22" i="6" s="1"/>
  <c r="AW22" i="6" s="1"/>
  <c r="AX22" i="6" s="1"/>
  <c r="AO23" i="6"/>
  <c r="AP23" i="6" s="1"/>
  <c r="AQ23" i="6" s="1"/>
  <c r="AR23" i="6" s="1"/>
  <c r="AS23" i="6" s="1"/>
  <c r="AT23" i="6" s="1"/>
  <c r="AU23" i="6" s="1"/>
  <c r="AV23" i="6" s="1"/>
  <c r="AW23" i="6" s="1"/>
  <c r="AX23" i="6" s="1"/>
  <c r="AO24" i="6"/>
  <c r="AP24" i="6" s="1"/>
  <c r="AQ24" i="6" s="1"/>
  <c r="AR24" i="6" s="1"/>
  <c r="AS24" i="6" s="1"/>
  <c r="AT24" i="6" s="1"/>
  <c r="AU24" i="6" s="1"/>
  <c r="AV24" i="6" s="1"/>
  <c r="AW24" i="6" s="1"/>
  <c r="AX24" i="6" s="1"/>
  <c r="AO25" i="6"/>
  <c r="AP25" i="6" s="1"/>
  <c r="AQ25" i="6" s="1"/>
  <c r="AR25" i="6" s="1"/>
  <c r="AS25" i="6" s="1"/>
  <c r="AT25" i="6" s="1"/>
  <c r="AU25" i="6" s="1"/>
  <c r="AV25" i="6" s="1"/>
  <c r="AW25" i="6" s="1"/>
  <c r="AX25" i="6" s="1"/>
  <c r="AO26" i="6"/>
  <c r="AP26" i="6" s="1"/>
  <c r="AQ26" i="6" s="1"/>
  <c r="AR26" i="6" s="1"/>
  <c r="AS26" i="6" s="1"/>
  <c r="AT26" i="6" s="1"/>
  <c r="AU26" i="6" s="1"/>
  <c r="AV26" i="6" s="1"/>
  <c r="AW26" i="6" s="1"/>
  <c r="AX26" i="6" s="1"/>
  <c r="AO27" i="6"/>
  <c r="AP27" i="6" s="1"/>
  <c r="AQ27" i="6" s="1"/>
  <c r="AR27" i="6" s="1"/>
  <c r="AS27" i="6" s="1"/>
  <c r="AT27" i="6" s="1"/>
  <c r="AU27" i="6" s="1"/>
  <c r="AV27" i="6" s="1"/>
  <c r="AW27" i="6" s="1"/>
  <c r="AX27" i="6" s="1"/>
  <c r="AO28" i="6"/>
  <c r="AP28" i="6" s="1"/>
  <c r="AQ28" i="6" s="1"/>
  <c r="AR28" i="6" s="1"/>
  <c r="AS28" i="6" s="1"/>
  <c r="AT28" i="6" s="1"/>
  <c r="AU28" i="6" s="1"/>
  <c r="AV28" i="6" s="1"/>
  <c r="AW28" i="6" s="1"/>
  <c r="AX28" i="6" s="1"/>
  <c r="AO29" i="6"/>
  <c r="AP29" i="6" s="1"/>
  <c r="AQ29" i="6" s="1"/>
  <c r="AR29" i="6" s="1"/>
  <c r="AS29" i="6" s="1"/>
  <c r="AT29" i="6" s="1"/>
  <c r="AU29" i="6" s="1"/>
  <c r="AV29" i="6" s="1"/>
  <c r="AW29" i="6" s="1"/>
  <c r="AX29" i="6" s="1"/>
  <c r="AO30" i="6"/>
  <c r="AP30" i="6" s="1"/>
  <c r="AQ30" i="6" s="1"/>
  <c r="AR30" i="6" s="1"/>
  <c r="AS30" i="6" s="1"/>
  <c r="AT30" i="6" s="1"/>
  <c r="AU30" i="6" s="1"/>
  <c r="AV30" i="6" s="1"/>
  <c r="AW30" i="6" s="1"/>
  <c r="AX30" i="6" s="1"/>
  <c r="AO31" i="6"/>
  <c r="AP31" i="6" s="1"/>
  <c r="AQ31" i="6" s="1"/>
  <c r="AR31" i="6" s="1"/>
  <c r="AS31" i="6" s="1"/>
  <c r="AT31" i="6" s="1"/>
  <c r="AU31" i="6" s="1"/>
  <c r="AV31" i="6" s="1"/>
  <c r="AW31" i="6" s="1"/>
  <c r="AX31" i="6" s="1"/>
  <c r="AO32" i="6"/>
  <c r="AP32" i="6" s="1"/>
  <c r="AQ32" i="6" s="1"/>
  <c r="AR32" i="6"/>
  <c r="AS32" i="6" s="1"/>
  <c r="AT32" i="6" s="1"/>
  <c r="AU32" i="6" s="1"/>
  <c r="AV32" i="6" s="1"/>
  <c r="AW32" i="6" s="1"/>
  <c r="AX32" i="6" s="1"/>
  <c r="AO33" i="6"/>
  <c r="AP33" i="6" s="1"/>
  <c r="AQ33" i="6" s="1"/>
  <c r="AR33" i="6" s="1"/>
  <c r="AS33" i="6" s="1"/>
  <c r="AT33" i="6" s="1"/>
  <c r="AU33" i="6" s="1"/>
  <c r="AV33" i="6" s="1"/>
  <c r="AW33" i="6" s="1"/>
  <c r="AX33" i="6" s="1"/>
  <c r="AO34" i="6"/>
  <c r="AP34" i="6" s="1"/>
  <c r="AQ34" i="6" s="1"/>
  <c r="AR34" i="6" s="1"/>
  <c r="AS34" i="6" s="1"/>
  <c r="AT34" i="6" s="1"/>
  <c r="AU34" i="6" s="1"/>
  <c r="AV34" i="6" s="1"/>
  <c r="AW34" i="6" s="1"/>
  <c r="AX34" i="6" s="1"/>
  <c r="AO35" i="6"/>
  <c r="AP35" i="6" s="1"/>
  <c r="AQ35" i="6"/>
  <c r="AR35" i="6" s="1"/>
  <c r="AS35" i="6" s="1"/>
  <c r="AT35" i="6" s="1"/>
  <c r="AU35" i="6" s="1"/>
  <c r="AV35" i="6" s="1"/>
  <c r="AW35" i="6" s="1"/>
  <c r="AX35" i="6" s="1"/>
  <c r="AO36" i="6"/>
  <c r="AP36" i="6" s="1"/>
  <c r="AQ36" i="6" s="1"/>
  <c r="AR36" i="6" s="1"/>
  <c r="AS36" i="6" s="1"/>
  <c r="AT36" i="6" s="1"/>
  <c r="AU36" i="6" s="1"/>
  <c r="AV36" i="6" s="1"/>
  <c r="AW36" i="6" s="1"/>
  <c r="AX36" i="6" s="1"/>
  <c r="AO37" i="6"/>
  <c r="AP37" i="6" s="1"/>
  <c r="AQ37" i="6" s="1"/>
  <c r="AR37" i="6" s="1"/>
  <c r="AS37" i="6" s="1"/>
  <c r="AT37" i="6" s="1"/>
  <c r="AU37" i="6" s="1"/>
  <c r="AV37" i="6" s="1"/>
  <c r="AW37" i="6" s="1"/>
  <c r="AX37" i="6" s="1"/>
  <c r="AO38" i="6"/>
  <c r="AP38" i="6" s="1"/>
  <c r="AQ38" i="6" s="1"/>
  <c r="AR38" i="6" s="1"/>
  <c r="AS38" i="6" s="1"/>
  <c r="AT38" i="6" s="1"/>
  <c r="AU38" i="6" s="1"/>
  <c r="AV38" i="6" s="1"/>
  <c r="AW38" i="6" s="1"/>
  <c r="AX38" i="6" s="1"/>
  <c r="AO39" i="6"/>
  <c r="AP39" i="6" s="1"/>
  <c r="AQ39" i="6" s="1"/>
  <c r="AR39" i="6" s="1"/>
  <c r="AS39" i="6" s="1"/>
  <c r="AT39" i="6" s="1"/>
  <c r="AU39" i="6" s="1"/>
  <c r="AV39" i="6" s="1"/>
  <c r="AW39" i="6" s="1"/>
  <c r="AX39" i="6" s="1"/>
  <c r="AO40" i="6"/>
  <c r="AP40" i="6" s="1"/>
  <c r="AQ40" i="6" s="1"/>
  <c r="AR40" i="6" s="1"/>
  <c r="AS40" i="6" s="1"/>
  <c r="AT40" i="6" s="1"/>
  <c r="AU40" i="6" s="1"/>
  <c r="AV40" i="6" s="1"/>
  <c r="AW40" i="6" s="1"/>
  <c r="AX40" i="6" s="1"/>
  <c r="AO41" i="6"/>
  <c r="AP41" i="6" s="1"/>
  <c r="AQ41" i="6" s="1"/>
  <c r="AR41" i="6" s="1"/>
  <c r="AS41" i="6" s="1"/>
  <c r="AT41" i="6" s="1"/>
  <c r="AU41" i="6" s="1"/>
  <c r="AV41" i="6" s="1"/>
  <c r="AW41" i="6" s="1"/>
  <c r="AX41" i="6" s="1"/>
  <c r="AO42" i="6"/>
  <c r="AP42" i="6" s="1"/>
  <c r="AQ42" i="6" s="1"/>
  <c r="AR42" i="6" s="1"/>
  <c r="AS42" i="6" s="1"/>
  <c r="AT42" i="6" s="1"/>
  <c r="AU42" i="6" s="1"/>
  <c r="AV42" i="6" s="1"/>
  <c r="AW42" i="6" s="1"/>
  <c r="AX42" i="6" s="1"/>
  <c r="AO43" i="6"/>
  <c r="AP43" i="6" s="1"/>
  <c r="AQ43" i="6" s="1"/>
  <c r="AR43" i="6" s="1"/>
  <c r="AS43" i="6" s="1"/>
  <c r="AT43" i="6" s="1"/>
  <c r="AU43" i="6" s="1"/>
  <c r="AV43" i="6" s="1"/>
  <c r="AW43" i="6" s="1"/>
  <c r="AX43" i="6" s="1"/>
  <c r="AO44" i="6"/>
  <c r="AP44" i="6" s="1"/>
  <c r="AQ44" i="6" s="1"/>
  <c r="AR44" i="6" s="1"/>
  <c r="AS44" i="6" s="1"/>
  <c r="AT44" i="6" s="1"/>
  <c r="AU44" i="6" s="1"/>
  <c r="AV44" i="6" s="1"/>
  <c r="AW44" i="6" s="1"/>
  <c r="AX44" i="6" s="1"/>
  <c r="AO45" i="6"/>
  <c r="AP45" i="6" s="1"/>
  <c r="AQ45" i="6" s="1"/>
  <c r="AR45" i="6" s="1"/>
  <c r="AS45" i="6" s="1"/>
  <c r="AT45" i="6" s="1"/>
  <c r="AU45" i="6" s="1"/>
  <c r="AV45" i="6" s="1"/>
  <c r="AW45" i="6" s="1"/>
  <c r="AX45" i="6" s="1"/>
  <c r="AO46" i="6"/>
  <c r="AP46" i="6" s="1"/>
  <c r="AQ46" i="6" s="1"/>
  <c r="AR46" i="6" s="1"/>
  <c r="AS46" i="6" s="1"/>
  <c r="AT46" i="6" s="1"/>
  <c r="AU46" i="6" s="1"/>
  <c r="AV46" i="6" s="1"/>
  <c r="AW46" i="6" s="1"/>
  <c r="AX46" i="6" s="1"/>
  <c r="AO47" i="6"/>
  <c r="AP47" i="6" s="1"/>
  <c r="AQ47" i="6" s="1"/>
  <c r="AR47" i="6" s="1"/>
  <c r="AS47" i="6" s="1"/>
  <c r="AT47" i="6" s="1"/>
  <c r="AU47" i="6" s="1"/>
  <c r="AV47" i="6" s="1"/>
  <c r="AW47" i="6" s="1"/>
  <c r="AX47" i="6" s="1"/>
  <c r="AO48" i="6"/>
  <c r="AP48" i="6" s="1"/>
  <c r="AQ48" i="6" s="1"/>
  <c r="AR48" i="6" s="1"/>
  <c r="AS48" i="6" s="1"/>
  <c r="AT48" i="6" s="1"/>
  <c r="AU48" i="6" s="1"/>
  <c r="AV48" i="6" s="1"/>
  <c r="AW48" i="6" s="1"/>
  <c r="AX48" i="6" s="1"/>
  <c r="AO49" i="6"/>
  <c r="AP49" i="6" s="1"/>
  <c r="AQ49" i="6" s="1"/>
  <c r="AR49" i="6" s="1"/>
  <c r="AS49" i="6" s="1"/>
  <c r="AT49" i="6" s="1"/>
  <c r="AU49" i="6" s="1"/>
  <c r="AV49" i="6" s="1"/>
  <c r="AW49" i="6" s="1"/>
  <c r="AX49" i="6" s="1"/>
  <c r="AO50" i="6"/>
  <c r="AP50" i="6" s="1"/>
  <c r="AQ50" i="6" s="1"/>
  <c r="AR50" i="6" s="1"/>
  <c r="AS50" i="6" s="1"/>
  <c r="AT50" i="6" s="1"/>
  <c r="AU50" i="6" s="1"/>
  <c r="AV50" i="6" s="1"/>
  <c r="AW50" i="6" s="1"/>
  <c r="AX50" i="6" s="1"/>
  <c r="AO51" i="6"/>
  <c r="AP51" i="6" s="1"/>
  <c r="AQ51" i="6" s="1"/>
  <c r="AR51" i="6" s="1"/>
  <c r="AS51" i="6" s="1"/>
  <c r="AT51" i="6" s="1"/>
  <c r="AU51" i="6" s="1"/>
  <c r="AV51" i="6" s="1"/>
  <c r="AW51" i="6" s="1"/>
  <c r="AX51" i="6" s="1"/>
  <c r="AO52" i="6"/>
  <c r="AP52" i="6" s="1"/>
  <c r="AQ52" i="6" s="1"/>
  <c r="AR52" i="6" s="1"/>
  <c r="AS52" i="6" s="1"/>
  <c r="AT52" i="6" s="1"/>
  <c r="AU52" i="6" s="1"/>
  <c r="AV52" i="6" s="1"/>
  <c r="AW52" i="6" s="1"/>
  <c r="AX52" i="6" s="1"/>
  <c r="AO53" i="6"/>
  <c r="AP53" i="6"/>
  <c r="AQ53" i="6" s="1"/>
  <c r="AR53" i="6" s="1"/>
  <c r="AS53" i="6" s="1"/>
  <c r="AT53" i="6" s="1"/>
  <c r="AU53" i="6" s="1"/>
  <c r="AV53" i="6" s="1"/>
  <c r="AW53" i="6" s="1"/>
  <c r="AX53" i="6" s="1"/>
  <c r="AO54" i="6"/>
  <c r="AP54" i="6" s="1"/>
  <c r="AQ54" i="6" s="1"/>
  <c r="AR54" i="6" s="1"/>
  <c r="AS54" i="6" s="1"/>
  <c r="AT54" i="6" s="1"/>
  <c r="AU54" i="6" s="1"/>
  <c r="AV54" i="6" s="1"/>
  <c r="AW54" i="6" s="1"/>
  <c r="AX54" i="6" s="1"/>
  <c r="AO55" i="6"/>
  <c r="AP55" i="6" s="1"/>
  <c r="AQ55" i="6" s="1"/>
  <c r="AR55" i="6" s="1"/>
  <c r="AS55" i="6" s="1"/>
  <c r="AT55" i="6" s="1"/>
  <c r="AU55" i="6" s="1"/>
  <c r="AV55" i="6" s="1"/>
  <c r="AW55" i="6" s="1"/>
  <c r="AX55" i="6" s="1"/>
  <c r="AO56" i="6"/>
  <c r="AP56" i="6" s="1"/>
  <c r="AQ56" i="6" s="1"/>
  <c r="AR56" i="6" s="1"/>
  <c r="AS56" i="6" s="1"/>
  <c r="AT56" i="6" s="1"/>
  <c r="AU56" i="6" s="1"/>
  <c r="AV56" i="6" s="1"/>
  <c r="AW56" i="6" s="1"/>
  <c r="AX56" i="6" s="1"/>
  <c r="AO57" i="6"/>
  <c r="AP57" i="6" s="1"/>
  <c r="AQ57" i="6" s="1"/>
  <c r="AR57" i="6" s="1"/>
  <c r="AS57" i="6" s="1"/>
  <c r="AT57" i="6" s="1"/>
  <c r="AU57" i="6" s="1"/>
  <c r="AV57" i="6" s="1"/>
  <c r="AW57" i="6" s="1"/>
  <c r="AX57" i="6" s="1"/>
  <c r="AO58" i="6"/>
  <c r="AP58" i="6" s="1"/>
  <c r="AQ58" i="6" s="1"/>
  <c r="AR58" i="6" s="1"/>
  <c r="AS58" i="6" s="1"/>
  <c r="AT58" i="6" s="1"/>
  <c r="AU58" i="6" s="1"/>
  <c r="AV58" i="6" s="1"/>
  <c r="AW58" i="6" s="1"/>
  <c r="AX58" i="6" s="1"/>
  <c r="AO59" i="6"/>
  <c r="AP59" i="6" s="1"/>
  <c r="AQ59" i="6" s="1"/>
  <c r="AR59" i="6" s="1"/>
  <c r="AS59" i="6" s="1"/>
  <c r="AT59" i="6" s="1"/>
  <c r="AU59" i="6" s="1"/>
  <c r="AV59" i="6" s="1"/>
  <c r="AW59" i="6" s="1"/>
  <c r="AX59" i="6" s="1"/>
  <c r="AO60" i="6"/>
  <c r="AP60" i="6" s="1"/>
  <c r="AQ60" i="6" s="1"/>
  <c r="AR60" i="6" s="1"/>
  <c r="AS60" i="6" s="1"/>
  <c r="AT60" i="6" s="1"/>
  <c r="AU60" i="6" s="1"/>
  <c r="AV60" i="6" s="1"/>
  <c r="AW60" i="6" s="1"/>
  <c r="AX60" i="6" s="1"/>
  <c r="AO61" i="6"/>
  <c r="AP61" i="6" s="1"/>
  <c r="AQ61" i="6" s="1"/>
  <c r="AR61" i="6" s="1"/>
  <c r="AS61" i="6" s="1"/>
  <c r="AT61" i="6" s="1"/>
  <c r="AU61" i="6" s="1"/>
  <c r="AV61" i="6" s="1"/>
  <c r="AW61" i="6" s="1"/>
  <c r="AX61" i="6" s="1"/>
  <c r="AO62" i="6"/>
  <c r="AP62" i="6" s="1"/>
  <c r="AQ62" i="6" s="1"/>
  <c r="AR62" i="6" s="1"/>
  <c r="AS62" i="6" s="1"/>
  <c r="AT62" i="6" s="1"/>
  <c r="AU62" i="6" s="1"/>
  <c r="AV62" i="6" s="1"/>
  <c r="AW62" i="6" s="1"/>
  <c r="AX62" i="6" s="1"/>
  <c r="AO63" i="6"/>
  <c r="AP63" i="6"/>
  <c r="AQ63" i="6"/>
  <c r="AR63" i="6" s="1"/>
  <c r="AS63" i="6" s="1"/>
  <c r="AT63" i="6" s="1"/>
  <c r="AU63" i="6" s="1"/>
  <c r="AV63" i="6" s="1"/>
  <c r="AW63" i="6" s="1"/>
  <c r="AX63" i="6" s="1"/>
  <c r="AO64" i="6"/>
  <c r="AP64" i="6" s="1"/>
  <c r="AQ64" i="6" s="1"/>
  <c r="AR64" i="6" s="1"/>
  <c r="AS64" i="6" s="1"/>
  <c r="AT64" i="6" s="1"/>
  <c r="AU64" i="6" s="1"/>
  <c r="AV64" i="6" s="1"/>
  <c r="AW64" i="6" s="1"/>
  <c r="AX64" i="6" s="1"/>
  <c r="AO65" i="6"/>
  <c r="AP65" i="6" s="1"/>
  <c r="AQ65" i="6" s="1"/>
  <c r="AR65" i="6" s="1"/>
  <c r="AS65" i="6" s="1"/>
  <c r="AT65" i="6" s="1"/>
  <c r="AU65" i="6" s="1"/>
  <c r="AV65" i="6" s="1"/>
  <c r="AW65" i="6" s="1"/>
  <c r="AX65" i="6" s="1"/>
  <c r="AO66" i="6"/>
  <c r="AP66" i="6" s="1"/>
  <c r="AQ66" i="6" s="1"/>
  <c r="AR66" i="6" s="1"/>
  <c r="AS66" i="6" s="1"/>
  <c r="AT66" i="6" s="1"/>
  <c r="AU66" i="6" s="1"/>
  <c r="AV66" i="6" s="1"/>
  <c r="AW66" i="6" s="1"/>
  <c r="AX66" i="6" s="1"/>
  <c r="AO67" i="6"/>
  <c r="AP67" i="6" s="1"/>
  <c r="AQ67" i="6" s="1"/>
  <c r="AR67" i="6" s="1"/>
  <c r="AS67" i="6" s="1"/>
  <c r="AT67" i="6" s="1"/>
  <c r="AU67" i="6" s="1"/>
  <c r="AV67" i="6" s="1"/>
  <c r="AW67" i="6" s="1"/>
  <c r="AX67" i="6" s="1"/>
  <c r="AO68" i="6"/>
  <c r="AP68" i="6" s="1"/>
  <c r="AQ68" i="6" s="1"/>
  <c r="AR68" i="6" s="1"/>
  <c r="AS68" i="6" s="1"/>
  <c r="AT68" i="6" s="1"/>
  <c r="AU68" i="6" s="1"/>
  <c r="AV68" i="6" s="1"/>
  <c r="AW68" i="6" s="1"/>
  <c r="AX68" i="6" s="1"/>
  <c r="AO69" i="6"/>
  <c r="AP69" i="6"/>
  <c r="AQ69" i="6"/>
  <c r="AR69" i="6" s="1"/>
  <c r="AS69" i="6" s="1"/>
  <c r="AT69" i="6" s="1"/>
  <c r="AU69" i="6" s="1"/>
  <c r="AV69" i="6" s="1"/>
  <c r="AW69" i="6" s="1"/>
  <c r="AX69" i="6" s="1"/>
  <c r="AO70" i="6"/>
  <c r="AP70" i="6" s="1"/>
  <c r="AQ70" i="6" s="1"/>
  <c r="AR70" i="6" s="1"/>
  <c r="AS70" i="6" s="1"/>
  <c r="AT70" i="6" s="1"/>
  <c r="AU70" i="6" s="1"/>
  <c r="AV70" i="6" s="1"/>
  <c r="AW70" i="6" s="1"/>
  <c r="AX70" i="6" s="1"/>
  <c r="AO71" i="6"/>
  <c r="AP71" i="6" s="1"/>
  <c r="AQ71" i="6" s="1"/>
  <c r="AR71" i="6" s="1"/>
  <c r="AS71" i="6" s="1"/>
  <c r="AT71" i="6" s="1"/>
  <c r="AU71" i="6" s="1"/>
  <c r="AV71" i="6" s="1"/>
  <c r="AW71" i="6" s="1"/>
  <c r="AX71" i="6" s="1"/>
  <c r="AO72" i="6"/>
  <c r="AP72" i="6" s="1"/>
  <c r="AQ72" i="6" s="1"/>
  <c r="AR72" i="6" s="1"/>
  <c r="AS72" i="6" s="1"/>
  <c r="AT72" i="6" s="1"/>
  <c r="AU72" i="6" s="1"/>
  <c r="AV72" i="6" s="1"/>
  <c r="AW72" i="6" s="1"/>
  <c r="AX72" i="6" s="1"/>
  <c r="AO73" i="6"/>
  <c r="AP73" i="6" s="1"/>
  <c r="AQ73" i="6" s="1"/>
  <c r="AR73" i="6" s="1"/>
  <c r="AS73" i="6" s="1"/>
  <c r="AT73" i="6" s="1"/>
  <c r="AU73" i="6" s="1"/>
  <c r="AV73" i="6" s="1"/>
  <c r="AW73" i="6" s="1"/>
  <c r="AX73" i="6" s="1"/>
  <c r="AO74" i="6"/>
  <c r="AP74" i="6" s="1"/>
  <c r="AQ74" i="6" s="1"/>
  <c r="AR74" i="6" s="1"/>
  <c r="AS74" i="6" s="1"/>
  <c r="AT74" i="6" s="1"/>
  <c r="AU74" i="6" s="1"/>
  <c r="AV74" i="6" s="1"/>
  <c r="AW74" i="6" s="1"/>
  <c r="AX74" i="6" s="1"/>
  <c r="AO75" i="6"/>
  <c r="AP75" i="6" s="1"/>
  <c r="AQ75" i="6" s="1"/>
  <c r="AR75" i="6" s="1"/>
  <c r="AS75" i="6" s="1"/>
  <c r="AT75" i="6" s="1"/>
  <c r="AU75" i="6" s="1"/>
  <c r="AV75" i="6" s="1"/>
  <c r="AW75" i="6" s="1"/>
  <c r="AX75" i="6" s="1"/>
  <c r="AO76" i="6"/>
  <c r="AP76" i="6" s="1"/>
  <c r="AQ76" i="6" s="1"/>
  <c r="AR76" i="6" s="1"/>
  <c r="AS76" i="6" s="1"/>
  <c r="AT76" i="6" s="1"/>
  <c r="AU76" i="6" s="1"/>
  <c r="AV76" i="6" s="1"/>
  <c r="AW76" i="6" s="1"/>
  <c r="AX76" i="6" s="1"/>
  <c r="AO77" i="6"/>
  <c r="AP77" i="6" s="1"/>
  <c r="AQ77" i="6" s="1"/>
  <c r="AR77" i="6" s="1"/>
  <c r="AS77" i="6" s="1"/>
  <c r="AT77" i="6" s="1"/>
  <c r="AU77" i="6" s="1"/>
  <c r="AV77" i="6" s="1"/>
  <c r="AW77" i="6" s="1"/>
  <c r="AX77" i="6" s="1"/>
  <c r="AO78" i="6"/>
  <c r="AP78" i="6" s="1"/>
  <c r="AQ78" i="6" s="1"/>
  <c r="AR78" i="6" s="1"/>
  <c r="AS78" i="6" s="1"/>
  <c r="AT78" i="6" s="1"/>
  <c r="AU78" i="6" s="1"/>
  <c r="AV78" i="6" s="1"/>
  <c r="AW78" i="6" s="1"/>
  <c r="AX78" i="6" s="1"/>
  <c r="AO79" i="6"/>
  <c r="AP79" i="6" s="1"/>
  <c r="AQ79" i="6" s="1"/>
  <c r="AR79" i="6" s="1"/>
  <c r="AS79" i="6" s="1"/>
  <c r="AT79" i="6" s="1"/>
  <c r="AU79" i="6" s="1"/>
  <c r="AV79" i="6" s="1"/>
  <c r="AW79" i="6" s="1"/>
  <c r="AX79" i="6" s="1"/>
  <c r="AO80" i="6"/>
  <c r="AP80" i="6" s="1"/>
  <c r="AQ80" i="6" s="1"/>
  <c r="AR80" i="6" s="1"/>
  <c r="AS80" i="6" s="1"/>
  <c r="AT80" i="6" s="1"/>
  <c r="AU80" i="6" s="1"/>
  <c r="AV80" i="6" s="1"/>
  <c r="AW80" i="6" s="1"/>
  <c r="AX80" i="6" s="1"/>
  <c r="AO81" i="6"/>
  <c r="AP81" i="6"/>
  <c r="AQ81" i="6" s="1"/>
  <c r="AR81" i="6" s="1"/>
  <c r="AS81" i="6" s="1"/>
  <c r="AT81" i="6" s="1"/>
  <c r="AU81" i="6" s="1"/>
  <c r="AV81" i="6" s="1"/>
  <c r="AW81" i="6" s="1"/>
  <c r="AX81" i="6" s="1"/>
  <c r="AO82" i="6"/>
  <c r="AP82" i="6" s="1"/>
  <c r="AQ82" i="6" s="1"/>
  <c r="AR82" i="6" s="1"/>
  <c r="AS82" i="6" s="1"/>
  <c r="AT82" i="6" s="1"/>
  <c r="AU82" i="6" s="1"/>
  <c r="AV82" i="6" s="1"/>
  <c r="AW82" i="6" s="1"/>
  <c r="AX82" i="6" s="1"/>
  <c r="AO83" i="6"/>
  <c r="AP83" i="6" s="1"/>
  <c r="AQ83" i="6" s="1"/>
  <c r="AR83" i="6" s="1"/>
  <c r="AS83" i="6" s="1"/>
  <c r="AT83" i="6" s="1"/>
  <c r="AU83" i="6" s="1"/>
  <c r="AV83" i="6" s="1"/>
  <c r="AW83" i="6" s="1"/>
  <c r="AX83" i="6" s="1"/>
  <c r="AO84" i="6"/>
  <c r="AP84" i="6" s="1"/>
  <c r="AQ84" i="6" s="1"/>
  <c r="AR84" i="6" s="1"/>
  <c r="AS84" i="6" s="1"/>
  <c r="AT84" i="6" s="1"/>
  <c r="AU84" i="6" s="1"/>
  <c r="AV84" i="6" s="1"/>
  <c r="AW84" i="6" s="1"/>
  <c r="AX84" i="6" s="1"/>
  <c r="AO85" i="6"/>
  <c r="AP85" i="6" s="1"/>
  <c r="AQ85" i="6" s="1"/>
  <c r="AR85" i="6" s="1"/>
  <c r="AS85" i="6" s="1"/>
  <c r="AT85" i="6" s="1"/>
  <c r="AU85" i="6" s="1"/>
  <c r="AV85" i="6" s="1"/>
  <c r="AW85" i="6" s="1"/>
  <c r="AX85" i="6" s="1"/>
  <c r="AO86" i="6"/>
  <c r="AP86" i="6" s="1"/>
  <c r="AQ86" i="6" s="1"/>
  <c r="AR86" i="6" s="1"/>
  <c r="AS86" i="6" s="1"/>
  <c r="AT86" i="6" s="1"/>
  <c r="AU86" i="6" s="1"/>
  <c r="AV86" i="6" s="1"/>
  <c r="AW86" i="6" s="1"/>
  <c r="AX86" i="6" s="1"/>
  <c r="AO87" i="6"/>
  <c r="AP87" i="6" s="1"/>
  <c r="AQ87" i="6" s="1"/>
  <c r="AR87" i="6" s="1"/>
  <c r="AS87" i="6" s="1"/>
  <c r="AT87" i="6" s="1"/>
  <c r="AU87" i="6" s="1"/>
  <c r="AV87" i="6" s="1"/>
  <c r="AW87" i="6" s="1"/>
  <c r="AX87" i="6" s="1"/>
  <c r="AO88" i="6"/>
  <c r="AP88" i="6" s="1"/>
  <c r="AQ88" i="6" s="1"/>
  <c r="AR88" i="6" s="1"/>
  <c r="AS88" i="6" s="1"/>
  <c r="AT88" i="6" s="1"/>
  <c r="AU88" i="6" s="1"/>
  <c r="AV88" i="6" s="1"/>
  <c r="AW88" i="6" s="1"/>
  <c r="AX88" i="6" s="1"/>
  <c r="AO89" i="6"/>
  <c r="AP89" i="6" s="1"/>
  <c r="AQ89" i="6" s="1"/>
  <c r="AR89" i="6" s="1"/>
  <c r="AS89" i="6" s="1"/>
  <c r="AT89" i="6" s="1"/>
  <c r="AU89" i="6" s="1"/>
  <c r="AV89" i="6" s="1"/>
  <c r="AW89" i="6" s="1"/>
  <c r="AX89" i="6" s="1"/>
  <c r="AP6" i="6"/>
  <c r="AQ6" i="6" s="1"/>
  <c r="AR6" i="6" s="1"/>
  <c r="AS6" i="6" s="1"/>
  <c r="AT6" i="6" s="1"/>
  <c r="AU6" i="6" s="1"/>
  <c r="AV6" i="6" s="1"/>
  <c r="AW6" i="6" s="1"/>
  <c r="AX6" i="6" s="1"/>
  <c r="AO6" i="6"/>
  <c r="AJ7" i="6"/>
  <c r="AK7" i="6" s="1"/>
  <c r="AL7" i="6" s="1"/>
  <c r="AM7" i="6" s="1"/>
  <c r="AJ8" i="6"/>
  <c r="AK8" i="6" s="1"/>
  <c r="AL8" i="6" s="1"/>
  <c r="AM8" i="6" s="1"/>
  <c r="AJ9" i="6"/>
  <c r="AK9" i="6" s="1"/>
  <c r="AL9" i="6" s="1"/>
  <c r="AM9" i="6" s="1"/>
  <c r="AJ10" i="6"/>
  <c r="AK10" i="6" s="1"/>
  <c r="AL10" i="6" s="1"/>
  <c r="AM10" i="6" s="1"/>
  <c r="AJ11" i="6"/>
  <c r="AK11" i="6" s="1"/>
  <c r="AL11" i="6" s="1"/>
  <c r="AM11" i="6" s="1"/>
  <c r="AJ12" i="6"/>
  <c r="AK12" i="6" s="1"/>
  <c r="AL12" i="6" s="1"/>
  <c r="AM12" i="6" s="1"/>
  <c r="AJ13" i="6"/>
  <c r="AK13" i="6" s="1"/>
  <c r="AL13" i="6" s="1"/>
  <c r="AM13" i="6" s="1"/>
  <c r="AJ14" i="6"/>
  <c r="AK14" i="6" s="1"/>
  <c r="AL14" i="6" s="1"/>
  <c r="AM14" i="6" s="1"/>
  <c r="AJ15" i="6"/>
  <c r="AK15" i="6" s="1"/>
  <c r="AL15" i="6" s="1"/>
  <c r="AM15" i="6" s="1"/>
  <c r="AJ16" i="6"/>
  <c r="AK16" i="6" s="1"/>
  <c r="AL16" i="6" s="1"/>
  <c r="AM16" i="6" s="1"/>
  <c r="AJ17" i="6"/>
  <c r="AK17" i="6" s="1"/>
  <c r="AL17" i="6" s="1"/>
  <c r="AM17" i="6" s="1"/>
  <c r="AJ18" i="6"/>
  <c r="AK18" i="6" s="1"/>
  <c r="AL18" i="6" s="1"/>
  <c r="AM18" i="6" s="1"/>
  <c r="AJ19" i="6"/>
  <c r="AK19" i="6" s="1"/>
  <c r="AL19" i="6" s="1"/>
  <c r="AM19" i="6" s="1"/>
  <c r="AJ20" i="6"/>
  <c r="AK20" i="6" s="1"/>
  <c r="AL20" i="6" s="1"/>
  <c r="AM20" i="6" s="1"/>
  <c r="AJ21" i="6"/>
  <c r="AK21" i="6" s="1"/>
  <c r="AL21" i="6" s="1"/>
  <c r="AM21" i="6" s="1"/>
  <c r="AJ22" i="6"/>
  <c r="AK22" i="6" s="1"/>
  <c r="AL22" i="6" s="1"/>
  <c r="AM22" i="6" s="1"/>
  <c r="AJ23" i="6"/>
  <c r="AK23" i="6" s="1"/>
  <c r="AL23" i="6" s="1"/>
  <c r="AM23" i="6" s="1"/>
  <c r="AJ24" i="6"/>
  <c r="AK24" i="6" s="1"/>
  <c r="AL24" i="6" s="1"/>
  <c r="AM24" i="6" s="1"/>
  <c r="AJ25" i="6"/>
  <c r="AK25" i="6" s="1"/>
  <c r="AL25" i="6" s="1"/>
  <c r="AM25" i="6" s="1"/>
  <c r="AJ26" i="6"/>
  <c r="AK26" i="6" s="1"/>
  <c r="AL26" i="6" s="1"/>
  <c r="AM26" i="6" s="1"/>
  <c r="AJ27" i="6"/>
  <c r="AK27" i="6" s="1"/>
  <c r="AL27" i="6" s="1"/>
  <c r="AM27" i="6" s="1"/>
  <c r="AJ28" i="6"/>
  <c r="AK28" i="6" s="1"/>
  <c r="AL28" i="6" s="1"/>
  <c r="AM28" i="6" s="1"/>
  <c r="AJ29" i="6"/>
  <c r="AK29" i="6" s="1"/>
  <c r="AL29" i="6" s="1"/>
  <c r="AM29" i="6" s="1"/>
  <c r="AJ30" i="6"/>
  <c r="AK30" i="6" s="1"/>
  <c r="AL30" i="6" s="1"/>
  <c r="AM30" i="6" s="1"/>
  <c r="AJ31" i="6"/>
  <c r="AK31" i="6" s="1"/>
  <c r="AL31" i="6" s="1"/>
  <c r="AM31" i="6" s="1"/>
  <c r="AJ32" i="6"/>
  <c r="AK32" i="6" s="1"/>
  <c r="AL32" i="6" s="1"/>
  <c r="AM32" i="6" s="1"/>
  <c r="AJ33" i="6"/>
  <c r="AK33" i="6" s="1"/>
  <c r="AL33" i="6" s="1"/>
  <c r="AM33" i="6" s="1"/>
  <c r="AJ34" i="6"/>
  <c r="AK34" i="6" s="1"/>
  <c r="AL34" i="6" s="1"/>
  <c r="AM34" i="6" s="1"/>
  <c r="AJ35" i="6"/>
  <c r="AK35" i="6" s="1"/>
  <c r="AL35" i="6" s="1"/>
  <c r="AM35" i="6" s="1"/>
  <c r="AJ36" i="6"/>
  <c r="AK36" i="6" s="1"/>
  <c r="AL36" i="6" s="1"/>
  <c r="AM36" i="6" s="1"/>
  <c r="AJ37" i="6"/>
  <c r="AK37" i="6" s="1"/>
  <c r="AL37" i="6" s="1"/>
  <c r="AM37" i="6" s="1"/>
  <c r="AJ38" i="6"/>
  <c r="AK38" i="6" s="1"/>
  <c r="AL38" i="6" s="1"/>
  <c r="AM38" i="6" s="1"/>
  <c r="AJ39" i="6"/>
  <c r="AK39" i="6" s="1"/>
  <c r="AL39" i="6" s="1"/>
  <c r="AM39" i="6" s="1"/>
  <c r="AJ40" i="6"/>
  <c r="AK40" i="6" s="1"/>
  <c r="AL40" i="6" s="1"/>
  <c r="AM40" i="6" s="1"/>
  <c r="AJ41" i="6"/>
  <c r="AK41" i="6" s="1"/>
  <c r="AL41" i="6" s="1"/>
  <c r="AM41" i="6" s="1"/>
  <c r="AJ42" i="6"/>
  <c r="AK42" i="6" s="1"/>
  <c r="AL42" i="6" s="1"/>
  <c r="AM42" i="6" s="1"/>
  <c r="AJ43" i="6"/>
  <c r="AK43" i="6" s="1"/>
  <c r="AL43" i="6" s="1"/>
  <c r="AM43" i="6" s="1"/>
  <c r="AJ44" i="6"/>
  <c r="AK44" i="6" s="1"/>
  <c r="AL44" i="6" s="1"/>
  <c r="AM44" i="6" s="1"/>
  <c r="AJ45" i="6"/>
  <c r="AK45" i="6" s="1"/>
  <c r="AL45" i="6" s="1"/>
  <c r="AM45" i="6" s="1"/>
  <c r="AJ46" i="6"/>
  <c r="AK46" i="6" s="1"/>
  <c r="AL46" i="6" s="1"/>
  <c r="AM46" i="6" s="1"/>
  <c r="AJ47" i="6"/>
  <c r="AK47" i="6" s="1"/>
  <c r="AL47" i="6" s="1"/>
  <c r="AM47" i="6" s="1"/>
  <c r="AJ48" i="6"/>
  <c r="AK48" i="6" s="1"/>
  <c r="AL48" i="6" s="1"/>
  <c r="AM48" i="6" s="1"/>
  <c r="AJ49" i="6"/>
  <c r="AK49" i="6" s="1"/>
  <c r="AL49" i="6" s="1"/>
  <c r="AM49" i="6" s="1"/>
  <c r="AJ50" i="6"/>
  <c r="AK50" i="6" s="1"/>
  <c r="AL50" i="6" s="1"/>
  <c r="AM50" i="6" s="1"/>
  <c r="AJ51" i="6"/>
  <c r="AK51" i="6" s="1"/>
  <c r="AL51" i="6" s="1"/>
  <c r="AM51" i="6" s="1"/>
  <c r="AJ52" i="6"/>
  <c r="AK52" i="6" s="1"/>
  <c r="AL52" i="6" s="1"/>
  <c r="AM52" i="6" s="1"/>
  <c r="AJ53" i="6"/>
  <c r="AK53" i="6" s="1"/>
  <c r="AL53" i="6" s="1"/>
  <c r="AM53" i="6" s="1"/>
  <c r="AJ54" i="6"/>
  <c r="AK54" i="6" s="1"/>
  <c r="AL54" i="6" s="1"/>
  <c r="AM54" i="6" s="1"/>
  <c r="AJ55" i="6"/>
  <c r="AK55" i="6" s="1"/>
  <c r="AL55" i="6" s="1"/>
  <c r="AM55" i="6" s="1"/>
  <c r="AJ56" i="6"/>
  <c r="AK56" i="6" s="1"/>
  <c r="AL56" i="6" s="1"/>
  <c r="AM56" i="6" s="1"/>
  <c r="AJ57" i="6"/>
  <c r="AK57" i="6" s="1"/>
  <c r="AL57" i="6" s="1"/>
  <c r="AM57" i="6" s="1"/>
  <c r="AJ58" i="6"/>
  <c r="AK58" i="6" s="1"/>
  <c r="AL58" i="6" s="1"/>
  <c r="AM58" i="6" s="1"/>
  <c r="AJ59" i="6"/>
  <c r="AK59" i="6" s="1"/>
  <c r="AL59" i="6" s="1"/>
  <c r="AM59" i="6" s="1"/>
  <c r="AJ60" i="6"/>
  <c r="AK60" i="6" s="1"/>
  <c r="AL60" i="6" s="1"/>
  <c r="AM60" i="6" s="1"/>
  <c r="AJ61" i="6"/>
  <c r="AK61" i="6" s="1"/>
  <c r="AL61" i="6" s="1"/>
  <c r="AM61" i="6" s="1"/>
  <c r="AJ62" i="6"/>
  <c r="AK62" i="6" s="1"/>
  <c r="AL62" i="6" s="1"/>
  <c r="AM62" i="6" s="1"/>
  <c r="AJ63" i="6"/>
  <c r="AK63" i="6" s="1"/>
  <c r="AL63" i="6" s="1"/>
  <c r="AM63" i="6" s="1"/>
  <c r="AJ64" i="6"/>
  <c r="AK64" i="6" s="1"/>
  <c r="AL64" i="6" s="1"/>
  <c r="AM64" i="6" s="1"/>
  <c r="AJ65" i="6"/>
  <c r="AK65" i="6" s="1"/>
  <c r="AL65" i="6" s="1"/>
  <c r="AM65" i="6" s="1"/>
  <c r="AJ66" i="6"/>
  <c r="AK66" i="6" s="1"/>
  <c r="AL66" i="6" s="1"/>
  <c r="AM66" i="6" s="1"/>
  <c r="AJ67" i="6"/>
  <c r="AK67" i="6" s="1"/>
  <c r="AL67" i="6" s="1"/>
  <c r="AM67" i="6" s="1"/>
  <c r="AJ68" i="6"/>
  <c r="AK68" i="6" s="1"/>
  <c r="AL68" i="6" s="1"/>
  <c r="AM68" i="6" s="1"/>
  <c r="AJ69" i="6"/>
  <c r="AK69" i="6" s="1"/>
  <c r="AL69" i="6" s="1"/>
  <c r="AM69" i="6" s="1"/>
  <c r="AJ70" i="6"/>
  <c r="AK70" i="6" s="1"/>
  <c r="AL70" i="6" s="1"/>
  <c r="AM70" i="6" s="1"/>
  <c r="AJ71" i="6"/>
  <c r="AK71" i="6" s="1"/>
  <c r="AL71" i="6" s="1"/>
  <c r="AM71" i="6" s="1"/>
  <c r="AJ72" i="6"/>
  <c r="AK72" i="6" s="1"/>
  <c r="AL72" i="6" s="1"/>
  <c r="AM72" i="6" s="1"/>
  <c r="AJ73" i="6"/>
  <c r="AK73" i="6" s="1"/>
  <c r="AL73" i="6" s="1"/>
  <c r="AM73" i="6" s="1"/>
  <c r="AJ74" i="6"/>
  <c r="AK74" i="6" s="1"/>
  <c r="AL74" i="6" s="1"/>
  <c r="AM74" i="6" s="1"/>
  <c r="AJ75" i="6"/>
  <c r="AK75" i="6" s="1"/>
  <c r="AL75" i="6" s="1"/>
  <c r="AM75" i="6" s="1"/>
  <c r="AJ76" i="6"/>
  <c r="AK76" i="6" s="1"/>
  <c r="AL76" i="6" s="1"/>
  <c r="AM76" i="6" s="1"/>
  <c r="AJ77" i="6"/>
  <c r="AK77" i="6" s="1"/>
  <c r="AL77" i="6" s="1"/>
  <c r="AM77" i="6" s="1"/>
  <c r="AJ78" i="6"/>
  <c r="AK78" i="6" s="1"/>
  <c r="AL78" i="6" s="1"/>
  <c r="AM78" i="6" s="1"/>
  <c r="AJ79" i="6"/>
  <c r="AK79" i="6" s="1"/>
  <c r="AL79" i="6" s="1"/>
  <c r="AM79" i="6" s="1"/>
  <c r="AJ80" i="6"/>
  <c r="AK80" i="6" s="1"/>
  <c r="AL80" i="6" s="1"/>
  <c r="AM80" i="6" s="1"/>
  <c r="AJ81" i="6"/>
  <c r="AK81" i="6" s="1"/>
  <c r="AL81" i="6" s="1"/>
  <c r="AM81" i="6" s="1"/>
  <c r="AJ82" i="6"/>
  <c r="AK82" i="6" s="1"/>
  <c r="AL82" i="6" s="1"/>
  <c r="AM82" i="6" s="1"/>
  <c r="AJ83" i="6"/>
  <c r="AK83" i="6" s="1"/>
  <c r="AL83" i="6" s="1"/>
  <c r="AM83" i="6" s="1"/>
  <c r="AJ84" i="6"/>
  <c r="AK84" i="6" s="1"/>
  <c r="AL84" i="6" s="1"/>
  <c r="AM84" i="6" s="1"/>
  <c r="AJ85" i="6"/>
  <c r="AK85" i="6" s="1"/>
  <c r="AL85" i="6" s="1"/>
  <c r="AM85" i="6" s="1"/>
  <c r="AJ86" i="6"/>
  <c r="AK86" i="6" s="1"/>
  <c r="AL86" i="6" s="1"/>
  <c r="AM86" i="6" s="1"/>
  <c r="AJ87" i="6"/>
  <c r="AK87" i="6" s="1"/>
  <c r="AL87" i="6" s="1"/>
  <c r="AM87" i="6" s="1"/>
  <c r="AJ88" i="6"/>
  <c r="AK88" i="6" s="1"/>
  <c r="AL88" i="6" s="1"/>
  <c r="AM88" i="6" s="1"/>
  <c r="AJ89" i="6"/>
  <c r="AK89" i="6" s="1"/>
  <c r="AL89" i="6" s="1"/>
  <c r="AM89" i="6" s="1"/>
  <c r="AJ6" i="6"/>
  <c r="AK6" i="6" s="1"/>
  <c r="AL6" i="6" s="1"/>
  <c r="AM6" i="6" s="1"/>
  <c r="AE7" i="6"/>
  <c r="AF7" i="6" s="1"/>
  <c r="AG7" i="6" s="1"/>
  <c r="AH7" i="6" s="1"/>
  <c r="AE8" i="6"/>
  <c r="AF8" i="6"/>
  <c r="AG8" i="6" s="1"/>
  <c r="AH8" i="6" s="1"/>
  <c r="AE9" i="6"/>
  <c r="AF9" i="6" s="1"/>
  <c r="AG9" i="6" s="1"/>
  <c r="AH9" i="6" s="1"/>
  <c r="AE10" i="6"/>
  <c r="AF10" i="6" s="1"/>
  <c r="AG10" i="6" s="1"/>
  <c r="AH10" i="6" s="1"/>
  <c r="AE11" i="6"/>
  <c r="AF11" i="6" s="1"/>
  <c r="AG11" i="6" s="1"/>
  <c r="AH11" i="6" s="1"/>
  <c r="AE12" i="6"/>
  <c r="AF12" i="6" s="1"/>
  <c r="AG12" i="6" s="1"/>
  <c r="AH12" i="6" s="1"/>
  <c r="AE13" i="6"/>
  <c r="AF13" i="6" s="1"/>
  <c r="AG13" i="6" s="1"/>
  <c r="AH13" i="6" s="1"/>
  <c r="AE14" i="6"/>
  <c r="AF14" i="6"/>
  <c r="AG14" i="6" s="1"/>
  <c r="AH14" i="6" s="1"/>
  <c r="AE15" i="6"/>
  <c r="AF15" i="6" s="1"/>
  <c r="AG15" i="6" s="1"/>
  <c r="AH15" i="6" s="1"/>
  <c r="AE16" i="6"/>
  <c r="AF16" i="6" s="1"/>
  <c r="AG16" i="6" s="1"/>
  <c r="AH16" i="6" s="1"/>
  <c r="AE17" i="6"/>
  <c r="AF17" i="6" s="1"/>
  <c r="AG17" i="6" s="1"/>
  <c r="AH17" i="6" s="1"/>
  <c r="AE18" i="6"/>
  <c r="AF18" i="6" s="1"/>
  <c r="AG18" i="6" s="1"/>
  <c r="AH18" i="6" s="1"/>
  <c r="AE19" i="6"/>
  <c r="AF19" i="6" s="1"/>
  <c r="AG19" i="6" s="1"/>
  <c r="AH19" i="6" s="1"/>
  <c r="AE20" i="6"/>
  <c r="AF20" i="6" s="1"/>
  <c r="AG20" i="6" s="1"/>
  <c r="AH20" i="6" s="1"/>
  <c r="AE21" i="6"/>
  <c r="AF21" i="6" s="1"/>
  <c r="AG21" i="6" s="1"/>
  <c r="AH21" i="6" s="1"/>
  <c r="AE22" i="6"/>
  <c r="AF22" i="6" s="1"/>
  <c r="AG22" i="6" s="1"/>
  <c r="AH22" i="6" s="1"/>
  <c r="AE23" i="6"/>
  <c r="AF23" i="6" s="1"/>
  <c r="AG23" i="6" s="1"/>
  <c r="AH23" i="6" s="1"/>
  <c r="AE24" i="6"/>
  <c r="AF24" i="6" s="1"/>
  <c r="AG24" i="6" s="1"/>
  <c r="AH24" i="6" s="1"/>
  <c r="AE25" i="6"/>
  <c r="AF25" i="6" s="1"/>
  <c r="AG25" i="6" s="1"/>
  <c r="AH25" i="6" s="1"/>
  <c r="AE26" i="6"/>
  <c r="AF26" i="6" s="1"/>
  <c r="AG26" i="6" s="1"/>
  <c r="AH26" i="6" s="1"/>
  <c r="AE27" i="6"/>
  <c r="AF27" i="6" s="1"/>
  <c r="AG27" i="6" s="1"/>
  <c r="AH27" i="6" s="1"/>
  <c r="AE28" i="6"/>
  <c r="AF28" i="6" s="1"/>
  <c r="AG28" i="6" s="1"/>
  <c r="AH28" i="6" s="1"/>
  <c r="AE29" i="6"/>
  <c r="AF29" i="6" s="1"/>
  <c r="AG29" i="6" s="1"/>
  <c r="AH29" i="6" s="1"/>
  <c r="AE30" i="6"/>
  <c r="AF30" i="6"/>
  <c r="AG30" i="6" s="1"/>
  <c r="AH30" i="6" s="1"/>
  <c r="AE31" i="6"/>
  <c r="AF31" i="6" s="1"/>
  <c r="AG31" i="6" s="1"/>
  <c r="AH31" i="6" s="1"/>
  <c r="AE32" i="6"/>
  <c r="AF32" i="6"/>
  <c r="AG32" i="6" s="1"/>
  <c r="AH32" i="6" s="1"/>
  <c r="AE33" i="6"/>
  <c r="AF33" i="6" s="1"/>
  <c r="AG33" i="6" s="1"/>
  <c r="AH33" i="6" s="1"/>
  <c r="AE34" i="6"/>
  <c r="AF34" i="6"/>
  <c r="AG34" i="6" s="1"/>
  <c r="AH34" i="6" s="1"/>
  <c r="AE35" i="6"/>
  <c r="AF35" i="6" s="1"/>
  <c r="AG35" i="6" s="1"/>
  <c r="AH35" i="6" s="1"/>
  <c r="AE36" i="6"/>
  <c r="AF36" i="6" s="1"/>
  <c r="AG36" i="6" s="1"/>
  <c r="AH36" i="6" s="1"/>
  <c r="AE37" i="6"/>
  <c r="AF37" i="6"/>
  <c r="AG37" i="6" s="1"/>
  <c r="AH37" i="6" s="1"/>
  <c r="AE38" i="6"/>
  <c r="AF38" i="6" s="1"/>
  <c r="AG38" i="6" s="1"/>
  <c r="AH38" i="6" s="1"/>
  <c r="AE39" i="6"/>
  <c r="AF39" i="6" s="1"/>
  <c r="AG39" i="6" s="1"/>
  <c r="AH39" i="6" s="1"/>
  <c r="AE40" i="6"/>
  <c r="AF40" i="6" s="1"/>
  <c r="AG40" i="6" s="1"/>
  <c r="AH40" i="6" s="1"/>
  <c r="AE41" i="6"/>
  <c r="AF41" i="6" s="1"/>
  <c r="AG41" i="6" s="1"/>
  <c r="AH41" i="6" s="1"/>
  <c r="AE42" i="6"/>
  <c r="AF42" i="6" s="1"/>
  <c r="AG42" i="6" s="1"/>
  <c r="AH42" i="6" s="1"/>
  <c r="AE43" i="6"/>
  <c r="AF43" i="6" s="1"/>
  <c r="AG43" i="6" s="1"/>
  <c r="AH43" i="6" s="1"/>
  <c r="AE44" i="6"/>
  <c r="AF44" i="6" s="1"/>
  <c r="AG44" i="6" s="1"/>
  <c r="AH44" i="6" s="1"/>
  <c r="AE45" i="6"/>
  <c r="AF45" i="6" s="1"/>
  <c r="AG45" i="6" s="1"/>
  <c r="AH45" i="6" s="1"/>
  <c r="AE46" i="6"/>
  <c r="AF46" i="6" s="1"/>
  <c r="AG46" i="6" s="1"/>
  <c r="AH46" i="6" s="1"/>
  <c r="AE47" i="6"/>
  <c r="AF47" i="6" s="1"/>
  <c r="AG47" i="6" s="1"/>
  <c r="AH47" i="6" s="1"/>
  <c r="AE48" i="6"/>
  <c r="AF48" i="6" s="1"/>
  <c r="AG48" i="6" s="1"/>
  <c r="AH48" i="6" s="1"/>
  <c r="AE49" i="6"/>
  <c r="AF49" i="6" s="1"/>
  <c r="AG49" i="6" s="1"/>
  <c r="AH49" i="6" s="1"/>
  <c r="AE50" i="6"/>
  <c r="AF50" i="6" s="1"/>
  <c r="AG50" i="6" s="1"/>
  <c r="AH50" i="6" s="1"/>
  <c r="AE51" i="6"/>
  <c r="AF51" i="6"/>
  <c r="AG51" i="6" s="1"/>
  <c r="AH51" i="6" s="1"/>
  <c r="AE52" i="6"/>
  <c r="AF52" i="6" s="1"/>
  <c r="AG52" i="6" s="1"/>
  <c r="AH52" i="6" s="1"/>
  <c r="AE53" i="6"/>
  <c r="AF53" i="6" s="1"/>
  <c r="AG53" i="6" s="1"/>
  <c r="AH53" i="6" s="1"/>
  <c r="AE54" i="6"/>
  <c r="AF54" i="6"/>
  <c r="AG54" i="6" s="1"/>
  <c r="AH54" i="6" s="1"/>
  <c r="AE55" i="6"/>
  <c r="AF55" i="6"/>
  <c r="AG55" i="6" s="1"/>
  <c r="AH55" i="6" s="1"/>
  <c r="AE56" i="6"/>
  <c r="AF56" i="6" s="1"/>
  <c r="AG56" i="6" s="1"/>
  <c r="AH56" i="6" s="1"/>
  <c r="AE57" i="6"/>
  <c r="AF57" i="6" s="1"/>
  <c r="AG57" i="6" s="1"/>
  <c r="AH57" i="6" s="1"/>
  <c r="AE58" i="6"/>
  <c r="AF58" i="6"/>
  <c r="AG58" i="6" s="1"/>
  <c r="AH58" i="6" s="1"/>
  <c r="AE59" i="6"/>
  <c r="AF59" i="6" s="1"/>
  <c r="AG59" i="6" s="1"/>
  <c r="AH59" i="6" s="1"/>
  <c r="AE60" i="6"/>
  <c r="AF60" i="6" s="1"/>
  <c r="AG60" i="6" s="1"/>
  <c r="AH60" i="6" s="1"/>
  <c r="AE61" i="6"/>
  <c r="AF61" i="6" s="1"/>
  <c r="AG61" i="6" s="1"/>
  <c r="AH61" i="6" s="1"/>
  <c r="AE62" i="6"/>
  <c r="AF62" i="6" s="1"/>
  <c r="AG62" i="6" s="1"/>
  <c r="AH62" i="6" s="1"/>
  <c r="AE63" i="6"/>
  <c r="AF63" i="6" s="1"/>
  <c r="AG63" i="6" s="1"/>
  <c r="AH63" i="6" s="1"/>
  <c r="AE64" i="6"/>
  <c r="AF64" i="6" s="1"/>
  <c r="AG64" i="6" s="1"/>
  <c r="AH64" i="6" s="1"/>
  <c r="AE65" i="6"/>
  <c r="AF65" i="6" s="1"/>
  <c r="AG65" i="6" s="1"/>
  <c r="AH65" i="6" s="1"/>
  <c r="AE66" i="6"/>
  <c r="AF66" i="6" s="1"/>
  <c r="AG66" i="6" s="1"/>
  <c r="AH66" i="6" s="1"/>
  <c r="AE67" i="6"/>
  <c r="AF67" i="6" s="1"/>
  <c r="AG67" i="6" s="1"/>
  <c r="AH67" i="6" s="1"/>
  <c r="AE68" i="6"/>
  <c r="AF68" i="6" s="1"/>
  <c r="AG68" i="6" s="1"/>
  <c r="AH68" i="6" s="1"/>
  <c r="AE69" i="6"/>
  <c r="AF69" i="6" s="1"/>
  <c r="AG69" i="6" s="1"/>
  <c r="AH69" i="6" s="1"/>
  <c r="AE70" i="6"/>
  <c r="AF70" i="6" s="1"/>
  <c r="AG70" i="6" s="1"/>
  <c r="AH70" i="6" s="1"/>
  <c r="AE71" i="6"/>
  <c r="AF71" i="6" s="1"/>
  <c r="AG71" i="6" s="1"/>
  <c r="AH71" i="6" s="1"/>
  <c r="AE72" i="6"/>
  <c r="AF72" i="6" s="1"/>
  <c r="AG72" i="6" s="1"/>
  <c r="AH72" i="6" s="1"/>
  <c r="AE73" i="6"/>
  <c r="AF73" i="6" s="1"/>
  <c r="AG73" i="6" s="1"/>
  <c r="AH73" i="6" s="1"/>
  <c r="AE74" i="6"/>
  <c r="AF74" i="6" s="1"/>
  <c r="AG74" i="6" s="1"/>
  <c r="AH74" i="6" s="1"/>
  <c r="AE75" i="6"/>
  <c r="AF75" i="6" s="1"/>
  <c r="AG75" i="6" s="1"/>
  <c r="AH75" i="6" s="1"/>
  <c r="AE76" i="6"/>
  <c r="AF76" i="6" s="1"/>
  <c r="AG76" i="6" s="1"/>
  <c r="AH76" i="6" s="1"/>
  <c r="AE77" i="6"/>
  <c r="AF77" i="6" s="1"/>
  <c r="AG77" i="6" s="1"/>
  <c r="AH77" i="6" s="1"/>
  <c r="AE78" i="6"/>
  <c r="AF78" i="6"/>
  <c r="AG78" i="6" s="1"/>
  <c r="AH78" i="6" s="1"/>
  <c r="AE79" i="6"/>
  <c r="AF79" i="6" s="1"/>
  <c r="AG79" i="6" s="1"/>
  <c r="AH79" i="6" s="1"/>
  <c r="AE80" i="6"/>
  <c r="AF80" i="6" s="1"/>
  <c r="AG80" i="6" s="1"/>
  <c r="AH80" i="6" s="1"/>
  <c r="AE81" i="6"/>
  <c r="AF81" i="6" s="1"/>
  <c r="AG81" i="6" s="1"/>
  <c r="AH81" i="6" s="1"/>
  <c r="AE82" i="6"/>
  <c r="AF82" i="6" s="1"/>
  <c r="AG82" i="6" s="1"/>
  <c r="AH82" i="6" s="1"/>
  <c r="AE83" i="6"/>
  <c r="AF83" i="6" s="1"/>
  <c r="AG83" i="6" s="1"/>
  <c r="AH83" i="6" s="1"/>
  <c r="AE84" i="6"/>
  <c r="AF84" i="6" s="1"/>
  <c r="AG84" i="6" s="1"/>
  <c r="AH84" i="6" s="1"/>
  <c r="AE85" i="6"/>
  <c r="AF85" i="6" s="1"/>
  <c r="AG85" i="6" s="1"/>
  <c r="AH85" i="6" s="1"/>
  <c r="AE86" i="6"/>
  <c r="AF86" i="6"/>
  <c r="AG86" i="6" s="1"/>
  <c r="AH86" i="6" s="1"/>
  <c r="AE87" i="6"/>
  <c r="AF87" i="6"/>
  <c r="AG87" i="6" s="1"/>
  <c r="AH87" i="6" s="1"/>
  <c r="AE88" i="6"/>
  <c r="AF88" i="6" s="1"/>
  <c r="AG88" i="6" s="1"/>
  <c r="AH88" i="6" s="1"/>
  <c r="AE89" i="6"/>
  <c r="AF89" i="6" s="1"/>
  <c r="AG89" i="6" s="1"/>
  <c r="AH89" i="6" s="1"/>
  <c r="AE6" i="6"/>
  <c r="AF6" i="6" s="1"/>
  <c r="AG6" i="6" s="1"/>
  <c r="AH6" i="6" s="1"/>
  <c r="Z7" i="6"/>
  <c r="AA7" i="6" s="1"/>
  <c r="AB7" i="6" s="1"/>
  <c r="AC7" i="6" s="1"/>
  <c r="Z8" i="6"/>
  <c r="AA8" i="6"/>
  <c r="AB8" i="6" s="1"/>
  <c r="AC8" i="6" s="1"/>
  <c r="Z9" i="6"/>
  <c r="AA9" i="6" s="1"/>
  <c r="AB9" i="6" s="1"/>
  <c r="AC9" i="6" s="1"/>
  <c r="Z10" i="6"/>
  <c r="AA10" i="6" s="1"/>
  <c r="AB10" i="6" s="1"/>
  <c r="AC10" i="6" s="1"/>
  <c r="Z11" i="6"/>
  <c r="AA11" i="6" s="1"/>
  <c r="AB11" i="6" s="1"/>
  <c r="AC11" i="6" s="1"/>
  <c r="Z12" i="6"/>
  <c r="AA12" i="6" s="1"/>
  <c r="AB12" i="6" s="1"/>
  <c r="AC12" i="6" s="1"/>
  <c r="Z13" i="6"/>
  <c r="AA13" i="6" s="1"/>
  <c r="AB13" i="6" s="1"/>
  <c r="AC13" i="6" s="1"/>
  <c r="Z14" i="6"/>
  <c r="AA14" i="6" s="1"/>
  <c r="AB14" i="6" s="1"/>
  <c r="AC14" i="6" s="1"/>
  <c r="Z15" i="6"/>
  <c r="AA15" i="6" s="1"/>
  <c r="AB15" i="6" s="1"/>
  <c r="AC15" i="6" s="1"/>
  <c r="Z16" i="6"/>
  <c r="AA16" i="6"/>
  <c r="AB16" i="6" s="1"/>
  <c r="AC16" i="6" s="1"/>
  <c r="Z17" i="6"/>
  <c r="AA17" i="6" s="1"/>
  <c r="AB17" i="6" s="1"/>
  <c r="AC17" i="6" s="1"/>
  <c r="Z18" i="6"/>
  <c r="AA18" i="6" s="1"/>
  <c r="AB18" i="6" s="1"/>
  <c r="AC18" i="6" s="1"/>
  <c r="Z19" i="6"/>
  <c r="AA19" i="6" s="1"/>
  <c r="AB19" i="6" s="1"/>
  <c r="AC19" i="6" s="1"/>
  <c r="Z20" i="6"/>
  <c r="AA20" i="6" s="1"/>
  <c r="AB20" i="6" s="1"/>
  <c r="AC20" i="6" s="1"/>
  <c r="Z21" i="6"/>
  <c r="AA21" i="6" s="1"/>
  <c r="AB21" i="6" s="1"/>
  <c r="AC21" i="6" s="1"/>
  <c r="Z22" i="6"/>
  <c r="AA22" i="6" s="1"/>
  <c r="AB22" i="6" s="1"/>
  <c r="AC22" i="6" s="1"/>
  <c r="Z23" i="6"/>
  <c r="AA23" i="6" s="1"/>
  <c r="AB23" i="6" s="1"/>
  <c r="AC23" i="6" s="1"/>
  <c r="Z24" i="6"/>
  <c r="AA24" i="6"/>
  <c r="AB24" i="6" s="1"/>
  <c r="AC24" i="6" s="1"/>
  <c r="Z25" i="6"/>
  <c r="AA25" i="6" s="1"/>
  <c r="AB25" i="6" s="1"/>
  <c r="AC25" i="6" s="1"/>
  <c r="Z26" i="6"/>
  <c r="AA26" i="6"/>
  <c r="AB26" i="6" s="1"/>
  <c r="AC26" i="6" s="1"/>
  <c r="Z27" i="6"/>
  <c r="AA27" i="6" s="1"/>
  <c r="AB27" i="6" s="1"/>
  <c r="AC27" i="6" s="1"/>
  <c r="Z28" i="6"/>
  <c r="AA28" i="6" s="1"/>
  <c r="AB28" i="6" s="1"/>
  <c r="AC28" i="6" s="1"/>
  <c r="Z29" i="6"/>
  <c r="AA29" i="6" s="1"/>
  <c r="AB29" i="6" s="1"/>
  <c r="AC29" i="6" s="1"/>
  <c r="Z30" i="6"/>
  <c r="AA30" i="6" s="1"/>
  <c r="AB30" i="6" s="1"/>
  <c r="AC30" i="6" s="1"/>
  <c r="Z31" i="6"/>
  <c r="AA31" i="6" s="1"/>
  <c r="AB31" i="6" s="1"/>
  <c r="AC31" i="6" s="1"/>
  <c r="Z32" i="6"/>
  <c r="AA32" i="6" s="1"/>
  <c r="AB32" i="6" s="1"/>
  <c r="AC32" i="6" s="1"/>
  <c r="Z33" i="6"/>
  <c r="AA33" i="6" s="1"/>
  <c r="AB33" i="6" s="1"/>
  <c r="AC33" i="6" s="1"/>
  <c r="Z34" i="6"/>
  <c r="AA34" i="6" s="1"/>
  <c r="AB34" i="6" s="1"/>
  <c r="AC34" i="6" s="1"/>
  <c r="Z35" i="6"/>
  <c r="AA35" i="6" s="1"/>
  <c r="AB35" i="6" s="1"/>
  <c r="AC35" i="6" s="1"/>
  <c r="Z36" i="6"/>
  <c r="AA36" i="6" s="1"/>
  <c r="AB36" i="6" s="1"/>
  <c r="AC36" i="6" s="1"/>
  <c r="Z37" i="6"/>
  <c r="AA37" i="6" s="1"/>
  <c r="AB37" i="6" s="1"/>
  <c r="AC37" i="6" s="1"/>
  <c r="Z38" i="6"/>
  <c r="AA38" i="6" s="1"/>
  <c r="AB38" i="6" s="1"/>
  <c r="AC38" i="6" s="1"/>
  <c r="Z39" i="6"/>
  <c r="AA39" i="6" s="1"/>
  <c r="AB39" i="6" s="1"/>
  <c r="AC39" i="6" s="1"/>
  <c r="Z40" i="6"/>
  <c r="AA40" i="6" s="1"/>
  <c r="AB40" i="6" s="1"/>
  <c r="AC40" i="6" s="1"/>
  <c r="Z41" i="6"/>
  <c r="AA41" i="6" s="1"/>
  <c r="AB41" i="6" s="1"/>
  <c r="AC41" i="6" s="1"/>
  <c r="Z42" i="6"/>
  <c r="AA42" i="6"/>
  <c r="AB42" i="6" s="1"/>
  <c r="AC42" i="6" s="1"/>
  <c r="Z43" i="6"/>
  <c r="AA43" i="6" s="1"/>
  <c r="AB43" i="6" s="1"/>
  <c r="AC43" i="6" s="1"/>
  <c r="Z44" i="6"/>
  <c r="AA44" i="6"/>
  <c r="AB44" i="6" s="1"/>
  <c r="AC44" i="6" s="1"/>
  <c r="Z45" i="6"/>
  <c r="AA45" i="6" s="1"/>
  <c r="AB45" i="6" s="1"/>
  <c r="AC45" i="6" s="1"/>
  <c r="Z46" i="6"/>
  <c r="AA46" i="6" s="1"/>
  <c r="AB46" i="6" s="1"/>
  <c r="AC46" i="6" s="1"/>
  <c r="Z47" i="6"/>
  <c r="AA47" i="6" s="1"/>
  <c r="AB47" i="6" s="1"/>
  <c r="AC47" i="6" s="1"/>
  <c r="Z48" i="6"/>
  <c r="AA48" i="6" s="1"/>
  <c r="AB48" i="6" s="1"/>
  <c r="AC48" i="6" s="1"/>
  <c r="Z49" i="6"/>
  <c r="AA49" i="6" s="1"/>
  <c r="AB49" i="6" s="1"/>
  <c r="AC49" i="6" s="1"/>
  <c r="Z50" i="6"/>
  <c r="AA50" i="6" s="1"/>
  <c r="AB50" i="6" s="1"/>
  <c r="AC50" i="6" s="1"/>
  <c r="Z51" i="6"/>
  <c r="AA51" i="6" s="1"/>
  <c r="AB51" i="6" s="1"/>
  <c r="AC51" i="6" s="1"/>
  <c r="Z52" i="6"/>
  <c r="AA52" i="6" s="1"/>
  <c r="AB52" i="6" s="1"/>
  <c r="AC52" i="6" s="1"/>
  <c r="Z53" i="6"/>
  <c r="AA53" i="6" s="1"/>
  <c r="AB53" i="6" s="1"/>
  <c r="AC53" i="6" s="1"/>
  <c r="Z54" i="6"/>
  <c r="AA54" i="6" s="1"/>
  <c r="AB54" i="6" s="1"/>
  <c r="AC54" i="6" s="1"/>
  <c r="Z55" i="6"/>
  <c r="AA55" i="6" s="1"/>
  <c r="AB55" i="6" s="1"/>
  <c r="AC55" i="6" s="1"/>
  <c r="Z56" i="6"/>
  <c r="AA56" i="6" s="1"/>
  <c r="AB56" i="6" s="1"/>
  <c r="AC56" i="6" s="1"/>
  <c r="Z57" i="6"/>
  <c r="AA57" i="6" s="1"/>
  <c r="AB57" i="6" s="1"/>
  <c r="AC57" i="6" s="1"/>
  <c r="Z58" i="6"/>
  <c r="AA58" i="6" s="1"/>
  <c r="AB58" i="6" s="1"/>
  <c r="AC58" i="6" s="1"/>
  <c r="Z59" i="6"/>
  <c r="AA59" i="6" s="1"/>
  <c r="AB59" i="6" s="1"/>
  <c r="AC59" i="6" s="1"/>
  <c r="Z60" i="6"/>
  <c r="AA60" i="6"/>
  <c r="AB60" i="6" s="1"/>
  <c r="AC60" i="6" s="1"/>
  <c r="Z61" i="6"/>
  <c r="AA61" i="6" s="1"/>
  <c r="AB61" i="6" s="1"/>
  <c r="AC61" i="6" s="1"/>
  <c r="Z62" i="6"/>
  <c r="AA62" i="6"/>
  <c r="AB62" i="6" s="1"/>
  <c r="AC62" i="6" s="1"/>
  <c r="Z63" i="6"/>
  <c r="AA63" i="6" s="1"/>
  <c r="AB63" i="6" s="1"/>
  <c r="AC63" i="6" s="1"/>
  <c r="Z64" i="6"/>
  <c r="AA64" i="6"/>
  <c r="AB64" i="6" s="1"/>
  <c r="AC64" i="6" s="1"/>
  <c r="Z65" i="6"/>
  <c r="AA65" i="6" s="1"/>
  <c r="AB65" i="6" s="1"/>
  <c r="AC65" i="6" s="1"/>
  <c r="Z66" i="6"/>
  <c r="AA66" i="6" s="1"/>
  <c r="AB66" i="6" s="1"/>
  <c r="AC66" i="6" s="1"/>
  <c r="Z67" i="6"/>
  <c r="AA67" i="6" s="1"/>
  <c r="AB67" i="6" s="1"/>
  <c r="AC67" i="6" s="1"/>
  <c r="Z68" i="6"/>
  <c r="AA68" i="6" s="1"/>
  <c r="AB68" i="6" s="1"/>
  <c r="AC68" i="6" s="1"/>
  <c r="Z69" i="6"/>
  <c r="AA69" i="6" s="1"/>
  <c r="AB69" i="6" s="1"/>
  <c r="AC69" i="6" s="1"/>
  <c r="Z70" i="6"/>
  <c r="AA70" i="6" s="1"/>
  <c r="AB70" i="6" s="1"/>
  <c r="AC70" i="6" s="1"/>
  <c r="Z71" i="6"/>
  <c r="AA71" i="6" s="1"/>
  <c r="AB71" i="6" s="1"/>
  <c r="AC71" i="6" s="1"/>
  <c r="Z72" i="6"/>
  <c r="AA72" i="6" s="1"/>
  <c r="AB72" i="6" s="1"/>
  <c r="AC72" i="6" s="1"/>
  <c r="Z73" i="6"/>
  <c r="AA73" i="6" s="1"/>
  <c r="AB73" i="6" s="1"/>
  <c r="AC73" i="6" s="1"/>
  <c r="Z74" i="6"/>
  <c r="AA74" i="6" s="1"/>
  <c r="AB74" i="6" s="1"/>
  <c r="AC74" i="6" s="1"/>
  <c r="Z75" i="6"/>
  <c r="AA75" i="6" s="1"/>
  <c r="AB75" i="6" s="1"/>
  <c r="AC75" i="6" s="1"/>
  <c r="Z76" i="6"/>
  <c r="AA76" i="6" s="1"/>
  <c r="AB76" i="6" s="1"/>
  <c r="AC76" i="6" s="1"/>
  <c r="Z77" i="6"/>
  <c r="AA77" i="6" s="1"/>
  <c r="AB77" i="6" s="1"/>
  <c r="AC77" i="6" s="1"/>
  <c r="Z78" i="6"/>
  <c r="AA78" i="6"/>
  <c r="AB78" i="6" s="1"/>
  <c r="AC78" i="6" s="1"/>
  <c r="Z79" i="6"/>
  <c r="AA79" i="6" s="1"/>
  <c r="AB79" i="6" s="1"/>
  <c r="AC79" i="6" s="1"/>
  <c r="Z80" i="6"/>
  <c r="AA80" i="6"/>
  <c r="AB80" i="6" s="1"/>
  <c r="AC80" i="6" s="1"/>
  <c r="Z81" i="6"/>
  <c r="AA81" i="6" s="1"/>
  <c r="AB81" i="6" s="1"/>
  <c r="AC81" i="6" s="1"/>
  <c r="Z82" i="6"/>
  <c r="AA82" i="6" s="1"/>
  <c r="AB82" i="6" s="1"/>
  <c r="AC82" i="6" s="1"/>
  <c r="Z83" i="6"/>
  <c r="AA83" i="6" s="1"/>
  <c r="AB83" i="6" s="1"/>
  <c r="AC83" i="6" s="1"/>
  <c r="Z84" i="6"/>
  <c r="AA84" i="6" s="1"/>
  <c r="AB84" i="6" s="1"/>
  <c r="AC84" i="6" s="1"/>
  <c r="Z85" i="6"/>
  <c r="AA85" i="6" s="1"/>
  <c r="AB85" i="6" s="1"/>
  <c r="AC85" i="6" s="1"/>
  <c r="Z86" i="6"/>
  <c r="AA86" i="6" s="1"/>
  <c r="AB86" i="6" s="1"/>
  <c r="AC86" i="6" s="1"/>
  <c r="Z87" i="6"/>
  <c r="AA87" i="6" s="1"/>
  <c r="AB87" i="6" s="1"/>
  <c r="AC87" i="6" s="1"/>
  <c r="Z88" i="6"/>
  <c r="AA88" i="6" s="1"/>
  <c r="AB88" i="6" s="1"/>
  <c r="AC88" i="6" s="1"/>
  <c r="Z89" i="6"/>
  <c r="AA89" i="6" s="1"/>
  <c r="AB89" i="6" s="1"/>
  <c r="AC89" i="6" s="1"/>
  <c r="Z6" i="6"/>
  <c r="AA6" i="6" s="1"/>
  <c r="AB6" i="6" s="1"/>
  <c r="AC6" i="6" s="1"/>
  <c r="U7" i="6"/>
  <c r="V7" i="6" s="1"/>
  <c r="W7" i="6" s="1"/>
  <c r="X7" i="6" s="1"/>
  <c r="U8" i="6"/>
  <c r="V8" i="6" s="1"/>
  <c r="W8" i="6" s="1"/>
  <c r="X8" i="6" s="1"/>
  <c r="U9" i="6"/>
  <c r="V9" i="6" s="1"/>
  <c r="W9" i="6" s="1"/>
  <c r="X9" i="6" s="1"/>
  <c r="U10" i="6"/>
  <c r="V10" i="6" s="1"/>
  <c r="W10" i="6" s="1"/>
  <c r="X10" i="6" s="1"/>
  <c r="U11" i="6"/>
  <c r="V11" i="6" s="1"/>
  <c r="W11" i="6" s="1"/>
  <c r="X11" i="6" s="1"/>
  <c r="U12" i="6"/>
  <c r="V12" i="6" s="1"/>
  <c r="W12" i="6" s="1"/>
  <c r="X12" i="6" s="1"/>
  <c r="U13" i="6"/>
  <c r="V13" i="6" s="1"/>
  <c r="W13" i="6" s="1"/>
  <c r="X13" i="6" s="1"/>
  <c r="U14" i="6"/>
  <c r="V14" i="6" s="1"/>
  <c r="W14" i="6" s="1"/>
  <c r="X14" i="6" s="1"/>
  <c r="U15" i="6"/>
  <c r="V15" i="6" s="1"/>
  <c r="W15" i="6" s="1"/>
  <c r="X15" i="6" s="1"/>
  <c r="U16" i="6"/>
  <c r="V16" i="6" s="1"/>
  <c r="W16" i="6" s="1"/>
  <c r="X16" i="6" s="1"/>
  <c r="U17" i="6"/>
  <c r="V17" i="6" s="1"/>
  <c r="W17" i="6" s="1"/>
  <c r="X17" i="6" s="1"/>
  <c r="U18" i="6"/>
  <c r="V18" i="6" s="1"/>
  <c r="W18" i="6" s="1"/>
  <c r="X18" i="6" s="1"/>
  <c r="U19" i="6"/>
  <c r="V19" i="6" s="1"/>
  <c r="W19" i="6" s="1"/>
  <c r="X19" i="6" s="1"/>
  <c r="U20" i="6"/>
  <c r="V20" i="6" s="1"/>
  <c r="W20" i="6" s="1"/>
  <c r="X20" i="6" s="1"/>
  <c r="U21" i="6"/>
  <c r="V21" i="6" s="1"/>
  <c r="W21" i="6" s="1"/>
  <c r="X21" i="6" s="1"/>
  <c r="U22" i="6"/>
  <c r="V22" i="6" s="1"/>
  <c r="W22" i="6" s="1"/>
  <c r="X22" i="6" s="1"/>
  <c r="U23" i="6"/>
  <c r="V23" i="6" s="1"/>
  <c r="W23" i="6" s="1"/>
  <c r="X23" i="6" s="1"/>
  <c r="U24" i="6"/>
  <c r="V24" i="6" s="1"/>
  <c r="W24" i="6" s="1"/>
  <c r="X24" i="6" s="1"/>
  <c r="U25" i="6"/>
  <c r="V25" i="6" s="1"/>
  <c r="W25" i="6" s="1"/>
  <c r="X25" i="6" s="1"/>
  <c r="U26" i="6"/>
  <c r="V26" i="6" s="1"/>
  <c r="W26" i="6" s="1"/>
  <c r="X26" i="6" s="1"/>
  <c r="U27" i="6"/>
  <c r="V27" i="6" s="1"/>
  <c r="W27" i="6" s="1"/>
  <c r="X27" i="6" s="1"/>
  <c r="U28" i="6"/>
  <c r="V28" i="6"/>
  <c r="W28" i="6" s="1"/>
  <c r="X28" i="6" s="1"/>
  <c r="U29" i="6"/>
  <c r="V29" i="6" s="1"/>
  <c r="W29" i="6" s="1"/>
  <c r="X29" i="6" s="1"/>
  <c r="U30" i="6"/>
  <c r="V30" i="6" s="1"/>
  <c r="W30" i="6" s="1"/>
  <c r="X30" i="6" s="1"/>
  <c r="U31" i="6"/>
  <c r="V31" i="6" s="1"/>
  <c r="W31" i="6" s="1"/>
  <c r="X31" i="6" s="1"/>
  <c r="U32" i="6"/>
  <c r="V32" i="6" s="1"/>
  <c r="W32" i="6" s="1"/>
  <c r="X32" i="6" s="1"/>
  <c r="U33" i="6"/>
  <c r="V33" i="6" s="1"/>
  <c r="W33" i="6" s="1"/>
  <c r="X33" i="6" s="1"/>
  <c r="U34" i="6"/>
  <c r="V34" i="6" s="1"/>
  <c r="W34" i="6" s="1"/>
  <c r="X34" i="6" s="1"/>
  <c r="U35" i="6"/>
  <c r="V35" i="6" s="1"/>
  <c r="W35" i="6" s="1"/>
  <c r="X35" i="6" s="1"/>
  <c r="U36" i="6"/>
  <c r="V36" i="6" s="1"/>
  <c r="W36" i="6" s="1"/>
  <c r="X36" i="6" s="1"/>
  <c r="U37" i="6"/>
  <c r="V37" i="6" s="1"/>
  <c r="W37" i="6" s="1"/>
  <c r="X37" i="6" s="1"/>
  <c r="U38" i="6"/>
  <c r="V38" i="6" s="1"/>
  <c r="W38" i="6" s="1"/>
  <c r="X38" i="6" s="1"/>
  <c r="U39" i="6"/>
  <c r="V39" i="6" s="1"/>
  <c r="W39" i="6" s="1"/>
  <c r="X39" i="6" s="1"/>
  <c r="U40" i="6"/>
  <c r="V40" i="6" s="1"/>
  <c r="W40" i="6" s="1"/>
  <c r="X40" i="6" s="1"/>
  <c r="U41" i="6"/>
  <c r="V41" i="6" s="1"/>
  <c r="W41" i="6" s="1"/>
  <c r="X41" i="6" s="1"/>
  <c r="U42" i="6"/>
  <c r="V42" i="6" s="1"/>
  <c r="W42" i="6" s="1"/>
  <c r="X42" i="6" s="1"/>
  <c r="U43" i="6"/>
  <c r="V43" i="6" s="1"/>
  <c r="W43" i="6" s="1"/>
  <c r="X43" i="6" s="1"/>
  <c r="U44" i="6"/>
  <c r="V44" i="6"/>
  <c r="W44" i="6" s="1"/>
  <c r="X44" i="6" s="1"/>
  <c r="U45" i="6"/>
  <c r="V45" i="6" s="1"/>
  <c r="W45" i="6" s="1"/>
  <c r="X45" i="6" s="1"/>
  <c r="U46" i="6"/>
  <c r="V46" i="6" s="1"/>
  <c r="W46" i="6" s="1"/>
  <c r="X46" i="6" s="1"/>
  <c r="U47" i="6"/>
  <c r="V47" i="6" s="1"/>
  <c r="W47" i="6" s="1"/>
  <c r="X47" i="6" s="1"/>
  <c r="U48" i="6"/>
  <c r="V48" i="6" s="1"/>
  <c r="W48" i="6" s="1"/>
  <c r="X48" i="6" s="1"/>
  <c r="U49" i="6"/>
  <c r="V49" i="6" s="1"/>
  <c r="W49" i="6" s="1"/>
  <c r="X49" i="6" s="1"/>
  <c r="U50" i="6"/>
  <c r="V50" i="6" s="1"/>
  <c r="W50" i="6" s="1"/>
  <c r="X50" i="6" s="1"/>
  <c r="U51" i="6"/>
  <c r="V51" i="6" s="1"/>
  <c r="W51" i="6" s="1"/>
  <c r="X51" i="6" s="1"/>
  <c r="U52" i="6"/>
  <c r="V52" i="6" s="1"/>
  <c r="W52" i="6" s="1"/>
  <c r="X52" i="6" s="1"/>
  <c r="U53" i="6"/>
  <c r="V53" i="6" s="1"/>
  <c r="W53" i="6" s="1"/>
  <c r="X53" i="6" s="1"/>
  <c r="U54" i="6"/>
  <c r="V54" i="6" s="1"/>
  <c r="W54" i="6" s="1"/>
  <c r="X54" i="6" s="1"/>
  <c r="U55" i="6"/>
  <c r="V55" i="6" s="1"/>
  <c r="W55" i="6" s="1"/>
  <c r="X55" i="6" s="1"/>
  <c r="U56" i="6"/>
  <c r="V56" i="6" s="1"/>
  <c r="W56" i="6" s="1"/>
  <c r="X56" i="6" s="1"/>
  <c r="U57" i="6"/>
  <c r="V57" i="6" s="1"/>
  <c r="W57" i="6" s="1"/>
  <c r="X57" i="6" s="1"/>
  <c r="U58" i="6"/>
  <c r="V58" i="6" s="1"/>
  <c r="W58" i="6" s="1"/>
  <c r="X58" i="6" s="1"/>
  <c r="U59" i="6"/>
  <c r="V59" i="6" s="1"/>
  <c r="W59" i="6" s="1"/>
  <c r="X59" i="6" s="1"/>
  <c r="U60" i="6"/>
  <c r="V60" i="6"/>
  <c r="W60" i="6" s="1"/>
  <c r="X60" i="6" s="1"/>
  <c r="U61" i="6"/>
  <c r="V61" i="6" s="1"/>
  <c r="W61" i="6" s="1"/>
  <c r="X61" i="6" s="1"/>
  <c r="U62" i="6"/>
  <c r="V62" i="6" s="1"/>
  <c r="W62" i="6" s="1"/>
  <c r="X62" i="6" s="1"/>
  <c r="U63" i="6"/>
  <c r="V63" i="6" s="1"/>
  <c r="W63" i="6" s="1"/>
  <c r="X63" i="6" s="1"/>
  <c r="U64" i="6"/>
  <c r="V64" i="6" s="1"/>
  <c r="W64" i="6" s="1"/>
  <c r="X64" i="6" s="1"/>
  <c r="U65" i="6"/>
  <c r="V65" i="6" s="1"/>
  <c r="W65" i="6" s="1"/>
  <c r="X65" i="6" s="1"/>
  <c r="U66" i="6"/>
  <c r="V66" i="6" s="1"/>
  <c r="W66" i="6" s="1"/>
  <c r="X66" i="6" s="1"/>
  <c r="U67" i="6"/>
  <c r="V67" i="6" s="1"/>
  <c r="W67" i="6" s="1"/>
  <c r="X67" i="6" s="1"/>
  <c r="U68" i="6"/>
  <c r="V68" i="6" s="1"/>
  <c r="W68" i="6" s="1"/>
  <c r="X68" i="6" s="1"/>
  <c r="U69" i="6"/>
  <c r="V69" i="6" s="1"/>
  <c r="W69" i="6" s="1"/>
  <c r="X69" i="6" s="1"/>
  <c r="U70" i="6"/>
  <c r="V70" i="6" s="1"/>
  <c r="W70" i="6" s="1"/>
  <c r="X70" i="6" s="1"/>
  <c r="U71" i="6"/>
  <c r="V71" i="6" s="1"/>
  <c r="W71" i="6" s="1"/>
  <c r="X71" i="6" s="1"/>
  <c r="U72" i="6"/>
  <c r="V72" i="6" s="1"/>
  <c r="W72" i="6" s="1"/>
  <c r="X72" i="6" s="1"/>
  <c r="U73" i="6"/>
  <c r="V73" i="6" s="1"/>
  <c r="W73" i="6" s="1"/>
  <c r="X73" i="6" s="1"/>
  <c r="U74" i="6"/>
  <c r="V74" i="6" s="1"/>
  <c r="W74" i="6" s="1"/>
  <c r="X74" i="6" s="1"/>
  <c r="U75" i="6"/>
  <c r="V75" i="6" s="1"/>
  <c r="W75" i="6" s="1"/>
  <c r="X75" i="6" s="1"/>
  <c r="U76" i="6"/>
  <c r="V76" i="6"/>
  <c r="W76" i="6" s="1"/>
  <c r="X76" i="6" s="1"/>
  <c r="U77" i="6"/>
  <c r="V77" i="6" s="1"/>
  <c r="W77" i="6" s="1"/>
  <c r="X77" i="6" s="1"/>
  <c r="U78" i="6"/>
  <c r="V78" i="6" s="1"/>
  <c r="W78" i="6" s="1"/>
  <c r="X78" i="6" s="1"/>
  <c r="U79" i="6"/>
  <c r="V79" i="6" s="1"/>
  <c r="W79" i="6" s="1"/>
  <c r="X79" i="6" s="1"/>
  <c r="U80" i="6"/>
  <c r="V80" i="6" s="1"/>
  <c r="W80" i="6" s="1"/>
  <c r="X80" i="6" s="1"/>
  <c r="U81" i="6"/>
  <c r="V81" i="6" s="1"/>
  <c r="W81" i="6" s="1"/>
  <c r="X81" i="6" s="1"/>
  <c r="U82" i="6"/>
  <c r="V82" i="6" s="1"/>
  <c r="W82" i="6" s="1"/>
  <c r="X82" i="6" s="1"/>
  <c r="U83" i="6"/>
  <c r="V83" i="6" s="1"/>
  <c r="W83" i="6" s="1"/>
  <c r="X83" i="6" s="1"/>
  <c r="U84" i="6"/>
  <c r="V84" i="6" s="1"/>
  <c r="W84" i="6" s="1"/>
  <c r="X84" i="6" s="1"/>
  <c r="U85" i="6"/>
  <c r="V85" i="6" s="1"/>
  <c r="W85" i="6" s="1"/>
  <c r="X85" i="6" s="1"/>
  <c r="U86" i="6"/>
  <c r="V86" i="6" s="1"/>
  <c r="W86" i="6" s="1"/>
  <c r="X86" i="6" s="1"/>
  <c r="U87" i="6"/>
  <c r="V87" i="6" s="1"/>
  <c r="W87" i="6" s="1"/>
  <c r="X87" i="6" s="1"/>
  <c r="U88" i="6"/>
  <c r="V88" i="6" s="1"/>
  <c r="W88" i="6" s="1"/>
  <c r="X88" i="6" s="1"/>
  <c r="U89" i="6"/>
  <c r="V89" i="6" s="1"/>
  <c r="W89" i="6" s="1"/>
  <c r="X89" i="6" s="1"/>
  <c r="V6" i="6"/>
  <c r="W6" i="6" s="1"/>
  <c r="X6" i="6" s="1"/>
  <c r="U6" i="6"/>
  <c r="P7" i="6"/>
  <c r="Q7" i="6" s="1"/>
  <c r="R7" i="6" s="1"/>
  <c r="S7" i="6" s="1"/>
  <c r="P8" i="6"/>
  <c r="Q8" i="6" s="1"/>
  <c r="R8" i="6" s="1"/>
  <c r="S8" i="6" s="1"/>
  <c r="P9" i="6"/>
  <c r="Q9" i="6" s="1"/>
  <c r="R9" i="6" s="1"/>
  <c r="S9" i="6" s="1"/>
  <c r="P10" i="6"/>
  <c r="Q10" i="6" s="1"/>
  <c r="R10" i="6" s="1"/>
  <c r="S10" i="6" s="1"/>
  <c r="P11" i="6"/>
  <c r="Q11" i="6" s="1"/>
  <c r="R11" i="6" s="1"/>
  <c r="S11" i="6" s="1"/>
  <c r="P12" i="6"/>
  <c r="Q12" i="6" s="1"/>
  <c r="R12" i="6" s="1"/>
  <c r="S12" i="6" s="1"/>
  <c r="P13" i="6"/>
  <c r="Q13" i="6" s="1"/>
  <c r="R13" i="6" s="1"/>
  <c r="S13" i="6" s="1"/>
  <c r="P14" i="6"/>
  <c r="Q14" i="6" s="1"/>
  <c r="R14" i="6" s="1"/>
  <c r="S14" i="6" s="1"/>
  <c r="P15" i="6"/>
  <c r="Q15" i="6" s="1"/>
  <c r="R15" i="6" s="1"/>
  <c r="S15" i="6" s="1"/>
  <c r="P16" i="6"/>
  <c r="Q16" i="6" s="1"/>
  <c r="R16" i="6" s="1"/>
  <c r="S16" i="6" s="1"/>
  <c r="P17" i="6"/>
  <c r="Q17" i="6" s="1"/>
  <c r="R17" i="6" s="1"/>
  <c r="S17" i="6" s="1"/>
  <c r="P18" i="6"/>
  <c r="Q18" i="6" s="1"/>
  <c r="R18" i="6" s="1"/>
  <c r="S18" i="6" s="1"/>
  <c r="P19" i="6"/>
  <c r="Q19" i="6" s="1"/>
  <c r="R19" i="6" s="1"/>
  <c r="S19" i="6" s="1"/>
  <c r="P20" i="6"/>
  <c r="Q20" i="6" s="1"/>
  <c r="R20" i="6" s="1"/>
  <c r="S20" i="6" s="1"/>
  <c r="P21" i="6"/>
  <c r="Q21" i="6" s="1"/>
  <c r="R21" i="6" s="1"/>
  <c r="S21" i="6" s="1"/>
  <c r="P22" i="6"/>
  <c r="Q22" i="6" s="1"/>
  <c r="R22" i="6" s="1"/>
  <c r="S22" i="6" s="1"/>
  <c r="P23" i="6"/>
  <c r="Q23" i="6" s="1"/>
  <c r="R23" i="6" s="1"/>
  <c r="S23" i="6" s="1"/>
  <c r="P24" i="6"/>
  <c r="Q24" i="6" s="1"/>
  <c r="R24" i="6" s="1"/>
  <c r="S24" i="6" s="1"/>
  <c r="P25" i="6"/>
  <c r="Q25" i="6" s="1"/>
  <c r="R25" i="6" s="1"/>
  <c r="S25" i="6" s="1"/>
  <c r="P26" i="6"/>
  <c r="Q26" i="6" s="1"/>
  <c r="R26" i="6" s="1"/>
  <c r="S26" i="6" s="1"/>
  <c r="P27" i="6"/>
  <c r="Q27" i="6" s="1"/>
  <c r="R27" i="6" s="1"/>
  <c r="S27" i="6" s="1"/>
  <c r="P28" i="6"/>
  <c r="Q28" i="6" s="1"/>
  <c r="R28" i="6" s="1"/>
  <c r="S28" i="6" s="1"/>
  <c r="P29" i="6"/>
  <c r="Q29" i="6" s="1"/>
  <c r="R29" i="6" s="1"/>
  <c r="S29" i="6" s="1"/>
  <c r="P30" i="6"/>
  <c r="Q30" i="6" s="1"/>
  <c r="R30" i="6" s="1"/>
  <c r="S30" i="6" s="1"/>
  <c r="P31" i="6"/>
  <c r="Q31" i="6" s="1"/>
  <c r="R31" i="6" s="1"/>
  <c r="S31" i="6" s="1"/>
  <c r="P32" i="6"/>
  <c r="Q32" i="6" s="1"/>
  <c r="R32" i="6" s="1"/>
  <c r="S32" i="6" s="1"/>
  <c r="P33" i="6"/>
  <c r="Q33" i="6" s="1"/>
  <c r="R33" i="6" s="1"/>
  <c r="S33" i="6" s="1"/>
  <c r="P34" i="6"/>
  <c r="Q34" i="6" s="1"/>
  <c r="R34" i="6" s="1"/>
  <c r="S34" i="6" s="1"/>
  <c r="P35" i="6"/>
  <c r="Q35" i="6" s="1"/>
  <c r="R35" i="6" s="1"/>
  <c r="S35" i="6" s="1"/>
  <c r="P36" i="6"/>
  <c r="Q36" i="6" s="1"/>
  <c r="R36" i="6" s="1"/>
  <c r="S36" i="6" s="1"/>
  <c r="P37" i="6"/>
  <c r="Q37" i="6" s="1"/>
  <c r="R37" i="6" s="1"/>
  <c r="S37" i="6" s="1"/>
  <c r="P38" i="6"/>
  <c r="Q38" i="6" s="1"/>
  <c r="R38" i="6" s="1"/>
  <c r="S38" i="6" s="1"/>
  <c r="P39" i="6"/>
  <c r="Q39" i="6" s="1"/>
  <c r="R39" i="6" s="1"/>
  <c r="S39" i="6" s="1"/>
  <c r="P40" i="6"/>
  <c r="Q40" i="6" s="1"/>
  <c r="R40" i="6" s="1"/>
  <c r="S40" i="6" s="1"/>
  <c r="P41" i="6"/>
  <c r="Q41" i="6" s="1"/>
  <c r="R41" i="6" s="1"/>
  <c r="S41" i="6" s="1"/>
  <c r="P42" i="6"/>
  <c r="Q42" i="6" s="1"/>
  <c r="R42" i="6" s="1"/>
  <c r="S42" i="6" s="1"/>
  <c r="P43" i="6"/>
  <c r="Q43" i="6" s="1"/>
  <c r="R43" i="6" s="1"/>
  <c r="S43" i="6" s="1"/>
  <c r="P44" i="6"/>
  <c r="Q44" i="6" s="1"/>
  <c r="R44" i="6" s="1"/>
  <c r="S44" i="6" s="1"/>
  <c r="P45" i="6"/>
  <c r="Q45" i="6" s="1"/>
  <c r="R45" i="6" s="1"/>
  <c r="S45" i="6" s="1"/>
  <c r="P46" i="6"/>
  <c r="Q46" i="6" s="1"/>
  <c r="R46" i="6" s="1"/>
  <c r="S46" i="6" s="1"/>
  <c r="P47" i="6"/>
  <c r="Q47" i="6" s="1"/>
  <c r="R47" i="6" s="1"/>
  <c r="S47" i="6" s="1"/>
  <c r="P48" i="6"/>
  <c r="Q48" i="6" s="1"/>
  <c r="R48" i="6" s="1"/>
  <c r="S48" i="6" s="1"/>
  <c r="P49" i="6"/>
  <c r="Q49" i="6" s="1"/>
  <c r="R49" i="6" s="1"/>
  <c r="S49" i="6" s="1"/>
  <c r="P50" i="6"/>
  <c r="Q50" i="6" s="1"/>
  <c r="R50" i="6" s="1"/>
  <c r="S50" i="6" s="1"/>
  <c r="P51" i="6"/>
  <c r="Q51" i="6" s="1"/>
  <c r="R51" i="6" s="1"/>
  <c r="S51" i="6" s="1"/>
  <c r="P52" i="6"/>
  <c r="Q52" i="6" s="1"/>
  <c r="R52" i="6" s="1"/>
  <c r="S52" i="6" s="1"/>
  <c r="P53" i="6"/>
  <c r="Q53" i="6" s="1"/>
  <c r="R53" i="6" s="1"/>
  <c r="S53" i="6" s="1"/>
  <c r="P54" i="6"/>
  <c r="Q54" i="6" s="1"/>
  <c r="R54" i="6" s="1"/>
  <c r="S54" i="6" s="1"/>
  <c r="P55" i="6"/>
  <c r="Q55" i="6" s="1"/>
  <c r="R55" i="6" s="1"/>
  <c r="S55" i="6" s="1"/>
  <c r="P56" i="6"/>
  <c r="Q56" i="6" s="1"/>
  <c r="R56" i="6" s="1"/>
  <c r="S56" i="6" s="1"/>
  <c r="P57" i="6"/>
  <c r="Q57" i="6" s="1"/>
  <c r="R57" i="6" s="1"/>
  <c r="S57" i="6" s="1"/>
  <c r="P58" i="6"/>
  <c r="Q58" i="6" s="1"/>
  <c r="R58" i="6" s="1"/>
  <c r="S58" i="6" s="1"/>
  <c r="P59" i="6"/>
  <c r="Q59" i="6" s="1"/>
  <c r="R59" i="6" s="1"/>
  <c r="S59" i="6" s="1"/>
  <c r="P60" i="6"/>
  <c r="Q60" i="6" s="1"/>
  <c r="R60" i="6" s="1"/>
  <c r="S60" i="6" s="1"/>
  <c r="P61" i="6"/>
  <c r="Q61" i="6" s="1"/>
  <c r="R61" i="6" s="1"/>
  <c r="S61" i="6" s="1"/>
  <c r="P62" i="6"/>
  <c r="Q62" i="6" s="1"/>
  <c r="R62" i="6" s="1"/>
  <c r="S62" i="6" s="1"/>
  <c r="P63" i="6"/>
  <c r="Q63" i="6" s="1"/>
  <c r="R63" i="6" s="1"/>
  <c r="S63" i="6" s="1"/>
  <c r="P64" i="6"/>
  <c r="Q64" i="6" s="1"/>
  <c r="R64" i="6" s="1"/>
  <c r="S64" i="6" s="1"/>
  <c r="P65" i="6"/>
  <c r="Q65" i="6" s="1"/>
  <c r="R65" i="6" s="1"/>
  <c r="S65" i="6" s="1"/>
  <c r="P66" i="6"/>
  <c r="Q66" i="6" s="1"/>
  <c r="R66" i="6" s="1"/>
  <c r="S66" i="6" s="1"/>
  <c r="P67" i="6"/>
  <c r="Q67" i="6" s="1"/>
  <c r="R67" i="6" s="1"/>
  <c r="S67" i="6" s="1"/>
  <c r="P68" i="6"/>
  <c r="Q68" i="6" s="1"/>
  <c r="R68" i="6" s="1"/>
  <c r="S68" i="6" s="1"/>
  <c r="P69" i="6"/>
  <c r="Q69" i="6" s="1"/>
  <c r="R69" i="6" s="1"/>
  <c r="S69" i="6" s="1"/>
  <c r="P70" i="6"/>
  <c r="Q70" i="6" s="1"/>
  <c r="R70" i="6" s="1"/>
  <c r="S70" i="6" s="1"/>
  <c r="P71" i="6"/>
  <c r="Q71" i="6" s="1"/>
  <c r="R71" i="6" s="1"/>
  <c r="S71" i="6" s="1"/>
  <c r="P72" i="6"/>
  <c r="Q72" i="6" s="1"/>
  <c r="R72" i="6" s="1"/>
  <c r="S72" i="6" s="1"/>
  <c r="P73" i="6"/>
  <c r="Q73" i="6" s="1"/>
  <c r="R73" i="6" s="1"/>
  <c r="S73" i="6" s="1"/>
  <c r="P74" i="6"/>
  <c r="Q74" i="6" s="1"/>
  <c r="R74" i="6" s="1"/>
  <c r="S74" i="6" s="1"/>
  <c r="P75" i="6"/>
  <c r="Q75" i="6" s="1"/>
  <c r="R75" i="6" s="1"/>
  <c r="S75" i="6" s="1"/>
  <c r="P76" i="6"/>
  <c r="Q76" i="6" s="1"/>
  <c r="R76" i="6" s="1"/>
  <c r="S76" i="6" s="1"/>
  <c r="P77" i="6"/>
  <c r="Q77" i="6" s="1"/>
  <c r="R77" i="6" s="1"/>
  <c r="S77" i="6" s="1"/>
  <c r="P78" i="6"/>
  <c r="Q78" i="6" s="1"/>
  <c r="R78" i="6" s="1"/>
  <c r="S78" i="6" s="1"/>
  <c r="P79" i="6"/>
  <c r="Q79" i="6" s="1"/>
  <c r="R79" i="6" s="1"/>
  <c r="S79" i="6" s="1"/>
  <c r="P80" i="6"/>
  <c r="Q80" i="6" s="1"/>
  <c r="R80" i="6" s="1"/>
  <c r="S80" i="6" s="1"/>
  <c r="P81" i="6"/>
  <c r="Q81" i="6" s="1"/>
  <c r="R81" i="6" s="1"/>
  <c r="S81" i="6" s="1"/>
  <c r="P82" i="6"/>
  <c r="Q82" i="6" s="1"/>
  <c r="R82" i="6" s="1"/>
  <c r="S82" i="6" s="1"/>
  <c r="P83" i="6"/>
  <c r="Q83" i="6" s="1"/>
  <c r="R83" i="6" s="1"/>
  <c r="S83" i="6" s="1"/>
  <c r="P84" i="6"/>
  <c r="Q84" i="6" s="1"/>
  <c r="R84" i="6" s="1"/>
  <c r="S84" i="6" s="1"/>
  <c r="P85" i="6"/>
  <c r="Q85" i="6" s="1"/>
  <c r="R85" i="6" s="1"/>
  <c r="S85" i="6" s="1"/>
  <c r="P86" i="6"/>
  <c r="Q86" i="6" s="1"/>
  <c r="R86" i="6" s="1"/>
  <c r="S86" i="6" s="1"/>
  <c r="P87" i="6"/>
  <c r="Q87" i="6" s="1"/>
  <c r="R87" i="6" s="1"/>
  <c r="S87" i="6" s="1"/>
  <c r="P88" i="6"/>
  <c r="Q88" i="6" s="1"/>
  <c r="R88" i="6" s="1"/>
  <c r="S88" i="6" s="1"/>
  <c r="P89" i="6"/>
  <c r="Q89" i="6" s="1"/>
  <c r="R89" i="6" s="1"/>
  <c r="S89" i="6" s="1"/>
  <c r="P6" i="6"/>
  <c r="Q6" i="6" s="1"/>
  <c r="R6" i="6" s="1"/>
  <c r="S6" i="6" s="1"/>
  <c r="K7" i="6"/>
  <c r="L7" i="6" s="1"/>
  <c r="M7" i="6" s="1"/>
  <c r="N7" i="6" s="1"/>
  <c r="K8" i="6"/>
  <c r="L8" i="6" s="1"/>
  <c r="M8" i="6" s="1"/>
  <c r="N8" i="6" s="1"/>
  <c r="K9" i="6"/>
  <c r="L9" i="6" s="1"/>
  <c r="M9" i="6" s="1"/>
  <c r="N9" i="6" s="1"/>
  <c r="K10" i="6"/>
  <c r="L10" i="6" s="1"/>
  <c r="M10" i="6" s="1"/>
  <c r="N10" i="6" s="1"/>
  <c r="K11" i="6"/>
  <c r="L11" i="6"/>
  <c r="M11" i="6" s="1"/>
  <c r="N11" i="6" s="1"/>
  <c r="K12" i="6"/>
  <c r="L12" i="6" s="1"/>
  <c r="M12" i="6" s="1"/>
  <c r="N12" i="6" s="1"/>
  <c r="K13" i="6"/>
  <c r="L13" i="6" s="1"/>
  <c r="M13" i="6" s="1"/>
  <c r="N13" i="6" s="1"/>
  <c r="K14" i="6"/>
  <c r="L14" i="6" s="1"/>
  <c r="M14" i="6" s="1"/>
  <c r="N14" i="6" s="1"/>
  <c r="K15" i="6"/>
  <c r="L15" i="6"/>
  <c r="M15" i="6" s="1"/>
  <c r="N15" i="6" s="1"/>
  <c r="K16" i="6"/>
  <c r="L16" i="6" s="1"/>
  <c r="M16" i="6" s="1"/>
  <c r="N16" i="6" s="1"/>
  <c r="K17" i="6"/>
  <c r="L17" i="6"/>
  <c r="M17" i="6" s="1"/>
  <c r="N17" i="6" s="1"/>
  <c r="K18" i="6"/>
  <c r="L18" i="6" s="1"/>
  <c r="M18" i="6" s="1"/>
  <c r="N18" i="6" s="1"/>
  <c r="K19" i="6"/>
  <c r="L19" i="6" s="1"/>
  <c r="M19" i="6" s="1"/>
  <c r="N19" i="6" s="1"/>
  <c r="K20" i="6"/>
  <c r="L20" i="6" s="1"/>
  <c r="M20" i="6" s="1"/>
  <c r="N20" i="6" s="1"/>
  <c r="K21" i="6"/>
  <c r="L21" i="6" s="1"/>
  <c r="M21" i="6" s="1"/>
  <c r="N21" i="6" s="1"/>
  <c r="K22" i="6"/>
  <c r="L22" i="6" s="1"/>
  <c r="M22" i="6" s="1"/>
  <c r="N22" i="6" s="1"/>
  <c r="K23" i="6"/>
  <c r="L23" i="6" s="1"/>
  <c r="M23" i="6" s="1"/>
  <c r="N23" i="6" s="1"/>
  <c r="K24" i="6"/>
  <c r="L24" i="6" s="1"/>
  <c r="M24" i="6" s="1"/>
  <c r="N24" i="6" s="1"/>
  <c r="K25" i="6"/>
  <c r="L25" i="6" s="1"/>
  <c r="M25" i="6" s="1"/>
  <c r="N25" i="6" s="1"/>
  <c r="K26" i="6"/>
  <c r="L26" i="6" s="1"/>
  <c r="M26" i="6" s="1"/>
  <c r="N26" i="6" s="1"/>
  <c r="K27" i="6"/>
  <c r="L27" i="6" s="1"/>
  <c r="M27" i="6" s="1"/>
  <c r="N27" i="6" s="1"/>
  <c r="K28" i="6"/>
  <c r="L28" i="6" s="1"/>
  <c r="M28" i="6" s="1"/>
  <c r="N28" i="6" s="1"/>
  <c r="K29" i="6"/>
  <c r="L29" i="6" s="1"/>
  <c r="M29" i="6" s="1"/>
  <c r="N29" i="6" s="1"/>
  <c r="K30" i="6"/>
  <c r="L30" i="6" s="1"/>
  <c r="M30" i="6" s="1"/>
  <c r="N30" i="6" s="1"/>
  <c r="K31" i="6"/>
  <c r="L31" i="6" s="1"/>
  <c r="M31" i="6" s="1"/>
  <c r="N31" i="6" s="1"/>
  <c r="K32" i="6"/>
  <c r="L32" i="6" s="1"/>
  <c r="M32" i="6" s="1"/>
  <c r="N32" i="6" s="1"/>
  <c r="K33" i="6"/>
  <c r="L33" i="6" s="1"/>
  <c r="M33" i="6" s="1"/>
  <c r="N33" i="6" s="1"/>
  <c r="K34" i="6"/>
  <c r="L34" i="6" s="1"/>
  <c r="M34" i="6" s="1"/>
  <c r="N34" i="6" s="1"/>
  <c r="K35" i="6"/>
  <c r="L35" i="6" s="1"/>
  <c r="M35" i="6" s="1"/>
  <c r="N35" i="6" s="1"/>
  <c r="K36" i="6"/>
  <c r="L36" i="6" s="1"/>
  <c r="M36" i="6" s="1"/>
  <c r="N36" i="6" s="1"/>
  <c r="K37" i="6"/>
  <c r="L37" i="6" s="1"/>
  <c r="M37" i="6" s="1"/>
  <c r="N37" i="6" s="1"/>
  <c r="K38" i="6"/>
  <c r="L38" i="6" s="1"/>
  <c r="M38" i="6" s="1"/>
  <c r="N38" i="6" s="1"/>
  <c r="K39" i="6"/>
  <c r="L39" i="6" s="1"/>
  <c r="M39" i="6" s="1"/>
  <c r="N39" i="6" s="1"/>
  <c r="K40" i="6"/>
  <c r="L40" i="6" s="1"/>
  <c r="M40" i="6" s="1"/>
  <c r="N40" i="6" s="1"/>
  <c r="K41" i="6"/>
  <c r="L41" i="6" s="1"/>
  <c r="M41" i="6" s="1"/>
  <c r="N41" i="6" s="1"/>
  <c r="K42" i="6"/>
  <c r="L42" i="6" s="1"/>
  <c r="M42" i="6" s="1"/>
  <c r="N42" i="6" s="1"/>
  <c r="K43" i="6"/>
  <c r="L43" i="6"/>
  <c r="M43" i="6" s="1"/>
  <c r="N43" i="6" s="1"/>
  <c r="K44" i="6"/>
  <c r="L44" i="6" s="1"/>
  <c r="M44" i="6" s="1"/>
  <c r="N44" i="6" s="1"/>
  <c r="K45" i="6"/>
  <c r="L45" i="6" s="1"/>
  <c r="M45" i="6" s="1"/>
  <c r="N45" i="6" s="1"/>
  <c r="K46" i="6"/>
  <c r="L46" i="6" s="1"/>
  <c r="M46" i="6" s="1"/>
  <c r="N46" i="6" s="1"/>
  <c r="K47" i="6"/>
  <c r="L47" i="6"/>
  <c r="M47" i="6" s="1"/>
  <c r="N47" i="6" s="1"/>
  <c r="K48" i="6"/>
  <c r="L48" i="6" s="1"/>
  <c r="M48" i="6" s="1"/>
  <c r="N48" i="6" s="1"/>
  <c r="K49" i="6"/>
  <c r="L49" i="6"/>
  <c r="M49" i="6" s="1"/>
  <c r="N49" i="6" s="1"/>
  <c r="K50" i="6"/>
  <c r="L50" i="6" s="1"/>
  <c r="M50" i="6" s="1"/>
  <c r="N50" i="6" s="1"/>
  <c r="K51" i="6"/>
  <c r="L51" i="6" s="1"/>
  <c r="M51" i="6" s="1"/>
  <c r="N51" i="6" s="1"/>
  <c r="K52" i="6"/>
  <c r="L52" i="6" s="1"/>
  <c r="M52" i="6" s="1"/>
  <c r="N52" i="6" s="1"/>
  <c r="K53" i="6"/>
  <c r="L53" i="6" s="1"/>
  <c r="M53" i="6" s="1"/>
  <c r="N53" i="6" s="1"/>
  <c r="K54" i="6"/>
  <c r="L54" i="6" s="1"/>
  <c r="M54" i="6" s="1"/>
  <c r="N54" i="6" s="1"/>
  <c r="K55" i="6"/>
  <c r="L55" i="6" s="1"/>
  <c r="M55" i="6" s="1"/>
  <c r="N55" i="6" s="1"/>
  <c r="K56" i="6"/>
  <c r="L56" i="6" s="1"/>
  <c r="M56" i="6" s="1"/>
  <c r="N56" i="6" s="1"/>
  <c r="K57" i="6"/>
  <c r="L57" i="6" s="1"/>
  <c r="M57" i="6" s="1"/>
  <c r="N57" i="6" s="1"/>
  <c r="K58" i="6"/>
  <c r="L58" i="6" s="1"/>
  <c r="M58" i="6" s="1"/>
  <c r="N58" i="6" s="1"/>
  <c r="K59" i="6"/>
  <c r="L59" i="6"/>
  <c r="M59" i="6" s="1"/>
  <c r="N59" i="6" s="1"/>
  <c r="K60" i="6"/>
  <c r="L60" i="6" s="1"/>
  <c r="M60" i="6" s="1"/>
  <c r="N60" i="6" s="1"/>
  <c r="K61" i="6"/>
  <c r="L61" i="6" s="1"/>
  <c r="M61" i="6" s="1"/>
  <c r="N61" i="6" s="1"/>
  <c r="K62" i="6"/>
  <c r="L62" i="6" s="1"/>
  <c r="M62" i="6" s="1"/>
  <c r="N62" i="6" s="1"/>
  <c r="K63" i="6"/>
  <c r="L63" i="6" s="1"/>
  <c r="M63" i="6" s="1"/>
  <c r="N63" i="6" s="1"/>
  <c r="K64" i="6"/>
  <c r="L64" i="6" s="1"/>
  <c r="M64" i="6" s="1"/>
  <c r="N64" i="6" s="1"/>
  <c r="K65" i="6"/>
  <c r="L65" i="6"/>
  <c r="M65" i="6" s="1"/>
  <c r="N65" i="6" s="1"/>
  <c r="K66" i="6"/>
  <c r="L66" i="6" s="1"/>
  <c r="M66" i="6" s="1"/>
  <c r="N66" i="6" s="1"/>
  <c r="K67" i="6"/>
  <c r="L67" i="6" s="1"/>
  <c r="M67" i="6" s="1"/>
  <c r="N67" i="6" s="1"/>
  <c r="K68" i="6"/>
  <c r="L68" i="6" s="1"/>
  <c r="M68" i="6" s="1"/>
  <c r="N68" i="6" s="1"/>
  <c r="K69" i="6"/>
  <c r="L69" i="6" s="1"/>
  <c r="M69" i="6" s="1"/>
  <c r="N69" i="6" s="1"/>
  <c r="K70" i="6"/>
  <c r="L70" i="6" s="1"/>
  <c r="M70" i="6" s="1"/>
  <c r="N70" i="6" s="1"/>
  <c r="K71" i="6"/>
  <c r="L71" i="6" s="1"/>
  <c r="M71" i="6" s="1"/>
  <c r="N71" i="6" s="1"/>
  <c r="K72" i="6"/>
  <c r="L72" i="6" s="1"/>
  <c r="M72" i="6" s="1"/>
  <c r="N72" i="6" s="1"/>
  <c r="K73" i="6"/>
  <c r="L73" i="6" s="1"/>
  <c r="M73" i="6" s="1"/>
  <c r="N73" i="6" s="1"/>
  <c r="K74" i="6"/>
  <c r="L74" i="6" s="1"/>
  <c r="M74" i="6" s="1"/>
  <c r="N74" i="6" s="1"/>
  <c r="K75" i="6"/>
  <c r="L75" i="6"/>
  <c r="M75" i="6" s="1"/>
  <c r="N75" i="6" s="1"/>
  <c r="K76" i="6"/>
  <c r="L76" i="6" s="1"/>
  <c r="M76" i="6" s="1"/>
  <c r="N76" i="6" s="1"/>
  <c r="K77" i="6"/>
  <c r="L77" i="6" s="1"/>
  <c r="M77" i="6" s="1"/>
  <c r="N77" i="6" s="1"/>
  <c r="K78" i="6"/>
  <c r="L78" i="6" s="1"/>
  <c r="M78" i="6" s="1"/>
  <c r="N78" i="6" s="1"/>
  <c r="K79" i="6"/>
  <c r="L79" i="6"/>
  <c r="M79" i="6" s="1"/>
  <c r="N79" i="6" s="1"/>
  <c r="K80" i="6"/>
  <c r="L80" i="6" s="1"/>
  <c r="M80" i="6" s="1"/>
  <c r="N80" i="6" s="1"/>
  <c r="K81" i="6"/>
  <c r="L81" i="6"/>
  <c r="M81" i="6" s="1"/>
  <c r="N81" i="6" s="1"/>
  <c r="K82" i="6"/>
  <c r="L82" i="6" s="1"/>
  <c r="M82" i="6" s="1"/>
  <c r="N82" i="6" s="1"/>
  <c r="K83" i="6"/>
  <c r="L83" i="6" s="1"/>
  <c r="M83" i="6" s="1"/>
  <c r="N83" i="6" s="1"/>
  <c r="K84" i="6"/>
  <c r="L84" i="6" s="1"/>
  <c r="M84" i="6" s="1"/>
  <c r="N84" i="6" s="1"/>
  <c r="K85" i="6"/>
  <c r="L85" i="6" s="1"/>
  <c r="M85" i="6" s="1"/>
  <c r="N85" i="6" s="1"/>
  <c r="K86" i="6"/>
  <c r="L86" i="6" s="1"/>
  <c r="M86" i="6" s="1"/>
  <c r="N86" i="6" s="1"/>
  <c r="K87" i="6"/>
  <c r="L87" i="6" s="1"/>
  <c r="M87" i="6" s="1"/>
  <c r="N87" i="6" s="1"/>
  <c r="K88" i="6"/>
  <c r="L88" i="6" s="1"/>
  <c r="M88" i="6" s="1"/>
  <c r="N88" i="6" s="1"/>
  <c r="K89" i="6"/>
  <c r="L89" i="6" s="1"/>
  <c r="M89" i="6" s="1"/>
  <c r="N89" i="6" s="1"/>
  <c r="L6" i="6"/>
  <c r="M6" i="6" s="1"/>
  <c r="N6" i="6" s="1"/>
  <c r="K6" i="6"/>
  <c r="F7" i="6"/>
  <c r="G7" i="6" s="1"/>
  <c r="H7" i="6" s="1"/>
  <c r="I7" i="6" s="1"/>
  <c r="F8" i="6"/>
  <c r="G8" i="6" s="1"/>
  <c r="H8" i="6" s="1"/>
  <c r="I8" i="6" s="1"/>
  <c r="F9" i="6"/>
  <c r="G9" i="6" s="1"/>
  <c r="H9" i="6" s="1"/>
  <c r="I9" i="6" s="1"/>
  <c r="F10" i="6"/>
  <c r="G10" i="6" s="1"/>
  <c r="H10" i="6" s="1"/>
  <c r="I10" i="6" s="1"/>
  <c r="F11" i="6"/>
  <c r="G11" i="6" s="1"/>
  <c r="H11" i="6" s="1"/>
  <c r="I11" i="6" s="1"/>
  <c r="F12" i="6"/>
  <c r="G12" i="6" s="1"/>
  <c r="H12" i="6" s="1"/>
  <c r="I12" i="6" s="1"/>
  <c r="F13" i="6"/>
  <c r="G13" i="6" s="1"/>
  <c r="H13" i="6" s="1"/>
  <c r="I13" i="6" s="1"/>
  <c r="F14" i="6"/>
  <c r="G14" i="6" s="1"/>
  <c r="H14" i="6" s="1"/>
  <c r="I14" i="6" s="1"/>
  <c r="F15" i="6"/>
  <c r="G15" i="6" s="1"/>
  <c r="H15" i="6" s="1"/>
  <c r="I15" i="6" s="1"/>
  <c r="F16" i="6"/>
  <c r="G16" i="6" s="1"/>
  <c r="H16" i="6" s="1"/>
  <c r="I16" i="6" s="1"/>
  <c r="F17" i="6"/>
  <c r="G17" i="6" s="1"/>
  <c r="H17" i="6" s="1"/>
  <c r="I17" i="6" s="1"/>
  <c r="F18" i="6"/>
  <c r="G18" i="6" s="1"/>
  <c r="H18" i="6" s="1"/>
  <c r="I18" i="6" s="1"/>
  <c r="F19" i="6"/>
  <c r="G19" i="6" s="1"/>
  <c r="H19" i="6" s="1"/>
  <c r="I19" i="6" s="1"/>
  <c r="F20" i="6"/>
  <c r="G20" i="6" s="1"/>
  <c r="H20" i="6" s="1"/>
  <c r="I20" i="6" s="1"/>
  <c r="F21" i="6"/>
  <c r="G21" i="6" s="1"/>
  <c r="H21" i="6" s="1"/>
  <c r="I21" i="6" s="1"/>
  <c r="F22" i="6"/>
  <c r="G22" i="6" s="1"/>
  <c r="H22" i="6" s="1"/>
  <c r="I22" i="6" s="1"/>
  <c r="F23" i="6"/>
  <c r="G23" i="6" s="1"/>
  <c r="H23" i="6" s="1"/>
  <c r="I23" i="6" s="1"/>
  <c r="F24" i="6"/>
  <c r="G24" i="6" s="1"/>
  <c r="H24" i="6" s="1"/>
  <c r="I24" i="6" s="1"/>
  <c r="F25" i="6"/>
  <c r="G25" i="6" s="1"/>
  <c r="H25" i="6" s="1"/>
  <c r="I25" i="6" s="1"/>
  <c r="F26" i="6"/>
  <c r="G26" i="6" s="1"/>
  <c r="H26" i="6" s="1"/>
  <c r="I26" i="6" s="1"/>
  <c r="F27" i="6"/>
  <c r="G27" i="6" s="1"/>
  <c r="H27" i="6" s="1"/>
  <c r="I27" i="6" s="1"/>
  <c r="F28" i="6"/>
  <c r="G28" i="6" s="1"/>
  <c r="H28" i="6" s="1"/>
  <c r="I28" i="6" s="1"/>
  <c r="F29" i="6"/>
  <c r="G29" i="6" s="1"/>
  <c r="H29" i="6" s="1"/>
  <c r="I29" i="6" s="1"/>
  <c r="F30" i="6"/>
  <c r="G30" i="6" s="1"/>
  <c r="H30" i="6" s="1"/>
  <c r="I30" i="6" s="1"/>
  <c r="F31" i="6"/>
  <c r="G31" i="6" s="1"/>
  <c r="H31" i="6" s="1"/>
  <c r="I31" i="6" s="1"/>
  <c r="F32" i="6"/>
  <c r="G32" i="6" s="1"/>
  <c r="H32" i="6" s="1"/>
  <c r="I32" i="6" s="1"/>
  <c r="F33" i="6"/>
  <c r="G33" i="6" s="1"/>
  <c r="H33" i="6" s="1"/>
  <c r="I33" i="6" s="1"/>
  <c r="F34" i="6"/>
  <c r="G34" i="6" s="1"/>
  <c r="H34" i="6" s="1"/>
  <c r="I34" i="6" s="1"/>
  <c r="F35" i="6"/>
  <c r="G35" i="6" s="1"/>
  <c r="H35" i="6" s="1"/>
  <c r="I35" i="6" s="1"/>
  <c r="F36" i="6"/>
  <c r="G36" i="6" s="1"/>
  <c r="H36" i="6" s="1"/>
  <c r="I36" i="6" s="1"/>
  <c r="F37" i="6"/>
  <c r="G37" i="6" s="1"/>
  <c r="H37" i="6" s="1"/>
  <c r="I37" i="6" s="1"/>
  <c r="F38" i="6"/>
  <c r="G38" i="6" s="1"/>
  <c r="H38" i="6" s="1"/>
  <c r="I38" i="6" s="1"/>
  <c r="F39" i="6"/>
  <c r="G39" i="6" s="1"/>
  <c r="H39" i="6" s="1"/>
  <c r="I39" i="6" s="1"/>
  <c r="F40" i="6"/>
  <c r="G40" i="6" s="1"/>
  <c r="H40" i="6" s="1"/>
  <c r="I40" i="6" s="1"/>
  <c r="F41" i="6"/>
  <c r="G41" i="6" s="1"/>
  <c r="H41" i="6" s="1"/>
  <c r="I41" i="6" s="1"/>
  <c r="F42" i="6"/>
  <c r="G42" i="6" s="1"/>
  <c r="H42" i="6" s="1"/>
  <c r="I42" i="6" s="1"/>
  <c r="F43" i="6"/>
  <c r="G43" i="6" s="1"/>
  <c r="H43" i="6" s="1"/>
  <c r="I43" i="6" s="1"/>
  <c r="F44" i="6"/>
  <c r="G44" i="6" s="1"/>
  <c r="H44" i="6" s="1"/>
  <c r="I44" i="6" s="1"/>
  <c r="F45" i="6"/>
  <c r="G45" i="6" s="1"/>
  <c r="H45" i="6" s="1"/>
  <c r="I45" i="6" s="1"/>
  <c r="F46" i="6"/>
  <c r="G46" i="6" s="1"/>
  <c r="H46" i="6" s="1"/>
  <c r="I46" i="6" s="1"/>
  <c r="F47" i="6"/>
  <c r="G47" i="6" s="1"/>
  <c r="H47" i="6" s="1"/>
  <c r="I47" i="6" s="1"/>
  <c r="F48" i="6"/>
  <c r="G48" i="6" s="1"/>
  <c r="H48" i="6" s="1"/>
  <c r="I48" i="6" s="1"/>
  <c r="F49" i="6"/>
  <c r="G49" i="6" s="1"/>
  <c r="H49" i="6" s="1"/>
  <c r="I49" i="6" s="1"/>
  <c r="F50" i="6"/>
  <c r="G50" i="6" s="1"/>
  <c r="H50" i="6" s="1"/>
  <c r="I50" i="6" s="1"/>
  <c r="F51" i="6"/>
  <c r="G51" i="6" s="1"/>
  <c r="H51" i="6" s="1"/>
  <c r="I51" i="6" s="1"/>
  <c r="F52" i="6"/>
  <c r="G52" i="6" s="1"/>
  <c r="H52" i="6" s="1"/>
  <c r="I52" i="6" s="1"/>
  <c r="F53" i="6"/>
  <c r="G53" i="6" s="1"/>
  <c r="H53" i="6" s="1"/>
  <c r="I53" i="6" s="1"/>
  <c r="F54" i="6"/>
  <c r="G54" i="6" s="1"/>
  <c r="H54" i="6" s="1"/>
  <c r="I54" i="6" s="1"/>
  <c r="F55" i="6"/>
  <c r="G55" i="6" s="1"/>
  <c r="H55" i="6" s="1"/>
  <c r="I55" i="6" s="1"/>
  <c r="F56" i="6"/>
  <c r="G56" i="6" s="1"/>
  <c r="H56" i="6" s="1"/>
  <c r="I56" i="6" s="1"/>
  <c r="F57" i="6"/>
  <c r="G57" i="6" s="1"/>
  <c r="H57" i="6" s="1"/>
  <c r="I57" i="6" s="1"/>
  <c r="F58" i="6"/>
  <c r="G58" i="6" s="1"/>
  <c r="H58" i="6" s="1"/>
  <c r="I58" i="6" s="1"/>
  <c r="F59" i="6"/>
  <c r="G59" i="6" s="1"/>
  <c r="H59" i="6" s="1"/>
  <c r="I59" i="6" s="1"/>
  <c r="F60" i="6"/>
  <c r="G60" i="6" s="1"/>
  <c r="H60" i="6" s="1"/>
  <c r="I60" i="6" s="1"/>
  <c r="F61" i="6"/>
  <c r="G61" i="6" s="1"/>
  <c r="H61" i="6" s="1"/>
  <c r="I61" i="6" s="1"/>
  <c r="F62" i="6"/>
  <c r="G62" i="6" s="1"/>
  <c r="H62" i="6" s="1"/>
  <c r="I62" i="6" s="1"/>
  <c r="F63" i="6"/>
  <c r="G63" i="6" s="1"/>
  <c r="H63" i="6" s="1"/>
  <c r="I63" i="6" s="1"/>
  <c r="F64" i="6"/>
  <c r="G64" i="6" s="1"/>
  <c r="H64" i="6" s="1"/>
  <c r="I64" i="6" s="1"/>
  <c r="F65" i="6"/>
  <c r="G65" i="6" s="1"/>
  <c r="H65" i="6" s="1"/>
  <c r="I65" i="6" s="1"/>
  <c r="F66" i="6"/>
  <c r="G66" i="6" s="1"/>
  <c r="H66" i="6" s="1"/>
  <c r="I66" i="6" s="1"/>
  <c r="F67" i="6"/>
  <c r="G67" i="6" s="1"/>
  <c r="H67" i="6" s="1"/>
  <c r="I67" i="6" s="1"/>
  <c r="F68" i="6"/>
  <c r="G68" i="6" s="1"/>
  <c r="H68" i="6" s="1"/>
  <c r="I68" i="6" s="1"/>
  <c r="F69" i="6"/>
  <c r="G69" i="6" s="1"/>
  <c r="H69" i="6" s="1"/>
  <c r="I69" i="6" s="1"/>
  <c r="F70" i="6"/>
  <c r="G70" i="6" s="1"/>
  <c r="H70" i="6" s="1"/>
  <c r="I70" i="6" s="1"/>
  <c r="F71" i="6"/>
  <c r="G71" i="6" s="1"/>
  <c r="H71" i="6" s="1"/>
  <c r="I71" i="6" s="1"/>
  <c r="F72" i="6"/>
  <c r="G72" i="6" s="1"/>
  <c r="H72" i="6" s="1"/>
  <c r="I72" i="6" s="1"/>
  <c r="F73" i="6"/>
  <c r="G73" i="6" s="1"/>
  <c r="H73" i="6" s="1"/>
  <c r="I73" i="6" s="1"/>
  <c r="F74" i="6"/>
  <c r="G74" i="6" s="1"/>
  <c r="H74" i="6" s="1"/>
  <c r="I74" i="6" s="1"/>
  <c r="F75" i="6"/>
  <c r="G75" i="6" s="1"/>
  <c r="H75" i="6" s="1"/>
  <c r="I75" i="6" s="1"/>
  <c r="F76" i="6"/>
  <c r="G76" i="6" s="1"/>
  <c r="H76" i="6" s="1"/>
  <c r="I76" i="6" s="1"/>
  <c r="F77" i="6"/>
  <c r="G77" i="6" s="1"/>
  <c r="H77" i="6" s="1"/>
  <c r="I77" i="6" s="1"/>
  <c r="F78" i="6"/>
  <c r="G78" i="6" s="1"/>
  <c r="H78" i="6" s="1"/>
  <c r="I78" i="6" s="1"/>
  <c r="F79" i="6"/>
  <c r="G79" i="6" s="1"/>
  <c r="H79" i="6" s="1"/>
  <c r="I79" i="6" s="1"/>
  <c r="F80" i="6"/>
  <c r="G80" i="6" s="1"/>
  <c r="H80" i="6" s="1"/>
  <c r="I80" i="6" s="1"/>
  <c r="F81" i="6"/>
  <c r="G81" i="6" s="1"/>
  <c r="H81" i="6" s="1"/>
  <c r="I81" i="6" s="1"/>
  <c r="F82" i="6"/>
  <c r="G82" i="6" s="1"/>
  <c r="H82" i="6" s="1"/>
  <c r="I82" i="6" s="1"/>
  <c r="F83" i="6"/>
  <c r="G83" i="6" s="1"/>
  <c r="H83" i="6" s="1"/>
  <c r="I83" i="6" s="1"/>
  <c r="F84" i="6"/>
  <c r="G84" i="6" s="1"/>
  <c r="H84" i="6" s="1"/>
  <c r="I84" i="6" s="1"/>
  <c r="F85" i="6"/>
  <c r="G85" i="6" s="1"/>
  <c r="H85" i="6" s="1"/>
  <c r="I85" i="6" s="1"/>
  <c r="F86" i="6"/>
  <c r="G86" i="6" s="1"/>
  <c r="H86" i="6" s="1"/>
  <c r="I86" i="6" s="1"/>
  <c r="F87" i="6"/>
  <c r="G87" i="6" s="1"/>
  <c r="H87" i="6" s="1"/>
  <c r="I87" i="6" s="1"/>
  <c r="F88" i="6"/>
  <c r="G88" i="6" s="1"/>
  <c r="H88" i="6" s="1"/>
  <c r="I88" i="6" s="1"/>
  <c r="F89" i="6"/>
  <c r="G89" i="6" s="1"/>
  <c r="H89" i="6" s="1"/>
  <c r="I89" i="6" s="1"/>
  <c r="F6" i="6"/>
  <c r="G6" i="6" s="1"/>
  <c r="H6" i="6" s="1"/>
  <c r="I6" i="6" s="1"/>
  <c r="D104" i="2"/>
  <c r="D45" i="2"/>
  <c r="D8" i="2"/>
  <c r="D18" i="2"/>
  <c r="D73" i="2"/>
  <c r="D105" i="2"/>
  <c r="D46" i="2"/>
  <c r="D87" i="2"/>
  <c r="D19" i="2"/>
  <c r="D68" i="2"/>
  <c r="D106" i="2"/>
  <c r="D47" i="2"/>
  <c r="D88" i="2"/>
  <c r="D20" i="2"/>
  <c r="D48" i="2"/>
  <c r="D89" i="2"/>
  <c r="D21" i="2"/>
  <c r="D74" i="2"/>
  <c r="D107" i="2"/>
  <c r="D49" i="2"/>
  <c r="D9" i="2"/>
  <c r="D22" i="2"/>
  <c r="D75" i="2"/>
  <c r="D108" i="2"/>
  <c r="D50" i="2"/>
  <c r="D10" i="2"/>
  <c r="D23" i="2"/>
  <c r="D125" i="2"/>
  <c r="D109" i="2"/>
  <c r="D51" i="2"/>
  <c r="D90" i="2"/>
  <c r="D24" i="2"/>
  <c r="D126" i="2"/>
  <c r="D11" i="2"/>
  <c r="D4" i="2"/>
  <c r="D91" i="2"/>
  <c r="D25" i="2"/>
  <c r="D76" i="2"/>
  <c r="D69" i="2"/>
  <c r="D52" i="2"/>
  <c r="D92" i="2"/>
  <c r="D26" i="2"/>
  <c r="D77" i="2"/>
  <c r="D110" i="2"/>
  <c r="D53" i="2"/>
  <c r="D93" i="2"/>
  <c r="D27" i="2"/>
  <c r="D78" i="2"/>
  <c r="D111" i="2"/>
  <c r="D5" i="2"/>
  <c r="D12" i="2"/>
  <c r="D28" i="2"/>
  <c r="D13" i="2"/>
  <c r="D112" i="2"/>
  <c r="D54" i="2"/>
  <c r="D94" i="2"/>
  <c r="D29" i="2"/>
  <c r="D14" i="2"/>
  <c r="D113" i="2"/>
  <c r="D55" i="2"/>
  <c r="D95" i="2"/>
  <c r="D30" i="2"/>
  <c r="D127" i="2"/>
  <c r="D114" i="2"/>
  <c r="D56" i="2"/>
  <c r="D96" i="2"/>
  <c r="D31" i="2"/>
  <c r="D70" i="2"/>
  <c r="D115" i="2"/>
  <c r="D57" i="2"/>
  <c r="D97" i="2"/>
  <c r="D32" i="2"/>
  <c r="D128" i="2"/>
  <c r="D116" i="2"/>
  <c r="D58" i="2"/>
  <c r="D79" i="2"/>
  <c r="D33" i="2"/>
  <c r="D6" i="2"/>
  <c r="D117" i="2"/>
  <c r="D59" i="2"/>
  <c r="D98" i="2"/>
  <c r="D34" i="2"/>
  <c r="D60" i="2"/>
  <c r="D80" i="2"/>
  <c r="D35" i="2"/>
  <c r="D7" i="2"/>
  <c r="D61" i="2"/>
  <c r="D99" i="2"/>
  <c r="D36" i="2"/>
  <c r="D37" i="2"/>
  <c r="D81" i="2"/>
  <c r="D118" i="2"/>
  <c r="D62" i="2"/>
  <c r="D100" i="2"/>
  <c r="D38" i="2"/>
  <c r="D82" i="2"/>
  <c r="D119" i="2"/>
  <c r="D63" i="2"/>
  <c r="D101" i="2"/>
  <c r="D39" i="2"/>
  <c r="D15" i="2"/>
  <c r="D120" i="2"/>
  <c r="D64" i="2"/>
  <c r="D102" i="2"/>
  <c r="D40" i="2"/>
  <c r="D83" i="2"/>
  <c r="D121" i="2"/>
  <c r="D65" i="2"/>
  <c r="D71" i="2"/>
  <c r="D41" i="2"/>
  <c r="D16" i="2"/>
  <c r="D122" i="2"/>
  <c r="D84" i="2"/>
  <c r="D103" i="2"/>
  <c r="D42" i="2"/>
  <c r="D129" i="2"/>
  <c r="D123" i="2"/>
  <c r="D66" i="2"/>
  <c r="D85" i="2"/>
  <c r="D43" i="2"/>
  <c r="D86" i="2"/>
  <c r="D124" i="2"/>
  <c r="D67" i="2"/>
  <c r="D17" i="2"/>
  <c r="D44" i="2"/>
  <c r="D72" i="2"/>
  <c r="C72" i="5"/>
  <c r="C45" i="5"/>
  <c r="C18" i="5"/>
  <c r="C8" i="5"/>
  <c r="C105" i="5"/>
  <c r="C87" i="5"/>
  <c r="C73" i="5"/>
  <c r="C46" i="5"/>
  <c r="C19" i="5"/>
  <c r="C106" i="5"/>
  <c r="C88" i="5"/>
  <c r="C68" i="5"/>
  <c r="C47" i="5"/>
  <c r="C20" i="5"/>
  <c r="C89" i="5"/>
  <c r="C48" i="5"/>
  <c r="C21" i="5"/>
  <c r="C107" i="5"/>
  <c r="C74" i="5"/>
  <c r="C49" i="5"/>
  <c r="C22" i="5"/>
  <c r="C9" i="5"/>
  <c r="C108" i="5"/>
  <c r="C75" i="5"/>
  <c r="C50" i="5"/>
  <c r="C23" i="5"/>
  <c r="C10" i="5"/>
  <c r="C125" i="5"/>
  <c r="C109" i="5"/>
  <c r="C90" i="5"/>
  <c r="C51" i="5"/>
  <c r="C24" i="5"/>
  <c r="C126" i="5"/>
  <c r="C91" i="5"/>
  <c r="C25" i="5"/>
  <c r="C11" i="5"/>
  <c r="C4" i="5"/>
  <c r="C110" i="5"/>
  <c r="C92" i="5"/>
  <c r="C76" i="5"/>
  <c r="C52" i="5"/>
  <c r="C26" i="5"/>
  <c r="C111" i="5"/>
  <c r="C77" i="5"/>
  <c r="C27" i="5"/>
  <c r="C12" i="5"/>
  <c r="C5" i="5"/>
  <c r="C112" i="5"/>
  <c r="C93" i="5"/>
  <c r="C53" i="5"/>
  <c r="C28" i="5"/>
  <c r="C13" i="5"/>
  <c r="C94" i="5"/>
  <c r="C78" i="5"/>
  <c r="C69" i="5"/>
  <c r="C54" i="5"/>
  <c r="C29" i="5"/>
  <c r="C113" i="5"/>
  <c r="C95" i="5"/>
  <c r="C55" i="5"/>
  <c r="C30" i="5"/>
  <c r="C14" i="5"/>
  <c r="C127" i="5"/>
  <c r="C114" i="5"/>
  <c r="C96" i="5"/>
  <c r="C56" i="5"/>
  <c r="C31" i="5"/>
  <c r="C115" i="5"/>
  <c r="C97" i="5"/>
  <c r="C70" i="5"/>
  <c r="C57" i="5"/>
  <c r="C32" i="5"/>
  <c r="C128" i="5"/>
  <c r="C116" i="5"/>
  <c r="C79" i="5"/>
  <c r="C58" i="5"/>
  <c r="C33" i="5"/>
  <c r="C117" i="5"/>
  <c r="C98" i="5"/>
  <c r="C59" i="5"/>
  <c r="C34" i="5"/>
  <c r="C6" i="5"/>
  <c r="C80" i="5"/>
  <c r="C60" i="5"/>
  <c r="C35" i="5"/>
  <c r="C99" i="5"/>
  <c r="C61" i="5"/>
  <c r="C36" i="5"/>
  <c r="C7" i="5"/>
  <c r="C37" i="5"/>
  <c r="C118" i="5"/>
  <c r="C100" i="5"/>
  <c r="C81" i="5"/>
  <c r="C62" i="5"/>
  <c r="C38" i="5"/>
  <c r="C119" i="5"/>
  <c r="C101" i="5"/>
  <c r="C82" i="5"/>
  <c r="C63" i="5"/>
  <c r="C39" i="5"/>
  <c r="C120" i="5"/>
  <c r="C102" i="5"/>
  <c r="C64" i="5"/>
  <c r="C40" i="5"/>
  <c r="C15" i="5"/>
  <c r="C121" i="5"/>
  <c r="C83" i="5"/>
  <c r="C71" i="5"/>
  <c r="C65" i="5"/>
  <c r="C41" i="5"/>
  <c r="C122" i="5"/>
  <c r="C103" i="5"/>
  <c r="C84" i="5"/>
  <c r="C42" i="5"/>
  <c r="C16" i="5"/>
  <c r="C129" i="5"/>
  <c r="C123" i="5"/>
  <c r="C85" i="5"/>
  <c r="C66" i="5"/>
  <c r="C43" i="5"/>
  <c r="C124" i="5"/>
  <c r="C86" i="5"/>
  <c r="C67" i="5"/>
  <c r="C44" i="5"/>
  <c r="C17" i="5"/>
  <c r="C104" i="5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4" i="1"/>
  <c r="AI8" i="2" l="1"/>
  <c r="AJ8" i="2" s="1"/>
  <c r="AK8" i="2" s="1"/>
  <c r="AL8" i="2" s="1"/>
  <c r="AM8" i="2" s="1"/>
  <c r="AN8" i="2" s="1"/>
  <c r="AO8" i="2" s="1"/>
  <c r="AP8" i="2" s="1"/>
  <c r="AQ8" i="2" s="1"/>
  <c r="AR8" i="2" s="1"/>
  <c r="AI5" i="2"/>
  <c r="AJ5" i="2" s="1"/>
  <c r="AK5" i="2" s="1"/>
  <c r="AL5" i="2" s="1"/>
  <c r="AM5" i="2" s="1"/>
  <c r="AN5" i="2" s="1"/>
  <c r="AO5" i="2" s="1"/>
  <c r="AP5" i="2" s="1"/>
  <c r="AQ5" i="2" s="1"/>
  <c r="AR5" i="2" s="1"/>
  <c r="AI6" i="2"/>
  <c r="AJ6" i="2" s="1"/>
  <c r="AK6" i="2" s="1"/>
  <c r="AL6" i="2" s="1"/>
  <c r="AM6" i="2" s="1"/>
  <c r="AN6" i="2" s="1"/>
  <c r="AO6" i="2" s="1"/>
  <c r="AP6" i="2" s="1"/>
  <c r="AQ6" i="2" s="1"/>
  <c r="AR6" i="2" s="1"/>
  <c r="AI4" i="2"/>
  <c r="AJ4" i="2" s="1"/>
  <c r="AK4" i="2" s="1"/>
  <c r="AL4" i="2" s="1"/>
  <c r="AM4" i="2" s="1"/>
  <c r="AN4" i="2" s="1"/>
  <c r="AO4" i="2" s="1"/>
  <c r="AP4" i="2" s="1"/>
  <c r="AQ4" i="2" s="1"/>
  <c r="AR4" i="2" s="1"/>
  <c r="AI7" i="2"/>
  <c r="AJ7" i="2" s="1"/>
  <c r="AK7" i="2" s="1"/>
  <c r="AL7" i="2" s="1"/>
  <c r="AM7" i="2" s="1"/>
  <c r="AN7" i="2" s="1"/>
  <c r="AO7" i="2" s="1"/>
  <c r="AP7" i="2" s="1"/>
  <c r="AQ7" i="2" s="1"/>
  <c r="AR7" i="2" s="1"/>
</calcChain>
</file>

<file path=xl/sharedStrings.xml><?xml version="1.0" encoding="utf-8"?>
<sst xmlns="http://schemas.openxmlformats.org/spreadsheetml/2006/main" count="6440" uniqueCount="1442">
  <si>
    <t>TECHNOLOGY</t>
  </si>
  <si>
    <t>ATEINOILFC0I</t>
  </si>
  <si>
    <t>ATEINCOAFC0I</t>
  </si>
  <si>
    <t>ATEINCOAFCCI</t>
  </si>
  <si>
    <t>ATEINNGSFC0I</t>
  </si>
  <si>
    <t>ATEINNGSFCCI</t>
  </si>
  <si>
    <t>ATEINBIOFC0I</t>
  </si>
  <si>
    <t>ATEINELCFC0I</t>
  </si>
  <si>
    <t>ATEINELCMC0I</t>
  </si>
  <si>
    <t>ATEINHY2FC0I</t>
  </si>
  <si>
    <t>ATEINSTH000I</t>
  </si>
  <si>
    <t>ATEINHEA000I</t>
  </si>
  <si>
    <t>ATEINOILFC0C</t>
  </si>
  <si>
    <t>ATEINCOAFC0C</t>
  </si>
  <si>
    <t>ATEINCOAFCCC</t>
  </si>
  <si>
    <t>ATEINNGSFC0C</t>
  </si>
  <si>
    <t>ATEINNGSFCCC</t>
  </si>
  <si>
    <t>ATEINBIOFC0C</t>
  </si>
  <si>
    <t>ATEINELCFC0C</t>
  </si>
  <si>
    <t>ATEINELCMC0C</t>
  </si>
  <si>
    <t>ATEINHY2FC0C</t>
  </si>
  <si>
    <t>ATEINSTH000C</t>
  </si>
  <si>
    <t>ATEINHEA000C</t>
  </si>
  <si>
    <t>ATEINOILFC0N</t>
  </si>
  <si>
    <t>ATEINCOAFC0N</t>
  </si>
  <si>
    <t>ATEINCOAFCCN</t>
  </si>
  <si>
    <t>ATEINNGSFC0N</t>
  </si>
  <si>
    <t>ATEINNGSFCCN</t>
  </si>
  <si>
    <t>ATEINBIOFC0N</t>
  </si>
  <si>
    <t>ATEINELCFC0N</t>
  </si>
  <si>
    <t>ATEINELCMC0N</t>
  </si>
  <si>
    <t>ATEINHY2FC0N</t>
  </si>
  <si>
    <t>ATEINSTH000N</t>
  </si>
  <si>
    <t>ATEINHEA000N</t>
  </si>
  <si>
    <t>ATEINOILFC0P</t>
  </si>
  <si>
    <t>ATEINCOAFC0P</t>
  </si>
  <si>
    <t>ATEINCOAFCCP</t>
  </si>
  <si>
    <t>ATEINNGSFC0P</t>
  </si>
  <si>
    <t>ATEINNGSFCCP</t>
  </si>
  <si>
    <t>ATEINBIOFC0P</t>
  </si>
  <si>
    <t>ATEINELCFC0P</t>
  </si>
  <si>
    <t>ATEINELCMC0P</t>
  </si>
  <si>
    <t>ATEINHY2FC0P</t>
  </si>
  <si>
    <t>ATEINSTH000P</t>
  </si>
  <si>
    <t>ATEINHEA000P</t>
  </si>
  <si>
    <t>ATEINOILFC0O</t>
  </si>
  <si>
    <t>ATEINCOAFC0O</t>
  </si>
  <si>
    <t>ATEINCOAFCCO</t>
  </si>
  <si>
    <t>ATEINNGSFC0O</t>
  </si>
  <si>
    <t>ATEINNGSFCCO</t>
  </si>
  <si>
    <t>ATEINBIOFC0O</t>
  </si>
  <si>
    <t>ATEINELCFC0O</t>
  </si>
  <si>
    <t>ATEINELCMC0O</t>
  </si>
  <si>
    <t>ATEINHY2FC0O</t>
  </si>
  <si>
    <t>ATEINSTH000O</t>
  </si>
  <si>
    <t>ATEINHEA000O</t>
  </si>
  <si>
    <t>BEEINOILFC0I</t>
  </si>
  <si>
    <t>BEEINCOAFC0I</t>
  </si>
  <si>
    <t>BEEINCOAFCCI</t>
  </si>
  <si>
    <t>BEEINNGSFC0I</t>
  </si>
  <si>
    <t>BEEINNGSFCCI</t>
  </si>
  <si>
    <t>BEEINBIOFC0I</t>
  </si>
  <si>
    <t>BEEINELCFC0I</t>
  </si>
  <si>
    <t>BEEINELCMC0I</t>
  </si>
  <si>
    <t>BEEINHY2FC0I</t>
  </si>
  <si>
    <t>BEEINSTH000I</t>
  </si>
  <si>
    <t>BEEINHEA000I</t>
  </si>
  <si>
    <t>BEEINOILFC0C</t>
  </si>
  <si>
    <t>BEEINCOAFC0C</t>
  </si>
  <si>
    <t>BEEINCOAFCCC</t>
  </si>
  <si>
    <t>BEEINNGSFC0C</t>
  </si>
  <si>
    <t>BEEINNGSFCCC</t>
  </si>
  <si>
    <t>BEEINBIOFC0C</t>
  </si>
  <si>
    <t>BEEINELCFC0C</t>
  </si>
  <si>
    <t>BEEINELCMC0C</t>
  </si>
  <si>
    <t>BEEINHY2FC0C</t>
  </si>
  <si>
    <t>BEEINSTH000C</t>
  </si>
  <si>
    <t>BEEINHEA000C</t>
  </si>
  <si>
    <t>BEEINOILFC0N</t>
  </si>
  <si>
    <t>BEEINCOAFC0N</t>
  </si>
  <si>
    <t>BEEINCOAFCCN</t>
  </si>
  <si>
    <t>BEEINNGSFC0N</t>
  </si>
  <si>
    <t>BEEINNGSFCCN</t>
  </si>
  <si>
    <t>BEEINBIOFC0N</t>
  </si>
  <si>
    <t>BEEINELCFC0N</t>
  </si>
  <si>
    <t>BEEINELCMC0N</t>
  </si>
  <si>
    <t>BEEINHY2FC0N</t>
  </si>
  <si>
    <t>BEEINSTH000N</t>
  </si>
  <si>
    <t>BEEINHEA000N</t>
  </si>
  <si>
    <t>BEEINOILFC0F</t>
  </si>
  <si>
    <t>BEEINCOAFC0F</t>
  </si>
  <si>
    <t>BEEINCOAFCCF</t>
  </si>
  <si>
    <t>BEEINNGSFC0F</t>
  </si>
  <si>
    <t>BEEINNGSFCCF</t>
  </si>
  <si>
    <t>BEEINBIOFC0F</t>
  </si>
  <si>
    <t>BEEINELCFC0F</t>
  </si>
  <si>
    <t>BEEINELCMC0F</t>
  </si>
  <si>
    <t>BEEINHY2FC0F</t>
  </si>
  <si>
    <t>BEEINSTH000F</t>
  </si>
  <si>
    <t>BEEINHEA000F</t>
  </si>
  <si>
    <t>BEEINOILFC0O</t>
  </si>
  <si>
    <t>BEEINCOAFC0O</t>
  </si>
  <si>
    <t>BEEINCOAFCCO</t>
  </si>
  <si>
    <t>BEEINNGSFC0O</t>
  </si>
  <si>
    <t>BEEINNGSFCCO</t>
  </si>
  <si>
    <t>BEEINBIOFC0O</t>
  </si>
  <si>
    <t>BEEINELCFC0O</t>
  </si>
  <si>
    <t>BEEINELCMC0O</t>
  </si>
  <si>
    <t>BEEINHY2FC0O</t>
  </si>
  <si>
    <t>BEEINSTH000O</t>
  </si>
  <si>
    <t>BEEINHEA000O</t>
  </si>
  <si>
    <t>BGEINOILFC0M</t>
  </si>
  <si>
    <t>BGEINCOAFC0M</t>
  </si>
  <si>
    <t>BGEINCOAFCCM</t>
  </si>
  <si>
    <t>BGEINNGSFC0M</t>
  </si>
  <si>
    <t>BGEINNGSFCCM</t>
  </si>
  <si>
    <t>BGEINBIOFC0M</t>
  </si>
  <si>
    <t>BGEINELCFC0M</t>
  </si>
  <si>
    <t>BGEINELCMC0M</t>
  </si>
  <si>
    <t>BGEINHY2FC0M</t>
  </si>
  <si>
    <t>BGEINSTH000M</t>
  </si>
  <si>
    <t>BGEINHEA000M</t>
  </si>
  <si>
    <t>BGEINOILFC0C</t>
  </si>
  <si>
    <t>BGEINCOAFC0C</t>
  </si>
  <si>
    <t>BGEINCOAFCCC</t>
  </si>
  <si>
    <t>BGEINNGSFC0C</t>
  </si>
  <si>
    <t>BGEINNGSFCCC</t>
  </si>
  <si>
    <t>BGEINBIOFC0C</t>
  </si>
  <si>
    <t>BGEINELCFC0C</t>
  </si>
  <si>
    <t>BGEINELCMC0C</t>
  </si>
  <si>
    <t>BGEINHY2FC0C</t>
  </si>
  <si>
    <t>BGEINSTH000C</t>
  </si>
  <si>
    <t>BGEINHEA000C</t>
  </si>
  <si>
    <t>BGEINOILFC0N</t>
  </si>
  <si>
    <t>BGEINCOAFC0N</t>
  </si>
  <si>
    <t>BGEINCOAFCCN</t>
  </si>
  <si>
    <t>BGEINNGSFC0N</t>
  </si>
  <si>
    <t>BGEINNGSFCCN</t>
  </si>
  <si>
    <t>BGEINBIOFC0N</t>
  </si>
  <si>
    <t>BGEINELCFC0N</t>
  </si>
  <si>
    <t>BGEINELCMC0N</t>
  </si>
  <si>
    <t>BGEINHY2FC0N</t>
  </si>
  <si>
    <t>BGEINSTH000N</t>
  </si>
  <si>
    <t>BGEINHEA000N</t>
  </si>
  <si>
    <t>BGEINOILFC0F</t>
  </si>
  <si>
    <t>BGEINCOAFC0F</t>
  </si>
  <si>
    <t>BGEINCOAFCCF</t>
  </si>
  <si>
    <t>BGEINNGSFC0F</t>
  </si>
  <si>
    <t>BGEINNGSFCCF</t>
  </si>
  <si>
    <t>BGEINBIOFC0F</t>
  </si>
  <si>
    <t>BGEINELCFC0F</t>
  </si>
  <si>
    <t>BGEINELCMC0F</t>
  </si>
  <si>
    <t>BGEINHY2FC0F</t>
  </si>
  <si>
    <t>BGEINSTH000F</t>
  </si>
  <si>
    <t>BGEINHEA000F</t>
  </si>
  <si>
    <t>BGEINOILFC0O</t>
  </si>
  <si>
    <t>BGEINCOAFC0O</t>
  </si>
  <si>
    <t>BGEINCOAFCCO</t>
  </si>
  <si>
    <t>BGEINNGSFC0O</t>
  </si>
  <si>
    <t>BGEINNGSFCCO</t>
  </si>
  <si>
    <t>BGEINBIOFC0O</t>
  </si>
  <si>
    <t>BGEINELCFC0O</t>
  </si>
  <si>
    <t>BGEINELCMC0O</t>
  </si>
  <si>
    <t>BGEINHY2FC0O</t>
  </si>
  <si>
    <t>BGEINSTH000O</t>
  </si>
  <si>
    <t>BGEINHEA000O</t>
  </si>
  <si>
    <t>CYEINOILFC0N</t>
  </si>
  <si>
    <t>CYEINCOAFC0N</t>
  </si>
  <si>
    <t>CYEINCOAFCCN</t>
  </si>
  <si>
    <t>CYEINNGSFC0N</t>
  </si>
  <si>
    <t>CYEINNGSFCCN</t>
  </si>
  <si>
    <t>CYEINBIOFC0N</t>
  </si>
  <si>
    <t>CYEINELCFC0N</t>
  </si>
  <si>
    <t>CYEINELCMC0N</t>
  </si>
  <si>
    <t>CYEINHY2FC0N</t>
  </si>
  <si>
    <t>CYEINSTH000N</t>
  </si>
  <si>
    <t>CYEINHEA000N</t>
  </si>
  <si>
    <t>CYEINOILFC0F</t>
  </si>
  <si>
    <t>CYEINCOAFC0F</t>
  </si>
  <si>
    <t>CYEINCOAFCCF</t>
  </si>
  <si>
    <t>CYEINNGSFC0F</t>
  </si>
  <si>
    <t>CYEINNGSFCCF</t>
  </si>
  <si>
    <t>CYEINBIOFC0F</t>
  </si>
  <si>
    <t>CYEINELCFC0F</t>
  </si>
  <si>
    <t>CYEINELCMC0F</t>
  </si>
  <si>
    <t>CYEINHY2FC0F</t>
  </si>
  <si>
    <t>CYEINSTH000F</t>
  </si>
  <si>
    <t>CYEINHEA000F</t>
  </si>
  <si>
    <t>CYEINOILFC0O</t>
  </si>
  <si>
    <t>CYEINCOAFC0O</t>
  </si>
  <si>
    <t>CYEINCOAFCCO</t>
  </si>
  <si>
    <t>CYEINNGSFC0O</t>
  </si>
  <si>
    <t>CYEINNGSFCCO</t>
  </si>
  <si>
    <t>CYEINBIOFC0O</t>
  </si>
  <si>
    <t>CYEINELCFC0O</t>
  </si>
  <si>
    <t>CYEINELCMC0O</t>
  </si>
  <si>
    <t>CYEINHY2FC0O</t>
  </si>
  <si>
    <t>CYEINSTH000O</t>
  </si>
  <si>
    <t>CYEINHEA000O</t>
  </si>
  <si>
    <t>CZEINOILFC0I</t>
  </si>
  <si>
    <t>CZEINCOAFC0I</t>
  </si>
  <si>
    <t>CZEINCOAFCCI</t>
  </si>
  <si>
    <t>CZEINNGSFC0I</t>
  </si>
  <si>
    <t>CZEINNGSFCCI</t>
  </si>
  <si>
    <t>CZEINBIOFC0I</t>
  </si>
  <si>
    <t>CZEINELCFC0I</t>
  </si>
  <si>
    <t>CZEINELCMC0I</t>
  </si>
  <si>
    <t>CZEINHY2FC0I</t>
  </si>
  <si>
    <t>CZEINSTH000I</t>
  </si>
  <si>
    <t>CZEINHEA000I</t>
  </si>
  <si>
    <t>CZEINOILFC0C</t>
  </si>
  <si>
    <t>CZEINCOAFC0C</t>
  </si>
  <si>
    <t>CZEINCOAFCCC</t>
  </si>
  <si>
    <t>CZEINNGSFC0C</t>
  </si>
  <si>
    <t>CZEINNGSFCCC</t>
  </si>
  <si>
    <t>CZEINBIOFC0C</t>
  </si>
  <si>
    <t>CZEINELCFC0C</t>
  </si>
  <si>
    <t>CZEINELCMC0C</t>
  </si>
  <si>
    <t>CZEINHY2FC0C</t>
  </si>
  <si>
    <t>CZEINSTH000C</t>
  </si>
  <si>
    <t>CZEINHEA000C</t>
  </si>
  <si>
    <t>CZEINOILFC0N</t>
  </si>
  <si>
    <t>CZEINCOAFC0N</t>
  </si>
  <si>
    <t>CZEINCOAFCCN</t>
  </si>
  <si>
    <t>CZEINNGSFC0N</t>
  </si>
  <si>
    <t>CZEINNGSFCCN</t>
  </si>
  <si>
    <t>CZEINBIOFC0N</t>
  </si>
  <si>
    <t>CZEINELCFC0N</t>
  </si>
  <si>
    <t>CZEINELCMC0N</t>
  </si>
  <si>
    <t>CZEINHY2FC0N</t>
  </si>
  <si>
    <t>CZEINSTH000N</t>
  </si>
  <si>
    <t>CZEINHEA000N</t>
  </si>
  <si>
    <t>CZEINOILFC0P</t>
  </si>
  <si>
    <t>CZEINCOAFC0P</t>
  </si>
  <si>
    <t>CZEINCOAFCCP</t>
  </si>
  <si>
    <t>CZEINNGSFC0P</t>
  </si>
  <si>
    <t>CZEINNGSFCCP</t>
  </si>
  <si>
    <t>CZEINBIOFC0P</t>
  </si>
  <si>
    <t>CZEINELCFC0P</t>
  </si>
  <si>
    <t>CZEINELCMC0P</t>
  </si>
  <si>
    <t>CZEINHY2FC0P</t>
  </si>
  <si>
    <t>CZEINSTH000P</t>
  </si>
  <si>
    <t>CZEINHEA000P</t>
  </si>
  <si>
    <t>CZEINOILFC0O</t>
  </si>
  <si>
    <t>CZEINCOAFC0O</t>
  </si>
  <si>
    <t>CZEINCOAFCCO</t>
  </si>
  <si>
    <t>CZEINNGSFC0O</t>
  </si>
  <si>
    <t>CZEINNGSFCCO</t>
  </si>
  <si>
    <t>CZEINBIOFC0O</t>
  </si>
  <si>
    <t>CZEINELCFC0O</t>
  </si>
  <si>
    <t>CZEINELCMC0O</t>
  </si>
  <si>
    <t>CZEINHY2FC0O</t>
  </si>
  <si>
    <t>CZEINSTH000O</t>
  </si>
  <si>
    <t>CZEINHEA000O</t>
  </si>
  <si>
    <t>DEEINOILFC0I</t>
  </si>
  <si>
    <t>DEEINCOAFC0I</t>
  </si>
  <si>
    <t>DEEINCOAFCCI</t>
  </si>
  <si>
    <t>DEEINNGSFC0I</t>
  </si>
  <si>
    <t>DEEINNGSFCCI</t>
  </si>
  <si>
    <t>DEEINBIOFC0I</t>
  </si>
  <si>
    <t>DEEINELCFC0I</t>
  </si>
  <si>
    <t>DEEINELCMC0I</t>
  </si>
  <si>
    <t>DEEINHY2FC0I</t>
  </si>
  <si>
    <t>DEEINSTH000I</t>
  </si>
  <si>
    <t>DEEINHEA000I</t>
  </si>
  <si>
    <t>DEEINOILFC0C</t>
  </si>
  <si>
    <t>DEEINCOAFC0C</t>
  </si>
  <si>
    <t>DEEINCOAFCCC</t>
  </si>
  <si>
    <t>DEEINNGSFC0C</t>
  </si>
  <si>
    <t>DEEINNGSFCCC</t>
  </si>
  <si>
    <t>DEEINBIOFC0C</t>
  </si>
  <si>
    <t>DEEINELCFC0C</t>
  </si>
  <si>
    <t>DEEINELCMC0C</t>
  </si>
  <si>
    <t>DEEINHY2FC0C</t>
  </si>
  <si>
    <t>DEEINSTH000C</t>
  </si>
  <si>
    <t>DEEINHEA000C</t>
  </si>
  <si>
    <t>DEEINOILFC0N</t>
  </si>
  <si>
    <t>DEEINCOAFC0N</t>
  </si>
  <si>
    <t>DEEINCOAFCCN</t>
  </si>
  <si>
    <t>DEEINNGSFC0N</t>
  </si>
  <si>
    <t>DEEINNGSFCCN</t>
  </si>
  <si>
    <t>DEEINBIOFC0N</t>
  </si>
  <si>
    <t>DEEINELCFC0N</t>
  </si>
  <si>
    <t>DEEINELCMC0N</t>
  </si>
  <si>
    <t>DEEINHY2FC0N</t>
  </si>
  <si>
    <t>DEEINSTH000N</t>
  </si>
  <si>
    <t>DEEINHEA000N</t>
  </si>
  <si>
    <t>DEEINOILFC0P</t>
  </si>
  <si>
    <t>DEEINCOAFC0P</t>
  </si>
  <si>
    <t>DEEINCOAFCCP</t>
  </si>
  <si>
    <t>DEEINNGSFC0P</t>
  </si>
  <si>
    <t>DEEINNGSFCCP</t>
  </si>
  <si>
    <t>DEEINBIOFC0P</t>
  </si>
  <si>
    <t>DEEINELCFC0P</t>
  </si>
  <si>
    <t>DEEINELCMC0P</t>
  </si>
  <si>
    <t>DEEINHY2FC0P</t>
  </si>
  <si>
    <t>DEEINSTH000P</t>
  </si>
  <si>
    <t>DEEINHEA000P</t>
  </si>
  <si>
    <t>DEEINOILFC0O</t>
  </si>
  <si>
    <t>DEEINCOAFC0O</t>
  </si>
  <si>
    <t>DEEINCOAFCCO</t>
  </si>
  <si>
    <t>DEEINNGSFC0O</t>
  </si>
  <si>
    <t>DEEINNGSFCCO</t>
  </si>
  <si>
    <t>DEEINBIOFC0O</t>
  </si>
  <si>
    <t>DEEINELCFC0O</t>
  </si>
  <si>
    <t>DEEINELCMC0O</t>
  </si>
  <si>
    <t>DEEINHY2FC0O</t>
  </si>
  <si>
    <t>DEEINSTH000O</t>
  </si>
  <si>
    <t>DEEINHEA000O</t>
  </si>
  <si>
    <t>DKEINOILFC0A</t>
  </si>
  <si>
    <t>DKEINCOAFC0A</t>
  </si>
  <si>
    <t>DKEINCOAFCCA</t>
  </si>
  <si>
    <t>DKEINNGSFC0A</t>
  </si>
  <si>
    <t>DKEINNGSFCCA</t>
  </si>
  <si>
    <t>DKEINBIOFC0A</t>
  </si>
  <si>
    <t>DKEINELCFC0A</t>
  </si>
  <si>
    <t>DKEINELCMC0A</t>
  </si>
  <si>
    <t>DKEINHY2FC0A</t>
  </si>
  <si>
    <t>DKEINSTH000A</t>
  </si>
  <si>
    <t>DKEINHEA000A</t>
  </si>
  <si>
    <t>DKEINOILFC0C</t>
  </si>
  <si>
    <t>DKEINCOAFC0C</t>
  </si>
  <si>
    <t>DKEINCOAFCCC</t>
  </si>
  <si>
    <t>DKEINNGSFC0C</t>
  </si>
  <si>
    <t>DKEINNGSFCCC</t>
  </si>
  <si>
    <t>DKEINBIOFC0C</t>
  </si>
  <si>
    <t>DKEINELCFC0C</t>
  </si>
  <si>
    <t>DKEINELCMC0C</t>
  </si>
  <si>
    <t>DKEINHY2FC0C</t>
  </si>
  <si>
    <t>DKEINSTH000C</t>
  </si>
  <si>
    <t>DKEINHEA000C</t>
  </si>
  <si>
    <t>DKEINOILFC0N</t>
  </si>
  <si>
    <t>DKEINCOAFC0N</t>
  </si>
  <si>
    <t>DKEINCOAFCCN</t>
  </si>
  <si>
    <t>DKEINNGSFC0N</t>
  </si>
  <si>
    <t>DKEINNGSFCCN</t>
  </si>
  <si>
    <t>DKEINBIOFC0N</t>
  </si>
  <si>
    <t>DKEINELCFC0N</t>
  </si>
  <si>
    <t>DKEINELCMC0N</t>
  </si>
  <si>
    <t>DKEINHY2FC0N</t>
  </si>
  <si>
    <t>DKEINSTH000N</t>
  </si>
  <si>
    <t>DKEINHEA000N</t>
  </si>
  <si>
    <t>DKEINOILFC0F</t>
  </si>
  <si>
    <t>DKEINCOAFC0F</t>
  </si>
  <si>
    <t>DKEINCOAFCCF</t>
  </si>
  <si>
    <t>DKEINNGSFC0F</t>
  </si>
  <si>
    <t>DKEINNGSFCCF</t>
  </si>
  <si>
    <t>DKEINBIOFC0F</t>
  </si>
  <si>
    <t>DKEINELCFC0F</t>
  </si>
  <si>
    <t>DKEINELCMC0F</t>
  </si>
  <si>
    <t>DKEINHY2FC0F</t>
  </si>
  <si>
    <t>DKEINSTH000F</t>
  </si>
  <si>
    <t>DKEINHEA000F</t>
  </si>
  <si>
    <t>DKEINOILFC0O</t>
  </si>
  <si>
    <t>DKEINCOAFC0O</t>
  </si>
  <si>
    <t>DKEINCOAFCCO</t>
  </si>
  <si>
    <t>DKEINNGSFC0O</t>
  </si>
  <si>
    <t>DKEINNGSFCCO</t>
  </si>
  <si>
    <t>DKEINBIOFC0O</t>
  </si>
  <si>
    <t>DKEINELCFC0O</t>
  </si>
  <si>
    <t>DKEINELCMC0O</t>
  </si>
  <si>
    <t>DKEINHY2FC0O</t>
  </si>
  <si>
    <t>DKEINSTH000O</t>
  </si>
  <si>
    <t>DKEINHEA000O</t>
  </si>
  <si>
    <t>EEEINOILFC0A</t>
  </si>
  <si>
    <t>EEEINCOAFC0A</t>
  </si>
  <si>
    <t>EEEINCOAFCCA</t>
  </si>
  <si>
    <t>EEEINNGSFC0A</t>
  </si>
  <si>
    <t>EEEINNGSFCCA</t>
  </si>
  <si>
    <t>EEEINBIOFC0A</t>
  </si>
  <si>
    <t>EEEINELCFC0A</t>
  </si>
  <si>
    <t>EEEINELCMC0A</t>
  </si>
  <si>
    <t>EEEINHY2FC0A</t>
  </si>
  <si>
    <t>EEEINSTH000A</t>
  </si>
  <si>
    <t>EEEINHEA000A</t>
  </si>
  <si>
    <t>EEEINOILFC0P</t>
  </si>
  <si>
    <t>EEEINCOAFC0P</t>
  </si>
  <si>
    <t>EEEINCOAFCCP</t>
  </si>
  <si>
    <t>EEEINNGSFC0P</t>
  </si>
  <si>
    <t>EEEINNGSFCCP</t>
  </si>
  <si>
    <t>EEEINBIOFC0P</t>
  </si>
  <si>
    <t>EEEINELCFC0P</t>
  </si>
  <si>
    <t>EEEINELCMC0P</t>
  </si>
  <si>
    <t>EEEINHY2FC0P</t>
  </si>
  <si>
    <t>EEEINSTH000P</t>
  </si>
  <si>
    <t>EEEINHEA000P</t>
  </si>
  <si>
    <t>EEEINOILFC0W</t>
  </si>
  <si>
    <t>EEEINCOAFC0W</t>
  </si>
  <si>
    <t>EEEINCOAFCCW</t>
  </si>
  <si>
    <t>EEEINNGSFC0W</t>
  </si>
  <si>
    <t>EEEINNGSFCCW</t>
  </si>
  <si>
    <t>EEEINBIOFC0W</t>
  </si>
  <si>
    <t>EEEINELCFC0W</t>
  </si>
  <si>
    <t>EEEINELCMC0W</t>
  </si>
  <si>
    <t>EEEINHY2FC0W</t>
  </si>
  <si>
    <t>EEEINSTH000W</t>
  </si>
  <si>
    <t>EEEINHEA000W</t>
  </si>
  <si>
    <t>EEEINOILFC0F</t>
  </si>
  <si>
    <t>EEEINCOAFC0F</t>
  </si>
  <si>
    <t>EEEINCOAFCCF</t>
  </si>
  <si>
    <t>EEEINNGSFC0F</t>
  </si>
  <si>
    <t>EEEINNGSFCCF</t>
  </si>
  <si>
    <t>EEEINBIOFC0F</t>
  </si>
  <si>
    <t>EEEINELCFC0F</t>
  </si>
  <si>
    <t>EEEINELCMC0F</t>
  </si>
  <si>
    <t>EEEINHY2FC0F</t>
  </si>
  <si>
    <t>EEEINSTH000F</t>
  </si>
  <si>
    <t>EEEINHEA000F</t>
  </si>
  <si>
    <t>EEEINOILFC0O</t>
  </si>
  <si>
    <t>EEEINCOAFC0O</t>
  </si>
  <si>
    <t>EEEINCOAFCCO</t>
  </si>
  <si>
    <t>EEEINNGSFC0O</t>
  </si>
  <si>
    <t>EEEINNGSFCCO</t>
  </si>
  <si>
    <t>EEEINBIOFC0O</t>
  </si>
  <si>
    <t>EEEINELCFC0O</t>
  </si>
  <si>
    <t>EEEINELCMC0O</t>
  </si>
  <si>
    <t>EEEINHY2FC0O</t>
  </si>
  <si>
    <t>EEEINSTH000O</t>
  </si>
  <si>
    <t>EEEINHEA000O</t>
  </si>
  <si>
    <t>GREINOILFC0I</t>
  </si>
  <si>
    <t>GREINCOAFC0I</t>
  </si>
  <si>
    <t>GREINCOAFCCI</t>
  </si>
  <si>
    <t>GREINNGSFC0I</t>
  </si>
  <si>
    <t>GREINNGSFCCI</t>
  </si>
  <si>
    <t>GREINBIOFC0I</t>
  </si>
  <si>
    <t>GREINELCFC0I</t>
  </si>
  <si>
    <t>GREINELCMC0I</t>
  </si>
  <si>
    <t>GREINHY2FC0I</t>
  </si>
  <si>
    <t>GREINSTH000I</t>
  </si>
  <si>
    <t>GREINHEA000I</t>
  </si>
  <si>
    <t>GREINOILFC0M</t>
  </si>
  <si>
    <t>GREINCOAFC0M</t>
  </si>
  <si>
    <t>GREINCOAFCCM</t>
  </si>
  <si>
    <t>GREINNGSFC0M</t>
  </si>
  <si>
    <t>GREINNGSFCCM</t>
  </si>
  <si>
    <t>GREINBIOFC0M</t>
  </si>
  <si>
    <t>GREINELCFC0M</t>
  </si>
  <si>
    <t>GREINELCMC0M</t>
  </si>
  <si>
    <t>GREINHY2FC0M</t>
  </si>
  <si>
    <t>GREINSTH000M</t>
  </si>
  <si>
    <t>GREINHEA000M</t>
  </si>
  <si>
    <t>GREINOILFC0N</t>
  </si>
  <si>
    <t>GREINCOAFC0N</t>
  </si>
  <si>
    <t>GREINCOAFCCN</t>
  </si>
  <si>
    <t>GREINNGSFC0N</t>
  </si>
  <si>
    <t>GREINNGSFCCN</t>
  </si>
  <si>
    <t>GREINBIOFC0N</t>
  </si>
  <si>
    <t>GREINELCFC0N</t>
  </si>
  <si>
    <t>GREINELCMC0N</t>
  </si>
  <si>
    <t>GREINHY2FC0N</t>
  </si>
  <si>
    <t>GREINSTH000N</t>
  </si>
  <si>
    <t>GREINHEA000N</t>
  </si>
  <si>
    <t>GREINOILFC0F</t>
  </si>
  <si>
    <t>GREINCOAFC0F</t>
  </si>
  <si>
    <t>GREINCOAFCCF</t>
  </si>
  <si>
    <t>GREINNGSFC0F</t>
  </si>
  <si>
    <t>GREINNGSFCCF</t>
  </si>
  <si>
    <t>GREINBIOFC0F</t>
  </si>
  <si>
    <t>GREINELCFC0F</t>
  </si>
  <si>
    <t>GREINELCMC0F</t>
  </si>
  <si>
    <t>GREINHY2FC0F</t>
  </si>
  <si>
    <t>GREINSTH000F</t>
  </si>
  <si>
    <t>GREINHEA000F</t>
  </si>
  <si>
    <t>GREINOILFC0O</t>
  </si>
  <si>
    <t>GREINCOAFC0O</t>
  </si>
  <si>
    <t>GREINCOAFCCO</t>
  </si>
  <si>
    <t>GREINNGSFC0O</t>
  </si>
  <si>
    <t>GREINNGSFCCO</t>
  </si>
  <si>
    <t>GREINBIOFC0O</t>
  </si>
  <si>
    <t>GREINELCFC0O</t>
  </si>
  <si>
    <t>GREINELCMC0O</t>
  </si>
  <si>
    <t>GREINHY2FC0O</t>
  </si>
  <si>
    <t>GREINSTH000O</t>
  </si>
  <si>
    <t>GREINHEA000O</t>
  </si>
  <si>
    <t>ESEINOILFC0I</t>
  </si>
  <si>
    <t>ESEINCOAFC0I</t>
  </si>
  <si>
    <t>ESEINCOAFCCI</t>
  </si>
  <si>
    <t>ESEINNGSFC0I</t>
  </si>
  <si>
    <t>ESEINNGSFCCI</t>
  </si>
  <si>
    <t>ESEINBIOFC0I</t>
  </si>
  <si>
    <t>ESEINELCFC0I</t>
  </si>
  <si>
    <t>ESEINELCMC0I</t>
  </si>
  <si>
    <t>ESEINHY2FC0I</t>
  </si>
  <si>
    <t>ESEINSTH000I</t>
  </si>
  <si>
    <t>ESEINHEA000I</t>
  </si>
  <si>
    <t>ESEINOILFC0C</t>
  </si>
  <si>
    <t>ESEINCOAFC0C</t>
  </si>
  <si>
    <t>ESEINCOAFCCC</t>
  </si>
  <si>
    <t>ESEINNGSFC0C</t>
  </si>
  <si>
    <t>ESEINNGSFCCC</t>
  </si>
  <si>
    <t>ESEINBIOFC0C</t>
  </si>
  <si>
    <t>ESEINELCFC0C</t>
  </si>
  <si>
    <t>ESEINELCMC0C</t>
  </si>
  <si>
    <t>ESEINHY2FC0C</t>
  </si>
  <si>
    <t>ESEINSTH000C</t>
  </si>
  <si>
    <t>ESEINHEA000C</t>
  </si>
  <si>
    <t>ESEINOILFC0N</t>
  </si>
  <si>
    <t>ESEINCOAFC0N</t>
  </si>
  <si>
    <t>ESEINCOAFCCN</t>
  </si>
  <si>
    <t>ESEINNGSFC0N</t>
  </si>
  <si>
    <t>ESEINNGSFCCN</t>
  </si>
  <si>
    <t>ESEINBIOFC0N</t>
  </si>
  <si>
    <t>ESEINELCFC0N</t>
  </si>
  <si>
    <t>ESEINELCMC0N</t>
  </si>
  <si>
    <t>ESEINHY2FC0N</t>
  </si>
  <si>
    <t>ESEINSTH000N</t>
  </si>
  <si>
    <t>ESEINHEA000N</t>
  </si>
  <si>
    <t>ESEINOILFC0F</t>
  </si>
  <si>
    <t>ESEINCOAFC0F</t>
  </si>
  <si>
    <t>ESEINCOAFCCF</t>
  </si>
  <si>
    <t>ESEINNGSFC0F</t>
  </si>
  <si>
    <t>ESEINNGSFCCF</t>
  </si>
  <si>
    <t>ESEINBIOFC0F</t>
  </si>
  <si>
    <t>ESEINELCFC0F</t>
  </si>
  <si>
    <t>ESEINELCMC0F</t>
  </si>
  <si>
    <t>ESEINHY2FC0F</t>
  </si>
  <si>
    <t>ESEINSTH000F</t>
  </si>
  <si>
    <t>ESEINHEA000F</t>
  </si>
  <si>
    <t>ESEINOILFC0O</t>
  </si>
  <si>
    <t>ESEINCOAFC0O</t>
  </si>
  <si>
    <t>ESEINCOAFCCO</t>
  </si>
  <si>
    <t>ESEINNGSFC0O</t>
  </si>
  <si>
    <t>ESEINNGSFCCO</t>
  </si>
  <si>
    <t>ESEINBIOFC0O</t>
  </si>
  <si>
    <t>ESEINELCFC0O</t>
  </si>
  <si>
    <t>ESEINELCMC0O</t>
  </si>
  <si>
    <t>ESEINHY2FC0O</t>
  </si>
  <si>
    <t>ESEINSTH000O</t>
  </si>
  <si>
    <t>ESEINHEA000O</t>
  </si>
  <si>
    <t>FIEINOILFC0I</t>
  </si>
  <si>
    <t>FIEINCOAFC0I</t>
  </si>
  <si>
    <t>FIEINCOAFCCI</t>
  </si>
  <si>
    <t>FIEINNGSFC0I</t>
  </si>
  <si>
    <t>FIEINNGSFCCI</t>
  </si>
  <si>
    <t>FIEINBIOFC0I</t>
  </si>
  <si>
    <t>FIEINELCFC0I</t>
  </si>
  <si>
    <t>FIEINELCMC0I</t>
  </si>
  <si>
    <t>FIEINHY2FC0I</t>
  </si>
  <si>
    <t>FIEINSTH000I</t>
  </si>
  <si>
    <t>FIEINHEA000I</t>
  </si>
  <si>
    <t>FIEINOILFC0C</t>
  </si>
  <si>
    <t>FIEINCOAFC0C</t>
  </si>
  <si>
    <t>FIEINCOAFCCC</t>
  </si>
  <si>
    <t>FIEINNGSFC0C</t>
  </si>
  <si>
    <t>FIEINNGSFCCC</t>
  </si>
  <si>
    <t>FIEINBIOFC0C</t>
  </si>
  <si>
    <t>FIEINELCFC0C</t>
  </si>
  <si>
    <t>FIEINELCMC0C</t>
  </si>
  <si>
    <t>FIEINHY2FC0C</t>
  </si>
  <si>
    <t>FIEINSTH000C</t>
  </si>
  <si>
    <t>FIEINHEA000C</t>
  </si>
  <si>
    <t>FIEINOILFC0W</t>
  </si>
  <si>
    <t>FIEINCOAFC0W</t>
  </si>
  <si>
    <t>FIEINCOAFCCW</t>
  </si>
  <si>
    <t>FIEINNGSFC0W</t>
  </si>
  <si>
    <t>FIEINNGSFCCW</t>
  </si>
  <si>
    <t>FIEINBIOFC0W</t>
  </si>
  <si>
    <t>FIEINELCFC0W</t>
  </si>
  <si>
    <t>FIEINELCMC0W</t>
  </si>
  <si>
    <t>FIEINHY2FC0W</t>
  </si>
  <si>
    <t>FIEINSTH000W</t>
  </si>
  <si>
    <t>FIEINHEA000W</t>
  </si>
  <si>
    <t>FIEINOILFC0P</t>
  </si>
  <si>
    <t>FIEINCOAFC0P</t>
  </si>
  <si>
    <t>FIEINCOAFCCP</t>
  </si>
  <si>
    <t>FIEINNGSFC0P</t>
  </si>
  <si>
    <t>FIEINNGSFCCP</t>
  </si>
  <si>
    <t>FIEINBIOFC0P</t>
  </si>
  <si>
    <t>FIEINELCFC0P</t>
  </si>
  <si>
    <t>FIEINELCMC0P</t>
  </si>
  <si>
    <t>FIEINHY2FC0P</t>
  </si>
  <si>
    <t>FIEINSTH000P</t>
  </si>
  <si>
    <t>FIEINHEA000P</t>
  </si>
  <si>
    <t>FIEINOILFC0O</t>
  </si>
  <si>
    <t>FIEINCOAFC0O</t>
  </si>
  <si>
    <t>FIEINCOAFCCO</t>
  </si>
  <si>
    <t>FIEINNGSFC0O</t>
  </si>
  <si>
    <t>FIEINNGSFCCO</t>
  </si>
  <si>
    <t>FIEINBIOFC0O</t>
  </si>
  <si>
    <t>FIEINELCFC0O</t>
  </si>
  <si>
    <t>FIEINELCMC0O</t>
  </si>
  <si>
    <t>FIEINHY2FC0O</t>
  </si>
  <si>
    <t>FIEINSTH000O</t>
  </si>
  <si>
    <t>FIEINHEA000O</t>
  </si>
  <si>
    <t>FREINOILFC0P</t>
  </si>
  <si>
    <t>FREINCOAFC0P</t>
  </si>
  <si>
    <t>FREINCOAFCCP</t>
  </si>
  <si>
    <t>FREINNGSFC0P</t>
  </si>
  <si>
    <t>FREINNGSFCCP</t>
  </si>
  <si>
    <t>FREINBIOFC0P</t>
  </si>
  <si>
    <t>FREINELCFC0P</t>
  </si>
  <si>
    <t>FREINELCMC0P</t>
  </si>
  <si>
    <t>FREINHY2FC0P</t>
  </si>
  <si>
    <t>FREINSTH000P</t>
  </si>
  <si>
    <t>FREINHEA000P</t>
  </si>
  <si>
    <t>FREINOILFC0C</t>
  </si>
  <si>
    <t>FREINCOAFC0C</t>
  </si>
  <si>
    <t>FREINCOAFCCC</t>
  </si>
  <si>
    <t>FREINNGSFC0C</t>
  </si>
  <si>
    <t>FREINNGSFCCC</t>
  </si>
  <si>
    <t>FREINBIOFC0C</t>
  </si>
  <si>
    <t>FREINELCFC0C</t>
  </si>
  <si>
    <t>FREINELCMC0C</t>
  </si>
  <si>
    <t>FREINHY2FC0C</t>
  </si>
  <si>
    <t>FREINSTH000C</t>
  </si>
  <si>
    <t>FREINHEA000C</t>
  </si>
  <si>
    <t>FREINOILFC0N</t>
  </si>
  <si>
    <t>FREINCOAFC0N</t>
  </si>
  <si>
    <t>FREINCOAFCCN</t>
  </si>
  <si>
    <t>FREINNGSFC0N</t>
  </si>
  <si>
    <t>FREINNGSFCCN</t>
  </si>
  <si>
    <t>FREINBIOFC0N</t>
  </si>
  <si>
    <t>FREINELCFC0N</t>
  </si>
  <si>
    <t>FREINELCMC0N</t>
  </si>
  <si>
    <t>FREINHY2FC0N</t>
  </si>
  <si>
    <t>FREINSTH000N</t>
  </si>
  <si>
    <t>FREINHEA000N</t>
  </si>
  <si>
    <t>FREINOILFC0F</t>
  </si>
  <si>
    <t>FREINCOAFC0F</t>
  </si>
  <si>
    <t>FREINCOAFCCF</t>
  </si>
  <si>
    <t>FREINNGSFC0F</t>
  </si>
  <si>
    <t>FREINNGSFCCF</t>
  </si>
  <si>
    <t>FREINBIOFC0F</t>
  </si>
  <si>
    <t>FREINELCFC0F</t>
  </si>
  <si>
    <t>FREINELCMC0F</t>
  </si>
  <si>
    <t>FREINHY2FC0F</t>
  </si>
  <si>
    <t>FREINSTH000F</t>
  </si>
  <si>
    <t>FREINHEA000F</t>
  </si>
  <si>
    <t>FREINOILFC0O</t>
  </si>
  <si>
    <t>FREINCOAFC0O</t>
  </si>
  <si>
    <t>FREINCOAFCCO</t>
  </si>
  <si>
    <t>FREINNGSFC0O</t>
  </si>
  <si>
    <t>FREINNGSFCCO</t>
  </si>
  <si>
    <t>FREINBIOFC0O</t>
  </si>
  <si>
    <t>FREINELCFC0O</t>
  </si>
  <si>
    <t>FREINELCMC0O</t>
  </si>
  <si>
    <t>FREINHY2FC0O</t>
  </si>
  <si>
    <t>FREINSTH000O</t>
  </si>
  <si>
    <t>FREINHEA000O</t>
  </si>
  <si>
    <t>HREINOILFC0P</t>
  </si>
  <si>
    <t>HREINCOAFC0P</t>
  </si>
  <si>
    <t>HREINCOAFCCP</t>
  </si>
  <si>
    <t>HREINNGSFC0P</t>
  </si>
  <si>
    <t>HREINNGSFCCP</t>
  </si>
  <si>
    <t>HREINBIOFC0P</t>
  </si>
  <si>
    <t>HREINELCFC0P</t>
  </si>
  <si>
    <t>HREINELCMC0P</t>
  </si>
  <si>
    <t>HREINHY2FC0P</t>
  </si>
  <si>
    <t>HREINSTH000P</t>
  </si>
  <si>
    <t>HREINHEA000P</t>
  </si>
  <si>
    <t>HREINOILFC0C</t>
  </si>
  <si>
    <t>HREINCOAFC0C</t>
  </si>
  <si>
    <t>HREINCOAFCCC</t>
  </si>
  <si>
    <t>HREINNGSFC0C</t>
  </si>
  <si>
    <t>HREINNGSFCCC</t>
  </si>
  <si>
    <t>HREINBIOFC0C</t>
  </si>
  <si>
    <t>HREINELCFC0C</t>
  </si>
  <si>
    <t>HREINELCMC0C</t>
  </si>
  <si>
    <t>HREINHY2FC0C</t>
  </si>
  <si>
    <t>HREINSTH000C</t>
  </si>
  <si>
    <t>HREINHEA000C</t>
  </si>
  <si>
    <t>HREINOILFC0N</t>
  </si>
  <si>
    <t>HREINCOAFC0N</t>
  </si>
  <si>
    <t>HREINCOAFCCN</t>
  </si>
  <si>
    <t>HREINNGSFC0N</t>
  </si>
  <si>
    <t>HREINNGSFCCN</t>
  </si>
  <si>
    <t>HREINBIOFC0N</t>
  </si>
  <si>
    <t>HREINELCFC0N</t>
  </si>
  <si>
    <t>HREINELCMC0N</t>
  </si>
  <si>
    <t>HREINHY2FC0N</t>
  </si>
  <si>
    <t>HREINSTH000N</t>
  </si>
  <si>
    <t>HREINHEA000N</t>
  </si>
  <si>
    <t>HREINOILFC0F</t>
  </si>
  <si>
    <t>HREINCOAFC0F</t>
  </si>
  <si>
    <t>HREINCOAFCCF</t>
  </si>
  <si>
    <t>HREINNGSFC0F</t>
  </si>
  <si>
    <t>HREINNGSFCCF</t>
  </si>
  <si>
    <t>HREINBIOFC0F</t>
  </si>
  <si>
    <t>HREINELCFC0F</t>
  </si>
  <si>
    <t>HREINELCMC0F</t>
  </si>
  <si>
    <t>HREINHY2FC0F</t>
  </si>
  <si>
    <t>HREINSTH000F</t>
  </si>
  <si>
    <t>HREINHEA000F</t>
  </si>
  <si>
    <t>HREINOILFC0O</t>
  </si>
  <si>
    <t>HREINCOAFC0O</t>
  </si>
  <si>
    <t>HREINCOAFCCO</t>
  </si>
  <si>
    <t>HREINNGSFC0O</t>
  </si>
  <si>
    <t>HREINNGSFCCO</t>
  </si>
  <si>
    <t>HREINBIOFC0O</t>
  </si>
  <si>
    <t>HREINELCFC0O</t>
  </si>
  <si>
    <t>HREINELCMC0O</t>
  </si>
  <si>
    <t>HREINHY2FC0O</t>
  </si>
  <si>
    <t>HREINSTH000O</t>
  </si>
  <si>
    <t>HREINHEA000O</t>
  </si>
  <si>
    <t>HUEINOILFC0A</t>
  </si>
  <si>
    <t>HUEINCOAFC0A</t>
  </si>
  <si>
    <t>HUEINCOAFCCA</t>
  </si>
  <si>
    <t>HUEINNGSFC0A</t>
  </si>
  <si>
    <t>HUEINNGSFCCA</t>
  </si>
  <si>
    <t>HUEINBIOFC0A</t>
  </si>
  <si>
    <t>HUEINELCFC0A</t>
  </si>
  <si>
    <t>HUEINELCMC0A</t>
  </si>
  <si>
    <t>HUEINHY2FC0A</t>
  </si>
  <si>
    <t>HUEINSTH000A</t>
  </si>
  <si>
    <t>HUEINHEA000A</t>
  </si>
  <si>
    <t>HUEINOILFC0C</t>
  </si>
  <si>
    <t>HUEINCOAFC0C</t>
  </si>
  <si>
    <t>HUEINCOAFCCC</t>
  </si>
  <si>
    <t>HUEINNGSFC0C</t>
  </si>
  <si>
    <t>HUEINNGSFCCC</t>
  </si>
  <si>
    <t>HUEINBIOFC0C</t>
  </si>
  <si>
    <t>HUEINELCFC0C</t>
  </si>
  <si>
    <t>HUEINELCMC0C</t>
  </si>
  <si>
    <t>HUEINHY2FC0C</t>
  </si>
  <si>
    <t>HUEINSTH000C</t>
  </si>
  <si>
    <t>HUEINHEA000C</t>
  </si>
  <si>
    <t>HUEINOILFC0N</t>
  </si>
  <si>
    <t>HUEINCOAFC0N</t>
  </si>
  <si>
    <t>HUEINCOAFCCN</t>
  </si>
  <si>
    <t>HUEINNGSFC0N</t>
  </si>
  <si>
    <t>HUEINNGSFCCN</t>
  </si>
  <si>
    <t>HUEINBIOFC0N</t>
  </si>
  <si>
    <t>HUEINELCFC0N</t>
  </si>
  <si>
    <t>HUEINELCMC0N</t>
  </si>
  <si>
    <t>HUEINHY2FC0N</t>
  </si>
  <si>
    <t>HUEINSTH000N</t>
  </si>
  <si>
    <t>HUEINHEA000N</t>
  </si>
  <si>
    <t>HUEINOILFC0F</t>
  </si>
  <si>
    <t>HUEINCOAFC0F</t>
  </si>
  <si>
    <t>HUEINCOAFCCF</t>
  </si>
  <si>
    <t>HUEINNGSFC0F</t>
  </si>
  <si>
    <t>HUEINNGSFCCF</t>
  </si>
  <si>
    <t>HUEINBIOFC0F</t>
  </si>
  <si>
    <t>HUEINELCFC0F</t>
  </si>
  <si>
    <t>HUEINELCMC0F</t>
  </si>
  <si>
    <t>HUEINHY2FC0F</t>
  </si>
  <si>
    <t>HUEINSTH000F</t>
  </si>
  <si>
    <t>HUEINHEA000F</t>
  </si>
  <si>
    <t>HUEINOILFC0O</t>
  </si>
  <si>
    <t>HUEINCOAFC0O</t>
  </si>
  <si>
    <t>HUEINCOAFCCO</t>
  </si>
  <si>
    <t>HUEINNGSFC0O</t>
  </si>
  <si>
    <t>HUEINNGSFCCO</t>
  </si>
  <si>
    <t>HUEINBIOFC0O</t>
  </si>
  <si>
    <t>HUEINELCFC0O</t>
  </si>
  <si>
    <t>HUEINELCMC0O</t>
  </si>
  <si>
    <t>HUEINHY2FC0O</t>
  </si>
  <si>
    <t>HUEINSTH000O</t>
  </si>
  <si>
    <t>HUEINHEA000O</t>
  </si>
  <si>
    <t>IEEINOILFC0M</t>
  </si>
  <si>
    <t>IEEINCOAFC0M</t>
  </si>
  <si>
    <t>IEEINCOAFCCM</t>
  </si>
  <si>
    <t>IEEINNGSFC0M</t>
  </si>
  <si>
    <t>IEEINNGSFCCM</t>
  </si>
  <si>
    <t>IEEINBIOFC0M</t>
  </si>
  <si>
    <t>IEEINELCFC0M</t>
  </si>
  <si>
    <t>IEEINELCMC0M</t>
  </si>
  <si>
    <t>IEEINHY2FC0M</t>
  </si>
  <si>
    <t>IEEINSTH000M</t>
  </si>
  <si>
    <t>IEEINHEA000M</t>
  </si>
  <si>
    <t>IEEINOILFC0C</t>
  </si>
  <si>
    <t>IEEINCOAFC0C</t>
  </si>
  <si>
    <t>IEEINCOAFCCC</t>
  </si>
  <si>
    <t>IEEINNGSFC0C</t>
  </si>
  <si>
    <t>IEEINNGSFCCC</t>
  </si>
  <si>
    <t>IEEINBIOFC0C</t>
  </si>
  <si>
    <t>IEEINELCFC0C</t>
  </si>
  <si>
    <t>IEEINELCMC0C</t>
  </si>
  <si>
    <t>IEEINHY2FC0C</t>
  </si>
  <si>
    <t>IEEINSTH000C</t>
  </si>
  <si>
    <t>IEEINHEA000C</t>
  </si>
  <si>
    <t>IEEINOILFC0N</t>
  </si>
  <si>
    <t>IEEINCOAFC0N</t>
  </si>
  <si>
    <t>IEEINCOAFCCN</t>
  </si>
  <si>
    <t>IEEINNGSFC0N</t>
  </si>
  <si>
    <t>IEEINNGSFCCN</t>
  </si>
  <si>
    <t>IEEINBIOFC0N</t>
  </si>
  <si>
    <t>IEEINELCFC0N</t>
  </si>
  <si>
    <t>IEEINELCMC0N</t>
  </si>
  <si>
    <t>IEEINHY2FC0N</t>
  </si>
  <si>
    <t>IEEINSTH000N</t>
  </si>
  <si>
    <t>IEEINHEA000N</t>
  </si>
  <si>
    <t>IEEINOILFC0F</t>
  </si>
  <si>
    <t>IEEINCOAFC0F</t>
  </si>
  <si>
    <t>IEEINCOAFCCF</t>
  </si>
  <si>
    <t>IEEINNGSFC0F</t>
  </si>
  <si>
    <t>IEEINNGSFCCF</t>
  </si>
  <si>
    <t>IEEINBIOFC0F</t>
  </si>
  <si>
    <t>IEEINELCFC0F</t>
  </si>
  <si>
    <t>IEEINELCMC0F</t>
  </si>
  <si>
    <t>IEEINHY2FC0F</t>
  </si>
  <si>
    <t>IEEINSTH000F</t>
  </si>
  <si>
    <t>IEEINHEA000F</t>
  </si>
  <si>
    <t>IEEINOILFC0O</t>
  </si>
  <si>
    <t>IEEINCOAFC0O</t>
  </si>
  <si>
    <t>IEEINCOAFCCO</t>
  </si>
  <si>
    <t>IEEINNGSFC0O</t>
  </si>
  <si>
    <t>IEEINNGSFCCO</t>
  </si>
  <si>
    <t>IEEINBIOFC0O</t>
  </si>
  <si>
    <t>IEEINELCFC0O</t>
  </si>
  <si>
    <t>IEEINELCMC0O</t>
  </si>
  <si>
    <t>IEEINHY2FC0O</t>
  </si>
  <si>
    <t>IEEINSTH000O</t>
  </si>
  <si>
    <t>IEEINHEA000O</t>
  </si>
  <si>
    <t>ITEINOILFC0A</t>
  </si>
  <si>
    <t>ITEINCOAFC0A</t>
  </si>
  <si>
    <t>ITEINCOAFCCA</t>
  </si>
  <si>
    <t>ITEINNGSFC0A</t>
  </si>
  <si>
    <t>ITEINNGSFCCA</t>
  </si>
  <si>
    <t>ITEINBIOFC0A</t>
  </si>
  <si>
    <t>ITEINELCFC0A</t>
  </si>
  <si>
    <t>ITEINELCMC0A</t>
  </si>
  <si>
    <t>ITEINHY2FC0A</t>
  </si>
  <si>
    <t>ITEINSTH000A</t>
  </si>
  <si>
    <t>ITEINHEA000A</t>
  </si>
  <si>
    <t>ITEINOILFC0C</t>
  </si>
  <si>
    <t>ITEINCOAFC0C</t>
  </si>
  <si>
    <t>ITEINCOAFCCC</t>
  </si>
  <si>
    <t>ITEINNGSFC0C</t>
  </si>
  <si>
    <t>ITEINNGSFCCC</t>
  </si>
  <si>
    <t>ITEINBIOFC0C</t>
  </si>
  <si>
    <t>ITEINELCFC0C</t>
  </si>
  <si>
    <t>ITEINELCMC0C</t>
  </si>
  <si>
    <t>ITEINHY2FC0C</t>
  </si>
  <si>
    <t>ITEINSTH000C</t>
  </si>
  <si>
    <t>ITEINHEA000C</t>
  </si>
  <si>
    <t>ITEINOILFC0N</t>
  </si>
  <si>
    <t>ITEINCOAFC0N</t>
  </si>
  <si>
    <t>ITEINCOAFCCN</t>
  </si>
  <si>
    <t>ITEINNGSFC0N</t>
  </si>
  <si>
    <t>ITEINNGSFCCN</t>
  </si>
  <si>
    <t>ITEINBIOFC0N</t>
  </si>
  <si>
    <t>ITEINELCFC0N</t>
  </si>
  <si>
    <t>ITEINELCMC0N</t>
  </si>
  <si>
    <t>ITEINHY2FC0N</t>
  </si>
  <si>
    <t>ITEINSTH000N</t>
  </si>
  <si>
    <t>ITEINHEA000N</t>
  </si>
  <si>
    <t>ITEINOILFC0I</t>
  </si>
  <si>
    <t>ITEINCOAFC0I</t>
  </si>
  <si>
    <t>ITEINCOAFCCI</t>
  </si>
  <si>
    <t>ITEINNGSFC0I</t>
  </si>
  <si>
    <t>ITEINNGSFCCI</t>
  </si>
  <si>
    <t>ITEINBIOFC0I</t>
  </si>
  <si>
    <t>ITEINELCFC0I</t>
  </si>
  <si>
    <t>ITEINELCMC0I</t>
  </si>
  <si>
    <t>ITEINHY2FC0I</t>
  </si>
  <si>
    <t>ITEINSTH000I</t>
  </si>
  <si>
    <t>ITEINHEA000I</t>
  </si>
  <si>
    <t>ITEINOILFC0O</t>
  </si>
  <si>
    <t>ITEINCOAFC0O</t>
  </si>
  <si>
    <t>ITEINCOAFCCO</t>
  </si>
  <si>
    <t>ITEINNGSFC0O</t>
  </si>
  <si>
    <t>ITEINNGSFCCO</t>
  </si>
  <si>
    <t>ITEINBIOFC0O</t>
  </si>
  <si>
    <t>ITEINELCFC0O</t>
  </si>
  <si>
    <t>ITEINELCMC0O</t>
  </si>
  <si>
    <t>ITEINHY2FC0O</t>
  </si>
  <si>
    <t>ITEINSTH000O</t>
  </si>
  <si>
    <t>ITEINHEA000O</t>
  </si>
  <si>
    <t>LTEINOILFC0W</t>
  </si>
  <si>
    <t>LTEINCOAFC0W</t>
  </si>
  <si>
    <t>LTEINCOAFCCW</t>
  </si>
  <si>
    <t>LTEINNGSFC0W</t>
  </si>
  <si>
    <t>LTEINNGSFCCW</t>
  </si>
  <si>
    <t>LTEINBIOFC0W</t>
  </si>
  <si>
    <t>LTEINELCFC0W</t>
  </si>
  <si>
    <t>LTEINELCMC0W</t>
  </si>
  <si>
    <t>LTEINHY2FC0W</t>
  </si>
  <si>
    <t>LTEINSTH000W</t>
  </si>
  <si>
    <t>LTEINHEA000W</t>
  </si>
  <si>
    <t>LTEINOILFC0C</t>
  </si>
  <si>
    <t>LTEINCOAFC0C</t>
  </si>
  <si>
    <t>LTEINCOAFCCC</t>
  </si>
  <si>
    <t>LTEINNGSFC0C</t>
  </si>
  <si>
    <t>LTEINNGSFCCC</t>
  </si>
  <si>
    <t>LTEINBIOFC0C</t>
  </si>
  <si>
    <t>LTEINELCFC0C</t>
  </si>
  <si>
    <t>LTEINELCMC0C</t>
  </si>
  <si>
    <t>LTEINHY2FC0C</t>
  </si>
  <si>
    <t>LTEINSTH000C</t>
  </si>
  <si>
    <t>LTEINHEA000C</t>
  </si>
  <si>
    <t>LTEINOILFC0N</t>
  </si>
  <si>
    <t>LTEINCOAFC0N</t>
  </si>
  <si>
    <t>LTEINCOAFCCN</t>
  </si>
  <si>
    <t>LTEINNGSFC0N</t>
  </si>
  <si>
    <t>LTEINNGSFCCN</t>
  </si>
  <si>
    <t>LTEINBIOFC0N</t>
  </si>
  <si>
    <t>LTEINELCFC0N</t>
  </si>
  <si>
    <t>LTEINELCMC0N</t>
  </si>
  <si>
    <t>LTEINHY2FC0N</t>
  </si>
  <si>
    <t>LTEINSTH000N</t>
  </si>
  <si>
    <t>LTEINHEA000N</t>
  </si>
  <si>
    <t>LTEINOILFC0F</t>
  </si>
  <si>
    <t>LTEINCOAFC0F</t>
  </si>
  <si>
    <t>LTEINCOAFCCF</t>
  </si>
  <si>
    <t>LTEINNGSFC0F</t>
  </si>
  <si>
    <t>LTEINNGSFCCF</t>
  </si>
  <si>
    <t>LTEINBIOFC0F</t>
  </si>
  <si>
    <t>LTEINELCFC0F</t>
  </si>
  <si>
    <t>LTEINELCMC0F</t>
  </si>
  <si>
    <t>LTEINHY2FC0F</t>
  </si>
  <si>
    <t>LTEINSTH000F</t>
  </si>
  <si>
    <t>LTEINHEA000F</t>
  </si>
  <si>
    <t>LTEINOILFC0O</t>
  </si>
  <si>
    <t>LTEINCOAFC0O</t>
  </si>
  <si>
    <t>LTEINCOAFCCO</t>
  </si>
  <si>
    <t>LTEINNGSFC0O</t>
  </si>
  <si>
    <t>LTEINNGSFCCO</t>
  </si>
  <si>
    <t>LTEINBIOFC0O</t>
  </si>
  <si>
    <t>LTEINELCFC0O</t>
  </si>
  <si>
    <t>LTEINELCMC0O</t>
  </si>
  <si>
    <t>LTEINHY2FC0O</t>
  </si>
  <si>
    <t>LTEINSTH000O</t>
  </si>
  <si>
    <t>LTEINHEA000O</t>
  </si>
  <si>
    <t>LUEINOILFC0N</t>
  </si>
  <si>
    <t>LUEINCOAFC0N</t>
  </si>
  <si>
    <t>LUEINCOAFCCN</t>
  </si>
  <si>
    <t>LUEINNGSFC0N</t>
  </si>
  <si>
    <t>LUEINNGSFCCN</t>
  </si>
  <si>
    <t>LUEINBIOFC0N</t>
  </si>
  <si>
    <t>LUEINELCFC0N</t>
  </si>
  <si>
    <t>LUEINELCMC0N</t>
  </si>
  <si>
    <t>LUEINHY2FC0N</t>
  </si>
  <si>
    <t>LUEINSTH000N</t>
  </si>
  <si>
    <t>LUEINHEA000N</t>
  </si>
  <si>
    <t>LUEINOILFC0I</t>
  </si>
  <si>
    <t>LUEINCOAFC0I</t>
  </si>
  <si>
    <t>LUEINCOAFCCI</t>
  </si>
  <si>
    <t>LUEINNGSFC0I</t>
  </si>
  <si>
    <t>LUEINNGSFCCI</t>
  </si>
  <si>
    <t>LUEINBIOFC0I</t>
  </si>
  <si>
    <t>LUEINELCFC0I</t>
  </si>
  <si>
    <t>LUEINELCMC0I</t>
  </si>
  <si>
    <t>LUEINHY2FC0I</t>
  </si>
  <si>
    <t>LUEINSTH000I</t>
  </si>
  <si>
    <t>LUEINHEA000I</t>
  </si>
  <si>
    <t>LUEINOILFC0O</t>
  </si>
  <si>
    <t>LUEINCOAFC0O</t>
  </si>
  <si>
    <t>LUEINCOAFCCO</t>
  </si>
  <si>
    <t>LUEINNGSFC0O</t>
  </si>
  <si>
    <t>LUEINNGSFCCO</t>
  </si>
  <si>
    <t>LUEINBIOFC0O</t>
  </si>
  <si>
    <t>LUEINELCFC0O</t>
  </si>
  <si>
    <t>LUEINELCMC0O</t>
  </si>
  <si>
    <t>LUEINHY2FC0O</t>
  </si>
  <si>
    <t>LUEINSTH000O</t>
  </si>
  <si>
    <t>LUEINHEA000O</t>
  </si>
  <si>
    <t>LVEINOILFC0W</t>
  </si>
  <si>
    <t>LVEINCOAFC0W</t>
  </si>
  <si>
    <t>LVEINCOAFCCW</t>
  </si>
  <si>
    <t>LVEINNGSFC0W</t>
  </si>
  <si>
    <t>LVEINNGSFCCW</t>
  </si>
  <si>
    <t>LVEINBIOFC0W</t>
  </si>
  <si>
    <t>LVEINELCFC0W</t>
  </si>
  <si>
    <t>LVEINELCMC0W</t>
  </si>
  <si>
    <t>LVEINHY2FC0W</t>
  </si>
  <si>
    <t>LVEINSTH000W</t>
  </si>
  <si>
    <t>LVEINHEA000W</t>
  </si>
  <si>
    <t>LVEINOILFC0N</t>
  </si>
  <si>
    <t>LVEINCOAFC0N</t>
  </si>
  <si>
    <t>LVEINCOAFCCN</t>
  </si>
  <si>
    <t>LVEINNGSFC0N</t>
  </si>
  <si>
    <t>LVEINNGSFCCN</t>
  </si>
  <si>
    <t>LVEINBIOFC0N</t>
  </si>
  <si>
    <t>LVEINELCFC0N</t>
  </si>
  <si>
    <t>LVEINELCMC0N</t>
  </si>
  <si>
    <t>LVEINHY2FC0N</t>
  </si>
  <si>
    <t>LVEINSTH000N</t>
  </si>
  <si>
    <t>LVEINHEA000N</t>
  </si>
  <si>
    <t>LVEINOILFC0F</t>
  </si>
  <si>
    <t>LVEINCOAFC0F</t>
  </si>
  <si>
    <t>LVEINCOAFCCF</t>
  </si>
  <si>
    <t>LVEINNGSFC0F</t>
  </si>
  <si>
    <t>LVEINNGSFCCF</t>
  </si>
  <si>
    <t>LVEINBIOFC0F</t>
  </si>
  <si>
    <t>LVEINELCFC0F</t>
  </si>
  <si>
    <t>LVEINELCMC0F</t>
  </si>
  <si>
    <t>LVEINHY2FC0F</t>
  </si>
  <si>
    <t>LVEINSTH000F</t>
  </si>
  <si>
    <t>LVEINHEA000F</t>
  </si>
  <si>
    <t>LVEINOILFC0O</t>
  </si>
  <si>
    <t>LVEINCOAFC0O</t>
  </si>
  <si>
    <t>LVEINCOAFCCO</t>
  </si>
  <si>
    <t>LVEINNGSFC0O</t>
  </si>
  <si>
    <t>LVEINNGSFCCO</t>
  </si>
  <si>
    <t>LVEINBIOFC0O</t>
  </si>
  <si>
    <t>LVEINELCFC0O</t>
  </si>
  <si>
    <t>LVEINELCMC0O</t>
  </si>
  <si>
    <t>LVEINHY2FC0O</t>
  </si>
  <si>
    <t>LVEINSTH000O</t>
  </si>
  <si>
    <t>LVEINHEA000O</t>
  </si>
  <si>
    <t>MTEINOILFC0O</t>
  </si>
  <si>
    <t>MTEINCOAFC0O</t>
  </si>
  <si>
    <t>MTEINCOAFCCO</t>
  </si>
  <si>
    <t>MTEINNGSFC0O</t>
  </si>
  <si>
    <t>MTEINNGSFCCO</t>
  </si>
  <si>
    <t>MTEINBIOFC0O</t>
  </si>
  <si>
    <t>MTEINELCFC0O</t>
  </si>
  <si>
    <t>MTEINELCMC0O</t>
  </si>
  <si>
    <t>MTEINHY2FC0O</t>
  </si>
  <si>
    <t>MTEINSTH000O</t>
  </si>
  <si>
    <t>MTEINHEA000O</t>
  </si>
  <si>
    <t>NLEINOILFC0I</t>
  </si>
  <si>
    <t>NLEINCOAFC0I</t>
  </si>
  <si>
    <t>NLEINCOAFCCI</t>
  </si>
  <si>
    <t>NLEINNGSFC0I</t>
  </si>
  <si>
    <t>NLEINNGSFCCI</t>
  </si>
  <si>
    <t>NLEINBIOFC0I</t>
  </si>
  <si>
    <t>NLEINELCFC0I</t>
  </si>
  <si>
    <t>NLEINELCMC0I</t>
  </si>
  <si>
    <t>NLEINHY2FC0I</t>
  </si>
  <si>
    <t>NLEINSTH000I</t>
  </si>
  <si>
    <t>NLEINHEA000I</t>
  </si>
  <si>
    <t>NLEINOILFC0C</t>
  </si>
  <si>
    <t>NLEINCOAFC0C</t>
  </si>
  <si>
    <t>NLEINCOAFCCC</t>
  </si>
  <si>
    <t>NLEINNGSFC0C</t>
  </si>
  <si>
    <t>NLEINNGSFCCC</t>
  </si>
  <si>
    <t>NLEINBIOFC0C</t>
  </si>
  <si>
    <t>NLEINELCFC0C</t>
  </si>
  <si>
    <t>NLEINELCMC0C</t>
  </si>
  <si>
    <t>NLEINHY2FC0C</t>
  </si>
  <si>
    <t>NLEINSTH000C</t>
  </si>
  <si>
    <t>NLEINHEA000C</t>
  </si>
  <si>
    <t>NLEINOILFC0N</t>
  </si>
  <si>
    <t>NLEINCOAFC0N</t>
  </si>
  <si>
    <t>NLEINCOAFCCN</t>
  </si>
  <si>
    <t>NLEINNGSFC0N</t>
  </si>
  <si>
    <t>NLEINNGSFCCN</t>
  </si>
  <si>
    <t>NLEINBIOFC0N</t>
  </si>
  <si>
    <t>NLEINELCFC0N</t>
  </si>
  <si>
    <t>NLEINELCMC0N</t>
  </si>
  <si>
    <t>NLEINHY2FC0N</t>
  </si>
  <si>
    <t>NLEINSTH000N</t>
  </si>
  <si>
    <t>NLEINHEA000N</t>
  </si>
  <si>
    <t>NLEINOILFC0F</t>
  </si>
  <si>
    <t>NLEINCOAFC0F</t>
  </si>
  <si>
    <t>NLEINCOAFCCF</t>
  </si>
  <si>
    <t>NLEINNGSFC0F</t>
  </si>
  <si>
    <t>NLEINNGSFCCF</t>
  </si>
  <si>
    <t>NLEINBIOFC0F</t>
  </si>
  <si>
    <t>NLEINELCFC0F</t>
  </si>
  <si>
    <t>NLEINELCMC0F</t>
  </si>
  <si>
    <t>NLEINHY2FC0F</t>
  </si>
  <si>
    <t>NLEINSTH000F</t>
  </si>
  <si>
    <t>NLEINHEA000F</t>
  </si>
  <si>
    <t>NLEINOILFC0O</t>
  </si>
  <si>
    <t>NLEINCOAFC0O</t>
  </si>
  <si>
    <t>NLEINCOAFCCO</t>
  </si>
  <si>
    <t>NLEINNGSFC0O</t>
  </si>
  <si>
    <t>NLEINNGSFCCO</t>
  </si>
  <si>
    <t>NLEINBIOFC0O</t>
  </si>
  <si>
    <t>NLEINELCFC0O</t>
  </si>
  <si>
    <t>NLEINELCMC0O</t>
  </si>
  <si>
    <t>NLEINHY2FC0O</t>
  </si>
  <si>
    <t>NLEINSTH000O</t>
  </si>
  <si>
    <t>NLEINHEA000O</t>
  </si>
  <si>
    <t>PLEINOILFC0I</t>
  </si>
  <si>
    <t>PLEINCOAFC0I</t>
  </si>
  <si>
    <t>PLEINCOAFCCI</t>
  </si>
  <si>
    <t>PLEINNGSFC0I</t>
  </si>
  <si>
    <t>PLEINNGSFCCI</t>
  </si>
  <si>
    <t>PLEINBIOFC0I</t>
  </si>
  <si>
    <t>PLEINELCFC0I</t>
  </si>
  <si>
    <t>PLEINELCMC0I</t>
  </si>
  <si>
    <t>PLEINHY2FC0I</t>
  </si>
  <si>
    <t>PLEINSTH000I</t>
  </si>
  <si>
    <t>PLEINHEA000I</t>
  </si>
  <si>
    <t>PLEINOILFC0C</t>
  </si>
  <si>
    <t>PLEINCOAFC0C</t>
  </si>
  <si>
    <t>PLEINCOAFCCC</t>
  </si>
  <si>
    <t>PLEINNGSFC0C</t>
  </si>
  <si>
    <t>PLEINNGSFCCC</t>
  </si>
  <si>
    <t>PLEINBIOFC0C</t>
  </si>
  <si>
    <t>PLEINELCFC0C</t>
  </si>
  <si>
    <t>PLEINELCMC0C</t>
  </si>
  <si>
    <t>PLEINHY2FC0C</t>
  </si>
  <si>
    <t>PLEINSTH000C</t>
  </si>
  <si>
    <t>PLEINHEA000C</t>
  </si>
  <si>
    <t>PLEINOILFC0N</t>
  </si>
  <si>
    <t>PLEINCOAFC0N</t>
  </si>
  <si>
    <t>PLEINCOAFCCN</t>
  </si>
  <si>
    <t>PLEINNGSFC0N</t>
  </si>
  <si>
    <t>PLEINNGSFCCN</t>
  </si>
  <si>
    <t>PLEINBIOFC0N</t>
  </si>
  <si>
    <t>PLEINELCFC0N</t>
  </si>
  <si>
    <t>PLEINELCMC0N</t>
  </si>
  <si>
    <t>PLEINHY2FC0N</t>
  </si>
  <si>
    <t>PLEINSTH000N</t>
  </si>
  <si>
    <t>PLEINHEA000N</t>
  </si>
  <si>
    <t>PLEINOILFC0F</t>
  </si>
  <si>
    <t>PLEINCOAFC0F</t>
  </si>
  <si>
    <t>PLEINCOAFCCF</t>
  </si>
  <si>
    <t>PLEINNGSFC0F</t>
  </si>
  <si>
    <t>PLEINNGSFCCF</t>
  </si>
  <si>
    <t>PLEINBIOFC0F</t>
  </si>
  <si>
    <t>PLEINELCFC0F</t>
  </si>
  <si>
    <t>PLEINELCMC0F</t>
  </si>
  <si>
    <t>PLEINHY2FC0F</t>
  </si>
  <si>
    <t>PLEINSTH000F</t>
  </si>
  <si>
    <t>PLEINHEA000F</t>
  </si>
  <si>
    <t>PLEINOILFC0O</t>
  </si>
  <si>
    <t>PLEINCOAFC0O</t>
  </si>
  <si>
    <t>PLEINCOAFCCO</t>
  </si>
  <si>
    <t>PLEINNGSFC0O</t>
  </si>
  <si>
    <t>PLEINNGSFCCO</t>
  </si>
  <si>
    <t>PLEINBIOFC0O</t>
  </si>
  <si>
    <t>PLEINELCFC0O</t>
  </si>
  <si>
    <t>PLEINELCMC0O</t>
  </si>
  <si>
    <t>PLEINHY2FC0O</t>
  </si>
  <si>
    <t>PLEINSTH000O</t>
  </si>
  <si>
    <t>PLEINHEA000O</t>
  </si>
  <si>
    <t>PTEINOILFC0P</t>
  </si>
  <si>
    <t>PTEINCOAFC0P</t>
  </si>
  <si>
    <t>PTEINCOAFCCP</t>
  </si>
  <si>
    <t>PTEINNGSFC0P</t>
  </si>
  <si>
    <t>PTEINNGSFCCP</t>
  </si>
  <si>
    <t>PTEINBIOFC0P</t>
  </si>
  <si>
    <t>PTEINELCFC0P</t>
  </si>
  <si>
    <t>PTEINELCMC0P</t>
  </si>
  <si>
    <t>PTEINHY2FC0P</t>
  </si>
  <si>
    <t>PTEINSTH000P</t>
  </si>
  <si>
    <t>PTEINHEA000P</t>
  </si>
  <si>
    <t>PTEINOILFC0C</t>
  </si>
  <si>
    <t>PTEINCOAFC0C</t>
  </si>
  <si>
    <t>PTEINCOAFCCC</t>
  </si>
  <si>
    <t>PTEINNGSFC0C</t>
  </si>
  <si>
    <t>PTEINNGSFCCC</t>
  </si>
  <si>
    <t>PTEINBIOFC0C</t>
  </si>
  <si>
    <t>PTEINELCFC0C</t>
  </si>
  <si>
    <t>PTEINELCMC0C</t>
  </si>
  <si>
    <t>PTEINHY2FC0C</t>
  </si>
  <si>
    <t>PTEINSTH000C</t>
  </si>
  <si>
    <t>PTEINHEA000C</t>
  </si>
  <si>
    <t>PTEINOILFC0N</t>
  </si>
  <si>
    <t>PTEINCOAFC0N</t>
  </si>
  <si>
    <t>PTEINCOAFCCN</t>
  </si>
  <si>
    <t>PTEINNGSFC0N</t>
  </si>
  <si>
    <t>PTEINNGSFCCN</t>
  </si>
  <si>
    <t>PTEINBIOFC0N</t>
  </si>
  <si>
    <t>PTEINELCFC0N</t>
  </si>
  <si>
    <t>PTEINELCMC0N</t>
  </si>
  <si>
    <t>PTEINHY2FC0N</t>
  </si>
  <si>
    <t>PTEINSTH000N</t>
  </si>
  <si>
    <t>PTEINHEA000N</t>
  </si>
  <si>
    <t>PTEINOILFC0F</t>
  </si>
  <si>
    <t>PTEINCOAFC0F</t>
  </si>
  <si>
    <t>PTEINCOAFCCF</t>
  </si>
  <si>
    <t>PTEINNGSFC0F</t>
  </si>
  <si>
    <t>PTEINNGSFCCF</t>
  </si>
  <si>
    <t>PTEINBIOFC0F</t>
  </si>
  <si>
    <t>PTEINELCFC0F</t>
  </si>
  <si>
    <t>PTEINELCMC0F</t>
  </si>
  <si>
    <t>PTEINHY2FC0F</t>
  </si>
  <si>
    <t>PTEINSTH000F</t>
  </si>
  <si>
    <t>PTEINHEA000F</t>
  </si>
  <si>
    <t>PTEINOILFC0O</t>
  </si>
  <si>
    <t>PTEINCOAFC0O</t>
  </si>
  <si>
    <t>PTEINCOAFCCO</t>
  </si>
  <si>
    <t>PTEINNGSFC0O</t>
  </si>
  <si>
    <t>PTEINNGSFCCO</t>
  </si>
  <si>
    <t>PTEINBIOFC0O</t>
  </si>
  <si>
    <t>PTEINELCFC0O</t>
  </si>
  <si>
    <t>PTEINELCMC0O</t>
  </si>
  <si>
    <t>PTEINHY2FC0O</t>
  </si>
  <si>
    <t>PTEINSTH000O</t>
  </si>
  <si>
    <t>PTEINHEA000O</t>
  </si>
  <si>
    <t>ROEINOILFC0I</t>
  </si>
  <si>
    <t>ROEINCOAFC0I</t>
  </si>
  <si>
    <t>ROEINCOAFCCI</t>
  </si>
  <si>
    <t>ROEINNGSFC0I</t>
  </si>
  <si>
    <t>ROEINNGSFCCI</t>
  </si>
  <si>
    <t>ROEINBIOFC0I</t>
  </si>
  <si>
    <t>ROEINELCFC0I</t>
  </si>
  <si>
    <t>ROEINELCMC0I</t>
  </si>
  <si>
    <t>ROEINHY2FC0I</t>
  </si>
  <si>
    <t>ROEINSTH000I</t>
  </si>
  <si>
    <t>ROEINHEA000I</t>
  </si>
  <si>
    <t>ROEINOILFC0C</t>
  </si>
  <si>
    <t>ROEINCOAFC0C</t>
  </si>
  <si>
    <t>ROEINCOAFCCC</t>
  </si>
  <si>
    <t>ROEINNGSFC0C</t>
  </si>
  <si>
    <t>ROEINNGSFCCC</t>
  </si>
  <si>
    <t>ROEINBIOFC0C</t>
  </si>
  <si>
    <t>ROEINELCFC0C</t>
  </si>
  <si>
    <t>ROEINELCMC0C</t>
  </si>
  <si>
    <t>ROEINHY2FC0C</t>
  </si>
  <si>
    <t>ROEINSTH000C</t>
  </si>
  <si>
    <t>ROEINHEA000C</t>
  </si>
  <si>
    <t>ROEINOILFC0N</t>
  </si>
  <si>
    <t>ROEINCOAFC0N</t>
  </si>
  <si>
    <t>ROEINCOAFCCN</t>
  </si>
  <si>
    <t>ROEINNGSFC0N</t>
  </si>
  <si>
    <t>ROEINNGSFCCN</t>
  </si>
  <si>
    <t>ROEINBIOFC0N</t>
  </si>
  <si>
    <t>ROEINELCFC0N</t>
  </si>
  <si>
    <t>ROEINELCMC0N</t>
  </si>
  <si>
    <t>ROEINHY2FC0N</t>
  </si>
  <si>
    <t>ROEINSTH000N</t>
  </si>
  <si>
    <t>ROEINHEA000N</t>
  </si>
  <si>
    <t>ROEINOILFC0M</t>
  </si>
  <si>
    <t>ROEINCOAFC0M</t>
  </si>
  <si>
    <t>ROEINCOAFCCM</t>
  </si>
  <si>
    <t>ROEINNGSFC0M</t>
  </si>
  <si>
    <t>ROEINNGSFCCM</t>
  </si>
  <si>
    <t>ROEINBIOFC0M</t>
  </si>
  <si>
    <t>ROEINELCFC0M</t>
  </si>
  <si>
    <t>ROEINELCMC0M</t>
  </si>
  <si>
    <t>ROEINHY2FC0M</t>
  </si>
  <si>
    <t>ROEINSTH000M</t>
  </si>
  <si>
    <t>ROEINHEA000M</t>
  </si>
  <si>
    <t>ROEINOILFC0O</t>
  </si>
  <si>
    <t>ROEINCOAFC0O</t>
  </si>
  <si>
    <t>ROEINCOAFCCO</t>
  </si>
  <si>
    <t>ROEINNGSFC0O</t>
  </si>
  <si>
    <t>ROEINNGSFCCO</t>
  </si>
  <si>
    <t>ROEINBIOFC0O</t>
  </si>
  <si>
    <t>ROEINELCFC0O</t>
  </si>
  <si>
    <t>ROEINELCMC0O</t>
  </si>
  <si>
    <t>ROEINHY2FC0O</t>
  </si>
  <si>
    <t>ROEINSTH000O</t>
  </si>
  <si>
    <t>ROEINHEA000O</t>
  </si>
  <si>
    <t>SEEINOILFC0P</t>
  </si>
  <si>
    <t>SEEINCOAFC0P</t>
  </si>
  <si>
    <t>SEEINCOAFCCP</t>
  </si>
  <si>
    <t>SEEINNGSFC0P</t>
  </si>
  <si>
    <t>SEEINNGSFCCP</t>
  </si>
  <si>
    <t>SEEINBIOFC0P</t>
  </si>
  <si>
    <t>SEEINELCFC0P</t>
  </si>
  <si>
    <t>SEEINELCMC0P</t>
  </si>
  <si>
    <t>SEEINHY2FC0P</t>
  </si>
  <si>
    <t>SEEINSTH000P</t>
  </si>
  <si>
    <t>SEEINHEA000P</t>
  </si>
  <si>
    <t>SEEINOILFC0C</t>
  </si>
  <si>
    <t>SEEINCOAFC0C</t>
  </si>
  <si>
    <t>SEEINCOAFCCC</t>
  </si>
  <si>
    <t>SEEINNGSFC0C</t>
  </si>
  <si>
    <t>SEEINNGSFCCC</t>
  </si>
  <si>
    <t>SEEINBIOFC0C</t>
  </si>
  <si>
    <t>SEEINELCFC0C</t>
  </si>
  <si>
    <t>SEEINELCMC0C</t>
  </si>
  <si>
    <t>SEEINHY2FC0C</t>
  </si>
  <si>
    <t>SEEINSTH000C</t>
  </si>
  <si>
    <t>SEEINHEA000C</t>
  </si>
  <si>
    <t>SEEINOILFC0I</t>
  </si>
  <si>
    <t>SEEINCOAFC0I</t>
  </si>
  <si>
    <t>SEEINCOAFCCI</t>
  </si>
  <si>
    <t>SEEINNGSFC0I</t>
  </si>
  <si>
    <t>SEEINNGSFCCI</t>
  </si>
  <si>
    <t>SEEINBIOFC0I</t>
  </si>
  <si>
    <t>SEEINELCFC0I</t>
  </si>
  <si>
    <t>SEEINELCMC0I</t>
  </si>
  <si>
    <t>SEEINHY2FC0I</t>
  </si>
  <si>
    <t>SEEINSTH000I</t>
  </si>
  <si>
    <t>SEEINHEA000I</t>
  </si>
  <si>
    <t>SEEINOILFC0F</t>
  </si>
  <si>
    <t>SEEINCOAFC0F</t>
  </si>
  <si>
    <t>SEEINCOAFCCF</t>
  </si>
  <si>
    <t>SEEINNGSFC0F</t>
  </si>
  <si>
    <t>SEEINNGSFCCF</t>
  </si>
  <si>
    <t>SEEINBIOFC0F</t>
  </si>
  <si>
    <t>SEEINELCFC0F</t>
  </si>
  <si>
    <t>SEEINELCMC0F</t>
  </si>
  <si>
    <t>SEEINHY2FC0F</t>
  </si>
  <si>
    <t>SEEINSTH000F</t>
  </si>
  <si>
    <t>SEEINHEA000F</t>
  </si>
  <si>
    <t>SEEINOILFC0O</t>
  </si>
  <si>
    <t>SEEINCOAFC0O</t>
  </si>
  <si>
    <t>SEEINCOAFCCO</t>
  </si>
  <si>
    <t>SEEINNGSFC0O</t>
  </si>
  <si>
    <t>SEEINNGSFCCO</t>
  </si>
  <si>
    <t>SEEINBIOFC0O</t>
  </si>
  <si>
    <t>SEEINELCFC0O</t>
  </si>
  <si>
    <t>SEEINELCMC0O</t>
  </si>
  <si>
    <t>SEEINHY2FC0O</t>
  </si>
  <si>
    <t>SEEINSTH000O</t>
  </si>
  <si>
    <t>SEEINHEA000O</t>
  </si>
  <si>
    <t>SIEINOILFC0A</t>
  </si>
  <si>
    <t>SIEINCOAFC0A</t>
  </si>
  <si>
    <t>SIEINCOAFCCA</t>
  </si>
  <si>
    <t>SIEINNGSFC0A</t>
  </si>
  <si>
    <t>SIEINNGSFCCA</t>
  </si>
  <si>
    <t>SIEINBIOFC0A</t>
  </si>
  <si>
    <t>SIEINELCFC0A</t>
  </si>
  <si>
    <t>SIEINELCMC0A</t>
  </si>
  <si>
    <t>SIEINHY2FC0A</t>
  </si>
  <si>
    <t>SIEINSTH000A</t>
  </si>
  <si>
    <t>SIEINHEA000A</t>
  </si>
  <si>
    <t>SIEINOILFC0C</t>
  </si>
  <si>
    <t>SIEINCOAFC0C</t>
  </si>
  <si>
    <t>SIEINCOAFCCC</t>
  </si>
  <si>
    <t>SIEINNGSFC0C</t>
  </si>
  <si>
    <t>SIEINNGSFCCC</t>
  </si>
  <si>
    <t>SIEINBIOFC0C</t>
  </si>
  <si>
    <t>SIEINELCFC0C</t>
  </si>
  <si>
    <t>SIEINELCMC0C</t>
  </si>
  <si>
    <t>SIEINHY2FC0C</t>
  </si>
  <si>
    <t>SIEINSTH000C</t>
  </si>
  <si>
    <t>SIEINHEA000C</t>
  </si>
  <si>
    <t>SIEINOILFC0N</t>
  </si>
  <si>
    <t>SIEINCOAFC0N</t>
  </si>
  <si>
    <t>SIEINCOAFCCN</t>
  </si>
  <si>
    <t>SIEINNGSFC0N</t>
  </si>
  <si>
    <t>SIEINNGSFCCN</t>
  </si>
  <si>
    <t>SIEINBIOFC0N</t>
  </si>
  <si>
    <t>SIEINELCFC0N</t>
  </si>
  <si>
    <t>SIEINELCMC0N</t>
  </si>
  <si>
    <t>SIEINHY2FC0N</t>
  </si>
  <si>
    <t>SIEINSTH000N</t>
  </si>
  <si>
    <t>SIEINHEA000N</t>
  </si>
  <si>
    <t>SIEINOILFC0I</t>
  </si>
  <si>
    <t>SIEINCOAFC0I</t>
  </si>
  <si>
    <t>SIEINCOAFCCI</t>
  </si>
  <si>
    <t>SIEINNGSFC0I</t>
  </si>
  <si>
    <t>SIEINNGSFCCI</t>
  </si>
  <si>
    <t>SIEINBIOFC0I</t>
  </si>
  <si>
    <t>SIEINELCFC0I</t>
  </si>
  <si>
    <t>SIEINELCMC0I</t>
  </si>
  <si>
    <t>SIEINHY2FC0I</t>
  </si>
  <si>
    <t>SIEINSTH000I</t>
  </si>
  <si>
    <t>SIEINHEA000I</t>
  </si>
  <si>
    <t>SIEINOILFC0O</t>
  </si>
  <si>
    <t>SIEINCOAFC0O</t>
  </si>
  <si>
    <t>SIEINCOAFCCO</t>
  </si>
  <si>
    <t>SIEINNGSFC0O</t>
  </si>
  <si>
    <t>SIEINNGSFCCO</t>
  </si>
  <si>
    <t>SIEINBIOFC0O</t>
  </si>
  <si>
    <t>SIEINELCFC0O</t>
  </si>
  <si>
    <t>SIEINELCMC0O</t>
  </si>
  <si>
    <t>SIEINHY2FC0O</t>
  </si>
  <si>
    <t>SIEINSTH000O</t>
  </si>
  <si>
    <t>SIEINHEA000O</t>
  </si>
  <si>
    <t>SKEINOILFC0I</t>
  </si>
  <si>
    <t>SKEINCOAFC0I</t>
  </si>
  <si>
    <t>SKEINCOAFCCI</t>
  </si>
  <si>
    <t>SKEINNGSFC0I</t>
  </si>
  <si>
    <t>SKEINNGSFCCI</t>
  </si>
  <si>
    <t>SKEINBIOFC0I</t>
  </si>
  <si>
    <t>SKEINELCFC0I</t>
  </si>
  <si>
    <t>SKEINELCMC0I</t>
  </si>
  <si>
    <t>SKEINHY2FC0I</t>
  </si>
  <si>
    <t>SKEINSTH000I</t>
  </si>
  <si>
    <t>SKEINHEA000I</t>
  </si>
  <si>
    <t>SKEINOILFC0C</t>
  </si>
  <si>
    <t>SKEINCOAFC0C</t>
  </si>
  <si>
    <t>SKEINCOAFCCC</t>
  </si>
  <si>
    <t>SKEINNGSFC0C</t>
  </si>
  <si>
    <t>SKEINNGSFCCC</t>
  </si>
  <si>
    <t>SKEINBIOFC0C</t>
  </si>
  <si>
    <t>SKEINELCFC0C</t>
  </si>
  <si>
    <t>SKEINELCMC0C</t>
  </si>
  <si>
    <t>SKEINHY2FC0C</t>
  </si>
  <si>
    <t>SKEINSTH000C</t>
  </si>
  <si>
    <t>SKEINHEA000C</t>
  </si>
  <si>
    <t>SKEINOILFC0N</t>
  </si>
  <si>
    <t>SKEINCOAFC0N</t>
  </si>
  <si>
    <t>SKEINCOAFCCN</t>
  </si>
  <si>
    <t>SKEINNGSFC0N</t>
  </si>
  <si>
    <t>SKEINNGSFCCN</t>
  </si>
  <si>
    <t>SKEINBIOFC0N</t>
  </si>
  <si>
    <t>SKEINELCFC0N</t>
  </si>
  <si>
    <t>SKEINELCMC0N</t>
  </si>
  <si>
    <t>SKEINHY2FC0N</t>
  </si>
  <si>
    <t>SKEINSTH000N</t>
  </si>
  <si>
    <t>SKEINHEA000N</t>
  </si>
  <si>
    <t>SKEINOILFC0P</t>
  </si>
  <si>
    <t>SKEINCOAFC0P</t>
  </si>
  <si>
    <t>SKEINCOAFCCP</t>
  </si>
  <si>
    <t>SKEINNGSFC0P</t>
  </si>
  <si>
    <t>SKEINNGSFCCP</t>
  </si>
  <si>
    <t>SKEINBIOFC0P</t>
  </si>
  <si>
    <t>SKEINELCFC0P</t>
  </si>
  <si>
    <t>SKEINELCMC0P</t>
  </si>
  <si>
    <t>SKEINHY2FC0P</t>
  </si>
  <si>
    <t>SKEINSTH000P</t>
  </si>
  <si>
    <t>SKEINHEA000P</t>
  </si>
  <si>
    <t>SKEINOILFC0O</t>
  </si>
  <si>
    <t>SKEINCOAFC0O</t>
  </si>
  <si>
    <t>SKEINCOAFCCO</t>
  </si>
  <si>
    <t>SKEINNGSFC0O</t>
  </si>
  <si>
    <t>SKEINNGSFCCO</t>
  </si>
  <si>
    <t>SKEINBIOFC0O</t>
  </si>
  <si>
    <t>SKEINELCFC0O</t>
  </si>
  <si>
    <t>SKEINELCMC0O</t>
  </si>
  <si>
    <t>SKEINHY2FC0O</t>
  </si>
  <si>
    <t>SKEINSTH000O</t>
  </si>
  <si>
    <t>SKEINHEA000O</t>
  </si>
  <si>
    <t>Country</t>
  </si>
  <si>
    <t>Sector</t>
  </si>
  <si>
    <t>Useful energy stats in PJ after aggregation of sectors (based on JRC-IDEES 2021)</t>
  </si>
  <si>
    <t>AT</t>
  </si>
  <si>
    <t>I</t>
  </si>
  <si>
    <t>C</t>
  </si>
  <si>
    <t>N</t>
  </si>
  <si>
    <t>P</t>
  </si>
  <si>
    <t>O</t>
  </si>
  <si>
    <t>BE</t>
  </si>
  <si>
    <t>F</t>
  </si>
  <si>
    <t>BG</t>
  </si>
  <si>
    <t>M</t>
  </si>
  <si>
    <t>CY</t>
  </si>
  <si>
    <t>CZ</t>
  </si>
  <si>
    <t>DE</t>
  </si>
  <si>
    <t>DK</t>
  </si>
  <si>
    <t>A</t>
  </si>
  <si>
    <t>EE</t>
  </si>
  <si>
    <t>W</t>
  </si>
  <si>
    <t>GR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</si>
  <si>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</si>
  <si>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</si>
  <si>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</si>
  <si>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</si>
  <si>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</si>
  <si>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</si>
  <si>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</si>
  <si>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</si>
  <si>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</si>
  <si>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</si>
  <si>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</si>
  <si>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</si>
  <si>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</si>
  <si>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</si>
  <si>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</si>
  <si>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</si>
  <si>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</si>
  <si>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</si>
  <si>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Row Labels</t>
  </si>
  <si>
    <t>Grand Total</t>
  </si>
  <si>
    <t>Sum of 2018</t>
  </si>
  <si>
    <t>Sum of 2019</t>
  </si>
  <si>
    <t>Sum of 2020</t>
  </si>
  <si>
    <t>Sum of 2021</t>
  </si>
  <si>
    <t>Fuel</t>
  </si>
  <si>
    <t>EU</t>
  </si>
  <si>
    <t>Industry</t>
  </si>
  <si>
    <t xml:space="preserve"> Other industrial sectors</t>
  </si>
  <si>
    <t>ktoe</t>
  </si>
  <si>
    <t>Final energy demand by sector</t>
  </si>
  <si>
    <t>Source: EU Reference Scenario 2020</t>
  </si>
  <si>
    <t xml:space="preserve"> Energy intensive industries</t>
  </si>
  <si>
    <t>Note: Energy intensive industries include Iron and steel, Non ferrous metals, Chemicals, Non-metallic minerals and Pulp and paper</t>
  </si>
  <si>
    <t>Year to year final energy demand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</si>
</sst>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1" xfId="0" applyFont="1" applyBorder="1" applyAlignment="1">
      <alignment horizontal="center" vertical="top"/>
    </xf>
    <xf numFmtId="164" fontId="0" fillId="2" borderId="0" xfId="0" applyNumberFormat="1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3" fillId="2" borderId="0" xfId="0" applyFont="1" applyFill="1"/>
    <xf numFmtId="0" fontId="0" fillId="2" borderId="0" xfId="0" applyFill="1"/>
    <xf numFmtId="0" fontId="2" fillId="0" borderId="0" xfId="0" applyFont="1"/>
    <xf numFmtId="165" fontId="2" fillId="0" borderId="0" xfId="1" applyNumberFormat="1" applyFont="1"/>
    <xf numFmtId="164" fontId="2" fillId="0" borderId="0" xfId="0" applyNumberFormat="1" applyFont="1"/>
    <xf numFmtId="164" fontId="0" fillId="3" borderId="0" xfId="0" applyNumberFormat="1" applyFill="1"/>
    <xf numFmtId="164" fontId="3" fillId="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antinos Taliotis" refreshedDate="45793.667424074076" createdVersion="8" refreshedVersion="8" minRefreshableVersion="3" recordCount="1260" xr:uid="{23C1D8F4-4074-4728-AE38-C2CB434FA33D}">
  <cacheSource type="worksheet">
    <worksheetSource ref="A3:G1263" sheet="Useful energy - thermal"/>
  </cacheSource>
  <cacheFields count="7">
    <cacheField name="Country" numFmtId="0">
      <sharedItems count="27">
        <s v="AT"/>
        <s v="BE"/>
        <s v="BG"/>
        <s v="CY"/>
        <s v="CZ"/>
        <s v="DE"/>
        <s v="DK"/>
        <s v="EE"/>
        <s v="GR"/>
        <s v="ES"/>
        <s v="FI"/>
        <s v="FR"/>
        <s v="HR"/>
        <s v="HU"/>
        <s v="IE"/>
        <s v="IT"/>
        <s v="LT"/>
        <s v="LU"/>
        <s v="LV"/>
        <s v="MT"/>
        <s v="NL"/>
        <s v="PL"/>
        <s v="PT"/>
        <s v="RO"/>
        <s v="SE"/>
        <s v="SI"/>
        <s v="SK"/>
      </sharedItems>
    </cacheField>
    <cacheField name="Sector" numFmtId="0">
      <sharedItems count="9">
        <s v="I"/>
        <s v="C"/>
        <s v="N"/>
        <s v="P"/>
        <s v="O"/>
        <s v="F"/>
        <s v="M"/>
        <s v="A"/>
        <s v="W"/>
      </sharedItems>
    </cacheField>
    <cacheField name="TECHNOLOGY" numFmtId="0">
      <sharedItems/>
    </cacheField>
    <cacheField name="2018" numFmtId="164">
      <sharedItems containsSemiMixedTypes="0" containsString="0" containsNumber="1" minValue="0" maxValue="152.19239999999999"/>
    </cacheField>
    <cacheField name="2019" numFmtId="164">
      <sharedItems containsSemiMixedTypes="0" containsString="0" containsNumber="1" minValue="0" maxValue="158.71629999999999"/>
    </cacheField>
    <cacheField name="2020" numFmtId="164">
      <sharedItems containsSemiMixedTypes="0" containsString="0" containsNumber="1" minValue="0" maxValue="152.50899999999999"/>
    </cacheField>
    <cacheField name="2021" numFmtId="164">
      <sharedItems containsSemiMixedTypes="0" containsString="0" containsNumber="1" minValue="0" maxValue="161.3822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">
  <r>
    <x v="0"/>
    <x v="0"/>
    <s v="ATEINOILFC0I"/>
    <n v="3.3000000000000002E-2"/>
    <n v="4.1000000000000002E-2"/>
    <n v="2.5399999999999999E-2"/>
    <n v="3.73E-2"/>
  </r>
  <r>
    <x v="0"/>
    <x v="0"/>
    <s v="ATEINCOAFC0I"/>
    <n v="2.8024"/>
    <n v="4.0937999999999999"/>
    <n v="4.2838000000000003"/>
    <n v="4.2633000000000001"/>
  </r>
  <r>
    <x v="0"/>
    <x v="0"/>
    <s v="ATEINCOAFCCI"/>
    <n v="0"/>
    <n v="0"/>
    <n v="0"/>
    <n v="0"/>
  </r>
  <r>
    <x v="0"/>
    <x v="0"/>
    <s v="ATEINNGSFC0I"/>
    <n v="11.999599999999999"/>
    <n v="12.026199999999999"/>
    <n v="11.429600000000001"/>
    <n v="11.5473"/>
  </r>
  <r>
    <x v="0"/>
    <x v="0"/>
    <s v="ATEINNGSFCCI"/>
    <n v="0"/>
    <n v="0"/>
    <n v="0"/>
    <n v="0"/>
  </r>
  <r>
    <x v="0"/>
    <x v="0"/>
    <s v="ATEINBIOFC0I"/>
    <n v="6.1000000000000004E-3"/>
    <n v="5.3E-3"/>
    <n v="6.0000000000000001E-3"/>
    <n v="6.7999999999999996E-3"/>
  </r>
  <r>
    <x v="0"/>
    <x v="0"/>
    <s v="ATEINELCFC0I"/>
    <n v="5.4489999999999998"/>
    <n v="5.5274000000000001"/>
    <n v="5.1101999999999999"/>
    <n v="5.5114000000000001"/>
  </r>
  <r>
    <x v="0"/>
    <x v="0"/>
    <s v="ATEINHY2FC0I"/>
    <n v="0"/>
    <n v="0"/>
    <n v="0"/>
    <n v="0"/>
  </r>
  <r>
    <x v="0"/>
    <x v="0"/>
    <s v="ATEINSTH000I"/>
    <n v="0"/>
    <n v="0"/>
    <n v="0"/>
    <n v="0"/>
  </r>
  <r>
    <x v="0"/>
    <x v="0"/>
    <s v="ATEINHEA000I"/>
    <n v="1.9663999999999999"/>
    <n v="1.9638"/>
    <n v="1.9006000000000001"/>
    <n v="2.1878000000000002"/>
  </r>
  <r>
    <x v="0"/>
    <x v="1"/>
    <s v="ATEINOILFC0C"/>
    <n v="0.2681"/>
    <n v="0.29709999999999998"/>
    <n v="0.3841"/>
    <n v="0.2384"/>
  </r>
  <r>
    <x v="0"/>
    <x v="1"/>
    <s v="ATEINCOAFC0C"/>
    <n v="0.4612"/>
    <n v="6.6699999999999995E-2"/>
    <n v="0.1681"/>
    <n v="0.17710000000000001"/>
  </r>
  <r>
    <x v="0"/>
    <x v="1"/>
    <s v="ATEINCOAFCCC"/>
    <n v="0"/>
    <n v="0"/>
    <n v="0"/>
    <n v="0"/>
  </r>
  <r>
    <x v="0"/>
    <x v="1"/>
    <s v="ATEINNGSFC0C"/>
    <n v="11.0022"/>
    <n v="11.9808"/>
    <n v="11.5085"/>
    <n v="12.971500000000001"/>
  </r>
  <r>
    <x v="0"/>
    <x v="1"/>
    <s v="ATEINNGSFCCC"/>
    <n v="0"/>
    <n v="0"/>
    <n v="0"/>
    <n v="0"/>
  </r>
  <r>
    <x v="0"/>
    <x v="1"/>
    <s v="ATEINBIOFC0C"/>
    <n v="2.6394000000000002"/>
    <n v="2.5807000000000002"/>
    <n v="2.6229"/>
    <n v="2.7244000000000002"/>
  </r>
  <r>
    <x v="0"/>
    <x v="1"/>
    <s v="ATEINELCFC0C"/>
    <n v="1.1031"/>
    <n v="1.2063999999999999"/>
    <n v="1.0792999999999999"/>
    <n v="1.1392"/>
  </r>
  <r>
    <x v="0"/>
    <x v="1"/>
    <s v="ATEINHY2FC0C"/>
    <n v="0"/>
    <n v="0"/>
    <n v="0"/>
    <n v="0"/>
  </r>
  <r>
    <x v="0"/>
    <x v="1"/>
    <s v="ATEINSTH000C"/>
    <n v="0"/>
    <n v="0"/>
    <n v="0"/>
    <n v="0"/>
  </r>
  <r>
    <x v="0"/>
    <x v="1"/>
    <s v="ATEINHEA000C"/>
    <n v="1.9238999999999999"/>
    <n v="1.9674"/>
    <n v="1.7402"/>
    <n v="1.7798"/>
  </r>
  <r>
    <x v="0"/>
    <x v="2"/>
    <s v="ATEINOILFC0N"/>
    <n v="1.0199"/>
    <n v="1.1215999999999999"/>
    <n v="0.84809999999999997"/>
    <n v="1.1231"/>
  </r>
  <r>
    <x v="0"/>
    <x v="2"/>
    <s v="ATEINCOAFC0N"/>
    <n v="1.2553000000000001"/>
    <n v="1.21"/>
    <n v="1.958"/>
    <n v="1.3994"/>
  </r>
  <r>
    <x v="0"/>
    <x v="2"/>
    <s v="ATEINCOAFCCN"/>
    <n v="0"/>
    <n v="0"/>
    <n v="0"/>
    <n v="0"/>
  </r>
  <r>
    <x v="0"/>
    <x v="2"/>
    <s v="ATEINNGSFC0N"/>
    <n v="8.0513999999999992"/>
    <n v="8.0454000000000008"/>
    <n v="8.9032999999999998"/>
    <n v="10.2418"/>
  </r>
  <r>
    <x v="0"/>
    <x v="2"/>
    <s v="ATEINNGSFCCN"/>
    <n v="0"/>
    <n v="0"/>
    <n v="0"/>
    <n v="0"/>
  </r>
  <r>
    <x v="0"/>
    <x v="2"/>
    <s v="ATEINBIOFC0N"/>
    <n v="5.6265999999999998"/>
    <n v="5.3719999999999999"/>
    <n v="5.4257999999999997"/>
    <n v="5.5567000000000002"/>
  </r>
  <r>
    <x v="0"/>
    <x v="2"/>
    <s v="ATEINELCFC0N"/>
    <n v="1.9942"/>
    <n v="2.1985000000000001"/>
    <n v="2.1932"/>
    <n v="1.9599"/>
  </r>
  <r>
    <x v="0"/>
    <x v="2"/>
    <s v="ATEINHY2FC0N"/>
    <n v="0"/>
    <n v="0"/>
    <n v="0"/>
    <n v="0"/>
  </r>
  <r>
    <x v="0"/>
    <x v="2"/>
    <s v="ATEINSTH000N"/>
    <n v="0"/>
    <n v="0"/>
    <n v="0"/>
    <n v="0"/>
  </r>
  <r>
    <x v="0"/>
    <x v="2"/>
    <s v="ATEINHEA000N"/>
    <n v="3.4000000000000002E-2"/>
    <n v="3.7499999999999999E-2"/>
    <n v="3.4799999999999998E-2"/>
    <n v="4.4499999999999998E-2"/>
  </r>
  <r>
    <x v="0"/>
    <x v="3"/>
    <s v="ATEINOILFC0P"/>
    <n v="0.30809999999999998"/>
    <n v="0.33090000000000003"/>
    <n v="0.2833"/>
    <n v="0.25309999999999999"/>
  </r>
  <r>
    <x v="0"/>
    <x v="3"/>
    <s v="ATEINCOAFC0P"/>
    <n v="2.6738"/>
    <n v="1.7696000000000001"/>
    <n v="1.6662999999999999"/>
    <n v="1.8484"/>
  </r>
  <r>
    <x v="0"/>
    <x v="3"/>
    <s v="ATEINCOAFCCP"/>
    <n v="0"/>
    <n v="0"/>
    <n v="0"/>
    <n v="0"/>
  </r>
  <r>
    <x v="0"/>
    <x v="3"/>
    <s v="ATEINNGSFC0P"/>
    <n v="18.201799999999999"/>
    <n v="20.271799999999999"/>
    <n v="18.490500000000001"/>
    <n v="19.538"/>
  </r>
  <r>
    <x v="0"/>
    <x v="3"/>
    <s v="ATEINNGSFCCP"/>
    <n v="0"/>
    <n v="0"/>
    <n v="0"/>
    <n v="0"/>
  </r>
  <r>
    <x v="0"/>
    <x v="3"/>
    <s v="ATEINBIOFC0P"/>
    <n v="20.9099"/>
    <n v="22.038"/>
    <n v="20.683"/>
    <n v="22.343299999999999"/>
  </r>
  <r>
    <x v="0"/>
    <x v="3"/>
    <s v="ATEINELCFC0P"/>
    <n v="7.0576999999999996"/>
    <n v="7.0495000000000001"/>
    <n v="6.6089000000000002"/>
    <n v="6.1067999999999998"/>
  </r>
  <r>
    <x v="0"/>
    <x v="3"/>
    <s v="ATEINHY2FC0P"/>
    <n v="0"/>
    <n v="0"/>
    <n v="0"/>
    <n v="0"/>
  </r>
  <r>
    <x v="0"/>
    <x v="3"/>
    <s v="ATEINSTH000P"/>
    <n v="0"/>
    <n v="0"/>
    <n v="0"/>
    <n v="0"/>
  </r>
  <r>
    <x v="0"/>
    <x v="3"/>
    <s v="ATEINHEA000P"/>
    <n v="0.63349999999999995"/>
    <n v="0.63500000000000001"/>
    <n v="0.81359999999999999"/>
    <n v="0.63039999999999996"/>
  </r>
  <r>
    <x v="0"/>
    <x v="4"/>
    <s v="ATEINOILFC0O"/>
    <n v="4.0647000000000002"/>
    <n v="4.0960000000000001"/>
    <n v="3.5375999999999999"/>
    <n v="3.7723"/>
  </r>
  <r>
    <x v="0"/>
    <x v="4"/>
    <s v="ATEINCOAFC0O"/>
    <n v="6.9099999999999995E-2"/>
    <n v="9.2600000000000002E-2"/>
    <n v="9.2700000000000005E-2"/>
    <n v="8.1500000000000003E-2"/>
  </r>
  <r>
    <x v="0"/>
    <x v="4"/>
    <s v="ATEINCOAFCCO"/>
    <n v="0"/>
    <n v="0"/>
    <n v="0"/>
    <n v="0"/>
  </r>
  <r>
    <x v="0"/>
    <x v="4"/>
    <s v="ATEINNGSFC0O"/>
    <n v="17.0197"/>
    <n v="16.434000000000001"/>
    <n v="16.184999999999999"/>
    <n v="16.751799999999999"/>
  </r>
  <r>
    <x v="0"/>
    <x v="4"/>
    <s v="ATEINNGSFCCO"/>
    <n v="0"/>
    <n v="0"/>
    <n v="0"/>
    <n v="0"/>
  </r>
  <r>
    <x v="0"/>
    <x v="4"/>
    <s v="ATEINBIOFC0O"/>
    <n v="5.6022999999999996"/>
    <n v="5.0903"/>
    <n v="5.2465000000000002"/>
    <n v="5.7988999999999997"/>
  </r>
  <r>
    <x v="0"/>
    <x v="4"/>
    <s v="ATEINELCFC0O"/>
    <n v="10.2281"/>
    <n v="9.7197999999999993"/>
    <n v="8.9346999999999994"/>
    <n v="9.8634000000000004"/>
  </r>
  <r>
    <x v="0"/>
    <x v="4"/>
    <s v="ATEINHY2FC0O"/>
    <n v="0"/>
    <n v="0"/>
    <n v="0"/>
    <n v="0"/>
  </r>
  <r>
    <x v="0"/>
    <x v="4"/>
    <s v="ATEINSTH000O"/>
    <n v="0"/>
    <n v="0"/>
    <n v="0"/>
    <n v="0"/>
  </r>
  <r>
    <x v="0"/>
    <x v="4"/>
    <s v="ATEINHEA000O"/>
    <n v="3.8683999999999998"/>
    <n v="3.4457"/>
    <n v="3.3026"/>
    <n v="3.6168999999999998"/>
  </r>
  <r>
    <x v="1"/>
    <x v="0"/>
    <s v="BEEINOILFC0I"/>
    <n v="0.27479999999999999"/>
    <n v="0.28060000000000002"/>
    <n v="0.26369999999999999"/>
    <n v="0.2591"/>
  </r>
  <r>
    <x v="1"/>
    <x v="0"/>
    <s v="BEEINCOAFC0I"/>
    <n v="0.3246"/>
    <n v="0.38340000000000002"/>
    <n v="0.32869999999999999"/>
    <n v="0.40670000000000001"/>
  </r>
  <r>
    <x v="1"/>
    <x v="0"/>
    <s v="BEEINCOAFCCI"/>
    <n v="0"/>
    <n v="0"/>
    <n v="0"/>
    <n v="0"/>
  </r>
  <r>
    <x v="1"/>
    <x v="0"/>
    <s v="BEEINNGSFC0I"/>
    <n v="15.307700000000001"/>
    <n v="14.7583"/>
    <n v="14.196400000000001"/>
    <n v="14.129200000000001"/>
  </r>
  <r>
    <x v="1"/>
    <x v="0"/>
    <s v="BEEINNGSFCCI"/>
    <n v="0"/>
    <n v="0"/>
    <n v="0"/>
    <n v="0"/>
  </r>
  <r>
    <x v="1"/>
    <x v="0"/>
    <s v="BEEINBIOFC0I"/>
    <n v="3.1800000000000002E-2"/>
    <n v="3.1899999999999998E-2"/>
    <n v="3.1899999999999998E-2"/>
    <n v="3.1899999999999998E-2"/>
  </r>
  <r>
    <x v="1"/>
    <x v="0"/>
    <s v="BEEINELCFC0I"/>
    <n v="9.0546000000000006"/>
    <n v="7.9980000000000002"/>
    <n v="8.2141000000000002"/>
    <n v="8.7420000000000009"/>
  </r>
  <r>
    <x v="1"/>
    <x v="0"/>
    <s v="BEEINHY2FC0I"/>
    <n v="0"/>
    <n v="0"/>
    <n v="0"/>
    <n v="0"/>
  </r>
  <r>
    <x v="1"/>
    <x v="0"/>
    <s v="BEEINSTH000I"/>
    <n v="0"/>
    <n v="0"/>
    <n v="0"/>
    <n v="0"/>
  </r>
  <r>
    <x v="1"/>
    <x v="0"/>
    <s v="BEEINHEA000I"/>
    <n v="5.8095999999999997"/>
    <n v="5.3627000000000002"/>
    <n v="4.9865000000000004"/>
    <n v="5.1822999999999997"/>
  </r>
  <r>
    <x v="1"/>
    <x v="1"/>
    <s v="BEEINOILFC0C"/>
    <n v="28.609000000000002"/>
    <n v="24.148"/>
    <n v="25.825900000000001"/>
    <n v="28.114100000000001"/>
  </r>
  <r>
    <x v="1"/>
    <x v="1"/>
    <s v="BEEINCOAFC0C"/>
    <n v="0.154"/>
    <n v="0.2419"/>
    <n v="0.18079999999999999"/>
    <n v="0.1767"/>
  </r>
  <r>
    <x v="1"/>
    <x v="1"/>
    <s v="BEEINCOAFCCC"/>
    <n v="0"/>
    <n v="0"/>
    <n v="0"/>
    <n v="0"/>
  </r>
  <r>
    <x v="1"/>
    <x v="1"/>
    <s v="BEEINNGSFC0C"/>
    <n v="31.144400000000001"/>
    <n v="30.459199999999999"/>
    <n v="30.440799999999999"/>
    <n v="33.3185"/>
  </r>
  <r>
    <x v="1"/>
    <x v="1"/>
    <s v="BEEINNGSFCCC"/>
    <n v="0"/>
    <n v="0"/>
    <n v="0"/>
    <n v="0"/>
  </r>
  <r>
    <x v="1"/>
    <x v="1"/>
    <s v="BEEINBIOFC0C"/>
    <n v="0.13139999999999999"/>
    <n v="9.1700000000000004E-2"/>
    <n v="8.6499999999999994E-2"/>
    <n v="7.9200000000000007E-2"/>
  </r>
  <r>
    <x v="1"/>
    <x v="1"/>
    <s v="BEEINELCFC0C"/>
    <n v="2.9613"/>
    <n v="3.2094999999999998"/>
    <n v="3.2339000000000002"/>
    <n v="3.0028000000000001"/>
  </r>
  <r>
    <x v="1"/>
    <x v="1"/>
    <s v="BEEINHY2FC0C"/>
    <n v="0"/>
    <n v="0"/>
    <n v="0"/>
    <n v="0"/>
  </r>
  <r>
    <x v="1"/>
    <x v="1"/>
    <s v="BEEINSTH000C"/>
    <n v="0"/>
    <n v="0"/>
    <n v="0"/>
    <n v="0"/>
  </r>
  <r>
    <x v="1"/>
    <x v="1"/>
    <s v="BEEINHEA000C"/>
    <n v="8.0225000000000009"/>
    <n v="8.8514999999999997"/>
    <n v="8.4085999999999999"/>
    <n v="8.4741"/>
  </r>
  <r>
    <x v="1"/>
    <x v="2"/>
    <s v="BEEINOILFC0N"/>
    <n v="1.6221000000000001"/>
    <n v="1.6554"/>
    <n v="2.2892999999999999"/>
    <n v="2.0914999999999999"/>
  </r>
  <r>
    <x v="1"/>
    <x v="2"/>
    <s v="BEEINCOAFC0N"/>
    <n v="6.9969999999999999"/>
    <n v="7.0698999999999996"/>
    <n v="5.8552"/>
    <n v="6.4989999999999997"/>
  </r>
  <r>
    <x v="1"/>
    <x v="2"/>
    <s v="BEEINCOAFCCN"/>
    <n v="0"/>
    <n v="0"/>
    <n v="0"/>
    <n v="0"/>
  </r>
  <r>
    <x v="1"/>
    <x v="2"/>
    <s v="BEEINNGSFC0N"/>
    <n v="11.049300000000001"/>
    <n v="11.102399999999999"/>
    <n v="10.734400000000001"/>
    <n v="10.9933"/>
  </r>
  <r>
    <x v="1"/>
    <x v="2"/>
    <s v="BEEINNGSFCCN"/>
    <n v="0"/>
    <n v="0"/>
    <n v="0"/>
    <n v="0"/>
  </r>
  <r>
    <x v="1"/>
    <x v="2"/>
    <s v="BEEINBIOFC0N"/>
    <n v="5.3372000000000002"/>
    <n v="5.5880000000000001"/>
    <n v="5.7503000000000002"/>
    <n v="5.8491999999999997"/>
  </r>
  <r>
    <x v="1"/>
    <x v="2"/>
    <s v="BEEINELCFC0N"/>
    <n v="1.655"/>
    <n v="1.6347"/>
    <n v="1.7058"/>
    <n v="1.8105"/>
  </r>
  <r>
    <x v="1"/>
    <x v="2"/>
    <s v="BEEINHY2FC0N"/>
    <n v="0"/>
    <n v="0"/>
    <n v="0"/>
    <n v="0"/>
  </r>
  <r>
    <x v="1"/>
    <x v="2"/>
    <s v="BEEINSTH000N"/>
    <n v="0"/>
    <n v="0"/>
    <n v="0"/>
    <n v="0"/>
  </r>
  <r>
    <x v="1"/>
    <x v="2"/>
    <s v="BEEINHEA000N"/>
    <n v="0.106"/>
    <n v="0.20369999999999999"/>
    <n v="0.24640000000000001"/>
    <n v="0.2344"/>
  </r>
  <r>
    <x v="1"/>
    <x v="5"/>
    <s v="BEEINOILFC0F"/>
    <n v="0.14019999999999999"/>
    <n v="0.1187"/>
    <n v="0.32350000000000001"/>
    <n v="0.30680000000000002"/>
  </r>
  <r>
    <x v="1"/>
    <x v="5"/>
    <s v="BEEINCOAFC0F"/>
    <n v="0.47149999999999997"/>
    <n v="0.52900000000000003"/>
    <n v="0.39340000000000003"/>
    <n v="0.26740000000000003"/>
  </r>
  <r>
    <x v="1"/>
    <x v="5"/>
    <s v="BEEINCOAFCCF"/>
    <n v="0"/>
    <n v="0"/>
    <n v="0"/>
    <n v="0"/>
  </r>
  <r>
    <x v="1"/>
    <x v="5"/>
    <s v="BEEINNGSFC0F"/>
    <n v="18.480799999999999"/>
    <n v="18.9147"/>
    <n v="18.7927"/>
    <n v="19.922799999999999"/>
  </r>
  <r>
    <x v="1"/>
    <x v="5"/>
    <s v="BEEINNGSFCCF"/>
    <n v="0"/>
    <n v="0"/>
    <n v="0"/>
    <n v="0"/>
  </r>
  <r>
    <x v="1"/>
    <x v="5"/>
    <s v="BEEINBIOFC0F"/>
    <n v="0.98250000000000004"/>
    <n v="0.97419999999999995"/>
    <n v="0.87450000000000006"/>
    <n v="1.0920000000000001"/>
  </r>
  <r>
    <x v="1"/>
    <x v="5"/>
    <s v="BEEINELCFC0F"/>
    <n v="5.5346000000000002"/>
    <n v="5.5903"/>
    <n v="4.8722000000000003"/>
    <n v="5.3730000000000002"/>
  </r>
  <r>
    <x v="1"/>
    <x v="5"/>
    <s v="BEEINHY2FC0F"/>
    <n v="0"/>
    <n v="0"/>
    <n v="0"/>
    <n v="0"/>
  </r>
  <r>
    <x v="1"/>
    <x v="5"/>
    <s v="BEEINSTH000F"/>
    <n v="0"/>
    <n v="0"/>
    <n v="0"/>
    <n v="0"/>
  </r>
  <r>
    <x v="1"/>
    <x v="5"/>
    <s v="BEEINHEA000F"/>
    <n v="0.84240000000000004"/>
    <n v="0.85960000000000003"/>
    <n v="0.87549999999999994"/>
    <n v="0.99980000000000002"/>
  </r>
  <r>
    <x v="1"/>
    <x v="4"/>
    <s v="BEEINOILFC0O"/>
    <n v="2.5708000000000002"/>
    <n v="2.4815"/>
    <n v="2.3767999999999998"/>
    <n v="2.2873000000000001"/>
  </r>
  <r>
    <x v="1"/>
    <x v="4"/>
    <s v="BEEINCOAFC0O"/>
    <n v="0.66779999999999995"/>
    <n v="0.53990000000000005"/>
    <n v="0.60640000000000005"/>
    <n v="0.52439999999999998"/>
  </r>
  <r>
    <x v="1"/>
    <x v="4"/>
    <s v="BEEINCOAFCCO"/>
    <n v="0"/>
    <n v="0"/>
    <n v="0"/>
    <n v="0"/>
  </r>
  <r>
    <x v="1"/>
    <x v="4"/>
    <s v="BEEINNGSFC0O"/>
    <n v="15.7258"/>
    <n v="15.262700000000001"/>
    <n v="14.348100000000001"/>
    <n v="16.0486"/>
  </r>
  <r>
    <x v="1"/>
    <x v="4"/>
    <s v="BEEINNGSFCCO"/>
    <n v="0"/>
    <n v="0"/>
    <n v="0"/>
    <n v="0"/>
  </r>
  <r>
    <x v="1"/>
    <x v="4"/>
    <s v="BEEINBIOFC0O"/>
    <n v="12.3483"/>
    <n v="11.270300000000001"/>
    <n v="10.349500000000001"/>
    <n v="11.642099999999999"/>
  </r>
  <r>
    <x v="1"/>
    <x v="4"/>
    <s v="BEEINELCFC0O"/>
    <n v="10.2637"/>
    <n v="9.9642999999999997"/>
    <n v="8.5131999999999994"/>
    <n v="9.2455999999999996"/>
  </r>
  <r>
    <x v="1"/>
    <x v="4"/>
    <s v="BEEINHY2FC0O"/>
    <n v="0"/>
    <n v="0"/>
    <n v="0"/>
    <n v="0"/>
  </r>
  <r>
    <x v="1"/>
    <x v="4"/>
    <s v="BEEINSTH000O"/>
    <n v="2.7000000000000001E-3"/>
    <n v="2.7000000000000001E-3"/>
    <n v="2.7000000000000001E-3"/>
    <n v="2.5999999999999999E-3"/>
  </r>
  <r>
    <x v="1"/>
    <x v="4"/>
    <s v="BEEINHEA000O"/>
    <n v="0.98970000000000002"/>
    <n v="0.85699999999999998"/>
    <n v="0.75619999999999998"/>
    <n v="0.7863"/>
  </r>
  <r>
    <x v="2"/>
    <x v="6"/>
    <s v="BGEINOILFC0M"/>
    <n v="0.19270000000000001"/>
    <n v="0.18759999999999999"/>
    <n v="0.16039999999999999"/>
    <n v="0.18779999999999999"/>
  </r>
  <r>
    <x v="2"/>
    <x v="6"/>
    <s v="BGEINCOAFC0M"/>
    <n v="1.2800000000000001E-2"/>
    <n v="9.4999999999999998E-3"/>
    <n v="8.2000000000000007E-3"/>
    <n v="8.5000000000000006E-3"/>
  </r>
  <r>
    <x v="2"/>
    <x v="6"/>
    <s v="BGEINCOAFCCM"/>
    <n v="0"/>
    <n v="0"/>
    <n v="0"/>
    <n v="0"/>
  </r>
  <r>
    <x v="2"/>
    <x v="6"/>
    <s v="BGEINNGSFC0M"/>
    <n v="0.57789999999999997"/>
    <n v="0.63260000000000005"/>
    <n v="0.66039999999999999"/>
    <n v="0.68479999999999996"/>
  </r>
  <r>
    <x v="2"/>
    <x v="6"/>
    <s v="BGEINNGSFCCM"/>
    <n v="0"/>
    <n v="0"/>
    <n v="0"/>
    <n v="0"/>
  </r>
  <r>
    <x v="2"/>
    <x v="6"/>
    <s v="BGEINBIOFC0M"/>
    <n v="0"/>
    <n v="2.0000000000000001E-4"/>
    <n v="0"/>
    <n v="2.0000000000000001E-4"/>
  </r>
  <r>
    <x v="2"/>
    <x v="6"/>
    <s v="BGEINELCFC0M"/>
    <n v="1.417"/>
    <n v="1.3697999999999999"/>
    <n v="1.4552"/>
    <n v="1.4334"/>
  </r>
  <r>
    <x v="2"/>
    <x v="6"/>
    <s v="BGEINHY2FC0M"/>
    <n v="0"/>
    <n v="0"/>
    <n v="0"/>
    <n v="0"/>
  </r>
  <r>
    <x v="2"/>
    <x v="6"/>
    <s v="BGEINSTH000M"/>
    <n v="0"/>
    <n v="0"/>
    <n v="0"/>
    <n v="0"/>
  </r>
  <r>
    <x v="2"/>
    <x v="6"/>
    <s v="BGEINHEA000M"/>
    <n v="0.4536"/>
    <n v="0.46250000000000002"/>
    <n v="0.48230000000000001"/>
    <n v="0.47110000000000002"/>
  </r>
  <r>
    <x v="2"/>
    <x v="1"/>
    <s v="BGEINOILFC0C"/>
    <n v="5.8594999999999997"/>
    <n v="6.133"/>
    <n v="5.3749000000000002"/>
    <n v="6.1378000000000004"/>
  </r>
  <r>
    <x v="2"/>
    <x v="1"/>
    <s v="BGEINCOAFC0C"/>
    <n v="2.9790000000000001"/>
    <n v="2.4699"/>
    <n v="2.5312000000000001"/>
    <n v="3.1591"/>
  </r>
  <r>
    <x v="2"/>
    <x v="1"/>
    <s v="BGEINCOAFCCC"/>
    <n v="0"/>
    <n v="0"/>
    <n v="0"/>
    <n v="0"/>
  </r>
  <r>
    <x v="2"/>
    <x v="1"/>
    <s v="BGEINNGSFC0C"/>
    <n v="5.7812999999999999"/>
    <n v="4.6515000000000004"/>
    <n v="4.8544999999999998"/>
    <n v="4.7510000000000003"/>
  </r>
  <r>
    <x v="2"/>
    <x v="1"/>
    <s v="BGEINNGSFCCC"/>
    <n v="0"/>
    <n v="0"/>
    <n v="0"/>
    <n v="0"/>
  </r>
  <r>
    <x v="2"/>
    <x v="1"/>
    <s v="BGEINBIOFC0C"/>
    <n v="0.14480000000000001"/>
    <n v="0.2772"/>
    <n v="0.24229999999999999"/>
    <n v="0.18740000000000001"/>
  </r>
  <r>
    <x v="2"/>
    <x v="1"/>
    <s v="BGEINELCFC0C"/>
    <n v="6.13E-2"/>
    <n v="9.01E-2"/>
    <n v="9.1499999999999998E-2"/>
    <n v="7.7600000000000002E-2"/>
  </r>
  <r>
    <x v="2"/>
    <x v="1"/>
    <s v="BGEINHY2FC0C"/>
    <n v="0"/>
    <n v="0"/>
    <n v="0"/>
    <n v="0"/>
  </r>
  <r>
    <x v="2"/>
    <x v="1"/>
    <s v="BGEINSTH000C"/>
    <n v="0"/>
    <n v="0"/>
    <n v="0"/>
    <n v="0"/>
  </r>
  <r>
    <x v="2"/>
    <x v="1"/>
    <s v="BGEINHEA000C"/>
    <n v="0.58589999999999998"/>
    <n v="0.87370000000000003"/>
    <n v="0.94"/>
    <n v="0.96260000000000001"/>
  </r>
  <r>
    <x v="2"/>
    <x v="2"/>
    <s v="BGEINOILFC0N"/>
    <n v="1.5710999999999999"/>
    <n v="1.2799"/>
    <n v="1.274"/>
    <n v="0.52890000000000004"/>
  </r>
  <r>
    <x v="2"/>
    <x v="2"/>
    <s v="BGEINCOAFC0N"/>
    <n v="1.0409999999999999"/>
    <n v="0.92449999999999999"/>
    <n v="0.60060000000000002"/>
    <n v="1.2332000000000001"/>
  </r>
  <r>
    <x v="2"/>
    <x v="2"/>
    <s v="BGEINCOAFCCN"/>
    <n v="0"/>
    <n v="0"/>
    <n v="0"/>
    <n v="0"/>
  </r>
  <r>
    <x v="2"/>
    <x v="2"/>
    <s v="BGEINNGSFC0N"/>
    <n v="5.4318"/>
    <n v="5.1882000000000001"/>
    <n v="5.7111000000000001"/>
    <n v="6.3948999999999998"/>
  </r>
  <r>
    <x v="2"/>
    <x v="2"/>
    <s v="BGEINNGSFCCN"/>
    <n v="0"/>
    <n v="0"/>
    <n v="0"/>
    <n v="0"/>
  </r>
  <r>
    <x v="2"/>
    <x v="2"/>
    <s v="BGEINBIOFC0N"/>
    <n v="1.7675000000000001"/>
    <n v="2.2359"/>
    <n v="2.2265999999999999"/>
    <n v="2.4491999999999998"/>
  </r>
  <r>
    <x v="2"/>
    <x v="2"/>
    <s v="BGEINELCFC0N"/>
    <n v="0.71109999999999995"/>
    <n v="0.7016"/>
    <n v="0.71699999999999997"/>
    <n v="0.77380000000000004"/>
  </r>
  <r>
    <x v="2"/>
    <x v="2"/>
    <s v="BGEINHY2FC0N"/>
    <n v="0"/>
    <n v="0"/>
    <n v="0"/>
    <n v="0"/>
  </r>
  <r>
    <x v="2"/>
    <x v="2"/>
    <s v="BGEINSTH000N"/>
    <n v="0"/>
    <n v="0"/>
    <n v="0"/>
    <n v="0"/>
  </r>
  <r>
    <x v="2"/>
    <x v="2"/>
    <s v="BGEINHEA000N"/>
    <n v="2E-3"/>
    <n v="2.3E-3"/>
    <n v="5.9999999999999995E-4"/>
    <n v="6.9999999999999999E-4"/>
  </r>
  <r>
    <x v="2"/>
    <x v="5"/>
    <s v="BGEINOILFC0F"/>
    <n v="0.15260000000000001"/>
    <n v="0.1588"/>
    <n v="0.15079999999999999"/>
    <n v="0.13450000000000001"/>
  </r>
  <r>
    <x v="2"/>
    <x v="5"/>
    <s v="BGEINCOAFC0F"/>
    <n v="1.18E-2"/>
    <n v="2.2599999999999999E-2"/>
    <n v="1.54E-2"/>
    <n v="1.7000000000000001E-2"/>
  </r>
  <r>
    <x v="2"/>
    <x v="5"/>
    <s v="BGEINCOAFCCF"/>
    <n v="0"/>
    <n v="0"/>
    <n v="0"/>
    <n v="0"/>
  </r>
  <r>
    <x v="2"/>
    <x v="5"/>
    <s v="BGEINNGSFC0F"/>
    <n v="1.7825"/>
    <n v="1.6617999999999999"/>
    <n v="1.58"/>
    <n v="2.3763000000000001"/>
  </r>
  <r>
    <x v="2"/>
    <x v="5"/>
    <s v="BGEINNGSFCCF"/>
    <n v="0"/>
    <n v="0"/>
    <n v="0"/>
    <n v="0"/>
  </r>
  <r>
    <x v="2"/>
    <x v="5"/>
    <s v="BGEINBIOFC0F"/>
    <n v="0.39929999999999999"/>
    <n v="0.20580000000000001"/>
    <n v="0.60040000000000004"/>
    <n v="0.51570000000000005"/>
  </r>
  <r>
    <x v="2"/>
    <x v="5"/>
    <s v="BGEINELCFC0F"/>
    <n v="1.3194999999999999"/>
    <n v="1.3503000000000001"/>
    <n v="1.2515000000000001"/>
    <n v="1.1465000000000001"/>
  </r>
  <r>
    <x v="2"/>
    <x v="5"/>
    <s v="BGEINHY2FC0F"/>
    <n v="0"/>
    <n v="0"/>
    <n v="0"/>
    <n v="0"/>
  </r>
  <r>
    <x v="2"/>
    <x v="5"/>
    <s v="BGEINSTH000F"/>
    <n v="0"/>
    <n v="0"/>
    <n v="0"/>
    <n v="0"/>
  </r>
  <r>
    <x v="2"/>
    <x v="5"/>
    <s v="BGEINHEA000F"/>
    <n v="0.1653"/>
    <n v="0.29580000000000001"/>
    <n v="0.221"/>
    <n v="0.1338"/>
  </r>
  <r>
    <x v="2"/>
    <x v="4"/>
    <s v="BGEINOILFC0O"/>
    <n v="0.57120000000000004"/>
    <n v="0.60880000000000001"/>
    <n v="0.73670000000000002"/>
    <n v="0.99460000000000004"/>
  </r>
  <r>
    <x v="2"/>
    <x v="4"/>
    <s v="BGEINCOAFC0O"/>
    <n v="6.6600000000000006E-2"/>
    <n v="5.11E-2"/>
    <n v="3.95E-2"/>
    <n v="8.5099999999999995E-2"/>
  </r>
  <r>
    <x v="2"/>
    <x v="4"/>
    <s v="BGEINCOAFCCO"/>
    <n v="0"/>
    <n v="0"/>
    <n v="0"/>
    <n v="0"/>
  </r>
  <r>
    <x v="2"/>
    <x v="4"/>
    <s v="BGEINNGSFC0O"/>
    <n v="4.1557000000000004"/>
    <n v="4.0029000000000003"/>
    <n v="3.8260000000000001"/>
    <n v="4.2042999999999999"/>
  </r>
  <r>
    <x v="2"/>
    <x v="4"/>
    <s v="BGEINNGSFCCO"/>
    <n v="0"/>
    <n v="0"/>
    <n v="0"/>
    <n v="0"/>
  </r>
  <r>
    <x v="2"/>
    <x v="4"/>
    <s v="BGEINBIOFC0O"/>
    <n v="3.2593000000000001"/>
    <n v="3.4077999999999999"/>
    <n v="3.3492999999999999"/>
    <n v="2.9430000000000001"/>
  </r>
  <r>
    <x v="2"/>
    <x v="4"/>
    <s v="BGEINELCFC0O"/>
    <n v="3.9066000000000001"/>
    <n v="3.7403"/>
    <n v="3.3801999999999999"/>
    <n v="3.5815000000000001"/>
  </r>
  <r>
    <x v="2"/>
    <x v="4"/>
    <s v="BGEINHY2FC0O"/>
    <n v="0"/>
    <n v="0"/>
    <n v="0"/>
    <n v="0"/>
  </r>
  <r>
    <x v="2"/>
    <x v="4"/>
    <s v="BGEINSTH000O"/>
    <n v="0"/>
    <n v="0"/>
    <n v="0"/>
    <n v="0"/>
  </r>
  <r>
    <x v="2"/>
    <x v="4"/>
    <s v="BGEINHEA000O"/>
    <n v="2.9895999999999998"/>
    <n v="2.9573999999999998"/>
    <n v="2.8780000000000001"/>
    <n v="3.0036999999999998"/>
  </r>
  <r>
    <x v="3"/>
    <x v="2"/>
    <s v="CYEINOILFC0N"/>
    <n v="1.3852"/>
    <n v="1.1658999999999999"/>
    <n v="1.2968"/>
    <n v="0.54530000000000001"/>
  </r>
  <r>
    <x v="3"/>
    <x v="2"/>
    <s v="CYEINCOAFC0N"/>
    <n v="0.26469999999999999"/>
    <n v="0.35630000000000001"/>
    <n v="0.27229999999999999"/>
    <n v="0.81830000000000003"/>
  </r>
  <r>
    <x v="3"/>
    <x v="2"/>
    <s v="CYEINCOAFCCN"/>
    <n v="0"/>
    <n v="0"/>
    <n v="0"/>
    <n v="0"/>
  </r>
  <r>
    <x v="3"/>
    <x v="2"/>
    <s v="CYEINNGSFC0N"/>
    <n v="0"/>
    <n v="0"/>
    <n v="0"/>
    <n v="0"/>
  </r>
  <r>
    <x v="3"/>
    <x v="2"/>
    <s v="CYEINNGSFCCN"/>
    <n v="0"/>
    <n v="0"/>
    <n v="0"/>
    <n v="0"/>
  </r>
  <r>
    <x v="3"/>
    <x v="2"/>
    <s v="CYEINBIOFC0N"/>
    <n v="1.0842000000000001"/>
    <n v="1.1767000000000001"/>
    <n v="1.5263"/>
    <n v="1.7342"/>
  </r>
  <r>
    <x v="3"/>
    <x v="2"/>
    <s v="CYEINELCFC0N"/>
    <n v="8.1000000000000003E-2"/>
    <n v="5.3900000000000003E-2"/>
    <n v="8.9800000000000005E-2"/>
    <n v="9.01E-2"/>
  </r>
  <r>
    <x v="3"/>
    <x v="2"/>
    <s v="CYEINHY2FC0N"/>
    <n v="0"/>
    <n v="0"/>
    <n v="0"/>
    <n v="0"/>
  </r>
  <r>
    <x v="3"/>
    <x v="2"/>
    <s v="CYEINSTH000N"/>
    <n v="0"/>
    <n v="0"/>
    <n v="0"/>
    <n v="0"/>
  </r>
  <r>
    <x v="3"/>
    <x v="2"/>
    <s v="CYEINHEA000N"/>
    <n v="0"/>
    <n v="0"/>
    <n v="0"/>
    <n v="0"/>
  </r>
  <r>
    <x v="3"/>
    <x v="5"/>
    <s v="CYEINOILFC0F"/>
    <n v="0.39290000000000003"/>
    <n v="0.4027"/>
    <n v="0.37519999999999998"/>
    <n v="0.38640000000000002"/>
  </r>
  <r>
    <x v="3"/>
    <x v="5"/>
    <s v="CYEINCOAFC0F"/>
    <n v="0"/>
    <n v="0"/>
    <n v="0"/>
    <n v="0"/>
  </r>
  <r>
    <x v="3"/>
    <x v="5"/>
    <s v="CYEINCOAFCCF"/>
    <n v="0"/>
    <n v="0"/>
    <n v="0"/>
    <n v="0"/>
  </r>
  <r>
    <x v="3"/>
    <x v="5"/>
    <s v="CYEINNGSFC0F"/>
    <n v="3.2000000000000001E-2"/>
    <n v="3.1300000000000001E-2"/>
    <n v="3.1800000000000002E-2"/>
    <n v="3.2500000000000001E-2"/>
  </r>
  <r>
    <x v="3"/>
    <x v="5"/>
    <s v="CYEINNGSFCCF"/>
    <n v="0"/>
    <n v="0"/>
    <n v="0"/>
    <n v="0"/>
  </r>
  <r>
    <x v="3"/>
    <x v="5"/>
    <s v="CYEINBIOFC0F"/>
    <n v="2.7699999999999999E-2"/>
    <n v="4.0800000000000003E-2"/>
    <n v="2.8400000000000002E-2"/>
    <n v="1.9599999999999999E-2"/>
  </r>
  <r>
    <x v="3"/>
    <x v="5"/>
    <s v="CYEINELCFC0F"/>
    <n v="0.18690000000000001"/>
    <n v="0.18740000000000001"/>
    <n v="0.18540000000000001"/>
    <n v="0.19850000000000001"/>
  </r>
  <r>
    <x v="3"/>
    <x v="5"/>
    <s v="CYEINHY2FC0F"/>
    <n v="0"/>
    <n v="0"/>
    <n v="0"/>
    <n v="0"/>
  </r>
  <r>
    <x v="3"/>
    <x v="5"/>
    <s v="CYEINSTH000F"/>
    <n v="0"/>
    <n v="0"/>
    <n v="0"/>
    <n v="0"/>
  </r>
  <r>
    <x v="3"/>
    <x v="5"/>
    <s v="CYEINHEA000F"/>
    <n v="0"/>
    <n v="0"/>
    <n v="0"/>
    <n v="0"/>
  </r>
  <r>
    <x v="3"/>
    <x v="4"/>
    <s v="CYEINOILFC0O"/>
    <n v="0.33279999999999998"/>
    <n v="0.4088"/>
    <n v="0.37390000000000001"/>
    <n v="0.39389999999999997"/>
  </r>
  <r>
    <x v="3"/>
    <x v="4"/>
    <s v="CYEINCOAFC0O"/>
    <n v="0"/>
    <n v="0"/>
    <n v="0"/>
    <n v="0"/>
  </r>
  <r>
    <x v="3"/>
    <x v="4"/>
    <s v="CYEINCOAFCCO"/>
    <n v="0"/>
    <n v="0"/>
    <n v="0"/>
    <n v="0"/>
  </r>
  <r>
    <x v="3"/>
    <x v="4"/>
    <s v="CYEINNGSFC0O"/>
    <n v="0"/>
    <n v="0"/>
    <n v="0"/>
    <n v="0"/>
  </r>
  <r>
    <x v="3"/>
    <x v="4"/>
    <s v="CYEINNGSFCCO"/>
    <n v="0"/>
    <n v="0"/>
    <n v="0"/>
    <n v="0"/>
  </r>
  <r>
    <x v="3"/>
    <x v="4"/>
    <s v="CYEINBIOFC0O"/>
    <n v="1.7999999999999999E-2"/>
    <n v="1.7999999999999999E-2"/>
    <n v="1.44E-2"/>
    <n v="1.0800000000000001E-2"/>
  </r>
  <r>
    <x v="3"/>
    <x v="4"/>
    <s v="CYEINELCFC0O"/>
    <n v="9.3299999999999994E-2"/>
    <n v="9.01E-2"/>
    <n v="8.3900000000000002E-2"/>
    <n v="8.8400000000000006E-2"/>
  </r>
  <r>
    <x v="3"/>
    <x v="4"/>
    <s v="CYEINHY2FC0O"/>
    <n v="0"/>
    <n v="0"/>
    <n v="0"/>
    <n v="0"/>
  </r>
  <r>
    <x v="3"/>
    <x v="4"/>
    <s v="CYEINSTH000O"/>
    <n v="1.6799999999999999E-2"/>
    <n v="1.6799999999999999E-2"/>
    <n v="1.6799999999999999E-2"/>
    <n v="1.6799999999999999E-2"/>
  </r>
  <r>
    <x v="3"/>
    <x v="4"/>
    <s v="CYEINHEA000O"/>
    <n v="0"/>
    <n v="0"/>
    <n v="0"/>
    <n v="0"/>
  </r>
  <r>
    <x v="4"/>
    <x v="0"/>
    <s v="CZEINOILFC0I"/>
    <n v="0"/>
    <n v="0"/>
    <n v="0"/>
    <n v="0"/>
  </r>
  <r>
    <x v="4"/>
    <x v="0"/>
    <s v="CZEINCOAFC0I"/>
    <n v="6.3563999999999998"/>
    <n v="5.3630000000000004"/>
    <n v="6.1596000000000002"/>
    <n v="6.2697000000000003"/>
  </r>
  <r>
    <x v="4"/>
    <x v="0"/>
    <s v="CZEINCOAFCCI"/>
    <n v="0"/>
    <n v="0"/>
    <n v="0"/>
    <n v="0"/>
  </r>
  <r>
    <x v="4"/>
    <x v="0"/>
    <s v="CZEINNGSFC0I"/>
    <n v="10.280200000000001"/>
    <n v="8.6659000000000006"/>
    <n v="8.5713000000000008"/>
    <n v="10.3818"/>
  </r>
  <r>
    <x v="4"/>
    <x v="0"/>
    <s v="CZEINNGSFCCI"/>
    <n v="0"/>
    <n v="0"/>
    <n v="0"/>
    <n v="0"/>
  </r>
  <r>
    <x v="4"/>
    <x v="0"/>
    <s v="CZEINBIOFC0I"/>
    <n v="2.0000000000000001E-4"/>
    <n v="2.0000000000000001E-4"/>
    <n v="2.0000000000000001E-4"/>
    <n v="4.0000000000000002E-4"/>
  </r>
  <r>
    <x v="4"/>
    <x v="0"/>
    <s v="CZEINELCFC0I"/>
    <n v="4.5393999999999997"/>
    <n v="4.3403999999999998"/>
    <n v="4.1520000000000001"/>
    <n v="4.4699"/>
  </r>
  <r>
    <x v="4"/>
    <x v="0"/>
    <s v="CZEINHY2FC0I"/>
    <n v="0"/>
    <n v="0"/>
    <n v="0"/>
    <n v="0"/>
  </r>
  <r>
    <x v="4"/>
    <x v="0"/>
    <s v="CZEINSTH000I"/>
    <n v="0"/>
    <n v="0"/>
    <n v="0"/>
    <n v="0"/>
  </r>
  <r>
    <x v="4"/>
    <x v="0"/>
    <s v="CZEINHEA000I"/>
    <n v="2.3187000000000002"/>
    <n v="2.3643999999999998"/>
    <n v="2.0836999999999999"/>
    <n v="2.1886000000000001"/>
  </r>
  <r>
    <x v="4"/>
    <x v="1"/>
    <s v="CZEINOILFC0C"/>
    <n v="0.99680000000000002"/>
    <n v="1.4873000000000001"/>
    <n v="2.0621"/>
    <n v="2.3807"/>
  </r>
  <r>
    <x v="4"/>
    <x v="1"/>
    <s v="CZEINCOAFC0C"/>
    <n v="4.9329999999999998"/>
    <n v="4.3712999999999997"/>
    <n v="4.1478999999999999"/>
    <n v="4.1475999999999997"/>
  </r>
  <r>
    <x v="4"/>
    <x v="1"/>
    <s v="CZEINCOAFCCC"/>
    <n v="0"/>
    <n v="0"/>
    <n v="0"/>
    <n v="0"/>
  </r>
  <r>
    <x v="4"/>
    <x v="1"/>
    <s v="CZEINNGSFC0C"/>
    <n v="5.6167999999999996"/>
    <n v="6.1454000000000004"/>
    <n v="6.9173"/>
    <n v="6.9127000000000001"/>
  </r>
  <r>
    <x v="4"/>
    <x v="1"/>
    <s v="CZEINNGSFCCC"/>
    <n v="0"/>
    <n v="0"/>
    <n v="0"/>
    <n v="0"/>
  </r>
  <r>
    <x v="4"/>
    <x v="1"/>
    <s v="CZEINBIOFC0C"/>
    <n v="7.3200000000000001E-2"/>
    <n v="6.8900000000000003E-2"/>
    <n v="6.8000000000000005E-2"/>
    <n v="7.9000000000000001E-2"/>
  </r>
  <r>
    <x v="4"/>
    <x v="1"/>
    <s v="CZEINELCFC0C"/>
    <n v="0.69679999999999997"/>
    <n v="0.66959999999999997"/>
    <n v="0.47549999999999998"/>
    <n v="0.56799999999999995"/>
  </r>
  <r>
    <x v="4"/>
    <x v="1"/>
    <s v="CZEINHY2FC0C"/>
    <n v="0"/>
    <n v="0"/>
    <n v="0"/>
    <n v="0"/>
  </r>
  <r>
    <x v="4"/>
    <x v="1"/>
    <s v="CZEINSTH000C"/>
    <n v="0"/>
    <n v="0"/>
    <n v="0"/>
    <n v="0"/>
  </r>
  <r>
    <x v="4"/>
    <x v="1"/>
    <s v="CZEINHEA000C"/>
    <n v="5.0655000000000001"/>
    <n v="4.9490999999999996"/>
    <n v="4.7266000000000004"/>
    <n v="5.0153999999999996"/>
  </r>
  <r>
    <x v="4"/>
    <x v="2"/>
    <s v="CZEINOILFC0N"/>
    <n v="0.24709999999999999"/>
    <n v="0.1055"/>
    <n v="0.22850000000000001"/>
    <n v="0.2147"/>
  </r>
  <r>
    <x v="4"/>
    <x v="2"/>
    <s v="CZEINCOAFC0N"/>
    <n v="3.0344000000000002"/>
    <n v="3.1482999999999999"/>
    <n v="2.5872000000000002"/>
    <n v="2.7667000000000002"/>
  </r>
  <r>
    <x v="4"/>
    <x v="2"/>
    <s v="CZEINCOAFCCN"/>
    <n v="0"/>
    <n v="0"/>
    <n v="0"/>
    <n v="0"/>
  </r>
  <r>
    <x v="4"/>
    <x v="2"/>
    <s v="CZEINNGSFC0N"/>
    <n v="9.6172000000000004"/>
    <n v="9.9230999999999998"/>
    <n v="10.124599999999999"/>
    <n v="10.2326"/>
  </r>
  <r>
    <x v="4"/>
    <x v="2"/>
    <s v="CZEINNGSFCCN"/>
    <n v="0"/>
    <n v="0"/>
    <n v="0"/>
    <n v="0"/>
  </r>
  <r>
    <x v="4"/>
    <x v="2"/>
    <s v="CZEINBIOFC0N"/>
    <n v="5.0834999999999999"/>
    <n v="5.3319999999999999"/>
    <n v="5.5994000000000002"/>
    <n v="5.5723000000000003"/>
  </r>
  <r>
    <x v="4"/>
    <x v="2"/>
    <s v="CZEINELCFC0N"/>
    <n v="1.7970999999999999"/>
    <n v="1.7737000000000001"/>
    <n v="1.7621"/>
    <n v="1.8788"/>
  </r>
  <r>
    <x v="4"/>
    <x v="2"/>
    <s v="CZEINHY2FC0N"/>
    <n v="0"/>
    <n v="0"/>
    <n v="0"/>
    <n v="0"/>
  </r>
  <r>
    <x v="4"/>
    <x v="2"/>
    <s v="CZEINSTH000N"/>
    <n v="0"/>
    <n v="0"/>
    <n v="0"/>
    <n v="0"/>
  </r>
  <r>
    <x v="4"/>
    <x v="2"/>
    <s v="CZEINHEA000N"/>
    <n v="0.27729999999999999"/>
    <n v="0.2959"/>
    <n v="0.24399999999999999"/>
    <n v="0.24610000000000001"/>
  </r>
  <r>
    <x v="4"/>
    <x v="3"/>
    <s v="CZEINOILFC0P"/>
    <n v="7.0699999999999999E-2"/>
    <n v="2.6800000000000001E-2"/>
    <n v="7.4200000000000002E-2"/>
    <n v="7.51E-2"/>
  </r>
  <r>
    <x v="4"/>
    <x v="3"/>
    <s v="CZEINCOAFC0P"/>
    <n v="0.72740000000000005"/>
    <n v="0.84589999999999999"/>
    <n v="0.8649"/>
    <n v="0.85660000000000003"/>
  </r>
  <r>
    <x v="4"/>
    <x v="3"/>
    <s v="CZEINCOAFCCP"/>
    <n v="0"/>
    <n v="0"/>
    <n v="0"/>
    <n v="0"/>
  </r>
  <r>
    <x v="4"/>
    <x v="3"/>
    <s v="CZEINNGSFC0P"/>
    <n v="2.8117000000000001"/>
    <n v="2.9256000000000002"/>
    <n v="2.8847999999999998"/>
    <n v="3.7397"/>
  </r>
  <r>
    <x v="4"/>
    <x v="3"/>
    <s v="CZEINNGSFCCP"/>
    <n v="0"/>
    <n v="0"/>
    <n v="0"/>
    <n v="0"/>
  </r>
  <r>
    <x v="4"/>
    <x v="3"/>
    <s v="CZEINBIOFC0P"/>
    <n v="5.9964000000000004"/>
    <n v="7.3479999999999999"/>
    <n v="7.6898999999999997"/>
    <n v="7.9743000000000004"/>
  </r>
  <r>
    <x v="4"/>
    <x v="3"/>
    <s v="CZEINELCFC0P"/>
    <n v="1.7295"/>
    <n v="1.7521"/>
    <n v="1.7333000000000001"/>
    <n v="1.7988"/>
  </r>
  <r>
    <x v="4"/>
    <x v="3"/>
    <s v="CZEINHY2FC0P"/>
    <n v="0"/>
    <n v="0"/>
    <n v="0"/>
    <n v="0"/>
  </r>
  <r>
    <x v="4"/>
    <x v="3"/>
    <s v="CZEINSTH000P"/>
    <n v="0"/>
    <n v="0"/>
    <n v="0"/>
    <n v="0"/>
  </r>
  <r>
    <x v="4"/>
    <x v="3"/>
    <s v="CZEINHEA000P"/>
    <n v="0.74719999999999998"/>
    <n v="0.79510000000000003"/>
    <n v="0.81610000000000005"/>
    <n v="0.80810000000000004"/>
  </r>
  <r>
    <x v="4"/>
    <x v="4"/>
    <s v="CZEINOILFC0O"/>
    <n v="1.2868999999999999"/>
    <n v="0.9526"/>
    <n v="1.1223000000000001"/>
    <n v="1.3734999999999999"/>
  </r>
  <r>
    <x v="4"/>
    <x v="4"/>
    <s v="CZEINCOAFC0O"/>
    <n v="1.2391000000000001"/>
    <n v="1.0208999999999999"/>
    <n v="1.028"/>
    <n v="0.99160000000000004"/>
  </r>
  <r>
    <x v="4"/>
    <x v="4"/>
    <s v="CZEINCOAFCCO"/>
    <n v="0"/>
    <n v="0"/>
    <n v="0"/>
    <n v="0"/>
  </r>
  <r>
    <x v="4"/>
    <x v="4"/>
    <s v="CZEINNGSFC0O"/>
    <n v="18.7912"/>
    <n v="18.883900000000001"/>
    <n v="18.566199999999998"/>
    <n v="21.008700000000001"/>
  </r>
  <r>
    <x v="4"/>
    <x v="4"/>
    <s v="CZEINNGSFCCO"/>
    <n v="0"/>
    <n v="0"/>
    <n v="0"/>
    <n v="0"/>
  </r>
  <r>
    <x v="4"/>
    <x v="4"/>
    <s v="CZEINBIOFC0O"/>
    <n v="2.6093999999999999"/>
    <n v="2.3887999999999998"/>
    <n v="2.5878999999999999"/>
    <n v="2.6414"/>
  </r>
  <r>
    <x v="4"/>
    <x v="4"/>
    <s v="CZEINELCFC0O"/>
    <n v="10.9549"/>
    <n v="10.911199999999999"/>
    <n v="10.2913"/>
    <n v="10.910500000000001"/>
  </r>
  <r>
    <x v="4"/>
    <x v="4"/>
    <s v="CZEINHY2FC0O"/>
    <n v="0"/>
    <n v="0"/>
    <n v="0"/>
    <n v="0"/>
  </r>
  <r>
    <x v="4"/>
    <x v="4"/>
    <s v="CZEINSTH000O"/>
    <n v="0"/>
    <n v="0"/>
    <n v="0"/>
    <n v="0"/>
  </r>
  <r>
    <x v="4"/>
    <x v="4"/>
    <s v="CZEINHEA000O"/>
    <n v="6.6233000000000004"/>
    <n v="6.7099000000000002"/>
    <n v="6.3376999999999999"/>
    <n v="6.7083000000000004"/>
  </r>
  <r>
    <x v="5"/>
    <x v="0"/>
    <s v="DEEINOILFC0I"/>
    <n v="0.30590000000000001"/>
    <n v="0.29060000000000002"/>
    <n v="0.25459999999999999"/>
    <n v="1.2253000000000001"/>
  </r>
  <r>
    <x v="5"/>
    <x v="0"/>
    <s v="DEEINCOAFC0I"/>
    <n v="15.0448"/>
    <n v="13.8986"/>
    <n v="10.009"/>
    <n v="13.8917"/>
  </r>
  <r>
    <x v="5"/>
    <x v="0"/>
    <s v="DEEINCOAFCCI"/>
    <n v="0"/>
    <n v="0"/>
    <n v="0"/>
    <n v="0"/>
  </r>
  <r>
    <x v="5"/>
    <x v="0"/>
    <s v="DEEINNGSFC0I"/>
    <n v="104.2774"/>
    <n v="96.907300000000006"/>
    <n v="91.672700000000006"/>
    <n v="92.658299999999997"/>
  </r>
  <r>
    <x v="5"/>
    <x v="0"/>
    <s v="DEEINNGSFCCI"/>
    <n v="0"/>
    <n v="0"/>
    <n v="0"/>
    <n v="0"/>
  </r>
  <r>
    <x v="5"/>
    <x v="0"/>
    <s v="DEEINBIOFC0I"/>
    <n v="1.9E-3"/>
    <n v="1.9E-3"/>
    <n v="5.0000000000000001E-4"/>
    <n v="5.0000000000000001E-4"/>
  </r>
  <r>
    <x v="5"/>
    <x v="0"/>
    <s v="DEEINELCFC0I"/>
    <n v="54.004399999999997"/>
    <n v="49.975900000000003"/>
    <n v="45.611800000000002"/>
    <n v="50.141300000000001"/>
  </r>
  <r>
    <x v="5"/>
    <x v="0"/>
    <s v="DEEINHY2FC0I"/>
    <n v="0"/>
    <n v="0"/>
    <n v="0"/>
    <n v="0"/>
  </r>
  <r>
    <x v="5"/>
    <x v="0"/>
    <s v="DEEINSTH000I"/>
    <n v="0"/>
    <n v="0"/>
    <n v="0"/>
    <n v="0"/>
  </r>
  <r>
    <x v="5"/>
    <x v="0"/>
    <s v="DEEINHEA000I"/>
    <n v="35.174599999999998"/>
    <n v="32.895499999999998"/>
    <n v="32.558100000000003"/>
    <n v="35.9039"/>
  </r>
  <r>
    <x v="5"/>
    <x v="1"/>
    <s v="DEEINOILFC0C"/>
    <n v="20.993400000000001"/>
    <n v="20.101400000000002"/>
    <n v="17.513300000000001"/>
    <n v="19.669599999999999"/>
  </r>
  <r>
    <x v="5"/>
    <x v="1"/>
    <s v="DEEINCOAFC0C"/>
    <n v="7.7119999999999997"/>
    <n v="7.0867000000000004"/>
    <n v="10.3119"/>
    <n v="3.1364999999999998"/>
  </r>
  <r>
    <x v="5"/>
    <x v="1"/>
    <s v="DEEINCOAFCCC"/>
    <n v="0"/>
    <n v="0"/>
    <n v="0"/>
    <n v="0"/>
  </r>
  <r>
    <x v="5"/>
    <x v="1"/>
    <s v="DEEINNGSFC0C"/>
    <n v="134.02019999999999"/>
    <n v="125.1271"/>
    <n v="140.92609999999999"/>
    <n v="145.9623"/>
  </r>
  <r>
    <x v="5"/>
    <x v="1"/>
    <s v="DEEINNGSFCCC"/>
    <n v="0"/>
    <n v="0"/>
    <n v="0"/>
    <n v="0"/>
  </r>
  <r>
    <x v="5"/>
    <x v="1"/>
    <s v="DEEINBIOFC0C"/>
    <n v="6.1311999999999998"/>
    <n v="5.8403999999999998"/>
    <n v="6.0167999999999999"/>
    <n v="7.3098999999999998"/>
  </r>
  <r>
    <x v="5"/>
    <x v="1"/>
    <s v="DEEINELCFC0C"/>
    <n v="10.023999999999999"/>
    <n v="10.4842"/>
    <n v="8.7222000000000008"/>
    <n v="9.5502000000000002"/>
  </r>
  <r>
    <x v="5"/>
    <x v="1"/>
    <s v="DEEINHY2FC0C"/>
    <n v="0"/>
    <n v="0"/>
    <n v="0"/>
    <n v="0"/>
  </r>
  <r>
    <x v="5"/>
    <x v="1"/>
    <s v="DEEINSTH000C"/>
    <n v="0"/>
    <n v="8.0000000000000004E-4"/>
    <n v="1.09E-2"/>
    <n v="0"/>
  </r>
  <r>
    <x v="5"/>
    <x v="1"/>
    <s v="DEEINHEA000C"/>
    <n v="82.547399999999996"/>
    <n v="78.532700000000006"/>
    <n v="74.573300000000003"/>
    <n v="78.163300000000007"/>
  </r>
  <r>
    <x v="5"/>
    <x v="2"/>
    <s v="DEEINOILFC0N"/>
    <n v="8.9126999999999992"/>
    <n v="8.7017000000000007"/>
    <n v="13.0307"/>
    <n v="8.6753"/>
  </r>
  <r>
    <x v="5"/>
    <x v="2"/>
    <s v="DEEINCOAFC0N"/>
    <n v="28.152999999999999"/>
    <n v="27.727499999999999"/>
    <n v="35.7029"/>
    <n v="29.4679"/>
  </r>
  <r>
    <x v="5"/>
    <x v="2"/>
    <s v="DEEINCOAFCCN"/>
    <n v="0"/>
    <n v="0"/>
    <n v="0"/>
    <n v="0"/>
  </r>
  <r>
    <x v="5"/>
    <x v="2"/>
    <s v="DEEINNGSFC0N"/>
    <n v="57.275599999999997"/>
    <n v="56.8947"/>
    <n v="56.935099999999998"/>
    <n v="60.000700000000002"/>
  </r>
  <r>
    <x v="5"/>
    <x v="2"/>
    <s v="DEEINNGSFCCN"/>
    <n v="0"/>
    <n v="0"/>
    <n v="0"/>
    <n v="0"/>
  </r>
  <r>
    <x v="5"/>
    <x v="2"/>
    <s v="DEEINBIOFC0N"/>
    <n v="31.989699999999999"/>
    <n v="33.545200000000001"/>
    <n v="34.020899999999997"/>
    <n v="34.112099999999998"/>
  </r>
  <r>
    <x v="5"/>
    <x v="2"/>
    <s v="DEEINELCFC0N"/>
    <n v="10.539400000000001"/>
    <n v="10.6859"/>
    <n v="10.678100000000001"/>
    <n v="11.1942"/>
  </r>
  <r>
    <x v="5"/>
    <x v="2"/>
    <s v="DEEINHY2FC0N"/>
    <n v="0"/>
    <n v="0"/>
    <n v="0"/>
    <n v="0"/>
  </r>
  <r>
    <x v="5"/>
    <x v="2"/>
    <s v="DEEINSTH000N"/>
    <n v="0"/>
    <n v="0"/>
    <n v="0"/>
    <n v="0"/>
  </r>
  <r>
    <x v="5"/>
    <x v="2"/>
    <s v="DEEINHEA000N"/>
    <n v="2.7789999999999999"/>
    <n v="0.58240000000000003"/>
    <n v="0.64739999999999998"/>
    <n v="0.68410000000000004"/>
  </r>
  <r>
    <x v="5"/>
    <x v="3"/>
    <s v="DEEINOILFC0P"/>
    <n v="1.5813999999999999"/>
    <n v="1.3935"/>
    <n v="1.4048"/>
    <n v="1.4168000000000001"/>
  </r>
  <r>
    <x v="5"/>
    <x v="3"/>
    <s v="DEEINCOAFC0P"/>
    <n v="8.9154999999999998"/>
    <n v="7.5834999999999999"/>
    <n v="6.4821999999999997"/>
    <n v="6.383"/>
  </r>
  <r>
    <x v="5"/>
    <x v="3"/>
    <s v="DEEINCOAFCCP"/>
    <n v="0"/>
    <n v="0"/>
    <n v="0"/>
    <n v="0"/>
  </r>
  <r>
    <x v="5"/>
    <x v="3"/>
    <s v="DEEINNGSFC0P"/>
    <n v="66.7042"/>
    <n v="67.674199999999999"/>
    <n v="67.602699999999999"/>
    <n v="71.918999999999997"/>
  </r>
  <r>
    <x v="5"/>
    <x v="3"/>
    <s v="DEEINNGSFCCP"/>
    <n v="0"/>
    <n v="0"/>
    <n v="0"/>
    <n v="0"/>
  </r>
  <r>
    <x v="5"/>
    <x v="3"/>
    <s v="DEEINBIOFC0P"/>
    <n v="23.114999999999998"/>
    <n v="24.031199999999998"/>
    <n v="24.7928"/>
    <n v="21.6037"/>
  </r>
  <r>
    <x v="5"/>
    <x v="3"/>
    <s v="DEEINELCFC0P"/>
    <n v="30.938800000000001"/>
    <n v="29.858699999999999"/>
    <n v="29.653600000000001"/>
    <n v="31.4193"/>
  </r>
  <r>
    <x v="5"/>
    <x v="3"/>
    <s v="DEEINHY2FC0P"/>
    <n v="0"/>
    <n v="0"/>
    <n v="0"/>
    <n v="0"/>
  </r>
  <r>
    <x v="5"/>
    <x v="3"/>
    <s v="DEEINSTH000P"/>
    <n v="0"/>
    <n v="0"/>
    <n v="0"/>
    <n v="0"/>
  </r>
  <r>
    <x v="5"/>
    <x v="3"/>
    <s v="DEEINHEA000P"/>
    <n v="22.981300000000001"/>
    <n v="22.2956"/>
    <n v="19.508099999999999"/>
    <n v="23.002400000000002"/>
  </r>
  <r>
    <x v="5"/>
    <x v="4"/>
    <s v="DEEINOILFC0O"/>
    <n v="31.206"/>
    <n v="31.721900000000002"/>
    <n v="33.520299999999999"/>
    <n v="35.5871"/>
  </r>
  <r>
    <x v="5"/>
    <x v="4"/>
    <s v="DEEINCOAFC0O"/>
    <n v="7.8228999999999997"/>
    <n v="8.0162999999999993"/>
    <n v="6.9473000000000003"/>
    <n v="7.2035999999999998"/>
  </r>
  <r>
    <x v="5"/>
    <x v="4"/>
    <s v="DEEINCOAFCCO"/>
    <n v="0"/>
    <n v="0"/>
    <n v="0"/>
    <n v="0"/>
  </r>
  <r>
    <x v="5"/>
    <x v="4"/>
    <s v="DEEINNGSFC0O"/>
    <n v="152.19239999999999"/>
    <n v="158.71629999999999"/>
    <n v="152.50899999999999"/>
    <n v="161.38220000000001"/>
  </r>
  <r>
    <x v="5"/>
    <x v="4"/>
    <s v="DEEINNGSFCCO"/>
    <n v="0"/>
    <n v="0"/>
    <n v="0"/>
    <n v="0"/>
  </r>
  <r>
    <x v="5"/>
    <x v="4"/>
    <s v="DEEINBIOFC0O"/>
    <n v="24.4239"/>
    <n v="23.665900000000001"/>
    <n v="23.371200000000002"/>
    <n v="26.133700000000001"/>
  </r>
  <r>
    <x v="5"/>
    <x v="4"/>
    <s v="DEEINELCFC0O"/>
    <n v="105.8115"/>
    <n v="101.8096"/>
    <n v="94.236699999999999"/>
    <n v="95.875299999999996"/>
  </r>
  <r>
    <x v="5"/>
    <x v="4"/>
    <s v="DEEINHY2FC0O"/>
    <n v="0"/>
    <n v="0"/>
    <n v="0"/>
    <n v="0"/>
  </r>
  <r>
    <x v="5"/>
    <x v="4"/>
    <s v="DEEINSTH000O"/>
    <n v="7.1999999999999998E-3"/>
    <n v="3.0999999999999999E-3"/>
    <n v="3.8999999999999998E-3"/>
    <n v="4.7000000000000002E-3"/>
  </r>
  <r>
    <x v="5"/>
    <x v="4"/>
    <s v="DEEINHEA000O"/>
    <n v="28.366599999999998"/>
    <n v="27.4678"/>
    <n v="25.939800000000002"/>
    <n v="27.504999999999999"/>
  </r>
  <r>
    <x v="6"/>
    <x v="7"/>
    <s v="DKEINOILFC0A"/>
    <n v="0.32879999999999998"/>
    <n v="0.32500000000000001"/>
    <n v="0.33079999999999998"/>
    <n v="0.51839999999999997"/>
  </r>
  <r>
    <x v="6"/>
    <x v="7"/>
    <s v="DKEINCOAFC0A"/>
    <n v="0"/>
    <n v="0"/>
    <n v="0"/>
    <n v="0"/>
  </r>
  <r>
    <x v="6"/>
    <x v="7"/>
    <s v="DKEINCOAFCCA"/>
    <n v="0"/>
    <n v="0"/>
    <n v="0"/>
    <n v="0"/>
  </r>
  <r>
    <x v="6"/>
    <x v="7"/>
    <s v="DKEINNGSFC0A"/>
    <n v="1.1075999999999999"/>
    <n v="1.0046999999999999"/>
    <n v="0.91910000000000003"/>
    <n v="0.90510000000000002"/>
  </r>
  <r>
    <x v="6"/>
    <x v="7"/>
    <s v="DKEINNGSFCCA"/>
    <n v="0"/>
    <n v="0"/>
    <n v="0"/>
    <n v="0"/>
  </r>
  <r>
    <x v="6"/>
    <x v="7"/>
    <s v="DKEINBIOFC0A"/>
    <n v="0.29020000000000001"/>
    <n v="0.30919999999999997"/>
    <n v="0.43559999999999999"/>
    <n v="0.44240000000000002"/>
  </r>
  <r>
    <x v="6"/>
    <x v="7"/>
    <s v="DKEINELCFC0A"/>
    <n v="1.3353999999999999"/>
    <n v="1.2611000000000001"/>
    <n v="1.2605999999999999"/>
    <n v="1.2987"/>
  </r>
  <r>
    <x v="6"/>
    <x v="7"/>
    <s v="DKEINHY2FC0A"/>
    <n v="0"/>
    <n v="0"/>
    <n v="0"/>
    <n v="0"/>
  </r>
  <r>
    <x v="6"/>
    <x v="7"/>
    <s v="DKEINSTH000A"/>
    <n v="0"/>
    <n v="0"/>
    <n v="0"/>
    <n v="0"/>
  </r>
  <r>
    <x v="6"/>
    <x v="7"/>
    <s v="DKEINHEA000A"/>
    <n v="0.39019999999999999"/>
    <n v="0.37530000000000002"/>
    <n v="0.40579999999999999"/>
    <n v="0.42830000000000001"/>
  </r>
  <r>
    <x v="6"/>
    <x v="1"/>
    <s v="DKEINOILFC0C"/>
    <n v="0.17449999999999999"/>
    <n v="0.19409999999999999"/>
    <n v="0.20830000000000001"/>
    <n v="0.30919999999999997"/>
  </r>
  <r>
    <x v="6"/>
    <x v="1"/>
    <s v="DKEINCOAFC0C"/>
    <n v="0"/>
    <n v="0"/>
    <n v="0"/>
    <n v="0"/>
  </r>
  <r>
    <x v="6"/>
    <x v="1"/>
    <s v="DKEINCOAFCCC"/>
    <n v="0"/>
    <n v="0"/>
    <n v="0"/>
    <n v="0"/>
  </r>
  <r>
    <x v="6"/>
    <x v="1"/>
    <s v="DKEINNGSFC0C"/>
    <n v="2.9056999999999999"/>
    <n v="2.8769999999999998"/>
    <n v="2.8885999999999998"/>
    <n v="3.8975"/>
  </r>
  <r>
    <x v="6"/>
    <x v="1"/>
    <s v="DKEINNGSFCCC"/>
    <n v="0"/>
    <n v="0"/>
    <n v="0"/>
    <n v="0"/>
  </r>
  <r>
    <x v="6"/>
    <x v="1"/>
    <s v="DKEINBIOFC0C"/>
    <n v="0.19739999999999999"/>
    <n v="0.2203"/>
    <n v="0.36990000000000001"/>
    <n v="0.36"/>
  </r>
  <r>
    <x v="6"/>
    <x v="1"/>
    <s v="DKEINELCFC0C"/>
    <n v="0.56169999999999998"/>
    <n v="0.56420000000000003"/>
    <n v="0.60160000000000002"/>
    <n v="0.53920000000000001"/>
  </r>
  <r>
    <x v="6"/>
    <x v="1"/>
    <s v="DKEINHY2FC0C"/>
    <n v="0"/>
    <n v="0"/>
    <n v="0"/>
    <n v="0"/>
  </r>
  <r>
    <x v="6"/>
    <x v="1"/>
    <s v="DKEINSTH000C"/>
    <n v="0"/>
    <n v="0"/>
    <n v="0"/>
    <n v="0"/>
  </r>
  <r>
    <x v="6"/>
    <x v="1"/>
    <s v="DKEINHEA000C"/>
    <n v="0.46139999999999998"/>
    <n v="0.4647"/>
    <n v="0.52"/>
    <n v="0.5514"/>
  </r>
  <r>
    <x v="6"/>
    <x v="2"/>
    <s v="DKEINOILFC0N"/>
    <n v="3.8397999999999999"/>
    <n v="4.3177000000000003"/>
    <n v="4.5301999999999998"/>
    <n v="4.2506000000000004"/>
  </r>
  <r>
    <x v="6"/>
    <x v="2"/>
    <s v="DKEINCOAFC0N"/>
    <n v="1.8218000000000001"/>
    <n v="1.4638"/>
    <n v="1.7726999999999999"/>
    <n v="2.1225999999999998"/>
  </r>
  <r>
    <x v="6"/>
    <x v="2"/>
    <s v="DKEINCOAFCCN"/>
    <n v="0"/>
    <n v="0"/>
    <n v="0"/>
    <n v="0"/>
  </r>
  <r>
    <x v="6"/>
    <x v="2"/>
    <s v="DKEINNGSFC0N"/>
    <n v="2.8136999999999999"/>
    <n v="2.625"/>
    <n v="2.7848999999999999"/>
    <n v="2.9819"/>
  </r>
  <r>
    <x v="6"/>
    <x v="2"/>
    <s v="DKEINNGSFCCN"/>
    <n v="0"/>
    <n v="0"/>
    <n v="0"/>
    <n v="0"/>
  </r>
  <r>
    <x v="6"/>
    <x v="2"/>
    <s v="DKEINBIOFC0N"/>
    <n v="1.9119999999999999"/>
    <n v="1.897"/>
    <n v="1.8947000000000001"/>
    <n v="1.7121999999999999"/>
  </r>
  <r>
    <x v="6"/>
    <x v="2"/>
    <s v="DKEINELCFC0N"/>
    <n v="0.75160000000000005"/>
    <n v="0.70660000000000001"/>
    <n v="0.81859999999999999"/>
    <n v="0.87160000000000004"/>
  </r>
  <r>
    <x v="6"/>
    <x v="2"/>
    <s v="DKEINHY2FC0N"/>
    <n v="0"/>
    <n v="0"/>
    <n v="0"/>
    <n v="0"/>
  </r>
  <r>
    <x v="6"/>
    <x v="2"/>
    <s v="DKEINSTH000N"/>
    <n v="0"/>
    <n v="0"/>
    <n v="0"/>
    <n v="0"/>
  </r>
  <r>
    <x v="6"/>
    <x v="2"/>
    <s v="DKEINHEA000N"/>
    <n v="0.20319999999999999"/>
    <n v="0.19550000000000001"/>
    <n v="0.23319999999999999"/>
    <n v="0.24759999999999999"/>
  </r>
  <r>
    <x v="6"/>
    <x v="5"/>
    <s v="DKEINOILFC0F"/>
    <n v="0.63400000000000001"/>
    <n v="0.74650000000000005"/>
    <n v="0.83160000000000001"/>
    <n v="0.8841"/>
  </r>
  <r>
    <x v="6"/>
    <x v="5"/>
    <s v="DKEINCOAFC0F"/>
    <n v="0.52890000000000004"/>
    <n v="0.45729999999999998"/>
    <n v="0.43940000000000001"/>
    <n v="0.51129999999999998"/>
  </r>
  <r>
    <x v="6"/>
    <x v="5"/>
    <s v="DKEINCOAFCCF"/>
    <n v="0"/>
    <n v="0"/>
    <n v="0"/>
    <n v="0"/>
  </r>
  <r>
    <x v="6"/>
    <x v="5"/>
    <s v="DKEINNGSFC0F"/>
    <n v="5.8784999999999998"/>
    <n v="5.7976000000000001"/>
    <n v="5.5403000000000002"/>
    <n v="5.8239999999999998"/>
  </r>
  <r>
    <x v="6"/>
    <x v="5"/>
    <s v="DKEINNGSFCCF"/>
    <n v="0"/>
    <n v="0"/>
    <n v="0"/>
    <n v="0"/>
  </r>
  <r>
    <x v="6"/>
    <x v="5"/>
    <s v="DKEINBIOFC0F"/>
    <n v="5.2400000000000002E-2"/>
    <n v="7.8700000000000006E-2"/>
    <n v="0.14380000000000001"/>
    <n v="0.1361"/>
  </r>
  <r>
    <x v="6"/>
    <x v="5"/>
    <s v="DKEINELCFC0F"/>
    <n v="2.1732999999999998"/>
    <n v="2.1429999999999998"/>
    <n v="2.2582"/>
    <n v="2.3744999999999998"/>
  </r>
  <r>
    <x v="6"/>
    <x v="5"/>
    <s v="DKEINHY2FC0F"/>
    <n v="0"/>
    <n v="0"/>
    <n v="0"/>
    <n v="0"/>
  </r>
  <r>
    <x v="6"/>
    <x v="5"/>
    <s v="DKEINSTH000F"/>
    <n v="0"/>
    <n v="0"/>
    <n v="0"/>
    <n v="0"/>
  </r>
  <r>
    <x v="6"/>
    <x v="5"/>
    <s v="DKEINHEA000F"/>
    <n v="0.45450000000000002"/>
    <n v="0.45829999999999999"/>
    <n v="0.51929999999999998"/>
    <n v="0.54790000000000005"/>
  </r>
  <r>
    <x v="6"/>
    <x v="4"/>
    <s v="DKEINOILFC0O"/>
    <n v="2.2288999999999999"/>
    <n v="2.1240000000000001"/>
    <n v="2.2879999999999998"/>
    <n v="2.9662000000000002"/>
  </r>
  <r>
    <x v="6"/>
    <x v="4"/>
    <s v="DKEINCOAFC0O"/>
    <n v="3.1300000000000001E-2"/>
    <n v="4.3999999999999997E-2"/>
    <n v="6.0199999999999997E-2"/>
    <n v="7.2300000000000003E-2"/>
  </r>
  <r>
    <x v="6"/>
    <x v="4"/>
    <s v="DKEINCOAFCCO"/>
    <n v="0"/>
    <n v="0"/>
    <n v="0"/>
    <n v="0"/>
  </r>
  <r>
    <x v="6"/>
    <x v="4"/>
    <s v="DKEINNGSFC0O"/>
    <n v="2.5691999999999999"/>
    <n v="2.3788"/>
    <n v="2.2719"/>
    <n v="2.2635999999999998"/>
  </r>
  <r>
    <x v="6"/>
    <x v="4"/>
    <s v="DKEINNGSFCCO"/>
    <n v="0"/>
    <n v="0"/>
    <n v="0"/>
    <n v="0"/>
  </r>
  <r>
    <x v="6"/>
    <x v="4"/>
    <s v="DKEINBIOFC0O"/>
    <n v="1.3927"/>
    <n v="1.3579000000000001"/>
    <n v="1.1547000000000001"/>
    <n v="1.1412"/>
  </r>
  <r>
    <x v="6"/>
    <x v="4"/>
    <s v="DKEINELCFC0O"/>
    <n v="1.7977000000000001"/>
    <n v="1.6651"/>
    <n v="1.6428"/>
    <n v="1.7351000000000001"/>
  </r>
  <r>
    <x v="6"/>
    <x v="4"/>
    <s v="DKEINHY2FC0O"/>
    <n v="0"/>
    <n v="0"/>
    <n v="0"/>
    <n v="0"/>
  </r>
  <r>
    <x v="6"/>
    <x v="4"/>
    <s v="DKEINSTH000O"/>
    <n v="0"/>
    <n v="0"/>
    <n v="0"/>
    <n v="0"/>
  </r>
  <r>
    <x v="6"/>
    <x v="4"/>
    <s v="DKEINHEA000O"/>
    <n v="2.319"/>
    <n v="2.1745000000000001"/>
    <n v="2.2002000000000002"/>
    <n v="2.2968999999999999"/>
  </r>
  <r>
    <x v="7"/>
    <x v="7"/>
    <s v="EEEINOILFC0A"/>
    <n v="2.3099999999999999E-2"/>
    <n v="4.0300000000000002E-2"/>
    <n v="3.6700000000000003E-2"/>
    <n v="2.3400000000000001E-2"/>
  </r>
  <r>
    <x v="7"/>
    <x v="7"/>
    <s v="EEEINCOAFC0A"/>
    <n v="0"/>
    <n v="0"/>
    <n v="0"/>
    <n v="0"/>
  </r>
  <r>
    <x v="7"/>
    <x v="7"/>
    <s v="EEEINCOAFCCA"/>
    <n v="0"/>
    <n v="0"/>
    <n v="0"/>
    <n v="0"/>
  </r>
  <r>
    <x v="7"/>
    <x v="7"/>
    <s v="EEEINNGSFC0A"/>
    <n v="6.5100000000000005E-2"/>
    <n v="6.6900000000000001E-2"/>
    <n v="5.8999999999999997E-2"/>
    <n v="8.0100000000000005E-2"/>
  </r>
  <r>
    <x v="7"/>
    <x v="7"/>
    <s v="EEEINNGSFCCA"/>
    <n v="0"/>
    <n v="0"/>
    <n v="0"/>
    <n v="0"/>
  </r>
  <r>
    <x v="7"/>
    <x v="7"/>
    <s v="EEEINBIOFC0A"/>
    <n v="3.09E-2"/>
    <n v="2.76E-2"/>
    <n v="2.47E-2"/>
    <n v="2.8799999999999999E-2"/>
  </r>
  <r>
    <x v="7"/>
    <x v="7"/>
    <s v="EEEINELCFC0A"/>
    <n v="0.36930000000000002"/>
    <n v="0.248"/>
    <n v="0.24759999999999999"/>
    <n v="0.30549999999999999"/>
  </r>
  <r>
    <x v="7"/>
    <x v="7"/>
    <s v="EEEINHY2FC0A"/>
    <n v="0"/>
    <n v="0"/>
    <n v="0"/>
    <n v="0"/>
  </r>
  <r>
    <x v="7"/>
    <x v="7"/>
    <s v="EEEINSTH000A"/>
    <n v="0"/>
    <n v="0"/>
    <n v="0"/>
    <n v="0"/>
  </r>
  <r>
    <x v="7"/>
    <x v="7"/>
    <s v="EEEINHEA000A"/>
    <n v="0.15559999999999999"/>
    <n v="0.13500000000000001"/>
    <n v="0.17760000000000001"/>
    <n v="0.27710000000000001"/>
  </r>
  <r>
    <x v="7"/>
    <x v="3"/>
    <s v="EEEINOILFC0P"/>
    <n v="0"/>
    <n v="1.01E-2"/>
    <n v="7.1000000000000004E-3"/>
    <n v="7.4000000000000003E-3"/>
  </r>
  <r>
    <x v="7"/>
    <x v="3"/>
    <s v="EEEINCOAFC0P"/>
    <n v="0"/>
    <n v="0"/>
    <n v="0"/>
    <n v="0"/>
  </r>
  <r>
    <x v="7"/>
    <x v="3"/>
    <s v="EEEINCOAFCCP"/>
    <n v="0"/>
    <n v="0"/>
    <n v="0"/>
    <n v="0"/>
  </r>
  <r>
    <x v="7"/>
    <x v="3"/>
    <s v="EEEINNGSFC0P"/>
    <n v="0.92230000000000001"/>
    <n v="0.87590000000000001"/>
    <n v="0.89659999999999995"/>
    <n v="0.80459999999999998"/>
  </r>
  <r>
    <x v="7"/>
    <x v="3"/>
    <s v="EEEINNGSFCCP"/>
    <n v="0"/>
    <n v="0"/>
    <n v="0"/>
    <n v="0"/>
  </r>
  <r>
    <x v="7"/>
    <x v="3"/>
    <s v="EEEINBIOFC0P"/>
    <n v="0.1313"/>
    <n v="0.105"/>
    <n v="0.1144"/>
    <n v="0.154"/>
  </r>
  <r>
    <x v="7"/>
    <x v="3"/>
    <s v="EEEINELCFC0P"/>
    <n v="0.73899999999999999"/>
    <n v="0.51349999999999996"/>
    <n v="0.53400000000000003"/>
    <n v="0.58230000000000004"/>
  </r>
  <r>
    <x v="7"/>
    <x v="3"/>
    <s v="EEEINHY2FC0P"/>
    <n v="0"/>
    <n v="0"/>
    <n v="0"/>
    <n v="0"/>
  </r>
  <r>
    <x v="7"/>
    <x v="3"/>
    <s v="EEEINSTH000P"/>
    <n v="0"/>
    <n v="0"/>
    <n v="0"/>
    <n v="0"/>
  </r>
  <r>
    <x v="7"/>
    <x v="3"/>
    <s v="EEEINHEA000P"/>
    <n v="2.24E-2"/>
    <n v="2.47E-2"/>
    <n v="1.9400000000000001E-2"/>
    <n v="1.7100000000000001E-2"/>
  </r>
  <r>
    <x v="7"/>
    <x v="8"/>
    <s v="EEEINOILFC0W"/>
    <n v="3.2300000000000002E-2"/>
    <n v="0.105"/>
    <n v="0.1547"/>
    <n v="0.1091"/>
  </r>
  <r>
    <x v="7"/>
    <x v="8"/>
    <s v="EEEINCOAFC0W"/>
    <n v="0"/>
    <n v="0"/>
    <n v="0"/>
    <n v="0"/>
  </r>
  <r>
    <x v="7"/>
    <x v="8"/>
    <s v="EEEINCOAFCCW"/>
    <n v="0"/>
    <n v="0"/>
    <n v="0"/>
    <n v="0"/>
  </r>
  <r>
    <x v="7"/>
    <x v="8"/>
    <s v="EEEINNGSFC0W"/>
    <n v="0.17399999999999999"/>
    <n v="0.21229999999999999"/>
    <n v="0.2011"/>
    <n v="0.1802"/>
  </r>
  <r>
    <x v="7"/>
    <x v="8"/>
    <s v="EEEINNGSFCCW"/>
    <n v="0"/>
    <n v="0"/>
    <n v="0"/>
    <n v="0"/>
  </r>
  <r>
    <x v="7"/>
    <x v="8"/>
    <s v="EEEINBIOFC0W"/>
    <n v="9.4E-2"/>
    <n v="5.6800000000000003E-2"/>
    <n v="0.13489999999999999"/>
    <n v="8.5800000000000001E-2"/>
  </r>
  <r>
    <x v="7"/>
    <x v="8"/>
    <s v="EEEINELCFC0W"/>
    <n v="0.1099"/>
    <n v="0.1123"/>
    <n v="0.1181"/>
    <n v="0.1051"/>
  </r>
  <r>
    <x v="7"/>
    <x v="8"/>
    <s v="EEEINHY2FC0W"/>
    <n v="0"/>
    <n v="0"/>
    <n v="0"/>
    <n v="0"/>
  </r>
  <r>
    <x v="7"/>
    <x v="8"/>
    <s v="EEEINSTH000W"/>
    <n v="0"/>
    <n v="0"/>
    <n v="0"/>
    <n v="0"/>
  </r>
  <r>
    <x v="7"/>
    <x v="8"/>
    <s v="EEEINHEA000W"/>
    <n v="2.87E-2"/>
    <n v="2.7400000000000001E-2"/>
    <n v="2.3199999999999998E-2"/>
    <n v="1.9800000000000002E-2"/>
  </r>
  <r>
    <x v="7"/>
    <x v="5"/>
    <s v="EEEINOILFC0F"/>
    <n v="3.6999999999999998E-2"/>
    <n v="0.20630000000000001"/>
    <n v="0.15409999999999999"/>
    <n v="0.1237"/>
  </r>
  <r>
    <x v="7"/>
    <x v="5"/>
    <s v="EEEINCOAFC0F"/>
    <n v="0"/>
    <n v="0"/>
    <n v="0"/>
    <n v="0"/>
  </r>
  <r>
    <x v="7"/>
    <x v="5"/>
    <s v="EEEINCOAFCCF"/>
    <n v="0"/>
    <n v="0"/>
    <n v="0"/>
    <n v="0"/>
  </r>
  <r>
    <x v="7"/>
    <x v="5"/>
    <s v="EEEINNGSFC0F"/>
    <n v="0.50770000000000004"/>
    <n v="0.48520000000000002"/>
    <n v="0.61070000000000002"/>
    <n v="0.52259999999999995"/>
  </r>
  <r>
    <x v="7"/>
    <x v="5"/>
    <s v="EEEINNGSFCCF"/>
    <n v="0"/>
    <n v="0"/>
    <n v="0"/>
    <n v="0"/>
  </r>
  <r>
    <x v="7"/>
    <x v="5"/>
    <s v="EEEINBIOFC0F"/>
    <n v="7.9000000000000008E-3"/>
    <n v="9.9000000000000008E-3"/>
    <n v="1.43E-2"/>
    <n v="1.7500000000000002E-2"/>
  </r>
  <r>
    <x v="7"/>
    <x v="5"/>
    <s v="EEEINELCFC0F"/>
    <n v="0.2883"/>
    <n v="0.28699999999999998"/>
    <n v="0.29499999999999998"/>
    <n v="0.33310000000000001"/>
  </r>
  <r>
    <x v="7"/>
    <x v="5"/>
    <s v="EEEINHY2FC0F"/>
    <n v="0"/>
    <n v="0"/>
    <n v="0"/>
    <n v="0"/>
  </r>
  <r>
    <x v="7"/>
    <x v="5"/>
    <s v="EEEINSTH000F"/>
    <n v="0"/>
    <n v="0"/>
    <n v="0"/>
    <n v="0"/>
  </r>
  <r>
    <x v="7"/>
    <x v="5"/>
    <s v="EEEINHEA000F"/>
    <n v="5.8200000000000002E-2"/>
    <n v="5.2999999999999999E-2"/>
    <n v="6.0199999999999997E-2"/>
    <n v="5.2499999999999998E-2"/>
  </r>
  <r>
    <x v="7"/>
    <x v="4"/>
    <s v="EEEINOILFC0O"/>
    <n v="0.65680000000000005"/>
    <n v="0.59519999999999995"/>
    <n v="0.57930000000000004"/>
    <n v="0.28239999999999998"/>
  </r>
  <r>
    <x v="7"/>
    <x v="4"/>
    <s v="EEEINCOAFC0O"/>
    <n v="0.76549999999999996"/>
    <n v="0.77829999999999999"/>
    <n v="0.1181"/>
    <n v="1.9E-3"/>
  </r>
  <r>
    <x v="7"/>
    <x v="4"/>
    <s v="EEEINCOAFCCO"/>
    <n v="0"/>
    <n v="0"/>
    <n v="0"/>
    <n v="0"/>
  </r>
  <r>
    <x v="7"/>
    <x v="4"/>
    <s v="EEEINNGSFC0O"/>
    <n v="0.69969999999999999"/>
    <n v="0.52839999999999998"/>
    <n v="0.38390000000000002"/>
    <n v="0.58040000000000003"/>
  </r>
  <r>
    <x v="7"/>
    <x v="4"/>
    <s v="EEEINNGSFCCO"/>
    <n v="0"/>
    <n v="0"/>
    <n v="0"/>
    <n v="0"/>
  </r>
  <r>
    <x v="7"/>
    <x v="4"/>
    <s v="EEEINBIOFC0O"/>
    <n v="0.46060000000000001"/>
    <n v="0.38840000000000002"/>
    <n v="0.1057"/>
    <n v="4.1099999999999998E-2"/>
  </r>
  <r>
    <x v="7"/>
    <x v="4"/>
    <s v="EEEINELCFC0O"/>
    <n v="0.34570000000000001"/>
    <n v="0.34"/>
    <n v="0.30199999999999999"/>
    <n v="0.29470000000000002"/>
  </r>
  <r>
    <x v="7"/>
    <x v="4"/>
    <s v="EEEINHY2FC0O"/>
    <n v="0"/>
    <n v="0"/>
    <n v="0"/>
    <n v="0"/>
  </r>
  <r>
    <x v="7"/>
    <x v="4"/>
    <s v="EEEINSTH000O"/>
    <n v="0"/>
    <n v="0"/>
    <n v="0"/>
    <n v="0"/>
  </r>
  <r>
    <x v="7"/>
    <x v="4"/>
    <s v="EEEINHEA000O"/>
    <n v="0.61729999999999996"/>
    <n v="0.58250000000000002"/>
    <n v="0.64390000000000003"/>
    <n v="0.69610000000000005"/>
  </r>
  <r>
    <x v="8"/>
    <x v="0"/>
    <s v="GREINOILFC0I"/>
    <n v="0.21840000000000001"/>
    <n v="0.20069999999999999"/>
    <n v="0.20660000000000001"/>
    <n v="0.21929999999999999"/>
  </r>
  <r>
    <x v="8"/>
    <x v="0"/>
    <s v="GREINCOAFC0I"/>
    <n v="0"/>
    <n v="0"/>
    <n v="0"/>
    <n v="0"/>
  </r>
  <r>
    <x v="8"/>
    <x v="0"/>
    <s v="GREINCOAFCCI"/>
    <n v="0"/>
    <n v="0"/>
    <n v="0"/>
    <n v="0"/>
  </r>
  <r>
    <x v="8"/>
    <x v="0"/>
    <s v="GREINNGSFC0I"/>
    <n v="0.49959999999999999"/>
    <n v="0.54059999999999997"/>
    <n v="0.53939999999999999"/>
    <n v="0.70789999999999997"/>
  </r>
  <r>
    <x v="8"/>
    <x v="0"/>
    <s v="GREINNGSFCCI"/>
    <n v="0"/>
    <n v="0"/>
    <n v="0"/>
    <n v="0"/>
  </r>
  <r>
    <x v="8"/>
    <x v="0"/>
    <s v="GREINBIOFC0I"/>
    <n v="0"/>
    <n v="0"/>
    <n v="0"/>
    <n v="0"/>
  </r>
  <r>
    <x v="8"/>
    <x v="0"/>
    <s v="GREINELCFC0I"/>
    <n v="2.1366999999999998"/>
    <n v="2.4413999999999998"/>
    <n v="2.5630999999999999"/>
    <n v="2.2585000000000002"/>
  </r>
  <r>
    <x v="8"/>
    <x v="0"/>
    <s v="GREINHY2FC0I"/>
    <n v="0"/>
    <n v="0"/>
    <n v="0"/>
    <n v="0"/>
  </r>
  <r>
    <x v="8"/>
    <x v="0"/>
    <s v="GREINSTH000I"/>
    <n v="0"/>
    <n v="0"/>
    <n v="0"/>
    <n v="0"/>
  </r>
  <r>
    <x v="8"/>
    <x v="0"/>
    <s v="GREINHEA000I"/>
    <n v="3.0327000000000002"/>
    <n v="3.3831000000000002"/>
    <n v="3.5177"/>
    <n v="3.3813"/>
  </r>
  <r>
    <x v="8"/>
    <x v="6"/>
    <s v="GREINOILFC0M"/>
    <n v="0.1045"/>
    <n v="0.1328"/>
    <n v="0.11749999999999999"/>
    <n v="0.114"/>
  </r>
  <r>
    <x v="8"/>
    <x v="6"/>
    <s v="GREINCOAFC0M"/>
    <n v="0"/>
    <n v="0"/>
    <n v="0"/>
    <n v="0"/>
  </r>
  <r>
    <x v="8"/>
    <x v="6"/>
    <s v="GREINCOAFCCM"/>
    <n v="0"/>
    <n v="0"/>
    <n v="0"/>
    <n v="0"/>
  </r>
  <r>
    <x v="8"/>
    <x v="6"/>
    <s v="GREINNGSFC0M"/>
    <n v="2.1960000000000002"/>
    <n v="2.3959000000000001"/>
    <n v="4.1006999999999998"/>
    <n v="4.6174999999999997"/>
  </r>
  <r>
    <x v="8"/>
    <x v="6"/>
    <s v="GREINNGSFCCM"/>
    <n v="0"/>
    <n v="0"/>
    <n v="0"/>
    <n v="0"/>
  </r>
  <r>
    <x v="8"/>
    <x v="6"/>
    <s v="GREINBIOFC0M"/>
    <n v="0"/>
    <n v="0"/>
    <n v="0"/>
    <n v="0"/>
  </r>
  <r>
    <x v="8"/>
    <x v="6"/>
    <s v="GREINELCFC0M"/>
    <n v="8.3653999999999993"/>
    <n v="7.1374000000000004"/>
    <n v="6.5488"/>
    <n v="6.8478000000000003"/>
  </r>
  <r>
    <x v="8"/>
    <x v="6"/>
    <s v="GREINHY2FC0M"/>
    <n v="0"/>
    <n v="0"/>
    <n v="0"/>
    <n v="0"/>
  </r>
  <r>
    <x v="8"/>
    <x v="6"/>
    <s v="GREINSTH000M"/>
    <n v="0"/>
    <n v="0"/>
    <n v="0"/>
    <n v="0"/>
  </r>
  <r>
    <x v="8"/>
    <x v="6"/>
    <s v="GREINHEA000M"/>
    <n v="0"/>
    <n v="0"/>
    <n v="0"/>
    <n v="0"/>
  </r>
  <r>
    <x v="8"/>
    <x v="2"/>
    <s v="GREINOILFC0N"/>
    <n v="9.6379000000000001"/>
    <n v="10.4597"/>
    <n v="7.4930000000000003"/>
    <n v="8.3216999999999999"/>
  </r>
  <r>
    <x v="8"/>
    <x v="2"/>
    <s v="GREINCOAFC0N"/>
    <n v="2.4893000000000001"/>
    <n v="1.3433999999999999"/>
    <n v="2.1558999999999999"/>
    <n v="3.0501999999999998"/>
  </r>
  <r>
    <x v="8"/>
    <x v="2"/>
    <s v="GREINCOAFCCN"/>
    <n v="0"/>
    <n v="0"/>
    <n v="0"/>
    <n v="0"/>
  </r>
  <r>
    <x v="8"/>
    <x v="2"/>
    <s v="GREINNGSFC0N"/>
    <n v="0.41289999999999999"/>
    <n v="0.37580000000000002"/>
    <n v="0.83840000000000003"/>
    <n v="0.89739999999999998"/>
  </r>
  <r>
    <x v="8"/>
    <x v="2"/>
    <s v="GREINNGSFCCN"/>
    <n v="0"/>
    <n v="0"/>
    <n v="0"/>
    <n v="0"/>
  </r>
  <r>
    <x v="8"/>
    <x v="2"/>
    <s v="GREINBIOFC0N"/>
    <n v="8.7999999999999995E-2"/>
    <n v="0.17030000000000001"/>
    <n v="0.1052"/>
    <n v="0.42159999999999997"/>
  </r>
  <r>
    <x v="8"/>
    <x v="2"/>
    <s v="GREINELCFC0N"/>
    <n v="0.71030000000000004"/>
    <n v="0.85029999999999994"/>
    <n v="0.69830000000000003"/>
    <n v="0.72089999999999999"/>
  </r>
  <r>
    <x v="8"/>
    <x v="2"/>
    <s v="GREINHY2FC0N"/>
    <n v="0"/>
    <n v="0"/>
    <n v="0"/>
    <n v="0"/>
  </r>
  <r>
    <x v="8"/>
    <x v="2"/>
    <s v="GREINSTH000N"/>
    <n v="0"/>
    <n v="0"/>
    <n v="0"/>
    <n v="0"/>
  </r>
  <r>
    <x v="8"/>
    <x v="2"/>
    <s v="GREINHEA000N"/>
    <n v="0"/>
    <n v="0"/>
    <n v="0"/>
    <n v="0"/>
  </r>
  <r>
    <x v="8"/>
    <x v="5"/>
    <s v="GREINOILFC0F"/>
    <n v="3.0112999999999999"/>
    <n v="2.8942000000000001"/>
    <n v="2.7719999999999998"/>
    <n v="2.8662999999999998"/>
  </r>
  <r>
    <x v="8"/>
    <x v="5"/>
    <s v="GREINCOAFC0F"/>
    <n v="0"/>
    <n v="0"/>
    <n v="0"/>
    <n v="0"/>
  </r>
  <r>
    <x v="8"/>
    <x v="5"/>
    <s v="GREINCOAFCCF"/>
    <n v="0"/>
    <n v="0"/>
    <n v="0"/>
    <n v="0"/>
  </r>
  <r>
    <x v="8"/>
    <x v="5"/>
    <s v="GREINNGSFC0F"/>
    <n v="1.2152000000000001"/>
    <n v="1.2645"/>
    <n v="1.4434"/>
    <n v="1.8124"/>
  </r>
  <r>
    <x v="8"/>
    <x v="5"/>
    <s v="GREINNGSFCCF"/>
    <n v="0"/>
    <n v="0"/>
    <n v="0"/>
    <n v="0"/>
  </r>
  <r>
    <x v="8"/>
    <x v="5"/>
    <s v="GREINBIOFC0F"/>
    <n v="1.8337000000000001"/>
    <n v="1.575"/>
    <n v="1.8127"/>
    <n v="1.0788"/>
  </r>
  <r>
    <x v="8"/>
    <x v="5"/>
    <s v="GREINELCFC0F"/>
    <n v="1.5004999999999999"/>
    <n v="1.7441"/>
    <n v="1.8403"/>
    <n v="1.8687"/>
  </r>
  <r>
    <x v="8"/>
    <x v="5"/>
    <s v="GREINHY2FC0F"/>
    <n v="0"/>
    <n v="0"/>
    <n v="0"/>
    <n v="0"/>
  </r>
  <r>
    <x v="8"/>
    <x v="5"/>
    <s v="GREINSTH000F"/>
    <n v="0"/>
    <n v="0"/>
    <n v="0"/>
    <n v="0"/>
  </r>
  <r>
    <x v="8"/>
    <x v="5"/>
    <s v="GREINHEA000F"/>
    <n v="0"/>
    <n v="0"/>
    <n v="0"/>
    <n v="0"/>
  </r>
  <r>
    <x v="8"/>
    <x v="4"/>
    <s v="GREINOILFC0O"/>
    <n v="5.6167999999999996"/>
    <n v="3.9093"/>
    <n v="3.3544999999999998"/>
    <n v="3.2414999999999998"/>
  </r>
  <r>
    <x v="8"/>
    <x v="4"/>
    <s v="GREINCOAFC0O"/>
    <n v="2.3420000000000001"/>
    <n v="1.8686"/>
    <n v="0.95940000000000003"/>
    <n v="0.67759999999999998"/>
  </r>
  <r>
    <x v="8"/>
    <x v="4"/>
    <s v="GREINCOAFCCO"/>
    <n v="0"/>
    <n v="0"/>
    <n v="0"/>
    <n v="0"/>
  </r>
  <r>
    <x v="8"/>
    <x v="4"/>
    <s v="GREINNGSFC0O"/>
    <n v="2.0912999999999999"/>
    <n v="2.2136999999999998"/>
    <n v="2.5853999999999999"/>
    <n v="1.9918"/>
  </r>
  <r>
    <x v="8"/>
    <x v="4"/>
    <s v="GREINNGSFCCO"/>
    <n v="0"/>
    <n v="0"/>
    <n v="0"/>
    <n v="0"/>
  </r>
  <r>
    <x v="8"/>
    <x v="4"/>
    <s v="GREINBIOFC0O"/>
    <n v="0.33960000000000001"/>
    <n v="0.38590000000000002"/>
    <n v="0.39069999999999999"/>
    <n v="0.46179999999999999"/>
  </r>
  <r>
    <x v="8"/>
    <x v="4"/>
    <s v="GREINELCFC0O"/>
    <n v="2.4859"/>
    <n v="2.9864000000000002"/>
    <n v="2.7858999999999998"/>
    <n v="2.4074"/>
  </r>
  <r>
    <x v="8"/>
    <x v="4"/>
    <s v="GREINHY2FC0O"/>
    <n v="0"/>
    <n v="0"/>
    <n v="0"/>
    <n v="0"/>
  </r>
  <r>
    <x v="8"/>
    <x v="4"/>
    <s v="GREINSTH000O"/>
    <n v="5.2200000000000003E-2"/>
    <n v="5.3699999999999998E-2"/>
    <n v="5.4800000000000001E-2"/>
    <n v="5.67E-2"/>
  </r>
  <r>
    <x v="8"/>
    <x v="4"/>
    <s v="GREINHEA000O"/>
    <n v="0"/>
    <n v="0"/>
    <n v="0"/>
    <n v="0"/>
  </r>
  <r>
    <x v="9"/>
    <x v="0"/>
    <s v="ESEINOILFC0I"/>
    <n v="1.5621"/>
    <n v="1.5748"/>
    <n v="1.1648000000000001"/>
    <n v="1.1886000000000001"/>
  </r>
  <r>
    <x v="9"/>
    <x v="0"/>
    <s v="ESEINCOAFC0I"/>
    <n v="1.6403000000000001"/>
    <n v="1.6355"/>
    <n v="1.3954"/>
    <n v="1.6889000000000001"/>
  </r>
  <r>
    <x v="9"/>
    <x v="0"/>
    <s v="ESEINCOAFCCI"/>
    <n v="0"/>
    <n v="0"/>
    <n v="0"/>
    <n v="0"/>
  </r>
  <r>
    <x v="9"/>
    <x v="0"/>
    <s v="ESEINNGSFC0I"/>
    <n v="15.486599999999999"/>
    <n v="14.456200000000001"/>
    <n v="13.818099999999999"/>
    <n v="15.3606"/>
  </r>
  <r>
    <x v="9"/>
    <x v="0"/>
    <s v="ESEINNGSFCCI"/>
    <n v="0"/>
    <n v="0"/>
    <n v="0"/>
    <n v="0"/>
  </r>
  <r>
    <x v="9"/>
    <x v="0"/>
    <s v="ESEINBIOFC0I"/>
    <n v="0"/>
    <n v="0"/>
    <n v="0"/>
    <n v="0"/>
  </r>
  <r>
    <x v="9"/>
    <x v="0"/>
    <s v="ESEINELCFC0I"/>
    <n v="31.883400000000002"/>
    <n v="28.087800000000001"/>
    <n v="23.168099999999999"/>
    <n v="25.830500000000001"/>
  </r>
  <r>
    <x v="9"/>
    <x v="0"/>
    <s v="ESEINHY2FC0I"/>
    <n v="0"/>
    <n v="0"/>
    <n v="0"/>
    <n v="0"/>
  </r>
  <r>
    <x v="9"/>
    <x v="0"/>
    <s v="ESEINSTH000I"/>
    <n v="1E-4"/>
    <n v="2.0000000000000001E-4"/>
    <n v="2.0000000000000001E-4"/>
    <n v="2.0000000000000001E-4"/>
  </r>
  <r>
    <x v="9"/>
    <x v="0"/>
    <s v="ESEINHEA000I"/>
    <n v="27.507200000000001"/>
    <n v="26.7148"/>
    <n v="24.7029"/>
    <n v="28.038799999999998"/>
  </r>
  <r>
    <x v="9"/>
    <x v="1"/>
    <s v="ESEINOILFC0C"/>
    <n v="2.7917999999999998"/>
    <n v="1.8313999999999999"/>
    <n v="1.3649"/>
    <n v="1.5958000000000001"/>
  </r>
  <r>
    <x v="9"/>
    <x v="1"/>
    <s v="ESEINCOAFC0C"/>
    <n v="2.7631000000000001"/>
    <n v="2.4994999999999998"/>
    <n v="2.4159999999999999"/>
    <n v="2.399"/>
  </r>
  <r>
    <x v="9"/>
    <x v="1"/>
    <s v="ESEINCOAFCCC"/>
    <n v="0"/>
    <n v="0"/>
    <n v="0"/>
    <n v="0"/>
  </r>
  <r>
    <x v="9"/>
    <x v="1"/>
    <s v="ESEINNGSFC0C"/>
    <n v="61.674599999999998"/>
    <n v="64.548100000000005"/>
    <n v="62.260899999999999"/>
    <n v="67.064499999999995"/>
  </r>
  <r>
    <x v="9"/>
    <x v="1"/>
    <s v="ESEINNGSFCCC"/>
    <n v="0"/>
    <n v="0"/>
    <n v="0"/>
    <n v="0"/>
  </r>
  <r>
    <x v="9"/>
    <x v="1"/>
    <s v="ESEINBIOFC0C"/>
    <n v="0.1479"/>
    <n v="0.15029999999999999"/>
    <n v="0.1802"/>
    <n v="0.23480000000000001"/>
  </r>
  <r>
    <x v="9"/>
    <x v="1"/>
    <s v="ESEINELCFC0C"/>
    <n v="0.66149999999999998"/>
    <n v="0.65080000000000005"/>
    <n v="0.76239999999999997"/>
    <n v="0.83330000000000004"/>
  </r>
  <r>
    <x v="9"/>
    <x v="1"/>
    <s v="ESEINHY2FC0C"/>
    <n v="0"/>
    <n v="0"/>
    <n v="0"/>
    <n v="0"/>
  </r>
  <r>
    <x v="9"/>
    <x v="1"/>
    <s v="ESEINSTH000C"/>
    <n v="5.4000000000000003E-3"/>
    <n v="5.5999999999999999E-3"/>
    <n v="5.7999999999999996E-3"/>
    <n v="5.8999999999999999E-3"/>
  </r>
  <r>
    <x v="9"/>
    <x v="1"/>
    <s v="ESEINHEA000C"/>
    <n v="0"/>
    <n v="0"/>
    <n v="0"/>
    <n v="0"/>
  </r>
  <r>
    <x v="9"/>
    <x v="2"/>
    <s v="ESEINOILFC0N"/>
    <n v="32.308399999999999"/>
    <n v="31.133700000000001"/>
    <n v="25.5868"/>
    <n v="23.459900000000001"/>
  </r>
  <r>
    <x v="9"/>
    <x v="2"/>
    <s v="ESEINCOAFC0N"/>
    <n v="0.2485"/>
    <n v="0.1845"/>
    <n v="0.18629999999999999"/>
    <n v="0.18940000000000001"/>
  </r>
  <r>
    <x v="9"/>
    <x v="2"/>
    <s v="ESEINCOAFCCN"/>
    <n v="0"/>
    <n v="0"/>
    <n v="0"/>
    <n v="0"/>
  </r>
  <r>
    <x v="9"/>
    <x v="2"/>
    <s v="ESEINNGSFC0N"/>
    <n v="39.431699999999999"/>
    <n v="39.6858"/>
    <n v="38.0306"/>
    <n v="43.536200000000001"/>
  </r>
  <r>
    <x v="9"/>
    <x v="2"/>
    <s v="ESEINNGSFCCN"/>
    <n v="0"/>
    <n v="0"/>
    <n v="0"/>
    <n v="0"/>
  </r>
  <r>
    <x v="9"/>
    <x v="2"/>
    <s v="ESEINBIOFC0N"/>
    <n v="9.5614000000000008"/>
    <n v="10.225"/>
    <n v="10.086600000000001"/>
    <n v="11.2468"/>
  </r>
  <r>
    <x v="9"/>
    <x v="2"/>
    <s v="ESEINELCFC0N"/>
    <n v="5.1562999999999999"/>
    <n v="5.3282999999999996"/>
    <n v="4.9217000000000004"/>
    <n v="6.2617000000000003"/>
  </r>
  <r>
    <x v="9"/>
    <x v="2"/>
    <s v="ESEINHY2FC0N"/>
    <n v="0"/>
    <n v="0"/>
    <n v="0"/>
    <n v="0"/>
  </r>
  <r>
    <x v="9"/>
    <x v="2"/>
    <s v="ESEINSTH000N"/>
    <n v="1.4E-3"/>
    <n v="1.5E-3"/>
    <n v="1.5E-3"/>
    <n v="1.4E-3"/>
  </r>
  <r>
    <x v="9"/>
    <x v="2"/>
    <s v="ESEINHEA000N"/>
    <n v="0"/>
    <n v="0"/>
    <n v="0"/>
    <n v="0"/>
  </r>
  <r>
    <x v="9"/>
    <x v="5"/>
    <s v="ESEINOILFC0F"/>
    <n v="5.2027000000000001"/>
    <n v="5.1546000000000003"/>
    <n v="5.0327999999999999"/>
    <n v="4.1307"/>
  </r>
  <r>
    <x v="9"/>
    <x v="5"/>
    <s v="ESEINCOAFC0F"/>
    <n v="0.43059999999999998"/>
    <n v="0.41110000000000002"/>
    <n v="0.33800000000000002"/>
    <n v="0.44409999999999999"/>
  </r>
  <r>
    <x v="9"/>
    <x v="5"/>
    <s v="ESEINCOAFCCF"/>
    <n v="0"/>
    <n v="0"/>
    <n v="0"/>
    <n v="0"/>
  </r>
  <r>
    <x v="9"/>
    <x v="5"/>
    <s v="ESEINNGSFC0F"/>
    <n v="18.738299999999999"/>
    <n v="19.034400000000002"/>
    <n v="17.834900000000001"/>
    <n v="20.316199999999998"/>
  </r>
  <r>
    <x v="9"/>
    <x v="5"/>
    <s v="ESEINNGSFCCF"/>
    <n v="0"/>
    <n v="0"/>
    <n v="0"/>
    <n v="0"/>
  </r>
  <r>
    <x v="9"/>
    <x v="5"/>
    <s v="ESEINBIOFC0F"/>
    <n v="7.5918999999999999"/>
    <n v="7.6028000000000002"/>
    <n v="7.6524000000000001"/>
    <n v="7.6559999999999997"/>
  </r>
  <r>
    <x v="9"/>
    <x v="5"/>
    <s v="ESEINELCFC0F"/>
    <n v="9.4031000000000002"/>
    <n v="10.108599999999999"/>
    <n v="9.2792999999999992"/>
    <n v="10.7704"/>
  </r>
  <r>
    <x v="9"/>
    <x v="5"/>
    <s v="ESEINHY2FC0F"/>
    <n v="0"/>
    <n v="0"/>
    <n v="0"/>
    <n v="0"/>
  </r>
  <r>
    <x v="9"/>
    <x v="5"/>
    <s v="ESEINSTH000F"/>
    <n v="3.0200000000000001E-2"/>
    <n v="3.0200000000000001E-2"/>
    <n v="3.0099999999999998E-2"/>
    <n v="2.98E-2"/>
  </r>
  <r>
    <x v="9"/>
    <x v="5"/>
    <s v="ESEINHEA000F"/>
    <n v="0"/>
    <n v="0"/>
    <n v="0"/>
    <n v="0"/>
  </r>
  <r>
    <x v="9"/>
    <x v="4"/>
    <s v="ESEINOILFC0O"/>
    <n v="17.078399999999998"/>
    <n v="17.702300000000001"/>
    <n v="15.025"/>
    <n v="14.972300000000001"/>
  </r>
  <r>
    <x v="9"/>
    <x v="4"/>
    <s v="ESEINCOAFC0O"/>
    <n v="0.187"/>
    <n v="1.0999999999999999E-2"/>
    <n v="1.0999999999999999E-2"/>
    <n v="2.1899999999999999E-2"/>
  </r>
  <r>
    <x v="9"/>
    <x v="4"/>
    <s v="ESEINCOAFCCO"/>
    <n v="0"/>
    <n v="0"/>
    <n v="0"/>
    <n v="0"/>
  </r>
  <r>
    <x v="9"/>
    <x v="4"/>
    <s v="ESEINNGSFC0O"/>
    <n v="55.162700000000001"/>
    <n v="58.705399999999997"/>
    <n v="54.674900000000001"/>
    <n v="58.343299999999999"/>
  </r>
  <r>
    <x v="9"/>
    <x v="4"/>
    <s v="ESEINNGSFCCO"/>
    <n v="0"/>
    <n v="0"/>
    <n v="0"/>
    <n v="0"/>
  </r>
  <r>
    <x v="9"/>
    <x v="4"/>
    <s v="ESEINBIOFC0O"/>
    <n v="24.196200000000001"/>
    <n v="26.956299999999999"/>
    <n v="21.260400000000001"/>
    <n v="22.3095"/>
  </r>
  <r>
    <x v="9"/>
    <x v="4"/>
    <s v="ESEINELCFC0O"/>
    <n v="35.847200000000001"/>
    <n v="34.073399999999999"/>
    <n v="30.613900000000001"/>
    <n v="32.594999999999999"/>
  </r>
  <r>
    <x v="9"/>
    <x v="4"/>
    <s v="ESEINHY2FC0O"/>
    <n v="0"/>
    <n v="0"/>
    <n v="0"/>
    <n v="0"/>
  </r>
  <r>
    <x v="9"/>
    <x v="4"/>
    <s v="ESEINSTH000O"/>
    <n v="5.3100000000000001E-2"/>
    <n v="5.4800000000000001E-2"/>
    <n v="5.5199999999999999E-2"/>
    <n v="5.5800000000000002E-2"/>
  </r>
  <r>
    <x v="9"/>
    <x v="4"/>
    <s v="ESEINHEA000O"/>
    <n v="0"/>
    <n v="0"/>
    <n v="0"/>
    <n v="0"/>
  </r>
  <r>
    <x v="10"/>
    <x v="0"/>
    <s v="FIEINOILFC0I"/>
    <n v="1.9708000000000001"/>
    <n v="0.28799999999999998"/>
    <n v="0.17080000000000001"/>
    <n v="0.15620000000000001"/>
  </r>
  <r>
    <x v="10"/>
    <x v="0"/>
    <s v="FIEINCOAFC0I"/>
    <n v="0.62170000000000003"/>
    <n v="0.60570000000000002"/>
    <n v="0.62170000000000003"/>
    <n v="0.69910000000000005"/>
  </r>
  <r>
    <x v="10"/>
    <x v="0"/>
    <s v="FIEINCOAFCCI"/>
    <n v="0"/>
    <n v="0"/>
    <n v="0"/>
    <n v="0"/>
  </r>
  <r>
    <x v="10"/>
    <x v="0"/>
    <s v="FIEINNGSFC0I"/>
    <n v="4.0195999999999996"/>
    <n v="5.6022999999999996"/>
    <n v="5.4721000000000002"/>
    <n v="6.1483999999999996"/>
  </r>
  <r>
    <x v="10"/>
    <x v="0"/>
    <s v="FIEINNGSFCCI"/>
    <n v="0"/>
    <n v="0"/>
    <n v="0"/>
    <n v="0"/>
  </r>
  <r>
    <x v="10"/>
    <x v="0"/>
    <s v="FIEINBIOFC0I"/>
    <n v="4.0000000000000002E-4"/>
    <n v="0"/>
    <n v="0"/>
    <n v="0"/>
  </r>
  <r>
    <x v="10"/>
    <x v="0"/>
    <s v="FIEINELCFC0I"/>
    <n v="8.5023999999999997"/>
    <n v="8.5383999999999993"/>
    <n v="8.5332000000000008"/>
    <n v="9.7418999999999993"/>
  </r>
  <r>
    <x v="10"/>
    <x v="0"/>
    <s v="FIEINHY2FC0I"/>
    <n v="0"/>
    <n v="0"/>
    <n v="0"/>
    <n v="0"/>
  </r>
  <r>
    <x v="10"/>
    <x v="0"/>
    <s v="FIEINSTH000I"/>
    <n v="0"/>
    <n v="0"/>
    <n v="0"/>
    <n v="0"/>
  </r>
  <r>
    <x v="10"/>
    <x v="0"/>
    <s v="FIEINHEA000I"/>
    <n v="5.7525000000000004"/>
    <n v="5.6932"/>
    <n v="5.3023999999999996"/>
    <n v="6.1109999999999998"/>
  </r>
  <r>
    <x v="10"/>
    <x v="1"/>
    <s v="FIEINOILFC0C"/>
    <n v="5.9158999999999997"/>
    <n v="6.0071000000000003"/>
    <n v="5.7397"/>
    <n v="5.7281000000000004"/>
  </r>
  <r>
    <x v="10"/>
    <x v="1"/>
    <s v="FIEINCOAFC0C"/>
    <n v="0"/>
    <n v="0"/>
    <n v="0"/>
    <n v="0"/>
  </r>
  <r>
    <x v="10"/>
    <x v="1"/>
    <s v="FIEINCOAFCCC"/>
    <n v="0"/>
    <n v="0"/>
    <n v="0"/>
    <n v="0"/>
  </r>
  <r>
    <x v="10"/>
    <x v="1"/>
    <s v="FIEINNGSFC0C"/>
    <n v="1.6282000000000001"/>
    <n v="1.3626"/>
    <n v="1.3671"/>
    <n v="1.3483000000000001"/>
  </r>
  <r>
    <x v="10"/>
    <x v="1"/>
    <s v="FIEINNGSFCCC"/>
    <n v="0"/>
    <n v="0"/>
    <n v="0"/>
    <n v="0"/>
  </r>
  <r>
    <x v="10"/>
    <x v="1"/>
    <s v="FIEINBIOFC0C"/>
    <n v="0.45960000000000001"/>
    <n v="0.40460000000000002"/>
    <n v="0.36709999999999998"/>
    <n v="0.38919999999999999"/>
  </r>
  <r>
    <x v="10"/>
    <x v="1"/>
    <s v="FIEINELCFC0C"/>
    <n v="2.5459999999999998"/>
    <n v="2.5171999999999999"/>
    <n v="2.4411999999999998"/>
    <n v="2.6410999999999998"/>
  </r>
  <r>
    <x v="10"/>
    <x v="1"/>
    <s v="FIEINHY2FC0C"/>
    <n v="0"/>
    <n v="0"/>
    <n v="0"/>
    <n v="0"/>
  </r>
  <r>
    <x v="10"/>
    <x v="1"/>
    <s v="FIEINSTH000C"/>
    <n v="0"/>
    <n v="0"/>
    <n v="0"/>
    <n v="0"/>
  </r>
  <r>
    <x v="10"/>
    <x v="1"/>
    <s v="FIEINHEA000C"/>
    <n v="8.4930000000000003"/>
    <n v="8.1857000000000006"/>
    <n v="7.9551999999999996"/>
    <n v="8.1308000000000007"/>
  </r>
  <r>
    <x v="10"/>
    <x v="8"/>
    <s v="FIEINOILFC0W"/>
    <n v="0.1477"/>
    <n v="0.10580000000000001"/>
    <n v="6.2899999999999998E-2"/>
    <n v="6.8699999999999997E-2"/>
  </r>
  <r>
    <x v="10"/>
    <x v="8"/>
    <s v="FIEINCOAFC0W"/>
    <n v="6.6600000000000006E-2"/>
    <n v="3.1899999999999998E-2"/>
    <n v="1.7000000000000001E-2"/>
    <n v="2.5899999999999999E-2"/>
  </r>
  <r>
    <x v="10"/>
    <x v="8"/>
    <s v="FIEINCOAFCCW"/>
    <n v="0"/>
    <n v="0"/>
    <n v="0"/>
    <n v="0"/>
  </r>
  <r>
    <x v="10"/>
    <x v="8"/>
    <s v="FIEINNGSFC0W"/>
    <n v="0"/>
    <n v="3.3E-3"/>
    <n v="2.7000000000000001E-3"/>
    <n v="2.7000000000000001E-3"/>
  </r>
  <r>
    <x v="10"/>
    <x v="8"/>
    <s v="FIEINNGSFCCW"/>
    <n v="0"/>
    <n v="0"/>
    <n v="0"/>
    <n v="0"/>
  </r>
  <r>
    <x v="10"/>
    <x v="8"/>
    <s v="FIEINBIOFC0W"/>
    <n v="3.4178000000000002"/>
    <n v="3.2241"/>
    <n v="3.3338000000000001"/>
    <n v="3.7730000000000001"/>
  </r>
  <r>
    <x v="10"/>
    <x v="8"/>
    <s v="FIEINELCFC0W"/>
    <n v="0.3921"/>
    <n v="0.37080000000000002"/>
    <n v="0.36459999999999998"/>
    <n v="0.39350000000000002"/>
  </r>
  <r>
    <x v="10"/>
    <x v="8"/>
    <s v="FIEINHY2FC0W"/>
    <n v="0"/>
    <n v="0"/>
    <n v="0"/>
    <n v="0"/>
  </r>
  <r>
    <x v="10"/>
    <x v="8"/>
    <s v="FIEINSTH000W"/>
    <n v="0"/>
    <n v="0"/>
    <n v="0"/>
    <n v="0"/>
  </r>
  <r>
    <x v="10"/>
    <x v="8"/>
    <s v="FIEINHEA000W"/>
    <n v="3.7837000000000001"/>
    <n v="3.6551999999999998"/>
    <n v="3.6920000000000002"/>
    <n v="3.6707000000000001"/>
  </r>
  <r>
    <x v="10"/>
    <x v="3"/>
    <s v="FIEINOILFC0P"/>
    <n v="4.3974000000000002"/>
    <n v="4.0660999999999996"/>
    <n v="2.956"/>
    <n v="2.9108999999999998"/>
  </r>
  <r>
    <x v="10"/>
    <x v="3"/>
    <s v="FIEINCOAFC0P"/>
    <n v="4.9829999999999997"/>
    <n v="4.8262"/>
    <n v="3.8792"/>
    <n v="3.8260999999999998"/>
  </r>
  <r>
    <x v="10"/>
    <x v="3"/>
    <s v="FIEINCOAFCCP"/>
    <n v="0"/>
    <n v="0"/>
    <n v="0"/>
    <n v="0"/>
  </r>
  <r>
    <x v="10"/>
    <x v="3"/>
    <s v="FIEINNGSFC0P"/>
    <n v="13.299099999999999"/>
    <n v="13.7187"/>
    <n v="13.327999999999999"/>
    <n v="15.016500000000001"/>
  </r>
  <r>
    <x v="10"/>
    <x v="3"/>
    <s v="FIEINNGSFCCP"/>
    <n v="0"/>
    <n v="0"/>
    <n v="0"/>
    <n v="0"/>
  </r>
  <r>
    <x v="10"/>
    <x v="3"/>
    <s v="FIEINBIOFC0P"/>
    <n v="100.1289"/>
    <n v="102.7257"/>
    <n v="95.065899999999999"/>
    <n v="99.424099999999996"/>
  </r>
  <r>
    <x v="10"/>
    <x v="3"/>
    <s v="FIEINELCFC0P"/>
    <n v="24.278500000000001"/>
    <n v="23.256599999999999"/>
    <n v="19.7363"/>
    <n v="21.157900000000001"/>
  </r>
  <r>
    <x v="10"/>
    <x v="3"/>
    <s v="FIEINHY2FC0P"/>
    <n v="0"/>
    <n v="0"/>
    <n v="0"/>
    <n v="0"/>
  </r>
  <r>
    <x v="10"/>
    <x v="3"/>
    <s v="FIEINSTH000P"/>
    <n v="0"/>
    <n v="0"/>
    <n v="0"/>
    <n v="0"/>
  </r>
  <r>
    <x v="10"/>
    <x v="3"/>
    <s v="FIEINHEA000P"/>
    <n v="9.5581999999999994"/>
    <n v="9.5137999999999998"/>
    <n v="8.6691000000000003"/>
    <n v="9.3640000000000008"/>
  </r>
  <r>
    <x v="10"/>
    <x v="4"/>
    <s v="FIEINOILFC0O"/>
    <n v="10.188000000000001"/>
    <n v="10.1211"/>
    <n v="9.8045000000000009"/>
    <n v="9.9610000000000003"/>
  </r>
  <r>
    <x v="10"/>
    <x v="4"/>
    <s v="FIEINCOAFC0O"/>
    <n v="1.2076"/>
    <n v="1.1009"/>
    <n v="0.83440000000000003"/>
    <n v="0.82099999999999995"/>
  </r>
  <r>
    <x v="10"/>
    <x v="4"/>
    <s v="FIEINCOAFCCO"/>
    <n v="0"/>
    <n v="0"/>
    <n v="0"/>
    <n v="0"/>
  </r>
  <r>
    <x v="10"/>
    <x v="4"/>
    <s v="FIEINNGSFC0O"/>
    <n v="1.8754999999999999"/>
    <n v="1.9731000000000001"/>
    <n v="1.9629000000000001"/>
    <n v="2.2336"/>
  </r>
  <r>
    <x v="10"/>
    <x v="4"/>
    <s v="FIEINNGSFCCO"/>
    <n v="0"/>
    <n v="0"/>
    <n v="0"/>
    <n v="0"/>
  </r>
  <r>
    <x v="10"/>
    <x v="4"/>
    <s v="FIEINBIOFC0O"/>
    <n v="1.1954"/>
    <n v="1.1558999999999999"/>
    <n v="1.2658"/>
    <n v="1.2323999999999999"/>
  </r>
  <r>
    <x v="10"/>
    <x v="4"/>
    <s v="FIEINELCFC0O"/>
    <n v="9.8935999999999993"/>
    <n v="9.7738999999999994"/>
    <n v="9.8697999999999997"/>
    <n v="10.1312"/>
  </r>
  <r>
    <x v="10"/>
    <x v="4"/>
    <s v="FIEINHY2FC0O"/>
    <n v="0"/>
    <n v="0"/>
    <n v="0"/>
    <n v="0"/>
  </r>
  <r>
    <x v="10"/>
    <x v="4"/>
    <s v="FIEINSTH000O"/>
    <n v="0"/>
    <n v="0"/>
    <n v="0"/>
    <n v="0"/>
  </r>
  <r>
    <x v="10"/>
    <x v="4"/>
    <s v="FIEINHEA000O"/>
    <n v="9.1128999999999998"/>
    <n v="8.9524000000000008"/>
    <n v="8.5517000000000003"/>
    <n v="9.7835000000000001"/>
  </r>
  <r>
    <x v="11"/>
    <x v="3"/>
    <s v="FREINOILFC0P"/>
    <n v="1.0936999999999999"/>
    <n v="1.165"/>
    <n v="1.3353999999999999"/>
    <n v="1.2533000000000001"/>
  </r>
  <r>
    <x v="11"/>
    <x v="3"/>
    <s v="FREINCOAFC0P"/>
    <n v="0.26960000000000001"/>
    <n v="0.24229999999999999"/>
    <n v="0"/>
    <n v="0"/>
  </r>
  <r>
    <x v="11"/>
    <x v="3"/>
    <s v="FREINCOAFCCP"/>
    <n v="0"/>
    <n v="0"/>
    <n v="0"/>
    <n v="0"/>
  </r>
  <r>
    <x v="11"/>
    <x v="3"/>
    <s v="FREINNGSFC0P"/>
    <n v="27.531400000000001"/>
    <n v="25.596499999999999"/>
    <n v="24.828700000000001"/>
    <n v="25.7424"/>
  </r>
  <r>
    <x v="11"/>
    <x v="3"/>
    <s v="FREINNGSFCCP"/>
    <n v="0"/>
    <n v="0"/>
    <n v="0"/>
    <n v="0"/>
  </r>
  <r>
    <x v="11"/>
    <x v="3"/>
    <s v="FREINBIOFC0P"/>
    <n v="14.658300000000001"/>
    <n v="15.268800000000001"/>
    <n v="15.7692"/>
    <n v="14.8286"/>
  </r>
  <r>
    <x v="11"/>
    <x v="3"/>
    <s v="FREINELCFC0P"/>
    <n v="8.8749000000000002"/>
    <n v="8.3294999999999995"/>
    <n v="7.6714000000000002"/>
    <n v="7.9523999999999999"/>
  </r>
  <r>
    <x v="11"/>
    <x v="3"/>
    <s v="FREINHY2FC0P"/>
    <n v="0"/>
    <n v="0"/>
    <n v="0"/>
    <n v="0"/>
  </r>
  <r>
    <x v="11"/>
    <x v="3"/>
    <s v="FREINSTH000P"/>
    <n v="0"/>
    <n v="0"/>
    <n v="0"/>
    <n v="0"/>
  </r>
  <r>
    <x v="11"/>
    <x v="3"/>
    <s v="FREINHEA000P"/>
    <n v="9.0289000000000001"/>
    <n v="8.0457000000000001"/>
    <n v="7.6963999999999997"/>
    <n v="9.9575999999999993"/>
  </r>
  <r>
    <x v="11"/>
    <x v="1"/>
    <s v="FREINOILFC0C"/>
    <n v="3.3656999999999999"/>
    <n v="4.9889000000000001"/>
    <n v="5.2233999999999998"/>
    <n v="2.4323000000000001"/>
  </r>
  <r>
    <x v="11"/>
    <x v="1"/>
    <s v="FREINCOAFC0C"/>
    <n v="7.4725000000000001"/>
    <n v="6.5646000000000004"/>
    <n v="4.5993000000000004"/>
    <n v="5.6924999999999999"/>
  </r>
  <r>
    <x v="11"/>
    <x v="1"/>
    <s v="FREINCOAFCCC"/>
    <n v="0"/>
    <n v="0"/>
    <n v="0"/>
    <n v="0"/>
  </r>
  <r>
    <x v="11"/>
    <x v="1"/>
    <s v="FREINNGSFC0C"/>
    <n v="71.939599999999999"/>
    <n v="77.112200000000001"/>
    <n v="73.944900000000004"/>
    <n v="67.390799999999999"/>
  </r>
  <r>
    <x v="11"/>
    <x v="1"/>
    <s v="FREINNGSFCCC"/>
    <n v="0"/>
    <n v="0"/>
    <n v="0"/>
    <n v="0"/>
  </r>
  <r>
    <x v="11"/>
    <x v="1"/>
    <s v="FREINBIOFC0C"/>
    <n v="1.9962"/>
    <n v="2.5026999999999999"/>
    <n v="3.3315999999999999"/>
    <n v="3.0007000000000001"/>
  </r>
  <r>
    <x v="11"/>
    <x v="1"/>
    <s v="FREINELCFC0C"/>
    <n v="2.9624000000000001"/>
    <n v="2.9472999999999998"/>
    <n v="2.9645000000000001"/>
    <n v="3.2826"/>
  </r>
  <r>
    <x v="11"/>
    <x v="1"/>
    <s v="FREINHY2FC0C"/>
    <n v="0"/>
    <n v="0"/>
    <n v="0"/>
    <n v="0"/>
  </r>
  <r>
    <x v="11"/>
    <x v="1"/>
    <s v="FREINSTH000C"/>
    <n v="0"/>
    <n v="0"/>
    <n v="0"/>
    <n v="0"/>
  </r>
  <r>
    <x v="11"/>
    <x v="1"/>
    <s v="FREINHEA000C"/>
    <n v="26.361699999999999"/>
    <n v="30.389399999999998"/>
    <n v="27.241800000000001"/>
    <n v="29.670999999999999"/>
  </r>
  <r>
    <x v="11"/>
    <x v="2"/>
    <s v="FREINOILFC0N"/>
    <n v="14.1922"/>
    <n v="14.4232"/>
    <n v="14.296799999999999"/>
    <n v="13.9445"/>
  </r>
  <r>
    <x v="11"/>
    <x v="2"/>
    <s v="FREINCOAFC0N"/>
    <n v="6.4318"/>
    <n v="6.0507999999999997"/>
    <n v="5.0803000000000003"/>
    <n v="6.3517000000000001"/>
  </r>
  <r>
    <x v="11"/>
    <x v="2"/>
    <s v="FREINCOAFCCN"/>
    <n v="0"/>
    <n v="0"/>
    <n v="0"/>
    <n v="0"/>
  </r>
  <r>
    <x v="11"/>
    <x v="2"/>
    <s v="FREINNGSFC0N"/>
    <n v="42.757100000000001"/>
    <n v="43.089700000000001"/>
    <n v="43.543999999999997"/>
    <n v="47.247700000000002"/>
  </r>
  <r>
    <x v="11"/>
    <x v="2"/>
    <s v="FREINNGSFCCN"/>
    <n v="0"/>
    <n v="0"/>
    <n v="0"/>
    <n v="0"/>
  </r>
  <r>
    <x v="11"/>
    <x v="2"/>
    <s v="FREINBIOFC0N"/>
    <n v="12.545999999999999"/>
    <n v="13.228999999999999"/>
    <n v="10.909800000000001"/>
    <n v="13.014099999999999"/>
  </r>
  <r>
    <x v="11"/>
    <x v="2"/>
    <s v="FREINELCFC0N"/>
    <n v="8.5518999999999998"/>
    <n v="8.6435999999999993"/>
    <n v="7.9303999999999997"/>
    <n v="8.6555999999999997"/>
  </r>
  <r>
    <x v="11"/>
    <x v="2"/>
    <s v="FREINHY2FC0N"/>
    <n v="0"/>
    <n v="0"/>
    <n v="0"/>
    <n v="0"/>
  </r>
  <r>
    <x v="11"/>
    <x v="2"/>
    <s v="FREINSTH000N"/>
    <n v="0"/>
    <n v="0"/>
    <n v="0"/>
    <n v="0"/>
  </r>
  <r>
    <x v="11"/>
    <x v="2"/>
    <s v="FREINHEA000N"/>
    <n v="0.56899999999999995"/>
    <n v="0.3075"/>
    <n v="0.436"/>
    <n v="0.44750000000000001"/>
  </r>
  <r>
    <x v="11"/>
    <x v="5"/>
    <s v="FREINOILFC0F"/>
    <n v="5.0201000000000002"/>
    <n v="4.9358000000000004"/>
    <n v="5.0827999999999998"/>
    <n v="5.0198999999999998"/>
  </r>
  <r>
    <x v="11"/>
    <x v="5"/>
    <s v="FREINCOAFC0F"/>
    <n v="5.8129"/>
    <n v="2.9580000000000002"/>
    <n v="3.383"/>
    <n v="3.9598"/>
  </r>
  <r>
    <x v="11"/>
    <x v="5"/>
    <s v="FREINCOAFCCF"/>
    <n v="0"/>
    <n v="0"/>
    <n v="0"/>
    <n v="0"/>
  </r>
  <r>
    <x v="11"/>
    <x v="5"/>
    <s v="FREINNGSFC0F"/>
    <n v="45.578499999999998"/>
    <n v="41.698500000000003"/>
    <n v="39.365900000000003"/>
    <n v="45.244399999999999"/>
  </r>
  <r>
    <x v="11"/>
    <x v="5"/>
    <s v="FREINNGSFCCF"/>
    <n v="0"/>
    <n v="0"/>
    <n v="0"/>
    <n v="0"/>
  </r>
  <r>
    <x v="11"/>
    <x v="5"/>
    <s v="FREINBIOFC0F"/>
    <n v="2.7985000000000002"/>
    <n v="2.5190000000000001"/>
    <n v="2.8349000000000002"/>
    <n v="2.5404"/>
  </r>
  <r>
    <x v="11"/>
    <x v="5"/>
    <s v="FREINELCFC0F"/>
    <n v="21.991499999999998"/>
    <n v="22.213000000000001"/>
    <n v="21.250599999999999"/>
    <n v="21.368600000000001"/>
  </r>
  <r>
    <x v="11"/>
    <x v="5"/>
    <s v="FREINHY2FC0F"/>
    <n v="0"/>
    <n v="0"/>
    <n v="0"/>
    <n v="0"/>
  </r>
  <r>
    <x v="11"/>
    <x v="5"/>
    <s v="FREINSTH000F"/>
    <n v="0"/>
    <n v="0"/>
    <n v="0"/>
    <n v="0"/>
  </r>
  <r>
    <x v="11"/>
    <x v="5"/>
    <s v="FREINHEA000F"/>
    <n v="3.7017000000000002"/>
    <n v="4.8235999999999999"/>
    <n v="5.5606999999999998"/>
    <n v="6.6351000000000004"/>
  </r>
  <r>
    <x v="11"/>
    <x v="4"/>
    <s v="FREINOILFC0O"/>
    <n v="21.1173"/>
    <n v="20.5853"/>
    <n v="18.858799999999999"/>
    <n v="20.0075"/>
  </r>
  <r>
    <x v="11"/>
    <x v="4"/>
    <s v="FREINCOAFC0O"/>
    <n v="1.9742999999999999"/>
    <n v="2.6354000000000002"/>
    <n v="3.0036"/>
    <n v="2.7772000000000001"/>
  </r>
  <r>
    <x v="11"/>
    <x v="4"/>
    <s v="FREINCOAFCCO"/>
    <n v="0"/>
    <n v="0"/>
    <n v="0"/>
    <n v="0"/>
  </r>
  <r>
    <x v="11"/>
    <x v="4"/>
    <s v="FREINNGSFC0O"/>
    <n v="51.028500000000001"/>
    <n v="48.662300000000002"/>
    <n v="36.247999999999998"/>
    <n v="51.904200000000003"/>
  </r>
  <r>
    <x v="11"/>
    <x v="4"/>
    <s v="FREINNGSFCCO"/>
    <n v="0"/>
    <n v="0"/>
    <n v="0"/>
    <n v="0"/>
  </r>
  <r>
    <x v="11"/>
    <x v="4"/>
    <s v="FREINBIOFC0O"/>
    <n v="6.8292000000000002"/>
    <n v="5.3811"/>
    <n v="5.4139999999999997"/>
    <n v="6.3676000000000004"/>
  </r>
  <r>
    <x v="11"/>
    <x v="4"/>
    <s v="FREINELCFC0O"/>
    <n v="66.868099999999998"/>
    <n v="64.446600000000004"/>
    <n v="56.8626"/>
    <n v="63.692799999999998"/>
  </r>
  <r>
    <x v="11"/>
    <x v="4"/>
    <s v="FREINHY2FC0O"/>
    <n v="0"/>
    <n v="0"/>
    <n v="0"/>
    <n v="0"/>
  </r>
  <r>
    <x v="11"/>
    <x v="4"/>
    <s v="FREINSTH000O"/>
    <n v="3.0800000000000001E-2"/>
    <n v="3.9600000000000003E-2"/>
    <n v="4.1700000000000001E-2"/>
    <n v="6.3100000000000003E-2"/>
  </r>
  <r>
    <x v="11"/>
    <x v="4"/>
    <s v="FREINHEA000O"/>
    <n v="14.2483"/>
    <n v="13.5549"/>
    <n v="11.8667"/>
    <n v="14.823499999999999"/>
  </r>
  <r>
    <x v="12"/>
    <x v="3"/>
    <s v="HREINOILFC0P"/>
    <n v="9.2899999999999996E-2"/>
    <n v="9.5699999999999993E-2"/>
    <n v="7.3099999999999998E-2"/>
    <n v="0.1016"/>
  </r>
  <r>
    <x v="12"/>
    <x v="3"/>
    <s v="HREINCOAFC0P"/>
    <n v="0"/>
    <n v="0"/>
    <n v="0"/>
    <n v="0"/>
  </r>
  <r>
    <x v="12"/>
    <x v="3"/>
    <s v="HREINCOAFCCP"/>
    <n v="0"/>
    <n v="0"/>
    <n v="0"/>
    <n v="0"/>
  </r>
  <r>
    <x v="12"/>
    <x v="3"/>
    <s v="HREINNGSFC0P"/>
    <n v="1.1808000000000001"/>
    <n v="1.4059999999999999"/>
    <n v="1.4498"/>
    <n v="1.5403"/>
  </r>
  <r>
    <x v="12"/>
    <x v="3"/>
    <s v="HREINNGSFCCP"/>
    <n v="0"/>
    <n v="0"/>
    <n v="0"/>
    <n v="0"/>
  </r>
  <r>
    <x v="12"/>
    <x v="3"/>
    <s v="HREINBIOFC0P"/>
    <n v="6.6799999999999998E-2"/>
    <n v="5.3699999999999998E-2"/>
    <n v="0.12920000000000001"/>
    <n v="6.3100000000000003E-2"/>
  </r>
  <r>
    <x v="12"/>
    <x v="3"/>
    <s v="HREINELCFC0P"/>
    <n v="0.27550000000000002"/>
    <n v="0.21179999999999999"/>
    <n v="0.29780000000000001"/>
    <n v="0.2959"/>
  </r>
  <r>
    <x v="12"/>
    <x v="3"/>
    <s v="HREINHY2FC0P"/>
    <n v="0"/>
    <n v="0"/>
    <n v="0"/>
    <n v="0"/>
  </r>
  <r>
    <x v="12"/>
    <x v="3"/>
    <s v="HREINSTH000P"/>
    <n v="0"/>
    <n v="0"/>
    <n v="0"/>
    <n v="0"/>
  </r>
  <r>
    <x v="12"/>
    <x v="3"/>
    <s v="HREINHEA000P"/>
    <n v="8.5000000000000006E-3"/>
    <n v="7.0000000000000001E-3"/>
    <n v="6.7999999999999996E-3"/>
    <n v="7.1999999999999998E-3"/>
  </r>
  <r>
    <x v="12"/>
    <x v="1"/>
    <s v="HREINOILFC0C"/>
    <n v="8.0399999999999999E-2"/>
    <n v="4.7199999999999999E-2"/>
    <n v="4.6100000000000002E-2"/>
    <n v="5.3999999999999999E-2"/>
  </r>
  <r>
    <x v="12"/>
    <x v="1"/>
    <s v="HREINCOAFC0C"/>
    <n v="0"/>
    <n v="0"/>
    <n v="0"/>
    <n v="0"/>
  </r>
  <r>
    <x v="12"/>
    <x v="1"/>
    <s v="HREINCOAFCCC"/>
    <n v="0"/>
    <n v="0"/>
    <n v="0"/>
    <n v="0"/>
  </r>
  <r>
    <x v="12"/>
    <x v="1"/>
    <s v="HREINNGSFC0C"/>
    <n v="2.4948999999999999"/>
    <n v="2.6318000000000001"/>
    <n v="2.8102999999999998"/>
    <n v="2.0011999999999999"/>
  </r>
  <r>
    <x v="12"/>
    <x v="1"/>
    <s v="HREINNGSFCCC"/>
    <n v="0"/>
    <n v="0"/>
    <n v="0"/>
    <n v="0"/>
  </r>
  <r>
    <x v="12"/>
    <x v="1"/>
    <s v="HREINBIOFC0C"/>
    <n v="1E-4"/>
    <n v="1E-4"/>
    <n v="1E-4"/>
    <n v="1E-4"/>
  </r>
  <r>
    <x v="12"/>
    <x v="1"/>
    <s v="HREINELCFC0C"/>
    <n v="2.46E-2"/>
    <n v="1.7500000000000002E-2"/>
    <n v="1.6E-2"/>
    <n v="2.3099999999999999E-2"/>
  </r>
  <r>
    <x v="12"/>
    <x v="1"/>
    <s v="HREINHY2FC0C"/>
    <n v="0"/>
    <n v="0"/>
    <n v="0"/>
    <n v="0"/>
  </r>
  <r>
    <x v="12"/>
    <x v="1"/>
    <s v="HREINSTH000C"/>
    <n v="0"/>
    <n v="0"/>
    <n v="0"/>
    <n v="0"/>
  </r>
  <r>
    <x v="12"/>
    <x v="1"/>
    <s v="HREINHEA000C"/>
    <n v="0.16400000000000001"/>
    <n v="0.20780000000000001"/>
    <n v="0.30470000000000003"/>
    <n v="0.36280000000000001"/>
  </r>
  <r>
    <x v="12"/>
    <x v="2"/>
    <s v="HREINOILFC0N"/>
    <n v="3.016"/>
    <n v="2.2362000000000002"/>
    <n v="1.6931"/>
    <n v="1.534"/>
  </r>
  <r>
    <x v="12"/>
    <x v="2"/>
    <s v="HREINCOAFC0N"/>
    <n v="1.0523"/>
    <n v="1.4340999999999999"/>
    <n v="1.9761"/>
    <n v="2.1425000000000001"/>
  </r>
  <r>
    <x v="12"/>
    <x v="2"/>
    <s v="HREINCOAFCCN"/>
    <n v="0"/>
    <n v="0"/>
    <n v="0"/>
    <n v="0"/>
  </r>
  <r>
    <x v="12"/>
    <x v="2"/>
    <s v="HREINNGSFC0N"/>
    <n v="1.8373999999999999"/>
    <n v="1.8474999999999999"/>
    <n v="1.7058"/>
    <n v="1.9850000000000001"/>
  </r>
  <r>
    <x v="12"/>
    <x v="2"/>
    <s v="HREINNGSFCCN"/>
    <n v="0"/>
    <n v="0"/>
    <n v="0"/>
    <n v="0"/>
  </r>
  <r>
    <x v="12"/>
    <x v="2"/>
    <s v="HREINBIOFC0N"/>
    <n v="0.4909"/>
    <n v="0.62390000000000001"/>
    <n v="0.91679999999999995"/>
    <n v="1.0138"/>
  </r>
  <r>
    <x v="12"/>
    <x v="2"/>
    <s v="HREINELCFC0N"/>
    <n v="0.43159999999999998"/>
    <n v="0.4173"/>
    <n v="0.45150000000000001"/>
    <n v="0.48149999999999998"/>
  </r>
  <r>
    <x v="12"/>
    <x v="2"/>
    <s v="HREINHY2FC0N"/>
    <n v="0"/>
    <n v="0"/>
    <n v="0"/>
    <n v="0"/>
  </r>
  <r>
    <x v="12"/>
    <x v="2"/>
    <s v="HREINSTH000N"/>
    <n v="0"/>
    <n v="0"/>
    <n v="0"/>
    <n v="0"/>
  </r>
  <r>
    <x v="12"/>
    <x v="2"/>
    <s v="HREINHEA000N"/>
    <n v="0"/>
    <n v="0"/>
    <n v="0"/>
    <n v="0"/>
  </r>
  <r>
    <x v="12"/>
    <x v="5"/>
    <s v="HREINOILFC0F"/>
    <n v="0.32869999999999999"/>
    <n v="0.3246"/>
    <n v="0.2787"/>
    <n v="0.28539999999999999"/>
  </r>
  <r>
    <x v="12"/>
    <x v="5"/>
    <s v="HREINCOAFC0F"/>
    <n v="0.18459999999999999"/>
    <n v="0.14019999999999999"/>
    <n v="9.9400000000000002E-2"/>
    <n v="2.1600000000000001E-2"/>
  </r>
  <r>
    <x v="12"/>
    <x v="5"/>
    <s v="HREINCOAFCCF"/>
    <n v="0"/>
    <n v="0"/>
    <n v="0"/>
    <n v="0"/>
  </r>
  <r>
    <x v="12"/>
    <x v="5"/>
    <s v="HREINNGSFC0F"/>
    <n v="1.8220000000000001"/>
    <n v="1.9450000000000001"/>
    <n v="1.7935000000000001"/>
    <n v="1.5737000000000001"/>
  </r>
  <r>
    <x v="12"/>
    <x v="5"/>
    <s v="HREINNGSFCCF"/>
    <n v="0"/>
    <n v="0"/>
    <n v="0"/>
    <n v="0"/>
  </r>
  <r>
    <x v="12"/>
    <x v="5"/>
    <s v="HREINBIOFC0F"/>
    <n v="9.7500000000000003E-2"/>
    <n v="0.1104"/>
    <n v="0.1231"/>
    <n v="0.15240000000000001"/>
  </r>
  <r>
    <x v="12"/>
    <x v="5"/>
    <s v="HREINELCFC0F"/>
    <n v="0.61809999999999998"/>
    <n v="0.62009999999999998"/>
    <n v="0.60940000000000005"/>
    <n v="0.63819999999999999"/>
  </r>
  <r>
    <x v="12"/>
    <x v="5"/>
    <s v="HREINHY2FC0F"/>
    <n v="0"/>
    <n v="0"/>
    <n v="0"/>
    <n v="0"/>
  </r>
  <r>
    <x v="12"/>
    <x v="5"/>
    <s v="HREINSTH000F"/>
    <n v="0"/>
    <n v="0"/>
    <n v="0"/>
    <n v="0"/>
  </r>
  <r>
    <x v="12"/>
    <x v="5"/>
    <s v="HREINHEA000F"/>
    <n v="0.13719999999999999"/>
    <n v="0.1145"/>
    <n v="9.35E-2"/>
    <n v="9.2899999999999996E-2"/>
  </r>
  <r>
    <x v="12"/>
    <x v="4"/>
    <s v="HREINOILFC0O"/>
    <n v="1.6581999999999999"/>
    <n v="1.7010000000000001"/>
    <n v="1.714"/>
    <n v="1.9582999999999999"/>
  </r>
  <r>
    <x v="12"/>
    <x v="4"/>
    <s v="HREINCOAFC0O"/>
    <n v="4.0300000000000002E-2"/>
    <n v="1.77E-2"/>
    <n v="1.1299999999999999E-2"/>
    <n v="3.73E-2"/>
  </r>
  <r>
    <x v="12"/>
    <x v="4"/>
    <s v="HREINCOAFCCO"/>
    <n v="0"/>
    <n v="0"/>
    <n v="0"/>
    <n v="0"/>
  </r>
  <r>
    <x v="12"/>
    <x v="4"/>
    <s v="HREINNGSFC0O"/>
    <n v="1.1114999999999999"/>
    <n v="1.0729"/>
    <n v="1.0082"/>
    <n v="1.2250000000000001"/>
  </r>
  <r>
    <x v="12"/>
    <x v="4"/>
    <s v="HREINNGSFCCO"/>
    <n v="0"/>
    <n v="0"/>
    <n v="0"/>
    <n v="0"/>
  </r>
  <r>
    <x v="12"/>
    <x v="4"/>
    <s v="HREINBIOFC0O"/>
    <n v="0.32650000000000001"/>
    <n v="0.30980000000000002"/>
    <n v="0.28220000000000001"/>
    <n v="0.26429999999999998"/>
  </r>
  <r>
    <x v="12"/>
    <x v="4"/>
    <s v="HREINELCFC0O"/>
    <n v="1.2464999999999999"/>
    <n v="1.1372"/>
    <n v="1.0399"/>
    <n v="1.2849999999999999"/>
  </r>
  <r>
    <x v="12"/>
    <x v="4"/>
    <s v="HREINHY2FC0O"/>
    <n v="0"/>
    <n v="0"/>
    <n v="0"/>
    <n v="0"/>
  </r>
  <r>
    <x v="12"/>
    <x v="4"/>
    <s v="HREINSTH000O"/>
    <n v="0"/>
    <n v="0"/>
    <n v="0"/>
    <n v="0"/>
  </r>
  <r>
    <x v="12"/>
    <x v="4"/>
    <s v="HREINHEA000O"/>
    <n v="1.2251000000000001"/>
    <n v="1.4137999999999999"/>
    <n v="1.3702000000000001"/>
    <n v="1.6736"/>
  </r>
  <r>
    <x v="13"/>
    <x v="7"/>
    <s v="HUEINOILFC0A"/>
    <n v="0.23499999999999999"/>
    <n v="0.23530000000000001"/>
    <n v="0.21299999999999999"/>
    <n v="0.2379"/>
  </r>
  <r>
    <x v="13"/>
    <x v="7"/>
    <s v="HUEINCOAFC0A"/>
    <n v="2.0899999999999998E-2"/>
    <n v="7.1999999999999998E-3"/>
    <n v="7.1999999999999998E-3"/>
    <n v="7.0000000000000001E-3"/>
  </r>
  <r>
    <x v="13"/>
    <x v="7"/>
    <s v="HUEINCOAFCCA"/>
    <n v="0"/>
    <n v="0"/>
    <n v="0"/>
    <n v="0"/>
  </r>
  <r>
    <x v="13"/>
    <x v="7"/>
    <s v="HUEINNGSFC0A"/>
    <n v="4.0697999999999999"/>
    <n v="4.0715000000000003"/>
    <n v="4.4200999999999997"/>
    <n v="4.9541000000000004"/>
  </r>
  <r>
    <x v="13"/>
    <x v="7"/>
    <s v="HUEINNGSFCCA"/>
    <n v="0"/>
    <n v="0"/>
    <n v="0"/>
    <n v="0"/>
  </r>
  <r>
    <x v="13"/>
    <x v="7"/>
    <s v="HUEINBIOFC0A"/>
    <n v="7.4399999999999994E-2"/>
    <n v="7.5499999999999998E-2"/>
    <n v="8.1900000000000001E-2"/>
    <n v="9.1800000000000007E-2"/>
  </r>
  <r>
    <x v="13"/>
    <x v="7"/>
    <s v="HUEINELCFC0A"/>
    <n v="2.6715"/>
    <n v="2.7323"/>
    <n v="2.8519000000000001"/>
    <n v="3.1918000000000002"/>
  </r>
  <r>
    <x v="13"/>
    <x v="7"/>
    <s v="HUEINHY2FC0A"/>
    <n v="0"/>
    <n v="0"/>
    <n v="0"/>
    <n v="0"/>
  </r>
  <r>
    <x v="13"/>
    <x v="7"/>
    <s v="HUEINSTH000A"/>
    <n v="6.3E-3"/>
    <n v="6.3E-3"/>
    <n v="9.4000000000000004E-3"/>
    <n v="1.0200000000000001E-2"/>
  </r>
  <r>
    <x v="13"/>
    <x v="7"/>
    <s v="HUEINHEA000A"/>
    <n v="0.20250000000000001"/>
    <n v="0.20030000000000001"/>
    <n v="0.1666"/>
    <n v="0.15690000000000001"/>
  </r>
  <r>
    <x v="13"/>
    <x v="1"/>
    <s v="HUEINOILFC0C"/>
    <n v="7.0231000000000003"/>
    <n v="6.2278000000000002"/>
    <n v="7.2374000000000001"/>
    <n v="7.8391000000000002"/>
  </r>
  <r>
    <x v="13"/>
    <x v="1"/>
    <s v="HUEINCOAFC0C"/>
    <n v="0"/>
    <n v="0"/>
    <n v="0"/>
    <n v="0"/>
  </r>
  <r>
    <x v="13"/>
    <x v="1"/>
    <s v="HUEINCOAFCCC"/>
    <n v="0"/>
    <n v="0"/>
    <n v="0"/>
    <n v="0"/>
  </r>
  <r>
    <x v="13"/>
    <x v="1"/>
    <s v="HUEINNGSFC0C"/>
    <n v="4.8594999999999997"/>
    <n v="4.9724000000000004"/>
    <n v="4.6539999999999999"/>
    <n v="4.6215000000000002"/>
  </r>
  <r>
    <x v="13"/>
    <x v="1"/>
    <s v="HUEINNGSFCCC"/>
    <n v="0"/>
    <n v="0"/>
    <n v="0"/>
    <n v="0"/>
  </r>
  <r>
    <x v="13"/>
    <x v="1"/>
    <s v="HUEINBIOFC0C"/>
    <n v="3.6200000000000003E-2"/>
    <n v="3.7100000000000001E-2"/>
    <n v="4.0300000000000002E-2"/>
    <n v="5.67E-2"/>
  </r>
  <r>
    <x v="13"/>
    <x v="1"/>
    <s v="HUEINELCFC0C"/>
    <n v="0.5625"/>
    <n v="0.58799999999999997"/>
    <n v="0.67059999999999997"/>
    <n v="0.75900000000000001"/>
  </r>
  <r>
    <x v="13"/>
    <x v="1"/>
    <s v="HUEINHY2FC0C"/>
    <n v="0"/>
    <n v="0"/>
    <n v="0"/>
    <n v="0"/>
  </r>
  <r>
    <x v="13"/>
    <x v="1"/>
    <s v="HUEINSTH000C"/>
    <n v="0"/>
    <n v="0"/>
    <n v="0"/>
    <n v="0"/>
  </r>
  <r>
    <x v="13"/>
    <x v="1"/>
    <s v="HUEINHEA000C"/>
    <n v="5.9665999999999997"/>
    <n v="6.6238999999999999"/>
    <n v="6.6185999999999998"/>
    <n v="7.4366000000000003"/>
  </r>
  <r>
    <x v="13"/>
    <x v="2"/>
    <s v="HUEINOILFC0N"/>
    <n v="2.1827999999999999"/>
    <n v="2.3378000000000001"/>
    <n v="1.8129"/>
    <n v="1.3084"/>
  </r>
  <r>
    <x v="13"/>
    <x v="2"/>
    <s v="HUEINCOAFC0N"/>
    <n v="0.62580000000000002"/>
    <n v="0.50060000000000004"/>
    <n v="0.49980000000000002"/>
    <n v="0.43080000000000002"/>
  </r>
  <r>
    <x v="13"/>
    <x v="2"/>
    <s v="HUEINCOAFCCN"/>
    <n v="0"/>
    <n v="0"/>
    <n v="0"/>
    <n v="0"/>
  </r>
  <r>
    <x v="13"/>
    <x v="2"/>
    <s v="HUEINNGSFC0N"/>
    <n v="4.1101000000000001"/>
    <n v="4.3163999999999998"/>
    <n v="4.0026999999999999"/>
    <n v="4.2461000000000002"/>
  </r>
  <r>
    <x v="13"/>
    <x v="2"/>
    <s v="HUEINNGSFCCN"/>
    <n v="0"/>
    <n v="0"/>
    <n v="0"/>
    <n v="0"/>
  </r>
  <r>
    <x v="13"/>
    <x v="2"/>
    <s v="HUEINBIOFC0N"/>
    <n v="2.4908000000000001"/>
    <n v="3.0076000000000001"/>
    <n v="2.7808999999999999"/>
    <n v="3.7764000000000002"/>
  </r>
  <r>
    <x v="13"/>
    <x v="2"/>
    <s v="HUEINELCFC0N"/>
    <n v="1.3232999999999999"/>
    <n v="1.3119000000000001"/>
    <n v="1.2875000000000001"/>
    <n v="1.4260999999999999"/>
  </r>
  <r>
    <x v="13"/>
    <x v="2"/>
    <s v="HUEINHY2FC0N"/>
    <n v="0"/>
    <n v="0"/>
    <n v="0"/>
    <n v="0"/>
  </r>
  <r>
    <x v="13"/>
    <x v="2"/>
    <s v="HUEINSTH000N"/>
    <n v="6.0000000000000001E-3"/>
    <n v="8.2000000000000007E-3"/>
    <n v="0"/>
    <n v="0"/>
  </r>
  <r>
    <x v="13"/>
    <x v="2"/>
    <s v="HUEINHEA000N"/>
    <n v="7.1900000000000006E-2"/>
    <n v="7.3099999999999998E-2"/>
    <n v="6.9699999999999998E-2"/>
    <n v="7.7499999999999999E-2"/>
  </r>
  <r>
    <x v="13"/>
    <x v="5"/>
    <s v="HUEINOILFC0F"/>
    <n v="0.24049999999999999"/>
    <n v="0.25929999999999997"/>
    <n v="0.3211"/>
    <n v="0.29849999999999999"/>
  </r>
  <r>
    <x v="13"/>
    <x v="5"/>
    <s v="HUEINCOAFC0F"/>
    <n v="3.39E-2"/>
    <n v="2.24E-2"/>
    <n v="2.2499999999999999E-2"/>
    <n v="2.2499999999999999E-2"/>
  </r>
  <r>
    <x v="13"/>
    <x v="5"/>
    <s v="HUEINCOAFCCF"/>
    <n v="0"/>
    <n v="0"/>
    <n v="0"/>
    <n v="0"/>
  </r>
  <r>
    <x v="13"/>
    <x v="5"/>
    <s v="HUEINNGSFC0F"/>
    <n v="6.7531999999999996"/>
    <n v="6.2579000000000002"/>
    <n v="6.5613000000000001"/>
    <n v="6.9625000000000004"/>
  </r>
  <r>
    <x v="13"/>
    <x v="5"/>
    <s v="HUEINNGSFCCF"/>
    <n v="0"/>
    <n v="0"/>
    <n v="0"/>
    <n v="0"/>
  </r>
  <r>
    <x v="13"/>
    <x v="5"/>
    <s v="HUEINBIOFC0F"/>
    <n v="1.0123"/>
    <n v="1.2781"/>
    <n v="1.2757000000000001"/>
    <n v="1.3654999999999999"/>
  </r>
  <r>
    <x v="13"/>
    <x v="5"/>
    <s v="HUEINELCFC0F"/>
    <n v="2.3266"/>
    <n v="2.5937000000000001"/>
    <n v="2.5472000000000001"/>
    <n v="2.6124999999999998"/>
  </r>
  <r>
    <x v="13"/>
    <x v="5"/>
    <s v="HUEINHY2FC0F"/>
    <n v="0"/>
    <n v="0"/>
    <n v="0"/>
    <n v="0"/>
  </r>
  <r>
    <x v="13"/>
    <x v="5"/>
    <s v="HUEINSTH000F"/>
    <n v="1.46E-2"/>
    <n v="1.2999999999999999E-2"/>
    <n v="1.38E-2"/>
    <n v="1.5299999999999999E-2"/>
  </r>
  <r>
    <x v="13"/>
    <x v="5"/>
    <s v="HUEINHEA000F"/>
    <n v="0.43480000000000002"/>
    <n v="0.34620000000000001"/>
    <n v="0.51319999999999999"/>
    <n v="0.58240000000000003"/>
  </r>
  <r>
    <x v="13"/>
    <x v="4"/>
    <s v="HUEINOILFC0O"/>
    <n v="3.2738"/>
    <n v="3.1063999999999998"/>
    <n v="3.3176000000000001"/>
    <n v="3.5101"/>
  </r>
  <r>
    <x v="13"/>
    <x v="4"/>
    <s v="HUEINCOAFC0O"/>
    <n v="2.1753999999999998"/>
    <n v="1.9463999999999999"/>
    <n v="1.6498999999999999"/>
    <n v="1.1739999999999999"/>
  </r>
  <r>
    <x v="13"/>
    <x v="4"/>
    <s v="HUEINCOAFCCO"/>
    <n v="0"/>
    <n v="0"/>
    <n v="0"/>
    <n v="0"/>
  </r>
  <r>
    <x v="13"/>
    <x v="4"/>
    <s v="HUEINNGSFC0O"/>
    <n v="9.1709999999999994"/>
    <n v="8.8485999999999994"/>
    <n v="8.4474"/>
    <n v="9.2688000000000006"/>
  </r>
  <r>
    <x v="13"/>
    <x v="4"/>
    <s v="HUEINNGSFCCO"/>
    <n v="0"/>
    <n v="0"/>
    <n v="0"/>
    <n v="0"/>
  </r>
  <r>
    <x v="13"/>
    <x v="4"/>
    <s v="HUEINBIOFC0O"/>
    <n v="2.2757000000000001"/>
    <n v="2.6413000000000002"/>
    <n v="2.9053"/>
    <n v="3.5053000000000001"/>
  </r>
  <r>
    <x v="13"/>
    <x v="4"/>
    <s v="HUEINELCFC0O"/>
    <n v="5.6506999999999996"/>
    <n v="5.6375999999999999"/>
    <n v="5.1639999999999997"/>
    <n v="5.4255000000000004"/>
  </r>
  <r>
    <x v="13"/>
    <x v="4"/>
    <s v="HUEINHY2FC0O"/>
    <n v="0"/>
    <n v="0"/>
    <n v="0"/>
    <n v="0"/>
  </r>
  <r>
    <x v="13"/>
    <x v="4"/>
    <s v="HUEINSTH000O"/>
    <n v="2.2700000000000001E-2"/>
    <n v="2.06E-2"/>
    <n v="2.6499999999999999E-2"/>
    <n v="3.44E-2"/>
  </r>
  <r>
    <x v="13"/>
    <x v="4"/>
    <s v="HUEINHEA000O"/>
    <n v="2.3704999999999998"/>
    <n v="2.3035000000000001"/>
    <n v="2.2481"/>
    <n v="2.3618999999999999"/>
  </r>
  <r>
    <x v="14"/>
    <x v="6"/>
    <s v="IEEINOILFC0M"/>
    <n v="0.1111"/>
    <n v="0.11700000000000001"/>
    <n v="0.18440000000000001"/>
    <n v="7.4700000000000003E-2"/>
  </r>
  <r>
    <x v="14"/>
    <x v="6"/>
    <s v="IEEINCOAFC0M"/>
    <n v="0"/>
    <n v="0"/>
    <n v="0"/>
    <n v="0"/>
  </r>
  <r>
    <x v="14"/>
    <x v="6"/>
    <s v="IEEINCOAFCCM"/>
    <n v="0"/>
    <n v="0"/>
    <n v="0"/>
    <n v="0"/>
  </r>
  <r>
    <x v="14"/>
    <x v="6"/>
    <s v="IEEINNGSFC0M"/>
    <n v="7.9283999999999999"/>
    <n v="8.3134999999999994"/>
    <n v="7.8041"/>
    <n v="8.1700999999999997"/>
  </r>
  <r>
    <x v="14"/>
    <x v="6"/>
    <s v="IEEINNGSFCCM"/>
    <n v="0"/>
    <n v="0"/>
    <n v="0"/>
    <n v="0"/>
  </r>
  <r>
    <x v="14"/>
    <x v="6"/>
    <s v="IEEINBIOFC0M"/>
    <n v="0"/>
    <n v="0"/>
    <n v="0"/>
    <n v="0"/>
  </r>
  <r>
    <x v="14"/>
    <x v="6"/>
    <s v="IEEINELCFC0M"/>
    <n v="1.2012"/>
    <n v="1.0714999999999999"/>
    <n v="1.2707999999999999"/>
    <n v="1.08"/>
  </r>
  <r>
    <x v="14"/>
    <x v="6"/>
    <s v="IEEINHY2FC0M"/>
    <n v="0"/>
    <n v="0"/>
    <n v="0"/>
    <n v="0"/>
  </r>
  <r>
    <x v="14"/>
    <x v="6"/>
    <s v="IEEINSTH000M"/>
    <n v="0"/>
    <n v="0"/>
    <n v="0"/>
    <n v="0"/>
  </r>
  <r>
    <x v="14"/>
    <x v="6"/>
    <s v="IEEINHEA000M"/>
    <n v="0"/>
    <n v="0"/>
    <n v="0"/>
    <n v="0"/>
  </r>
  <r>
    <x v="14"/>
    <x v="1"/>
    <s v="IEEINOILFC0C"/>
    <n v="0.57730000000000004"/>
    <n v="0.51949999999999996"/>
    <n v="0.44269999999999998"/>
    <n v="0.39929999999999999"/>
  </r>
  <r>
    <x v="14"/>
    <x v="1"/>
    <s v="IEEINCOAFC0C"/>
    <n v="0"/>
    <n v="0"/>
    <n v="0"/>
    <n v="0"/>
  </r>
  <r>
    <x v="14"/>
    <x v="1"/>
    <s v="IEEINCOAFCCC"/>
    <n v="0"/>
    <n v="0"/>
    <n v="0"/>
    <n v="0"/>
  </r>
  <r>
    <x v="14"/>
    <x v="1"/>
    <s v="IEEINNGSFC0C"/>
    <n v="3.6760999999999999"/>
    <n v="3.7155"/>
    <n v="3.8677999999999999"/>
    <n v="3.5910000000000002"/>
  </r>
  <r>
    <x v="14"/>
    <x v="1"/>
    <s v="IEEINNGSFCCC"/>
    <n v="0"/>
    <n v="0"/>
    <n v="0"/>
    <n v="0"/>
  </r>
  <r>
    <x v="14"/>
    <x v="1"/>
    <s v="IEEINBIOFC0C"/>
    <n v="0"/>
    <n v="0"/>
    <n v="0"/>
    <n v="0"/>
  </r>
  <r>
    <x v="14"/>
    <x v="1"/>
    <s v="IEEINELCFC0C"/>
    <n v="0.2243"/>
    <n v="0.31740000000000002"/>
    <n v="0.36759999999999998"/>
    <n v="0.38669999999999999"/>
  </r>
  <r>
    <x v="14"/>
    <x v="1"/>
    <s v="IEEINHY2FC0C"/>
    <n v="0"/>
    <n v="0"/>
    <n v="0"/>
    <n v="0"/>
  </r>
  <r>
    <x v="14"/>
    <x v="1"/>
    <s v="IEEINSTH000C"/>
    <n v="0"/>
    <n v="0"/>
    <n v="0"/>
    <n v="0"/>
  </r>
  <r>
    <x v="14"/>
    <x v="1"/>
    <s v="IEEINHEA000C"/>
    <n v="0"/>
    <n v="0"/>
    <n v="0"/>
    <n v="0"/>
  </r>
  <r>
    <x v="14"/>
    <x v="2"/>
    <s v="IEEINOILFC0N"/>
    <n v="3.7629999999999999"/>
    <n v="3.7610000000000001"/>
    <n v="3.4882"/>
    <n v="4.0117000000000003"/>
  </r>
  <r>
    <x v="14"/>
    <x v="2"/>
    <s v="IEEINCOAFC0N"/>
    <n v="1.8895999999999999"/>
    <n v="1.7506999999999999"/>
    <n v="1.6822999999999999"/>
    <n v="1.9885999999999999"/>
  </r>
  <r>
    <x v="14"/>
    <x v="2"/>
    <s v="IEEINCOAFCCN"/>
    <n v="0"/>
    <n v="0"/>
    <n v="0"/>
    <n v="0"/>
  </r>
  <r>
    <x v="14"/>
    <x v="2"/>
    <s v="IEEINNGSFC0N"/>
    <n v="0.59260000000000002"/>
    <n v="0.60909999999999997"/>
    <n v="0.62090000000000001"/>
    <n v="0.80869999999999997"/>
  </r>
  <r>
    <x v="14"/>
    <x v="2"/>
    <s v="IEEINNGSFCCN"/>
    <n v="0"/>
    <n v="0"/>
    <n v="0"/>
    <n v="0"/>
  </r>
  <r>
    <x v="14"/>
    <x v="2"/>
    <s v="IEEINBIOFC0N"/>
    <n v="2.3454000000000002"/>
    <n v="2.3771"/>
    <n v="2.3752"/>
    <n v="2.5163000000000002"/>
  </r>
  <r>
    <x v="14"/>
    <x v="2"/>
    <s v="IEEINELCFC0N"/>
    <n v="0.62480000000000002"/>
    <n v="0.55820000000000003"/>
    <n v="0.48970000000000002"/>
    <n v="0.60370000000000001"/>
  </r>
  <r>
    <x v="14"/>
    <x v="2"/>
    <s v="IEEINHY2FC0N"/>
    <n v="0"/>
    <n v="0"/>
    <n v="0"/>
    <n v="0"/>
  </r>
  <r>
    <x v="14"/>
    <x v="2"/>
    <s v="IEEINSTH000N"/>
    <n v="0"/>
    <n v="0"/>
    <n v="0"/>
    <n v="0"/>
  </r>
  <r>
    <x v="14"/>
    <x v="2"/>
    <s v="IEEINHEA000N"/>
    <n v="0"/>
    <n v="0"/>
    <n v="0"/>
    <n v="0"/>
  </r>
  <r>
    <x v="14"/>
    <x v="5"/>
    <s v="IEEINOILFC0F"/>
    <n v="1.2371000000000001"/>
    <n v="1.2381"/>
    <n v="1.2477"/>
    <n v="1.2589999999999999"/>
  </r>
  <r>
    <x v="14"/>
    <x v="5"/>
    <s v="IEEINCOAFC0F"/>
    <n v="0.31169999999999998"/>
    <n v="0"/>
    <n v="0"/>
    <n v="0"/>
  </r>
  <r>
    <x v="14"/>
    <x v="5"/>
    <s v="IEEINCOAFCCF"/>
    <n v="0"/>
    <n v="0"/>
    <n v="0"/>
    <n v="0"/>
  </r>
  <r>
    <x v="14"/>
    <x v="5"/>
    <s v="IEEINNGSFC0F"/>
    <n v="5.6218000000000004"/>
    <n v="5.6623000000000001"/>
    <n v="5.7991999999999999"/>
    <n v="6.2149000000000001"/>
  </r>
  <r>
    <x v="14"/>
    <x v="5"/>
    <s v="IEEINNGSFCCF"/>
    <n v="0"/>
    <n v="0"/>
    <n v="0"/>
    <n v="0"/>
  </r>
  <r>
    <x v="14"/>
    <x v="5"/>
    <s v="IEEINBIOFC0F"/>
    <n v="0.40970000000000001"/>
    <n v="0.40079999999999999"/>
    <n v="0.56669999999999998"/>
    <n v="7.2999999999999995E-2"/>
  </r>
  <r>
    <x v="14"/>
    <x v="5"/>
    <s v="IEEINELCFC0F"/>
    <n v="0.94240000000000002"/>
    <n v="0.90110000000000001"/>
    <n v="0.90859999999999996"/>
    <n v="0.99780000000000002"/>
  </r>
  <r>
    <x v="14"/>
    <x v="5"/>
    <s v="IEEINHY2FC0F"/>
    <n v="0"/>
    <n v="0"/>
    <n v="0"/>
    <n v="0"/>
  </r>
  <r>
    <x v="14"/>
    <x v="5"/>
    <s v="IEEINSTH000F"/>
    <n v="0"/>
    <n v="0"/>
    <n v="0"/>
    <n v="0"/>
  </r>
  <r>
    <x v="14"/>
    <x v="5"/>
    <s v="IEEINHEA000F"/>
    <n v="0"/>
    <n v="0"/>
    <n v="0"/>
    <n v="0"/>
  </r>
  <r>
    <x v="14"/>
    <x v="4"/>
    <s v="IEEINOILFC0O"/>
    <n v="1.2432000000000001"/>
    <n v="1.2465999999999999"/>
    <n v="1.4123000000000001"/>
    <n v="1.2736000000000001"/>
  </r>
  <r>
    <x v="14"/>
    <x v="4"/>
    <s v="IEEINCOAFC0O"/>
    <n v="0"/>
    <n v="0"/>
    <n v="0"/>
    <n v="0"/>
  </r>
  <r>
    <x v="14"/>
    <x v="4"/>
    <s v="IEEINCOAFCCO"/>
    <n v="0"/>
    <n v="0"/>
    <n v="0"/>
    <n v="0"/>
  </r>
  <r>
    <x v="14"/>
    <x v="4"/>
    <s v="IEEINNGSFC0O"/>
    <n v="1.8672"/>
    <n v="1.9016999999999999"/>
    <n v="1.9057999999999999"/>
    <n v="2.4632000000000001"/>
  </r>
  <r>
    <x v="14"/>
    <x v="4"/>
    <s v="IEEINNGSFCCO"/>
    <n v="0"/>
    <n v="0"/>
    <n v="0"/>
    <n v="0"/>
  </r>
  <r>
    <x v="14"/>
    <x v="4"/>
    <s v="IEEINBIOFC0O"/>
    <n v="2.2302"/>
    <n v="2.1179999999999999"/>
    <n v="1.8136000000000001"/>
    <n v="2.0627"/>
  </r>
  <r>
    <x v="14"/>
    <x v="4"/>
    <s v="IEEINELCFC0O"/>
    <n v="1.8343"/>
    <n v="1.9399"/>
    <n v="2.2652000000000001"/>
    <n v="2.0771000000000002"/>
  </r>
  <r>
    <x v="14"/>
    <x v="4"/>
    <s v="IEEINHY2FC0O"/>
    <n v="0"/>
    <n v="0"/>
    <n v="0"/>
    <n v="0"/>
  </r>
  <r>
    <x v="14"/>
    <x v="4"/>
    <s v="IEEINSTH000O"/>
    <n v="0"/>
    <n v="0"/>
    <n v="0"/>
    <n v="0"/>
  </r>
  <r>
    <x v="14"/>
    <x v="4"/>
    <s v="IEEINHEA000O"/>
    <n v="0"/>
    <n v="0"/>
    <n v="0"/>
    <n v="0"/>
  </r>
  <r>
    <x v="15"/>
    <x v="7"/>
    <s v="ITEINOILFC0A"/>
    <n v="5.6029"/>
    <n v="4.8327"/>
    <n v="4.2784000000000004"/>
    <n v="4.5282"/>
  </r>
  <r>
    <x v="15"/>
    <x v="7"/>
    <s v="ITEINCOAFC0A"/>
    <n v="0"/>
    <n v="0"/>
    <n v="0"/>
    <n v="0"/>
  </r>
  <r>
    <x v="15"/>
    <x v="7"/>
    <s v="ITEINCOAFCCA"/>
    <n v="0"/>
    <n v="0"/>
    <n v="0"/>
    <n v="0"/>
  </r>
  <r>
    <x v="15"/>
    <x v="7"/>
    <s v="ITEINNGSFC0A"/>
    <n v="30.846"/>
    <n v="29.853300000000001"/>
    <n v="27.751100000000001"/>
    <n v="33.114600000000003"/>
  </r>
  <r>
    <x v="15"/>
    <x v="7"/>
    <s v="ITEINNGSFCCA"/>
    <n v="0"/>
    <n v="0"/>
    <n v="0"/>
    <n v="0"/>
  </r>
  <r>
    <x v="15"/>
    <x v="7"/>
    <s v="ITEINBIOFC0A"/>
    <n v="0.14349999999999999"/>
    <n v="0.1363"/>
    <n v="0.14019999999999999"/>
    <n v="8.4099999999999994E-2"/>
  </r>
  <r>
    <x v="15"/>
    <x v="7"/>
    <s v="ITEINELCFC0A"/>
    <n v="19.397600000000001"/>
    <n v="20.293099999999999"/>
    <n v="19.378399999999999"/>
    <n v="21.526900000000001"/>
  </r>
  <r>
    <x v="15"/>
    <x v="7"/>
    <s v="ITEINHY2FC0A"/>
    <n v="0"/>
    <n v="0"/>
    <n v="0"/>
    <n v="0"/>
  </r>
  <r>
    <x v="15"/>
    <x v="7"/>
    <s v="ITEINSTH000A"/>
    <n v="0"/>
    <n v="0"/>
    <n v="0"/>
    <n v="0"/>
  </r>
  <r>
    <x v="15"/>
    <x v="7"/>
    <s v="ITEINHEA000A"/>
    <n v="0.88859999999999995"/>
    <n v="2.5594000000000001"/>
    <n v="2.581"/>
    <n v="1.0636000000000001"/>
  </r>
  <r>
    <x v="15"/>
    <x v="1"/>
    <s v="ITEINOILFC0C"/>
    <n v="8.4158000000000008"/>
    <n v="7.5186999999999999"/>
    <n v="5.5260999999999996"/>
    <n v="5.0488"/>
  </r>
  <r>
    <x v="15"/>
    <x v="1"/>
    <s v="ITEINCOAFC0C"/>
    <n v="2.64E-2"/>
    <n v="1.3299999999999999E-2"/>
    <n v="0"/>
    <n v="0"/>
  </r>
  <r>
    <x v="15"/>
    <x v="1"/>
    <s v="ITEINCOAFCCC"/>
    <n v="0"/>
    <n v="0"/>
    <n v="0"/>
    <n v="0"/>
  </r>
  <r>
    <x v="15"/>
    <x v="1"/>
    <s v="ITEINNGSFC0C"/>
    <n v="22.488499999999998"/>
    <n v="22.4194"/>
    <n v="21.95"/>
    <n v="50.971600000000002"/>
  </r>
  <r>
    <x v="15"/>
    <x v="1"/>
    <s v="ITEINNGSFCCC"/>
    <n v="0"/>
    <n v="0"/>
    <n v="0"/>
    <n v="0"/>
  </r>
  <r>
    <x v="15"/>
    <x v="1"/>
    <s v="ITEINBIOFC0C"/>
    <n v="1.9441999999999999"/>
    <n v="2.0630000000000002"/>
    <n v="2.032"/>
    <n v="1.9593"/>
  </r>
  <r>
    <x v="15"/>
    <x v="1"/>
    <s v="ITEINELCFC0C"/>
    <n v="7.2233999999999998"/>
    <n v="6.968"/>
    <n v="7.3026999999999997"/>
    <n v="4.1321000000000003"/>
  </r>
  <r>
    <x v="15"/>
    <x v="1"/>
    <s v="ITEINHY2FC0C"/>
    <n v="0"/>
    <n v="0"/>
    <n v="0"/>
    <n v="0"/>
  </r>
  <r>
    <x v="15"/>
    <x v="1"/>
    <s v="ITEINSTH000C"/>
    <n v="0"/>
    <n v="0"/>
    <n v="0"/>
    <n v="0"/>
  </r>
  <r>
    <x v="15"/>
    <x v="1"/>
    <s v="ITEINHEA000C"/>
    <n v="30.902899999999999"/>
    <n v="30.285299999999999"/>
    <n v="30.8276"/>
    <n v="19.5593"/>
  </r>
  <r>
    <x v="15"/>
    <x v="2"/>
    <s v="ITEINOILFC0N"/>
    <n v="21.430199999999999"/>
    <n v="19.7483"/>
    <n v="22.806899999999999"/>
    <n v="28.460599999999999"/>
  </r>
  <r>
    <x v="15"/>
    <x v="2"/>
    <s v="ITEINCOAFC0N"/>
    <n v="3.9154"/>
    <n v="3.9914000000000001"/>
    <n v="3.3660999999999999"/>
    <n v="0.79630000000000001"/>
  </r>
  <r>
    <x v="15"/>
    <x v="2"/>
    <s v="ITEINCOAFCCN"/>
    <n v="0"/>
    <n v="0"/>
    <n v="0"/>
    <n v="0"/>
  </r>
  <r>
    <x v="15"/>
    <x v="2"/>
    <s v="ITEINNGSFC0N"/>
    <n v="49.623600000000003"/>
    <n v="49.2134"/>
    <n v="45.267200000000003"/>
    <n v="51.976599999999998"/>
  </r>
  <r>
    <x v="15"/>
    <x v="2"/>
    <s v="ITEINNGSFCCN"/>
    <n v="0"/>
    <n v="0"/>
    <n v="0"/>
    <n v="0"/>
  </r>
  <r>
    <x v="15"/>
    <x v="2"/>
    <s v="ITEINBIOFC0N"/>
    <n v="7.2831000000000001"/>
    <n v="7.6007999999999996"/>
    <n v="9.1904000000000003"/>
    <n v="11.222799999999999"/>
  </r>
  <r>
    <x v="15"/>
    <x v="2"/>
    <s v="ITEINELCFC0N"/>
    <n v="8.9247999999999994"/>
    <n v="8.7550000000000008"/>
    <n v="8.2483000000000004"/>
    <n v="10.021699999999999"/>
  </r>
  <r>
    <x v="15"/>
    <x v="2"/>
    <s v="ITEINHY2FC0N"/>
    <n v="0"/>
    <n v="0"/>
    <n v="0"/>
    <n v="0"/>
  </r>
  <r>
    <x v="15"/>
    <x v="2"/>
    <s v="ITEINSTH000N"/>
    <n v="0"/>
    <n v="0"/>
    <n v="0"/>
    <n v="0"/>
  </r>
  <r>
    <x v="15"/>
    <x v="2"/>
    <s v="ITEINHEA000N"/>
    <n v="4.1492000000000004"/>
    <n v="4.5091000000000001"/>
    <n v="4.2782"/>
    <n v="3.1438999999999999"/>
  </r>
  <r>
    <x v="15"/>
    <x v="0"/>
    <s v="ITEINOILFC0I"/>
    <n v="1.5226"/>
    <n v="1.3445"/>
    <n v="1.5975999999999999"/>
    <n v="2.3940000000000001"/>
  </r>
  <r>
    <x v="15"/>
    <x v="0"/>
    <s v="ITEINCOAFC0I"/>
    <n v="9.3347999999999995"/>
    <n v="8.6844999999999999"/>
    <n v="5.4725000000000001"/>
    <n v="5.8489000000000004"/>
  </r>
  <r>
    <x v="15"/>
    <x v="0"/>
    <s v="ITEINCOAFCCI"/>
    <n v="0"/>
    <n v="0"/>
    <n v="0"/>
    <n v="0"/>
  </r>
  <r>
    <x v="15"/>
    <x v="0"/>
    <s v="ITEINNGSFC0I"/>
    <n v="30.6355"/>
    <n v="29.7456"/>
    <n v="27.8643"/>
    <n v="29.718599999999999"/>
  </r>
  <r>
    <x v="15"/>
    <x v="0"/>
    <s v="ITEINNGSFCCI"/>
    <n v="0"/>
    <n v="0"/>
    <n v="0"/>
    <n v="0"/>
  </r>
  <r>
    <x v="15"/>
    <x v="0"/>
    <s v="ITEINBIOFC0I"/>
    <n v="0"/>
    <n v="0"/>
    <n v="0"/>
    <n v="0"/>
  </r>
  <r>
    <x v="15"/>
    <x v="0"/>
    <s v="ITEINELCFC0I"/>
    <n v="42.049700000000001"/>
    <n v="42.260199999999998"/>
    <n v="37.156500000000001"/>
    <n v="43.241599999999998"/>
  </r>
  <r>
    <x v="15"/>
    <x v="0"/>
    <s v="ITEINHY2FC0I"/>
    <n v="0"/>
    <n v="0"/>
    <n v="0"/>
    <n v="0"/>
  </r>
  <r>
    <x v="15"/>
    <x v="0"/>
    <s v="ITEINSTH000I"/>
    <n v="0"/>
    <n v="0"/>
    <n v="0"/>
    <n v="0"/>
  </r>
  <r>
    <x v="15"/>
    <x v="0"/>
    <s v="ITEINHEA000I"/>
    <n v="64.811199999999999"/>
    <n v="66.244"/>
    <n v="60.813800000000001"/>
    <n v="66.855800000000002"/>
  </r>
  <r>
    <x v="15"/>
    <x v="4"/>
    <s v="ITEINOILFC0O"/>
    <n v="6.8413000000000004"/>
    <n v="5.1595000000000004"/>
    <n v="5.0541"/>
    <n v="9.9118999999999993"/>
  </r>
  <r>
    <x v="15"/>
    <x v="4"/>
    <s v="ITEINCOAFC0O"/>
    <n v="0.57099999999999995"/>
    <n v="0.54330000000000001"/>
    <n v="0.2949"/>
    <n v="0.13639999999999999"/>
  </r>
  <r>
    <x v="15"/>
    <x v="4"/>
    <s v="ITEINCOAFCCO"/>
    <n v="0"/>
    <n v="0"/>
    <n v="0"/>
    <n v="0"/>
  </r>
  <r>
    <x v="15"/>
    <x v="4"/>
    <s v="ITEINNGSFC0O"/>
    <n v="62.164700000000003"/>
    <n v="61.682600000000001"/>
    <n v="59.380099999999999"/>
    <n v="114.0808"/>
  </r>
  <r>
    <x v="15"/>
    <x v="4"/>
    <s v="ITEINNGSFCCO"/>
    <n v="0"/>
    <n v="0"/>
    <n v="0"/>
    <n v="0"/>
  </r>
  <r>
    <x v="15"/>
    <x v="4"/>
    <s v="ITEINBIOFC0O"/>
    <n v="3.8946000000000001"/>
    <n v="4.2586000000000004"/>
    <n v="3.8834"/>
    <n v="3.5343"/>
  </r>
  <r>
    <x v="15"/>
    <x v="4"/>
    <s v="ITEINELCFC0O"/>
    <n v="36.465899999999998"/>
    <n v="39.183599999999998"/>
    <n v="40.823500000000003"/>
    <n v="38.83"/>
  </r>
  <r>
    <x v="15"/>
    <x v="4"/>
    <s v="ITEINHY2FC0O"/>
    <n v="0"/>
    <n v="0"/>
    <n v="0"/>
    <n v="0"/>
  </r>
  <r>
    <x v="15"/>
    <x v="4"/>
    <s v="ITEINSTH000O"/>
    <n v="0.34050000000000002"/>
    <n v="0.36470000000000002"/>
    <n v="0.32829999999999998"/>
    <n v="0.33560000000000001"/>
  </r>
  <r>
    <x v="15"/>
    <x v="4"/>
    <s v="ITEINHEA000O"/>
    <n v="33.301200000000001"/>
    <n v="36.488999999999997"/>
    <n v="32.483899999999998"/>
    <n v="30.935600000000001"/>
  </r>
  <r>
    <x v="16"/>
    <x v="8"/>
    <s v="LTEINOILFC0W"/>
    <n v="0.04"/>
    <n v="4.1099999999999998E-2"/>
    <n v="3.9699999999999999E-2"/>
    <n v="4.02E-2"/>
  </r>
  <r>
    <x v="16"/>
    <x v="8"/>
    <s v="LTEINCOAFC0W"/>
    <n v="1.4E-3"/>
    <n v="1.6999999999999999E-3"/>
    <n v="0"/>
    <n v="0"/>
  </r>
  <r>
    <x v="16"/>
    <x v="8"/>
    <s v="LTEINCOAFCCW"/>
    <n v="0"/>
    <n v="0"/>
    <n v="0"/>
    <n v="0"/>
  </r>
  <r>
    <x v="16"/>
    <x v="8"/>
    <s v="LTEINNGSFC0W"/>
    <n v="0.16500000000000001"/>
    <n v="0.1144"/>
    <n v="0.12759999999999999"/>
    <n v="0.16270000000000001"/>
  </r>
  <r>
    <x v="16"/>
    <x v="8"/>
    <s v="LTEINNGSFCCW"/>
    <n v="0"/>
    <n v="0"/>
    <n v="0"/>
    <n v="0"/>
  </r>
  <r>
    <x v="16"/>
    <x v="8"/>
    <s v="LTEINBIOFC0W"/>
    <n v="0.64700000000000002"/>
    <n v="0.65900000000000003"/>
    <n v="0.85580000000000001"/>
    <n v="0.89570000000000005"/>
  </r>
  <r>
    <x v="16"/>
    <x v="8"/>
    <s v="LTEINELCFC0W"/>
    <n v="7.1300000000000002E-2"/>
    <n v="7.8399999999999997E-2"/>
    <n v="7.9200000000000007E-2"/>
    <n v="8.0600000000000005E-2"/>
  </r>
  <r>
    <x v="16"/>
    <x v="8"/>
    <s v="LTEINHY2FC0W"/>
    <n v="0"/>
    <n v="0"/>
    <n v="0"/>
    <n v="0"/>
  </r>
  <r>
    <x v="16"/>
    <x v="8"/>
    <s v="LTEINSTH000W"/>
    <n v="0"/>
    <n v="0"/>
    <n v="0"/>
    <n v="0"/>
  </r>
  <r>
    <x v="16"/>
    <x v="8"/>
    <s v="LTEINHEA000W"/>
    <n v="0.1416"/>
    <n v="0.13239999999999999"/>
    <n v="0.1439"/>
    <n v="0.1696"/>
  </r>
  <r>
    <x v="16"/>
    <x v="1"/>
    <s v="LTEINOILFC0C"/>
    <n v="1.7000000000000001E-2"/>
    <n v="2.24E-2"/>
    <n v="2.4899999999999999E-2"/>
    <n v="2.9700000000000001E-2"/>
  </r>
  <r>
    <x v="16"/>
    <x v="1"/>
    <s v="LTEINCOAFC0C"/>
    <n v="0"/>
    <n v="0"/>
    <n v="0"/>
    <n v="0"/>
  </r>
  <r>
    <x v="16"/>
    <x v="1"/>
    <s v="LTEINCOAFCCC"/>
    <n v="0"/>
    <n v="0"/>
    <n v="0"/>
    <n v="0"/>
  </r>
  <r>
    <x v="16"/>
    <x v="1"/>
    <s v="LTEINNGSFC0C"/>
    <n v="2.0863999999999998"/>
    <n v="2.2944"/>
    <n v="2.121"/>
    <n v="2.1021999999999998"/>
  </r>
  <r>
    <x v="16"/>
    <x v="1"/>
    <s v="LTEINNGSFCCC"/>
    <n v="0"/>
    <n v="0"/>
    <n v="0"/>
    <n v="0"/>
  </r>
  <r>
    <x v="16"/>
    <x v="1"/>
    <s v="LTEINBIOFC0C"/>
    <n v="0.19969999999999999"/>
    <n v="0.19620000000000001"/>
    <n v="0.19520000000000001"/>
    <n v="0.19919999999999999"/>
  </r>
  <r>
    <x v="16"/>
    <x v="1"/>
    <s v="LTEINELCFC0C"/>
    <n v="4.7899999999999998E-2"/>
    <n v="4.2700000000000002E-2"/>
    <n v="6.7900000000000002E-2"/>
    <n v="5.5E-2"/>
  </r>
  <r>
    <x v="16"/>
    <x v="1"/>
    <s v="LTEINHY2FC0C"/>
    <n v="0"/>
    <n v="0"/>
    <n v="0"/>
    <n v="0"/>
  </r>
  <r>
    <x v="16"/>
    <x v="1"/>
    <s v="LTEINSTH000C"/>
    <n v="0"/>
    <n v="0"/>
    <n v="0"/>
    <n v="0"/>
  </r>
  <r>
    <x v="16"/>
    <x v="1"/>
    <s v="LTEINHEA000C"/>
    <n v="4.7192999999999996"/>
    <n v="4.5887000000000002"/>
    <n v="3.0680999999999998"/>
    <n v="3.7909000000000002"/>
  </r>
  <r>
    <x v="16"/>
    <x v="2"/>
    <s v="LTEINOILFC0N"/>
    <n v="6.1699999999999998E-2"/>
    <n v="6.3100000000000003E-2"/>
    <n v="6.4000000000000001E-2"/>
    <n v="7.9600000000000004E-2"/>
  </r>
  <r>
    <x v="16"/>
    <x v="2"/>
    <s v="LTEINCOAFC0N"/>
    <n v="1.7149000000000001"/>
    <n v="1.9786999999999999"/>
    <n v="1.6168"/>
    <n v="1.9743999999999999"/>
  </r>
  <r>
    <x v="16"/>
    <x v="2"/>
    <s v="LTEINCOAFCCN"/>
    <n v="0"/>
    <n v="0"/>
    <n v="0"/>
    <n v="0"/>
  </r>
  <r>
    <x v="16"/>
    <x v="2"/>
    <s v="LTEINNGSFC0N"/>
    <n v="0.44679999999999997"/>
    <n v="0.43519999999999998"/>
    <n v="0.40749999999999997"/>
    <n v="0.43219999999999997"/>
  </r>
  <r>
    <x v="16"/>
    <x v="2"/>
    <s v="LTEINNGSFCCN"/>
    <n v="0"/>
    <n v="0"/>
    <n v="0"/>
    <n v="0"/>
  </r>
  <r>
    <x v="16"/>
    <x v="2"/>
    <s v="LTEINBIOFC0N"/>
    <n v="0.22739999999999999"/>
    <n v="0.25700000000000001"/>
    <n v="0.23710000000000001"/>
    <n v="0.27560000000000001"/>
  </r>
  <r>
    <x v="16"/>
    <x v="2"/>
    <s v="LTEINELCFC0N"/>
    <n v="0.12130000000000001"/>
    <n v="0.1241"/>
    <n v="0.10150000000000001"/>
    <n v="0.1169"/>
  </r>
  <r>
    <x v="16"/>
    <x v="2"/>
    <s v="LTEINHY2FC0N"/>
    <n v="0"/>
    <n v="0"/>
    <n v="0"/>
    <n v="0"/>
  </r>
  <r>
    <x v="16"/>
    <x v="2"/>
    <s v="LTEINSTH000N"/>
    <n v="0"/>
    <n v="0"/>
    <n v="0"/>
    <n v="0"/>
  </r>
  <r>
    <x v="16"/>
    <x v="2"/>
    <s v="LTEINHEA000N"/>
    <n v="4.8999999999999998E-3"/>
    <n v="5.9999999999999995E-4"/>
    <n v="5.0000000000000001E-4"/>
    <n v="5.9999999999999995E-4"/>
  </r>
  <r>
    <x v="16"/>
    <x v="5"/>
    <s v="LTEINOILFC0F"/>
    <n v="0.19439999999999999"/>
    <n v="0.21759999999999999"/>
    <n v="0.21360000000000001"/>
    <n v="0.19969999999999999"/>
  </r>
  <r>
    <x v="16"/>
    <x v="5"/>
    <s v="LTEINCOAFC0F"/>
    <n v="3.5700000000000003E-2"/>
    <n v="2.8299999999999999E-2"/>
    <n v="3.6999999999999998E-2"/>
    <n v="2.9000000000000001E-2"/>
  </r>
  <r>
    <x v="16"/>
    <x v="5"/>
    <s v="LTEINCOAFCCF"/>
    <n v="0"/>
    <n v="0"/>
    <n v="0"/>
    <n v="0"/>
  </r>
  <r>
    <x v="16"/>
    <x v="5"/>
    <s v="LTEINNGSFC0F"/>
    <n v="1.7923"/>
    <n v="1.6072"/>
    <n v="1.6711"/>
    <n v="1.6625000000000001"/>
  </r>
  <r>
    <x v="16"/>
    <x v="5"/>
    <s v="LTEINNGSFCCF"/>
    <n v="0"/>
    <n v="0"/>
    <n v="0"/>
    <n v="0"/>
  </r>
  <r>
    <x v="16"/>
    <x v="5"/>
    <s v="LTEINBIOFC0F"/>
    <n v="0.20119999999999999"/>
    <n v="0.16739999999999999"/>
    <n v="0.23250000000000001"/>
    <n v="0.26029999999999998"/>
  </r>
  <r>
    <x v="16"/>
    <x v="5"/>
    <s v="LTEINELCFC0F"/>
    <n v="0.71020000000000005"/>
    <n v="0.73499999999999999"/>
    <n v="0.73599999999999999"/>
    <n v="0.7923"/>
  </r>
  <r>
    <x v="16"/>
    <x v="5"/>
    <s v="LTEINHY2FC0F"/>
    <n v="0"/>
    <n v="0"/>
    <n v="0"/>
    <n v="0"/>
  </r>
  <r>
    <x v="16"/>
    <x v="5"/>
    <s v="LTEINSTH000F"/>
    <n v="0"/>
    <n v="0"/>
    <n v="0"/>
    <n v="0"/>
  </r>
  <r>
    <x v="16"/>
    <x v="5"/>
    <s v="LTEINHEA000F"/>
    <n v="0.1968"/>
    <n v="0.14099999999999999"/>
    <n v="0.14680000000000001"/>
    <n v="0.1608"/>
  </r>
  <r>
    <x v="16"/>
    <x v="4"/>
    <s v="LTEINOILFC0O"/>
    <n v="0.28320000000000001"/>
    <n v="0.31140000000000001"/>
    <n v="0.26119999999999999"/>
    <n v="0.25440000000000002"/>
  </r>
  <r>
    <x v="16"/>
    <x v="4"/>
    <s v="LTEINCOAFC0O"/>
    <n v="2.3300000000000001E-2"/>
    <n v="1.7399999999999999E-2"/>
    <n v="7.7999999999999996E-3"/>
    <n v="7.3000000000000001E-3"/>
  </r>
  <r>
    <x v="16"/>
    <x v="4"/>
    <s v="LTEINCOAFCCO"/>
    <n v="0"/>
    <n v="0"/>
    <n v="0"/>
    <n v="0"/>
  </r>
  <r>
    <x v="16"/>
    <x v="4"/>
    <s v="LTEINNGSFC0O"/>
    <n v="1.2801"/>
    <n v="1.1914"/>
    <n v="1.0968"/>
    <n v="1.2199"/>
  </r>
  <r>
    <x v="16"/>
    <x v="4"/>
    <s v="LTEINNGSFCCO"/>
    <n v="0"/>
    <n v="0"/>
    <n v="0"/>
    <n v="0"/>
  </r>
  <r>
    <x v="16"/>
    <x v="4"/>
    <s v="LTEINBIOFC0O"/>
    <n v="0.63970000000000005"/>
    <n v="0.67700000000000005"/>
    <n v="0.66200000000000003"/>
    <n v="0.66359999999999997"/>
  </r>
  <r>
    <x v="16"/>
    <x v="4"/>
    <s v="LTEINELCFC0O"/>
    <n v="0.80559999999999998"/>
    <n v="0.95009999999999994"/>
    <n v="0.86009999999999998"/>
    <n v="1.0071000000000001"/>
  </r>
  <r>
    <x v="16"/>
    <x v="4"/>
    <s v="LTEINHY2FC0O"/>
    <n v="0"/>
    <n v="0"/>
    <n v="0"/>
    <n v="0"/>
  </r>
  <r>
    <x v="16"/>
    <x v="4"/>
    <s v="LTEINSTH000O"/>
    <n v="0"/>
    <n v="0"/>
    <n v="0"/>
    <n v="0"/>
  </r>
  <r>
    <x v="16"/>
    <x v="4"/>
    <s v="LTEINHEA000O"/>
    <n v="0.21329999999999999"/>
    <n v="0.1769"/>
    <n v="0.1883"/>
    <n v="0.246"/>
  </r>
  <r>
    <x v="17"/>
    <x v="2"/>
    <s v="LUEINOILFC0N"/>
    <n v="8.9300000000000004E-2"/>
    <n v="0.1225"/>
    <n v="0.1124"/>
    <n v="0.10489999999999999"/>
  </r>
  <r>
    <x v="17"/>
    <x v="2"/>
    <s v="LUEINCOAFC0N"/>
    <n v="0.74170000000000003"/>
    <n v="0.83199999999999996"/>
    <n v="0.68159999999999998"/>
    <n v="0.74280000000000002"/>
  </r>
  <r>
    <x v="17"/>
    <x v="2"/>
    <s v="LUEINCOAFCCN"/>
    <n v="0"/>
    <n v="0"/>
    <n v="0"/>
    <n v="0"/>
  </r>
  <r>
    <x v="17"/>
    <x v="2"/>
    <s v="LUEINNGSFC0N"/>
    <n v="1.7188000000000001"/>
    <n v="1.6536999999999999"/>
    <n v="1.1688000000000001"/>
    <n v="0.9496"/>
  </r>
  <r>
    <x v="17"/>
    <x v="2"/>
    <s v="LUEINNGSFCCN"/>
    <n v="0"/>
    <n v="0"/>
    <n v="0"/>
    <n v="0"/>
  </r>
  <r>
    <x v="17"/>
    <x v="2"/>
    <s v="LUEINBIOFC0N"/>
    <n v="0.44419999999999998"/>
    <n v="0.4516"/>
    <n v="0.69610000000000005"/>
    <n v="0.57899999999999996"/>
  </r>
  <r>
    <x v="17"/>
    <x v="2"/>
    <s v="LUEINELCFC0N"/>
    <n v="7.7600000000000002E-2"/>
    <n v="7.1099999999999997E-2"/>
    <n v="6.2600000000000003E-2"/>
    <n v="3.7100000000000001E-2"/>
  </r>
  <r>
    <x v="17"/>
    <x v="2"/>
    <s v="LUEINHY2FC0N"/>
    <n v="0"/>
    <n v="0"/>
    <n v="0"/>
    <n v="0"/>
  </r>
  <r>
    <x v="17"/>
    <x v="2"/>
    <s v="LUEINSTH000N"/>
    <n v="0"/>
    <n v="0"/>
    <n v="0"/>
    <n v="0"/>
  </r>
  <r>
    <x v="17"/>
    <x v="2"/>
    <s v="LUEINHEA000N"/>
    <n v="0"/>
    <n v="0"/>
    <n v="0"/>
    <n v="0"/>
  </r>
  <r>
    <x v="17"/>
    <x v="0"/>
    <s v="LUEINOILFC0I"/>
    <n v="2.7900000000000001E-2"/>
    <n v="2.5000000000000001E-2"/>
    <n v="2.3099999999999999E-2"/>
    <n v="2.1299999999999999E-2"/>
  </r>
  <r>
    <x v="17"/>
    <x v="0"/>
    <s v="LUEINCOAFC0I"/>
    <n v="6.4399999999999999E-2"/>
    <n v="6.5500000000000003E-2"/>
    <n v="5.9499999999999997E-2"/>
    <n v="4.9599999999999998E-2"/>
  </r>
  <r>
    <x v="17"/>
    <x v="0"/>
    <s v="LUEINCOAFCCI"/>
    <n v="0"/>
    <n v="0"/>
    <n v="0"/>
    <n v="0"/>
  </r>
  <r>
    <x v="17"/>
    <x v="0"/>
    <s v="LUEINNGSFC0I"/>
    <n v="3.5697000000000001"/>
    <n v="3.3831000000000002"/>
    <n v="3.0653000000000001"/>
    <n v="3.1190000000000002"/>
  </r>
  <r>
    <x v="17"/>
    <x v="0"/>
    <s v="LUEINNGSFCCI"/>
    <n v="0"/>
    <n v="0"/>
    <n v="0"/>
    <n v="0"/>
  </r>
  <r>
    <x v="17"/>
    <x v="0"/>
    <s v="LUEINBIOFC0I"/>
    <n v="0"/>
    <n v="0"/>
    <n v="0"/>
    <n v="0"/>
  </r>
  <r>
    <x v="17"/>
    <x v="0"/>
    <s v="LUEINELCFC0I"/>
    <n v="5.5381"/>
    <n v="4.9904999999999999"/>
    <n v="4.6032999999999999"/>
    <n v="3.7997000000000001"/>
  </r>
  <r>
    <x v="17"/>
    <x v="0"/>
    <s v="LUEINHY2FC0I"/>
    <n v="0"/>
    <n v="0"/>
    <n v="0"/>
    <n v="0"/>
  </r>
  <r>
    <x v="17"/>
    <x v="0"/>
    <s v="LUEINSTH000I"/>
    <n v="0"/>
    <n v="0"/>
    <n v="0"/>
    <n v="0"/>
  </r>
  <r>
    <x v="17"/>
    <x v="0"/>
    <s v="LUEINHEA000I"/>
    <n v="9.8363999999999994"/>
    <n v="9.0432000000000006"/>
    <n v="8.2843999999999998"/>
    <n v="7.4462000000000002"/>
  </r>
  <r>
    <x v="17"/>
    <x v="4"/>
    <s v="LUEINOILFC0O"/>
    <n v="0.30740000000000001"/>
    <n v="0.42049999999999998"/>
    <n v="0.39360000000000001"/>
    <n v="0.3659"/>
  </r>
  <r>
    <x v="17"/>
    <x v="4"/>
    <s v="LUEINCOAFC0O"/>
    <n v="2.5399999999999999E-2"/>
    <n v="2.2499999999999999E-2"/>
    <n v="2.4899999999999999E-2"/>
    <n v="1.2800000000000001E-2"/>
  </r>
  <r>
    <x v="17"/>
    <x v="4"/>
    <s v="LUEINCOAFCCO"/>
    <n v="0"/>
    <n v="0"/>
    <n v="0"/>
    <n v="0"/>
  </r>
  <r>
    <x v="17"/>
    <x v="4"/>
    <s v="LUEINNGSFC0O"/>
    <n v="1.0599000000000001"/>
    <n v="1.0851"/>
    <n v="0.98699999999999999"/>
    <n v="1.4201999999999999"/>
  </r>
  <r>
    <x v="17"/>
    <x v="4"/>
    <s v="LUEINNGSFCCO"/>
    <n v="0"/>
    <n v="0"/>
    <n v="0"/>
    <n v="0"/>
  </r>
  <r>
    <x v="17"/>
    <x v="4"/>
    <s v="LUEINBIOFC0O"/>
    <n v="0.1782"/>
    <n v="5.7099999999999998E-2"/>
    <n v="5.7299999999999997E-2"/>
    <n v="0.12959999999999999"/>
  </r>
  <r>
    <x v="17"/>
    <x v="4"/>
    <s v="LUEINELCFC0O"/>
    <n v="0.37480000000000002"/>
    <n v="0.38629999999999998"/>
    <n v="0.40679999999999999"/>
    <n v="0.6028"/>
  </r>
  <r>
    <x v="17"/>
    <x v="4"/>
    <s v="LUEINHY2FC0O"/>
    <n v="0"/>
    <n v="0"/>
    <n v="0"/>
    <n v="0"/>
  </r>
  <r>
    <x v="17"/>
    <x v="4"/>
    <s v="LUEINSTH000O"/>
    <n v="0"/>
    <n v="0"/>
    <n v="0"/>
    <n v="0"/>
  </r>
  <r>
    <x v="17"/>
    <x v="4"/>
    <s v="LUEINHEA000O"/>
    <n v="1.8599999999999998E-2"/>
    <n v="5.4300000000000001E-2"/>
    <n v="5.1900000000000002E-2"/>
    <n v="3.6700000000000003E-2"/>
  </r>
  <r>
    <x v="18"/>
    <x v="8"/>
    <s v="LVEINOILFC0W"/>
    <n v="0.1613"/>
    <n v="0.1452"/>
    <n v="0.14030000000000001"/>
    <n v="0.15770000000000001"/>
  </r>
  <r>
    <x v="18"/>
    <x v="8"/>
    <s v="LVEINCOAFC0W"/>
    <n v="0"/>
    <n v="4.1000000000000003E-3"/>
    <n v="2.5999999999999999E-3"/>
    <n v="8.0000000000000002E-3"/>
  </r>
  <r>
    <x v="18"/>
    <x v="8"/>
    <s v="LVEINCOAFCCW"/>
    <n v="0"/>
    <n v="0"/>
    <n v="0"/>
    <n v="0"/>
  </r>
  <r>
    <x v="18"/>
    <x v="8"/>
    <s v="LVEINNGSFC0W"/>
    <n v="0.31830000000000003"/>
    <n v="0.1706"/>
    <n v="0.14449999999999999"/>
    <n v="0.1721"/>
  </r>
  <r>
    <x v="18"/>
    <x v="8"/>
    <s v="LVEINNGSFCCW"/>
    <n v="0"/>
    <n v="0"/>
    <n v="0"/>
    <n v="0"/>
  </r>
  <r>
    <x v="18"/>
    <x v="8"/>
    <s v="LVEINBIOFC0W"/>
    <n v="5.2995999999999999"/>
    <n v="5.5666000000000002"/>
    <n v="5.9038000000000004"/>
    <n v="6.2592999999999996"/>
  </r>
  <r>
    <x v="18"/>
    <x v="8"/>
    <s v="LVEINELCFC0W"/>
    <n v="0.1474"/>
    <n v="0.17499999999999999"/>
    <n v="0.19270000000000001"/>
    <n v="0.19309999999999999"/>
  </r>
  <r>
    <x v="18"/>
    <x v="8"/>
    <s v="LVEINHY2FC0W"/>
    <n v="0"/>
    <n v="0"/>
    <n v="0"/>
    <n v="0"/>
  </r>
  <r>
    <x v="18"/>
    <x v="8"/>
    <s v="LVEINSTH000W"/>
    <n v="0"/>
    <n v="0"/>
    <n v="0"/>
    <n v="0"/>
  </r>
  <r>
    <x v="18"/>
    <x v="8"/>
    <s v="LVEINHEA000W"/>
    <n v="1.5482"/>
    <n v="1.3933"/>
    <n v="1.2088000000000001"/>
    <n v="1.1775"/>
  </r>
  <r>
    <x v="18"/>
    <x v="2"/>
    <s v="LVEINOILFC0N"/>
    <n v="0.2039"/>
    <n v="0.16500000000000001"/>
    <n v="0.19309999999999999"/>
    <n v="0.14929999999999999"/>
  </r>
  <r>
    <x v="18"/>
    <x v="2"/>
    <s v="LVEINCOAFC0N"/>
    <n v="0.62039999999999995"/>
    <n v="0.56830000000000003"/>
    <n v="0.3584"/>
    <n v="0.2273"/>
  </r>
  <r>
    <x v="18"/>
    <x v="2"/>
    <s v="LVEINCOAFCCN"/>
    <n v="0"/>
    <n v="0"/>
    <n v="0"/>
    <n v="0"/>
  </r>
  <r>
    <x v="18"/>
    <x v="2"/>
    <s v="LVEINNGSFC0N"/>
    <n v="0.62480000000000002"/>
    <n v="0.63149999999999995"/>
    <n v="0.63529999999999998"/>
    <n v="0.6552"/>
  </r>
  <r>
    <x v="18"/>
    <x v="2"/>
    <s v="LVEINNGSFCCN"/>
    <n v="0"/>
    <n v="0"/>
    <n v="0"/>
    <n v="0"/>
  </r>
  <r>
    <x v="18"/>
    <x v="2"/>
    <s v="LVEINBIOFC0N"/>
    <n v="1.8374999999999999"/>
    <n v="1.7502"/>
    <n v="2.3332000000000002"/>
    <n v="2.2991999999999999"/>
  </r>
  <r>
    <x v="18"/>
    <x v="2"/>
    <s v="LVEINELCFC0N"/>
    <n v="0.21890000000000001"/>
    <n v="0.2102"/>
    <n v="0.2235"/>
    <n v="0.2291"/>
  </r>
  <r>
    <x v="18"/>
    <x v="2"/>
    <s v="LVEINHY2FC0N"/>
    <n v="0"/>
    <n v="0"/>
    <n v="0"/>
    <n v="0"/>
  </r>
  <r>
    <x v="18"/>
    <x v="2"/>
    <s v="LVEINSTH000N"/>
    <n v="0"/>
    <n v="0"/>
    <n v="0"/>
    <n v="0"/>
  </r>
  <r>
    <x v="18"/>
    <x v="2"/>
    <s v="LVEINHEA000N"/>
    <n v="7.7000000000000002E-3"/>
    <n v="7.7000000000000002E-3"/>
    <n v="1.04E-2"/>
    <n v="1.2999999999999999E-2"/>
  </r>
  <r>
    <x v="18"/>
    <x v="5"/>
    <s v="LVEINOILFC0F"/>
    <n v="0.16350000000000001"/>
    <n v="0.1245"/>
    <n v="9.5299999999999996E-2"/>
    <n v="8.1600000000000006E-2"/>
  </r>
  <r>
    <x v="18"/>
    <x v="5"/>
    <s v="LVEINCOAFC0F"/>
    <n v="6.4999999999999997E-3"/>
    <n v="5.5999999999999999E-3"/>
    <n v="6.4999999999999997E-3"/>
    <n v="4.3E-3"/>
  </r>
  <r>
    <x v="18"/>
    <x v="5"/>
    <s v="LVEINCOAFCCF"/>
    <n v="0"/>
    <n v="0"/>
    <n v="0"/>
    <n v="0"/>
  </r>
  <r>
    <x v="18"/>
    <x v="5"/>
    <s v="LVEINNGSFC0F"/>
    <n v="0.62239999999999995"/>
    <n v="0.59309999999999996"/>
    <n v="0.621"/>
    <n v="0.69630000000000003"/>
  </r>
  <r>
    <x v="18"/>
    <x v="5"/>
    <s v="LVEINNGSFCCF"/>
    <n v="0"/>
    <n v="0"/>
    <n v="0"/>
    <n v="0"/>
  </r>
  <r>
    <x v="18"/>
    <x v="5"/>
    <s v="LVEINBIOFC0F"/>
    <n v="0.18090000000000001"/>
    <n v="0.18260000000000001"/>
    <n v="0.22309999999999999"/>
    <n v="0.1195"/>
  </r>
  <r>
    <x v="18"/>
    <x v="5"/>
    <s v="LVEINELCFC0F"/>
    <n v="0.26479999999999998"/>
    <n v="0.26329999999999998"/>
    <n v="0.26450000000000001"/>
    <n v="0.29049999999999998"/>
  </r>
  <r>
    <x v="18"/>
    <x v="5"/>
    <s v="LVEINHY2FC0F"/>
    <n v="0"/>
    <n v="0"/>
    <n v="0"/>
    <n v="0"/>
  </r>
  <r>
    <x v="18"/>
    <x v="5"/>
    <s v="LVEINSTH000F"/>
    <n v="0"/>
    <n v="0"/>
    <n v="0"/>
    <n v="0"/>
  </r>
  <r>
    <x v="18"/>
    <x v="5"/>
    <s v="LVEINHEA000F"/>
    <n v="0.15820000000000001"/>
    <n v="0.13159999999999999"/>
    <n v="0.12479999999999999"/>
    <n v="0.1245"/>
  </r>
  <r>
    <x v="18"/>
    <x v="4"/>
    <s v="LVEINOILFC0O"/>
    <n v="0.40949999999999998"/>
    <n v="0.38419999999999999"/>
    <n v="0.40360000000000001"/>
    <n v="0.39200000000000002"/>
  </r>
  <r>
    <x v="18"/>
    <x v="4"/>
    <s v="LVEINCOAFC0O"/>
    <n v="8.8000000000000005E-3"/>
    <n v="4.4000000000000003E-3"/>
    <n v="2.0999999999999999E-3"/>
    <n v="6.0000000000000001E-3"/>
  </r>
  <r>
    <x v="18"/>
    <x v="4"/>
    <s v="LVEINCOAFCCO"/>
    <n v="0"/>
    <n v="0"/>
    <n v="0"/>
    <n v="0"/>
  </r>
  <r>
    <x v="18"/>
    <x v="4"/>
    <s v="LVEINNGSFC0O"/>
    <n v="0.68259999999999998"/>
    <n v="0.54049999999999998"/>
    <n v="0.49070000000000003"/>
    <n v="0.61899999999999999"/>
  </r>
  <r>
    <x v="18"/>
    <x v="4"/>
    <s v="LVEINNGSFCCO"/>
    <n v="0"/>
    <n v="0"/>
    <n v="0"/>
    <n v="0"/>
  </r>
  <r>
    <x v="18"/>
    <x v="4"/>
    <s v="LVEINBIOFC0O"/>
    <n v="0.8357"/>
    <n v="0.50470000000000004"/>
    <n v="0.36709999999999998"/>
    <n v="0.34389999999999998"/>
  </r>
  <r>
    <x v="18"/>
    <x v="4"/>
    <s v="LVEINELCFC0O"/>
    <n v="0.23069999999999999"/>
    <n v="0.2487"/>
    <n v="0.22109999999999999"/>
    <n v="0.24909999999999999"/>
  </r>
  <r>
    <x v="18"/>
    <x v="4"/>
    <s v="LVEINHY2FC0O"/>
    <n v="0"/>
    <n v="0"/>
    <n v="0"/>
    <n v="0"/>
  </r>
  <r>
    <x v="18"/>
    <x v="4"/>
    <s v="LVEINSTH000O"/>
    <n v="0"/>
    <n v="0"/>
    <n v="0"/>
    <n v="0"/>
  </r>
  <r>
    <x v="18"/>
    <x v="4"/>
    <s v="LVEINHEA000O"/>
    <n v="0.153"/>
    <n v="9.6199999999999994E-2"/>
    <n v="0.1052"/>
    <n v="0.1522"/>
  </r>
  <r>
    <x v="19"/>
    <x v="4"/>
    <s v="MTEINOILFC0O"/>
    <n v="0.29980000000000001"/>
    <n v="0.32219999999999999"/>
    <n v="0.39679999999999999"/>
    <n v="0.41060000000000002"/>
  </r>
  <r>
    <x v="19"/>
    <x v="4"/>
    <s v="MTEINCOAFC0O"/>
    <n v="0"/>
    <n v="0"/>
    <n v="0"/>
    <n v="0"/>
  </r>
  <r>
    <x v="19"/>
    <x v="4"/>
    <s v="MTEINCOAFCCO"/>
    <n v="0"/>
    <n v="0"/>
    <n v="0"/>
    <n v="0"/>
  </r>
  <r>
    <x v="19"/>
    <x v="4"/>
    <s v="MTEINNGSFC0O"/>
    <n v="0"/>
    <n v="0"/>
    <n v="0"/>
    <n v="0"/>
  </r>
  <r>
    <x v="19"/>
    <x v="4"/>
    <s v="MTEINNGSFCCO"/>
    <n v="0"/>
    <n v="0"/>
    <n v="0"/>
    <n v="0"/>
  </r>
  <r>
    <x v="19"/>
    <x v="4"/>
    <s v="MTEINBIOFC0O"/>
    <n v="0"/>
    <n v="0"/>
    <n v="0"/>
    <n v="0"/>
  </r>
  <r>
    <x v="19"/>
    <x v="4"/>
    <s v="MTEINELCFC0O"/>
    <n v="0.3493"/>
    <n v="0.34429999999999999"/>
    <n v="0.33660000000000001"/>
    <n v="0.3629"/>
  </r>
  <r>
    <x v="19"/>
    <x v="4"/>
    <s v="MTEINHY2FC0O"/>
    <n v="0"/>
    <n v="0"/>
    <n v="0"/>
    <n v="0"/>
  </r>
  <r>
    <x v="19"/>
    <x v="4"/>
    <s v="MTEINSTH000O"/>
    <n v="0"/>
    <n v="0"/>
    <n v="0"/>
    <n v="0"/>
  </r>
  <r>
    <x v="19"/>
    <x v="4"/>
    <s v="MTEINHEA000O"/>
    <n v="0"/>
    <n v="0"/>
    <n v="0"/>
    <n v="0"/>
  </r>
  <r>
    <x v="20"/>
    <x v="0"/>
    <s v="NLEINOILFC0I"/>
    <n v="4.5900000000000003E-2"/>
    <n v="5.4800000000000001E-2"/>
    <n v="8.1100000000000005E-2"/>
    <n v="0.1105"/>
  </r>
  <r>
    <x v="20"/>
    <x v="0"/>
    <s v="NLEINCOAFC0I"/>
    <n v="3.6815000000000002"/>
    <n v="3.64"/>
    <n v="3.1154999999999999"/>
    <n v="2.3652000000000002"/>
  </r>
  <r>
    <x v="20"/>
    <x v="0"/>
    <s v="NLEINCOAFCCI"/>
    <n v="0"/>
    <n v="0"/>
    <n v="0"/>
    <n v="0"/>
  </r>
  <r>
    <x v="20"/>
    <x v="0"/>
    <s v="NLEINNGSFC0I"/>
    <n v="10.658300000000001"/>
    <n v="10.160600000000001"/>
    <n v="10.191700000000001"/>
    <n v="11.565300000000001"/>
  </r>
  <r>
    <x v="20"/>
    <x v="0"/>
    <s v="NLEINNGSFCCI"/>
    <n v="0"/>
    <n v="0"/>
    <n v="0"/>
    <n v="0"/>
  </r>
  <r>
    <x v="20"/>
    <x v="0"/>
    <s v="NLEINBIOFC0I"/>
    <n v="0"/>
    <n v="0"/>
    <n v="0"/>
    <n v="0"/>
  </r>
  <r>
    <x v="20"/>
    <x v="0"/>
    <s v="NLEINELCFC0I"/>
    <n v="5.1978999999999997"/>
    <n v="5.0907"/>
    <n v="4.4124999999999996"/>
    <n v="4.5926999999999998"/>
  </r>
  <r>
    <x v="20"/>
    <x v="0"/>
    <s v="NLEINHY2FC0I"/>
    <n v="0"/>
    <n v="0"/>
    <n v="0"/>
    <n v="0"/>
  </r>
  <r>
    <x v="20"/>
    <x v="0"/>
    <s v="NLEINSTH000I"/>
    <n v="0"/>
    <n v="0"/>
    <n v="0"/>
    <n v="0"/>
  </r>
  <r>
    <x v="20"/>
    <x v="0"/>
    <s v="NLEINHEA000I"/>
    <n v="4.4999999999999997E-3"/>
    <n v="6.4999999999999997E-3"/>
    <n v="4.7000000000000002E-3"/>
    <n v="0.1159"/>
  </r>
  <r>
    <x v="20"/>
    <x v="1"/>
    <s v="NLEINOILFC0C"/>
    <n v="74.293800000000005"/>
    <n v="67.603999999999999"/>
    <n v="74.792500000000004"/>
    <n v="72.610900000000001"/>
  </r>
  <r>
    <x v="20"/>
    <x v="1"/>
    <s v="NLEINCOAFC0C"/>
    <n v="0"/>
    <n v="0"/>
    <n v="0"/>
    <n v="0"/>
  </r>
  <r>
    <x v="20"/>
    <x v="1"/>
    <s v="NLEINCOAFCCC"/>
    <n v="0"/>
    <n v="0"/>
    <n v="0"/>
    <n v="0"/>
  </r>
  <r>
    <x v="20"/>
    <x v="1"/>
    <s v="NLEINNGSFC0C"/>
    <n v="41.832000000000001"/>
    <n v="43.037599999999998"/>
    <n v="45.406399999999998"/>
    <n v="46.256900000000002"/>
  </r>
  <r>
    <x v="20"/>
    <x v="1"/>
    <s v="NLEINNGSFCCC"/>
    <n v="0"/>
    <n v="0"/>
    <n v="0"/>
    <n v="0"/>
  </r>
  <r>
    <x v="20"/>
    <x v="1"/>
    <s v="NLEINBIOFC0C"/>
    <n v="0.4733"/>
    <n v="0.3871"/>
    <n v="0.33550000000000002"/>
    <n v="5.0799999999999998E-2"/>
  </r>
  <r>
    <x v="20"/>
    <x v="1"/>
    <s v="NLEINELCFC0C"/>
    <n v="1.1509"/>
    <n v="0.94210000000000005"/>
    <n v="1.0242"/>
    <n v="1.0525"/>
  </r>
  <r>
    <x v="20"/>
    <x v="1"/>
    <s v="NLEINHY2FC0C"/>
    <n v="0"/>
    <n v="0"/>
    <n v="0"/>
    <n v="0"/>
  </r>
  <r>
    <x v="20"/>
    <x v="1"/>
    <s v="NLEINSTH000C"/>
    <n v="0"/>
    <n v="0"/>
    <n v="0"/>
    <n v="0"/>
  </r>
  <r>
    <x v="20"/>
    <x v="1"/>
    <s v="NLEINHEA000C"/>
    <n v="37.573999999999998"/>
    <n v="41.883299999999998"/>
    <n v="37.077100000000002"/>
    <n v="40.781700000000001"/>
  </r>
  <r>
    <x v="20"/>
    <x v="2"/>
    <s v="NLEINOILFC0N"/>
    <n v="0.1308"/>
    <n v="0.13900000000000001"/>
    <n v="0.21790000000000001"/>
    <n v="0.1004"/>
  </r>
  <r>
    <x v="20"/>
    <x v="2"/>
    <s v="NLEINCOAFC0N"/>
    <n v="0.89470000000000005"/>
    <n v="0.51649999999999996"/>
    <n v="0.46210000000000001"/>
    <n v="0.48020000000000002"/>
  </r>
  <r>
    <x v="20"/>
    <x v="2"/>
    <s v="NLEINCOAFCCN"/>
    <n v="0"/>
    <n v="0"/>
    <n v="0"/>
    <n v="0"/>
  </r>
  <r>
    <x v="20"/>
    <x v="2"/>
    <s v="NLEINNGSFC0N"/>
    <n v="11.3468"/>
    <n v="10.5921"/>
    <n v="10.081099999999999"/>
    <n v="10.215299999999999"/>
  </r>
  <r>
    <x v="20"/>
    <x v="2"/>
    <s v="NLEINNGSFCCN"/>
    <n v="0"/>
    <n v="0"/>
    <n v="0"/>
    <n v="0"/>
  </r>
  <r>
    <x v="20"/>
    <x v="2"/>
    <s v="NLEINBIOFC0N"/>
    <n v="0"/>
    <n v="0"/>
    <n v="0"/>
    <n v="0"/>
  </r>
  <r>
    <x v="20"/>
    <x v="2"/>
    <s v="NLEINELCFC0N"/>
    <n v="1.1055999999999999"/>
    <n v="0.96279999999999999"/>
    <n v="0.9133"/>
    <n v="0.95109999999999995"/>
  </r>
  <r>
    <x v="20"/>
    <x v="2"/>
    <s v="NLEINHY2FC0N"/>
    <n v="0"/>
    <n v="0"/>
    <n v="0"/>
    <n v="0"/>
  </r>
  <r>
    <x v="20"/>
    <x v="2"/>
    <s v="NLEINSTH000N"/>
    <n v="0"/>
    <n v="0"/>
    <n v="0"/>
    <n v="0"/>
  </r>
  <r>
    <x v="20"/>
    <x v="2"/>
    <s v="NLEINHEA000N"/>
    <n v="0"/>
    <n v="0"/>
    <n v="0"/>
    <n v="1E-4"/>
  </r>
  <r>
    <x v="20"/>
    <x v="5"/>
    <s v="NLEINOILFC0F"/>
    <n v="0.72829999999999995"/>
    <n v="0.56910000000000005"/>
    <n v="0.4118"/>
    <n v="0.2442"/>
  </r>
  <r>
    <x v="20"/>
    <x v="5"/>
    <s v="NLEINCOAFC0F"/>
    <n v="0.3296"/>
    <n v="0.32929999999999998"/>
    <n v="0.23880000000000001"/>
    <n v="0.255"/>
  </r>
  <r>
    <x v="20"/>
    <x v="5"/>
    <s v="NLEINCOAFCCF"/>
    <n v="0"/>
    <n v="0"/>
    <n v="0"/>
    <n v="0"/>
  </r>
  <r>
    <x v="20"/>
    <x v="5"/>
    <s v="NLEINNGSFC0F"/>
    <n v="25.595700000000001"/>
    <n v="26.417300000000001"/>
    <n v="25.997399999999999"/>
    <n v="26.5517"/>
  </r>
  <r>
    <x v="20"/>
    <x v="5"/>
    <s v="NLEINNGSFCCF"/>
    <n v="0"/>
    <n v="0"/>
    <n v="0"/>
    <n v="0"/>
  </r>
  <r>
    <x v="20"/>
    <x v="5"/>
    <s v="NLEINBIOFC0F"/>
    <n v="0"/>
    <n v="0"/>
    <n v="0"/>
    <n v="0"/>
  </r>
  <r>
    <x v="20"/>
    <x v="5"/>
    <s v="NLEINELCFC0F"/>
    <n v="5.9104999999999999"/>
    <n v="5.8627000000000002"/>
    <n v="5.8730000000000002"/>
    <n v="5.6436999999999999"/>
  </r>
  <r>
    <x v="20"/>
    <x v="5"/>
    <s v="NLEINHY2FC0F"/>
    <n v="0"/>
    <n v="0"/>
    <n v="0"/>
    <n v="0"/>
  </r>
  <r>
    <x v="20"/>
    <x v="5"/>
    <s v="NLEINSTH000F"/>
    <n v="0"/>
    <n v="0"/>
    <n v="0"/>
    <n v="0"/>
  </r>
  <r>
    <x v="20"/>
    <x v="5"/>
    <s v="NLEINHEA000F"/>
    <n v="1.8714"/>
    <n v="0.1961"/>
    <n v="0.36909999999999998"/>
    <n v="0.47470000000000001"/>
  </r>
  <r>
    <x v="20"/>
    <x v="4"/>
    <s v="NLEINOILFC0O"/>
    <n v="7.4471999999999996"/>
    <n v="7.0446999999999997"/>
    <n v="7.3784000000000001"/>
    <n v="7.0096999999999996"/>
  </r>
  <r>
    <x v="20"/>
    <x v="4"/>
    <s v="NLEINCOAFC0O"/>
    <n v="0.22209999999999999"/>
    <n v="0.23780000000000001"/>
    <n v="8.7800000000000003E-2"/>
    <n v="7.7499999999999999E-2"/>
  </r>
  <r>
    <x v="20"/>
    <x v="4"/>
    <s v="NLEINCOAFCCO"/>
    <n v="0"/>
    <n v="0"/>
    <n v="0"/>
    <n v="0"/>
  </r>
  <r>
    <x v="20"/>
    <x v="4"/>
    <s v="NLEINNGSFC0O"/>
    <n v="25.5443"/>
    <n v="23.851900000000001"/>
    <n v="22.257000000000001"/>
    <n v="23.880600000000001"/>
  </r>
  <r>
    <x v="20"/>
    <x v="4"/>
    <s v="NLEINNGSFCCO"/>
    <n v="0"/>
    <n v="0"/>
    <n v="0"/>
    <n v="0"/>
  </r>
  <r>
    <x v="20"/>
    <x v="4"/>
    <s v="NLEINBIOFC0O"/>
    <n v="1.4276"/>
    <n v="1.2271000000000001"/>
    <n v="1.2282999999999999"/>
    <n v="1.3033999999999999"/>
  </r>
  <r>
    <x v="20"/>
    <x v="4"/>
    <s v="NLEINELCFC0O"/>
    <n v="11.196300000000001"/>
    <n v="12.5425"/>
    <n v="12.0778"/>
    <n v="10.9009"/>
  </r>
  <r>
    <x v="20"/>
    <x v="4"/>
    <s v="NLEINHY2FC0O"/>
    <n v="0"/>
    <n v="0"/>
    <n v="0"/>
    <n v="0"/>
  </r>
  <r>
    <x v="20"/>
    <x v="4"/>
    <s v="NLEINSTH000O"/>
    <n v="0"/>
    <n v="0"/>
    <n v="0"/>
    <n v="0"/>
  </r>
  <r>
    <x v="20"/>
    <x v="4"/>
    <s v="NLEINHEA000O"/>
    <n v="2.536"/>
    <n v="2.4523000000000001"/>
    <n v="2.5213999999999999"/>
    <n v="1.3"/>
  </r>
  <r>
    <x v="21"/>
    <x v="0"/>
    <s v="PLEINOILFC0I"/>
    <n v="0.1066"/>
    <n v="0.10580000000000001"/>
    <n v="8.2199999999999995E-2"/>
    <n v="8.9899999999999994E-2"/>
  </r>
  <r>
    <x v="21"/>
    <x v="0"/>
    <s v="PLEINCOAFC0I"/>
    <n v="5.8902000000000001"/>
    <n v="2.1105999999999998"/>
    <n v="1.0780000000000001"/>
    <n v="1.6718"/>
  </r>
  <r>
    <x v="21"/>
    <x v="0"/>
    <s v="PLEINCOAFCCI"/>
    <n v="0"/>
    <n v="0"/>
    <n v="0"/>
    <n v="0"/>
  </r>
  <r>
    <x v="21"/>
    <x v="0"/>
    <s v="PLEINNGSFC0I"/>
    <n v="20.592600000000001"/>
    <n v="18.660599999999999"/>
    <n v="17.366299999999999"/>
    <n v="19.1371"/>
  </r>
  <r>
    <x v="21"/>
    <x v="0"/>
    <s v="PLEINNGSFCCI"/>
    <n v="0"/>
    <n v="0"/>
    <n v="0"/>
    <n v="0"/>
  </r>
  <r>
    <x v="21"/>
    <x v="0"/>
    <s v="PLEINBIOFC0I"/>
    <n v="5.9999999999999995E-4"/>
    <n v="2.9999999999999997E-4"/>
    <n v="0"/>
    <n v="3.3999999999999998E-3"/>
  </r>
  <r>
    <x v="21"/>
    <x v="0"/>
    <s v="PLEINELCFC0I"/>
    <n v="13.4215"/>
    <n v="12.0471"/>
    <n v="10.981199999999999"/>
    <n v="12.271100000000001"/>
  </r>
  <r>
    <x v="21"/>
    <x v="0"/>
    <s v="PLEINHY2FC0I"/>
    <n v="0"/>
    <n v="0"/>
    <n v="0"/>
    <n v="0"/>
  </r>
  <r>
    <x v="21"/>
    <x v="0"/>
    <s v="PLEINSTH000I"/>
    <n v="0"/>
    <n v="0"/>
    <n v="0"/>
    <n v="0"/>
  </r>
  <r>
    <x v="21"/>
    <x v="0"/>
    <s v="PLEINHEA000I"/>
    <n v="15.0975"/>
    <n v="12.2881"/>
    <n v="12.1805"/>
    <n v="13.4145"/>
  </r>
  <r>
    <x v="21"/>
    <x v="1"/>
    <s v="PLEINOILFC0C"/>
    <n v="7.7313000000000001"/>
    <n v="11.3406"/>
    <n v="12.276400000000001"/>
    <n v="13.0123"/>
  </r>
  <r>
    <x v="21"/>
    <x v="1"/>
    <s v="PLEINCOAFC0C"/>
    <n v="23.8964"/>
    <n v="23.5869"/>
    <n v="21.9511"/>
    <n v="22.581499999999998"/>
  </r>
  <r>
    <x v="21"/>
    <x v="1"/>
    <s v="PLEINCOAFCCC"/>
    <n v="0"/>
    <n v="0"/>
    <n v="0"/>
    <n v="0"/>
  </r>
  <r>
    <x v="21"/>
    <x v="1"/>
    <s v="PLEINNGSFC0C"/>
    <n v="9.1202000000000005"/>
    <n v="8.9860000000000007"/>
    <n v="10.036199999999999"/>
    <n v="11.254899999999999"/>
  </r>
  <r>
    <x v="21"/>
    <x v="1"/>
    <s v="PLEINNGSFCCC"/>
    <n v="0"/>
    <n v="0"/>
    <n v="0"/>
    <n v="0"/>
  </r>
  <r>
    <x v="21"/>
    <x v="1"/>
    <s v="PLEINBIOFC0C"/>
    <n v="0.49880000000000002"/>
    <n v="0.43309999999999998"/>
    <n v="0.39169999999999999"/>
    <n v="0.38019999999999998"/>
  </r>
  <r>
    <x v="21"/>
    <x v="1"/>
    <s v="PLEINELCFC0C"/>
    <n v="2.1324999999999998"/>
    <n v="2.2105000000000001"/>
    <n v="2.2103999999999999"/>
    <n v="1.7422"/>
  </r>
  <r>
    <x v="21"/>
    <x v="1"/>
    <s v="PLEINHY2FC0C"/>
    <n v="0"/>
    <n v="0"/>
    <n v="0"/>
    <n v="0"/>
  </r>
  <r>
    <x v="21"/>
    <x v="1"/>
    <s v="PLEINSTH000C"/>
    <n v="0"/>
    <n v="0"/>
    <n v="0"/>
    <n v="0"/>
  </r>
  <r>
    <x v="21"/>
    <x v="1"/>
    <s v="PLEINHEA000C"/>
    <n v="7.2313000000000001"/>
    <n v="9.8816000000000006"/>
    <n v="10.6286"/>
    <n v="10.5534"/>
  </r>
  <r>
    <x v="21"/>
    <x v="2"/>
    <s v="PLEINOILFC0N"/>
    <n v="1.8754999999999999"/>
    <n v="2.1061999999999999"/>
    <n v="1.3831"/>
    <n v="1.4384999999999999"/>
  </r>
  <r>
    <x v="21"/>
    <x v="2"/>
    <s v="PLEINCOAFC0N"/>
    <n v="11.3332"/>
    <n v="10.4817"/>
    <n v="9.2876999999999992"/>
    <n v="9.7050000000000001"/>
  </r>
  <r>
    <x v="21"/>
    <x v="2"/>
    <s v="PLEINCOAFCCN"/>
    <n v="0"/>
    <n v="0"/>
    <n v="0"/>
    <n v="0"/>
  </r>
  <r>
    <x v="21"/>
    <x v="2"/>
    <s v="PLEINNGSFC0N"/>
    <n v="22.037099999999999"/>
    <n v="23.792400000000001"/>
    <n v="22.8431"/>
    <n v="26.940799999999999"/>
  </r>
  <r>
    <x v="21"/>
    <x v="2"/>
    <s v="PLEINNGSFCCN"/>
    <n v="0"/>
    <n v="0"/>
    <n v="0"/>
    <n v="0"/>
  </r>
  <r>
    <x v="21"/>
    <x v="2"/>
    <s v="PLEINBIOFC0N"/>
    <n v="18.0885"/>
    <n v="18.553899999999999"/>
    <n v="18.309000000000001"/>
    <n v="18.139500000000002"/>
  </r>
  <r>
    <x v="21"/>
    <x v="2"/>
    <s v="PLEINELCFC0N"/>
    <n v="3.8018999999999998"/>
    <n v="3.8576999999999999"/>
    <n v="3.8218000000000001"/>
    <n v="4.1147999999999998"/>
  </r>
  <r>
    <x v="21"/>
    <x v="2"/>
    <s v="PLEINHY2FC0N"/>
    <n v="0"/>
    <n v="0"/>
    <n v="0"/>
    <n v="0"/>
  </r>
  <r>
    <x v="21"/>
    <x v="2"/>
    <s v="PLEINSTH000N"/>
    <n v="0"/>
    <n v="0"/>
    <n v="0"/>
    <n v="0"/>
  </r>
  <r>
    <x v="21"/>
    <x v="2"/>
    <s v="PLEINHEA000N"/>
    <n v="0.74419999999999997"/>
    <n v="0.77639999999999998"/>
    <n v="0.6603"/>
    <n v="0.77239999999999998"/>
  </r>
  <r>
    <x v="21"/>
    <x v="5"/>
    <s v="PLEINOILFC0F"/>
    <n v="1.4984"/>
    <n v="1.3154999999999999"/>
    <n v="1.1302000000000001"/>
    <n v="1.1167"/>
  </r>
  <r>
    <x v="21"/>
    <x v="5"/>
    <s v="PLEINCOAFC0F"/>
    <n v="9.5404999999999998"/>
    <n v="9.5152999999999999"/>
    <n v="8.8153000000000006"/>
    <n v="8.3873999999999995"/>
  </r>
  <r>
    <x v="21"/>
    <x v="5"/>
    <s v="PLEINCOAFCCF"/>
    <n v="0"/>
    <n v="0"/>
    <n v="0"/>
    <n v="0"/>
  </r>
  <r>
    <x v="21"/>
    <x v="5"/>
    <s v="PLEINNGSFC0F"/>
    <n v="17.922599999999999"/>
    <n v="17.560500000000001"/>
    <n v="17.027899999999999"/>
    <n v="17.667200000000001"/>
  </r>
  <r>
    <x v="21"/>
    <x v="5"/>
    <s v="PLEINNGSFCCF"/>
    <n v="0"/>
    <n v="0"/>
    <n v="0"/>
    <n v="0"/>
  </r>
  <r>
    <x v="21"/>
    <x v="5"/>
    <s v="PLEINBIOFC0F"/>
    <n v="0.51680000000000004"/>
    <n v="0.32400000000000001"/>
    <n v="0.27"/>
    <n v="0.17080000000000001"/>
  </r>
  <r>
    <x v="21"/>
    <x v="5"/>
    <s v="PLEINELCFC0F"/>
    <n v="6.7576000000000001"/>
    <n v="6.9720000000000004"/>
    <n v="6.9461000000000004"/>
    <n v="7.1840999999999999"/>
  </r>
  <r>
    <x v="21"/>
    <x v="5"/>
    <s v="PLEINHY2FC0F"/>
    <n v="0"/>
    <n v="0"/>
    <n v="0"/>
    <n v="0"/>
  </r>
  <r>
    <x v="21"/>
    <x v="5"/>
    <s v="PLEINSTH000F"/>
    <n v="0"/>
    <n v="0"/>
    <n v="0"/>
    <n v="0"/>
  </r>
  <r>
    <x v="21"/>
    <x v="5"/>
    <s v="PLEINHEA000F"/>
    <n v="1.2903"/>
    <n v="1.2332000000000001"/>
    <n v="1.1927000000000001"/>
    <n v="0.99"/>
  </r>
  <r>
    <x v="21"/>
    <x v="4"/>
    <s v="PLEINOILFC0O"/>
    <n v="4.3804999999999996"/>
    <n v="4.6196000000000002"/>
    <n v="4.0350000000000001"/>
    <n v="4.5210999999999997"/>
  </r>
  <r>
    <x v="21"/>
    <x v="4"/>
    <s v="PLEINCOAFC0O"/>
    <n v="6.7537000000000003"/>
    <n v="7.2815000000000003"/>
    <n v="6.2169999999999996"/>
    <n v="6.8276000000000003"/>
  </r>
  <r>
    <x v="21"/>
    <x v="4"/>
    <s v="PLEINCOAFCCO"/>
    <n v="0"/>
    <n v="0"/>
    <n v="0"/>
    <n v="0"/>
  </r>
  <r>
    <x v="21"/>
    <x v="4"/>
    <s v="PLEINNGSFC0O"/>
    <n v="22.398800000000001"/>
    <n v="23.595500000000001"/>
    <n v="22.898900000000001"/>
    <n v="24.677800000000001"/>
  </r>
  <r>
    <x v="21"/>
    <x v="4"/>
    <s v="PLEINNGSFCCO"/>
    <n v="0"/>
    <n v="0"/>
    <n v="0"/>
    <n v="0"/>
  </r>
  <r>
    <x v="21"/>
    <x v="4"/>
    <s v="PLEINBIOFC0O"/>
    <n v="34.812600000000003"/>
    <n v="38.316899999999997"/>
    <n v="41.2624"/>
    <n v="30.5307"/>
  </r>
  <r>
    <x v="21"/>
    <x v="4"/>
    <s v="PLEINELCFC0O"/>
    <n v="21.113099999999999"/>
    <n v="22.020299999999999"/>
    <n v="20.7149"/>
    <n v="22.077300000000001"/>
  </r>
  <r>
    <x v="21"/>
    <x v="4"/>
    <s v="PLEINHY2FC0O"/>
    <n v="0"/>
    <n v="0"/>
    <n v="0"/>
    <n v="0"/>
  </r>
  <r>
    <x v="21"/>
    <x v="4"/>
    <s v="PLEINSTH000O"/>
    <n v="0"/>
    <n v="0"/>
    <n v="0"/>
    <n v="0"/>
  </r>
  <r>
    <x v="21"/>
    <x v="4"/>
    <s v="PLEINHEA000O"/>
    <n v="9.8140999999999998"/>
    <n v="8.9094999999999995"/>
    <n v="8.7377000000000002"/>
    <n v="10.4641"/>
  </r>
  <r>
    <x v="22"/>
    <x v="3"/>
    <s v="PTEINOILFC0P"/>
    <n v="1.1868000000000001"/>
    <n v="0.98309999999999997"/>
    <n v="1.1511"/>
    <n v="0.86899999999999999"/>
  </r>
  <r>
    <x v="22"/>
    <x v="3"/>
    <s v="PTEINCOAFC0P"/>
    <n v="0"/>
    <n v="0"/>
    <n v="0"/>
    <n v="0"/>
  </r>
  <r>
    <x v="22"/>
    <x v="3"/>
    <s v="PTEINCOAFCCP"/>
    <n v="0"/>
    <n v="0"/>
    <n v="0"/>
    <n v="0"/>
  </r>
  <r>
    <x v="22"/>
    <x v="3"/>
    <s v="PTEINNGSFC0P"/>
    <n v="4.9146000000000001"/>
    <n v="4.9595000000000002"/>
    <n v="4.7308000000000003"/>
    <n v="5.6894"/>
  </r>
  <r>
    <x v="22"/>
    <x v="3"/>
    <s v="PTEINNGSFCCP"/>
    <n v="0"/>
    <n v="0"/>
    <n v="0"/>
    <n v="0"/>
  </r>
  <r>
    <x v="22"/>
    <x v="3"/>
    <s v="PTEINBIOFC0P"/>
    <n v="20.944099999999999"/>
    <n v="21.4788"/>
    <n v="21.4087"/>
    <n v="20.327999999999999"/>
  </r>
  <r>
    <x v="22"/>
    <x v="3"/>
    <s v="PTEINELCFC0P"/>
    <n v="3.0821000000000001"/>
    <n v="3.1429999999999998"/>
    <n v="3.1707999999999998"/>
    <n v="3.3296999999999999"/>
  </r>
  <r>
    <x v="22"/>
    <x v="3"/>
    <s v="PTEINHY2FC0P"/>
    <n v="0"/>
    <n v="0"/>
    <n v="0"/>
    <n v="0"/>
  </r>
  <r>
    <x v="22"/>
    <x v="3"/>
    <s v="PTEINSTH000P"/>
    <n v="0"/>
    <n v="0"/>
    <n v="0"/>
    <n v="0"/>
  </r>
  <r>
    <x v="22"/>
    <x v="3"/>
    <s v="PTEINHEA000P"/>
    <n v="2.3437000000000001"/>
    <n v="2.5083000000000002"/>
    <n v="1.9112"/>
    <n v="1.3772"/>
  </r>
  <r>
    <x v="22"/>
    <x v="1"/>
    <s v="PTEINOILFC0C"/>
    <n v="0.30320000000000003"/>
    <n v="0.14030000000000001"/>
    <n v="0.12740000000000001"/>
    <n v="0.1217"/>
  </r>
  <r>
    <x v="22"/>
    <x v="1"/>
    <s v="PTEINCOAFC0C"/>
    <n v="0"/>
    <n v="0"/>
    <n v="0"/>
    <n v="0"/>
  </r>
  <r>
    <x v="22"/>
    <x v="1"/>
    <s v="PTEINCOAFCCC"/>
    <n v="0"/>
    <n v="0"/>
    <n v="0"/>
    <n v="0"/>
  </r>
  <r>
    <x v="22"/>
    <x v="1"/>
    <s v="PTEINNGSFC0C"/>
    <n v="4.468"/>
    <n v="4.4386999999999999"/>
    <n v="2.7768000000000002"/>
    <n v="3.8896000000000002"/>
  </r>
  <r>
    <x v="22"/>
    <x v="1"/>
    <s v="PTEINNGSFCCC"/>
    <n v="0"/>
    <n v="0"/>
    <n v="0"/>
    <n v="0"/>
  </r>
  <r>
    <x v="22"/>
    <x v="1"/>
    <s v="PTEINBIOFC0C"/>
    <n v="0.1113"/>
    <n v="0.14610000000000001"/>
    <n v="0.1326"/>
    <n v="0.14749999999999999"/>
  </r>
  <r>
    <x v="22"/>
    <x v="1"/>
    <s v="PTEINELCFC0C"/>
    <n v="0.67900000000000005"/>
    <n v="0.79900000000000004"/>
    <n v="1.0113000000000001"/>
    <n v="0.92620000000000002"/>
  </r>
  <r>
    <x v="22"/>
    <x v="1"/>
    <s v="PTEINHY2FC0C"/>
    <n v="0"/>
    <n v="0"/>
    <n v="0"/>
    <n v="0"/>
  </r>
  <r>
    <x v="22"/>
    <x v="1"/>
    <s v="PTEINSTH000C"/>
    <n v="0"/>
    <n v="0"/>
    <n v="0"/>
    <n v="0"/>
  </r>
  <r>
    <x v="22"/>
    <x v="1"/>
    <s v="PTEINHEA000C"/>
    <n v="1.5961000000000001"/>
    <n v="1.9624999999999999"/>
    <n v="1.7809999999999999"/>
    <n v="1.9685999999999999"/>
  </r>
  <r>
    <x v="22"/>
    <x v="2"/>
    <s v="PTEINOILFC0N"/>
    <n v="5.9406999999999996"/>
    <n v="6.0054999999999996"/>
    <n v="6.3083"/>
    <n v="5.5063000000000004"/>
  </r>
  <r>
    <x v="22"/>
    <x v="2"/>
    <s v="PTEINCOAFC0N"/>
    <n v="2.69E-2"/>
    <n v="2.87E-2"/>
    <n v="3.4599999999999999E-2"/>
    <n v="3.5799999999999998E-2"/>
  </r>
  <r>
    <x v="22"/>
    <x v="2"/>
    <s v="PTEINCOAFCCN"/>
    <n v="0"/>
    <n v="0"/>
    <n v="0"/>
    <n v="0"/>
  </r>
  <r>
    <x v="22"/>
    <x v="2"/>
    <s v="PTEINNGSFC0N"/>
    <n v="8.8637999999999995"/>
    <n v="9.1112000000000002"/>
    <n v="8.8016000000000005"/>
    <n v="9.2424999999999997"/>
  </r>
  <r>
    <x v="22"/>
    <x v="2"/>
    <s v="PTEINNGSFCCN"/>
    <n v="0"/>
    <n v="0"/>
    <n v="0"/>
    <n v="0"/>
  </r>
  <r>
    <x v="22"/>
    <x v="2"/>
    <s v="PTEINBIOFC0N"/>
    <n v="3.5667"/>
    <n v="3.8485999999999998"/>
    <n v="4.0270000000000001"/>
    <n v="3.7097000000000002"/>
  </r>
  <r>
    <x v="22"/>
    <x v="2"/>
    <s v="PTEINELCFC0N"/>
    <n v="1.4669000000000001"/>
    <n v="1.4578"/>
    <n v="1.3766"/>
    <n v="1.4899"/>
  </r>
  <r>
    <x v="22"/>
    <x v="2"/>
    <s v="PTEINHY2FC0N"/>
    <n v="0"/>
    <n v="0"/>
    <n v="0"/>
    <n v="0"/>
  </r>
  <r>
    <x v="22"/>
    <x v="2"/>
    <s v="PTEINSTH000N"/>
    <n v="0"/>
    <n v="0"/>
    <n v="0"/>
    <n v="0"/>
  </r>
  <r>
    <x v="22"/>
    <x v="2"/>
    <s v="PTEINHEA000N"/>
    <n v="0.21690000000000001"/>
    <n v="0.1724"/>
    <n v="0.1222"/>
    <n v="0.1053"/>
  </r>
  <r>
    <x v="22"/>
    <x v="5"/>
    <s v="PTEINOILFC0F"/>
    <n v="1.2398"/>
    <n v="1.1631"/>
    <n v="0.99039999999999995"/>
    <n v="0.8841"/>
  </r>
  <r>
    <x v="22"/>
    <x v="5"/>
    <s v="PTEINCOAFC0F"/>
    <n v="0"/>
    <n v="0"/>
    <n v="0"/>
    <n v="0"/>
  </r>
  <r>
    <x v="22"/>
    <x v="5"/>
    <s v="PTEINCOAFCCF"/>
    <n v="0"/>
    <n v="0"/>
    <n v="0"/>
    <n v="0"/>
  </r>
  <r>
    <x v="22"/>
    <x v="5"/>
    <s v="PTEINNGSFC0F"/>
    <n v="3.0068000000000001"/>
    <n v="3.1766999999999999"/>
    <n v="3.2734000000000001"/>
    <n v="3.5034000000000001"/>
  </r>
  <r>
    <x v="22"/>
    <x v="5"/>
    <s v="PTEINNGSFCCF"/>
    <n v="0"/>
    <n v="0"/>
    <n v="0"/>
    <n v="0"/>
  </r>
  <r>
    <x v="22"/>
    <x v="5"/>
    <s v="PTEINBIOFC0F"/>
    <n v="0.48"/>
    <n v="0.48470000000000002"/>
    <n v="0.51"/>
    <n v="0.62919999999999998"/>
  </r>
  <r>
    <x v="22"/>
    <x v="5"/>
    <s v="PTEINELCFC0F"/>
    <n v="1.9843"/>
    <n v="2.0387"/>
    <n v="1.9649000000000001"/>
    <n v="2.1156999999999999"/>
  </r>
  <r>
    <x v="22"/>
    <x v="5"/>
    <s v="PTEINHY2FC0F"/>
    <n v="0"/>
    <n v="0"/>
    <n v="0"/>
    <n v="0"/>
  </r>
  <r>
    <x v="22"/>
    <x v="5"/>
    <s v="PTEINSTH000F"/>
    <n v="0"/>
    <n v="0"/>
    <n v="0"/>
    <n v="0"/>
  </r>
  <r>
    <x v="22"/>
    <x v="5"/>
    <s v="PTEINHEA000F"/>
    <n v="0.51490000000000002"/>
    <n v="0.56000000000000005"/>
    <n v="0.67030000000000001"/>
    <n v="0.51290000000000002"/>
  </r>
  <r>
    <x v="22"/>
    <x v="4"/>
    <s v="PTEINOILFC0O"/>
    <n v="2.4895999999999998"/>
    <n v="2.2831999999999999"/>
    <n v="2.2162999999999999"/>
    <n v="2.4409000000000001"/>
  </r>
  <r>
    <x v="22"/>
    <x v="4"/>
    <s v="PTEINCOAFC0O"/>
    <n v="0.15890000000000001"/>
    <n v="0.16850000000000001"/>
    <n v="0.14080000000000001"/>
    <n v="0.1472"/>
  </r>
  <r>
    <x v="22"/>
    <x v="4"/>
    <s v="PTEINCOAFCCO"/>
    <n v="0"/>
    <n v="0"/>
    <n v="0"/>
    <n v="0"/>
  </r>
  <r>
    <x v="22"/>
    <x v="4"/>
    <s v="PTEINNGSFC0O"/>
    <n v="6.3071999999999999"/>
    <n v="6.2396000000000003"/>
    <n v="6.1612999999999998"/>
    <n v="7.1361999999999997"/>
  </r>
  <r>
    <x v="22"/>
    <x v="4"/>
    <s v="PTEINNGSFCCO"/>
    <n v="0"/>
    <n v="0"/>
    <n v="0"/>
    <n v="0"/>
  </r>
  <r>
    <x v="22"/>
    <x v="4"/>
    <s v="PTEINBIOFC0O"/>
    <n v="1.1512"/>
    <n v="1.3091999999999999"/>
    <n v="1.1241000000000001"/>
    <n v="1.3073999999999999"/>
  </r>
  <r>
    <x v="22"/>
    <x v="4"/>
    <s v="PTEINELCFC0O"/>
    <n v="7.2641"/>
    <n v="7.1148999999999996"/>
    <n v="6.9527000000000001"/>
    <n v="7.0960000000000001"/>
  </r>
  <r>
    <x v="22"/>
    <x v="4"/>
    <s v="PTEINHY2FC0O"/>
    <n v="0"/>
    <n v="0"/>
    <n v="0"/>
    <n v="0"/>
  </r>
  <r>
    <x v="22"/>
    <x v="4"/>
    <s v="PTEINSTH000O"/>
    <n v="0"/>
    <n v="0"/>
    <n v="0"/>
    <n v="0"/>
  </r>
  <r>
    <x v="22"/>
    <x v="4"/>
    <s v="PTEINHEA000O"/>
    <n v="6.3357000000000001"/>
    <n v="6.1978"/>
    <n v="6.3971"/>
    <n v="6.1753"/>
  </r>
  <r>
    <x v="23"/>
    <x v="0"/>
    <s v="ROEINOILFC0I"/>
    <n v="9.2999999999999992E-3"/>
    <n v="2.8E-3"/>
    <n v="5.1999999999999998E-3"/>
    <n v="6.7999999999999996E-3"/>
  </r>
  <r>
    <x v="23"/>
    <x v="0"/>
    <s v="ROEINCOAFC0I"/>
    <n v="7.6935000000000002"/>
    <n v="8.1054999999999993"/>
    <n v="7.4871999999999996"/>
    <n v="8.7468000000000004"/>
  </r>
  <r>
    <x v="23"/>
    <x v="0"/>
    <s v="ROEINCOAFCCI"/>
    <n v="0"/>
    <n v="0"/>
    <n v="0"/>
    <n v="0"/>
  </r>
  <r>
    <x v="23"/>
    <x v="0"/>
    <s v="ROEINNGSFC0I"/>
    <n v="7.2782999999999998"/>
    <n v="6.7717000000000001"/>
    <n v="6.3460999999999999"/>
    <n v="6.1009000000000002"/>
  </r>
  <r>
    <x v="23"/>
    <x v="0"/>
    <s v="ROEINNGSFCCI"/>
    <n v="0"/>
    <n v="0"/>
    <n v="0"/>
    <n v="0"/>
  </r>
  <r>
    <x v="23"/>
    <x v="0"/>
    <s v="ROEINBIOFC0I"/>
    <n v="1.38E-2"/>
    <n v="1.23E-2"/>
    <n v="5.7999999999999996E-3"/>
    <n v="4.8999999999999998E-3"/>
  </r>
  <r>
    <x v="23"/>
    <x v="0"/>
    <s v="ROEINELCFC0I"/>
    <n v="2.6804000000000001"/>
    <n v="2.9855"/>
    <n v="2.3815"/>
    <n v="2.4104000000000001"/>
  </r>
  <r>
    <x v="23"/>
    <x v="0"/>
    <s v="ROEINHY2FC0I"/>
    <n v="0"/>
    <n v="0"/>
    <n v="0"/>
    <n v="0"/>
  </r>
  <r>
    <x v="23"/>
    <x v="0"/>
    <s v="ROEINSTH000I"/>
    <n v="0"/>
    <n v="0"/>
    <n v="0"/>
    <n v="0"/>
  </r>
  <r>
    <x v="23"/>
    <x v="0"/>
    <s v="ROEINHEA000I"/>
    <n v="4.6764999999999999"/>
    <n v="3.8641000000000001"/>
    <n v="2.7833999999999999"/>
    <n v="3.0306999999999999"/>
  </r>
  <r>
    <x v="23"/>
    <x v="1"/>
    <s v="ROEINOILFC0C"/>
    <n v="6.5103999999999997"/>
    <n v="10.074"/>
    <n v="8.8564000000000007"/>
    <n v="8.6042000000000005"/>
  </r>
  <r>
    <x v="23"/>
    <x v="1"/>
    <s v="ROEINCOAFC0C"/>
    <n v="0.53059999999999996"/>
    <n v="0.35809999999999997"/>
    <n v="0"/>
    <n v="0"/>
  </r>
  <r>
    <x v="23"/>
    <x v="1"/>
    <s v="ROEINCOAFCCC"/>
    <n v="0"/>
    <n v="0"/>
    <n v="0"/>
    <n v="0"/>
  </r>
  <r>
    <x v="23"/>
    <x v="1"/>
    <s v="ROEINNGSFC0C"/>
    <n v="10.7117"/>
    <n v="9.3902999999999999"/>
    <n v="12.2622"/>
    <n v="15.289"/>
  </r>
  <r>
    <x v="23"/>
    <x v="1"/>
    <s v="ROEINNGSFCCC"/>
    <n v="0"/>
    <n v="0"/>
    <n v="0"/>
    <n v="0"/>
  </r>
  <r>
    <x v="23"/>
    <x v="1"/>
    <s v="ROEINBIOFC0C"/>
    <n v="0.42570000000000002"/>
    <n v="0.375"/>
    <n v="8.3199999999999996E-2"/>
    <n v="0.1076"/>
  </r>
  <r>
    <x v="23"/>
    <x v="1"/>
    <s v="ROEINELCFC0C"/>
    <n v="0.21640000000000001"/>
    <n v="0.23749999999999999"/>
    <n v="0.19320000000000001"/>
    <n v="0.15559999999999999"/>
  </r>
  <r>
    <x v="23"/>
    <x v="1"/>
    <s v="ROEINHY2FC0C"/>
    <n v="0"/>
    <n v="0"/>
    <n v="0"/>
    <n v="0"/>
  </r>
  <r>
    <x v="23"/>
    <x v="1"/>
    <s v="ROEINSTH000C"/>
    <n v="0"/>
    <n v="0"/>
    <n v="0"/>
    <n v="0"/>
  </r>
  <r>
    <x v="23"/>
    <x v="1"/>
    <s v="ROEINHEA000C"/>
    <n v="4.3209999999999997"/>
    <n v="3.2122999999999999"/>
    <n v="1.2250000000000001"/>
    <n v="1.1309"/>
  </r>
  <r>
    <x v="23"/>
    <x v="2"/>
    <s v="ROEINOILFC0N"/>
    <n v="6.2843"/>
    <n v="6.8211000000000004"/>
    <n v="6.5688000000000004"/>
    <n v="5.2610999999999999"/>
  </r>
  <r>
    <x v="23"/>
    <x v="2"/>
    <s v="ROEINCOAFC0N"/>
    <n v="1.1991000000000001"/>
    <n v="1.5590999999999999"/>
    <n v="1.6051"/>
    <n v="2.5709"/>
  </r>
  <r>
    <x v="23"/>
    <x v="2"/>
    <s v="ROEINCOAFCCN"/>
    <n v="0"/>
    <n v="0"/>
    <n v="0"/>
    <n v="0"/>
  </r>
  <r>
    <x v="23"/>
    <x v="2"/>
    <s v="ROEINNGSFC0N"/>
    <n v="7.1006"/>
    <n v="5.8468"/>
    <n v="5.6304999999999996"/>
    <n v="6.1616999999999997"/>
  </r>
  <r>
    <x v="23"/>
    <x v="2"/>
    <s v="ROEINNGSFCCN"/>
    <n v="0"/>
    <n v="0"/>
    <n v="0"/>
    <n v="0"/>
  </r>
  <r>
    <x v="23"/>
    <x v="2"/>
    <s v="ROEINBIOFC0N"/>
    <n v="2.6526000000000001"/>
    <n v="2.383"/>
    <n v="5.37"/>
    <n v="6.0622999999999996"/>
  </r>
  <r>
    <x v="23"/>
    <x v="2"/>
    <s v="ROEINELCFC0N"/>
    <n v="1.0738000000000001"/>
    <n v="1.1742999999999999"/>
    <n v="1.2108000000000001"/>
    <n v="1.3326"/>
  </r>
  <r>
    <x v="23"/>
    <x v="2"/>
    <s v="ROEINHY2FC0N"/>
    <n v="0"/>
    <n v="0"/>
    <n v="0"/>
    <n v="0"/>
  </r>
  <r>
    <x v="23"/>
    <x v="2"/>
    <s v="ROEINSTH000N"/>
    <n v="0"/>
    <n v="0"/>
    <n v="0"/>
    <n v="0"/>
  </r>
  <r>
    <x v="23"/>
    <x v="2"/>
    <s v="ROEINHEA000N"/>
    <n v="5.6599999999999998E-2"/>
    <n v="8.5000000000000006E-3"/>
    <n v="7.4499999999999997E-2"/>
    <n v="8.1100000000000005E-2"/>
  </r>
  <r>
    <x v="23"/>
    <x v="6"/>
    <s v="ROEINOILFC0M"/>
    <n v="4.5999999999999999E-3"/>
    <n v="1.47E-2"/>
    <n v="6.4000000000000003E-3"/>
    <n v="2.6800000000000001E-2"/>
  </r>
  <r>
    <x v="23"/>
    <x v="6"/>
    <s v="ROEINCOAFC0M"/>
    <n v="0.83489999999999998"/>
    <n v="0.89890000000000003"/>
    <n v="0.8266"/>
    <n v="0.95660000000000001"/>
  </r>
  <r>
    <x v="23"/>
    <x v="6"/>
    <s v="ROEINCOAFCCM"/>
    <n v="0"/>
    <n v="0"/>
    <n v="0"/>
    <n v="0"/>
  </r>
  <r>
    <x v="23"/>
    <x v="6"/>
    <s v="ROEINNGSFC0M"/>
    <n v="4.3627000000000002"/>
    <n v="3.7277999999999998"/>
    <n v="3.5554000000000001"/>
    <n v="3.8304"/>
  </r>
  <r>
    <x v="23"/>
    <x v="6"/>
    <s v="ROEINNGSFCCM"/>
    <n v="0"/>
    <n v="0"/>
    <n v="0"/>
    <n v="0"/>
  </r>
  <r>
    <x v="23"/>
    <x v="6"/>
    <s v="ROEINBIOFC0M"/>
    <n v="4.3E-3"/>
    <n v="3.8999999999999998E-3"/>
    <n v="1.9E-3"/>
    <n v="1.6000000000000001E-3"/>
  </r>
  <r>
    <x v="23"/>
    <x v="6"/>
    <s v="ROEINELCFC0M"/>
    <n v="8.1229999999999993"/>
    <n v="7.3209"/>
    <n v="6.9608999999999996"/>
    <n v="7.4170999999999996"/>
  </r>
  <r>
    <x v="23"/>
    <x v="6"/>
    <s v="ROEINHY2FC0M"/>
    <n v="0"/>
    <n v="0"/>
    <n v="0"/>
    <n v="0"/>
  </r>
  <r>
    <x v="23"/>
    <x v="6"/>
    <s v="ROEINSTH000M"/>
    <n v="0"/>
    <n v="0"/>
    <n v="0"/>
    <n v="0"/>
  </r>
  <r>
    <x v="23"/>
    <x v="6"/>
    <s v="ROEINHEA000M"/>
    <n v="3.0999999999999999E-3"/>
    <n v="1.1999999999999999E-3"/>
    <n v="8.9999999999999993E-3"/>
    <n v="1.0500000000000001E-2"/>
  </r>
  <r>
    <x v="23"/>
    <x v="4"/>
    <s v="ROEINOILFC0O"/>
    <n v="4.8959000000000001"/>
    <n v="5.2355999999999998"/>
    <n v="5.2900999999999998"/>
    <n v="5.8131000000000004"/>
  </r>
  <r>
    <x v="23"/>
    <x v="4"/>
    <s v="ROEINCOAFC0O"/>
    <n v="1.9E-2"/>
    <n v="2.35E-2"/>
    <n v="2.1999999999999999E-2"/>
    <n v="2.9399999999999999E-2"/>
  </r>
  <r>
    <x v="23"/>
    <x v="4"/>
    <s v="ROEINCOAFCCO"/>
    <n v="0"/>
    <n v="0"/>
    <n v="0"/>
    <n v="0"/>
  </r>
  <r>
    <x v="23"/>
    <x v="4"/>
    <s v="ROEINNGSFC0O"/>
    <n v="17.3081"/>
    <n v="18.965399999999999"/>
    <n v="17.9895"/>
    <n v="19.210899999999999"/>
  </r>
  <r>
    <x v="23"/>
    <x v="4"/>
    <s v="ROEINNGSFCCO"/>
    <n v="0"/>
    <n v="0"/>
    <n v="0"/>
    <n v="0"/>
  </r>
  <r>
    <x v="23"/>
    <x v="4"/>
    <s v="ROEINBIOFC0O"/>
    <n v="4.0145999999999997"/>
    <n v="4.0007000000000001"/>
    <n v="3.3654999999999999"/>
    <n v="3.4026000000000001"/>
  </r>
  <r>
    <x v="23"/>
    <x v="4"/>
    <s v="ROEINELCFC0O"/>
    <n v="7.9248000000000003"/>
    <n v="7.6978"/>
    <n v="6.3089000000000004"/>
    <n v="6.8253000000000004"/>
  </r>
  <r>
    <x v="23"/>
    <x v="4"/>
    <s v="ROEINHY2FC0O"/>
    <n v="0"/>
    <n v="0"/>
    <n v="0"/>
    <n v="0"/>
  </r>
  <r>
    <x v="23"/>
    <x v="4"/>
    <s v="ROEINSTH000O"/>
    <n v="3.4599999999999999E-2"/>
    <n v="2.3E-2"/>
    <n v="2.4299999999999999E-2"/>
    <n v="3.0599999999999999E-2"/>
  </r>
  <r>
    <x v="23"/>
    <x v="4"/>
    <s v="ROEINHEA000O"/>
    <n v="2.4214000000000002"/>
    <n v="2.4798"/>
    <n v="2.3614999999999999"/>
    <n v="2.3952"/>
  </r>
  <r>
    <x v="24"/>
    <x v="3"/>
    <s v="SEEINOILFC0P"/>
    <n v="5.4012000000000002"/>
    <n v="4.8947000000000003"/>
    <n v="6.1304999999999996"/>
    <n v="6.9764999999999997"/>
  </r>
  <r>
    <x v="24"/>
    <x v="3"/>
    <s v="SEEINCOAFC0P"/>
    <n v="0.158"/>
    <n v="0.1472"/>
    <n v="8.6900000000000005E-2"/>
    <n v="5.8200000000000002E-2"/>
  </r>
  <r>
    <x v="24"/>
    <x v="3"/>
    <s v="SEEINCOAFCCP"/>
    <n v="0"/>
    <n v="0"/>
    <n v="0"/>
    <n v="0"/>
  </r>
  <r>
    <x v="24"/>
    <x v="3"/>
    <s v="SEEINNGSFC0P"/>
    <n v="1.3715999999999999"/>
    <n v="1.6263000000000001"/>
    <n v="1.3042"/>
    <n v="1.1046"/>
  </r>
  <r>
    <x v="24"/>
    <x v="3"/>
    <s v="SEEINNGSFCCP"/>
    <n v="0"/>
    <n v="0"/>
    <n v="0"/>
    <n v="0"/>
  </r>
  <r>
    <x v="24"/>
    <x v="3"/>
    <s v="SEEINBIOFC0P"/>
    <n v="104.97490000000001"/>
    <n v="107.1105"/>
    <n v="116.5941"/>
    <n v="115.01730000000001"/>
  </r>
  <r>
    <x v="24"/>
    <x v="3"/>
    <s v="SEEINELCFC0P"/>
    <n v="31.425799999999999"/>
    <n v="30.519300000000001"/>
    <n v="28.912600000000001"/>
    <n v="26.604900000000001"/>
  </r>
  <r>
    <x v="24"/>
    <x v="3"/>
    <s v="SEEINHY2FC0P"/>
    <n v="0"/>
    <n v="0"/>
    <n v="0"/>
    <n v="0"/>
  </r>
  <r>
    <x v="24"/>
    <x v="3"/>
    <s v="SEEINSTH000P"/>
    <n v="0"/>
    <n v="0"/>
    <n v="0"/>
    <n v="0"/>
  </r>
  <r>
    <x v="24"/>
    <x v="3"/>
    <s v="SEEINHEA000P"/>
    <n v="0"/>
    <n v="0"/>
    <n v="2.3523999999999998"/>
    <n v="2.4377"/>
  </r>
  <r>
    <x v="24"/>
    <x v="1"/>
    <s v="SEEINOILFC0C"/>
    <n v="1.2052"/>
    <n v="1.1133999999999999"/>
    <n v="1.1173"/>
    <n v="0.98309999999999997"/>
  </r>
  <r>
    <x v="24"/>
    <x v="1"/>
    <s v="SEEINCOAFC0C"/>
    <n v="6.4699999999999994E-2"/>
    <n v="6.5500000000000003E-2"/>
    <n v="6.5799999999999997E-2"/>
    <n v="2.4199999999999999E-2"/>
  </r>
  <r>
    <x v="24"/>
    <x v="1"/>
    <s v="SEEINCOAFCCC"/>
    <n v="0"/>
    <n v="0"/>
    <n v="0"/>
    <n v="0"/>
  </r>
  <r>
    <x v="24"/>
    <x v="1"/>
    <s v="SEEINNGSFC0C"/>
    <n v="2.0066999999999999"/>
    <n v="2.2757999999999998"/>
    <n v="2.5030000000000001"/>
    <n v="2.7124000000000001"/>
  </r>
  <r>
    <x v="24"/>
    <x v="1"/>
    <s v="SEEINNGSFCCC"/>
    <n v="0"/>
    <n v="0"/>
    <n v="0"/>
    <n v="0"/>
  </r>
  <r>
    <x v="24"/>
    <x v="1"/>
    <s v="SEEINBIOFC0C"/>
    <n v="0.35899999999999999"/>
    <n v="0.36420000000000002"/>
    <n v="0.98570000000000002"/>
    <n v="1.0972"/>
  </r>
  <r>
    <x v="24"/>
    <x v="1"/>
    <s v="SEEINELCFC0C"/>
    <n v="3.4670000000000001"/>
    <n v="3.2646999999999999"/>
    <n v="2.6772999999999998"/>
    <n v="2.4565000000000001"/>
  </r>
  <r>
    <x v="24"/>
    <x v="1"/>
    <s v="SEEINHY2FC0C"/>
    <n v="0"/>
    <n v="0"/>
    <n v="0"/>
    <n v="0"/>
  </r>
  <r>
    <x v="24"/>
    <x v="1"/>
    <s v="SEEINSTH000C"/>
    <n v="0"/>
    <n v="0"/>
    <n v="0"/>
    <n v="0"/>
  </r>
  <r>
    <x v="24"/>
    <x v="1"/>
    <s v="SEEINHEA000C"/>
    <n v="0"/>
    <n v="0"/>
    <n v="3.4746000000000001"/>
    <n v="3.9773999999999998"/>
  </r>
  <r>
    <x v="24"/>
    <x v="0"/>
    <s v="SEEINOILFC0I"/>
    <n v="4.72"/>
    <n v="4.3898999999999999"/>
    <n v="3.5646"/>
    <n v="3.9300999999999999"/>
  </r>
  <r>
    <x v="24"/>
    <x v="0"/>
    <s v="SEEINCOAFC0I"/>
    <n v="2.0716000000000001"/>
    <n v="2.1030000000000002"/>
    <n v="1.7652000000000001"/>
    <n v="2.0562"/>
  </r>
  <r>
    <x v="24"/>
    <x v="0"/>
    <s v="SEEINCOAFCCI"/>
    <n v="0"/>
    <n v="0"/>
    <n v="0"/>
    <n v="0"/>
  </r>
  <r>
    <x v="24"/>
    <x v="0"/>
    <s v="SEEINNGSFC0I"/>
    <n v="5.2045000000000003"/>
    <n v="5.9104999999999999"/>
    <n v="5.8573000000000004"/>
    <n v="5.2855999999999996"/>
  </r>
  <r>
    <x v="24"/>
    <x v="0"/>
    <s v="SEEINNGSFCCI"/>
    <n v="0"/>
    <n v="0"/>
    <n v="0"/>
    <n v="0"/>
  </r>
  <r>
    <x v="24"/>
    <x v="0"/>
    <s v="SEEINBIOFC0I"/>
    <n v="0"/>
    <n v="0"/>
    <n v="5.5999999999999999E-3"/>
    <n v="4.1999999999999997E-3"/>
  </r>
  <r>
    <x v="24"/>
    <x v="0"/>
    <s v="SEEINELCFC0I"/>
    <n v="9.4111999999999991"/>
    <n v="9.3617000000000008"/>
    <n v="8.6367999999999991"/>
    <n v="9.3211999999999993"/>
  </r>
  <r>
    <x v="24"/>
    <x v="0"/>
    <s v="SEEINHY2FC0I"/>
    <n v="0"/>
    <n v="0"/>
    <n v="0"/>
    <n v="0"/>
  </r>
  <r>
    <x v="24"/>
    <x v="0"/>
    <s v="SEEINSTH000I"/>
    <n v="0"/>
    <n v="0"/>
    <n v="0"/>
    <n v="0"/>
  </r>
  <r>
    <x v="24"/>
    <x v="0"/>
    <s v="SEEINHEA000I"/>
    <n v="6.1944999999999997"/>
    <n v="5.2297000000000002"/>
    <n v="5.2229000000000001"/>
    <n v="5.4443000000000001"/>
  </r>
  <r>
    <x v="24"/>
    <x v="5"/>
    <s v="SEEINOILFC0F"/>
    <n v="0.79610000000000003"/>
    <n v="0.74780000000000002"/>
    <n v="0.78990000000000005"/>
    <n v="0.61929999999999996"/>
  </r>
  <r>
    <x v="24"/>
    <x v="5"/>
    <s v="SEEINCOAFC0F"/>
    <n v="2.0799999999999999E-2"/>
    <n v="3.1099999999999999E-2"/>
    <n v="3.09E-2"/>
    <n v="4.1099999999999998E-2"/>
  </r>
  <r>
    <x v="24"/>
    <x v="5"/>
    <s v="SEEINCOAFCCF"/>
    <n v="0"/>
    <n v="0"/>
    <n v="0"/>
    <n v="0"/>
  </r>
  <r>
    <x v="24"/>
    <x v="5"/>
    <s v="SEEINNGSFC0F"/>
    <n v="1.3862000000000001"/>
    <n v="1.389"/>
    <n v="1.5789"/>
    <n v="1.4492"/>
  </r>
  <r>
    <x v="24"/>
    <x v="5"/>
    <s v="SEEINNGSFCCF"/>
    <n v="0"/>
    <n v="0"/>
    <n v="0"/>
    <n v="0"/>
  </r>
  <r>
    <x v="24"/>
    <x v="5"/>
    <s v="SEEINBIOFC0F"/>
    <n v="0.36820000000000003"/>
    <n v="0.4163"/>
    <n v="0.62119999999999997"/>
    <n v="0.50960000000000005"/>
  </r>
  <r>
    <x v="24"/>
    <x v="5"/>
    <s v="SEEINELCFC0F"/>
    <n v="2.4483999999999999"/>
    <n v="2.4698000000000002"/>
    <n v="2.4039999999999999"/>
    <n v="2.3675999999999999"/>
  </r>
  <r>
    <x v="24"/>
    <x v="5"/>
    <s v="SEEINHY2FC0F"/>
    <n v="0"/>
    <n v="0"/>
    <n v="0"/>
    <n v="0"/>
  </r>
  <r>
    <x v="24"/>
    <x v="5"/>
    <s v="SEEINSTH000F"/>
    <n v="0"/>
    <n v="0"/>
    <n v="0"/>
    <n v="0"/>
  </r>
  <r>
    <x v="24"/>
    <x v="5"/>
    <s v="SEEINHEA000F"/>
    <n v="0"/>
    <n v="0"/>
    <n v="1.0605"/>
    <n v="1.2298"/>
  </r>
  <r>
    <x v="24"/>
    <x v="4"/>
    <s v="SEEINOILFC0O"/>
    <n v="9.0374999999999996"/>
    <n v="8.6042000000000005"/>
    <n v="7.6879"/>
    <n v="8.2195999999999998"/>
  </r>
  <r>
    <x v="24"/>
    <x v="4"/>
    <s v="SEEINCOAFC0O"/>
    <n v="4.5312000000000001"/>
    <n v="3.972"/>
    <n v="3.3607"/>
    <n v="3.5733999999999999"/>
  </r>
  <r>
    <x v="24"/>
    <x v="4"/>
    <s v="SEEINCOAFCCO"/>
    <n v="0"/>
    <n v="0"/>
    <n v="0"/>
    <n v="0"/>
  </r>
  <r>
    <x v="24"/>
    <x v="4"/>
    <s v="SEEINNGSFC0O"/>
    <n v="1.9631000000000001"/>
    <n v="1.7197"/>
    <n v="1.7024999999999999"/>
    <n v="1.7636000000000001"/>
  </r>
  <r>
    <x v="24"/>
    <x v="4"/>
    <s v="SEEINNGSFCCO"/>
    <n v="0"/>
    <n v="0"/>
    <n v="0"/>
    <n v="0"/>
  </r>
  <r>
    <x v="24"/>
    <x v="4"/>
    <s v="SEEINBIOFC0O"/>
    <n v="7.0831999999999997"/>
    <n v="6.9413"/>
    <n v="8.3425999999999991"/>
    <n v="7.8354999999999997"/>
  </r>
  <r>
    <x v="24"/>
    <x v="4"/>
    <s v="SEEINELCFC0O"/>
    <n v="15.5443"/>
    <n v="14.958399999999999"/>
    <n v="14.1502"/>
    <n v="14.7072"/>
  </r>
  <r>
    <x v="24"/>
    <x v="4"/>
    <s v="SEEINHY2FC0O"/>
    <n v="0"/>
    <n v="0"/>
    <n v="0"/>
    <n v="0"/>
  </r>
  <r>
    <x v="24"/>
    <x v="4"/>
    <s v="SEEINSTH000O"/>
    <n v="0"/>
    <n v="0"/>
    <n v="0"/>
    <n v="0"/>
  </r>
  <r>
    <x v="24"/>
    <x v="4"/>
    <s v="SEEINHEA000O"/>
    <n v="9.0742999999999991"/>
    <n v="8.7373999999999992"/>
    <n v="7.5509000000000004"/>
    <n v="7.9977"/>
  </r>
  <r>
    <x v="25"/>
    <x v="7"/>
    <s v="SIEINOILFC0A"/>
    <n v="0.31680000000000003"/>
    <n v="0.28649999999999998"/>
    <n v="0.216"/>
    <n v="0.23680000000000001"/>
  </r>
  <r>
    <x v="25"/>
    <x v="7"/>
    <s v="SIEINCOAFC0A"/>
    <n v="2.0000000000000001E-4"/>
    <n v="0"/>
    <n v="0"/>
    <n v="0"/>
  </r>
  <r>
    <x v="25"/>
    <x v="7"/>
    <s v="SIEINCOAFCCA"/>
    <n v="0"/>
    <n v="0"/>
    <n v="0"/>
    <n v="0"/>
  </r>
  <r>
    <x v="25"/>
    <x v="7"/>
    <s v="SIEINNGSFC0A"/>
    <n v="1.2847"/>
    <n v="1.2270000000000001"/>
    <n v="1.2534000000000001"/>
    <n v="1.3213999999999999"/>
  </r>
  <r>
    <x v="25"/>
    <x v="7"/>
    <s v="SIEINNGSFCCA"/>
    <n v="0"/>
    <n v="0"/>
    <n v="0"/>
    <n v="0"/>
  </r>
  <r>
    <x v="25"/>
    <x v="7"/>
    <s v="SIEINBIOFC0A"/>
    <n v="4.1599999999999998E-2"/>
    <n v="5.5300000000000002E-2"/>
    <n v="7.0900000000000005E-2"/>
    <n v="7.8E-2"/>
  </r>
  <r>
    <x v="25"/>
    <x v="7"/>
    <s v="SIEINELCFC0A"/>
    <n v="1.2294"/>
    <n v="1.2786999999999999"/>
    <n v="1.2301"/>
    <n v="1.3465"/>
  </r>
  <r>
    <x v="25"/>
    <x v="7"/>
    <s v="SIEINHY2FC0A"/>
    <n v="0"/>
    <n v="0"/>
    <n v="0"/>
    <n v="0"/>
  </r>
  <r>
    <x v="25"/>
    <x v="7"/>
    <s v="SIEINSTH000A"/>
    <n v="0"/>
    <n v="0"/>
    <n v="0"/>
    <n v="0"/>
  </r>
  <r>
    <x v="25"/>
    <x v="7"/>
    <s v="SIEINHEA000A"/>
    <n v="0.1777"/>
    <n v="0.17760000000000001"/>
    <n v="0.17430000000000001"/>
    <n v="0.18029999999999999"/>
  </r>
  <r>
    <x v="25"/>
    <x v="1"/>
    <s v="SIEINOILFC0C"/>
    <n v="6.9099999999999995E-2"/>
    <n v="6.3200000000000006E-2"/>
    <n v="6.4000000000000001E-2"/>
    <n v="5.7500000000000002E-2"/>
  </r>
  <r>
    <x v="25"/>
    <x v="1"/>
    <s v="SIEINCOAFC0C"/>
    <n v="0"/>
    <n v="1E-4"/>
    <n v="0"/>
    <n v="0"/>
  </r>
  <r>
    <x v="25"/>
    <x v="1"/>
    <s v="SIEINCOAFCCC"/>
    <n v="0"/>
    <n v="0"/>
    <n v="0"/>
    <n v="0"/>
  </r>
  <r>
    <x v="25"/>
    <x v="1"/>
    <s v="SIEINNGSFC0C"/>
    <n v="0.80600000000000005"/>
    <n v="0.7792"/>
    <n v="0.87549999999999994"/>
    <n v="0.93340000000000001"/>
  </r>
  <r>
    <x v="25"/>
    <x v="1"/>
    <s v="SIEINNGSFCCC"/>
    <n v="0"/>
    <n v="0"/>
    <n v="0"/>
    <n v="0"/>
  </r>
  <r>
    <x v="25"/>
    <x v="1"/>
    <s v="SIEINBIOFC0C"/>
    <n v="0.35639999999999999"/>
    <n v="0.3634"/>
    <n v="0.35460000000000003"/>
    <n v="0.43269999999999997"/>
  </r>
  <r>
    <x v="25"/>
    <x v="1"/>
    <s v="SIEINELCFC0C"/>
    <n v="0.24299999999999999"/>
    <n v="0.25869999999999999"/>
    <n v="0.26400000000000001"/>
    <n v="0.26840000000000003"/>
  </r>
  <r>
    <x v="25"/>
    <x v="1"/>
    <s v="SIEINHY2FC0C"/>
    <n v="0"/>
    <n v="0"/>
    <n v="0"/>
    <n v="0"/>
  </r>
  <r>
    <x v="25"/>
    <x v="1"/>
    <s v="SIEINSTH000C"/>
    <n v="0"/>
    <n v="0"/>
    <n v="0"/>
    <n v="0"/>
  </r>
  <r>
    <x v="25"/>
    <x v="1"/>
    <s v="SIEINHEA000C"/>
    <n v="0.68189999999999995"/>
    <n v="0.78939999999999999"/>
    <n v="0.79100000000000004"/>
    <n v="0.80779999999999996"/>
  </r>
  <r>
    <x v="25"/>
    <x v="2"/>
    <s v="SIEINOILFC0N"/>
    <n v="0.66400000000000003"/>
    <n v="0.64419999999999999"/>
    <n v="0.73140000000000005"/>
    <n v="0.79390000000000005"/>
  </r>
  <r>
    <x v="25"/>
    <x v="2"/>
    <s v="SIEINCOAFC0N"/>
    <n v="0.19650000000000001"/>
    <n v="0.2072"/>
    <n v="0.1993"/>
    <n v="0.22550000000000001"/>
  </r>
  <r>
    <x v="25"/>
    <x v="2"/>
    <s v="SIEINCOAFCCN"/>
    <n v="0"/>
    <n v="0"/>
    <n v="0"/>
    <n v="0"/>
  </r>
  <r>
    <x v="25"/>
    <x v="2"/>
    <s v="SIEINNGSFC0N"/>
    <n v="1.4398"/>
    <n v="1.5325"/>
    <n v="1.2175"/>
    <n v="1.3777999999999999"/>
  </r>
  <r>
    <x v="25"/>
    <x v="2"/>
    <s v="SIEINNGSFCCN"/>
    <n v="0"/>
    <n v="0"/>
    <n v="0"/>
    <n v="0"/>
  </r>
  <r>
    <x v="25"/>
    <x v="2"/>
    <s v="SIEINBIOFC0N"/>
    <n v="1.0125"/>
    <n v="1.1013999999999999"/>
    <n v="0.96850000000000003"/>
    <n v="0.92230000000000001"/>
  </r>
  <r>
    <x v="25"/>
    <x v="2"/>
    <s v="SIEINELCFC0N"/>
    <n v="0.31969999999999998"/>
    <n v="0.30359999999999998"/>
    <n v="0.2782"/>
    <n v="0.3246"/>
  </r>
  <r>
    <x v="25"/>
    <x v="2"/>
    <s v="SIEINHY2FC0N"/>
    <n v="0"/>
    <n v="0"/>
    <n v="0"/>
    <n v="0"/>
  </r>
  <r>
    <x v="25"/>
    <x v="2"/>
    <s v="SIEINSTH000N"/>
    <n v="0"/>
    <n v="0"/>
    <n v="0"/>
    <n v="0"/>
  </r>
  <r>
    <x v="25"/>
    <x v="2"/>
    <s v="SIEINHEA000N"/>
    <n v="2.9999999999999997E-4"/>
    <n v="2.0000000000000001E-4"/>
    <n v="2.0000000000000001E-4"/>
    <n v="4.0000000000000002E-4"/>
  </r>
  <r>
    <x v="25"/>
    <x v="0"/>
    <s v="SIEINOILFC0I"/>
    <n v="3.2599999999999997E-2"/>
    <n v="0.03"/>
    <n v="1.72E-2"/>
    <n v="1.7000000000000001E-2"/>
  </r>
  <r>
    <x v="25"/>
    <x v="0"/>
    <s v="SIEINCOAFC0I"/>
    <n v="9.1899999999999996E-2"/>
    <n v="8.3599999999999994E-2"/>
    <n v="6.6500000000000004E-2"/>
    <n v="6.4799999999999996E-2"/>
  </r>
  <r>
    <x v="25"/>
    <x v="0"/>
    <s v="SIEINCOAFCCI"/>
    <n v="0"/>
    <n v="0"/>
    <n v="0"/>
    <n v="0"/>
  </r>
  <r>
    <x v="25"/>
    <x v="0"/>
    <s v="SIEINNGSFC0I"/>
    <n v="1.2927"/>
    <n v="1.3689"/>
    <n v="1.2684"/>
    <n v="1.4118999999999999"/>
  </r>
  <r>
    <x v="25"/>
    <x v="0"/>
    <s v="SIEINNGSFCCI"/>
    <n v="0"/>
    <n v="0"/>
    <n v="0"/>
    <n v="0"/>
  </r>
  <r>
    <x v="25"/>
    <x v="0"/>
    <s v="SIEINBIOFC0I"/>
    <n v="1E-4"/>
    <n v="1E-4"/>
    <n v="1E-4"/>
    <n v="0"/>
  </r>
  <r>
    <x v="25"/>
    <x v="0"/>
    <s v="SIEINELCFC0I"/>
    <n v="1.3947000000000001"/>
    <n v="1.4092"/>
    <n v="1.2739"/>
    <n v="1.4433"/>
  </r>
  <r>
    <x v="25"/>
    <x v="0"/>
    <s v="SIEINHY2FC0I"/>
    <n v="0"/>
    <n v="0"/>
    <n v="0"/>
    <n v="0"/>
  </r>
  <r>
    <x v="25"/>
    <x v="0"/>
    <s v="SIEINSTH000I"/>
    <n v="0"/>
    <n v="0"/>
    <n v="0"/>
    <n v="0"/>
  </r>
  <r>
    <x v="25"/>
    <x v="0"/>
    <s v="SIEINHEA000I"/>
    <n v="3.0150999999999999"/>
    <n v="3.0954999999999999"/>
    <n v="2.8119000000000001"/>
    <n v="3.1446999999999998"/>
  </r>
  <r>
    <x v="25"/>
    <x v="4"/>
    <s v="SIEINOILFC0O"/>
    <n v="0.70899999999999996"/>
    <n v="0.66610000000000003"/>
    <n v="0.70250000000000001"/>
    <n v="0.67669999999999997"/>
  </r>
  <r>
    <x v="25"/>
    <x v="4"/>
    <s v="SIEINCOAFC0O"/>
    <n v="0.66500000000000004"/>
    <n v="0.64670000000000005"/>
    <n v="0.35310000000000002"/>
    <n v="0.1081"/>
  </r>
  <r>
    <x v="25"/>
    <x v="4"/>
    <s v="SIEINCOAFCCO"/>
    <n v="0"/>
    <n v="0"/>
    <n v="0"/>
    <n v="0"/>
  </r>
  <r>
    <x v="25"/>
    <x v="4"/>
    <s v="SIEINNGSFC0O"/>
    <n v="4.8550000000000004"/>
    <n v="4.7756999999999996"/>
    <n v="4.9104999999999999"/>
    <n v="5.0872000000000002"/>
  </r>
  <r>
    <x v="25"/>
    <x v="4"/>
    <s v="SIEINNGSFCCO"/>
    <n v="0"/>
    <n v="0"/>
    <n v="0"/>
    <n v="0"/>
  </r>
  <r>
    <x v="25"/>
    <x v="4"/>
    <s v="SIEINBIOFC0O"/>
    <n v="0.91290000000000004"/>
    <n v="0.98770000000000002"/>
    <n v="1.0004999999999999"/>
    <n v="1.0066999999999999"/>
  </r>
  <r>
    <x v="25"/>
    <x v="4"/>
    <s v="SIEINELCFC0O"/>
    <n v="4.2506000000000004"/>
    <n v="4.1151999999999997"/>
    <n v="3.5350999999999999"/>
    <n v="3.1516999999999999"/>
  </r>
  <r>
    <x v="25"/>
    <x v="4"/>
    <s v="SIEINHY2FC0O"/>
    <n v="0"/>
    <n v="0"/>
    <n v="0"/>
    <n v="0"/>
  </r>
  <r>
    <x v="25"/>
    <x v="4"/>
    <s v="SIEINSTH000O"/>
    <n v="0"/>
    <n v="0"/>
    <n v="0"/>
    <n v="0"/>
  </r>
  <r>
    <x v="25"/>
    <x v="4"/>
    <s v="SIEINHEA000O"/>
    <n v="0.21060000000000001"/>
    <n v="0.24079999999999999"/>
    <n v="0.2394"/>
    <n v="0.20699999999999999"/>
  </r>
  <r>
    <x v="26"/>
    <x v="0"/>
    <s v="SKEINOILFC0I"/>
    <n v="0"/>
    <n v="1.9199999999999998E-2"/>
    <n v="0"/>
    <n v="1.78E-2"/>
  </r>
  <r>
    <x v="26"/>
    <x v="0"/>
    <s v="SKEINCOAFC0I"/>
    <n v="4.8357000000000001"/>
    <n v="4.2152000000000003"/>
    <n v="3.7530999999999999"/>
    <n v="3.9952999999999999"/>
  </r>
  <r>
    <x v="26"/>
    <x v="0"/>
    <s v="SKEINCOAFCCI"/>
    <n v="0"/>
    <n v="0"/>
    <n v="0"/>
    <n v="0"/>
  </r>
  <r>
    <x v="26"/>
    <x v="0"/>
    <s v="SKEINNGSFC0I"/>
    <n v="12.6267"/>
    <n v="10.1975"/>
    <n v="9.0650999999999993"/>
    <n v="11.653600000000001"/>
  </r>
  <r>
    <x v="26"/>
    <x v="0"/>
    <s v="SKEINNGSFCCI"/>
    <n v="0"/>
    <n v="0"/>
    <n v="0"/>
    <n v="0"/>
  </r>
  <r>
    <x v="26"/>
    <x v="0"/>
    <s v="SKEINBIOFC0I"/>
    <n v="0.13389999999999999"/>
    <n v="0.11070000000000001"/>
    <n v="0.1037"/>
    <n v="0.14050000000000001"/>
  </r>
  <r>
    <x v="26"/>
    <x v="0"/>
    <s v="SKEINELCFC0I"/>
    <n v="4.7558999999999996"/>
    <n v="4.1303000000000001"/>
    <n v="2.7181000000000002"/>
    <n v="3.0714999999999999"/>
  </r>
  <r>
    <x v="26"/>
    <x v="0"/>
    <s v="SKEINHY2FC0I"/>
    <n v="0"/>
    <n v="0"/>
    <n v="0"/>
    <n v="0"/>
  </r>
  <r>
    <x v="26"/>
    <x v="0"/>
    <s v="SKEINSTH000I"/>
    <n v="0"/>
    <n v="0"/>
    <n v="0"/>
    <n v="0"/>
  </r>
  <r>
    <x v="26"/>
    <x v="0"/>
    <s v="SKEINHEA000I"/>
    <n v="0.66469999999999996"/>
    <n v="0.75429999999999997"/>
    <n v="0.38679999999999998"/>
    <n v="0.48530000000000001"/>
  </r>
  <r>
    <x v="26"/>
    <x v="1"/>
    <s v="SKEINOILFC0C"/>
    <n v="4.9984999999999999"/>
    <n v="4.8437000000000001"/>
    <n v="5.2743000000000002"/>
    <n v="5.5591999999999997"/>
  </r>
  <r>
    <x v="26"/>
    <x v="1"/>
    <s v="SKEINCOAFC0C"/>
    <n v="0"/>
    <n v="0"/>
    <n v="0"/>
    <n v="1.3599999999999999E-2"/>
  </r>
  <r>
    <x v="26"/>
    <x v="1"/>
    <s v="SKEINCOAFCCC"/>
    <n v="0"/>
    <n v="0"/>
    <n v="0"/>
    <n v="0"/>
  </r>
  <r>
    <x v="26"/>
    <x v="1"/>
    <s v="SKEINNGSFC0C"/>
    <n v="3.1629999999999998"/>
    <n v="2.9489000000000001"/>
    <n v="2.7029999999999998"/>
    <n v="2.6082999999999998"/>
  </r>
  <r>
    <x v="26"/>
    <x v="1"/>
    <s v="SKEINNGSFCCC"/>
    <n v="0"/>
    <n v="0"/>
    <n v="0"/>
    <n v="0"/>
  </r>
  <r>
    <x v="26"/>
    <x v="1"/>
    <s v="SKEINBIOFC0C"/>
    <n v="0.58709999999999996"/>
    <n v="0.55769999999999997"/>
    <n v="0.48949999999999999"/>
    <n v="0.5131"/>
  </r>
  <r>
    <x v="26"/>
    <x v="1"/>
    <s v="SKEINELCFC0C"/>
    <n v="8.1900000000000001E-2"/>
    <n v="8.7400000000000005E-2"/>
    <n v="0.12479999999999999"/>
    <n v="0.18659999999999999"/>
  </r>
  <r>
    <x v="26"/>
    <x v="1"/>
    <s v="SKEINHY2FC0C"/>
    <n v="0"/>
    <n v="0"/>
    <n v="0"/>
    <n v="0"/>
  </r>
  <r>
    <x v="26"/>
    <x v="1"/>
    <s v="SKEINSTH000C"/>
    <n v="0"/>
    <n v="0"/>
    <n v="0"/>
    <n v="0"/>
  </r>
  <r>
    <x v="26"/>
    <x v="1"/>
    <s v="SKEINHEA000C"/>
    <n v="0.32690000000000002"/>
    <n v="0.30199999999999999"/>
    <n v="0.26879999999999998"/>
    <n v="0.30790000000000001"/>
  </r>
  <r>
    <x v="26"/>
    <x v="2"/>
    <s v="SKEINOILFC0N"/>
    <n v="0.97289999999999999"/>
    <n v="1.0450999999999999"/>
    <n v="1.0846"/>
    <n v="1.2126999999999999"/>
  </r>
  <r>
    <x v="26"/>
    <x v="2"/>
    <s v="SKEINCOAFC0N"/>
    <n v="0.98580000000000001"/>
    <n v="1.0601"/>
    <n v="1.0207999999999999"/>
    <n v="1.2271000000000001"/>
  </r>
  <r>
    <x v="26"/>
    <x v="2"/>
    <s v="SKEINCOAFCCN"/>
    <n v="0"/>
    <n v="0"/>
    <n v="0"/>
    <n v="0"/>
  </r>
  <r>
    <x v="26"/>
    <x v="2"/>
    <s v="SKEINNGSFC0N"/>
    <n v="2.1248"/>
    <n v="2.3410000000000002"/>
    <n v="2.1636000000000002"/>
    <n v="2.4270999999999998"/>
  </r>
  <r>
    <x v="26"/>
    <x v="2"/>
    <s v="SKEINNGSFCCN"/>
    <n v="0"/>
    <n v="0"/>
    <n v="0"/>
    <n v="0"/>
  </r>
  <r>
    <x v="26"/>
    <x v="2"/>
    <s v="SKEINBIOFC0N"/>
    <n v="2.9754999999999998"/>
    <n v="3.3658000000000001"/>
    <n v="3.9226000000000001"/>
    <n v="3.2639999999999998"/>
  </r>
  <r>
    <x v="26"/>
    <x v="2"/>
    <s v="SKEINELCFC0N"/>
    <n v="0.37769999999999998"/>
    <n v="0.42909999999999998"/>
    <n v="0.40849999999999997"/>
    <n v="0.46529999999999999"/>
  </r>
  <r>
    <x v="26"/>
    <x v="2"/>
    <s v="SKEINHY2FC0N"/>
    <n v="0"/>
    <n v="0"/>
    <n v="0"/>
    <n v="0"/>
  </r>
  <r>
    <x v="26"/>
    <x v="2"/>
    <s v="SKEINSTH000N"/>
    <n v="0"/>
    <n v="0"/>
    <n v="0"/>
    <n v="0"/>
  </r>
  <r>
    <x v="26"/>
    <x v="2"/>
    <s v="SKEINHEA000N"/>
    <n v="9.9400000000000002E-2"/>
    <n v="0.11650000000000001"/>
    <n v="0.1157"/>
    <n v="0.126"/>
  </r>
  <r>
    <x v="26"/>
    <x v="3"/>
    <s v="SKEINOILFC0P"/>
    <n v="2.4199999999999999E-2"/>
    <n v="2.4199999999999999E-2"/>
    <n v="2.47E-2"/>
    <n v="0"/>
  </r>
  <r>
    <x v="26"/>
    <x v="3"/>
    <s v="SKEINCOAFC0P"/>
    <n v="0"/>
    <n v="0"/>
    <n v="0"/>
    <n v="0"/>
  </r>
  <r>
    <x v="26"/>
    <x v="3"/>
    <s v="SKEINCOAFCCP"/>
    <n v="0"/>
    <n v="0"/>
    <n v="0"/>
    <n v="0"/>
  </r>
  <r>
    <x v="26"/>
    <x v="3"/>
    <s v="SKEINNGSFC0P"/>
    <n v="1.3737999999999999"/>
    <n v="1.8967000000000001"/>
    <n v="1.3734999999999999"/>
    <n v="1.4912000000000001"/>
  </r>
  <r>
    <x v="26"/>
    <x v="3"/>
    <s v="SKEINNGSFCCP"/>
    <n v="0"/>
    <n v="0"/>
    <n v="0"/>
    <n v="0"/>
  </r>
  <r>
    <x v="26"/>
    <x v="3"/>
    <s v="SKEINBIOFC0P"/>
    <n v="8.125"/>
    <n v="8.5204000000000004"/>
    <n v="6.2857000000000003"/>
    <n v="7.2073"/>
  </r>
  <r>
    <x v="26"/>
    <x v="3"/>
    <s v="SKEINELCFC0P"/>
    <n v="0.50990000000000002"/>
    <n v="0.4587"/>
    <n v="0.62780000000000002"/>
    <n v="0.68369999999999997"/>
  </r>
  <r>
    <x v="26"/>
    <x v="3"/>
    <s v="SKEINHY2FC0P"/>
    <n v="0"/>
    <n v="0"/>
    <n v="0"/>
    <n v="0"/>
  </r>
  <r>
    <x v="26"/>
    <x v="3"/>
    <s v="SKEINSTH000P"/>
    <n v="0"/>
    <n v="0"/>
    <n v="0"/>
    <n v="0"/>
  </r>
  <r>
    <x v="26"/>
    <x v="3"/>
    <s v="SKEINHEA000P"/>
    <n v="0.91879999999999995"/>
    <n v="0.96619999999999995"/>
    <n v="0.92230000000000001"/>
    <n v="0.93740000000000001"/>
  </r>
  <r>
    <x v="26"/>
    <x v="4"/>
    <s v="SKEINOILFC0O"/>
    <n v="0.43969999999999998"/>
    <n v="0.36549999999999999"/>
    <n v="0.254"/>
    <n v="0.25840000000000002"/>
  </r>
  <r>
    <x v="26"/>
    <x v="4"/>
    <s v="SKEINCOAFC0O"/>
    <n v="0.253"/>
    <n v="0.2397"/>
    <n v="0.23449999999999999"/>
    <n v="0.1132"/>
  </r>
  <r>
    <x v="26"/>
    <x v="4"/>
    <s v="SKEINCOAFCCO"/>
    <n v="0"/>
    <n v="0"/>
    <n v="0"/>
    <n v="0"/>
  </r>
  <r>
    <x v="26"/>
    <x v="4"/>
    <s v="SKEINNGSFC0O"/>
    <n v="8.7391000000000005"/>
    <n v="7.7367999999999997"/>
    <n v="7.9435000000000002"/>
    <n v="7.8884999999999996"/>
  </r>
  <r>
    <x v="26"/>
    <x v="4"/>
    <s v="SKEINNGSFCCO"/>
    <n v="0"/>
    <n v="0"/>
    <n v="0"/>
    <n v="0"/>
  </r>
  <r>
    <x v="26"/>
    <x v="4"/>
    <s v="SKEINBIOFC0O"/>
    <n v="0.90539999999999998"/>
    <n v="0.89400000000000002"/>
    <n v="0.76019999999999999"/>
    <n v="0.7258"/>
  </r>
  <r>
    <x v="26"/>
    <x v="4"/>
    <s v="SKEINELCFC0O"/>
    <n v="8.4126999999999992"/>
    <n v="8.4916"/>
    <n v="7.1944999999999997"/>
    <n v="7.9238999999999997"/>
  </r>
  <r>
    <x v="26"/>
    <x v="4"/>
    <s v="SKEINHY2FC0O"/>
    <n v="0"/>
    <n v="0"/>
    <n v="0"/>
    <n v="0"/>
  </r>
  <r>
    <x v="26"/>
    <x v="4"/>
    <s v="SKEINSTH000O"/>
    <n v="0"/>
    <n v="0"/>
    <n v="0"/>
    <n v="0"/>
  </r>
  <r>
    <x v="26"/>
    <x v="4"/>
    <s v="SKEINHEA000O"/>
    <n v="0.36009999999999998"/>
    <n v="0.52839999999999998"/>
    <n v="0.47599999999999998"/>
    <n v="0.53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D7F8A-7B6E-48A1-A147-5E0C7F263F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7" firstHeaderRow="0" firstDataRow="1" firstDataCol="1"/>
  <pivotFields count="7">
    <pivotField axis="axisRow" showAll="0">
      <items count="28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10">
        <item x="7"/>
        <item x="1"/>
        <item x="5"/>
        <item x="0"/>
        <item x="6"/>
        <item x="2"/>
        <item x="4"/>
        <item x="3"/>
        <item x="8"/>
        <item t="default"/>
      </items>
    </pivotField>
    <pivotField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2">
    <field x="0"/>
    <field x="1"/>
  </rowFields>
  <rowItems count="154">
    <i>
      <x/>
    </i>
    <i r="1">
      <x v="1"/>
    </i>
    <i r="1">
      <x v="3"/>
    </i>
    <i r="1">
      <x v="5"/>
    </i>
    <i r="1">
      <x v="6"/>
    </i>
    <i r="1">
      <x v="7"/>
    </i>
    <i>
      <x v="1"/>
    </i>
    <i r="1">
      <x v="1"/>
    </i>
    <i r="1">
      <x v="2"/>
    </i>
    <i r="1">
      <x v="3"/>
    </i>
    <i r="1">
      <x v="5"/>
    </i>
    <i r="1">
      <x v="6"/>
    </i>
    <i>
      <x v="2"/>
    </i>
    <i r="1">
      <x v="1"/>
    </i>
    <i r="1">
      <x v="2"/>
    </i>
    <i r="1">
      <x v="4"/>
    </i>
    <i r="1">
      <x v="5"/>
    </i>
    <i r="1">
      <x v="6"/>
    </i>
    <i>
      <x v="3"/>
    </i>
    <i r="1">
      <x v="2"/>
    </i>
    <i r="1">
      <x v="5"/>
    </i>
    <i r="1">
      <x v="6"/>
    </i>
    <i>
      <x v="4"/>
    </i>
    <i r="1">
      <x v="1"/>
    </i>
    <i r="1">
      <x v="3"/>
    </i>
    <i r="1">
      <x v="5"/>
    </i>
    <i r="1">
      <x v="6"/>
    </i>
    <i r="1">
      <x v="7"/>
    </i>
    <i>
      <x v="5"/>
    </i>
    <i r="1">
      <x v="1"/>
    </i>
    <i r="1">
      <x v="3"/>
    </i>
    <i r="1">
      <x v="5"/>
    </i>
    <i r="1">
      <x v="6"/>
    </i>
    <i r="1">
      <x v="7"/>
    </i>
    <i>
      <x v="6"/>
    </i>
    <i r="1">
      <x/>
    </i>
    <i r="1">
      <x v="1"/>
    </i>
    <i r="1">
      <x v="2"/>
    </i>
    <i r="1">
      <x v="5"/>
    </i>
    <i r="1">
      <x v="6"/>
    </i>
    <i>
      <x v="7"/>
    </i>
    <i r="1">
      <x/>
    </i>
    <i r="1">
      <x v="2"/>
    </i>
    <i r="1">
      <x v="6"/>
    </i>
    <i r="1">
      <x v="7"/>
    </i>
    <i r="1">
      <x v="8"/>
    </i>
    <i>
      <x v="8"/>
    </i>
    <i r="1">
      <x v="1"/>
    </i>
    <i r="1">
      <x v="2"/>
    </i>
    <i r="1">
      <x v="3"/>
    </i>
    <i r="1">
      <x v="5"/>
    </i>
    <i r="1">
      <x v="6"/>
    </i>
    <i>
      <x v="9"/>
    </i>
    <i r="1">
      <x v="1"/>
    </i>
    <i r="1">
      <x v="3"/>
    </i>
    <i r="1">
      <x v="6"/>
    </i>
    <i r="1">
      <x v="7"/>
    </i>
    <i r="1">
      <x v="8"/>
    </i>
    <i>
      <x v="10"/>
    </i>
    <i r="1">
      <x v="1"/>
    </i>
    <i r="1">
      <x v="2"/>
    </i>
    <i r="1">
      <x v="5"/>
    </i>
    <i r="1">
      <x v="6"/>
    </i>
    <i r="1">
      <x v="7"/>
    </i>
    <i>
      <x v="11"/>
    </i>
    <i r="1">
      <x v="2"/>
    </i>
    <i r="1">
      <x v="3"/>
    </i>
    <i r="1">
      <x v="4"/>
    </i>
    <i r="1">
      <x v="5"/>
    </i>
    <i r="1">
      <x v="6"/>
    </i>
    <i>
      <x v="12"/>
    </i>
    <i r="1">
      <x v="1"/>
    </i>
    <i r="1">
      <x v="2"/>
    </i>
    <i r="1">
      <x v="5"/>
    </i>
    <i r="1">
      <x v="6"/>
    </i>
    <i r="1">
      <x v="7"/>
    </i>
    <i>
      <x v="13"/>
    </i>
    <i r="1">
      <x/>
    </i>
    <i r="1">
      <x v="1"/>
    </i>
    <i r="1">
      <x v="2"/>
    </i>
    <i r="1">
      <x v="5"/>
    </i>
    <i r="1">
      <x v="6"/>
    </i>
    <i>
      <x v="14"/>
    </i>
    <i r="1">
      <x v="1"/>
    </i>
    <i r="1">
      <x v="2"/>
    </i>
    <i r="1">
      <x v="4"/>
    </i>
    <i r="1">
      <x v="5"/>
    </i>
    <i r="1">
      <x v="6"/>
    </i>
    <i>
      <x v="15"/>
    </i>
    <i r="1">
      <x/>
    </i>
    <i r="1">
      <x v="1"/>
    </i>
    <i r="1">
      <x v="3"/>
    </i>
    <i r="1">
      <x v="5"/>
    </i>
    <i r="1">
      <x v="6"/>
    </i>
    <i>
      <x v="16"/>
    </i>
    <i r="1">
      <x v="1"/>
    </i>
    <i r="1">
      <x v="2"/>
    </i>
    <i r="1">
      <x v="5"/>
    </i>
    <i r="1">
      <x v="6"/>
    </i>
    <i r="1">
      <x v="8"/>
    </i>
    <i>
      <x v="17"/>
    </i>
    <i r="1">
      <x v="3"/>
    </i>
    <i r="1">
      <x v="5"/>
    </i>
    <i r="1">
      <x v="6"/>
    </i>
    <i>
      <x v="18"/>
    </i>
    <i r="1">
      <x v="2"/>
    </i>
    <i r="1">
      <x v="5"/>
    </i>
    <i r="1">
      <x v="6"/>
    </i>
    <i r="1">
      <x v="8"/>
    </i>
    <i>
      <x v="19"/>
    </i>
    <i r="1">
      <x v="6"/>
    </i>
    <i>
      <x v="20"/>
    </i>
    <i r="1">
      <x v="1"/>
    </i>
    <i r="1">
      <x v="2"/>
    </i>
    <i r="1">
      <x v="3"/>
    </i>
    <i r="1">
      <x v="5"/>
    </i>
    <i r="1">
      <x v="6"/>
    </i>
    <i>
      <x v="21"/>
    </i>
    <i r="1">
      <x v="1"/>
    </i>
    <i r="1">
      <x v="2"/>
    </i>
    <i r="1">
      <x v="3"/>
    </i>
    <i r="1">
      <x v="5"/>
    </i>
    <i r="1">
      <x v="6"/>
    </i>
    <i>
      <x v="22"/>
    </i>
    <i r="1">
      <x v="1"/>
    </i>
    <i r="1">
      <x v="2"/>
    </i>
    <i r="1">
      <x v="5"/>
    </i>
    <i r="1">
      <x v="6"/>
    </i>
    <i r="1">
      <x v="7"/>
    </i>
    <i>
      <x v="23"/>
    </i>
    <i r="1">
      <x v="1"/>
    </i>
    <i r="1">
      <x v="3"/>
    </i>
    <i r="1">
      <x v="4"/>
    </i>
    <i r="1">
      <x v="5"/>
    </i>
    <i r="1">
      <x v="6"/>
    </i>
    <i>
      <x v="24"/>
    </i>
    <i r="1">
      <x v="1"/>
    </i>
    <i r="1">
      <x v="2"/>
    </i>
    <i r="1">
      <x v="3"/>
    </i>
    <i r="1">
      <x v="6"/>
    </i>
    <i r="1">
      <x v="7"/>
    </i>
    <i>
      <x v="25"/>
    </i>
    <i r="1">
      <x/>
    </i>
    <i r="1">
      <x v="1"/>
    </i>
    <i r="1">
      <x v="3"/>
    </i>
    <i r="1">
      <x v="5"/>
    </i>
    <i r="1">
      <x v="6"/>
    </i>
    <i>
      <x v="26"/>
    </i>
    <i r="1">
      <x v="1"/>
    </i>
    <i r="1">
      <x v="3"/>
    </i>
    <i r="1">
      <x v="5"/>
    </i>
    <i r="1">
      <x v="6"/>
    </i>
    <i r="1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2018" fld="3" baseField="0" baseItem="0" numFmtId="164"/>
    <dataField name="Sum of 2019" fld="4" baseField="0" baseItem="0" numFmtId="164"/>
    <dataField name="Sum of 2020" fld="5" baseField="0" baseItem="0" numFmtId="164"/>
    <dataField name="Sum of 2021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9"/>
  <sheetViews>
    <sheetView workbookViewId="0">
      <selection activeCell="F10" sqref="F10"/>
    </sheetView>
  </sheetViews>
  <sheetFormatPr defaultRowHeight="14.4" x14ac:dyDescent="0.3"/>
  <cols>
    <col min="1" max="1" width="7.77734375" bestFit="1" customWidth="1"/>
    <col min="2" max="2" width="7.77734375" customWidth="1"/>
    <col min="3" max="3" width="15.109375" bestFit="1" customWidth="1"/>
  </cols>
  <sheetData>
    <row r="1" spans="1:7" x14ac:dyDescent="0.3">
      <c r="A1" s="3" t="s">
        <v>1389</v>
      </c>
    </row>
    <row r="3" spans="1:7" x14ac:dyDescent="0.3">
      <c r="A3" s="3" t="s">
        <v>1387</v>
      </c>
      <c r="B3" s="3" t="s">
        <v>1388</v>
      </c>
      <c r="C3" s="1" t="s">
        <v>0</v>
      </c>
      <c r="D3" s="1">
        <v>2018</v>
      </c>
      <c r="E3" s="1">
        <v>2019</v>
      </c>
      <c r="F3" s="1">
        <v>2020</v>
      </c>
      <c r="G3" s="1">
        <v>2021</v>
      </c>
    </row>
    <row r="4" spans="1:7" x14ac:dyDescent="0.3">
      <c r="A4" t="str">
        <f>LEFT(C4,2)</f>
        <v>AT</v>
      </c>
      <c r="B4" t="str">
        <f>RIGHT(C4,1)</f>
        <v>I</v>
      </c>
      <c r="C4" t="s">
        <v>1</v>
      </c>
      <c r="D4" s="2">
        <v>3.3000000000000002E-2</v>
      </c>
      <c r="E4" s="2">
        <v>4.1000000000000002E-2</v>
      </c>
      <c r="F4" s="2">
        <v>2.5399999999999999E-2</v>
      </c>
      <c r="G4" s="2">
        <v>3.73E-2</v>
      </c>
    </row>
    <row r="5" spans="1:7" x14ac:dyDescent="0.3">
      <c r="A5" t="str">
        <f t="shared" ref="A5:A68" si="0">LEFT(C5,2)</f>
        <v>AT</v>
      </c>
      <c r="B5" t="str">
        <f t="shared" ref="B5:B68" si="1">RIGHT(C5,1)</f>
        <v>I</v>
      </c>
      <c r="C5" t="s">
        <v>2</v>
      </c>
      <c r="D5" s="2">
        <v>2.8024</v>
      </c>
      <c r="E5" s="2">
        <v>4.0937999999999999</v>
      </c>
      <c r="F5" s="2">
        <v>4.2838000000000003</v>
      </c>
      <c r="G5" s="2">
        <v>4.2633000000000001</v>
      </c>
    </row>
    <row r="6" spans="1:7" x14ac:dyDescent="0.3">
      <c r="A6" t="str">
        <f t="shared" si="0"/>
        <v>AT</v>
      </c>
      <c r="B6" t="str">
        <f t="shared" si="1"/>
        <v>I</v>
      </c>
      <c r="C6" t="s">
        <v>3</v>
      </c>
      <c r="D6" s="2">
        <v>0</v>
      </c>
      <c r="E6" s="2">
        <v>0</v>
      </c>
      <c r="F6" s="2">
        <v>0</v>
      </c>
      <c r="G6" s="2">
        <v>0</v>
      </c>
    </row>
    <row r="7" spans="1:7" x14ac:dyDescent="0.3">
      <c r="A7" t="str">
        <f t="shared" si="0"/>
        <v>AT</v>
      </c>
      <c r="B7" t="str">
        <f t="shared" si="1"/>
        <v>I</v>
      </c>
      <c r="C7" t="s">
        <v>4</v>
      </c>
      <c r="D7" s="2">
        <v>11.999599999999999</v>
      </c>
      <c r="E7" s="2">
        <v>12.026199999999999</v>
      </c>
      <c r="F7" s="2">
        <v>11.429600000000001</v>
      </c>
      <c r="G7" s="2">
        <v>11.5473</v>
      </c>
    </row>
    <row r="8" spans="1:7" x14ac:dyDescent="0.3">
      <c r="A8" t="str">
        <f t="shared" si="0"/>
        <v>AT</v>
      </c>
      <c r="B8" t="str">
        <f t="shared" si="1"/>
        <v>I</v>
      </c>
      <c r="C8" t="s">
        <v>5</v>
      </c>
      <c r="D8" s="2">
        <v>0</v>
      </c>
      <c r="E8" s="2">
        <v>0</v>
      </c>
      <c r="F8" s="2">
        <v>0</v>
      </c>
      <c r="G8" s="2">
        <v>0</v>
      </c>
    </row>
    <row r="9" spans="1:7" x14ac:dyDescent="0.3">
      <c r="A9" t="str">
        <f t="shared" si="0"/>
        <v>AT</v>
      </c>
      <c r="B9" t="str">
        <f t="shared" si="1"/>
        <v>I</v>
      </c>
      <c r="C9" t="s">
        <v>6</v>
      </c>
      <c r="D9" s="2">
        <v>6.1000000000000004E-3</v>
      </c>
      <c r="E9" s="2">
        <v>5.3E-3</v>
      </c>
      <c r="F9" s="2">
        <v>6.0000000000000001E-3</v>
      </c>
      <c r="G9" s="2">
        <v>6.7999999999999996E-3</v>
      </c>
    </row>
    <row r="10" spans="1:7" x14ac:dyDescent="0.3">
      <c r="A10" t="str">
        <f t="shared" si="0"/>
        <v>AT</v>
      </c>
      <c r="B10" t="str">
        <f t="shared" si="1"/>
        <v>I</v>
      </c>
      <c r="C10" t="s">
        <v>7</v>
      </c>
      <c r="D10" s="2">
        <v>5.4489999999999998</v>
      </c>
      <c r="E10" s="2">
        <v>5.5274000000000001</v>
      </c>
      <c r="F10" s="2">
        <v>5.1101999999999999</v>
      </c>
      <c r="G10" s="2">
        <v>5.5114000000000001</v>
      </c>
    </row>
    <row r="11" spans="1:7" x14ac:dyDescent="0.3">
      <c r="A11" t="str">
        <f t="shared" si="0"/>
        <v>AT</v>
      </c>
      <c r="B11" t="str">
        <f t="shared" si="1"/>
        <v>I</v>
      </c>
      <c r="C11" t="s">
        <v>8</v>
      </c>
      <c r="D11" s="2">
        <v>0.97950000000000004</v>
      </c>
      <c r="E11" s="2">
        <v>1.0011000000000001</v>
      </c>
      <c r="F11" s="2">
        <v>0.95199999999999996</v>
      </c>
      <c r="G11" s="2">
        <v>0.94089999999999996</v>
      </c>
    </row>
    <row r="12" spans="1:7" x14ac:dyDescent="0.3">
      <c r="A12" t="str">
        <f t="shared" si="0"/>
        <v>AT</v>
      </c>
      <c r="B12" t="str">
        <f t="shared" si="1"/>
        <v>I</v>
      </c>
      <c r="C12" t="s">
        <v>9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3">
      <c r="A13" t="str">
        <f t="shared" si="0"/>
        <v>AT</v>
      </c>
      <c r="B13" t="str">
        <f t="shared" si="1"/>
        <v>I</v>
      </c>
      <c r="C13" t="s">
        <v>10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3">
      <c r="A14" t="str">
        <f t="shared" si="0"/>
        <v>AT</v>
      </c>
      <c r="B14" t="str">
        <f t="shared" si="1"/>
        <v>I</v>
      </c>
      <c r="C14" t="s">
        <v>11</v>
      </c>
      <c r="D14" s="2">
        <v>1.9663999999999999</v>
      </c>
      <c r="E14" s="2">
        <v>1.9638</v>
      </c>
      <c r="F14" s="2">
        <v>1.9006000000000001</v>
      </c>
      <c r="G14" s="2">
        <v>2.1878000000000002</v>
      </c>
    </row>
    <row r="15" spans="1:7" x14ac:dyDescent="0.3">
      <c r="A15" t="str">
        <f t="shared" si="0"/>
        <v>AT</v>
      </c>
      <c r="B15" t="str">
        <f t="shared" si="1"/>
        <v>C</v>
      </c>
      <c r="C15" t="s">
        <v>12</v>
      </c>
      <c r="D15" s="2">
        <v>0.2681</v>
      </c>
      <c r="E15" s="2">
        <v>0.29709999999999998</v>
      </c>
      <c r="F15" s="2">
        <v>0.3841</v>
      </c>
      <c r="G15" s="2">
        <v>0.2384</v>
      </c>
    </row>
    <row r="16" spans="1:7" x14ac:dyDescent="0.3">
      <c r="A16" t="str">
        <f t="shared" si="0"/>
        <v>AT</v>
      </c>
      <c r="B16" t="str">
        <f t="shared" si="1"/>
        <v>C</v>
      </c>
      <c r="C16" t="s">
        <v>13</v>
      </c>
      <c r="D16" s="2">
        <v>0.4612</v>
      </c>
      <c r="E16" s="2">
        <v>6.6699999999999995E-2</v>
      </c>
      <c r="F16" s="2">
        <v>0.1681</v>
      </c>
      <c r="G16" s="2">
        <v>0.17710000000000001</v>
      </c>
    </row>
    <row r="17" spans="1:7" x14ac:dyDescent="0.3">
      <c r="A17" t="str">
        <f t="shared" si="0"/>
        <v>AT</v>
      </c>
      <c r="B17" t="str">
        <f t="shared" si="1"/>
        <v>C</v>
      </c>
      <c r="C17" t="s">
        <v>14</v>
      </c>
      <c r="D17" s="2">
        <v>0</v>
      </c>
      <c r="E17" s="2">
        <v>0</v>
      </c>
      <c r="F17" s="2">
        <v>0</v>
      </c>
      <c r="G17" s="2">
        <v>0</v>
      </c>
    </row>
    <row r="18" spans="1:7" x14ac:dyDescent="0.3">
      <c r="A18" t="str">
        <f t="shared" si="0"/>
        <v>AT</v>
      </c>
      <c r="B18" t="str">
        <f t="shared" si="1"/>
        <v>C</v>
      </c>
      <c r="C18" t="s">
        <v>15</v>
      </c>
      <c r="D18" s="2">
        <v>11.0022</v>
      </c>
      <c r="E18" s="2">
        <v>11.9808</v>
      </c>
      <c r="F18" s="2">
        <v>11.5085</v>
      </c>
      <c r="G18" s="2">
        <v>12.971500000000001</v>
      </c>
    </row>
    <row r="19" spans="1:7" x14ac:dyDescent="0.3">
      <c r="A19" t="str">
        <f t="shared" si="0"/>
        <v>AT</v>
      </c>
      <c r="B19" t="str">
        <f t="shared" si="1"/>
        <v>C</v>
      </c>
      <c r="C19" t="s">
        <v>16</v>
      </c>
      <c r="D19" s="2">
        <v>0</v>
      </c>
      <c r="E19" s="2">
        <v>0</v>
      </c>
      <c r="F19" s="2">
        <v>0</v>
      </c>
      <c r="G19" s="2">
        <v>0</v>
      </c>
    </row>
    <row r="20" spans="1:7" x14ac:dyDescent="0.3">
      <c r="A20" t="str">
        <f t="shared" si="0"/>
        <v>AT</v>
      </c>
      <c r="B20" t="str">
        <f t="shared" si="1"/>
        <v>C</v>
      </c>
      <c r="C20" t="s">
        <v>17</v>
      </c>
      <c r="D20" s="2">
        <v>2.6394000000000002</v>
      </c>
      <c r="E20" s="2">
        <v>2.5807000000000002</v>
      </c>
      <c r="F20" s="2">
        <v>2.6229</v>
      </c>
      <c r="G20" s="2">
        <v>2.7244000000000002</v>
      </c>
    </row>
    <row r="21" spans="1:7" x14ac:dyDescent="0.3">
      <c r="A21" t="str">
        <f t="shared" si="0"/>
        <v>AT</v>
      </c>
      <c r="B21" t="str">
        <f t="shared" si="1"/>
        <v>C</v>
      </c>
      <c r="C21" t="s">
        <v>18</v>
      </c>
      <c r="D21" s="2">
        <v>1.1031</v>
      </c>
      <c r="E21" s="2">
        <v>1.2063999999999999</v>
      </c>
      <c r="F21" s="2">
        <v>1.0792999999999999</v>
      </c>
      <c r="G21" s="2">
        <v>1.1392</v>
      </c>
    </row>
    <row r="22" spans="1:7" x14ac:dyDescent="0.3">
      <c r="A22" t="str">
        <f t="shared" si="0"/>
        <v>AT</v>
      </c>
      <c r="B22" t="str">
        <f t="shared" si="1"/>
        <v>C</v>
      </c>
      <c r="C22" t="s">
        <v>19</v>
      </c>
      <c r="D22" s="2">
        <v>7.6177999999999999</v>
      </c>
      <c r="E22" s="2">
        <v>8.11</v>
      </c>
      <c r="F22" s="2">
        <v>7.6157000000000004</v>
      </c>
      <c r="G22" s="2">
        <v>8.1515000000000004</v>
      </c>
    </row>
    <row r="23" spans="1:7" x14ac:dyDescent="0.3">
      <c r="A23" t="str">
        <f t="shared" si="0"/>
        <v>AT</v>
      </c>
      <c r="B23" t="str">
        <f t="shared" si="1"/>
        <v>C</v>
      </c>
      <c r="C23" t="s">
        <v>20</v>
      </c>
      <c r="D23" s="2">
        <v>0</v>
      </c>
      <c r="E23" s="2">
        <v>0</v>
      </c>
      <c r="F23" s="2">
        <v>0</v>
      </c>
      <c r="G23" s="2">
        <v>0</v>
      </c>
    </row>
    <row r="24" spans="1:7" x14ac:dyDescent="0.3">
      <c r="A24" t="str">
        <f t="shared" si="0"/>
        <v>AT</v>
      </c>
      <c r="B24" t="str">
        <f t="shared" si="1"/>
        <v>C</v>
      </c>
      <c r="C24" t="s">
        <v>21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3">
      <c r="A25" t="str">
        <f t="shared" si="0"/>
        <v>AT</v>
      </c>
      <c r="B25" t="str">
        <f t="shared" si="1"/>
        <v>C</v>
      </c>
      <c r="C25" t="s">
        <v>22</v>
      </c>
      <c r="D25" s="2">
        <v>1.9238999999999999</v>
      </c>
      <c r="E25" s="2">
        <v>1.9674</v>
      </c>
      <c r="F25" s="2">
        <v>1.7402</v>
      </c>
      <c r="G25" s="2">
        <v>1.7798</v>
      </c>
    </row>
    <row r="26" spans="1:7" x14ac:dyDescent="0.3">
      <c r="A26" t="str">
        <f t="shared" si="0"/>
        <v>AT</v>
      </c>
      <c r="B26" t="str">
        <f t="shared" si="1"/>
        <v>N</v>
      </c>
      <c r="C26" t="s">
        <v>23</v>
      </c>
      <c r="D26" s="2">
        <v>1.0199</v>
      </c>
      <c r="E26" s="2">
        <v>1.1215999999999999</v>
      </c>
      <c r="F26" s="2">
        <v>0.84809999999999997</v>
      </c>
      <c r="G26" s="2">
        <v>1.1231</v>
      </c>
    </row>
    <row r="27" spans="1:7" x14ac:dyDescent="0.3">
      <c r="A27" t="str">
        <f t="shared" si="0"/>
        <v>AT</v>
      </c>
      <c r="B27" t="str">
        <f t="shared" si="1"/>
        <v>N</v>
      </c>
      <c r="C27" t="s">
        <v>24</v>
      </c>
      <c r="D27" s="2">
        <v>1.2553000000000001</v>
      </c>
      <c r="E27" s="2">
        <v>1.21</v>
      </c>
      <c r="F27" s="2">
        <v>1.958</v>
      </c>
      <c r="G27" s="2">
        <v>1.3994</v>
      </c>
    </row>
    <row r="28" spans="1:7" x14ac:dyDescent="0.3">
      <c r="A28" t="str">
        <f t="shared" si="0"/>
        <v>AT</v>
      </c>
      <c r="B28" t="str">
        <f t="shared" si="1"/>
        <v>N</v>
      </c>
      <c r="C28" t="s">
        <v>25</v>
      </c>
      <c r="D28" s="2">
        <v>0</v>
      </c>
      <c r="E28" s="2">
        <v>0</v>
      </c>
      <c r="F28" s="2">
        <v>0</v>
      </c>
      <c r="G28" s="2">
        <v>0</v>
      </c>
    </row>
    <row r="29" spans="1:7" x14ac:dyDescent="0.3">
      <c r="A29" t="str">
        <f t="shared" si="0"/>
        <v>AT</v>
      </c>
      <c r="B29" t="str">
        <f t="shared" si="1"/>
        <v>N</v>
      </c>
      <c r="C29" t="s">
        <v>26</v>
      </c>
      <c r="D29" s="2">
        <v>8.0513999999999992</v>
      </c>
      <c r="E29" s="2">
        <v>8.0454000000000008</v>
      </c>
      <c r="F29" s="2">
        <v>8.9032999999999998</v>
      </c>
      <c r="G29" s="2">
        <v>10.2418</v>
      </c>
    </row>
    <row r="30" spans="1:7" x14ac:dyDescent="0.3">
      <c r="A30" t="str">
        <f t="shared" si="0"/>
        <v>AT</v>
      </c>
      <c r="B30" t="str">
        <f t="shared" si="1"/>
        <v>N</v>
      </c>
      <c r="C30" t="s">
        <v>27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3">
      <c r="A31" t="str">
        <f t="shared" si="0"/>
        <v>AT</v>
      </c>
      <c r="B31" t="str">
        <f t="shared" si="1"/>
        <v>N</v>
      </c>
      <c r="C31" t="s">
        <v>28</v>
      </c>
      <c r="D31" s="2">
        <v>5.6265999999999998</v>
      </c>
      <c r="E31" s="2">
        <v>5.3719999999999999</v>
      </c>
      <c r="F31" s="2">
        <v>5.4257999999999997</v>
      </c>
      <c r="G31" s="2">
        <v>5.5567000000000002</v>
      </c>
    </row>
    <row r="32" spans="1:7" x14ac:dyDescent="0.3">
      <c r="A32" t="str">
        <f t="shared" si="0"/>
        <v>AT</v>
      </c>
      <c r="B32" t="str">
        <f t="shared" si="1"/>
        <v>N</v>
      </c>
      <c r="C32" t="s">
        <v>29</v>
      </c>
      <c r="D32" s="2">
        <v>1.9942</v>
      </c>
      <c r="E32" s="2">
        <v>2.1985000000000001</v>
      </c>
      <c r="F32" s="2">
        <v>2.1932</v>
      </c>
      <c r="G32" s="2">
        <v>1.9599</v>
      </c>
    </row>
    <row r="33" spans="1:7" x14ac:dyDescent="0.3">
      <c r="A33" t="str">
        <f t="shared" si="0"/>
        <v>AT</v>
      </c>
      <c r="B33" t="str">
        <f t="shared" si="1"/>
        <v>N</v>
      </c>
      <c r="C33" t="s">
        <v>30</v>
      </c>
      <c r="D33" s="2">
        <v>3.2393999999999998</v>
      </c>
      <c r="E33" s="2">
        <v>3.0482</v>
      </c>
      <c r="F33" s="2">
        <v>2.8586</v>
      </c>
      <c r="G33" s="2">
        <v>2.7271999999999998</v>
      </c>
    </row>
    <row r="34" spans="1:7" x14ac:dyDescent="0.3">
      <c r="A34" t="str">
        <f t="shared" si="0"/>
        <v>AT</v>
      </c>
      <c r="B34" t="str">
        <f t="shared" si="1"/>
        <v>N</v>
      </c>
      <c r="C34" t="s">
        <v>31</v>
      </c>
      <c r="D34" s="2">
        <v>0</v>
      </c>
      <c r="E34" s="2">
        <v>0</v>
      </c>
      <c r="F34" s="2">
        <v>0</v>
      </c>
      <c r="G34" s="2">
        <v>0</v>
      </c>
    </row>
    <row r="35" spans="1:7" x14ac:dyDescent="0.3">
      <c r="A35" t="str">
        <f t="shared" si="0"/>
        <v>AT</v>
      </c>
      <c r="B35" t="str">
        <f t="shared" si="1"/>
        <v>N</v>
      </c>
      <c r="C35" t="s">
        <v>32</v>
      </c>
      <c r="D35" s="2">
        <v>0</v>
      </c>
      <c r="E35" s="2">
        <v>0</v>
      </c>
      <c r="F35" s="2">
        <v>0</v>
      </c>
      <c r="G35" s="2">
        <v>0</v>
      </c>
    </row>
    <row r="36" spans="1:7" x14ac:dyDescent="0.3">
      <c r="A36" t="str">
        <f t="shared" si="0"/>
        <v>AT</v>
      </c>
      <c r="B36" t="str">
        <f t="shared" si="1"/>
        <v>N</v>
      </c>
      <c r="C36" t="s">
        <v>33</v>
      </c>
      <c r="D36" s="2">
        <v>3.4000000000000002E-2</v>
      </c>
      <c r="E36" s="2">
        <v>3.7499999999999999E-2</v>
      </c>
      <c r="F36" s="2">
        <v>3.4799999999999998E-2</v>
      </c>
      <c r="G36" s="2">
        <v>4.4499999999999998E-2</v>
      </c>
    </row>
    <row r="37" spans="1:7" x14ac:dyDescent="0.3">
      <c r="A37" t="str">
        <f t="shared" si="0"/>
        <v>AT</v>
      </c>
      <c r="B37" t="str">
        <f t="shared" si="1"/>
        <v>P</v>
      </c>
      <c r="C37" t="s">
        <v>34</v>
      </c>
      <c r="D37" s="2">
        <v>0.30809999999999998</v>
      </c>
      <c r="E37" s="2">
        <v>0.33090000000000003</v>
      </c>
      <c r="F37" s="2">
        <v>0.2833</v>
      </c>
      <c r="G37" s="2">
        <v>0.25309999999999999</v>
      </c>
    </row>
    <row r="38" spans="1:7" x14ac:dyDescent="0.3">
      <c r="A38" t="str">
        <f t="shared" si="0"/>
        <v>AT</v>
      </c>
      <c r="B38" t="str">
        <f t="shared" si="1"/>
        <v>P</v>
      </c>
      <c r="C38" t="s">
        <v>35</v>
      </c>
      <c r="D38" s="2">
        <v>2.6738</v>
      </c>
      <c r="E38" s="2">
        <v>1.7696000000000001</v>
      </c>
      <c r="F38" s="2">
        <v>1.6662999999999999</v>
      </c>
      <c r="G38" s="2">
        <v>1.8484</v>
      </c>
    </row>
    <row r="39" spans="1:7" x14ac:dyDescent="0.3">
      <c r="A39" t="str">
        <f t="shared" si="0"/>
        <v>AT</v>
      </c>
      <c r="B39" t="str">
        <f t="shared" si="1"/>
        <v>P</v>
      </c>
      <c r="C39" t="s">
        <v>36</v>
      </c>
      <c r="D39" s="2">
        <v>0</v>
      </c>
      <c r="E39" s="2">
        <v>0</v>
      </c>
      <c r="F39" s="2">
        <v>0</v>
      </c>
      <c r="G39" s="2">
        <v>0</v>
      </c>
    </row>
    <row r="40" spans="1:7" x14ac:dyDescent="0.3">
      <c r="A40" t="str">
        <f t="shared" si="0"/>
        <v>AT</v>
      </c>
      <c r="B40" t="str">
        <f t="shared" si="1"/>
        <v>P</v>
      </c>
      <c r="C40" t="s">
        <v>37</v>
      </c>
      <c r="D40" s="2">
        <v>18.201799999999999</v>
      </c>
      <c r="E40" s="2">
        <v>20.271799999999999</v>
      </c>
      <c r="F40" s="2">
        <v>18.490500000000001</v>
      </c>
      <c r="G40" s="2">
        <v>19.538</v>
      </c>
    </row>
    <row r="41" spans="1:7" x14ac:dyDescent="0.3">
      <c r="A41" t="str">
        <f t="shared" si="0"/>
        <v>AT</v>
      </c>
      <c r="B41" t="str">
        <f t="shared" si="1"/>
        <v>P</v>
      </c>
      <c r="C41" t="s">
        <v>38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3">
      <c r="A42" t="str">
        <f t="shared" si="0"/>
        <v>AT</v>
      </c>
      <c r="B42" t="str">
        <f t="shared" si="1"/>
        <v>P</v>
      </c>
      <c r="C42" t="s">
        <v>39</v>
      </c>
      <c r="D42" s="2">
        <v>20.9099</v>
      </c>
      <c r="E42" s="2">
        <v>22.038</v>
      </c>
      <c r="F42" s="2">
        <v>20.683</v>
      </c>
      <c r="G42" s="2">
        <v>22.343299999999999</v>
      </c>
    </row>
    <row r="43" spans="1:7" x14ac:dyDescent="0.3">
      <c r="A43" t="str">
        <f t="shared" si="0"/>
        <v>AT</v>
      </c>
      <c r="B43" t="str">
        <f t="shared" si="1"/>
        <v>P</v>
      </c>
      <c r="C43" t="s">
        <v>40</v>
      </c>
      <c r="D43" s="2">
        <v>7.0576999999999996</v>
      </c>
      <c r="E43" s="2">
        <v>7.0495000000000001</v>
      </c>
      <c r="F43" s="2">
        <v>6.6089000000000002</v>
      </c>
      <c r="G43" s="2">
        <v>6.1067999999999998</v>
      </c>
    </row>
    <row r="44" spans="1:7" x14ac:dyDescent="0.3">
      <c r="A44" t="str">
        <f t="shared" si="0"/>
        <v>AT</v>
      </c>
      <c r="B44" t="str">
        <f t="shared" si="1"/>
        <v>P</v>
      </c>
      <c r="C44" t="s">
        <v>41</v>
      </c>
      <c r="D44" s="2">
        <v>4.4660000000000002</v>
      </c>
      <c r="E44" s="2">
        <v>4.5237999999999996</v>
      </c>
      <c r="F44" s="2">
        <v>4.2317999999999998</v>
      </c>
      <c r="G44" s="2">
        <v>4.2201000000000004</v>
      </c>
    </row>
    <row r="45" spans="1:7" x14ac:dyDescent="0.3">
      <c r="A45" t="str">
        <f t="shared" si="0"/>
        <v>AT</v>
      </c>
      <c r="B45" t="str">
        <f t="shared" si="1"/>
        <v>P</v>
      </c>
      <c r="C45" t="s">
        <v>42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3">
      <c r="A46" t="str">
        <f t="shared" si="0"/>
        <v>AT</v>
      </c>
      <c r="B46" t="str">
        <f t="shared" si="1"/>
        <v>P</v>
      </c>
      <c r="C46" t="s">
        <v>43</v>
      </c>
      <c r="D46" s="2">
        <v>0</v>
      </c>
      <c r="E46" s="2">
        <v>0</v>
      </c>
      <c r="F46" s="2">
        <v>0</v>
      </c>
      <c r="G46" s="2">
        <v>0</v>
      </c>
    </row>
    <row r="47" spans="1:7" x14ac:dyDescent="0.3">
      <c r="A47" t="str">
        <f t="shared" si="0"/>
        <v>AT</v>
      </c>
      <c r="B47" t="str">
        <f t="shared" si="1"/>
        <v>P</v>
      </c>
      <c r="C47" t="s">
        <v>44</v>
      </c>
      <c r="D47" s="2">
        <v>0.63349999999999995</v>
      </c>
      <c r="E47" s="2">
        <v>0.63500000000000001</v>
      </c>
      <c r="F47" s="2">
        <v>0.81359999999999999</v>
      </c>
      <c r="G47" s="2">
        <v>0.63039999999999996</v>
      </c>
    </row>
    <row r="48" spans="1:7" x14ac:dyDescent="0.3">
      <c r="A48" t="str">
        <f t="shared" si="0"/>
        <v>AT</v>
      </c>
      <c r="B48" t="str">
        <f t="shared" si="1"/>
        <v>O</v>
      </c>
      <c r="C48" t="s">
        <v>45</v>
      </c>
      <c r="D48" s="2">
        <v>4.0647000000000002</v>
      </c>
      <c r="E48" s="2">
        <v>4.0960000000000001</v>
      </c>
      <c r="F48" s="2">
        <v>3.5375999999999999</v>
      </c>
      <c r="G48" s="2">
        <v>3.7723</v>
      </c>
    </row>
    <row r="49" spans="1:7" x14ac:dyDescent="0.3">
      <c r="A49" t="str">
        <f t="shared" si="0"/>
        <v>AT</v>
      </c>
      <c r="B49" t="str">
        <f t="shared" si="1"/>
        <v>O</v>
      </c>
      <c r="C49" t="s">
        <v>46</v>
      </c>
      <c r="D49" s="2">
        <v>6.9099999999999995E-2</v>
      </c>
      <c r="E49" s="2">
        <v>9.2600000000000002E-2</v>
      </c>
      <c r="F49" s="2">
        <v>9.2700000000000005E-2</v>
      </c>
      <c r="G49" s="2">
        <v>8.1500000000000003E-2</v>
      </c>
    </row>
    <row r="50" spans="1:7" x14ac:dyDescent="0.3">
      <c r="A50" t="str">
        <f t="shared" si="0"/>
        <v>AT</v>
      </c>
      <c r="B50" t="str">
        <f t="shared" si="1"/>
        <v>O</v>
      </c>
      <c r="C50" t="s">
        <v>47</v>
      </c>
      <c r="D50" s="2">
        <v>0</v>
      </c>
      <c r="E50" s="2">
        <v>0</v>
      </c>
      <c r="F50" s="2">
        <v>0</v>
      </c>
      <c r="G50" s="2">
        <v>0</v>
      </c>
    </row>
    <row r="51" spans="1:7" x14ac:dyDescent="0.3">
      <c r="A51" t="str">
        <f t="shared" si="0"/>
        <v>AT</v>
      </c>
      <c r="B51" t="str">
        <f t="shared" si="1"/>
        <v>O</v>
      </c>
      <c r="C51" t="s">
        <v>48</v>
      </c>
      <c r="D51" s="2">
        <v>17.0197</v>
      </c>
      <c r="E51" s="2">
        <v>16.434000000000001</v>
      </c>
      <c r="F51" s="2">
        <v>16.184999999999999</v>
      </c>
      <c r="G51" s="2">
        <v>16.751799999999999</v>
      </c>
    </row>
    <row r="52" spans="1:7" x14ac:dyDescent="0.3">
      <c r="A52" t="str">
        <f t="shared" si="0"/>
        <v>AT</v>
      </c>
      <c r="B52" t="str">
        <f t="shared" si="1"/>
        <v>O</v>
      </c>
      <c r="C52" t="s">
        <v>49</v>
      </c>
      <c r="D52" s="2">
        <v>0</v>
      </c>
      <c r="E52" s="2">
        <v>0</v>
      </c>
      <c r="F52" s="2">
        <v>0</v>
      </c>
      <c r="G52" s="2">
        <v>0</v>
      </c>
    </row>
    <row r="53" spans="1:7" x14ac:dyDescent="0.3">
      <c r="A53" t="str">
        <f t="shared" si="0"/>
        <v>AT</v>
      </c>
      <c r="B53" t="str">
        <f t="shared" si="1"/>
        <v>O</v>
      </c>
      <c r="C53" t="s">
        <v>50</v>
      </c>
      <c r="D53" s="2">
        <v>5.6022999999999996</v>
      </c>
      <c r="E53" s="2">
        <v>5.0903</v>
      </c>
      <c r="F53" s="2">
        <v>5.2465000000000002</v>
      </c>
      <c r="G53" s="2">
        <v>5.7988999999999997</v>
      </c>
    </row>
    <row r="54" spans="1:7" x14ac:dyDescent="0.3">
      <c r="A54" t="str">
        <f t="shared" si="0"/>
        <v>AT</v>
      </c>
      <c r="B54" t="str">
        <f t="shared" si="1"/>
        <v>O</v>
      </c>
      <c r="C54" t="s">
        <v>51</v>
      </c>
      <c r="D54" s="2">
        <v>10.2281</v>
      </c>
      <c r="E54" s="2">
        <v>9.7197999999999993</v>
      </c>
      <c r="F54" s="2">
        <v>8.9346999999999994</v>
      </c>
      <c r="G54" s="2">
        <v>9.8634000000000004</v>
      </c>
    </row>
    <row r="55" spans="1:7" x14ac:dyDescent="0.3">
      <c r="A55" t="str">
        <f t="shared" si="0"/>
        <v>AT</v>
      </c>
      <c r="B55" t="str">
        <f t="shared" si="1"/>
        <v>O</v>
      </c>
      <c r="C55" t="s">
        <v>52</v>
      </c>
      <c r="D55" s="2">
        <v>15.8108</v>
      </c>
      <c r="E55" s="2">
        <v>15.0999</v>
      </c>
      <c r="F55" s="2">
        <v>14.24</v>
      </c>
      <c r="G55" s="2">
        <v>14.5245</v>
      </c>
    </row>
    <row r="56" spans="1:7" x14ac:dyDescent="0.3">
      <c r="A56" t="str">
        <f t="shared" si="0"/>
        <v>AT</v>
      </c>
      <c r="B56" t="str">
        <f t="shared" si="1"/>
        <v>O</v>
      </c>
      <c r="C56" t="s">
        <v>53</v>
      </c>
      <c r="D56" s="2">
        <v>0</v>
      </c>
      <c r="E56" s="2">
        <v>0</v>
      </c>
      <c r="F56" s="2">
        <v>0</v>
      </c>
      <c r="G56" s="2">
        <v>0</v>
      </c>
    </row>
    <row r="57" spans="1:7" x14ac:dyDescent="0.3">
      <c r="A57" t="str">
        <f t="shared" si="0"/>
        <v>AT</v>
      </c>
      <c r="B57" t="str">
        <f t="shared" si="1"/>
        <v>O</v>
      </c>
      <c r="C57" t="s">
        <v>54</v>
      </c>
      <c r="D57" s="2">
        <v>0</v>
      </c>
      <c r="E57" s="2">
        <v>0</v>
      </c>
      <c r="F57" s="2">
        <v>0</v>
      </c>
      <c r="G57" s="2">
        <v>0</v>
      </c>
    </row>
    <row r="58" spans="1:7" x14ac:dyDescent="0.3">
      <c r="A58" t="str">
        <f t="shared" si="0"/>
        <v>AT</v>
      </c>
      <c r="B58" t="str">
        <f t="shared" si="1"/>
        <v>O</v>
      </c>
      <c r="C58" t="s">
        <v>55</v>
      </c>
      <c r="D58" s="2">
        <v>3.8683999999999998</v>
      </c>
      <c r="E58" s="2">
        <v>3.4457</v>
      </c>
      <c r="F58" s="2">
        <v>3.3026</v>
      </c>
      <c r="G58" s="2">
        <v>3.6168999999999998</v>
      </c>
    </row>
    <row r="59" spans="1:7" x14ac:dyDescent="0.3">
      <c r="A59" t="str">
        <f t="shared" si="0"/>
        <v>BE</v>
      </c>
      <c r="B59" t="str">
        <f t="shared" si="1"/>
        <v>I</v>
      </c>
      <c r="C59" t="s">
        <v>56</v>
      </c>
      <c r="D59" s="2">
        <v>0.27479999999999999</v>
      </c>
      <c r="E59" s="2">
        <v>0.28060000000000002</v>
      </c>
      <c r="F59" s="2">
        <v>0.26369999999999999</v>
      </c>
      <c r="G59" s="2">
        <v>0.2591</v>
      </c>
    </row>
    <row r="60" spans="1:7" x14ac:dyDescent="0.3">
      <c r="A60" t="str">
        <f t="shared" si="0"/>
        <v>BE</v>
      </c>
      <c r="B60" t="str">
        <f t="shared" si="1"/>
        <v>I</v>
      </c>
      <c r="C60" t="s">
        <v>57</v>
      </c>
      <c r="D60" s="2">
        <v>0.3246</v>
      </c>
      <c r="E60" s="2">
        <v>0.38340000000000002</v>
      </c>
      <c r="F60" s="2">
        <v>0.32869999999999999</v>
      </c>
      <c r="G60" s="2">
        <v>0.40670000000000001</v>
      </c>
    </row>
    <row r="61" spans="1:7" x14ac:dyDescent="0.3">
      <c r="A61" t="str">
        <f t="shared" si="0"/>
        <v>BE</v>
      </c>
      <c r="B61" t="str">
        <f t="shared" si="1"/>
        <v>I</v>
      </c>
      <c r="C61" t="s">
        <v>58</v>
      </c>
      <c r="D61" s="2">
        <v>0</v>
      </c>
      <c r="E61" s="2">
        <v>0</v>
      </c>
      <c r="F61" s="2">
        <v>0</v>
      </c>
      <c r="G61" s="2">
        <v>0</v>
      </c>
    </row>
    <row r="62" spans="1:7" x14ac:dyDescent="0.3">
      <c r="A62" t="str">
        <f t="shared" si="0"/>
        <v>BE</v>
      </c>
      <c r="B62" t="str">
        <f t="shared" si="1"/>
        <v>I</v>
      </c>
      <c r="C62" t="s">
        <v>59</v>
      </c>
      <c r="D62" s="2">
        <v>15.307700000000001</v>
      </c>
      <c r="E62" s="2">
        <v>14.7583</v>
      </c>
      <c r="F62" s="2">
        <v>14.196400000000001</v>
      </c>
      <c r="G62" s="2">
        <v>14.129200000000001</v>
      </c>
    </row>
    <row r="63" spans="1:7" x14ac:dyDescent="0.3">
      <c r="A63" t="str">
        <f t="shared" si="0"/>
        <v>BE</v>
      </c>
      <c r="B63" t="str">
        <f t="shared" si="1"/>
        <v>I</v>
      </c>
      <c r="C63" t="s">
        <v>60</v>
      </c>
      <c r="D63" s="2">
        <v>0</v>
      </c>
      <c r="E63" s="2">
        <v>0</v>
      </c>
      <c r="F63" s="2">
        <v>0</v>
      </c>
      <c r="G63" s="2">
        <v>0</v>
      </c>
    </row>
    <row r="64" spans="1:7" x14ac:dyDescent="0.3">
      <c r="A64" t="str">
        <f t="shared" si="0"/>
        <v>BE</v>
      </c>
      <c r="B64" t="str">
        <f t="shared" si="1"/>
        <v>I</v>
      </c>
      <c r="C64" t="s">
        <v>61</v>
      </c>
      <c r="D64" s="2">
        <v>3.1800000000000002E-2</v>
      </c>
      <c r="E64" s="2">
        <v>3.1899999999999998E-2</v>
      </c>
      <c r="F64" s="2">
        <v>3.1899999999999998E-2</v>
      </c>
      <c r="G64" s="2">
        <v>3.1899999999999998E-2</v>
      </c>
    </row>
    <row r="65" spans="1:7" x14ac:dyDescent="0.3">
      <c r="A65" t="str">
        <f t="shared" si="0"/>
        <v>BE</v>
      </c>
      <c r="B65" t="str">
        <f t="shared" si="1"/>
        <v>I</v>
      </c>
      <c r="C65" t="s">
        <v>62</v>
      </c>
      <c r="D65" s="2">
        <v>9.0546000000000006</v>
      </c>
      <c r="E65" s="2">
        <v>7.9980000000000002</v>
      </c>
      <c r="F65" s="2">
        <v>8.2141000000000002</v>
      </c>
      <c r="G65" s="2">
        <v>8.7420000000000009</v>
      </c>
    </row>
    <row r="66" spans="1:7" x14ac:dyDescent="0.3">
      <c r="A66" t="str">
        <f t="shared" si="0"/>
        <v>BE</v>
      </c>
      <c r="B66" t="str">
        <f t="shared" si="1"/>
        <v>I</v>
      </c>
      <c r="C66" t="s">
        <v>63</v>
      </c>
      <c r="D66" s="2">
        <v>1.4044000000000001</v>
      </c>
      <c r="E66" s="2">
        <v>1.3071999999999999</v>
      </c>
      <c r="F66" s="2">
        <v>1.3087</v>
      </c>
      <c r="G66" s="2">
        <v>1.3190999999999999</v>
      </c>
    </row>
    <row r="67" spans="1:7" x14ac:dyDescent="0.3">
      <c r="A67" t="str">
        <f t="shared" si="0"/>
        <v>BE</v>
      </c>
      <c r="B67" t="str">
        <f t="shared" si="1"/>
        <v>I</v>
      </c>
      <c r="C67" t="s">
        <v>64</v>
      </c>
      <c r="D67" s="2">
        <v>0</v>
      </c>
      <c r="E67" s="2">
        <v>0</v>
      </c>
      <c r="F67" s="2">
        <v>0</v>
      </c>
      <c r="G67" s="2">
        <v>0</v>
      </c>
    </row>
    <row r="68" spans="1:7" x14ac:dyDescent="0.3">
      <c r="A68" t="str">
        <f t="shared" si="0"/>
        <v>BE</v>
      </c>
      <c r="B68" t="str">
        <f t="shared" si="1"/>
        <v>I</v>
      </c>
      <c r="C68" t="s">
        <v>65</v>
      </c>
      <c r="D68" s="2">
        <v>0</v>
      </c>
      <c r="E68" s="2">
        <v>0</v>
      </c>
      <c r="F68" s="2">
        <v>0</v>
      </c>
      <c r="G68" s="2">
        <v>0</v>
      </c>
    </row>
    <row r="69" spans="1:7" x14ac:dyDescent="0.3">
      <c r="A69" t="str">
        <f t="shared" ref="A69:A132" si="2">LEFT(C69,2)</f>
        <v>BE</v>
      </c>
      <c r="B69" t="str">
        <f t="shared" ref="B69:B132" si="3">RIGHT(C69,1)</f>
        <v>I</v>
      </c>
      <c r="C69" t="s">
        <v>66</v>
      </c>
      <c r="D69" s="2">
        <v>5.8095999999999997</v>
      </c>
      <c r="E69" s="2">
        <v>5.3627000000000002</v>
      </c>
      <c r="F69" s="2">
        <v>4.9865000000000004</v>
      </c>
      <c r="G69" s="2">
        <v>5.1822999999999997</v>
      </c>
    </row>
    <row r="70" spans="1:7" x14ac:dyDescent="0.3">
      <c r="A70" t="str">
        <f t="shared" si="2"/>
        <v>BE</v>
      </c>
      <c r="B70" t="str">
        <f t="shared" si="3"/>
        <v>C</v>
      </c>
      <c r="C70" t="s">
        <v>67</v>
      </c>
      <c r="D70" s="2">
        <v>28.609000000000002</v>
      </c>
      <c r="E70" s="2">
        <v>24.148</v>
      </c>
      <c r="F70" s="2">
        <v>25.825900000000001</v>
      </c>
      <c r="G70" s="2">
        <v>28.114100000000001</v>
      </c>
    </row>
    <row r="71" spans="1:7" x14ac:dyDescent="0.3">
      <c r="A71" t="str">
        <f t="shared" si="2"/>
        <v>BE</v>
      </c>
      <c r="B71" t="str">
        <f t="shared" si="3"/>
        <v>C</v>
      </c>
      <c r="C71" t="s">
        <v>68</v>
      </c>
      <c r="D71" s="2">
        <v>0.154</v>
      </c>
      <c r="E71" s="2">
        <v>0.2419</v>
      </c>
      <c r="F71" s="2">
        <v>0.18079999999999999</v>
      </c>
      <c r="G71" s="2">
        <v>0.1767</v>
      </c>
    </row>
    <row r="72" spans="1:7" x14ac:dyDescent="0.3">
      <c r="A72" t="str">
        <f t="shared" si="2"/>
        <v>BE</v>
      </c>
      <c r="B72" t="str">
        <f t="shared" si="3"/>
        <v>C</v>
      </c>
      <c r="C72" t="s">
        <v>69</v>
      </c>
      <c r="D72" s="2">
        <v>0</v>
      </c>
      <c r="E72" s="2">
        <v>0</v>
      </c>
      <c r="F72" s="2">
        <v>0</v>
      </c>
      <c r="G72" s="2">
        <v>0</v>
      </c>
    </row>
    <row r="73" spans="1:7" x14ac:dyDescent="0.3">
      <c r="A73" t="str">
        <f t="shared" si="2"/>
        <v>BE</v>
      </c>
      <c r="B73" t="str">
        <f t="shared" si="3"/>
        <v>C</v>
      </c>
      <c r="C73" t="s">
        <v>70</v>
      </c>
      <c r="D73" s="2">
        <v>31.144400000000001</v>
      </c>
      <c r="E73" s="2">
        <v>30.459199999999999</v>
      </c>
      <c r="F73" s="2">
        <v>30.440799999999999</v>
      </c>
      <c r="G73" s="2">
        <v>33.3185</v>
      </c>
    </row>
    <row r="74" spans="1:7" x14ac:dyDescent="0.3">
      <c r="A74" t="str">
        <f t="shared" si="2"/>
        <v>BE</v>
      </c>
      <c r="B74" t="str">
        <f t="shared" si="3"/>
        <v>C</v>
      </c>
      <c r="C74" t="s">
        <v>71</v>
      </c>
      <c r="D74" s="2">
        <v>0</v>
      </c>
      <c r="E74" s="2">
        <v>0</v>
      </c>
      <c r="F74" s="2">
        <v>0</v>
      </c>
      <c r="G74" s="2">
        <v>0</v>
      </c>
    </row>
    <row r="75" spans="1:7" x14ac:dyDescent="0.3">
      <c r="A75" t="str">
        <f t="shared" si="2"/>
        <v>BE</v>
      </c>
      <c r="B75" t="str">
        <f t="shared" si="3"/>
        <v>C</v>
      </c>
      <c r="C75" t="s">
        <v>72</v>
      </c>
      <c r="D75" s="2">
        <v>0.13139999999999999</v>
      </c>
      <c r="E75" s="2">
        <v>9.1700000000000004E-2</v>
      </c>
      <c r="F75" s="2">
        <v>8.6499999999999994E-2</v>
      </c>
      <c r="G75" s="2">
        <v>7.9200000000000007E-2</v>
      </c>
    </row>
    <row r="76" spans="1:7" x14ac:dyDescent="0.3">
      <c r="A76" t="str">
        <f t="shared" si="2"/>
        <v>BE</v>
      </c>
      <c r="B76" t="str">
        <f t="shared" si="3"/>
        <v>C</v>
      </c>
      <c r="C76" t="s">
        <v>73</v>
      </c>
      <c r="D76" s="2">
        <v>2.9613</v>
      </c>
      <c r="E76" s="2">
        <v>3.2094999999999998</v>
      </c>
      <c r="F76" s="2">
        <v>3.2339000000000002</v>
      </c>
      <c r="G76" s="2">
        <v>3.0028000000000001</v>
      </c>
    </row>
    <row r="77" spans="1:7" x14ac:dyDescent="0.3">
      <c r="A77" t="str">
        <f t="shared" si="2"/>
        <v>BE</v>
      </c>
      <c r="B77" t="str">
        <f t="shared" si="3"/>
        <v>C</v>
      </c>
      <c r="C77" t="s">
        <v>74</v>
      </c>
      <c r="D77" s="2">
        <v>22.8935</v>
      </c>
      <c r="E77" s="2">
        <v>23.032299999999999</v>
      </c>
      <c r="F77" s="2">
        <v>22.995000000000001</v>
      </c>
      <c r="G77" s="2">
        <v>23.558</v>
      </c>
    </row>
    <row r="78" spans="1:7" x14ac:dyDescent="0.3">
      <c r="A78" t="str">
        <f t="shared" si="2"/>
        <v>BE</v>
      </c>
      <c r="B78" t="str">
        <f t="shared" si="3"/>
        <v>C</v>
      </c>
      <c r="C78" t="s">
        <v>75</v>
      </c>
      <c r="D78" s="2">
        <v>0</v>
      </c>
      <c r="E78" s="2">
        <v>0</v>
      </c>
      <c r="F78" s="2">
        <v>0</v>
      </c>
      <c r="G78" s="2">
        <v>0</v>
      </c>
    </row>
    <row r="79" spans="1:7" x14ac:dyDescent="0.3">
      <c r="A79" t="str">
        <f t="shared" si="2"/>
        <v>BE</v>
      </c>
      <c r="B79" t="str">
        <f t="shared" si="3"/>
        <v>C</v>
      </c>
      <c r="C79" t="s">
        <v>76</v>
      </c>
      <c r="D79" s="2">
        <v>0</v>
      </c>
      <c r="E79" s="2">
        <v>0</v>
      </c>
      <c r="F79" s="2">
        <v>0</v>
      </c>
      <c r="G79" s="2">
        <v>0</v>
      </c>
    </row>
    <row r="80" spans="1:7" x14ac:dyDescent="0.3">
      <c r="A80" t="str">
        <f t="shared" si="2"/>
        <v>BE</v>
      </c>
      <c r="B80" t="str">
        <f t="shared" si="3"/>
        <v>C</v>
      </c>
      <c r="C80" t="s">
        <v>77</v>
      </c>
      <c r="D80" s="2">
        <v>8.0225000000000009</v>
      </c>
      <c r="E80" s="2">
        <v>8.8514999999999997</v>
      </c>
      <c r="F80" s="2">
        <v>8.4085999999999999</v>
      </c>
      <c r="G80" s="2">
        <v>8.4741</v>
      </c>
    </row>
    <row r="81" spans="1:7" x14ac:dyDescent="0.3">
      <c r="A81" t="str">
        <f t="shared" si="2"/>
        <v>BE</v>
      </c>
      <c r="B81" t="str">
        <f t="shared" si="3"/>
        <v>N</v>
      </c>
      <c r="C81" t="s">
        <v>78</v>
      </c>
      <c r="D81" s="2">
        <v>1.6221000000000001</v>
      </c>
      <c r="E81" s="2">
        <v>1.6554</v>
      </c>
      <c r="F81" s="2">
        <v>2.2892999999999999</v>
      </c>
      <c r="G81" s="2">
        <v>2.0914999999999999</v>
      </c>
    </row>
    <row r="82" spans="1:7" x14ac:dyDescent="0.3">
      <c r="A82" t="str">
        <f t="shared" si="2"/>
        <v>BE</v>
      </c>
      <c r="B82" t="str">
        <f t="shared" si="3"/>
        <v>N</v>
      </c>
      <c r="C82" t="s">
        <v>79</v>
      </c>
      <c r="D82" s="2">
        <v>6.9969999999999999</v>
      </c>
      <c r="E82" s="2">
        <v>7.0698999999999996</v>
      </c>
      <c r="F82" s="2">
        <v>5.8552</v>
      </c>
      <c r="G82" s="2">
        <v>6.4989999999999997</v>
      </c>
    </row>
    <row r="83" spans="1:7" x14ac:dyDescent="0.3">
      <c r="A83" t="str">
        <f t="shared" si="2"/>
        <v>BE</v>
      </c>
      <c r="B83" t="str">
        <f t="shared" si="3"/>
        <v>N</v>
      </c>
      <c r="C83" t="s">
        <v>80</v>
      </c>
      <c r="D83" s="2">
        <v>0</v>
      </c>
      <c r="E83" s="2">
        <v>0</v>
      </c>
      <c r="F83" s="2">
        <v>0</v>
      </c>
      <c r="G83" s="2">
        <v>0</v>
      </c>
    </row>
    <row r="84" spans="1:7" x14ac:dyDescent="0.3">
      <c r="A84" t="str">
        <f t="shared" si="2"/>
        <v>BE</v>
      </c>
      <c r="B84" t="str">
        <f t="shared" si="3"/>
        <v>N</v>
      </c>
      <c r="C84" t="s">
        <v>81</v>
      </c>
      <c r="D84" s="2">
        <v>11.049300000000001</v>
      </c>
      <c r="E84" s="2">
        <v>11.102399999999999</v>
      </c>
      <c r="F84" s="2">
        <v>10.734400000000001</v>
      </c>
      <c r="G84" s="2">
        <v>10.9933</v>
      </c>
    </row>
    <row r="85" spans="1:7" x14ac:dyDescent="0.3">
      <c r="A85" t="str">
        <f t="shared" si="2"/>
        <v>BE</v>
      </c>
      <c r="B85" t="str">
        <f t="shared" si="3"/>
        <v>N</v>
      </c>
      <c r="C85" t="s">
        <v>82</v>
      </c>
      <c r="D85" s="2">
        <v>0</v>
      </c>
      <c r="E85" s="2">
        <v>0</v>
      </c>
      <c r="F85" s="2">
        <v>0</v>
      </c>
      <c r="G85" s="2">
        <v>0</v>
      </c>
    </row>
    <row r="86" spans="1:7" x14ac:dyDescent="0.3">
      <c r="A86" t="str">
        <f t="shared" si="2"/>
        <v>BE</v>
      </c>
      <c r="B86" t="str">
        <f t="shared" si="3"/>
        <v>N</v>
      </c>
      <c r="C86" t="s">
        <v>83</v>
      </c>
      <c r="D86" s="2">
        <v>5.3372000000000002</v>
      </c>
      <c r="E86" s="2">
        <v>5.5880000000000001</v>
      </c>
      <c r="F86" s="2">
        <v>5.7503000000000002</v>
      </c>
      <c r="G86" s="2">
        <v>5.8491999999999997</v>
      </c>
    </row>
    <row r="87" spans="1:7" x14ac:dyDescent="0.3">
      <c r="A87" t="str">
        <f t="shared" si="2"/>
        <v>BE</v>
      </c>
      <c r="B87" t="str">
        <f t="shared" si="3"/>
        <v>N</v>
      </c>
      <c r="C87" t="s">
        <v>84</v>
      </c>
      <c r="D87" s="2">
        <v>1.655</v>
      </c>
      <c r="E87" s="2">
        <v>1.6347</v>
      </c>
      <c r="F87" s="2">
        <v>1.7058</v>
      </c>
      <c r="G87" s="2">
        <v>1.8105</v>
      </c>
    </row>
    <row r="88" spans="1:7" x14ac:dyDescent="0.3">
      <c r="A88" t="str">
        <f t="shared" si="2"/>
        <v>BE</v>
      </c>
      <c r="B88" t="str">
        <f t="shared" si="3"/>
        <v>N</v>
      </c>
      <c r="C88" t="s">
        <v>85</v>
      </c>
      <c r="D88" s="2">
        <v>2.4695</v>
      </c>
      <c r="E88" s="2">
        <v>2.4186000000000001</v>
      </c>
      <c r="F88" s="2">
        <v>2.5141</v>
      </c>
      <c r="G88" s="2">
        <v>2.6334</v>
      </c>
    </row>
    <row r="89" spans="1:7" x14ac:dyDescent="0.3">
      <c r="A89" t="str">
        <f t="shared" si="2"/>
        <v>BE</v>
      </c>
      <c r="B89" t="str">
        <f t="shared" si="3"/>
        <v>N</v>
      </c>
      <c r="C89" t="s">
        <v>86</v>
      </c>
      <c r="D89" s="2">
        <v>0</v>
      </c>
      <c r="E89" s="2">
        <v>0</v>
      </c>
      <c r="F89" s="2">
        <v>0</v>
      </c>
      <c r="G89" s="2">
        <v>0</v>
      </c>
    </row>
    <row r="90" spans="1:7" x14ac:dyDescent="0.3">
      <c r="A90" t="str">
        <f t="shared" si="2"/>
        <v>BE</v>
      </c>
      <c r="B90" t="str">
        <f t="shared" si="3"/>
        <v>N</v>
      </c>
      <c r="C90" t="s">
        <v>87</v>
      </c>
      <c r="D90" s="2">
        <v>0</v>
      </c>
      <c r="E90" s="2">
        <v>0</v>
      </c>
      <c r="F90" s="2">
        <v>0</v>
      </c>
      <c r="G90" s="2">
        <v>0</v>
      </c>
    </row>
    <row r="91" spans="1:7" x14ac:dyDescent="0.3">
      <c r="A91" t="str">
        <f t="shared" si="2"/>
        <v>BE</v>
      </c>
      <c r="B91" t="str">
        <f t="shared" si="3"/>
        <v>N</v>
      </c>
      <c r="C91" t="s">
        <v>88</v>
      </c>
      <c r="D91" s="2">
        <v>0.106</v>
      </c>
      <c r="E91" s="2">
        <v>0.20369999999999999</v>
      </c>
      <c r="F91" s="2">
        <v>0.24640000000000001</v>
      </c>
      <c r="G91" s="2">
        <v>0.2344</v>
      </c>
    </row>
    <row r="92" spans="1:7" x14ac:dyDescent="0.3">
      <c r="A92" t="str">
        <f t="shared" si="2"/>
        <v>BE</v>
      </c>
      <c r="B92" t="str">
        <f t="shared" si="3"/>
        <v>F</v>
      </c>
      <c r="C92" t="s">
        <v>89</v>
      </c>
      <c r="D92" s="2">
        <v>0.14019999999999999</v>
      </c>
      <c r="E92" s="2">
        <v>0.1187</v>
      </c>
      <c r="F92" s="2">
        <v>0.32350000000000001</v>
      </c>
      <c r="G92" s="2">
        <v>0.30680000000000002</v>
      </c>
    </row>
    <row r="93" spans="1:7" x14ac:dyDescent="0.3">
      <c r="A93" t="str">
        <f t="shared" si="2"/>
        <v>BE</v>
      </c>
      <c r="B93" t="str">
        <f t="shared" si="3"/>
        <v>F</v>
      </c>
      <c r="C93" t="s">
        <v>90</v>
      </c>
      <c r="D93" s="2">
        <v>0.47149999999999997</v>
      </c>
      <c r="E93" s="2">
        <v>0.52900000000000003</v>
      </c>
      <c r="F93" s="2">
        <v>0.39340000000000003</v>
      </c>
      <c r="G93" s="2">
        <v>0.26740000000000003</v>
      </c>
    </row>
    <row r="94" spans="1:7" x14ac:dyDescent="0.3">
      <c r="A94" t="str">
        <f t="shared" si="2"/>
        <v>BE</v>
      </c>
      <c r="B94" t="str">
        <f t="shared" si="3"/>
        <v>F</v>
      </c>
      <c r="C94" t="s">
        <v>91</v>
      </c>
      <c r="D94" s="2">
        <v>0</v>
      </c>
      <c r="E94" s="2">
        <v>0</v>
      </c>
      <c r="F94" s="2">
        <v>0</v>
      </c>
      <c r="G94" s="2">
        <v>0</v>
      </c>
    </row>
    <row r="95" spans="1:7" x14ac:dyDescent="0.3">
      <c r="A95" t="str">
        <f t="shared" si="2"/>
        <v>BE</v>
      </c>
      <c r="B95" t="str">
        <f t="shared" si="3"/>
        <v>F</v>
      </c>
      <c r="C95" t="s">
        <v>92</v>
      </c>
      <c r="D95" s="2">
        <v>18.480799999999999</v>
      </c>
      <c r="E95" s="2">
        <v>18.9147</v>
      </c>
      <c r="F95" s="2">
        <v>18.7927</v>
      </c>
      <c r="G95" s="2">
        <v>19.922799999999999</v>
      </c>
    </row>
    <row r="96" spans="1:7" x14ac:dyDescent="0.3">
      <c r="A96" t="str">
        <f t="shared" si="2"/>
        <v>BE</v>
      </c>
      <c r="B96" t="str">
        <f t="shared" si="3"/>
        <v>F</v>
      </c>
      <c r="C96" t="s">
        <v>93</v>
      </c>
      <c r="D96" s="2">
        <v>0</v>
      </c>
      <c r="E96" s="2">
        <v>0</v>
      </c>
      <c r="F96" s="2">
        <v>0</v>
      </c>
      <c r="G96" s="2">
        <v>0</v>
      </c>
    </row>
    <row r="97" spans="1:7" x14ac:dyDescent="0.3">
      <c r="A97" t="str">
        <f t="shared" si="2"/>
        <v>BE</v>
      </c>
      <c r="B97" t="str">
        <f t="shared" si="3"/>
        <v>F</v>
      </c>
      <c r="C97" t="s">
        <v>94</v>
      </c>
      <c r="D97" s="2">
        <v>0.98250000000000004</v>
      </c>
      <c r="E97" s="2">
        <v>0.97419999999999995</v>
      </c>
      <c r="F97" s="2">
        <v>0.87450000000000006</v>
      </c>
      <c r="G97" s="2">
        <v>1.0920000000000001</v>
      </c>
    </row>
    <row r="98" spans="1:7" x14ac:dyDescent="0.3">
      <c r="A98" t="str">
        <f t="shared" si="2"/>
        <v>BE</v>
      </c>
      <c r="B98" t="str">
        <f t="shared" si="3"/>
        <v>F</v>
      </c>
      <c r="C98" t="s">
        <v>95</v>
      </c>
      <c r="D98" s="2">
        <v>5.5346000000000002</v>
      </c>
      <c r="E98" s="2">
        <v>5.5903</v>
      </c>
      <c r="F98" s="2">
        <v>4.8722000000000003</v>
      </c>
      <c r="G98" s="2">
        <v>5.3730000000000002</v>
      </c>
    </row>
    <row r="99" spans="1:7" x14ac:dyDescent="0.3">
      <c r="A99" t="str">
        <f t="shared" si="2"/>
        <v>BE</v>
      </c>
      <c r="B99" t="str">
        <f t="shared" si="3"/>
        <v>F</v>
      </c>
      <c r="C99" t="s">
        <v>96</v>
      </c>
      <c r="D99" s="2">
        <v>6.5641999999999996</v>
      </c>
      <c r="E99" s="2">
        <v>6.6593</v>
      </c>
      <c r="F99" s="2">
        <v>6.0472999999999999</v>
      </c>
      <c r="G99" s="2">
        <v>6.5762</v>
      </c>
    </row>
    <row r="100" spans="1:7" x14ac:dyDescent="0.3">
      <c r="A100" t="str">
        <f t="shared" si="2"/>
        <v>BE</v>
      </c>
      <c r="B100" t="str">
        <f t="shared" si="3"/>
        <v>F</v>
      </c>
      <c r="C100" t="s">
        <v>97</v>
      </c>
      <c r="D100" s="2">
        <v>0</v>
      </c>
      <c r="E100" s="2">
        <v>0</v>
      </c>
      <c r="F100" s="2">
        <v>0</v>
      </c>
      <c r="G100" s="2">
        <v>0</v>
      </c>
    </row>
    <row r="101" spans="1:7" x14ac:dyDescent="0.3">
      <c r="A101" t="str">
        <f t="shared" si="2"/>
        <v>BE</v>
      </c>
      <c r="B101" t="str">
        <f t="shared" si="3"/>
        <v>F</v>
      </c>
      <c r="C101" t="s">
        <v>98</v>
      </c>
      <c r="D101" s="2">
        <v>0</v>
      </c>
      <c r="E101" s="2">
        <v>0</v>
      </c>
      <c r="F101" s="2">
        <v>0</v>
      </c>
      <c r="G101" s="2">
        <v>0</v>
      </c>
    </row>
    <row r="102" spans="1:7" x14ac:dyDescent="0.3">
      <c r="A102" t="str">
        <f t="shared" si="2"/>
        <v>BE</v>
      </c>
      <c r="B102" t="str">
        <f t="shared" si="3"/>
        <v>F</v>
      </c>
      <c r="C102" t="s">
        <v>99</v>
      </c>
      <c r="D102" s="2">
        <v>0.84240000000000004</v>
      </c>
      <c r="E102" s="2">
        <v>0.85960000000000003</v>
      </c>
      <c r="F102" s="2">
        <v>0.87549999999999994</v>
      </c>
      <c r="G102" s="2">
        <v>0.99980000000000002</v>
      </c>
    </row>
    <row r="103" spans="1:7" x14ac:dyDescent="0.3">
      <c r="A103" t="str">
        <f t="shared" si="2"/>
        <v>BE</v>
      </c>
      <c r="B103" t="str">
        <f t="shared" si="3"/>
        <v>O</v>
      </c>
      <c r="C103" t="s">
        <v>100</v>
      </c>
      <c r="D103" s="2">
        <v>2.5708000000000002</v>
      </c>
      <c r="E103" s="2">
        <v>2.4815</v>
      </c>
      <c r="F103" s="2">
        <v>2.3767999999999998</v>
      </c>
      <c r="G103" s="2">
        <v>2.2873000000000001</v>
      </c>
    </row>
    <row r="104" spans="1:7" x14ac:dyDescent="0.3">
      <c r="A104" t="str">
        <f t="shared" si="2"/>
        <v>BE</v>
      </c>
      <c r="B104" t="str">
        <f t="shared" si="3"/>
        <v>O</v>
      </c>
      <c r="C104" t="s">
        <v>101</v>
      </c>
      <c r="D104" s="2">
        <v>0.66779999999999995</v>
      </c>
      <c r="E104" s="2">
        <v>0.53990000000000005</v>
      </c>
      <c r="F104" s="2">
        <v>0.60640000000000005</v>
      </c>
      <c r="G104" s="2">
        <v>0.52439999999999998</v>
      </c>
    </row>
    <row r="105" spans="1:7" x14ac:dyDescent="0.3">
      <c r="A105" t="str">
        <f t="shared" si="2"/>
        <v>BE</v>
      </c>
      <c r="B105" t="str">
        <f t="shared" si="3"/>
        <v>O</v>
      </c>
      <c r="C105" t="s">
        <v>102</v>
      </c>
      <c r="D105" s="2">
        <v>0</v>
      </c>
      <c r="E105" s="2">
        <v>0</v>
      </c>
      <c r="F105" s="2">
        <v>0</v>
      </c>
      <c r="G105" s="2">
        <v>0</v>
      </c>
    </row>
    <row r="106" spans="1:7" x14ac:dyDescent="0.3">
      <c r="A106" t="str">
        <f t="shared" si="2"/>
        <v>BE</v>
      </c>
      <c r="B106" t="str">
        <f t="shared" si="3"/>
        <v>O</v>
      </c>
      <c r="C106" t="s">
        <v>103</v>
      </c>
      <c r="D106" s="2">
        <v>15.7258</v>
      </c>
      <c r="E106" s="2">
        <v>15.262700000000001</v>
      </c>
      <c r="F106" s="2">
        <v>14.348100000000001</v>
      </c>
      <c r="G106" s="2">
        <v>16.0486</v>
      </c>
    </row>
    <row r="107" spans="1:7" x14ac:dyDescent="0.3">
      <c r="A107" t="str">
        <f t="shared" si="2"/>
        <v>BE</v>
      </c>
      <c r="B107" t="str">
        <f t="shared" si="3"/>
        <v>O</v>
      </c>
      <c r="C107" t="s">
        <v>104</v>
      </c>
      <c r="D107" s="2">
        <v>0</v>
      </c>
      <c r="E107" s="2">
        <v>0</v>
      </c>
      <c r="F107" s="2">
        <v>0</v>
      </c>
      <c r="G107" s="2">
        <v>0</v>
      </c>
    </row>
    <row r="108" spans="1:7" x14ac:dyDescent="0.3">
      <c r="A108" t="str">
        <f t="shared" si="2"/>
        <v>BE</v>
      </c>
      <c r="B108" t="str">
        <f t="shared" si="3"/>
        <v>O</v>
      </c>
      <c r="C108" t="s">
        <v>105</v>
      </c>
      <c r="D108" s="2">
        <v>12.3483</v>
      </c>
      <c r="E108" s="2">
        <v>11.270300000000001</v>
      </c>
      <c r="F108" s="2">
        <v>10.349500000000001</v>
      </c>
      <c r="G108" s="2">
        <v>11.642099999999999</v>
      </c>
    </row>
    <row r="109" spans="1:7" x14ac:dyDescent="0.3">
      <c r="A109" t="str">
        <f t="shared" si="2"/>
        <v>BE</v>
      </c>
      <c r="B109" t="str">
        <f t="shared" si="3"/>
        <v>O</v>
      </c>
      <c r="C109" t="s">
        <v>106</v>
      </c>
      <c r="D109" s="2">
        <v>10.2637</v>
      </c>
      <c r="E109" s="2">
        <v>9.9642999999999997</v>
      </c>
      <c r="F109" s="2">
        <v>8.5131999999999994</v>
      </c>
      <c r="G109" s="2">
        <v>9.2455999999999996</v>
      </c>
    </row>
    <row r="110" spans="1:7" x14ac:dyDescent="0.3">
      <c r="A110" t="str">
        <f t="shared" si="2"/>
        <v>BE</v>
      </c>
      <c r="B110" t="str">
        <f t="shared" si="3"/>
        <v>O</v>
      </c>
      <c r="C110" t="s">
        <v>107</v>
      </c>
      <c r="D110" s="2">
        <v>13.456</v>
      </c>
      <c r="E110" s="2">
        <v>13.135999999999999</v>
      </c>
      <c r="F110" s="2">
        <v>11.889900000000001</v>
      </c>
      <c r="G110" s="2">
        <v>13.0382</v>
      </c>
    </row>
    <row r="111" spans="1:7" x14ac:dyDescent="0.3">
      <c r="A111" t="str">
        <f t="shared" si="2"/>
        <v>BE</v>
      </c>
      <c r="B111" t="str">
        <f t="shared" si="3"/>
        <v>O</v>
      </c>
      <c r="C111" t="s">
        <v>108</v>
      </c>
      <c r="D111" s="2">
        <v>0</v>
      </c>
      <c r="E111" s="2">
        <v>0</v>
      </c>
      <c r="F111" s="2">
        <v>0</v>
      </c>
      <c r="G111" s="2">
        <v>0</v>
      </c>
    </row>
    <row r="112" spans="1:7" x14ac:dyDescent="0.3">
      <c r="A112" t="str">
        <f t="shared" si="2"/>
        <v>BE</v>
      </c>
      <c r="B112" t="str">
        <f t="shared" si="3"/>
        <v>O</v>
      </c>
      <c r="C112" t="s">
        <v>109</v>
      </c>
      <c r="D112" s="2">
        <v>2.7000000000000001E-3</v>
      </c>
      <c r="E112" s="2">
        <v>2.7000000000000001E-3</v>
      </c>
      <c r="F112" s="2">
        <v>2.7000000000000001E-3</v>
      </c>
      <c r="G112" s="2">
        <v>2.5999999999999999E-3</v>
      </c>
    </row>
    <row r="113" spans="1:7" x14ac:dyDescent="0.3">
      <c r="A113" t="str">
        <f t="shared" si="2"/>
        <v>BE</v>
      </c>
      <c r="B113" t="str">
        <f t="shared" si="3"/>
        <v>O</v>
      </c>
      <c r="C113" t="s">
        <v>110</v>
      </c>
      <c r="D113" s="2">
        <v>0.98970000000000002</v>
      </c>
      <c r="E113" s="2">
        <v>0.85699999999999998</v>
      </c>
      <c r="F113" s="2">
        <v>0.75619999999999998</v>
      </c>
      <c r="G113" s="2">
        <v>0.7863</v>
      </c>
    </row>
    <row r="114" spans="1:7" x14ac:dyDescent="0.3">
      <c r="A114" t="str">
        <f t="shared" si="2"/>
        <v>BG</v>
      </c>
      <c r="B114" t="str">
        <f t="shared" si="3"/>
        <v>M</v>
      </c>
      <c r="C114" t="s">
        <v>111</v>
      </c>
      <c r="D114" s="2">
        <v>0.19270000000000001</v>
      </c>
      <c r="E114" s="2">
        <v>0.18759999999999999</v>
      </c>
      <c r="F114" s="2">
        <v>0.16039999999999999</v>
      </c>
      <c r="G114" s="2">
        <v>0.18779999999999999</v>
      </c>
    </row>
    <row r="115" spans="1:7" x14ac:dyDescent="0.3">
      <c r="A115" t="str">
        <f t="shared" si="2"/>
        <v>BG</v>
      </c>
      <c r="B115" t="str">
        <f t="shared" si="3"/>
        <v>M</v>
      </c>
      <c r="C115" t="s">
        <v>112</v>
      </c>
      <c r="D115" s="2">
        <v>1.2800000000000001E-2</v>
      </c>
      <c r="E115" s="2">
        <v>9.4999999999999998E-3</v>
      </c>
      <c r="F115" s="2">
        <v>8.2000000000000007E-3</v>
      </c>
      <c r="G115" s="2">
        <v>8.5000000000000006E-3</v>
      </c>
    </row>
    <row r="116" spans="1:7" x14ac:dyDescent="0.3">
      <c r="A116" t="str">
        <f t="shared" si="2"/>
        <v>BG</v>
      </c>
      <c r="B116" t="str">
        <f t="shared" si="3"/>
        <v>M</v>
      </c>
      <c r="C116" t="s">
        <v>113</v>
      </c>
      <c r="D116" s="2">
        <v>0</v>
      </c>
      <c r="E116" s="2">
        <v>0</v>
      </c>
      <c r="F116" s="2">
        <v>0</v>
      </c>
      <c r="G116" s="2">
        <v>0</v>
      </c>
    </row>
    <row r="117" spans="1:7" x14ac:dyDescent="0.3">
      <c r="A117" t="str">
        <f t="shared" si="2"/>
        <v>BG</v>
      </c>
      <c r="B117" t="str">
        <f t="shared" si="3"/>
        <v>M</v>
      </c>
      <c r="C117" t="s">
        <v>114</v>
      </c>
      <c r="D117" s="2">
        <v>0.57789999999999997</v>
      </c>
      <c r="E117" s="2">
        <v>0.63260000000000005</v>
      </c>
      <c r="F117" s="2">
        <v>0.66039999999999999</v>
      </c>
      <c r="G117" s="2">
        <v>0.68479999999999996</v>
      </c>
    </row>
    <row r="118" spans="1:7" x14ac:dyDescent="0.3">
      <c r="A118" t="str">
        <f t="shared" si="2"/>
        <v>BG</v>
      </c>
      <c r="B118" t="str">
        <f t="shared" si="3"/>
        <v>M</v>
      </c>
      <c r="C118" t="s">
        <v>115</v>
      </c>
      <c r="D118" s="2">
        <v>0</v>
      </c>
      <c r="E118" s="2">
        <v>0</v>
      </c>
      <c r="F118" s="2">
        <v>0</v>
      </c>
      <c r="G118" s="2">
        <v>0</v>
      </c>
    </row>
    <row r="119" spans="1:7" x14ac:dyDescent="0.3">
      <c r="A119" t="str">
        <f t="shared" si="2"/>
        <v>BG</v>
      </c>
      <c r="B119" t="str">
        <f t="shared" si="3"/>
        <v>M</v>
      </c>
      <c r="C119" t="s">
        <v>116</v>
      </c>
      <c r="D119" s="2">
        <v>0</v>
      </c>
      <c r="E119" s="2">
        <v>2.0000000000000001E-4</v>
      </c>
      <c r="F119" s="2">
        <v>0</v>
      </c>
      <c r="G119" s="2">
        <v>2.0000000000000001E-4</v>
      </c>
    </row>
    <row r="120" spans="1:7" x14ac:dyDescent="0.3">
      <c r="A120" t="str">
        <f t="shared" si="2"/>
        <v>BG</v>
      </c>
      <c r="B120" t="str">
        <f t="shared" si="3"/>
        <v>M</v>
      </c>
      <c r="C120" t="s">
        <v>117</v>
      </c>
      <c r="D120" s="2">
        <v>1.417</v>
      </c>
      <c r="E120" s="2">
        <v>1.3697999999999999</v>
      </c>
      <c r="F120" s="2">
        <v>1.4552</v>
      </c>
      <c r="G120" s="2">
        <v>1.4334</v>
      </c>
    </row>
    <row r="121" spans="1:7" x14ac:dyDescent="0.3">
      <c r="A121" t="str">
        <f t="shared" si="2"/>
        <v>BG</v>
      </c>
      <c r="B121" t="str">
        <f t="shared" si="3"/>
        <v>M</v>
      </c>
      <c r="C121" t="s">
        <v>118</v>
      </c>
      <c r="D121" s="2">
        <v>0.1014</v>
      </c>
      <c r="E121" s="2">
        <v>0.10199999999999999</v>
      </c>
      <c r="F121" s="2">
        <v>0.10539999999999999</v>
      </c>
      <c r="G121" s="2">
        <v>0.1067</v>
      </c>
    </row>
    <row r="122" spans="1:7" x14ac:dyDescent="0.3">
      <c r="A122" t="str">
        <f t="shared" si="2"/>
        <v>BG</v>
      </c>
      <c r="B122" t="str">
        <f t="shared" si="3"/>
        <v>M</v>
      </c>
      <c r="C122" t="s">
        <v>119</v>
      </c>
      <c r="D122" s="2">
        <v>0</v>
      </c>
      <c r="E122" s="2">
        <v>0</v>
      </c>
      <c r="F122" s="2">
        <v>0</v>
      </c>
      <c r="G122" s="2">
        <v>0</v>
      </c>
    </row>
    <row r="123" spans="1:7" x14ac:dyDescent="0.3">
      <c r="A123" t="str">
        <f t="shared" si="2"/>
        <v>BG</v>
      </c>
      <c r="B123" t="str">
        <f t="shared" si="3"/>
        <v>M</v>
      </c>
      <c r="C123" t="s">
        <v>120</v>
      </c>
      <c r="D123" s="2">
        <v>0</v>
      </c>
      <c r="E123" s="2">
        <v>0</v>
      </c>
      <c r="F123" s="2">
        <v>0</v>
      </c>
      <c r="G123" s="2">
        <v>0</v>
      </c>
    </row>
    <row r="124" spans="1:7" x14ac:dyDescent="0.3">
      <c r="A124" t="str">
        <f t="shared" si="2"/>
        <v>BG</v>
      </c>
      <c r="B124" t="str">
        <f t="shared" si="3"/>
        <v>M</v>
      </c>
      <c r="C124" t="s">
        <v>121</v>
      </c>
      <c r="D124" s="2">
        <v>0.4536</v>
      </c>
      <c r="E124" s="2">
        <v>0.46250000000000002</v>
      </c>
      <c r="F124" s="2">
        <v>0.48230000000000001</v>
      </c>
      <c r="G124" s="2">
        <v>0.47110000000000002</v>
      </c>
    </row>
    <row r="125" spans="1:7" x14ac:dyDescent="0.3">
      <c r="A125" t="str">
        <f t="shared" si="2"/>
        <v>BG</v>
      </c>
      <c r="B125" t="str">
        <f t="shared" si="3"/>
        <v>C</v>
      </c>
      <c r="C125" t="s">
        <v>122</v>
      </c>
      <c r="D125" s="2">
        <v>5.8594999999999997</v>
      </c>
      <c r="E125" s="2">
        <v>6.133</v>
      </c>
      <c r="F125" s="2">
        <v>5.3749000000000002</v>
      </c>
      <c r="G125" s="2">
        <v>6.1378000000000004</v>
      </c>
    </row>
    <row r="126" spans="1:7" x14ac:dyDescent="0.3">
      <c r="A126" t="str">
        <f t="shared" si="2"/>
        <v>BG</v>
      </c>
      <c r="B126" t="str">
        <f t="shared" si="3"/>
        <v>C</v>
      </c>
      <c r="C126" t="s">
        <v>123</v>
      </c>
      <c r="D126" s="2">
        <v>2.9790000000000001</v>
      </c>
      <c r="E126" s="2">
        <v>2.4699</v>
      </c>
      <c r="F126" s="2">
        <v>2.5312000000000001</v>
      </c>
      <c r="G126" s="2">
        <v>3.1591</v>
      </c>
    </row>
    <row r="127" spans="1:7" x14ac:dyDescent="0.3">
      <c r="A127" t="str">
        <f t="shared" si="2"/>
        <v>BG</v>
      </c>
      <c r="B127" t="str">
        <f t="shared" si="3"/>
        <v>C</v>
      </c>
      <c r="C127" t="s">
        <v>124</v>
      </c>
      <c r="D127" s="2">
        <v>0</v>
      </c>
      <c r="E127" s="2">
        <v>0</v>
      </c>
      <c r="F127" s="2">
        <v>0</v>
      </c>
      <c r="G127" s="2">
        <v>0</v>
      </c>
    </row>
    <row r="128" spans="1:7" x14ac:dyDescent="0.3">
      <c r="A128" t="str">
        <f t="shared" si="2"/>
        <v>BG</v>
      </c>
      <c r="B128" t="str">
        <f t="shared" si="3"/>
        <v>C</v>
      </c>
      <c r="C128" t="s">
        <v>125</v>
      </c>
      <c r="D128" s="2">
        <v>5.7812999999999999</v>
      </c>
      <c r="E128" s="2">
        <v>4.6515000000000004</v>
      </c>
      <c r="F128" s="2">
        <v>4.8544999999999998</v>
      </c>
      <c r="G128" s="2">
        <v>4.7510000000000003</v>
      </c>
    </row>
    <row r="129" spans="1:7" x14ac:dyDescent="0.3">
      <c r="A129" t="str">
        <f t="shared" si="2"/>
        <v>BG</v>
      </c>
      <c r="B129" t="str">
        <f t="shared" si="3"/>
        <v>C</v>
      </c>
      <c r="C129" t="s">
        <v>126</v>
      </c>
      <c r="D129" s="2">
        <v>0</v>
      </c>
      <c r="E129" s="2">
        <v>0</v>
      </c>
      <c r="F129" s="2">
        <v>0</v>
      </c>
      <c r="G129" s="2">
        <v>0</v>
      </c>
    </row>
    <row r="130" spans="1:7" x14ac:dyDescent="0.3">
      <c r="A130" t="str">
        <f t="shared" si="2"/>
        <v>BG</v>
      </c>
      <c r="B130" t="str">
        <f t="shared" si="3"/>
        <v>C</v>
      </c>
      <c r="C130" t="s">
        <v>127</v>
      </c>
      <c r="D130" s="2">
        <v>0.14480000000000001</v>
      </c>
      <c r="E130" s="2">
        <v>0.2772</v>
      </c>
      <c r="F130" s="2">
        <v>0.24229999999999999</v>
      </c>
      <c r="G130" s="2">
        <v>0.18740000000000001</v>
      </c>
    </row>
    <row r="131" spans="1:7" x14ac:dyDescent="0.3">
      <c r="A131" t="str">
        <f t="shared" si="2"/>
        <v>BG</v>
      </c>
      <c r="B131" t="str">
        <f t="shared" si="3"/>
        <v>C</v>
      </c>
      <c r="C131" t="s">
        <v>128</v>
      </c>
      <c r="D131" s="2">
        <v>6.13E-2</v>
      </c>
      <c r="E131" s="2">
        <v>9.01E-2</v>
      </c>
      <c r="F131" s="2">
        <v>9.1499999999999998E-2</v>
      </c>
      <c r="G131" s="2">
        <v>7.7600000000000002E-2</v>
      </c>
    </row>
    <row r="132" spans="1:7" x14ac:dyDescent="0.3">
      <c r="A132" t="str">
        <f t="shared" si="2"/>
        <v>BG</v>
      </c>
      <c r="B132" t="str">
        <f t="shared" si="3"/>
        <v>C</v>
      </c>
      <c r="C132" t="s">
        <v>129</v>
      </c>
      <c r="D132" s="2">
        <v>2.1871999999999998</v>
      </c>
      <c r="E132" s="2">
        <v>2.2111000000000001</v>
      </c>
      <c r="F132" s="2">
        <v>2.202</v>
      </c>
      <c r="G132" s="2">
        <v>2.1084000000000001</v>
      </c>
    </row>
    <row r="133" spans="1:7" x14ac:dyDescent="0.3">
      <c r="A133" t="str">
        <f t="shared" ref="A133:A196" si="4">LEFT(C133,2)</f>
        <v>BG</v>
      </c>
      <c r="B133" t="str">
        <f t="shared" ref="B133:B196" si="5">RIGHT(C133,1)</f>
        <v>C</v>
      </c>
      <c r="C133" t="s">
        <v>130</v>
      </c>
      <c r="D133" s="2">
        <v>0</v>
      </c>
      <c r="E133" s="2">
        <v>0</v>
      </c>
      <c r="F133" s="2">
        <v>0</v>
      </c>
      <c r="G133" s="2">
        <v>0</v>
      </c>
    </row>
    <row r="134" spans="1:7" x14ac:dyDescent="0.3">
      <c r="A134" t="str">
        <f t="shared" si="4"/>
        <v>BG</v>
      </c>
      <c r="B134" t="str">
        <f t="shared" si="5"/>
        <v>C</v>
      </c>
      <c r="C134" t="s">
        <v>131</v>
      </c>
      <c r="D134" s="2">
        <v>0</v>
      </c>
      <c r="E134" s="2">
        <v>0</v>
      </c>
      <c r="F134" s="2">
        <v>0</v>
      </c>
      <c r="G134" s="2">
        <v>0</v>
      </c>
    </row>
    <row r="135" spans="1:7" x14ac:dyDescent="0.3">
      <c r="A135" t="str">
        <f t="shared" si="4"/>
        <v>BG</v>
      </c>
      <c r="B135" t="str">
        <f t="shared" si="5"/>
        <v>C</v>
      </c>
      <c r="C135" t="s">
        <v>132</v>
      </c>
      <c r="D135" s="2">
        <v>0.58589999999999998</v>
      </c>
      <c r="E135" s="2">
        <v>0.87370000000000003</v>
      </c>
      <c r="F135" s="2">
        <v>0.94</v>
      </c>
      <c r="G135" s="2">
        <v>0.96260000000000001</v>
      </c>
    </row>
    <row r="136" spans="1:7" x14ac:dyDescent="0.3">
      <c r="A136" t="str">
        <f t="shared" si="4"/>
        <v>BG</v>
      </c>
      <c r="B136" t="str">
        <f t="shared" si="5"/>
        <v>N</v>
      </c>
      <c r="C136" t="s">
        <v>133</v>
      </c>
      <c r="D136" s="2">
        <v>1.5710999999999999</v>
      </c>
      <c r="E136" s="2">
        <v>1.2799</v>
      </c>
      <c r="F136" s="2">
        <v>1.274</v>
      </c>
      <c r="G136" s="2">
        <v>0.52890000000000004</v>
      </c>
    </row>
    <row r="137" spans="1:7" x14ac:dyDescent="0.3">
      <c r="A137" t="str">
        <f t="shared" si="4"/>
        <v>BG</v>
      </c>
      <c r="B137" t="str">
        <f t="shared" si="5"/>
        <v>N</v>
      </c>
      <c r="C137" t="s">
        <v>134</v>
      </c>
      <c r="D137" s="2">
        <v>1.0409999999999999</v>
      </c>
      <c r="E137" s="2">
        <v>0.92449999999999999</v>
      </c>
      <c r="F137" s="2">
        <v>0.60060000000000002</v>
      </c>
      <c r="G137" s="2">
        <v>1.2332000000000001</v>
      </c>
    </row>
    <row r="138" spans="1:7" x14ac:dyDescent="0.3">
      <c r="A138" t="str">
        <f t="shared" si="4"/>
        <v>BG</v>
      </c>
      <c r="B138" t="str">
        <f t="shared" si="5"/>
        <v>N</v>
      </c>
      <c r="C138" t="s">
        <v>135</v>
      </c>
      <c r="D138" s="2">
        <v>0</v>
      </c>
      <c r="E138" s="2">
        <v>0</v>
      </c>
      <c r="F138" s="2">
        <v>0</v>
      </c>
      <c r="G138" s="2">
        <v>0</v>
      </c>
    </row>
    <row r="139" spans="1:7" x14ac:dyDescent="0.3">
      <c r="A139" t="str">
        <f t="shared" si="4"/>
        <v>BG</v>
      </c>
      <c r="B139" t="str">
        <f t="shared" si="5"/>
        <v>N</v>
      </c>
      <c r="C139" t="s">
        <v>136</v>
      </c>
      <c r="D139" s="2">
        <v>5.4318</v>
      </c>
      <c r="E139" s="2">
        <v>5.1882000000000001</v>
      </c>
      <c r="F139" s="2">
        <v>5.7111000000000001</v>
      </c>
      <c r="G139" s="2">
        <v>6.3948999999999998</v>
      </c>
    </row>
    <row r="140" spans="1:7" x14ac:dyDescent="0.3">
      <c r="A140" t="str">
        <f t="shared" si="4"/>
        <v>BG</v>
      </c>
      <c r="B140" t="str">
        <f t="shared" si="5"/>
        <v>N</v>
      </c>
      <c r="C140" t="s">
        <v>137</v>
      </c>
      <c r="D140" s="2">
        <v>0</v>
      </c>
      <c r="E140" s="2">
        <v>0</v>
      </c>
      <c r="F140" s="2">
        <v>0</v>
      </c>
      <c r="G140" s="2">
        <v>0</v>
      </c>
    </row>
    <row r="141" spans="1:7" x14ac:dyDescent="0.3">
      <c r="A141" t="str">
        <f t="shared" si="4"/>
        <v>BG</v>
      </c>
      <c r="B141" t="str">
        <f t="shared" si="5"/>
        <v>N</v>
      </c>
      <c r="C141" t="s">
        <v>138</v>
      </c>
      <c r="D141" s="2">
        <v>1.7675000000000001</v>
      </c>
      <c r="E141" s="2">
        <v>2.2359</v>
      </c>
      <c r="F141" s="2">
        <v>2.2265999999999999</v>
      </c>
      <c r="G141" s="2">
        <v>2.4491999999999998</v>
      </c>
    </row>
    <row r="142" spans="1:7" x14ac:dyDescent="0.3">
      <c r="A142" t="str">
        <f t="shared" si="4"/>
        <v>BG</v>
      </c>
      <c r="B142" t="str">
        <f t="shared" si="5"/>
        <v>N</v>
      </c>
      <c r="C142" t="s">
        <v>139</v>
      </c>
      <c r="D142" s="2">
        <v>0.71109999999999995</v>
      </c>
      <c r="E142" s="2">
        <v>0.7016</v>
      </c>
      <c r="F142" s="2">
        <v>0.71699999999999997</v>
      </c>
      <c r="G142" s="2">
        <v>0.77380000000000004</v>
      </c>
    </row>
    <row r="143" spans="1:7" x14ac:dyDescent="0.3">
      <c r="A143" t="str">
        <f t="shared" si="4"/>
        <v>BG</v>
      </c>
      <c r="B143" t="str">
        <f t="shared" si="5"/>
        <v>N</v>
      </c>
      <c r="C143" t="s">
        <v>140</v>
      </c>
      <c r="D143" s="2">
        <v>1.0648</v>
      </c>
      <c r="E143" s="2">
        <v>1.1125</v>
      </c>
      <c r="F143" s="2">
        <v>1.0714999999999999</v>
      </c>
      <c r="G143" s="2">
        <v>1.1172</v>
      </c>
    </row>
    <row r="144" spans="1:7" x14ac:dyDescent="0.3">
      <c r="A144" t="str">
        <f t="shared" si="4"/>
        <v>BG</v>
      </c>
      <c r="B144" t="str">
        <f t="shared" si="5"/>
        <v>N</v>
      </c>
      <c r="C144" t="s">
        <v>141</v>
      </c>
      <c r="D144" s="2">
        <v>0</v>
      </c>
      <c r="E144" s="2">
        <v>0</v>
      </c>
      <c r="F144" s="2">
        <v>0</v>
      </c>
      <c r="G144" s="2">
        <v>0</v>
      </c>
    </row>
    <row r="145" spans="1:7" x14ac:dyDescent="0.3">
      <c r="A145" t="str">
        <f t="shared" si="4"/>
        <v>BG</v>
      </c>
      <c r="B145" t="str">
        <f t="shared" si="5"/>
        <v>N</v>
      </c>
      <c r="C145" t="s">
        <v>142</v>
      </c>
      <c r="D145" s="2">
        <v>0</v>
      </c>
      <c r="E145" s="2">
        <v>0</v>
      </c>
      <c r="F145" s="2">
        <v>0</v>
      </c>
      <c r="G145" s="2">
        <v>0</v>
      </c>
    </row>
    <row r="146" spans="1:7" x14ac:dyDescent="0.3">
      <c r="A146" t="str">
        <f t="shared" si="4"/>
        <v>BG</v>
      </c>
      <c r="B146" t="str">
        <f t="shared" si="5"/>
        <v>N</v>
      </c>
      <c r="C146" t="s">
        <v>143</v>
      </c>
      <c r="D146" s="2">
        <v>2E-3</v>
      </c>
      <c r="E146" s="2">
        <v>2.3E-3</v>
      </c>
      <c r="F146" s="2">
        <v>5.9999999999999995E-4</v>
      </c>
      <c r="G146" s="2">
        <v>6.9999999999999999E-4</v>
      </c>
    </row>
    <row r="147" spans="1:7" x14ac:dyDescent="0.3">
      <c r="A147" t="str">
        <f t="shared" si="4"/>
        <v>BG</v>
      </c>
      <c r="B147" t="str">
        <f t="shared" si="5"/>
        <v>F</v>
      </c>
      <c r="C147" t="s">
        <v>144</v>
      </c>
      <c r="D147" s="2">
        <v>0.15260000000000001</v>
      </c>
      <c r="E147" s="2">
        <v>0.1588</v>
      </c>
      <c r="F147" s="2">
        <v>0.15079999999999999</v>
      </c>
      <c r="G147" s="2">
        <v>0.13450000000000001</v>
      </c>
    </row>
    <row r="148" spans="1:7" x14ac:dyDescent="0.3">
      <c r="A148" t="str">
        <f t="shared" si="4"/>
        <v>BG</v>
      </c>
      <c r="B148" t="str">
        <f t="shared" si="5"/>
        <v>F</v>
      </c>
      <c r="C148" t="s">
        <v>145</v>
      </c>
      <c r="D148" s="2">
        <v>1.18E-2</v>
      </c>
      <c r="E148" s="2">
        <v>2.2599999999999999E-2</v>
      </c>
      <c r="F148" s="2">
        <v>1.54E-2</v>
      </c>
      <c r="G148" s="2">
        <v>1.7000000000000001E-2</v>
      </c>
    </row>
    <row r="149" spans="1:7" x14ac:dyDescent="0.3">
      <c r="A149" t="str">
        <f t="shared" si="4"/>
        <v>BG</v>
      </c>
      <c r="B149" t="str">
        <f t="shared" si="5"/>
        <v>F</v>
      </c>
      <c r="C149" t="s">
        <v>146</v>
      </c>
      <c r="D149" s="2">
        <v>0</v>
      </c>
      <c r="E149" s="2">
        <v>0</v>
      </c>
      <c r="F149" s="2">
        <v>0</v>
      </c>
      <c r="G149" s="2">
        <v>0</v>
      </c>
    </row>
    <row r="150" spans="1:7" x14ac:dyDescent="0.3">
      <c r="A150" t="str">
        <f t="shared" si="4"/>
        <v>BG</v>
      </c>
      <c r="B150" t="str">
        <f t="shared" si="5"/>
        <v>F</v>
      </c>
      <c r="C150" t="s">
        <v>147</v>
      </c>
      <c r="D150" s="2">
        <v>1.7825</v>
      </c>
      <c r="E150" s="2">
        <v>1.6617999999999999</v>
      </c>
      <c r="F150" s="2">
        <v>1.58</v>
      </c>
      <c r="G150" s="2">
        <v>2.3763000000000001</v>
      </c>
    </row>
    <row r="151" spans="1:7" x14ac:dyDescent="0.3">
      <c r="A151" t="str">
        <f t="shared" si="4"/>
        <v>BG</v>
      </c>
      <c r="B151" t="str">
        <f t="shared" si="5"/>
        <v>F</v>
      </c>
      <c r="C151" t="s">
        <v>148</v>
      </c>
      <c r="D151" s="2">
        <v>0</v>
      </c>
      <c r="E151" s="2">
        <v>0</v>
      </c>
      <c r="F151" s="2">
        <v>0</v>
      </c>
      <c r="G151" s="2">
        <v>0</v>
      </c>
    </row>
    <row r="152" spans="1:7" x14ac:dyDescent="0.3">
      <c r="A152" t="str">
        <f t="shared" si="4"/>
        <v>BG</v>
      </c>
      <c r="B152" t="str">
        <f t="shared" si="5"/>
        <v>F</v>
      </c>
      <c r="C152" t="s">
        <v>149</v>
      </c>
      <c r="D152" s="2">
        <v>0.39929999999999999</v>
      </c>
      <c r="E152" s="2">
        <v>0.20580000000000001</v>
      </c>
      <c r="F152" s="2">
        <v>0.60040000000000004</v>
      </c>
      <c r="G152" s="2">
        <v>0.51570000000000005</v>
      </c>
    </row>
    <row r="153" spans="1:7" x14ac:dyDescent="0.3">
      <c r="A153" t="str">
        <f t="shared" si="4"/>
        <v>BG</v>
      </c>
      <c r="B153" t="str">
        <f t="shared" si="5"/>
        <v>F</v>
      </c>
      <c r="C153" t="s">
        <v>150</v>
      </c>
      <c r="D153" s="2">
        <v>1.3194999999999999</v>
      </c>
      <c r="E153" s="2">
        <v>1.3503000000000001</v>
      </c>
      <c r="F153" s="2">
        <v>1.2515000000000001</v>
      </c>
      <c r="G153" s="2">
        <v>1.1465000000000001</v>
      </c>
    </row>
    <row r="154" spans="1:7" x14ac:dyDescent="0.3">
      <c r="A154" t="str">
        <f t="shared" si="4"/>
        <v>BG</v>
      </c>
      <c r="B154" t="str">
        <f t="shared" si="5"/>
        <v>F</v>
      </c>
      <c r="C154" t="s">
        <v>151</v>
      </c>
      <c r="D154" s="2">
        <v>1.2559</v>
      </c>
      <c r="E154" s="2">
        <v>1.2599</v>
      </c>
      <c r="F154" s="2">
        <v>1.1903999999999999</v>
      </c>
      <c r="G154" s="2">
        <v>1.2101999999999999</v>
      </c>
    </row>
    <row r="155" spans="1:7" x14ac:dyDescent="0.3">
      <c r="A155" t="str">
        <f t="shared" si="4"/>
        <v>BG</v>
      </c>
      <c r="B155" t="str">
        <f t="shared" si="5"/>
        <v>F</v>
      </c>
      <c r="C155" t="s">
        <v>152</v>
      </c>
      <c r="D155" s="2">
        <v>0</v>
      </c>
      <c r="E155" s="2">
        <v>0</v>
      </c>
      <c r="F155" s="2">
        <v>0</v>
      </c>
      <c r="G155" s="2">
        <v>0</v>
      </c>
    </row>
    <row r="156" spans="1:7" x14ac:dyDescent="0.3">
      <c r="A156" t="str">
        <f t="shared" si="4"/>
        <v>BG</v>
      </c>
      <c r="B156" t="str">
        <f t="shared" si="5"/>
        <v>F</v>
      </c>
      <c r="C156" t="s">
        <v>153</v>
      </c>
      <c r="D156" s="2">
        <v>0</v>
      </c>
      <c r="E156" s="2">
        <v>0</v>
      </c>
      <c r="F156" s="2">
        <v>0</v>
      </c>
      <c r="G156" s="2">
        <v>0</v>
      </c>
    </row>
    <row r="157" spans="1:7" x14ac:dyDescent="0.3">
      <c r="A157" t="str">
        <f t="shared" si="4"/>
        <v>BG</v>
      </c>
      <c r="B157" t="str">
        <f t="shared" si="5"/>
        <v>F</v>
      </c>
      <c r="C157" t="s">
        <v>154</v>
      </c>
      <c r="D157" s="2">
        <v>0.1653</v>
      </c>
      <c r="E157" s="2">
        <v>0.29580000000000001</v>
      </c>
      <c r="F157" s="2">
        <v>0.221</v>
      </c>
      <c r="G157" s="2">
        <v>0.1338</v>
      </c>
    </row>
    <row r="158" spans="1:7" x14ac:dyDescent="0.3">
      <c r="A158" t="str">
        <f t="shared" si="4"/>
        <v>BG</v>
      </c>
      <c r="B158" t="str">
        <f t="shared" si="5"/>
        <v>O</v>
      </c>
      <c r="C158" t="s">
        <v>155</v>
      </c>
      <c r="D158" s="2">
        <v>0.57120000000000004</v>
      </c>
      <c r="E158" s="2">
        <v>0.60880000000000001</v>
      </c>
      <c r="F158" s="2">
        <v>0.73670000000000002</v>
      </c>
      <c r="G158" s="2">
        <v>0.99460000000000004</v>
      </c>
    </row>
    <row r="159" spans="1:7" x14ac:dyDescent="0.3">
      <c r="A159" t="str">
        <f t="shared" si="4"/>
        <v>BG</v>
      </c>
      <c r="B159" t="str">
        <f t="shared" si="5"/>
        <v>O</v>
      </c>
      <c r="C159" t="s">
        <v>156</v>
      </c>
      <c r="D159" s="2">
        <v>6.6600000000000006E-2</v>
      </c>
      <c r="E159" s="2">
        <v>5.11E-2</v>
      </c>
      <c r="F159" s="2">
        <v>3.95E-2</v>
      </c>
      <c r="G159" s="2">
        <v>8.5099999999999995E-2</v>
      </c>
    </row>
    <row r="160" spans="1:7" x14ac:dyDescent="0.3">
      <c r="A160" t="str">
        <f t="shared" si="4"/>
        <v>BG</v>
      </c>
      <c r="B160" t="str">
        <f t="shared" si="5"/>
        <v>O</v>
      </c>
      <c r="C160" t="s">
        <v>157</v>
      </c>
      <c r="D160" s="2">
        <v>0</v>
      </c>
      <c r="E160" s="2">
        <v>0</v>
      </c>
      <c r="F160" s="2">
        <v>0</v>
      </c>
      <c r="G160" s="2">
        <v>0</v>
      </c>
    </row>
    <row r="161" spans="1:7" x14ac:dyDescent="0.3">
      <c r="A161" t="str">
        <f t="shared" si="4"/>
        <v>BG</v>
      </c>
      <c r="B161" t="str">
        <f t="shared" si="5"/>
        <v>O</v>
      </c>
      <c r="C161" t="s">
        <v>158</v>
      </c>
      <c r="D161" s="2">
        <v>4.1557000000000004</v>
      </c>
      <c r="E161" s="2">
        <v>4.0029000000000003</v>
      </c>
      <c r="F161" s="2">
        <v>3.8260000000000001</v>
      </c>
      <c r="G161" s="2">
        <v>4.2042999999999999</v>
      </c>
    </row>
    <row r="162" spans="1:7" x14ac:dyDescent="0.3">
      <c r="A162" t="str">
        <f t="shared" si="4"/>
        <v>BG</v>
      </c>
      <c r="B162" t="str">
        <f t="shared" si="5"/>
        <v>O</v>
      </c>
      <c r="C162" t="s">
        <v>159</v>
      </c>
      <c r="D162" s="2">
        <v>0</v>
      </c>
      <c r="E162" s="2">
        <v>0</v>
      </c>
      <c r="F162" s="2">
        <v>0</v>
      </c>
      <c r="G162" s="2">
        <v>0</v>
      </c>
    </row>
    <row r="163" spans="1:7" x14ac:dyDescent="0.3">
      <c r="A163" t="str">
        <f t="shared" si="4"/>
        <v>BG</v>
      </c>
      <c r="B163" t="str">
        <f t="shared" si="5"/>
        <v>O</v>
      </c>
      <c r="C163" t="s">
        <v>160</v>
      </c>
      <c r="D163" s="2">
        <v>3.2593000000000001</v>
      </c>
      <c r="E163" s="2">
        <v>3.4077999999999999</v>
      </c>
      <c r="F163" s="2">
        <v>3.3492999999999999</v>
      </c>
      <c r="G163" s="2">
        <v>2.9430000000000001</v>
      </c>
    </row>
    <row r="164" spans="1:7" x14ac:dyDescent="0.3">
      <c r="A164" t="str">
        <f t="shared" si="4"/>
        <v>BG</v>
      </c>
      <c r="B164" t="str">
        <f t="shared" si="5"/>
        <v>O</v>
      </c>
      <c r="C164" t="s">
        <v>161</v>
      </c>
      <c r="D164" s="2">
        <v>3.9066000000000001</v>
      </c>
      <c r="E164" s="2">
        <v>3.7403</v>
      </c>
      <c r="F164" s="2">
        <v>3.3801999999999999</v>
      </c>
      <c r="G164" s="2">
        <v>3.5815000000000001</v>
      </c>
    </row>
    <row r="165" spans="1:7" x14ac:dyDescent="0.3">
      <c r="A165" t="str">
        <f t="shared" si="4"/>
        <v>BG</v>
      </c>
      <c r="B165" t="str">
        <f t="shared" si="5"/>
        <v>O</v>
      </c>
      <c r="C165" t="s">
        <v>162</v>
      </c>
      <c r="D165" s="2">
        <v>5.383</v>
      </c>
      <c r="E165" s="2">
        <v>5.4183000000000003</v>
      </c>
      <c r="F165" s="2">
        <v>5.1656000000000004</v>
      </c>
      <c r="G165" s="2">
        <v>5.4743000000000004</v>
      </c>
    </row>
    <row r="166" spans="1:7" x14ac:dyDescent="0.3">
      <c r="A166" t="str">
        <f t="shared" si="4"/>
        <v>BG</v>
      </c>
      <c r="B166" t="str">
        <f t="shared" si="5"/>
        <v>O</v>
      </c>
      <c r="C166" t="s">
        <v>163</v>
      </c>
      <c r="D166" s="2">
        <v>0</v>
      </c>
      <c r="E166" s="2">
        <v>0</v>
      </c>
      <c r="F166" s="2">
        <v>0</v>
      </c>
      <c r="G166" s="2">
        <v>0</v>
      </c>
    </row>
    <row r="167" spans="1:7" x14ac:dyDescent="0.3">
      <c r="A167" t="str">
        <f t="shared" si="4"/>
        <v>BG</v>
      </c>
      <c r="B167" t="str">
        <f t="shared" si="5"/>
        <v>O</v>
      </c>
      <c r="C167" t="s">
        <v>164</v>
      </c>
      <c r="D167" s="2">
        <v>0</v>
      </c>
      <c r="E167" s="2">
        <v>0</v>
      </c>
      <c r="F167" s="2">
        <v>0</v>
      </c>
      <c r="G167" s="2">
        <v>0</v>
      </c>
    </row>
    <row r="168" spans="1:7" x14ac:dyDescent="0.3">
      <c r="A168" t="str">
        <f t="shared" si="4"/>
        <v>BG</v>
      </c>
      <c r="B168" t="str">
        <f t="shared" si="5"/>
        <v>O</v>
      </c>
      <c r="C168" t="s">
        <v>165</v>
      </c>
      <c r="D168" s="2">
        <v>2.9895999999999998</v>
      </c>
      <c r="E168" s="2">
        <v>2.9573999999999998</v>
      </c>
      <c r="F168" s="2">
        <v>2.8780000000000001</v>
      </c>
      <c r="G168" s="2">
        <v>3.0036999999999998</v>
      </c>
    </row>
    <row r="169" spans="1:7" x14ac:dyDescent="0.3">
      <c r="A169" t="str">
        <f t="shared" si="4"/>
        <v>CY</v>
      </c>
      <c r="B169" t="str">
        <f t="shared" si="5"/>
        <v>N</v>
      </c>
      <c r="C169" t="s">
        <v>166</v>
      </c>
      <c r="D169" s="2">
        <v>1.3852</v>
      </c>
      <c r="E169" s="2">
        <v>1.1658999999999999</v>
      </c>
      <c r="F169" s="2">
        <v>1.2968</v>
      </c>
      <c r="G169" s="2">
        <v>0.54530000000000001</v>
      </c>
    </row>
    <row r="170" spans="1:7" x14ac:dyDescent="0.3">
      <c r="A170" t="str">
        <f t="shared" si="4"/>
        <v>CY</v>
      </c>
      <c r="B170" t="str">
        <f t="shared" si="5"/>
        <v>N</v>
      </c>
      <c r="C170" t="s">
        <v>167</v>
      </c>
      <c r="D170" s="2">
        <v>0.26469999999999999</v>
      </c>
      <c r="E170" s="2">
        <v>0.35630000000000001</v>
      </c>
      <c r="F170" s="2">
        <v>0.27229999999999999</v>
      </c>
      <c r="G170" s="2">
        <v>0.81830000000000003</v>
      </c>
    </row>
    <row r="171" spans="1:7" x14ac:dyDescent="0.3">
      <c r="A171" t="str">
        <f t="shared" si="4"/>
        <v>CY</v>
      </c>
      <c r="B171" t="str">
        <f t="shared" si="5"/>
        <v>N</v>
      </c>
      <c r="C171" t="s">
        <v>168</v>
      </c>
      <c r="D171" s="2">
        <v>0</v>
      </c>
      <c r="E171" s="2">
        <v>0</v>
      </c>
      <c r="F171" s="2">
        <v>0</v>
      </c>
      <c r="G171" s="2">
        <v>0</v>
      </c>
    </row>
    <row r="172" spans="1:7" x14ac:dyDescent="0.3">
      <c r="A172" t="str">
        <f t="shared" si="4"/>
        <v>CY</v>
      </c>
      <c r="B172" t="str">
        <f t="shared" si="5"/>
        <v>N</v>
      </c>
      <c r="C172" t="s">
        <v>169</v>
      </c>
      <c r="D172" s="2">
        <v>0</v>
      </c>
      <c r="E172" s="2">
        <v>0</v>
      </c>
      <c r="F172" s="2">
        <v>0</v>
      </c>
      <c r="G172" s="2">
        <v>0</v>
      </c>
    </row>
    <row r="173" spans="1:7" x14ac:dyDescent="0.3">
      <c r="A173" t="str">
        <f t="shared" si="4"/>
        <v>CY</v>
      </c>
      <c r="B173" t="str">
        <f t="shared" si="5"/>
        <v>N</v>
      </c>
      <c r="C173" t="s">
        <v>170</v>
      </c>
      <c r="D173" s="2">
        <v>0</v>
      </c>
      <c r="E173" s="2">
        <v>0</v>
      </c>
      <c r="F173" s="2">
        <v>0</v>
      </c>
      <c r="G173" s="2">
        <v>0</v>
      </c>
    </row>
    <row r="174" spans="1:7" x14ac:dyDescent="0.3">
      <c r="A174" t="str">
        <f t="shared" si="4"/>
        <v>CY</v>
      </c>
      <c r="B174" t="str">
        <f t="shared" si="5"/>
        <v>N</v>
      </c>
      <c r="C174" t="s">
        <v>171</v>
      </c>
      <c r="D174" s="2">
        <v>1.0842000000000001</v>
      </c>
      <c r="E174" s="2">
        <v>1.1767000000000001</v>
      </c>
      <c r="F174" s="2">
        <v>1.5263</v>
      </c>
      <c r="G174" s="2">
        <v>1.7342</v>
      </c>
    </row>
    <row r="175" spans="1:7" x14ac:dyDescent="0.3">
      <c r="A175" t="str">
        <f t="shared" si="4"/>
        <v>CY</v>
      </c>
      <c r="B175" t="str">
        <f t="shared" si="5"/>
        <v>N</v>
      </c>
      <c r="C175" t="s">
        <v>172</v>
      </c>
      <c r="D175" s="2">
        <v>8.1000000000000003E-2</v>
      </c>
      <c r="E175" s="2">
        <v>5.3900000000000003E-2</v>
      </c>
      <c r="F175" s="2">
        <v>8.9800000000000005E-2</v>
      </c>
      <c r="G175" s="2">
        <v>9.01E-2</v>
      </c>
    </row>
    <row r="176" spans="1:7" x14ac:dyDescent="0.3">
      <c r="A176" t="str">
        <f t="shared" si="4"/>
        <v>CY</v>
      </c>
      <c r="B176" t="str">
        <f t="shared" si="5"/>
        <v>N</v>
      </c>
      <c r="C176" t="s">
        <v>173</v>
      </c>
      <c r="D176" s="2">
        <v>0.25409999999999999</v>
      </c>
      <c r="E176" s="2">
        <v>0.29509999999999997</v>
      </c>
      <c r="F176" s="2">
        <v>0.27179999999999999</v>
      </c>
      <c r="G176" s="2">
        <v>0.27439999999999998</v>
      </c>
    </row>
    <row r="177" spans="1:7" x14ac:dyDescent="0.3">
      <c r="A177" t="str">
        <f t="shared" si="4"/>
        <v>CY</v>
      </c>
      <c r="B177" t="str">
        <f t="shared" si="5"/>
        <v>N</v>
      </c>
      <c r="C177" t="s">
        <v>174</v>
      </c>
      <c r="D177" s="2">
        <v>0</v>
      </c>
      <c r="E177" s="2">
        <v>0</v>
      </c>
      <c r="F177" s="2">
        <v>0</v>
      </c>
      <c r="G177" s="2">
        <v>0</v>
      </c>
    </row>
    <row r="178" spans="1:7" x14ac:dyDescent="0.3">
      <c r="A178" t="str">
        <f t="shared" si="4"/>
        <v>CY</v>
      </c>
      <c r="B178" t="str">
        <f t="shared" si="5"/>
        <v>N</v>
      </c>
      <c r="C178" t="s">
        <v>175</v>
      </c>
      <c r="D178" s="2">
        <v>0</v>
      </c>
      <c r="E178" s="2">
        <v>0</v>
      </c>
      <c r="F178" s="2">
        <v>0</v>
      </c>
      <c r="G178" s="2">
        <v>0</v>
      </c>
    </row>
    <row r="179" spans="1:7" x14ac:dyDescent="0.3">
      <c r="A179" t="str">
        <f t="shared" si="4"/>
        <v>CY</v>
      </c>
      <c r="B179" t="str">
        <f t="shared" si="5"/>
        <v>N</v>
      </c>
      <c r="C179" t="s">
        <v>176</v>
      </c>
      <c r="D179" s="2">
        <v>0</v>
      </c>
      <c r="E179" s="2">
        <v>0</v>
      </c>
      <c r="F179" s="2">
        <v>0</v>
      </c>
      <c r="G179" s="2">
        <v>0</v>
      </c>
    </row>
    <row r="180" spans="1:7" x14ac:dyDescent="0.3">
      <c r="A180" t="str">
        <f t="shared" si="4"/>
        <v>CY</v>
      </c>
      <c r="B180" t="str">
        <f t="shared" si="5"/>
        <v>F</v>
      </c>
      <c r="C180" t="s">
        <v>177</v>
      </c>
      <c r="D180" s="2">
        <v>0.39290000000000003</v>
      </c>
      <c r="E180" s="2">
        <v>0.4027</v>
      </c>
      <c r="F180" s="2">
        <v>0.37519999999999998</v>
      </c>
      <c r="G180" s="2">
        <v>0.38640000000000002</v>
      </c>
    </row>
    <row r="181" spans="1:7" x14ac:dyDescent="0.3">
      <c r="A181" t="str">
        <f t="shared" si="4"/>
        <v>CY</v>
      </c>
      <c r="B181" t="str">
        <f t="shared" si="5"/>
        <v>F</v>
      </c>
      <c r="C181" t="s">
        <v>178</v>
      </c>
      <c r="D181" s="2">
        <v>0</v>
      </c>
      <c r="E181" s="2">
        <v>0</v>
      </c>
      <c r="F181" s="2">
        <v>0</v>
      </c>
      <c r="G181" s="2">
        <v>0</v>
      </c>
    </row>
    <row r="182" spans="1:7" x14ac:dyDescent="0.3">
      <c r="A182" t="str">
        <f t="shared" si="4"/>
        <v>CY</v>
      </c>
      <c r="B182" t="str">
        <f t="shared" si="5"/>
        <v>F</v>
      </c>
      <c r="C182" t="s">
        <v>179</v>
      </c>
      <c r="D182" s="2">
        <v>0</v>
      </c>
      <c r="E182" s="2">
        <v>0</v>
      </c>
      <c r="F182" s="2">
        <v>0</v>
      </c>
      <c r="G182" s="2">
        <v>0</v>
      </c>
    </row>
    <row r="183" spans="1:7" x14ac:dyDescent="0.3">
      <c r="A183" t="str">
        <f t="shared" si="4"/>
        <v>CY</v>
      </c>
      <c r="B183" t="str">
        <f t="shared" si="5"/>
        <v>F</v>
      </c>
      <c r="C183" t="s">
        <v>180</v>
      </c>
      <c r="D183" s="2">
        <v>3.2000000000000001E-2</v>
      </c>
      <c r="E183" s="2">
        <v>3.1300000000000001E-2</v>
      </c>
      <c r="F183" s="2">
        <v>3.1800000000000002E-2</v>
      </c>
      <c r="G183" s="2">
        <v>3.2500000000000001E-2</v>
      </c>
    </row>
    <row r="184" spans="1:7" x14ac:dyDescent="0.3">
      <c r="A184" t="str">
        <f t="shared" si="4"/>
        <v>CY</v>
      </c>
      <c r="B184" t="str">
        <f t="shared" si="5"/>
        <v>F</v>
      </c>
      <c r="C184" t="s">
        <v>181</v>
      </c>
      <c r="D184" s="2">
        <v>0</v>
      </c>
      <c r="E184" s="2">
        <v>0</v>
      </c>
      <c r="F184" s="2">
        <v>0</v>
      </c>
      <c r="G184" s="2">
        <v>0</v>
      </c>
    </row>
    <row r="185" spans="1:7" x14ac:dyDescent="0.3">
      <c r="A185" t="str">
        <f t="shared" si="4"/>
        <v>CY</v>
      </c>
      <c r="B185" t="str">
        <f t="shared" si="5"/>
        <v>F</v>
      </c>
      <c r="C185" t="s">
        <v>182</v>
      </c>
      <c r="D185" s="2">
        <v>2.7699999999999999E-2</v>
      </c>
      <c r="E185" s="2">
        <v>4.0800000000000003E-2</v>
      </c>
      <c r="F185" s="2">
        <v>2.8400000000000002E-2</v>
      </c>
      <c r="G185" s="2">
        <v>1.9599999999999999E-2</v>
      </c>
    </row>
    <row r="186" spans="1:7" x14ac:dyDescent="0.3">
      <c r="A186" t="str">
        <f t="shared" si="4"/>
        <v>CY</v>
      </c>
      <c r="B186" t="str">
        <f t="shared" si="5"/>
        <v>F</v>
      </c>
      <c r="C186" t="s">
        <v>183</v>
      </c>
      <c r="D186" s="2">
        <v>0.18690000000000001</v>
      </c>
      <c r="E186" s="2">
        <v>0.18740000000000001</v>
      </c>
      <c r="F186" s="2">
        <v>0.18540000000000001</v>
      </c>
      <c r="G186" s="2">
        <v>0.19850000000000001</v>
      </c>
    </row>
    <row r="187" spans="1:7" x14ac:dyDescent="0.3">
      <c r="A187" t="str">
        <f t="shared" si="4"/>
        <v>CY</v>
      </c>
      <c r="B187" t="str">
        <f t="shared" si="5"/>
        <v>F</v>
      </c>
      <c r="C187" t="s">
        <v>184</v>
      </c>
      <c r="D187" s="2">
        <v>0.1915</v>
      </c>
      <c r="E187" s="2">
        <v>0.19350000000000001</v>
      </c>
      <c r="F187" s="2">
        <v>0.1885</v>
      </c>
      <c r="G187" s="2">
        <v>0.2</v>
      </c>
    </row>
    <row r="188" spans="1:7" x14ac:dyDescent="0.3">
      <c r="A188" t="str">
        <f t="shared" si="4"/>
        <v>CY</v>
      </c>
      <c r="B188" t="str">
        <f t="shared" si="5"/>
        <v>F</v>
      </c>
      <c r="C188" t="s">
        <v>185</v>
      </c>
      <c r="D188" s="2">
        <v>0</v>
      </c>
      <c r="E188" s="2">
        <v>0</v>
      </c>
      <c r="F188" s="2">
        <v>0</v>
      </c>
      <c r="G188" s="2">
        <v>0</v>
      </c>
    </row>
    <row r="189" spans="1:7" x14ac:dyDescent="0.3">
      <c r="A189" t="str">
        <f t="shared" si="4"/>
        <v>CY</v>
      </c>
      <c r="B189" t="str">
        <f t="shared" si="5"/>
        <v>F</v>
      </c>
      <c r="C189" t="s">
        <v>186</v>
      </c>
      <c r="D189" s="2">
        <v>0</v>
      </c>
      <c r="E189" s="2">
        <v>0</v>
      </c>
      <c r="F189" s="2">
        <v>0</v>
      </c>
      <c r="G189" s="2">
        <v>0</v>
      </c>
    </row>
    <row r="190" spans="1:7" x14ac:dyDescent="0.3">
      <c r="A190" t="str">
        <f t="shared" si="4"/>
        <v>CY</v>
      </c>
      <c r="B190" t="str">
        <f t="shared" si="5"/>
        <v>F</v>
      </c>
      <c r="C190" t="s">
        <v>187</v>
      </c>
      <c r="D190" s="2">
        <v>0</v>
      </c>
      <c r="E190" s="2">
        <v>0</v>
      </c>
      <c r="F190" s="2">
        <v>0</v>
      </c>
      <c r="G190" s="2">
        <v>0</v>
      </c>
    </row>
    <row r="191" spans="1:7" x14ac:dyDescent="0.3">
      <c r="A191" t="str">
        <f t="shared" si="4"/>
        <v>CY</v>
      </c>
      <c r="B191" t="str">
        <f t="shared" si="5"/>
        <v>O</v>
      </c>
      <c r="C191" t="s">
        <v>188</v>
      </c>
      <c r="D191" s="2">
        <v>0.33279999999999998</v>
      </c>
      <c r="E191" s="2">
        <v>0.4088</v>
      </c>
      <c r="F191" s="2">
        <v>0.37390000000000001</v>
      </c>
      <c r="G191" s="2">
        <v>0.39389999999999997</v>
      </c>
    </row>
    <row r="192" spans="1:7" x14ac:dyDescent="0.3">
      <c r="A192" t="str">
        <f t="shared" si="4"/>
        <v>CY</v>
      </c>
      <c r="B192" t="str">
        <f t="shared" si="5"/>
        <v>O</v>
      </c>
      <c r="C192" t="s">
        <v>189</v>
      </c>
      <c r="D192" s="2">
        <v>0</v>
      </c>
      <c r="E192" s="2">
        <v>0</v>
      </c>
      <c r="F192" s="2">
        <v>0</v>
      </c>
      <c r="G192" s="2">
        <v>0</v>
      </c>
    </row>
    <row r="193" spans="1:7" x14ac:dyDescent="0.3">
      <c r="A193" t="str">
        <f t="shared" si="4"/>
        <v>CY</v>
      </c>
      <c r="B193" t="str">
        <f t="shared" si="5"/>
        <v>O</v>
      </c>
      <c r="C193" t="s">
        <v>190</v>
      </c>
      <c r="D193" s="2">
        <v>0</v>
      </c>
      <c r="E193" s="2">
        <v>0</v>
      </c>
      <c r="F193" s="2">
        <v>0</v>
      </c>
      <c r="G193" s="2">
        <v>0</v>
      </c>
    </row>
    <row r="194" spans="1:7" x14ac:dyDescent="0.3">
      <c r="A194" t="str">
        <f t="shared" si="4"/>
        <v>CY</v>
      </c>
      <c r="B194" t="str">
        <f t="shared" si="5"/>
        <v>O</v>
      </c>
      <c r="C194" t="s">
        <v>191</v>
      </c>
      <c r="D194" s="2">
        <v>0</v>
      </c>
      <c r="E194" s="2">
        <v>0</v>
      </c>
      <c r="F194" s="2">
        <v>0</v>
      </c>
      <c r="G194" s="2">
        <v>0</v>
      </c>
    </row>
    <row r="195" spans="1:7" x14ac:dyDescent="0.3">
      <c r="A195" t="str">
        <f t="shared" si="4"/>
        <v>CY</v>
      </c>
      <c r="B195" t="str">
        <f t="shared" si="5"/>
        <v>O</v>
      </c>
      <c r="C195" t="s">
        <v>192</v>
      </c>
      <c r="D195" s="2">
        <v>0</v>
      </c>
      <c r="E195" s="2">
        <v>0</v>
      </c>
      <c r="F195" s="2">
        <v>0</v>
      </c>
      <c r="G195" s="2">
        <v>0</v>
      </c>
    </row>
    <row r="196" spans="1:7" x14ac:dyDescent="0.3">
      <c r="A196" t="str">
        <f t="shared" si="4"/>
        <v>CY</v>
      </c>
      <c r="B196" t="str">
        <f t="shared" si="5"/>
        <v>O</v>
      </c>
      <c r="C196" t="s">
        <v>193</v>
      </c>
      <c r="D196" s="2">
        <v>1.7999999999999999E-2</v>
      </c>
      <c r="E196" s="2">
        <v>1.7999999999999999E-2</v>
      </c>
      <c r="F196" s="2">
        <v>1.44E-2</v>
      </c>
      <c r="G196" s="2">
        <v>1.0800000000000001E-2</v>
      </c>
    </row>
    <row r="197" spans="1:7" x14ac:dyDescent="0.3">
      <c r="A197" t="str">
        <f t="shared" ref="A197:A260" si="6">LEFT(C197,2)</f>
        <v>CY</v>
      </c>
      <c r="B197" t="str">
        <f t="shared" ref="B197:B260" si="7">RIGHT(C197,1)</f>
        <v>O</v>
      </c>
      <c r="C197" t="s">
        <v>194</v>
      </c>
      <c r="D197" s="2">
        <v>9.3299999999999994E-2</v>
      </c>
      <c r="E197" s="2">
        <v>9.01E-2</v>
      </c>
      <c r="F197" s="2">
        <v>8.3900000000000002E-2</v>
      </c>
      <c r="G197" s="2">
        <v>8.8400000000000006E-2</v>
      </c>
    </row>
    <row r="198" spans="1:7" x14ac:dyDescent="0.3">
      <c r="A198" t="str">
        <f t="shared" si="6"/>
        <v>CY</v>
      </c>
      <c r="B198" t="str">
        <f t="shared" si="7"/>
        <v>O</v>
      </c>
      <c r="C198" t="s">
        <v>195</v>
      </c>
      <c r="D198" s="2">
        <v>0.32740000000000002</v>
      </c>
      <c r="E198" s="2">
        <v>0.33510000000000001</v>
      </c>
      <c r="F198" s="2">
        <v>0.32700000000000001</v>
      </c>
      <c r="G198" s="2">
        <v>0.34200000000000003</v>
      </c>
    </row>
    <row r="199" spans="1:7" x14ac:dyDescent="0.3">
      <c r="A199" t="str">
        <f t="shared" si="6"/>
        <v>CY</v>
      </c>
      <c r="B199" t="str">
        <f t="shared" si="7"/>
        <v>O</v>
      </c>
      <c r="C199" t="s">
        <v>196</v>
      </c>
      <c r="D199" s="2">
        <v>0</v>
      </c>
      <c r="E199" s="2">
        <v>0</v>
      </c>
      <c r="F199" s="2">
        <v>0</v>
      </c>
      <c r="G199" s="2">
        <v>0</v>
      </c>
    </row>
    <row r="200" spans="1:7" x14ac:dyDescent="0.3">
      <c r="A200" t="str">
        <f t="shared" si="6"/>
        <v>CY</v>
      </c>
      <c r="B200" t="str">
        <f t="shared" si="7"/>
        <v>O</v>
      </c>
      <c r="C200" t="s">
        <v>197</v>
      </c>
      <c r="D200" s="2">
        <v>1.6799999999999999E-2</v>
      </c>
      <c r="E200" s="2">
        <v>1.6799999999999999E-2</v>
      </c>
      <c r="F200" s="2">
        <v>1.6799999999999999E-2</v>
      </c>
      <c r="G200" s="2">
        <v>1.6799999999999999E-2</v>
      </c>
    </row>
    <row r="201" spans="1:7" x14ac:dyDescent="0.3">
      <c r="A201" t="str">
        <f t="shared" si="6"/>
        <v>CY</v>
      </c>
      <c r="B201" t="str">
        <f t="shared" si="7"/>
        <v>O</v>
      </c>
      <c r="C201" t="s">
        <v>198</v>
      </c>
      <c r="D201" s="2">
        <v>0</v>
      </c>
      <c r="E201" s="2">
        <v>0</v>
      </c>
      <c r="F201" s="2">
        <v>0</v>
      </c>
      <c r="G201" s="2">
        <v>0</v>
      </c>
    </row>
    <row r="202" spans="1:7" x14ac:dyDescent="0.3">
      <c r="A202" t="str">
        <f t="shared" si="6"/>
        <v>CZ</v>
      </c>
      <c r="B202" t="str">
        <f t="shared" si="7"/>
        <v>I</v>
      </c>
      <c r="C202" t="s">
        <v>199</v>
      </c>
      <c r="D202" s="2">
        <v>0</v>
      </c>
      <c r="E202" s="2">
        <v>0</v>
      </c>
      <c r="F202" s="2">
        <v>0</v>
      </c>
      <c r="G202" s="2">
        <v>0</v>
      </c>
    </row>
    <row r="203" spans="1:7" x14ac:dyDescent="0.3">
      <c r="A203" t="str">
        <f t="shared" si="6"/>
        <v>CZ</v>
      </c>
      <c r="B203" t="str">
        <f t="shared" si="7"/>
        <v>I</v>
      </c>
      <c r="C203" t="s">
        <v>200</v>
      </c>
      <c r="D203" s="2">
        <v>6.3563999999999998</v>
      </c>
      <c r="E203" s="2">
        <v>5.3630000000000004</v>
      </c>
      <c r="F203" s="2">
        <v>6.1596000000000002</v>
      </c>
      <c r="G203" s="2">
        <v>6.2697000000000003</v>
      </c>
    </row>
    <row r="204" spans="1:7" x14ac:dyDescent="0.3">
      <c r="A204" t="str">
        <f t="shared" si="6"/>
        <v>CZ</v>
      </c>
      <c r="B204" t="str">
        <f t="shared" si="7"/>
        <v>I</v>
      </c>
      <c r="C204" t="s">
        <v>201</v>
      </c>
      <c r="D204" s="2">
        <v>0</v>
      </c>
      <c r="E204" s="2">
        <v>0</v>
      </c>
      <c r="F204" s="2">
        <v>0</v>
      </c>
      <c r="G204" s="2">
        <v>0</v>
      </c>
    </row>
    <row r="205" spans="1:7" x14ac:dyDescent="0.3">
      <c r="A205" t="str">
        <f t="shared" si="6"/>
        <v>CZ</v>
      </c>
      <c r="B205" t="str">
        <f t="shared" si="7"/>
        <v>I</v>
      </c>
      <c r="C205" t="s">
        <v>202</v>
      </c>
      <c r="D205" s="2">
        <v>10.280200000000001</v>
      </c>
      <c r="E205" s="2">
        <v>8.6659000000000006</v>
      </c>
      <c r="F205" s="2">
        <v>8.5713000000000008</v>
      </c>
      <c r="G205" s="2">
        <v>10.3818</v>
      </c>
    </row>
    <row r="206" spans="1:7" x14ac:dyDescent="0.3">
      <c r="A206" t="str">
        <f t="shared" si="6"/>
        <v>CZ</v>
      </c>
      <c r="B206" t="str">
        <f t="shared" si="7"/>
        <v>I</v>
      </c>
      <c r="C206" t="s">
        <v>203</v>
      </c>
      <c r="D206" s="2">
        <v>0</v>
      </c>
      <c r="E206" s="2">
        <v>0</v>
      </c>
      <c r="F206" s="2">
        <v>0</v>
      </c>
      <c r="G206" s="2">
        <v>0</v>
      </c>
    </row>
    <row r="207" spans="1:7" x14ac:dyDescent="0.3">
      <c r="A207" t="str">
        <f t="shared" si="6"/>
        <v>CZ</v>
      </c>
      <c r="B207" t="str">
        <f t="shared" si="7"/>
        <v>I</v>
      </c>
      <c r="C207" t="s">
        <v>204</v>
      </c>
      <c r="D207" s="2">
        <v>2.0000000000000001E-4</v>
      </c>
      <c r="E207" s="2">
        <v>2.0000000000000001E-4</v>
      </c>
      <c r="F207" s="2">
        <v>2.0000000000000001E-4</v>
      </c>
      <c r="G207" s="2">
        <v>4.0000000000000002E-4</v>
      </c>
    </row>
    <row r="208" spans="1:7" x14ac:dyDescent="0.3">
      <c r="A208" t="str">
        <f t="shared" si="6"/>
        <v>CZ</v>
      </c>
      <c r="B208" t="str">
        <f t="shared" si="7"/>
        <v>I</v>
      </c>
      <c r="C208" t="s">
        <v>205</v>
      </c>
      <c r="D208" s="2">
        <v>4.5393999999999997</v>
      </c>
      <c r="E208" s="2">
        <v>4.3403999999999998</v>
      </c>
      <c r="F208" s="2">
        <v>4.1520000000000001</v>
      </c>
      <c r="G208" s="2">
        <v>4.4699</v>
      </c>
    </row>
    <row r="209" spans="1:7" x14ac:dyDescent="0.3">
      <c r="A209" t="str">
        <f t="shared" si="6"/>
        <v>CZ</v>
      </c>
      <c r="B209" t="str">
        <f t="shared" si="7"/>
        <v>I</v>
      </c>
      <c r="C209" t="s">
        <v>206</v>
      </c>
      <c r="D209" s="2">
        <v>0.81879999999999997</v>
      </c>
      <c r="E209" s="2">
        <v>0.73880000000000001</v>
      </c>
      <c r="F209" s="2">
        <v>0.72550000000000003</v>
      </c>
      <c r="G209" s="2">
        <v>0.83520000000000005</v>
      </c>
    </row>
    <row r="210" spans="1:7" x14ac:dyDescent="0.3">
      <c r="A210" t="str">
        <f t="shared" si="6"/>
        <v>CZ</v>
      </c>
      <c r="B210" t="str">
        <f t="shared" si="7"/>
        <v>I</v>
      </c>
      <c r="C210" t="s">
        <v>207</v>
      </c>
      <c r="D210" s="2">
        <v>0</v>
      </c>
      <c r="E210" s="2">
        <v>0</v>
      </c>
      <c r="F210" s="2">
        <v>0</v>
      </c>
      <c r="G210" s="2">
        <v>0</v>
      </c>
    </row>
    <row r="211" spans="1:7" x14ac:dyDescent="0.3">
      <c r="A211" t="str">
        <f t="shared" si="6"/>
        <v>CZ</v>
      </c>
      <c r="B211" t="str">
        <f t="shared" si="7"/>
        <v>I</v>
      </c>
      <c r="C211" t="s">
        <v>208</v>
      </c>
      <c r="D211" s="2">
        <v>0</v>
      </c>
      <c r="E211" s="2">
        <v>0</v>
      </c>
      <c r="F211" s="2">
        <v>0</v>
      </c>
      <c r="G211" s="2">
        <v>0</v>
      </c>
    </row>
    <row r="212" spans="1:7" x14ac:dyDescent="0.3">
      <c r="A212" t="str">
        <f t="shared" si="6"/>
        <v>CZ</v>
      </c>
      <c r="B212" t="str">
        <f t="shared" si="7"/>
        <v>I</v>
      </c>
      <c r="C212" t="s">
        <v>209</v>
      </c>
      <c r="D212" s="2">
        <v>2.3187000000000002</v>
      </c>
      <c r="E212" s="2">
        <v>2.3643999999999998</v>
      </c>
      <c r="F212" s="2">
        <v>2.0836999999999999</v>
      </c>
      <c r="G212" s="2">
        <v>2.1886000000000001</v>
      </c>
    </row>
    <row r="213" spans="1:7" x14ac:dyDescent="0.3">
      <c r="A213" t="str">
        <f t="shared" si="6"/>
        <v>CZ</v>
      </c>
      <c r="B213" t="str">
        <f t="shared" si="7"/>
        <v>C</v>
      </c>
      <c r="C213" t="s">
        <v>210</v>
      </c>
      <c r="D213" s="2">
        <v>0.99680000000000002</v>
      </c>
      <c r="E213" s="2">
        <v>1.4873000000000001</v>
      </c>
      <c r="F213" s="2">
        <v>2.0621</v>
      </c>
      <c r="G213" s="2">
        <v>2.3807</v>
      </c>
    </row>
    <row r="214" spans="1:7" x14ac:dyDescent="0.3">
      <c r="A214" t="str">
        <f t="shared" si="6"/>
        <v>CZ</v>
      </c>
      <c r="B214" t="str">
        <f t="shared" si="7"/>
        <v>C</v>
      </c>
      <c r="C214" t="s">
        <v>211</v>
      </c>
      <c r="D214" s="2">
        <v>4.9329999999999998</v>
      </c>
      <c r="E214" s="2">
        <v>4.3712999999999997</v>
      </c>
      <c r="F214" s="2">
        <v>4.1478999999999999</v>
      </c>
      <c r="G214" s="2">
        <v>4.1475999999999997</v>
      </c>
    </row>
    <row r="215" spans="1:7" x14ac:dyDescent="0.3">
      <c r="A215" t="str">
        <f t="shared" si="6"/>
        <v>CZ</v>
      </c>
      <c r="B215" t="str">
        <f t="shared" si="7"/>
        <v>C</v>
      </c>
      <c r="C215" t="s">
        <v>212</v>
      </c>
      <c r="D215" s="2">
        <v>0</v>
      </c>
      <c r="E215" s="2">
        <v>0</v>
      </c>
      <c r="F215" s="2">
        <v>0</v>
      </c>
      <c r="G215" s="2">
        <v>0</v>
      </c>
    </row>
    <row r="216" spans="1:7" x14ac:dyDescent="0.3">
      <c r="A216" t="str">
        <f t="shared" si="6"/>
        <v>CZ</v>
      </c>
      <c r="B216" t="str">
        <f t="shared" si="7"/>
        <v>C</v>
      </c>
      <c r="C216" t="s">
        <v>213</v>
      </c>
      <c r="D216" s="2">
        <v>5.6167999999999996</v>
      </c>
      <c r="E216" s="2">
        <v>6.1454000000000004</v>
      </c>
      <c r="F216" s="2">
        <v>6.9173</v>
      </c>
      <c r="G216" s="2">
        <v>6.9127000000000001</v>
      </c>
    </row>
    <row r="217" spans="1:7" x14ac:dyDescent="0.3">
      <c r="A217" t="str">
        <f t="shared" si="6"/>
        <v>CZ</v>
      </c>
      <c r="B217" t="str">
        <f t="shared" si="7"/>
        <v>C</v>
      </c>
      <c r="C217" t="s">
        <v>214</v>
      </c>
      <c r="D217" s="2">
        <v>0</v>
      </c>
      <c r="E217" s="2">
        <v>0</v>
      </c>
      <c r="F217" s="2">
        <v>0</v>
      </c>
      <c r="G217" s="2">
        <v>0</v>
      </c>
    </row>
    <row r="218" spans="1:7" x14ac:dyDescent="0.3">
      <c r="A218" t="str">
        <f t="shared" si="6"/>
        <v>CZ</v>
      </c>
      <c r="B218" t="str">
        <f t="shared" si="7"/>
        <v>C</v>
      </c>
      <c r="C218" t="s">
        <v>215</v>
      </c>
      <c r="D218" s="2">
        <v>7.3200000000000001E-2</v>
      </c>
      <c r="E218" s="2">
        <v>6.8900000000000003E-2</v>
      </c>
      <c r="F218" s="2">
        <v>6.8000000000000005E-2</v>
      </c>
      <c r="G218" s="2">
        <v>7.9000000000000001E-2</v>
      </c>
    </row>
    <row r="219" spans="1:7" x14ac:dyDescent="0.3">
      <c r="A219" t="str">
        <f t="shared" si="6"/>
        <v>CZ</v>
      </c>
      <c r="B219" t="str">
        <f t="shared" si="7"/>
        <v>C</v>
      </c>
      <c r="C219" t="s">
        <v>216</v>
      </c>
      <c r="D219" s="2">
        <v>0.69679999999999997</v>
      </c>
      <c r="E219" s="2">
        <v>0.66959999999999997</v>
      </c>
      <c r="F219" s="2">
        <v>0.47549999999999998</v>
      </c>
      <c r="G219" s="2">
        <v>0.56799999999999995</v>
      </c>
    </row>
    <row r="220" spans="1:7" x14ac:dyDescent="0.3">
      <c r="A220" t="str">
        <f t="shared" si="6"/>
        <v>CZ</v>
      </c>
      <c r="B220" t="str">
        <f t="shared" si="7"/>
        <v>C</v>
      </c>
      <c r="C220" t="s">
        <v>217</v>
      </c>
      <c r="D220" s="2">
        <v>4.7632000000000003</v>
      </c>
      <c r="E220" s="2">
        <v>4.8479999999999999</v>
      </c>
      <c r="F220" s="2">
        <v>4.5125999999999999</v>
      </c>
      <c r="G220" s="2">
        <v>4.8606999999999996</v>
      </c>
    </row>
    <row r="221" spans="1:7" x14ac:dyDescent="0.3">
      <c r="A221" t="str">
        <f t="shared" si="6"/>
        <v>CZ</v>
      </c>
      <c r="B221" t="str">
        <f t="shared" si="7"/>
        <v>C</v>
      </c>
      <c r="C221" t="s">
        <v>218</v>
      </c>
      <c r="D221" s="2">
        <v>0</v>
      </c>
      <c r="E221" s="2">
        <v>0</v>
      </c>
      <c r="F221" s="2">
        <v>0</v>
      </c>
      <c r="G221" s="2">
        <v>0</v>
      </c>
    </row>
    <row r="222" spans="1:7" x14ac:dyDescent="0.3">
      <c r="A222" t="str">
        <f t="shared" si="6"/>
        <v>CZ</v>
      </c>
      <c r="B222" t="str">
        <f t="shared" si="7"/>
        <v>C</v>
      </c>
      <c r="C222" t="s">
        <v>219</v>
      </c>
      <c r="D222" s="2">
        <v>0</v>
      </c>
      <c r="E222" s="2">
        <v>0</v>
      </c>
      <c r="F222" s="2">
        <v>0</v>
      </c>
      <c r="G222" s="2">
        <v>0</v>
      </c>
    </row>
    <row r="223" spans="1:7" x14ac:dyDescent="0.3">
      <c r="A223" t="str">
        <f t="shared" si="6"/>
        <v>CZ</v>
      </c>
      <c r="B223" t="str">
        <f t="shared" si="7"/>
        <v>C</v>
      </c>
      <c r="C223" t="s">
        <v>220</v>
      </c>
      <c r="D223" s="2">
        <v>5.0655000000000001</v>
      </c>
      <c r="E223" s="2">
        <v>4.9490999999999996</v>
      </c>
      <c r="F223" s="2">
        <v>4.7266000000000004</v>
      </c>
      <c r="G223" s="2">
        <v>5.0153999999999996</v>
      </c>
    </row>
    <row r="224" spans="1:7" x14ac:dyDescent="0.3">
      <c r="A224" t="str">
        <f t="shared" si="6"/>
        <v>CZ</v>
      </c>
      <c r="B224" t="str">
        <f t="shared" si="7"/>
        <v>N</v>
      </c>
      <c r="C224" t="s">
        <v>221</v>
      </c>
      <c r="D224" s="2">
        <v>0.24709999999999999</v>
      </c>
      <c r="E224" s="2">
        <v>0.1055</v>
      </c>
      <c r="F224" s="2">
        <v>0.22850000000000001</v>
      </c>
      <c r="G224" s="2">
        <v>0.2147</v>
      </c>
    </row>
    <row r="225" spans="1:7" x14ac:dyDescent="0.3">
      <c r="A225" t="str">
        <f t="shared" si="6"/>
        <v>CZ</v>
      </c>
      <c r="B225" t="str">
        <f t="shared" si="7"/>
        <v>N</v>
      </c>
      <c r="C225" t="s">
        <v>222</v>
      </c>
      <c r="D225" s="2">
        <v>3.0344000000000002</v>
      </c>
      <c r="E225" s="2">
        <v>3.1482999999999999</v>
      </c>
      <c r="F225" s="2">
        <v>2.5872000000000002</v>
      </c>
      <c r="G225" s="2">
        <v>2.7667000000000002</v>
      </c>
    </row>
    <row r="226" spans="1:7" x14ac:dyDescent="0.3">
      <c r="A226" t="str">
        <f t="shared" si="6"/>
        <v>CZ</v>
      </c>
      <c r="B226" t="str">
        <f t="shared" si="7"/>
        <v>N</v>
      </c>
      <c r="C226" t="s">
        <v>223</v>
      </c>
      <c r="D226" s="2">
        <v>0</v>
      </c>
      <c r="E226" s="2">
        <v>0</v>
      </c>
      <c r="F226" s="2">
        <v>0</v>
      </c>
      <c r="G226" s="2">
        <v>0</v>
      </c>
    </row>
    <row r="227" spans="1:7" x14ac:dyDescent="0.3">
      <c r="A227" t="str">
        <f t="shared" si="6"/>
        <v>CZ</v>
      </c>
      <c r="B227" t="str">
        <f t="shared" si="7"/>
        <v>N</v>
      </c>
      <c r="C227" t="s">
        <v>224</v>
      </c>
      <c r="D227" s="2">
        <v>9.6172000000000004</v>
      </c>
      <c r="E227" s="2">
        <v>9.9230999999999998</v>
      </c>
      <c r="F227" s="2">
        <v>10.124599999999999</v>
      </c>
      <c r="G227" s="2">
        <v>10.2326</v>
      </c>
    </row>
    <row r="228" spans="1:7" x14ac:dyDescent="0.3">
      <c r="A228" t="str">
        <f t="shared" si="6"/>
        <v>CZ</v>
      </c>
      <c r="B228" t="str">
        <f t="shared" si="7"/>
        <v>N</v>
      </c>
      <c r="C228" t="s">
        <v>225</v>
      </c>
      <c r="D228" s="2">
        <v>0</v>
      </c>
      <c r="E228" s="2">
        <v>0</v>
      </c>
      <c r="F228" s="2">
        <v>0</v>
      </c>
      <c r="G228" s="2">
        <v>0</v>
      </c>
    </row>
    <row r="229" spans="1:7" x14ac:dyDescent="0.3">
      <c r="A229" t="str">
        <f t="shared" si="6"/>
        <v>CZ</v>
      </c>
      <c r="B229" t="str">
        <f t="shared" si="7"/>
        <v>N</v>
      </c>
      <c r="C229" t="s">
        <v>226</v>
      </c>
      <c r="D229" s="2">
        <v>5.0834999999999999</v>
      </c>
      <c r="E229" s="2">
        <v>5.3319999999999999</v>
      </c>
      <c r="F229" s="2">
        <v>5.5994000000000002</v>
      </c>
      <c r="G229" s="2">
        <v>5.5723000000000003</v>
      </c>
    </row>
    <row r="230" spans="1:7" x14ac:dyDescent="0.3">
      <c r="A230" t="str">
        <f t="shared" si="6"/>
        <v>CZ</v>
      </c>
      <c r="B230" t="str">
        <f t="shared" si="7"/>
        <v>N</v>
      </c>
      <c r="C230" t="s">
        <v>227</v>
      </c>
      <c r="D230" s="2">
        <v>1.7970999999999999</v>
      </c>
      <c r="E230" s="2">
        <v>1.7737000000000001</v>
      </c>
      <c r="F230" s="2">
        <v>1.7621</v>
      </c>
      <c r="G230" s="2">
        <v>1.8788</v>
      </c>
    </row>
    <row r="231" spans="1:7" x14ac:dyDescent="0.3">
      <c r="A231" t="str">
        <f t="shared" si="6"/>
        <v>CZ</v>
      </c>
      <c r="B231" t="str">
        <f t="shared" si="7"/>
        <v>N</v>
      </c>
      <c r="C231" t="s">
        <v>228</v>
      </c>
      <c r="D231" s="2">
        <v>2.6576</v>
      </c>
      <c r="E231" s="2">
        <v>2.6059999999999999</v>
      </c>
      <c r="F231" s="2">
        <v>2.5868000000000002</v>
      </c>
      <c r="G231" s="2">
        <v>2.7543000000000002</v>
      </c>
    </row>
    <row r="232" spans="1:7" x14ac:dyDescent="0.3">
      <c r="A232" t="str">
        <f t="shared" si="6"/>
        <v>CZ</v>
      </c>
      <c r="B232" t="str">
        <f t="shared" si="7"/>
        <v>N</v>
      </c>
      <c r="C232" t="s">
        <v>229</v>
      </c>
      <c r="D232" s="2">
        <v>0</v>
      </c>
      <c r="E232" s="2">
        <v>0</v>
      </c>
      <c r="F232" s="2">
        <v>0</v>
      </c>
      <c r="G232" s="2">
        <v>0</v>
      </c>
    </row>
    <row r="233" spans="1:7" x14ac:dyDescent="0.3">
      <c r="A233" t="str">
        <f t="shared" si="6"/>
        <v>CZ</v>
      </c>
      <c r="B233" t="str">
        <f t="shared" si="7"/>
        <v>N</v>
      </c>
      <c r="C233" t="s">
        <v>230</v>
      </c>
      <c r="D233" s="2">
        <v>0</v>
      </c>
      <c r="E233" s="2">
        <v>0</v>
      </c>
      <c r="F233" s="2">
        <v>0</v>
      </c>
      <c r="G233" s="2">
        <v>0</v>
      </c>
    </row>
    <row r="234" spans="1:7" x14ac:dyDescent="0.3">
      <c r="A234" t="str">
        <f t="shared" si="6"/>
        <v>CZ</v>
      </c>
      <c r="B234" t="str">
        <f t="shared" si="7"/>
        <v>N</v>
      </c>
      <c r="C234" t="s">
        <v>231</v>
      </c>
      <c r="D234" s="2">
        <v>0.27729999999999999</v>
      </c>
      <c r="E234" s="2">
        <v>0.2959</v>
      </c>
      <c r="F234" s="2">
        <v>0.24399999999999999</v>
      </c>
      <c r="G234" s="2">
        <v>0.24610000000000001</v>
      </c>
    </row>
    <row r="235" spans="1:7" x14ac:dyDescent="0.3">
      <c r="A235" t="str">
        <f t="shared" si="6"/>
        <v>CZ</v>
      </c>
      <c r="B235" t="str">
        <f t="shared" si="7"/>
        <v>P</v>
      </c>
      <c r="C235" t="s">
        <v>232</v>
      </c>
      <c r="D235" s="2">
        <v>7.0699999999999999E-2</v>
      </c>
      <c r="E235" s="2">
        <v>2.6800000000000001E-2</v>
      </c>
      <c r="F235" s="2">
        <v>7.4200000000000002E-2</v>
      </c>
      <c r="G235" s="2">
        <v>7.51E-2</v>
      </c>
    </row>
    <row r="236" spans="1:7" x14ac:dyDescent="0.3">
      <c r="A236" t="str">
        <f t="shared" si="6"/>
        <v>CZ</v>
      </c>
      <c r="B236" t="str">
        <f t="shared" si="7"/>
        <v>P</v>
      </c>
      <c r="C236" t="s">
        <v>233</v>
      </c>
      <c r="D236" s="2">
        <v>0.72740000000000005</v>
      </c>
      <c r="E236" s="2">
        <v>0.84589999999999999</v>
      </c>
      <c r="F236" s="2">
        <v>0.8649</v>
      </c>
      <c r="G236" s="2">
        <v>0.85660000000000003</v>
      </c>
    </row>
    <row r="237" spans="1:7" x14ac:dyDescent="0.3">
      <c r="A237" t="str">
        <f t="shared" si="6"/>
        <v>CZ</v>
      </c>
      <c r="B237" t="str">
        <f t="shared" si="7"/>
        <v>P</v>
      </c>
      <c r="C237" t="s">
        <v>234</v>
      </c>
      <c r="D237" s="2">
        <v>0</v>
      </c>
      <c r="E237" s="2">
        <v>0</v>
      </c>
      <c r="F237" s="2">
        <v>0</v>
      </c>
      <c r="G237" s="2">
        <v>0</v>
      </c>
    </row>
    <row r="238" spans="1:7" x14ac:dyDescent="0.3">
      <c r="A238" t="str">
        <f t="shared" si="6"/>
        <v>CZ</v>
      </c>
      <c r="B238" t="str">
        <f t="shared" si="7"/>
        <v>P</v>
      </c>
      <c r="C238" t="s">
        <v>235</v>
      </c>
      <c r="D238" s="2">
        <v>2.8117000000000001</v>
      </c>
      <c r="E238" s="2">
        <v>2.9256000000000002</v>
      </c>
      <c r="F238" s="2">
        <v>2.8847999999999998</v>
      </c>
      <c r="G238" s="2">
        <v>3.7397</v>
      </c>
    </row>
    <row r="239" spans="1:7" x14ac:dyDescent="0.3">
      <c r="A239" t="str">
        <f t="shared" si="6"/>
        <v>CZ</v>
      </c>
      <c r="B239" t="str">
        <f t="shared" si="7"/>
        <v>P</v>
      </c>
      <c r="C239" t="s">
        <v>236</v>
      </c>
      <c r="D239" s="2">
        <v>0</v>
      </c>
      <c r="E239" s="2">
        <v>0</v>
      </c>
      <c r="F239" s="2">
        <v>0</v>
      </c>
      <c r="G239" s="2">
        <v>0</v>
      </c>
    </row>
    <row r="240" spans="1:7" x14ac:dyDescent="0.3">
      <c r="A240" t="str">
        <f t="shared" si="6"/>
        <v>CZ</v>
      </c>
      <c r="B240" t="str">
        <f t="shared" si="7"/>
        <v>P</v>
      </c>
      <c r="C240" t="s">
        <v>237</v>
      </c>
      <c r="D240" s="2">
        <v>5.9964000000000004</v>
      </c>
      <c r="E240" s="2">
        <v>7.3479999999999999</v>
      </c>
      <c r="F240" s="2">
        <v>7.6898999999999997</v>
      </c>
      <c r="G240" s="2">
        <v>7.9743000000000004</v>
      </c>
    </row>
    <row r="241" spans="1:7" x14ac:dyDescent="0.3">
      <c r="A241" t="str">
        <f t="shared" si="6"/>
        <v>CZ</v>
      </c>
      <c r="B241" t="str">
        <f t="shared" si="7"/>
        <v>P</v>
      </c>
      <c r="C241" t="s">
        <v>238</v>
      </c>
      <c r="D241" s="2">
        <v>1.7295</v>
      </c>
      <c r="E241" s="2">
        <v>1.7521</v>
      </c>
      <c r="F241" s="2">
        <v>1.7333000000000001</v>
      </c>
      <c r="G241" s="2">
        <v>1.7988</v>
      </c>
    </row>
    <row r="242" spans="1:7" x14ac:dyDescent="0.3">
      <c r="A242" t="str">
        <f t="shared" si="6"/>
        <v>CZ</v>
      </c>
      <c r="B242" t="str">
        <f t="shared" si="7"/>
        <v>P</v>
      </c>
      <c r="C242" t="s">
        <v>239</v>
      </c>
      <c r="D242" s="2">
        <v>1.6712</v>
      </c>
      <c r="E242" s="2">
        <v>1.8090999999999999</v>
      </c>
      <c r="F242" s="2">
        <v>2.0116000000000001</v>
      </c>
      <c r="G242" s="2">
        <v>2.1454</v>
      </c>
    </row>
    <row r="243" spans="1:7" x14ac:dyDescent="0.3">
      <c r="A243" t="str">
        <f t="shared" si="6"/>
        <v>CZ</v>
      </c>
      <c r="B243" t="str">
        <f t="shared" si="7"/>
        <v>P</v>
      </c>
      <c r="C243" t="s">
        <v>240</v>
      </c>
      <c r="D243" s="2">
        <v>0</v>
      </c>
      <c r="E243" s="2">
        <v>0</v>
      </c>
      <c r="F243" s="2">
        <v>0</v>
      </c>
      <c r="G243" s="2">
        <v>0</v>
      </c>
    </row>
    <row r="244" spans="1:7" x14ac:dyDescent="0.3">
      <c r="A244" t="str">
        <f t="shared" si="6"/>
        <v>CZ</v>
      </c>
      <c r="B244" t="str">
        <f t="shared" si="7"/>
        <v>P</v>
      </c>
      <c r="C244" t="s">
        <v>241</v>
      </c>
      <c r="D244" s="2">
        <v>0</v>
      </c>
      <c r="E244" s="2">
        <v>0</v>
      </c>
      <c r="F244" s="2">
        <v>0</v>
      </c>
      <c r="G244" s="2">
        <v>0</v>
      </c>
    </row>
    <row r="245" spans="1:7" x14ac:dyDescent="0.3">
      <c r="A245" t="str">
        <f t="shared" si="6"/>
        <v>CZ</v>
      </c>
      <c r="B245" t="str">
        <f t="shared" si="7"/>
        <v>P</v>
      </c>
      <c r="C245" t="s">
        <v>242</v>
      </c>
      <c r="D245" s="2">
        <v>0.74719999999999998</v>
      </c>
      <c r="E245" s="2">
        <v>0.79510000000000003</v>
      </c>
      <c r="F245" s="2">
        <v>0.81610000000000005</v>
      </c>
      <c r="G245" s="2">
        <v>0.80810000000000004</v>
      </c>
    </row>
    <row r="246" spans="1:7" x14ac:dyDescent="0.3">
      <c r="A246" t="str">
        <f t="shared" si="6"/>
        <v>CZ</v>
      </c>
      <c r="B246" t="str">
        <f t="shared" si="7"/>
        <v>O</v>
      </c>
      <c r="C246" t="s">
        <v>243</v>
      </c>
      <c r="D246" s="2">
        <v>1.2868999999999999</v>
      </c>
      <c r="E246" s="2">
        <v>0.9526</v>
      </c>
      <c r="F246" s="2">
        <v>1.1223000000000001</v>
      </c>
      <c r="G246" s="2">
        <v>1.3734999999999999</v>
      </c>
    </row>
    <row r="247" spans="1:7" x14ac:dyDescent="0.3">
      <c r="A247" t="str">
        <f t="shared" si="6"/>
        <v>CZ</v>
      </c>
      <c r="B247" t="str">
        <f t="shared" si="7"/>
        <v>O</v>
      </c>
      <c r="C247" t="s">
        <v>244</v>
      </c>
      <c r="D247" s="2">
        <v>1.2391000000000001</v>
      </c>
      <c r="E247" s="2">
        <v>1.0208999999999999</v>
      </c>
      <c r="F247" s="2">
        <v>1.028</v>
      </c>
      <c r="G247" s="2">
        <v>0.99160000000000004</v>
      </c>
    </row>
    <row r="248" spans="1:7" x14ac:dyDescent="0.3">
      <c r="A248" t="str">
        <f t="shared" si="6"/>
        <v>CZ</v>
      </c>
      <c r="B248" t="str">
        <f t="shared" si="7"/>
        <v>O</v>
      </c>
      <c r="C248" t="s">
        <v>245</v>
      </c>
      <c r="D248" s="2">
        <v>0</v>
      </c>
      <c r="E248" s="2">
        <v>0</v>
      </c>
      <c r="F248" s="2">
        <v>0</v>
      </c>
      <c r="G248" s="2">
        <v>0</v>
      </c>
    </row>
    <row r="249" spans="1:7" x14ac:dyDescent="0.3">
      <c r="A249" t="str">
        <f t="shared" si="6"/>
        <v>CZ</v>
      </c>
      <c r="B249" t="str">
        <f t="shared" si="7"/>
        <v>O</v>
      </c>
      <c r="C249" t="s">
        <v>246</v>
      </c>
      <c r="D249" s="2">
        <v>18.7912</v>
      </c>
      <c r="E249" s="2">
        <v>18.883900000000001</v>
      </c>
      <c r="F249" s="2">
        <v>18.566199999999998</v>
      </c>
      <c r="G249" s="2">
        <v>21.008700000000001</v>
      </c>
    </row>
    <row r="250" spans="1:7" x14ac:dyDescent="0.3">
      <c r="A250" t="str">
        <f t="shared" si="6"/>
        <v>CZ</v>
      </c>
      <c r="B250" t="str">
        <f t="shared" si="7"/>
        <v>O</v>
      </c>
      <c r="C250" t="s">
        <v>247</v>
      </c>
      <c r="D250" s="2">
        <v>0</v>
      </c>
      <c r="E250" s="2">
        <v>0</v>
      </c>
      <c r="F250" s="2">
        <v>0</v>
      </c>
      <c r="G250" s="2">
        <v>0</v>
      </c>
    </row>
    <row r="251" spans="1:7" x14ac:dyDescent="0.3">
      <c r="A251" t="str">
        <f t="shared" si="6"/>
        <v>CZ</v>
      </c>
      <c r="B251" t="str">
        <f t="shared" si="7"/>
        <v>O</v>
      </c>
      <c r="C251" t="s">
        <v>248</v>
      </c>
      <c r="D251" s="2">
        <v>2.6093999999999999</v>
      </c>
      <c r="E251" s="2">
        <v>2.3887999999999998</v>
      </c>
      <c r="F251" s="2">
        <v>2.5878999999999999</v>
      </c>
      <c r="G251" s="2">
        <v>2.6414</v>
      </c>
    </row>
    <row r="252" spans="1:7" x14ac:dyDescent="0.3">
      <c r="A252" t="str">
        <f t="shared" si="6"/>
        <v>CZ</v>
      </c>
      <c r="B252" t="str">
        <f t="shared" si="7"/>
        <v>O</v>
      </c>
      <c r="C252" t="s">
        <v>249</v>
      </c>
      <c r="D252" s="2">
        <v>10.9549</v>
      </c>
      <c r="E252" s="2">
        <v>10.911199999999999</v>
      </c>
      <c r="F252" s="2">
        <v>10.2913</v>
      </c>
      <c r="G252" s="2">
        <v>10.910500000000001</v>
      </c>
    </row>
    <row r="253" spans="1:7" x14ac:dyDescent="0.3">
      <c r="A253" t="str">
        <f t="shared" si="6"/>
        <v>CZ</v>
      </c>
      <c r="B253" t="str">
        <f t="shared" si="7"/>
        <v>O</v>
      </c>
      <c r="C253" t="s">
        <v>250</v>
      </c>
      <c r="D253" s="2">
        <v>16.636800000000001</v>
      </c>
      <c r="E253" s="2">
        <v>16.822700000000001</v>
      </c>
      <c r="F253" s="2">
        <v>15.978899999999999</v>
      </c>
      <c r="G253" s="2">
        <v>16.877500000000001</v>
      </c>
    </row>
    <row r="254" spans="1:7" x14ac:dyDescent="0.3">
      <c r="A254" t="str">
        <f t="shared" si="6"/>
        <v>CZ</v>
      </c>
      <c r="B254" t="str">
        <f t="shared" si="7"/>
        <v>O</v>
      </c>
      <c r="C254" t="s">
        <v>251</v>
      </c>
      <c r="D254" s="2">
        <v>0</v>
      </c>
      <c r="E254" s="2">
        <v>0</v>
      </c>
      <c r="F254" s="2">
        <v>0</v>
      </c>
      <c r="G254" s="2">
        <v>0</v>
      </c>
    </row>
    <row r="255" spans="1:7" x14ac:dyDescent="0.3">
      <c r="A255" t="str">
        <f t="shared" si="6"/>
        <v>CZ</v>
      </c>
      <c r="B255" t="str">
        <f t="shared" si="7"/>
        <v>O</v>
      </c>
      <c r="C255" t="s">
        <v>252</v>
      </c>
      <c r="D255" s="2">
        <v>0</v>
      </c>
      <c r="E255" s="2">
        <v>0</v>
      </c>
      <c r="F255" s="2">
        <v>0</v>
      </c>
      <c r="G255" s="2">
        <v>0</v>
      </c>
    </row>
    <row r="256" spans="1:7" x14ac:dyDescent="0.3">
      <c r="A256" t="str">
        <f t="shared" si="6"/>
        <v>CZ</v>
      </c>
      <c r="B256" t="str">
        <f t="shared" si="7"/>
        <v>O</v>
      </c>
      <c r="C256" t="s">
        <v>253</v>
      </c>
      <c r="D256" s="2">
        <v>6.6233000000000004</v>
      </c>
      <c r="E256" s="2">
        <v>6.7099000000000002</v>
      </c>
      <c r="F256" s="2">
        <v>6.3376999999999999</v>
      </c>
      <c r="G256" s="2">
        <v>6.7083000000000004</v>
      </c>
    </row>
    <row r="257" spans="1:7" x14ac:dyDescent="0.3">
      <c r="A257" t="str">
        <f t="shared" si="6"/>
        <v>DE</v>
      </c>
      <c r="B257" t="str">
        <f t="shared" si="7"/>
        <v>I</v>
      </c>
      <c r="C257" t="s">
        <v>254</v>
      </c>
      <c r="D257" s="2">
        <v>0.30590000000000001</v>
      </c>
      <c r="E257" s="2">
        <v>0.29060000000000002</v>
      </c>
      <c r="F257" s="2">
        <v>0.25459999999999999</v>
      </c>
      <c r="G257" s="2">
        <v>1.2253000000000001</v>
      </c>
    </row>
    <row r="258" spans="1:7" x14ac:dyDescent="0.3">
      <c r="A258" t="str">
        <f t="shared" si="6"/>
        <v>DE</v>
      </c>
      <c r="B258" t="str">
        <f t="shared" si="7"/>
        <v>I</v>
      </c>
      <c r="C258" t="s">
        <v>255</v>
      </c>
      <c r="D258" s="2">
        <v>15.0448</v>
      </c>
      <c r="E258" s="2">
        <v>13.8986</v>
      </c>
      <c r="F258" s="2">
        <v>10.009</v>
      </c>
      <c r="G258" s="2">
        <v>13.8917</v>
      </c>
    </row>
    <row r="259" spans="1:7" x14ac:dyDescent="0.3">
      <c r="A259" t="str">
        <f t="shared" si="6"/>
        <v>DE</v>
      </c>
      <c r="B259" t="str">
        <f t="shared" si="7"/>
        <v>I</v>
      </c>
      <c r="C259" t="s">
        <v>256</v>
      </c>
      <c r="D259" s="2">
        <v>0</v>
      </c>
      <c r="E259" s="2">
        <v>0</v>
      </c>
      <c r="F259" s="2">
        <v>0</v>
      </c>
      <c r="G259" s="2">
        <v>0</v>
      </c>
    </row>
    <row r="260" spans="1:7" x14ac:dyDescent="0.3">
      <c r="A260" t="str">
        <f t="shared" si="6"/>
        <v>DE</v>
      </c>
      <c r="B260" t="str">
        <f t="shared" si="7"/>
        <v>I</v>
      </c>
      <c r="C260" t="s">
        <v>257</v>
      </c>
      <c r="D260" s="2">
        <v>104.2774</v>
      </c>
      <c r="E260" s="2">
        <v>96.907300000000006</v>
      </c>
      <c r="F260" s="2">
        <v>91.672700000000006</v>
      </c>
      <c r="G260" s="2">
        <v>92.658299999999997</v>
      </c>
    </row>
    <row r="261" spans="1:7" x14ac:dyDescent="0.3">
      <c r="A261" t="str">
        <f t="shared" ref="A261:A324" si="8">LEFT(C261,2)</f>
        <v>DE</v>
      </c>
      <c r="B261" t="str">
        <f t="shared" ref="B261:B324" si="9">RIGHT(C261,1)</f>
        <v>I</v>
      </c>
      <c r="C261" t="s">
        <v>258</v>
      </c>
      <c r="D261" s="2">
        <v>0</v>
      </c>
      <c r="E261" s="2">
        <v>0</v>
      </c>
      <c r="F261" s="2">
        <v>0</v>
      </c>
      <c r="G261" s="2">
        <v>0</v>
      </c>
    </row>
    <row r="262" spans="1:7" x14ac:dyDescent="0.3">
      <c r="A262" t="str">
        <f t="shared" si="8"/>
        <v>DE</v>
      </c>
      <c r="B262" t="str">
        <f t="shared" si="9"/>
        <v>I</v>
      </c>
      <c r="C262" t="s">
        <v>259</v>
      </c>
      <c r="D262" s="2">
        <v>1.9E-3</v>
      </c>
      <c r="E262" s="2">
        <v>1.9E-3</v>
      </c>
      <c r="F262" s="2">
        <v>5.0000000000000001E-4</v>
      </c>
      <c r="G262" s="2">
        <v>5.0000000000000001E-4</v>
      </c>
    </row>
    <row r="263" spans="1:7" x14ac:dyDescent="0.3">
      <c r="A263" t="str">
        <f t="shared" si="8"/>
        <v>DE</v>
      </c>
      <c r="B263" t="str">
        <f t="shared" si="9"/>
        <v>I</v>
      </c>
      <c r="C263" t="s">
        <v>260</v>
      </c>
      <c r="D263" s="2">
        <v>54.004399999999997</v>
      </c>
      <c r="E263" s="2">
        <v>49.975900000000003</v>
      </c>
      <c r="F263" s="2">
        <v>45.611800000000002</v>
      </c>
      <c r="G263" s="2">
        <v>50.141300000000001</v>
      </c>
    </row>
    <row r="264" spans="1:7" x14ac:dyDescent="0.3">
      <c r="A264" t="str">
        <f t="shared" si="8"/>
        <v>DE</v>
      </c>
      <c r="B264" t="str">
        <f t="shared" si="9"/>
        <v>I</v>
      </c>
      <c r="C264" t="s">
        <v>261</v>
      </c>
      <c r="D264" s="2">
        <v>9.1524000000000001</v>
      </c>
      <c r="E264" s="2">
        <v>8.4835999999999991</v>
      </c>
      <c r="F264" s="2">
        <v>7.7933000000000003</v>
      </c>
      <c r="G264" s="2">
        <v>8.2881999999999998</v>
      </c>
    </row>
    <row r="265" spans="1:7" x14ac:dyDescent="0.3">
      <c r="A265" t="str">
        <f t="shared" si="8"/>
        <v>DE</v>
      </c>
      <c r="B265" t="str">
        <f t="shared" si="9"/>
        <v>I</v>
      </c>
      <c r="C265" t="s">
        <v>262</v>
      </c>
      <c r="D265" s="2">
        <v>0</v>
      </c>
      <c r="E265" s="2">
        <v>0</v>
      </c>
      <c r="F265" s="2">
        <v>0</v>
      </c>
      <c r="G265" s="2">
        <v>0</v>
      </c>
    </row>
    <row r="266" spans="1:7" x14ac:dyDescent="0.3">
      <c r="A266" t="str">
        <f t="shared" si="8"/>
        <v>DE</v>
      </c>
      <c r="B266" t="str">
        <f t="shared" si="9"/>
        <v>I</v>
      </c>
      <c r="C266" t="s">
        <v>263</v>
      </c>
      <c r="D266" s="2">
        <v>0</v>
      </c>
      <c r="E266" s="2">
        <v>0</v>
      </c>
      <c r="F266" s="2">
        <v>0</v>
      </c>
      <c r="G266" s="2">
        <v>0</v>
      </c>
    </row>
    <row r="267" spans="1:7" x14ac:dyDescent="0.3">
      <c r="A267" t="str">
        <f t="shared" si="8"/>
        <v>DE</v>
      </c>
      <c r="B267" t="str">
        <f t="shared" si="9"/>
        <v>I</v>
      </c>
      <c r="C267" t="s">
        <v>264</v>
      </c>
      <c r="D267" s="2">
        <v>35.174599999999998</v>
      </c>
      <c r="E267" s="2">
        <v>32.895499999999998</v>
      </c>
      <c r="F267" s="2">
        <v>32.558100000000003</v>
      </c>
      <c r="G267" s="2">
        <v>35.9039</v>
      </c>
    </row>
    <row r="268" spans="1:7" x14ac:dyDescent="0.3">
      <c r="A268" t="str">
        <f t="shared" si="8"/>
        <v>DE</v>
      </c>
      <c r="B268" t="str">
        <f t="shared" si="9"/>
        <v>C</v>
      </c>
      <c r="C268" t="s">
        <v>265</v>
      </c>
      <c r="D268" s="2">
        <v>20.993400000000001</v>
      </c>
      <c r="E268" s="2">
        <v>20.101400000000002</v>
      </c>
      <c r="F268" s="2">
        <v>17.513300000000001</v>
      </c>
      <c r="G268" s="2">
        <v>19.669599999999999</v>
      </c>
    </row>
    <row r="269" spans="1:7" x14ac:dyDescent="0.3">
      <c r="A269" t="str">
        <f t="shared" si="8"/>
        <v>DE</v>
      </c>
      <c r="B269" t="str">
        <f t="shared" si="9"/>
        <v>C</v>
      </c>
      <c r="C269" t="s">
        <v>266</v>
      </c>
      <c r="D269" s="2">
        <v>7.7119999999999997</v>
      </c>
      <c r="E269" s="2">
        <v>7.0867000000000004</v>
      </c>
      <c r="F269" s="2">
        <v>10.3119</v>
      </c>
      <c r="G269" s="2">
        <v>3.1364999999999998</v>
      </c>
    </row>
    <row r="270" spans="1:7" x14ac:dyDescent="0.3">
      <c r="A270" t="str">
        <f t="shared" si="8"/>
        <v>DE</v>
      </c>
      <c r="B270" t="str">
        <f t="shared" si="9"/>
        <v>C</v>
      </c>
      <c r="C270" t="s">
        <v>267</v>
      </c>
      <c r="D270" s="2">
        <v>0</v>
      </c>
      <c r="E270" s="2">
        <v>0</v>
      </c>
      <c r="F270" s="2">
        <v>0</v>
      </c>
      <c r="G270" s="2">
        <v>0</v>
      </c>
    </row>
    <row r="271" spans="1:7" x14ac:dyDescent="0.3">
      <c r="A271" t="str">
        <f t="shared" si="8"/>
        <v>DE</v>
      </c>
      <c r="B271" t="str">
        <f t="shared" si="9"/>
        <v>C</v>
      </c>
      <c r="C271" t="s">
        <v>268</v>
      </c>
      <c r="D271" s="2">
        <v>134.02019999999999</v>
      </c>
      <c r="E271" s="2">
        <v>125.1271</v>
      </c>
      <c r="F271" s="2">
        <v>140.92609999999999</v>
      </c>
      <c r="G271" s="2">
        <v>145.9623</v>
      </c>
    </row>
    <row r="272" spans="1:7" x14ac:dyDescent="0.3">
      <c r="A272" t="str">
        <f t="shared" si="8"/>
        <v>DE</v>
      </c>
      <c r="B272" t="str">
        <f t="shared" si="9"/>
        <v>C</v>
      </c>
      <c r="C272" t="s">
        <v>269</v>
      </c>
      <c r="D272" s="2">
        <v>0</v>
      </c>
      <c r="E272" s="2">
        <v>0</v>
      </c>
      <c r="F272" s="2">
        <v>0</v>
      </c>
      <c r="G272" s="2">
        <v>0</v>
      </c>
    </row>
    <row r="273" spans="1:7" x14ac:dyDescent="0.3">
      <c r="A273" t="str">
        <f t="shared" si="8"/>
        <v>DE</v>
      </c>
      <c r="B273" t="str">
        <f t="shared" si="9"/>
        <v>C</v>
      </c>
      <c r="C273" t="s">
        <v>270</v>
      </c>
      <c r="D273" s="2">
        <v>6.1311999999999998</v>
      </c>
      <c r="E273" s="2">
        <v>5.8403999999999998</v>
      </c>
      <c r="F273" s="2">
        <v>6.0167999999999999</v>
      </c>
      <c r="G273" s="2">
        <v>7.3098999999999998</v>
      </c>
    </row>
    <row r="274" spans="1:7" x14ac:dyDescent="0.3">
      <c r="A274" t="str">
        <f t="shared" si="8"/>
        <v>DE</v>
      </c>
      <c r="B274" t="str">
        <f t="shared" si="9"/>
        <v>C</v>
      </c>
      <c r="C274" t="s">
        <v>271</v>
      </c>
      <c r="D274" s="2">
        <v>10.023999999999999</v>
      </c>
      <c r="E274" s="2">
        <v>10.4842</v>
      </c>
      <c r="F274" s="2">
        <v>8.7222000000000008</v>
      </c>
      <c r="G274" s="2">
        <v>9.5502000000000002</v>
      </c>
    </row>
    <row r="275" spans="1:7" x14ac:dyDescent="0.3">
      <c r="A275" t="str">
        <f t="shared" si="8"/>
        <v>DE</v>
      </c>
      <c r="B275" t="str">
        <f t="shared" si="9"/>
        <v>C</v>
      </c>
      <c r="C275" t="s">
        <v>272</v>
      </c>
      <c r="D275" s="2">
        <v>93.467500000000001</v>
      </c>
      <c r="E275" s="2">
        <v>92.601500000000001</v>
      </c>
      <c r="F275" s="2">
        <v>90.891300000000001</v>
      </c>
      <c r="G275" s="2">
        <v>95.2102</v>
      </c>
    </row>
    <row r="276" spans="1:7" x14ac:dyDescent="0.3">
      <c r="A276" t="str">
        <f t="shared" si="8"/>
        <v>DE</v>
      </c>
      <c r="B276" t="str">
        <f t="shared" si="9"/>
        <v>C</v>
      </c>
      <c r="C276" t="s">
        <v>273</v>
      </c>
      <c r="D276" s="2">
        <v>0</v>
      </c>
      <c r="E276" s="2">
        <v>0</v>
      </c>
      <c r="F276" s="2">
        <v>0</v>
      </c>
      <c r="G276" s="2">
        <v>0</v>
      </c>
    </row>
    <row r="277" spans="1:7" x14ac:dyDescent="0.3">
      <c r="A277" t="str">
        <f t="shared" si="8"/>
        <v>DE</v>
      </c>
      <c r="B277" t="str">
        <f t="shared" si="9"/>
        <v>C</v>
      </c>
      <c r="C277" t="s">
        <v>274</v>
      </c>
      <c r="D277" s="2">
        <v>0</v>
      </c>
      <c r="E277" s="2">
        <v>8.0000000000000004E-4</v>
      </c>
      <c r="F277" s="2">
        <v>1.09E-2</v>
      </c>
      <c r="G277" s="2">
        <v>0</v>
      </c>
    </row>
    <row r="278" spans="1:7" x14ac:dyDescent="0.3">
      <c r="A278" t="str">
        <f t="shared" si="8"/>
        <v>DE</v>
      </c>
      <c r="B278" t="str">
        <f t="shared" si="9"/>
        <v>C</v>
      </c>
      <c r="C278" t="s">
        <v>275</v>
      </c>
      <c r="D278" s="2">
        <v>82.547399999999996</v>
      </c>
      <c r="E278" s="2">
        <v>78.532700000000006</v>
      </c>
      <c r="F278" s="2">
        <v>74.573300000000003</v>
      </c>
      <c r="G278" s="2">
        <v>78.163300000000007</v>
      </c>
    </row>
    <row r="279" spans="1:7" x14ac:dyDescent="0.3">
      <c r="A279" t="str">
        <f t="shared" si="8"/>
        <v>DE</v>
      </c>
      <c r="B279" t="str">
        <f t="shared" si="9"/>
        <v>N</v>
      </c>
      <c r="C279" t="s">
        <v>276</v>
      </c>
      <c r="D279" s="2">
        <v>8.9126999999999992</v>
      </c>
      <c r="E279" s="2">
        <v>8.7017000000000007</v>
      </c>
      <c r="F279" s="2">
        <v>13.0307</v>
      </c>
      <c r="G279" s="2">
        <v>8.6753</v>
      </c>
    </row>
    <row r="280" spans="1:7" x14ac:dyDescent="0.3">
      <c r="A280" t="str">
        <f t="shared" si="8"/>
        <v>DE</v>
      </c>
      <c r="B280" t="str">
        <f t="shared" si="9"/>
        <v>N</v>
      </c>
      <c r="C280" t="s">
        <v>277</v>
      </c>
      <c r="D280" s="2">
        <v>28.152999999999999</v>
      </c>
      <c r="E280" s="2">
        <v>27.727499999999999</v>
      </c>
      <c r="F280" s="2">
        <v>35.7029</v>
      </c>
      <c r="G280" s="2">
        <v>29.4679</v>
      </c>
    </row>
    <row r="281" spans="1:7" x14ac:dyDescent="0.3">
      <c r="A281" t="str">
        <f t="shared" si="8"/>
        <v>DE</v>
      </c>
      <c r="B281" t="str">
        <f t="shared" si="9"/>
        <v>N</v>
      </c>
      <c r="C281" t="s">
        <v>278</v>
      </c>
      <c r="D281" s="2">
        <v>0</v>
      </c>
      <c r="E281" s="2">
        <v>0</v>
      </c>
      <c r="F281" s="2">
        <v>0</v>
      </c>
      <c r="G281" s="2">
        <v>0</v>
      </c>
    </row>
    <row r="282" spans="1:7" x14ac:dyDescent="0.3">
      <c r="A282" t="str">
        <f t="shared" si="8"/>
        <v>DE</v>
      </c>
      <c r="B282" t="str">
        <f t="shared" si="9"/>
        <v>N</v>
      </c>
      <c r="C282" t="s">
        <v>279</v>
      </c>
      <c r="D282" s="2">
        <v>57.275599999999997</v>
      </c>
      <c r="E282" s="2">
        <v>56.8947</v>
      </c>
      <c r="F282" s="2">
        <v>56.935099999999998</v>
      </c>
      <c r="G282" s="2">
        <v>60.000700000000002</v>
      </c>
    </row>
    <row r="283" spans="1:7" x14ac:dyDescent="0.3">
      <c r="A283" t="str">
        <f t="shared" si="8"/>
        <v>DE</v>
      </c>
      <c r="B283" t="str">
        <f t="shared" si="9"/>
        <v>N</v>
      </c>
      <c r="C283" t="s">
        <v>280</v>
      </c>
      <c r="D283" s="2">
        <v>0</v>
      </c>
      <c r="E283" s="2">
        <v>0</v>
      </c>
      <c r="F283" s="2">
        <v>0</v>
      </c>
      <c r="G283" s="2">
        <v>0</v>
      </c>
    </row>
    <row r="284" spans="1:7" x14ac:dyDescent="0.3">
      <c r="A284" t="str">
        <f t="shared" si="8"/>
        <v>DE</v>
      </c>
      <c r="B284" t="str">
        <f t="shared" si="9"/>
        <v>N</v>
      </c>
      <c r="C284" t="s">
        <v>281</v>
      </c>
      <c r="D284" s="2">
        <v>31.989699999999999</v>
      </c>
      <c r="E284" s="2">
        <v>33.545200000000001</v>
      </c>
      <c r="F284" s="2">
        <v>34.020899999999997</v>
      </c>
      <c r="G284" s="2">
        <v>34.112099999999998</v>
      </c>
    </row>
    <row r="285" spans="1:7" x14ac:dyDescent="0.3">
      <c r="A285" t="str">
        <f t="shared" si="8"/>
        <v>DE</v>
      </c>
      <c r="B285" t="str">
        <f t="shared" si="9"/>
        <v>N</v>
      </c>
      <c r="C285" t="s">
        <v>282</v>
      </c>
      <c r="D285" s="2">
        <v>10.539400000000001</v>
      </c>
      <c r="E285" s="2">
        <v>10.6859</v>
      </c>
      <c r="F285" s="2">
        <v>10.678100000000001</v>
      </c>
      <c r="G285" s="2">
        <v>11.1942</v>
      </c>
    </row>
    <row r="286" spans="1:7" x14ac:dyDescent="0.3">
      <c r="A286" t="str">
        <f t="shared" si="8"/>
        <v>DE</v>
      </c>
      <c r="B286" t="str">
        <f t="shared" si="9"/>
        <v>N</v>
      </c>
      <c r="C286" t="s">
        <v>283</v>
      </c>
      <c r="D286" s="2">
        <v>16.708600000000001</v>
      </c>
      <c r="E286" s="2">
        <v>16.2866</v>
      </c>
      <c r="F286" s="2">
        <v>15.974500000000001</v>
      </c>
      <c r="G286" s="2">
        <v>16.9558</v>
      </c>
    </row>
    <row r="287" spans="1:7" x14ac:dyDescent="0.3">
      <c r="A287" t="str">
        <f t="shared" si="8"/>
        <v>DE</v>
      </c>
      <c r="B287" t="str">
        <f t="shared" si="9"/>
        <v>N</v>
      </c>
      <c r="C287" t="s">
        <v>284</v>
      </c>
      <c r="D287" s="2">
        <v>0</v>
      </c>
      <c r="E287" s="2">
        <v>0</v>
      </c>
      <c r="F287" s="2">
        <v>0</v>
      </c>
      <c r="G287" s="2">
        <v>0</v>
      </c>
    </row>
    <row r="288" spans="1:7" x14ac:dyDescent="0.3">
      <c r="A288" t="str">
        <f t="shared" si="8"/>
        <v>DE</v>
      </c>
      <c r="B288" t="str">
        <f t="shared" si="9"/>
        <v>N</v>
      </c>
      <c r="C288" t="s">
        <v>285</v>
      </c>
      <c r="D288" s="2">
        <v>0</v>
      </c>
      <c r="E288" s="2">
        <v>0</v>
      </c>
      <c r="F288" s="2">
        <v>0</v>
      </c>
      <c r="G288" s="2">
        <v>0</v>
      </c>
    </row>
    <row r="289" spans="1:7" x14ac:dyDescent="0.3">
      <c r="A289" t="str">
        <f t="shared" si="8"/>
        <v>DE</v>
      </c>
      <c r="B289" t="str">
        <f t="shared" si="9"/>
        <v>N</v>
      </c>
      <c r="C289" t="s">
        <v>286</v>
      </c>
      <c r="D289" s="2">
        <v>2.7789999999999999</v>
      </c>
      <c r="E289" s="2">
        <v>0.58240000000000003</v>
      </c>
      <c r="F289" s="2">
        <v>0.64739999999999998</v>
      </c>
      <c r="G289" s="2">
        <v>0.68410000000000004</v>
      </c>
    </row>
    <row r="290" spans="1:7" x14ac:dyDescent="0.3">
      <c r="A290" t="str">
        <f t="shared" si="8"/>
        <v>DE</v>
      </c>
      <c r="B290" t="str">
        <f t="shared" si="9"/>
        <v>P</v>
      </c>
      <c r="C290" t="s">
        <v>287</v>
      </c>
      <c r="D290" s="2">
        <v>1.5813999999999999</v>
      </c>
      <c r="E290" s="2">
        <v>1.3935</v>
      </c>
      <c r="F290" s="2">
        <v>1.4048</v>
      </c>
      <c r="G290" s="2">
        <v>1.4168000000000001</v>
      </c>
    </row>
    <row r="291" spans="1:7" x14ac:dyDescent="0.3">
      <c r="A291" t="str">
        <f t="shared" si="8"/>
        <v>DE</v>
      </c>
      <c r="B291" t="str">
        <f t="shared" si="9"/>
        <v>P</v>
      </c>
      <c r="C291" t="s">
        <v>288</v>
      </c>
      <c r="D291" s="2">
        <v>8.9154999999999998</v>
      </c>
      <c r="E291" s="2">
        <v>7.5834999999999999</v>
      </c>
      <c r="F291" s="2">
        <v>6.4821999999999997</v>
      </c>
      <c r="G291" s="2">
        <v>6.383</v>
      </c>
    </row>
    <row r="292" spans="1:7" x14ac:dyDescent="0.3">
      <c r="A292" t="str">
        <f t="shared" si="8"/>
        <v>DE</v>
      </c>
      <c r="B292" t="str">
        <f t="shared" si="9"/>
        <v>P</v>
      </c>
      <c r="C292" t="s">
        <v>289</v>
      </c>
      <c r="D292" s="2">
        <v>0</v>
      </c>
      <c r="E292" s="2">
        <v>0</v>
      </c>
      <c r="F292" s="2">
        <v>0</v>
      </c>
      <c r="G292" s="2">
        <v>0</v>
      </c>
    </row>
    <row r="293" spans="1:7" x14ac:dyDescent="0.3">
      <c r="A293" t="str">
        <f t="shared" si="8"/>
        <v>DE</v>
      </c>
      <c r="B293" t="str">
        <f t="shared" si="9"/>
        <v>P</v>
      </c>
      <c r="C293" t="s">
        <v>290</v>
      </c>
      <c r="D293" s="2">
        <v>66.7042</v>
      </c>
      <c r="E293" s="2">
        <v>67.674199999999999</v>
      </c>
      <c r="F293" s="2">
        <v>67.602699999999999</v>
      </c>
      <c r="G293" s="2">
        <v>71.918999999999997</v>
      </c>
    </row>
    <row r="294" spans="1:7" x14ac:dyDescent="0.3">
      <c r="A294" t="str">
        <f t="shared" si="8"/>
        <v>DE</v>
      </c>
      <c r="B294" t="str">
        <f t="shared" si="9"/>
        <v>P</v>
      </c>
      <c r="C294" t="s">
        <v>291</v>
      </c>
      <c r="D294" s="2">
        <v>0</v>
      </c>
      <c r="E294" s="2">
        <v>0</v>
      </c>
      <c r="F294" s="2">
        <v>0</v>
      </c>
      <c r="G294" s="2">
        <v>0</v>
      </c>
    </row>
    <row r="295" spans="1:7" x14ac:dyDescent="0.3">
      <c r="A295" t="str">
        <f t="shared" si="8"/>
        <v>DE</v>
      </c>
      <c r="B295" t="str">
        <f t="shared" si="9"/>
        <v>P</v>
      </c>
      <c r="C295" t="s">
        <v>292</v>
      </c>
      <c r="D295" s="2">
        <v>23.114999999999998</v>
      </c>
      <c r="E295" s="2">
        <v>24.031199999999998</v>
      </c>
      <c r="F295" s="2">
        <v>24.7928</v>
      </c>
      <c r="G295" s="2">
        <v>21.6037</v>
      </c>
    </row>
    <row r="296" spans="1:7" x14ac:dyDescent="0.3">
      <c r="A296" t="str">
        <f t="shared" si="8"/>
        <v>DE</v>
      </c>
      <c r="B296" t="str">
        <f t="shared" si="9"/>
        <v>P</v>
      </c>
      <c r="C296" t="s">
        <v>293</v>
      </c>
      <c r="D296" s="2">
        <v>30.938800000000001</v>
      </c>
      <c r="E296" s="2">
        <v>29.858699999999999</v>
      </c>
      <c r="F296" s="2">
        <v>29.653600000000001</v>
      </c>
      <c r="G296" s="2">
        <v>31.4193</v>
      </c>
    </row>
    <row r="297" spans="1:7" x14ac:dyDescent="0.3">
      <c r="A297" t="str">
        <f t="shared" si="8"/>
        <v>DE</v>
      </c>
      <c r="B297" t="str">
        <f t="shared" si="9"/>
        <v>P</v>
      </c>
      <c r="C297" t="s">
        <v>294</v>
      </c>
      <c r="D297" s="2">
        <v>19.2818</v>
      </c>
      <c r="E297" s="2">
        <v>18.0379</v>
      </c>
      <c r="F297" s="2">
        <v>17.2088</v>
      </c>
      <c r="G297" s="2">
        <v>17.786799999999999</v>
      </c>
    </row>
    <row r="298" spans="1:7" x14ac:dyDescent="0.3">
      <c r="A298" t="str">
        <f t="shared" si="8"/>
        <v>DE</v>
      </c>
      <c r="B298" t="str">
        <f t="shared" si="9"/>
        <v>P</v>
      </c>
      <c r="C298" t="s">
        <v>295</v>
      </c>
      <c r="D298" s="2">
        <v>0</v>
      </c>
      <c r="E298" s="2">
        <v>0</v>
      </c>
      <c r="F298" s="2">
        <v>0</v>
      </c>
      <c r="G298" s="2">
        <v>0</v>
      </c>
    </row>
    <row r="299" spans="1:7" x14ac:dyDescent="0.3">
      <c r="A299" t="str">
        <f t="shared" si="8"/>
        <v>DE</v>
      </c>
      <c r="B299" t="str">
        <f t="shared" si="9"/>
        <v>P</v>
      </c>
      <c r="C299" t="s">
        <v>296</v>
      </c>
      <c r="D299" s="2">
        <v>0</v>
      </c>
      <c r="E299" s="2">
        <v>0</v>
      </c>
      <c r="F299" s="2">
        <v>0</v>
      </c>
      <c r="G299" s="2">
        <v>0</v>
      </c>
    </row>
    <row r="300" spans="1:7" x14ac:dyDescent="0.3">
      <c r="A300" t="str">
        <f t="shared" si="8"/>
        <v>DE</v>
      </c>
      <c r="B300" t="str">
        <f t="shared" si="9"/>
        <v>P</v>
      </c>
      <c r="C300" t="s">
        <v>297</v>
      </c>
      <c r="D300" s="2">
        <v>22.981300000000001</v>
      </c>
      <c r="E300" s="2">
        <v>22.2956</v>
      </c>
      <c r="F300" s="2">
        <v>19.508099999999999</v>
      </c>
      <c r="G300" s="2">
        <v>23.002400000000002</v>
      </c>
    </row>
    <row r="301" spans="1:7" x14ac:dyDescent="0.3">
      <c r="A301" t="str">
        <f t="shared" si="8"/>
        <v>DE</v>
      </c>
      <c r="B301" t="str">
        <f t="shared" si="9"/>
        <v>O</v>
      </c>
      <c r="C301" t="s">
        <v>298</v>
      </c>
      <c r="D301" s="2">
        <v>31.206</v>
      </c>
      <c r="E301" s="2">
        <v>31.721900000000002</v>
      </c>
      <c r="F301" s="2">
        <v>33.520299999999999</v>
      </c>
      <c r="G301" s="2">
        <v>35.5871</v>
      </c>
    </row>
    <row r="302" spans="1:7" x14ac:dyDescent="0.3">
      <c r="A302" t="str">
        <f t="shared" si="8"/>
        <v>DE</v>
      </c>
      <c r="B302" t="str">
        <f t="shared" si="9"/>
        <v>O</v>
      </c>
      <c r="C302" t="s">
        <v>299</v>
      </c>
      <c r="D302" s="2">
        <v>7.8228999999999997</v>
      </c>
      <c r="E302" s="2">
        <v>8.0162999999999993</v>
      </c>
      <c r="F302" s="2">
        <v>6.9473000000000003</v>
      </c>
      <c r="G302" s="2">
        <v>7.2035999999999998</v>
      </c>
    </row>
    <row r="303" spans="1:7" x14ac:dyDescent="0.3">
      <c r="A303" t="str">
        <f t="shared" si="8"/>
        <v>DE</v>
      </c>
      <c r="B303" t="str">
        <f t="shared" si="9"/>
        <v>O</v>
      </c>
      <c r="C303" t="s">
        <v>300</v>
      </c>
      <c r="D303" s="2">
        <v>0</v>
      </c>
      <c r="E303" s="2">
        <v>0</v>
      </c>
      <c r="F303" s="2">
        <v>0</v>
      </c>
      <c r="G303" s="2">
        <v>0</v>
      </c>
    </row>
    <row r="304" spans="1:7" x14ac:dyDescent="0.3">
      <c r="A304" t="str">
        <f t="shared" si="8"/>
        <v>DE</v>
      </c>
      <c r="B304" t="str">
        <f t="shared" si="9"/>
        <v>O</v>
      </c>
      <c r="C304" t="s">
        <v>301</v>
      </c>
      <c r="D304" s="2">
        <v>152.19239999999999</v>
      </c>
      <c r="E304" s="2">
        <v>158.71629999999999</v>
      </c>
      <c r="F304" s="2">
        <v>152.50899999999999</v>
      </c>
      <c r="G304" s="2">
        <v>161.38220000000001</v>
      </c>
    </row>
    <row r="305" spans="1:7" x14ac:dyDescent="0.3">
      <c r="A305" t="str">
        <f t="shared" si="8"/>
        <v>DE</v>
      </c>
      <c r="B305" t="str">
        <f t="shared" si="9"/>
        <v>O</v>
      </c>
      <c r="C305" t="s">
        <v>302</v>
      </c>
      <c r="D305" s="2">
        <v>0</v>
      </c>
      <c r="E305" s="2">
        <v>0</v>
      </c>
      <c r="F305" s="2">
        <v>0</v>
      </c>
      <c r="G305" s="2">
        <v>0</v>
      </c>
    </row>
    <row r="306" spans="1:7" x14ac:dyDescent="0.3">
      <c r="A306" t="str">
        <f t="shared" si="8"/>
        <v>DE</v>
      </c>
      <c r="B306" t="str">
        <f t="shared" si="9"/>
        <v>O</v>
      </c>
      <c r="C306" t="s">
        <v>303</v>
      </c>
      <c r="D306" s="2">
        <v>24.4239</v>
      </c>
      <c r="E306" s="2">
        <v>23.665900000000001</v>
      </c>
      <c r="F306" s="2">
        <v>23.371200000000002</v>
      </c>
      <c r="G306" s="2">
        <v>26.133700000000001</v>
      </c>
    </row>
    <row r="307" spans="1:7" x14ac:dyDescent="0.3">
      <c r="A307" t="str">
        <f t="shared" si="8"/>
        <v>DE</v>
      </c>
      <c r="B307" t="str">
        <f t="shared" si="9"/>
        <v>O</v>
      </c>
      <c r="C307" t="s">
        <v>304</v>
      </c>
      <c r="D307" s="2">
        <v>105.8115</v>
      </c>
      <c r="E307" s="2">
        <v>101.8096</v>
      </c>
      <c r="F307" s="2">
        <v>94.236699999999999</v>
      </c>
      <c r="G307" s="2">
        <v>95.875299999999996</v>
      </c>
    </row>
    <row r="308" spans="1:7" x14ac:dyDescent="0.3">
      <c r="A308" t="str">
        <f t="shared" si="8"/>
        <v>DE</v>
      </c>
      <c r="B308" t="str">
        <f t="shared" si="9"/>
        <v>O</v>
      </c>
      <c r="C308" t="s">
        <v>305</v>
      </c>
      <c r="D308" s="2">
        <v>127.128</v>
      </c>
      <c r="E308" s="2">
        <v>124.29940000000001</v>
      </c>
      <c r="F308" s="2">
        <v>117.42230000000001</v>
      </c>
      <c r="G308" s="2">
        <v>121.40389999999999</v>
      </c>
    </row>
    <row r="309" spans="1:7" x14ac:dyDescent="0.3">
      <c r="A309" t="str">
        <f t="shared" si="8"/>
        <v>DE</v>
      </c>
      <c r="B309" t="str">
        <f t="shared" si="9"/>
        <v>O</v>
      </c>
      <c r="C309" t="s">
        <v>306</v>
      </c>
      <c r="D309" s="2">
        <v>0</v>
      </c>
      <c r="E309" s="2">
        <v>0</v>
      </c>
      <c r="F309" s="2">
        <v>0</v>
      </c>
      <c r="G309" s="2">
        <v>0</v>
      </c>
    </row>
    <row r="310" spans="1:7" x14ac:dyDescent="0.3">
      <c r="A310" t="str">
        <f t="shared" si="8"/>
        <v>DE</v>
      </c>
      <c r="B310" t="str">
        <f t="shared" si="9"/>
        <v>O</v>
      </c>
      <c r="C310" t="s">
        <v>307</v>
      </c>
      <c r="D310" s="2">
        <v>7.1999999999999998E-3</v>
      </c>
      <c r="E310" s="2">
        <v>3.0999999999999999E-3</v>
      </c>
      <c r="F310" s="2">
        <v>3.8999999999999998E-3</v>
      </c>
      <c r="G310" s="2">
        <v>4.7000000000000002E-3</v>
      </c>
    </row>
    <row r="311" spans="1:7" x14ac:dyDescent="0.3">
      <c r="A311" t="str">
        <f t="shared" si="8"/>
        <v>DE</v>
      </c>
      <c r="B311" t="str">
        <f t="shared" si="9"/>
        <v>O</v>
      </c>
      <c r="C311" t="s">
        <v>308</v>
      </c>
      <c r="D311" s="2">
        <v>28.366599999999998</v>
      </c>
      <c r="E311" s="2">
        <v>27.4678</v>
      </c>
      <c r="F311" s="2">
        <v>25.939800000000002</v>
      </c>
      <c r="G311" s="2">
        <v>27.504999999999999</v>
      </c>
    </row>
    <row r="312" spans="1:7" x14ac:dyDescent="0.3">
      <c r="A312" t="str">
        <f t="shared" si="8"/>
        <v>DK</v>
      </c>
      <c r="B312" t="str">
        <f t="shared" si="9"/>
        <v>A</v>
      </c>
      <c r="C312" t="s">
        <v>309</v>
      </c>
      <c r="D312" s="2">
        <v>0.32879999999999998</v>
      </c>
      <c r="E312" s="2">
        <v>0.32500000000000001</v>
      </c>
      <c r="F312" s="2">
        <v>0.33079999999999998</v>
      </c>
      <c r="G312" s="2">
        <v>0.51839999999999997</v>
      </c>
    </row>
    <row r="313" spans="1:7" x14ac:dyDescent="0.3">
      <c r="A313" t="str">
        <f t="shared" si="8"/>
        <v>DK</v>
      </c>
      <c r="B313" t="str">
        <f t="shared" si="9"/>
        <v>A</v>
      </c>
      <c r="C313" t="s">
        <v>310</v>
      </c>
      <c r="D313" s="2">
        <v>0</v>
      </c>
      <c r="E313" s="2">
        <v>0</v>
      </c>
      <c r="F313" s="2">
        <v>0</v>
      </c>
      <c r="G313" s="2">
        <v>0</v>
      </c>
    </row>
    <row r="314" spans="1:7" x14ac:dyDescent="0.3">
      <c r="A314" t="str">
        <f t="shared" si="8"/>
        <v>DK</v>
      </c>
      <c r="B314" t="str">
        <f t="shared" si="9"/>
        <v>A</v>
      </c>
      <c r="C314" t="s">
        <v>311</v>
      </c>
      <c r="D314" s="2">
        <v>0</v>
      </c>
      <c r="E314" s="2">
        <v>0</v>
      </c>
      <c r="F314" s="2">
        <v>0</v>
      </c>
      <c r="G314" s="2">
        <v>0</v>
      </c>
    </row>
    <row r="315" spans="1:7" x14ac:dyDescent="0.3">
      <c r="A315" t="str">
        <f t="shared" si="8"/>
        <v>DK</v>
      </c>
      <c r="B315" t="str">
        <f t="shared" si="9"/>
        <v>A</v>
      </c>
      <c r="C315" t="s">
        <v>312</v>
      </c>
      <c r="D315" s="2">
        <v>1.1075999999999999</v>
      </c>
      <c r="E315" s="2">
        <v>1.0046999999999999</v>
      </c>
      <c r="F315" s="2">
        <v>0.91910000000000003</v>
      </c>
      <c r="G315" s="2">
        <v>0.90510000000000002</v>
      </c>
    </row>
    <row r="316" spans="1:7" x14ac:dyDescent="0.3">
      <c r="A316" t="str">
        <f t="shared" si="8"/>
        <v>DK</v>
      </c>
      <c r="B316" t="str">
        <f t="shared" si="9"/>
        <v>A</v>
      </c>
      <c r="C316" t="s">
        <v>313</v>
      </c>
      <c r="D316" s="2">
        <v>0</v>
      </c>
      <c r="E316" s="2">
        <v>0</v>
      </c>
      <c r="F316" s="2">
        <v>0</v>
      </c>
      <c r="G316" s="2">
        <v>0</v>
      </c>
    </row>
    <row r="317" spans="1:7" x14ac:dyDescent="0.3">
      <c r="A317" t="str">
        <f t="shared" si="8"/>
        <v>DK</v>
      </c>
      <c r="B317" t="str">
        <f t="shared" si="9"/>
        <v>A</v>
      </c>
      <c r="C317" t="s">
        <v>314</v>
      </c>
      <c r="D317" s="2">
        <v>0.29020000000000001</v>
      </c>
      <c r="E317" s="2">
        <v>0.30919999999999997</v>
      </c>
      <c r="F317" s="2">
        <v>0.43559999999999999</v>
      </c>
      <c r="G317" s="2">
        <v>0.44240000000000002</v>
      </c>
    </row>
    <row r="318" spans="1:7" x14ac:dyDescent="0.3">
      <c r="A318" t="str">
        <f t="shared" si="8"/>
        <v>DK</v>
      </c>
      <c r="B318" t="str">
        <f t="shared" si="9"/>
        <v>A</v>
      </c>
      <c r="C318" t="s">
        <v>315</v>
      </c>
      <c r="D318" s="2">
        <v>1.3353999999999999</v>
      </c>
      <c r="E318" s="2">
        <v>1.2611000000000001</v>
      </c>
      <c r="F318" s="2">
        <v>1.2605999999999999</v>
      </c>
      <c r="G318" s="2">
        <v>1.2987</v>
      </c>
    </row>
    <row r="319" spans="1:7" x14ac:dyDescent="0.3">
      <c r="A319" t="str">
        <f t="shared" si="8"/>
        <v>DK</v>
      </c>
      <c r="B319" t="str">
        <f t="shared" si="9"/>
        <v>A</v>
      </c>
      <c r="C319" t="s">
        <v>316</v>
      </c>
      <c r="D319" s="2">
        <v>1.4073</v>
      </c>
      <c r="E319" s="2">
        <v>1.3266</v>
      </c>
      <c r="F319" s="2">
        <v>1.3143</v>
      </c>
      <c r="G319" s="2">
        <v>1.4119999999999999</v>
      </c>
    </row>
    <row r="320" spans="1:7" x14ac:dyDescent="0.3">
      <c r="A320" t="str">
        <f t="shared" si="8"/>
        <v>DK</v>
      </c>
      <c r="B320" t="str">
        <f t="shared" si="9"/>
        <v>A</v>
      </c>
      <c r="C320" t="s">
        <v>317</v>
      </c>
      <c r="D320" s="2">
        <v>0</v>
      </c>
      <c r="E320" s="2">
        <v>0</v>
      </c>
      <c r="F320" s="2">
        <v>0</v>
      </c>
      <c r="G320" s="2">
        <v>0</v>
      </c>
    </row>
    <row r="321" spans="1:7" x14ac:dyDescent="0.3">
      <c r="A321" t="str">
        <f t="shared" si="8"/>
        <v>DK</v>
      </c>
      <c r="B321" t="str">
        <f t="shared" si="9"/>
        <v>A</v>
      </c>
      <c r="C321" t="s">
        <v>318</v>
      </c>
      <c r="D321" s="2">
        <v>0</v>
      </c>
      <c r="E321" s="2">
        <v>0</v>
      </c>
      <c r="F321" s="2">
        <v>0</v>
      </c>
      <c r="G321" s="2">
        <v>0</v>
      </c>
    </row>
    <row r="322" spans="1:7" x14ac:dyDescent="0.3">
      <c r="A322" t="str">
        <f t="shared" si="8"/>
        <v>DK</v>
      </c>
      <c r="B322" t="str">
        <f t="shared" si="9"/>
        <v>A</v>
      </c>
      <c r="C322" t="s">
        <v>319</v>
      </c>
      <c r="D322" s="2">
        <v>0.39019999999999999</v>
      </c>
      <c r="E322" s="2">
        <v>0.37530000000000002</v>
      </c>
      <c r="F322" s="2">
        <v>0.40579999999999999</v>
      </c>
      <c r="G322" s="2">
        <v>0.42830000000000001</v>
      </c>
    </row>
    <row r="323" spans="1:7" x14ac:dyDescent="0.3">
      <c r="A323" t="str">
        <f t="shared" si="8"/>
        <v>DK</v>
      </c>
      <c r="B323" t="str">
        <f t="shared" si="9"/>
        <v>C</v>
      </c>
      <c r="C323" t="s">
        <v>320</v>
      </c>
      <c r="D323" s="2">
        <v>0.17449999999999999</v>
      </c>
      <c r="E323" s="2">
        <v>0.19409999999999999</v>
      </c>
      <c r="F323" s="2">
        <v>0.20830000000000001</v>
      </c>
      <c r="G323" s="2">
        <v>0.30919999999999997</v>
      </c>
    </row>
    <row r="324" spans="1:7" x14ac:dyDescent="0.3">
      <c r="A324" t="str">
        <f t="shared" si="8"/>
        <v>DK</v>
      </c>
      <c r="B324" t="str">
        <f t="shared" si="9"/>
        <v>C</v>
      </c>
      <c r="C324" t="s">
        <v>321</v>
      </c>
      <c r="D324" s="2">
        <v>0</v>
      </c>
      <c r="E324" s="2">
        <v>0</v>
      </c>
      <c r="F324" s="2">
        <v>0</v>
      </c>
      <c r="G324" s="2">
        <v>0</v>
      </c>
    </row>
    <row r="325" spans="1:7" x14ac:dyDescent="0.3">
      <c r="A325" t="str">
        <f t="shared" ref="A325:A388" si="10">LEFT(C325,2)</f>
        <v>DK</v>
      </c>
      <c r="B325" t="str">
        <f t="shared" ref="B325:B388" si="11">RIGHT(C325,1)</f>
        <v>C</v>
      </c>
      <c r="C325" t="s">
        <v>322</v>
      </c>
      <c r="D325" s="2">
        <v>0</v>
      </c>
      <c r="E325" s="2">
        <v>0</v>
      </c>
      <c r="F325" s="2">
        <v>0</v>
      </c>
      <c r="G325" s="2">
        <v>0</v>
      </c>
    </row>
    <row r="326" spans="1:7" x14ac:dyDescent="0.3">
      <c r="A326" t="str">
        <f t="shared" si="10"/>
        <v>DK</v>
      </c>
      <c r="B326" t="str">
        <f t="shared" si="11"/>
        <v>C</v>
      </c>
      <c r="C326" t="s">
        <v>323</v>
      </c>
      <c r="D326" s="2">
        <v>2.9056999999999999</v>
      </c>
      <c r="E326" s="2">
        <v>2.8769999999999998</v>
      </c>
      <c r="F326" s="2">
        <v>2.8885999999999998</v>
      </c>
      <c r="G326" s="2">
        <v>3.8975</v>
      </c>
    </row>
    <row r="327" spans="1:7" x14ac:dyDescent="0.3">
      <c r="A327" t="str">
        <f t="shared" si="10"/>
        <v>DK</v>
      </c>
      <c r="B327" t="str">
        <f t="shared" si="11"/>
        <v>C</v>
      </c>
      <c r="C327" t="s">
        <v>324</v>
      </c>
      <c r="D327" s="2">
        <v>0</v>
      </c>
      <c r="E327" s="2">
        <v>0</v>
      </c>
      <c r="F327" s="2">
        <v>0</v>
      </c>
      <c r="G327" s="2">
        <v>0</v>
      </c>
    </row>
    <row r="328" spans="1:7" x14ac:dyDescent="0.3">
      <c r="A328" t="str">
        <f t="shared" si="10"/>
        <v>DK</v>
      </c>
      <c r="B328" t="str">
        <f t="shared" si="11"/>
        <v>C</v>
      </c>
      <c r="C328" t="s">
        <v>325</v>
      </c>
      <c r="D328" s="2">
        <v>0.19739999999999999</v>
      </c>
      <c r="E328" s="2">
        <v>0.2203</v>
      </c>
      <c r="F328" s="2">
        <v>0.36990000000000001</v>
      </c>
      <c r="G328" s="2">
        <v>0.36</v>
      </c>
    </row>
    <row r="329" spans="1:7" x14ac:dyDescent="0.3">
      <c r="A329" t="str">
        <f t="shared" si="10"/>
        <v>DK</v>
      </c>
      <c r="B329" t="str">
        <f t="shared" si="11"/>
        <v>C</v>
      </c>
      <c r="C329" t="s">
        <v>326</v>
      </c>
      <c r="D329" s="2">
        <v>0.56169999999999998</v>
      </c>
      <c r="E329" s="2">
        <v>0.56420000000000003</v>
      </c>
      <c r="F329" s="2">
        <v>0.60160000000000002</v>
      </c>
      <c r="G329" s="2">
        <v>0.53920000000000001</v>
      </c>
    </row>
    <row r="330" spans="1:7" x14ac:dyDescent="0.3">
      <c r="A330" t="str">
        <f t="shared" si="10"/>
        <v>DK</v>
      </c>
      <c r="B330" t="str">
        <f t="shared" si="11"/>
        <v>C</v>
      </c>
      <c r="C330" t="s">
        <v>327</v>
      </c>
      <c r="D330" s="2">
        <v>2.3934000000000002</v>
      </c>
      <c r="E330" s="2">
        <v>2.3685</v>
      </c>
      <c r="F330" s="2">
        <v>2.4407999999999999</v>
      </c>
      <c r="G330" s="2">
        <v>2.6686000000000001</v>
      </c>
    </row>
    <row r="331" spans="1:7" x14ac:dyDescent="0.3">
      <c r="A331" t="str">
        <f t="shared" si="10"/>
        <v>DK</v>
      </c>
      <c r="B331" t="str">
        <f t="shared" si="11"/>
        <v>C</v>
      </c>
      <c r="C331" t="s">
        <v>328</v>
      </c>
      <c r="D331" s="2">
        <v>0</v>
      </c>
      <c r="E331" s="2">
        <v>0</v>
      </c>
      <c r="F331" s="2">
        <v>0</v>
      </c>
      <c r="G331" s="2">
        <v>0</v>
      </c>
    </row>
    <row r="332" spans="1:7" x14ac:dyDescent="0.3">
      <c r="A332" t="str">
        <f t="shared" si="10"/>
        <v>DK</v>
      </c>
      <c r="B332" t="str">
        <f t="shared" si="11"/>
        <v>C</v>
      </c>
      <c r="C332" t="s">
        <v>329</v>
      </c>
      <c r="D332" s="2">
        <v>0</v>
      </c>
      <c r="E332" s="2">
        <v>0</v>
      </c>
      <c r="F332" s="2">
        <v>0</v>
      </c>
      <c r="G332" s="2">
        <v>0</v>
      </c>
    </row>
    <row r="333" spans="1:7" x14ac:dyDescent="0.3">
      <c r="A333" t="str">
        <f t="shared" si="10"/>
        <v>DK</v>
      </c>
      <c r="B333" t="str">
        <f t="shared" si="11"/>
        <v>C</v>
      </c>
      <c r="C333" t="s">
        <v>330</v>
      </c>
      <c r="D333" s="2">
        <v>0.46139999999999998</v>
      </c>
      <c r="E333" s="2">
        <v>0.4647</v>
      </c>
      <c r="F333" s="2">
        <v>0.52</v>
      </c>
      <c r="G333" s="2">
        <v>0.5514</v>
      </c>
    </row>
    <row r="334" spans="1:7" x14ac:dyDescent="0.3">
      <c r="A334" t="str">
        <f t="shared" si="10"/>
        <v>DK</v>
      </c>
      <c r="B334" t="str">
        <f t="shared" si="11"/>
        <v>N</v>
      </c>
      <c r="C334" t="s">
        <v>331</v>
      </c>
      <c r="D334" s="2">
        <v>3.8397999999999999</v>
      </c>
      <c r="E334" s="2">
        <v>4.3177000000000003</v>
      </c>
      <c r="F334" s="2">
        <v>4.5301999999999998</v>
      </c>
      <c r="G334" s="2">
        <v>4.2506000000000004</v>
      </c>
    </row>
    <row r="335" spans="1:7" x14ac:dyDescent="0.3">
      <c r="A335" t="str">
        <f t="shared" si="10"/>
        <v>DK</v>
      </c>
      <c r="B335" t="str">
        <f t="shared" si="11"/>
        <v>N</v>
      </c>
      <c r="C335" t="s">
        <v>332</v>
      </c>
      <c r="D335" s="2">
        <v>1.8218000000000001</v>
      </c>
      <c r="E335" s="2">
        <v>1.4638</v>
      </c>
      <c r="F335" s="2">
        <v>1.7726999999999999</v>
      </c>
      <c r="G335" s="2">
        <v>2.1225999999999998</v>
      </c>
    </row>
    <row r="336" spans="1:7" x14ac:dyDescent="0.3">
      <c r="A336" t="str">
        <f t="shared" si="10"/>
        <v>DK</v>
      </c>
      <c r="B336" t="str">
        <f t="shared" si="11"/>
        <v>N</v>
      </c>
      <c r="C336" t="s">
        <v>333</v>
      </c>
      <c r="D336" s="2">
        <v>0</v>
      </c>
      <c r="E336" s="2">
        <v>0</v>
      </c>
      <c r="F336" s="2">
        <v>0</v>
      </c>
      <c r="G336" s="2">
        <v>0</v>
      </c>
    </row>
    <row r="337" spans="1:7" x14ac:dyDescent="0.3">
      <c r="A337" t="str">
        <f t="shared" si="10"/>
        <v>DK</v>
      </c>
      <c r="B337" t="str">
        <f t="shared" si="11"/>
        <v>N</v>
      </c>
      <c r="C337" t="s">
        <v>334</v>
      </c>
      <c r="D337" s="2">
        <v>2.8136999999999999</v>
      </c>
      <c r="E337" s="2">
        <v>2.625</v>
      </c>
      <c r="F337" s="2">
        <v>2.7848999999999999</v>
      </c>
      <c r="G337" s="2">
        <v>2.9819</v>
      </c>
    </row>
    <row r="338" spans="1:7" x14ac:dyDescent="0.3">
      <c r="A338" t="str">
        <f t="shared" si="10"/>
        <v>DK</v>
      </c>
      <c r="B338" t="str">
        <f t="shared" si="11"/>
        <v>N</v>
      </c>
      <c r="C338" t="s">
        <v>335</v>
      </c>
      <c r="D338" s="2">
        <v>0</v>
      </c>
      <c r="E338" s="2">
        <v>0</v>
      </c>
      <c r="F338" s="2">
        <v>0</v>
      </c>
      <c r="G338" s="2">
        <v>0</v>
      </c>
    </row>
    <row r="339" spans="1:7" x14ac:dyDescent="0.3">
      <c r="A339" t="str">
        <f t="shared" si="10"/>
        <v>DK</v>
      </c>
      <c r="B339" t="str">
        <f t="shared" si="11"/>
        <v>N</v>
      </c>
      <c r="C339" t="s">
        <v>336</v>
      </c>
      <c r="D339" s="2">
        <v>1.9119999999999999</v>
      </c>
      <c r="E339" s="2">
        <v>1.897</v>
      </c>
      <c r="F339" s="2">
        <v>1.8947000000000001</v>
      </c>
      <c r="G339" s="2">
        <v>1.7121999999999999</v>
      </c>
    </row>
    <row r="340" spans="1:7" x14ac:dyDescent="0.3">
      <c r="A340" t="str">
        <f t="shared" si="10"/>
        <v>DK</v>
      </c>
      <c r="B340" t="str">
        <f t="shared" si="11"/>
        <v>N</v>
      </c>
      <c r="C340" t="s">
        <v>337</v>
      </c>
      <c r="D340" s="2">
        <v>0.75160000000000005</v>
      </c>
      <c r="E340" s="2">
        <v>0.70660000000000001</v>
      </c>
      <c r="F340" s="2">
        <v>0.81859999999999999</v>
      </c>
      <c r="G340" s="2">
        <v>0.87160000000000004</v>
      </c>
    </row>
    <row r="341" spans="1:7" x14ac:dyDescent="0.3">
      <c r="A341" t="str">
        <f t="shared" si="10"/>
        <v>DK</v>
      </c>
      <c r="B341" t="str">
        <f t="shared" si="11"/>
        <v>N</v>
      </c>
      <c r="C341" t="s">
        <v>338</v>
      </c>
      <c r="D341" s="2">
        <v>0.97689999999999999</v>
      </c>
      <c r="E341" s="2">
        <v>0.93269999999999997</v>
      </c>
      <c r="F341" s="2">
        <v>1.0148999999999999</v>
      </c>
      <c r="G341" s="2">
        <v>1.0752999999999999</v>
      </c>
    </row>
    <row r="342" spans="1:7" x14ac:dyDescent="0.3">
      <c r="A342" t="str">
        <f t="shared" si="10"/>
        <v>DK</v>
      </c>
      <c r="B342" t="str">
        <f t="shared" si="11"/>
        <v>N</v>
      </c>
      <c r="C342" t="s">
        <v>339</v>
      </c>
      <c r="D342" s="2">
        <v>0</v>
      </c>
      <c r="E342" s="2">
        <v>0</v>
      </c>
      <c r="F342" s="2">
        <v>0</v>
      </c>
      <c r="G342" s="2">
        <v>0</v>
      </c>
    </row>
    <row r="343" spans="1:7" x14ac:dyDescent="0.3">
      <c r="A343" t="str">
        <f t="shared" si="10"/>
        <v>DK</v>
      </c>
      <c r="B343" t="str">
        <f t="shared" si="11"/>
        <v>N</v>
      </c>
      <c r="C343" t="s">
        <v>340</v>
      </c>
      <c r="D343" s="2">
        <v>0</v>
      </c>
      <c r="E343" s="2">
        <v>0</v>
      </c>
      <c r="F343" s="2">
        <v>0</v>
      </c>
      <c r="G343" s="2">
        <v>0</v>
      </c>
    </row>
    <row r="344" spans="1:7" x14ac:dyDescent="0.3">
      <c r="A344" t="str">
        <f t="shared" si="10"/>
        <v>DK</v>
      </c>
      <c r="B344" t="str">
        <f t="shared" si="11"/>
        <v>N</v>
      </c>
      <c r="C344" t="s">
        <v>341</v>
      </c>
      <c r="D344" s="2">
        <v>0.20319999999999999</v>
      </c>
      <c r="E344" s="2">
        <v>0.19550000000000001</v>
      </c>
      <c r="F344" s="2">
        <v>0.23319999999999999</v>
      </c>
      <c r="G344" s="2">
        <v>0.24759999999999999</v>
      </c>
    </row>
    <row r="345" spans="1:7" x14ac:dyDescent="0.3">
      <c r="A345" t="str">
        <f t="shared" si="10"/>
        <v>DK</v>
      </c>
      <c r="B345" t="str">
        <f t="shared" si="11"/>
        <v>F</v>
      </c>
      <c r="C345" t="s">
        <v>342</v>
      </c>
      <c r="D345" s="2">
        <v>0.63400000000000001</v>
      </c>
      <c r="E345" s="2">
        <v>0.74650000000000005</v>
      </c>
      <c r="F345" s="2">
        <v>0.83160000000000001</v>
      </c>
      <c r="G345" s="2">
        <v>0.8841</v>
      </c>
    </row>
    <row r="346" spans="1:7" x14ac:dyDescent="0.3">
      <c r="A346" t="str">
        <f t="shared" si="10"/>
        <v>DK</v>
      </c>
      <c r="B346" t="str">
        <f t="shared" si="11"/>
        <v>F</v>
      </c>
      <c r="C346" t="s">
        <v>343</v>
      </c>
      <c r="D346" s="2">
        <v>0.52890000000000004</v>
      </c>
      <c r="E346" s="2">
        <v>0.45729999999999998</v>
      </c>
      <c r="F346" s="2">
        <v>0.43940000000000001</v>
      </c>
      <c r="G346" s="2">
        <v>0.51129999999999998</v>
      </c>
    </row>
    <row r="347" spans="1:7" x14ac:dyDescent="0.3">
      <c r="A347" t="str">
        <f t="shared" si="10"/>
        <v>DK</v>
      </c>
      <c r="B347" t="str">
        <f t="shared" si="11"/>
        <v>F</v>
      </c>
      <c r="C347" t="s">
        <v>344</v>
      </c>
      <c r="D347" s="2">
        <v>0</v>
      </c>
      <c r="E347" s="2">
        <v>0</v>
      </c>
      <c r="F347" s="2">
        <v>0</v>
      </c>
      <c r="G347" s="2">
        <v>0</v>
      </c>
    </row>
    <row r="348" spans="1:7" x14ac:dyDescent="0.3">
      <c r="A348" t="str">
        <f t="shared" si="10"/>
        <v>DK</v>
      </c>
      <c r="B348" t="str">
        <f t="shared" si="11"/>
        <v>F</v>
      </c>
      <c r="C348" t="s">
        <v>345</v>
      </c>
      <c r="D348" s="2">
        <v>5.8784999999999998</v>
      </c>
      <c r="E348" s="2">
        <v>5.7976000000000001</v>
      </c>
      <c r="F348" s="2">
        <v>5.5403000000000002</v>
      </c>
      <c r="G348" s="2">
        <v>5.8239999999999998</v>
      </c>
    </row>
    <row r="349" spans="1:7" x14ac:dyDescent="0.3">
      <c r="A349" t="str">
        <f t="shared" si="10"/>
        <v>DK</v>
      </c>
      <c r="B349" t="str">
        <f t="shared" si="11"/>
        <v>F</v>
      </c>
      <c r="C349" t="s">
        <v>346</v>
      </c>
      <c r="D349" s="2">
        <v>0</v>
      </c>
      <c r="E349" s="2">
        <v>0</v>
      </c>
      <c r="F349" s="2">
        <v>0</v>
      </c>
      <c r="G349" s="2">
        <v>0</v>
      </c>
    </row>
    <row r="350" spans="1:7" x14ac:dyDescent="0.3">
      <c r="A350" t="str">
        <f t="shared" si="10"/>
        <v>DK</v>
      </c>
      <c r="B350" t="str">
        <f t="shared" si="11"/>
        <v>F</v>
      </c>
      <c r="C350" t="s">
        <v>347</v>
      </c>
      <c r="D350" s="2">
        <v>5.2400000000000002E-2</v>
      </c>
      <c r="E350" s="2">
        <v>7.8700000000000006E-2</v>
      </c>
      <c r="F350" s="2">
        <v>0.14380000000000001</v>
      </c>
      <c r="G350" s="2">
        <v>0.1361</v>
      </c>
    </row>
    <row r="351" spans="1:7" x14ac:dyDescent="0.3">
      <c r="A351" t="str">
        <f t="shared" si="10"/>
        <v>DK</v>
      </c>
      <c r="B351" t="str">
        <f t="shared" si="11"/>
        <v>F</v>
      </c>
      <c r="C351" t="s">
        <v>348</v>
      </c>
      <c r="D351" s="2">
        <v>2.1732999999999998</v>
      </c>
      <c r="E351" s="2">
        <v>2.1429999999999998</v>
      </c>
      <c r="F351" s="2">
        <v>2.2582</v>
      </c>
      <c r="G351" s="2">
        <v>2.3744999999999998</v>
      </c>
    </row>
    <row r="352" spans="1:7" x14ac:dyDescent="0.3">
      <c r="A352" t="str">
        <f t="shared" si="10"/>
        <v>DK</v>
      </c>
      <c r="B352" t="str">
        <f t="shared" si="11"/>
        <v>F</v>
      </c>
      <c r="C352" t="s">
        <v>349</v>
      </c>
      <c r="D352" s="2">
        <v>2.5920000000000001</v>
      </c>
      <c r="E352" s="2">
        <v>2.5693000000000001</v>
      </c>
      <c r="F352" s="2">
        <v>2.6566000000000001</v>
      </c>
      <c r="G352" s="2">
        <v>2.8008000000000002</v>
      </c>
    </row>
    <row r="353" spans="1:7" x14ac:dyDescent="0.3">
      <c r="A353" t="str">
        <f t="shared" si="10"/>
        <v>DK</v>
      </c>
      <c r="B353" t="str">
        <f t="shared" si="11"/>
        <v>F</v>
      </c>
      <c r="C353" t="s">
        <v>350</v>
      </c>
      <c r="D353" s="2">
        <v>0</v>
      </c>
      <c r="E353" s="2">
        <v>0</v>
      </c>
      <c r="F353" s="2">
        <v>0</v>
      </c>
      <c r="G353" s="2">
        <v>0</v>
      </c>
    </row>
    <row r="354" spans="1:7" x14ac:dyDescent="0.3">
      <c r="A354" t="str">
        <f t="shared" si="10"/>
        <v>DK</v>
      </c>
      <c r="B354" t="str">
        <f t="shared" si="11"/>
        <v>F</v>
      </c>
      <c r="C354" t="s">
        <v>351</v>
      </c>
      <c r="D354" s="2">
        <v>0</v>
      </c>
      <c r="E354" s="2">
        <v>0</v>
      </c>
      <c r="F354" s="2">
        <v>0</v>
      </c>
      <c r="G354" s="2">
        <v>0</v>
      </c>
    </row>
    <row r="355" spans="1:7" x14ac:dyDescent="0.3">
      <c r="A355" t="str">
        <f t="shared" si="10"/>
        <v>DK</v>
      </c>
      <c r="B355" t="str">
        <f t="shared" si="11"/>
        <v>F</v>
      </c>
      <c r="C355" t="s">
        <v>352</v>
      </c>
      <c r="D355" s="2">
        <v>0.45450000000000002</v>
      </c>
      <c r="E355" s="2">
        <v>0.45829999999999999</v>
      </c>
      <c r="F355" s="2">
        <v>0.51929999999999998</v>
      </c>
      <c r="G355" s="2">
        <v>0.54790000000000005</v>
      </c>
    </row>
    <row r="356" spans="1:7" x14ac:dyDescent="0.3">
      <c r="A356" t="str">
        <f t="shared" si="10"/>
        <v>DK</v>
      </c>
      <c r="B356" t="str">
        <f t="shared" si="11"/>
        <v>O</v>
      </c>
      <c r="C356" t="s">
        <v>353</v>
      </c>
      <c r="D356" s="2">
        <v>2.2288999999999999</v>
      </c>
      <c r="E356" s="2">
        <v>2.1240000000000001</v>
      </c>
      <c r="F356" s="2">
        <v>2.2879999999999998</v>
      </c>
      <c r="G356" s="2">
        <v>2.9662000000000002</v>
      </c>
    </row>
    <row r="357" spans="1:7" x14ac:dyDescent="0.3">
      <c r="A357" t="str">
        <f t="shared" si="10"/>
        <v>DK</v>
      </c>
      <c r="B357" t="str">
        <f t="shared" si="11"/>
        <v>O</v>
      </c>
      <c r="C357" t="s">
        <v>354</v>
      </c>
      <c r="D357" s="2">
        <v>3.1300000000000001E-2</v>
      </c>
      <c r="E357" s="2">
        <v>4.3999999999999997E-2</v>
      </c>
      <c r="F357" s="2">
        <v>6.0199999999999997E-2</v>
      </c>
      <c r="G357" s="2">
        <v>7.2300000000000003E-2</v>
      </c>
    </row>
    <row r="358" spans="1:7" x14ac:dyDescent="0.3">
      <c r="A358" t="str">
        <f t="shared" si="10"/>
        <v>DK</v>
      </c>
      <c r="B358" t="str">
        <f t="shared" si="11"/>
        <v>O</v>
      </c>
      <c r="C358" t="s">
        <v>355</v>
      </c>
      <c r="D358" s="2">
        <v>0</v>
      </c>
      <c r="E358" s="2">
        <v>0</v>
      </c>
      <c r="F358" s="2">
        <v>0</v>
      </c>
      <c r="G358" s="2">
        <v>0</v>
      </c>
    </row>
    <row r="359" spans="1:7" x14ac:dyDescent="0.3">
      <c r="A359" t="str">
        <f t="shared" si="10"/>
        <v>DK</v>
      </c>
      <c r="B359" t="str">
        <f t="shared" si="11"/>
        <v>O</v>
      </c>
      <c r="C359" t="s">
        <v>356</v>
      </c>
      <c r="D359" s="2">
        <v>2.5691999999999999</v>
      </c>
      <c r="E359" s="2">
        <v>2.3788</v>
      </c>
      <c r="F359" s="2">
        <v>2.2719</v>
      </c>
      <c r="G359" s="2">
        <v>2.2635999999999998</v>
      </c>
    </row>
    <row r="360" spans="1:7" x14ac:dyDescent="0.3">
      <c r="A360" t="str">
        <f t="shared" si="10"/>
        <v>DK</v>
      </c>
      <c r="B360" t="str">
        <f t="shared" si="11"/>
        <v>O</v>
      </c>
      <c r="C360" t="s">
        <v>357</v>
      </c>
      <c r="D360" s="2">
        <v>0</v>
      </c>
      <c r="E360" s="2">
        <v>0</v>
      </c>
      <c r="F360" s="2">
        <v>0</v>
      </c>
      <c r="G360" s="2">
        <v>0</v>
      </c>
    </row>
    <row r="361" spans="1:7" x14ac:dyDescent="0.3">
      <c r="A361" t="str">
        <f t="shared" si="10"/>
        <v>DK</v>
      </c>
      <c r="B361" t="str">
        <f t="shared" si="11"/>
        <v>O</v>
      </c>
      <c r="C361" t="s">
        <v>358</v>
      </c>
      <c r="D361" s="2">
        <v>1.3927</v>
      </c>
      <c r="E361" s="2">
        <v>1.3579000000000001</v>
      </c>
      <c r="F361" s="2">
        <v>1.1547000000000001</v>
      </c>
      <c r="G361" s="2">
        <v>1.1412</v>
      </c>
    </row>
    <row r="362" spans="1:7" x14ac:dyDescent="0.3">
      <c r="A362" t="str">
        <f t="shared" si="10"/>
        <v>DK</v>
      </c>
      <c r="B362" t="str">
        <f t="shared" si="11"/>
        <v>O</v>
      </c>
      <c r="C362" t="s">
        <v>359</v>
      </c>
      <c r="D362" s="2">
        <v>1.7977000000000001</v>
      </c>
      <c r="E362" s="2">
        <v>1.6651</v>
      </c>
      <c r="F362" s="2">
        <v>1.6428</v>
      </c>
      <c r="G362" s="2">
        <v>1.7351000000000001</v>
      </c>
    </row>
    <row r="363" spans="1:7" x14ac:dyDescent="0.3">
      <c r="A363" t="str">
        <f t="shared" si="10"/>
        <v>DK</v>
      </c>
      <c r="B363" t="str">
        <f t="shared" si="11"/>
        <v>O</v>
      </c>
      <c r="C363" t="s">
        <v>360</v>
      </c>
      <c r="D363" s="2">
        <v>2.9076</v>
      </c>
      <c r="E363" s="2">
        <v>2.7686999999999999</v>
      </c>
      <c r="F363" s="2">
        <v>2.8071999999999999</v>
      </c>
      <c r="G363" s="2">
        <v>3.0503</v>
      </c>
    </row>
    <row r="364" spans="1:7" x14ac:dyDescent="0.3">
      <c r="A364" t="str">
        <f t="shared" si="10"/>
        <v>DK</v>
      </c>
      <c r="B364" t="str">
        <f t="shared" si="11"/>
        <v>O</v>
      </c>
      <c r="C364" t="s">
        <v>361</v>
      </c>
      <c r="D364" s="2">
        <v>0</v>
      </c>
      <c r="E364" s="2">
        <v>0</v>
      </c>
      <c r="F364" s="2">
        <v>0</v>
      </c>
      <c r="G364" s="2">
        <v>0</v>
      </c>
    </row>
    <row r="365" spans="1:7" x14ac:dyDescent="0.3">
      <c r="A365" t="str">
        <f t="shared" si="10"/>
        <v>DK</v>
      </c>
      <c r="B365" t="str">
        <f t="shared" si="11"/>
        <v>O</v>
      </c>
      <c r="C365" t="s">
        <v>362</v>
      </c>
      <c r="D365" s="2">
        <v>0</v>
      </c>
      <c r="E365" s="2">
        <v>0</v>
      </c>
      <c r="F365" s="2">
        <v>0</v>
      </c>
      <c r="G365" s="2">
        <v>0</v>
      </c>
    </row>
    <row r="366" spans="1:7" x14ac:dyDescent="0.3">
      <c r="A366" t="str">
        <f t="shared" si="10"/>
        <v>DK</v>
      </c>
      <c r="B366" t="str">
        <f t="shared" si="11"/>
        <v>O</v>
      </c>
      <c r="C366" t="s">
        <v>363</v>
      </c>
      <c r="D366" s="2">
        <v>2.319</v>
      </c>
      <c r="E366" s="2">
        <v>2.1745000000000001</v>
      </c>
      <c r="F366" s="2">
        <v>2.2002000000000002</v>
      </c>
      <c r="G366" s="2">
        <v>2.2968999999999999</v>
      </c>
    </row>
    <row r="367" spans="1:7" x14ac:dyDescent="0.3">
      <c r="A367" t="str">
        <f t="shared" si="10"/>
        <v>EE</v>
      </c>
      <c r="B367" t="str">
        <f t="shared" si="11"/>
        <v>A</v>
      </c>
      <c r="C367" t="s">
        <v>364</v>
      </c>
      <c r="D367" s="2">
        <v>2.3099999999999999E-2</v>
      </c>
      <c r="E367" s="2">
        <v>4.0300000000000002E-2</v>
      </c>
      <c r="F367" s="2">
        <v>3.6700000000000003E-2</v>
      </c>
      <c r="G367" s="2">
        <v>2.3400000000000001E-2</v>
      </c>
    </row>
    <row r="368" spans="1:7" x14ac:dyDescent="0.3">
      <c r="A368" t="str">
        <f t="shared" si="10"/>
        <v>EE</v>
      </c>
      <c r="B368" t="str">
        <f t="shared" si="11"/>
        <v>A</v>
      </c>
      <c r="C368" t="s">
        <v>365</v>
      </c>
      <c r="D368" s="2">
        <v>0</v>
      </c>
      <c r="E368" s="2">
        <v>0</v>
      </c>
      <c r="F368" s="2">
        <v>0</v>
      </c>
      <c r="G368" s="2">
        <v>0</v>
      </c>
    </row>
    <row r="369" spans="1:7" x14ac:dyDescent="0.3">
      <c r="A369" t="str">
        <f t="shared" si="10"/>
        <v>EE</v>
      </c>
      <c r="B369" t="str">
        <f t="shared" si="11"/>
        <v>A</v>
      </c>
      <c r="C369" t="s">
        <v>366</v>
      </c>
      <c r="D369" s="2">
        <v>0</v>
      </c>
      <c r="E369" s="2">
        <v>0</v>
      </c>
      <c r="F369" s="2">
        <v>0</v>
      </c>
      <c r="G369" s="2">
        <v>0</v>
      </c>
    </row>
    <row r="370" spans="1:7" x14ac:dyDescent="0.3">
      <c r="A370" t="str">
        <f t="shared" si="10"/>
        <v>EE</v>
      </c>
      <c r="B370" t="str">
        <f t="shared" si="11"/>
        <v>A</v>
      </c>
      <c r="C370" t="s">
        <v>367</v>
      </c>
      <c r="D370" s="2">
        <v>6.5100000000000005E-2</v>
      </c>
      <c r="E370" s="2">
        <v>6.6900000000000001E-2</v>
      </c>
      <c r="F370" s="2">
        <v>5.8999999999999997E-2</v>
      </c>
      <c r="G370" s="2">
        <v>8.0100000000000005E-2</v>
      </c>
    </row>
    <row r="371" spans="1:7" x14ac:dyDescent="0.3">
      <c r="A371" t="str">
        <f t="shared" si="10"/>
        <v>EE</v>
      </c>
      <c r="B371" t="str">
        <f t="shared" si="11"/>
        <v>A</v>
      </c>
      <c r="C371" t="s">
        <v>368</v>
      </c>
      <c r="D371" s="2">
        <v>0</v>
      </c>
      <c r="E371" s="2">
        <v>0</v>
      </c>
      <c r="F371" s="2">
        <v>0</v>
      </c>
      <c r="G371" s="2">
        <v>0</v>
      </c>
    </row>
    <row r="372" spans="1:7" x14ac:dyDescent="0.3">
      <c r="A372" t="str">
        <f t="shared" si="10"/>
        <v>EE</v>
      </c>
      <c r="B372" t="str">
        <f t="shared" si="11"/>
        <v>A</v>
      </c>
      <c r="C372" t="s">
        <v>369</v>
      </c>
      <c r="D372" s="2">
        <v>3.09E-2</v>
      </c>
      <c r="E372" s="2">
        <v>2.76E-2</v>
      </c>
      <c r="F372" s="2">
        <v>2.47E-2</v>
      </c>
      <c r="G372" s="2">
        <v>2.8799999999999999E-2</v>
      </c>
    </row>
    <row r="373" spans="1:7" x14ac:dyDescent="0.3">
      <c r="A373" t="str">
        <f t="shared" si="10"/>
        <v>EE</v>
      </c>
      <c r="B373" t="str">
        <f t="shared" si="11"/>
        <v>A</v>
      </c>
      <c r="C373" t="s">
        <v>370</v>
      </c>
      <c r="D373" s="2">
        <v>0.36930000000000002</v>
      </c>
      <c r="E373" s="2">
        <v>0.248</v>
      </c>
      <c r="F373" s="2">
        <v>0.24759999999999999</v>
      </c>
      <c r="G373" s="2">
        <v>0.30549999999999999</v>
      </c>
    </row>
    <row r="374" spans="1:7" x14ac:dyDescent="0.3">
      <c r="A374" t="str">
        <f t="shared" si="10"/>
        <v>EE</v>
      </c>
      <c r="B374" t="str">
        <f t="shared" si="11"/>
        <v>A</v>
      </c>
      <c r="C374" t="s">
        <v>371</v>
      </c>
      <c r="D374" s="2">
        <v>0.2636</v>
      </c>
      <c r="E374" s="2">
        <v>0.19769999999999999</v>
      </c>
      <c r="F374" s="2">
        <v>0.19439999999999999</v>
      </c>
      <c r="G374" s="2">
        <v>0.23499999999999999</v>
      </c>
    </row>
    <row r="375" spans="1:7" x14ac:dyDescent="0.3">
      <c r="A375" t="str">
        <f t="shared" si="10"/>
        <v>EE</v>
      </c>
      <c r="B375" t="str">
        <f t="shared" si="11"/>
        <v>A</v>
      </c>
      <c r="C375" t="s">
        <v>372</v>
      </c>
      <c r="D375" s="2">
        <v>0</v>
      </c>
      <c r="E375" s="2">
        <v>0</v>
      </c>
      <c r="F375" s="2">
        <v>0</v>
      </c>
      <c r="G375" s="2">
        <v>0</v>
      </c>
    </row>
    <row r="376" spans="1:7" x14ac:dyDescent="0.3">
      <c r="A376" t="str">
        <f t="shared" si="10"/>
        <v>EE</v>
      </c>
      <c r="B376" t="str">
        <f t="shared" si="11"/>
        <v>A</v>
      </c>
      <c r="C376" t="s">
        <v>373</v>
      </c>
      <c r="D376" s="2">
        <v>0</v>
      </c>
      <c r="E376" s="2">
        <v>0</v>
      </c>
      <c r="F376" s="2">
        <v>0</v>
      </c>
      <c r="G376" s="2">
        <v>0</v>
      </c>
    </row>
    <row r="377" spans="1:7" x14ac:dyDescent="0.3">
      <c r="A377" t="str">
        <f t="shared" si="10"/>
        <v>EE</v>
      </c>
      <c r="B377" t="str">
        <f t="shared" si="11"/>
        <v>A</v>
      </c>
      <c r="C377" t="s">
        <v>374</v>
      </c>
      <c r="D377" s="2">
        <v>0.15559999999999999</v>
      </c>
      <c r="E377" s="2">
        <v>0.13500000000000001</v>
      </c>
      <c r="F377" s="2">
        <v>0.17760000000000001</v>
      </c>
      <c r="G377" s="2">
        <v>0.27710000000000001</v>
      </c>
    </row>
    <row r="378" spans="1:7" x14ac:dyDescent="0.3">
      <c r="A378" t="str">
        <f t="shared" si="10"/>
        <v>EE</v>
      </c>
      <c r="B378" t="str">
        <f t="shared" si="11"/>
        <v>P</v>
      </c>
      <c r="C378" t="s">
        <v>375</v>
      </c>
      <c r="D378" s="2">
        <v>0</v>
      </c>
      <c r="E378" s="2">
        <v>1.01E-2</v>
      </c>
      <c r="F378" s="2">
        <v>7.1000000000000004E-3</v>
      </c>
      <c r="G378" s="2">
        <v>7.4000000000000003E-3</v>
      </c>
    </row>
    <row r="379" spans="1:7" x14ac:dyDescent="0.3">
      <c r="A379" t="str">
        <f t="shared" si="10"/>
        <v>EE</v>
      </c>
      <c r="B379" t="str">
        <f t="shared" si="11"/>
        <v>P</v>
      </c>
      <c r="C379" t="s">
        <v>376</v>
      </c>
      <c r="D379" s="2">
        <v>0</v>
      </c>
      <c r="E379" s="2">
        <v>0</v>
      </c>
      <c r="F379" s="2">
        <v>0</v>
      </c>
      <c r="G379" s="2">
        <v>0</v>
      </c>
    </row>
    <row r="380" spans="1:7" x14ac:dyDescent="0.3">
      <c r="A380" t="str">
        <f t="shared" si="10"/>
        <v>EE</v>
      </c>
      <c r="B380" t="str">
        <f t="shared" si="11"/>
        <v>P</v>
      </c>
      <c r="C380" t="s">
        <v>377</v>
      </c>
      <c r="D380" s="2">
        <v>0</v>
      </c>
      <c r="E380" s="2">
        <v>0</v>
      </c>
      <c r="F380" s="2">
        <v>0</v>
      </c>
      <c r="G380" s="2">
        <v>0</v>
      </c>
    </row>
    <row r="381" spans="1:7" x14ac:dyDescent="0.3">
      <c r="A381" t="str">
        <f t="shared" si="10"/>
        <v>EE</v>
      </c>
      <c r="B381" t="str">
        <f t="shared" si="11"/>
        <v>P</v>
      </c>
      <c r="C381" t="s">
        <v>378</v>
      </c>
      <c r="D381" s="2">
        <v>0.92230000000000001</v>
      </c>
      <c r="E381" s="2">
        <v>0.87590000000000001</v>
      </c>
      <c r="F381" s="2">
        <v>0.89659999999999995</v>
      </c>
      <c r="G381" s="2">
        <v>0.80459999999999998</v>
      </c>
    </row>
    <row r="382" spans="1:7" x14ac:dyDescent="0.3">
      <c r="A382" t="str">
        <f t="shared" si="10"/>
        <v>EE</v>
      </c>
      <c r="B382" t="str">
        <f t="shared" si="11"/>
        <v>P</v>
      </c>
      <c r="C382" t="s">
        <v>379</v>
      </c>
      <c r="D382" s="2">
        <v>0</v>
      </c>
      <c r="E382" s="2">
        <v>0</v>
      </c>
      <c r="F382" s="2">
        <v>0</v>
      </c>
      <c r="G382" s="2">
        <v>0</v>
      </c>
    </row>
    <row r="383" spans="1:7" x14ac:dyDescent="0.3">
      <c r="A383" t="str">
        <f t="shared" si="10"/>
        <v>EE</v>
      </c>
      <c r="B383" t="str">
        <f t="shared" si="11"/>
        <v>P</v>
      </c>
      <c r="C383" t="s">
        <v>380</v>
      </c>
      <c r="D383" s="2">
        <v>0.1313</v>
      </c>
      <c r="E383" s="2">
        <v>0.105</v>
      </c>
      <c r="F383" s="2">
        <v>0.1144</v>
      </c>
      <c r="G383" s="2">
        <v>0.154</v>
      </c>
    </row>
    <row r="384" spans="1:7" x14ac:dyDescent="0.3">
      <c r="A384" t="str">
        <f t="shared" si="10"/>
        <v>EE</v>
      </c>
      <c r="B384" t="str">
        <f t="shared" si="11"/>
        <v>P</v>
      </c>
      <c r="C384" t="s">
        <v>381</v>
      </c>
      <c r="D384" s="2">
        <v>0.73899999999999999</v>
      </c>
      <c r="E384" s="2">
        <v>0.51349999999999996</v>
      </c>
      <c r="F384" s="2">
        <v>0.53400000000000003</v>
      </c>
      <c r="G384" s="2">
        <v>0.58230000000000004</v>
      </c>
    </row>
    <row r="385" spans="1:7" x14ac:dyDescent="0.3">
      <c r="A385" t="str">
        <f t="shared" si="10"/>
        <v>EE</v>
      </c>
      <c r="B385" t="str">
        <f t="shared" si="11"/>
        <v>P</v>
      </c>
      <c r="C385" t="s">
        <v>382</v>
      </c>
      <c r="D385" s="2">
        <v>0.4874</v>
      </c>
      <c r="E385" s="2">
        <v>0.38629999999999998</v>
      </c>
      <c r="F385" s="2">
        <v>0.38229999999999997</v>
      </c>
      <c r="G385" s="2">
        <v>0.39900000000000002</v>
      </c>
    </row>
    <row r="386" spans="1:7" x14ac:dyDescent="0.3">
      <c r="A386" t="str">
        <f t="shared" si="10"/>
        <v>EE</v>
      </c>
      <c r="B386" t="str">
        <f t="shared" si="11"/>
        <v>P</v>
      </c>
      <c r="C386" t="s">
        <v>383</v>
      </c>
      <c r="D386" s="2">
        <v>0</v>
      </c>
      <c r="E386" s="2">
        <v>0</v>
      </c>
      <c r="F386" s="2">
        <v>0</v>
      </c>
      <c r="G386" s="2">
        <v>0</v>
      </c>
    </row>
    <row r="387" spans="1:7" x14ac:dyDescent="0.3">
      <c r="A387" t="str">
        <f t="shared" si="10"/>
        <v>EE</v>
      </c>
      <c r="B387" t="str">
        <f t="shared" si="11"/>
        <v>P</v>
      </c>
      <c r="C387" t="s">
        <v>384</v>
      </c>
      <c r="D387" s="2">
        <v>0</v>
      </c>
      <c r="E387" s="2">
        <v>0</v>
      </c>
      <c r="F387" s="2">
        <v>0</v>
      </c>
      <c r="G387" s="2">
        <v>0</v>
      </c>
    </row>
    <row r="388" spans="1:7" x14ac:dyDescent="0.3">
      <c r="A388" t="str">
        <f t="shared" si="10"/>
        <v>EE</v>
      </c>
      <c r="B388" t="str">
        <f t="shared" si="11"/>
        <v>P</v>
      </c>
      <c r="C388" t="s">
        <v>385</v>
      </c>
      <c r="D388" s="2">
        <v>2.24E-2</v>
      </c>
      <c r="E388" s="2">
        <v>2.47E-2</v>
      </c>
      <c r="F388" s="2">
        <v>1.9400000000000001E-2</v>
      </c>
      <c r="G388" s="2">
        <v>1.7100000000000001E-2</v>
      </c>
    </row>
    <row r="389" spans="1:7" x14ac:dyDescent="0.3">
      <c r="A389" t="str">
        <f t="shared" ref="A389:A452" si="12">LEFT(C389,2)</f>
        <v>EE</v>
      </c>
      <c r="B389" t="str">
        <f t="shared" ref="B389:B452" si="13">RIGHT(C389,1)</f>
        <v>W</v>
      </c>
      <c r="C389" t="s">
        <v>386</v>
      </c>
      <c r="D389" s="2">
        <v>3.2300000000000002E-2</v>
      </c>
      <c r="E389" s="2">
        <v>0.105</v>
      </c>
      <c r="F389" s="2">
        <v>0.1547</v>
      </c>
      <c r="G389" s="2">
        <v>0.1091</v>
      </c>
    </row>
    <row r="390" spans="1:7" x14ac:dyDescent="0.3">
      <c r="A390" t="str">
        <f t="shared" si="12"/>
        <v>EE</v>
      </c>
      <c r="B390" t="str">
        <f t="shared" si="13"/>
        <v>W</v>
      </c>
      <c r="C390" t="s">
        <v>387</v>
      </c>
      <c r="D390" s="2">
        <v>0</v>
      </c>
      <c r="E390" s="2">
        <v>0</v>
      </c>
      <c r="F390" s="2">
        <v>0</v>
      </c>
      <c r="G390" s="2">
        <v>0</v>
      </c>
    </row>
    <row r="391" spans="1:7" x14ac:dyDescent="0.3">
      <c r="A391" t="str">
        <f t="shared" si="12"/>
        <v>EE</v>
      </c>
      <c r="B391" t="str">
        <f t="shared" si="13"/>
        <v>W</v>
      </c>
      <c r="C391" t="s">
        <v>388</v>
      </c>
      <c r="D391" s="2">
        <v>0</v>
      </c>
      <c r="E391" s="2">
        <v>0</v>
      </c>
      <c r="F391" s="2">
        <v>0</v>
      </c>
      <c r="G391" s="2">
        <v>0</v>
      </c>
    </row>
    <row r="392" spans="1:7" x14ac:dyDescent="0.3">
      <c r="A392" t="str">
        <f t="shared" si="12"/>
        <v>EE</v>
      </c>
      <c r="B392" t="str">
        <f t="shared" si="13"/>
        <v>W</v>
      </c>
      <c r="C392" t="s">
        <v>389</v>
      </c>
      <c r="D392" s="2">
        <v>0.17399999999999999</v>
      </c>
      <c r="E392" s="2">
        <v>0.21229999999999999</v>
      </c>
      <c r="F392" s="2">
        <v>0.2011</v>
      </c>
      <c r="G392" s="2">
        <v>0.1802</v>
      </c>
    </row>
    <row r="393" spans="1:7" x14ac:dyDescent="0.3">
      <c r="A393" t="str">
        <f t="shared" si="12"/>
        <v>EE</v>
      </c>
      <c r="B393" t="str">
        <f t="shared" si="13"/>
        <v>W</v>
      </c>
      <c r="C393" t="s">
        <v>390</v>
      </c>
      <c r="D393" s="2">
        <v>0</v>
      </c>
      <c r="E393" s="2">
        <v>0</v>
      </c>
      <c r="F393" s="2">
        <v>0</v>
      </c>
      <c r="G393" s="2">
        <v>0</v>
      </c>
    </row>
    <row r="394" spans="1:7" x14ac:dyDescent="0.3">
      <c r="A394" t="str">
        <f t="shared" si="12"/>
        <v>EE</v>
      </c>
      <c r="B394" t="str">
        <f t="shared" si="13"/>
        <v>W</v>
      </c>
      <c r="C394" t="s">
        <v>391</v>
      </c>
      <c r="D394" s="2">
        <v>9.4E-2</v>
      </c>
      <c r="E394" s="2">
        <v>5.6800000000000003E-2</v>
      </c>
      <c r="F394" s="2">
        <v>0.13489999999999999</v>
      </c>
      <c r="G394" s="2">
        <v>8.5800000000000001E-2</v>
      </c>
    </row>
    <row r="395" spans="1:7" x14ac:dyDescent="0.3">
      <c r="A395" t="str">
        <f t="shared" si="12"/>
        <v>EE</v>
      </c>
      <c r="B395" t="str">
        <f t="shared" si="13"/>
        <v>W</v>
      </c>
      <c r="C395" t="s">
        <v>392</v>
      </c>
      <c r="D395" s="2">
        <v>0.1099</v>
      </c>
      <c r="E395" s="2">
        <v>0.1123</v>
      </c>
      <c r="F395" s="2">
        <v>0.1181</v>
      </c>
      <c r="G395" s="2">
        <v>0.1051</v>
      </c>
    </row>
    <row r="396" spans="1:7" x14ac:dyDescent="0.3">
      <c r="A396" t="str">
        <f t="shared" si="12"/>
        <v>EE</v>
      </c>
      <c r="B396" t="str">
        <f t="shared" si="13"/>
        <v>W</v>
      </c>
      <c r="C396" t="s">
        <v>393</v>
      </c>
      <c r="D396" s="2">
        <v>0.62860000000000005</v>
      </c>
      <c r="E396" s="2">
        <v>0.65690000000000004</v>
      </c>
      <c r="F396" s="2">
        <v>0.67610000000000003</v>
      </c>
      <c r="G396" s="2">
        <v>0.60570000000000002</v>
      </c>
    </row>
    <row r="397" spans="1:7" x14ac:dyDescent="0.3">
      <c r="A397" t="str">
        <f t="shared" si="12"/>
        <v>EE</v>
      </c>
      <c r="B397" t="str">
        <f t="shared" si="13"/>
        <v>W</v>
      </c>
      <c r="C397" t="s">
        <v>394</v>
      </c>
      <c r="D397" s="2">
        <v>0</v>
      </c>
      <c r="E397" s="2">
        <v>0</v>
      </c>
      <c r="F397" s="2">
        <v>0</v>
      </c>
      <c r="G397" s="2">
        <v>0</v>
      </c>
    </row>
    <row r="398" spans="1:7" x14ac:dyDescent="0.3">
      <c r="A398" t="str">
        <f t="shared" si="12"/>
        <v>EE</v>
      </c>
      <c r="B398" t="str">
        <f t="shared" si="13"/>
        <v>W</v>
      </c>
      <c r="C398" t="s">
        <v>395</v>
      </c>
      <c r="D398" s="2">
        <v>0</v>
      </c>
      <c r="E398" s="2">
        <v>0</v>
      </c>
      <c r="F398" s="2">
        <v>0</v>
      </c>
      <c r="G398" s="2">
        <v>0</v>
      </c>
    </row>
    <row r="399" spans="1:7" x14ac:dyDescent="0.3">
      <c r="A399" t="str">
        <f t="shared" si="12"/>
        <v>EE</v>
      </c>
      <c r="B399" t="str">
        <f t="shared" si="13"/>
        <v>W</v>
      </c>
      <c r="C399" t="s">
        <v>396</v>
      </c>
      <c r="D399" s="2">
        <v>2.87E-2</v>
      </c>
      <c r="E399" s="2">
        <v>2.7400000000000001E-2</v>
      </c>
      <c r="F399" s="2">
        <v>2.3199999999999998E-2</v>
      </c>
      <c r="G399" s="2">
        <v>1.9800000000000002E-2</v>
      </c>
    </row>
    <row r="400" spans="1:7" x14ac:dyDescent="0.3">
      <c r="A400" t="str">
        <f t="shared" si="12"/>
        <v>EE</v>
      </c>
      <c r="B400" t="str">
        <f t="shared" si="13"/>
        <v>F</v>
      </c>
      <c r="C400" t="s">
        <v>397</v>
      </c>
      <c r="D400" s="2">
        <v>3.6999999999999998E-2</v>
      </c>
      <c r="E400" s="2">
        <v>0.20630000000000001</v>
      </c>
      <c r="F400" s="2">
        <v>0.15409999999999999</v>
      </c>
      <c r="G400" s="2">
        <v>0.1237</v>
      </c>
    </row>
    <row r="401" spans="1:7" x14ac:dyDescent="0.3">
      <c r="A401" t="str">
        <f t="shared" si="12"/>
        <v>EE</v>
      </c>
      <c r="B401" t="str">
        <f t="shared" si="13"/>
        <v>F</v>
      </c>
      <c r="C401" t="s">
        <v>398</v>
      </c>
      <c r="D401" s="2">
        <v>0</v>
      </c>
      <c r="E401" s="2">
        <v>0</v>
      </c>
      <c r="F401" s="2">
        <v>0</v>
      </c>
      <c r="G401" s="2">
        <v>0</v>
      </c>
    </row>
    <row r="402" spans="1:7" x14ac:dyDescent="0.3">
      <c r="A402" t="str">
        <f t="shared" si="12"/>
        <v>EE</v>
      </c>
      <c r="B402" t="str">
        <f t="shared" si="13"/>
        <v>F</v>
      </c>
      <c r="C402" t="s">
        <v>399</v>
      </c>
      <c r="D402" s="2">
        <v>0</v>
      </c>
      <c r="E402" s="2">
        <v>0</v>
      </c>
      <c r="F402" s="2">
        <v>0</v>
      </c>
      <c r="G402" s="2">
        <v>0</v>
      </c>
    </row>
    <row r="403" spans="1:7" x14ac:dyDescent="0.3">
      <c r="A403" t="str">
        <f t="shared" si="12"/>
        <v>EE</v>
      </c>
      <c r="B403" t="str">
        <f t="shared" si="13"/>
        <v>F</v>
      </c>
      <c r="C403" t="s">
        <v>400</v>
      </c>
      <c r="D403" s="2">
        <v>0.50770000000000004</v>
      </c>
      <c r="E403" s="2">
        <v>0.48520000000000002</v>
      </c>
      <c r="F403" s="2">
        <v>0.61070000000000002</v>
      </c>
      <c r="G403" s="2">
        <v>0.52259999999999995</v>
      </c>
    </row>
    <row r="404" spans="1:7" x14ac:dyDescent="0.3">
      <c r="A404" t="str">
        <f t="shared" si="12"/>
        <v>EE</v>
      </c>
      <c r="B404" t="str">
        <f t="shared" si="13"/>
        <v>F</v>
      </c>
      <c r="C404" t="s">
        <v>401</v>
      </c>
      <c r="D404" s="2">
        <v>0</v>
      </c>
      <c r="E404" s="2">
        <v>0</v>
      </c>
      <c r="F404" s="2">
        <v>0</v>
      </c>
      <c r="G404" s="2">
        <v>0</v>
      </c>
    </row>
    <row r="405" spans="1:7" x14ac:dyDescent="0.3">
      <c r="A405" t="str">
        <f t="shared" si="12"/>
        <v>EE</v>
      </c>
      <c r="B405" t="str">
        <f t="shared" si="13"/>
        <v>F</v>
      </c>
      <c r="C405" t="s">
        <v>402</v>
      </c>
      <c r="D405" s="2">
        <v>7.9000000000000008E-3</v>
      </c>
      <c r="E405" s="2">
        <v>9.9000000000000008E-3</v>
      </c>
      <c r="F405" s="2">
        <v>1.43E-2</v>
      </c>
      <c r="G405" s="2">
        <v>1.7500000000000002E-2</v>
      </c>
    </row>
    <row r="406" spans="1:7" x14ac:dyDescent="0.3">
      <c r="A406" t="str">
        <f t="shared" si="12"/>
        <v>EE</v>
      </c>
      <c r="B406" t="str">
        <f t="shared" si="13"/>
        <v>F</v>
      </c>
      <c r="C406" t="s">
        <v>403</v>
      </c>
      <c r="D406" s="2">
        <v>0.2883</v>
      </c>
      <c r="E406" s="2">
        <v>0.28699999999999998</v>
      </c>
      <c r="F406" s="2">
        <v>0.29499999999999998</v>
      </c>
      <c r="G406" s="2">
        <v>0.33310000000000001</v>
      </c>
    </row>
    <row r="407" spans="1:7" x14ac:dyDescent="0.3">
      <c r="A407" t="str">
        <f t="shared" si="12"/>
        <v>EE</v>
      </c>
      <c r="B407" t="str">
        <f t="shared" si="13"/>
        <v>F</v>
      </c>
      <c r="C407" t="s">
        <v>404</v>
      </c>
      <c r="D407" s="2">
        <v>0.28739999999999999</v>
      </c>
      <c r="E407" s="2">
        <v>0.30380000000000001</v>
      </c>
      <c r="F407" s="2">
        <v>0.3201</v>
      </c>
      <c r="G407" s="2">
        <v>0.33400000000000002</v>
      </c>
    </row>
    <row r="408" spans="1:7" x14ac:dyDescent="0.3">
      <c r="A408" t="str">
        <f t="shared" si="12"/>
        <v>EE</v>
      </c>
      <c r="B408" t="str">
        <f t="shared" si="13"/>
        <v>F</v>
      </c>
      <c r="C408" t="s">
        <v>405</v>
      </c>
      <c r="D408" s="2">
        <v>0</v>
      </c>
      <c r="E408" s="2">
        <v>0</v>
      </c>
      <c r="F408" s="2">
        <v>0</v>
      </c>
      <c r="G408" s="2">
        <v>0</v>
      </c>
    </row>
    <row r="409" spans="1:7" x14ac:dyDescent="0.3">
      <c r="A409" t="str">
        <f t="shared" si="12"/>
        <v>EE</v>
      </c>
      <c r="B409" t="str">
        <f t="shared" si="13"/>
        <v>F</v>
      </c>
      <c r="C409" t="s">
        <v>406</v>
      </c>
      <c r="D409" s="2">
        <v>0</v>
      </c>
      <c r="E409" s="2">
        <v>0</v>
      </c>
      <c r="F409" s="2">
        <v>0</v>
      </c>
      <c r="G409" s="2">
        <v>0</v>
      </c>
    </row>
    <row r="410" spans="1:7" x14ac:dyDescent="0.3">
      <c r="A410" t="str">
        <f t="shared" si="12"/>
        <v>EE</v>
      </c>
      <c r="B410" t="str">
        <f t="shared" si="13"/>
        <v>F</v>
      </c>
      <c r="C410" t="s">
        <v>407</v>
      </c>
      <c r="D410" s="2">
        <v>5.8200000000000002E-2</v>
      </c>
      <c r="E410" s="2">
        <v>5.2999999999999999E-2</v>
      </c>
      <c r="F410" s="2">
        <v>6.0199999999999997E-2</v>
      </c>
      <c r="G410" s="2">
        <v>5.2499999999999998E-2</v>
      </c>
    </row>
    <row r="411" spans="1:7" x14ac:dyDescent="0.3">
      <c r="A411" t="str">
        <f t="shared" si="12"/>
        <v>EE</v>
      </c>
      <c r="B411" t="str">
        <f t="shared" si="13"/>
        <v>O</v>
      </c>
      <c r="C411" t="s">
        <v>408</v>
      </c>
      <c r="D411" s="2">
        <v>0.65680000000000005</v>
      </c>
      <c r="E411" s="2">
        <v>0.59519999999999995</v>
      </c>
      <c r="F411" s="2">
        <v>0.57930000000000004</v>
      </c>
      <c r="G411" s="2">
        <v>0.28239999999999998</v>
      </c>
    </row>
    <row r="412" spans="1:7" x14ac:dyDescent="0.3">
      <c r="A412" t="str">
        <f t="shared" si="12"/>
        <v>EE</v>
      </c>
      <c r="B412" t="str">
        <f t="shared" si="13"/>
        <v>O</v>
      </c>
      <c r="C412" t="s">
        <v>409</v>
      </c>
      <c r="D412" s="2">
        <v>0.76549999999999996</v>
      </c>
      <c r="E412" s="2">
        <v>0.77829999999999999</v>
      </c>
      <c r="F412" s="2">
        <v>0.1181</v>
      </c>
      <c r="G412" s="2">
        <v>1.9E-3</v>
      </c>
    </row>
    <row r="413" spans="1:7" x14ac:dyDescent="0.3">
      <c r="A413" t="str">
        <f t="shared" si="12"/>
        <v>EE</v>
      </c>
      <c r="B413" t="str">
        <f t="shared" si="13"/>
        <v>O</v>
      </c>
      <c r="C413" t="s">
        <v>410</v>
      </c>
      <c r="D413" s="2">
        <v>0</v>
      </c>
      <c r="E413" s="2">
        <v>0</v>
      </c>
      <c r="F413" s="2">
        <v>0</v>
      </c>
      <c r="G413" s="2">
        <v>0</v>
      </c>
    </row>
    <row r="414" spans="1:7" x14ac:dyDescent="0.3">
      <c r="A414" t="str">
        <f t="shared" si="12"/>
        <v>EE</v>
      </c>
      <c r="B414" t="str">
        <f t="shared" si="13"/>
        <v>O</v>
      </c>
      <c r="C414" t="s">
        <v>411</v>
      </c>
      <c r="D414" s="2">
        <v>0.69969999999999999</v>
      </c>
      <c r="E414" s="2">
        <v>0.52839999999999998</v>
      </c>
      <c r="F414" s="2">
        <v>0.38390000000000002</v>
      </c>
      <c r="G414" s="2">
        <v>0.58040000000000003</v>
      </c>
    </row>
    <row r="415" spans="1:7" x14ac:dyDescent="0.3">
      <c r="A415" t="str">
        <f t="shared" si="12"/>
        <v>EE</v>
      </c>
      <c r="B415" t="str">
        <f t="shared" si="13"/>
        <v>O</v>
      </c>
      <c r="C415" t="s">
        <v>412</v>
      </c>
      <c r="D415" s="2">
        <v>0</v>
      </c>
      <c r="E415" s="2">
        <v>0</v>
      </c>
      <c r="F415" s="2">
        <v>0</v>
      </c>
      <c r="G415" s="2">
        <v>0</v>
      </c>
    </row>
    <row r="416" spans="1:7" x14ac:dyDescent="0.3">
      <c r="A416" t="str">
        <f t="shared" si="12"/>
        <v>EE</v>
      </c>
      <c r="B416" t="str">
        <f t="shared" si="13"/>
        <v>O</v>
      </c>
      <c r="C416" t="s">
        <v>413</v>
      </c>
      <c r="D416" s="2">
        <v>0.46060000000000001</v>
      </c>
      <c r="E416" s="2">
        <v>0.38840000000000002</v>
      </c>
      <c r="F416" s="2">
        <v>0.1057</v>
      </c>
      <c r="G416" s="2">
        <v>4.1099999999999998E-2</v>
      </c>
    </row>
    <row r="417" spans="1:7" x14ac:dyDescent="0.3">
      <c r="A417" t="str">
        <f t="shared" si="12"/>
        <v>EE</v>
      </c>
      <c r="B417" t="str">
        <f t="shared" si="13"/>
        <v>O</v>
      </c>
      <c r="C417" t="s">
        <v>414</v>
      </c>
      <c r="D417" s="2">
        <v>0.34570000000000001</v>
      </c>
      <c r="E417" s="2">
        <v>0.34</v>
      </c>
      <c r="F417" s="2">
        <v>0.30199999999999999</v>
      </c>
      <c r="G417" s="2">
        <v>0.29470000000000002</v>
      </c>
    </row>
    <row r="418" spans="1:7" x14ac:dyDescent="0.3">
      <c r="A418" t="str">
        <f t="shared" si="12"/>
        <v>EE</v>
      </c>
      <c r="B418" t="str">
        <f t="shared" si="13"/>
        <v>O</v>
      </c>
      <c r="C418" t="s">
        <v>415</v>
      </c>
      <c r="D418" s="2">
        <v>0.92320000000000002</v>
      </c>
      <c r="E418" s="2">
        <v>0.85309999999999997</v>
      </c>
      <c r="F418" s="2">
        <v>0.86809999999999998</v>
      </c>
      <c r="G418" s="2">
        <v>0.95199999999999996</v>
      </c>
    </row>
    <row r="419" spans="1:7" x14ac:dyDescent="0.3">
      <c r="A419" t="str">
        <f t="shared" si="12"/>
        <v>EE</v>
      </c>
      <c r="B419" t="str">
        <f t="shared" si="13"/>
        <v>O</v>
      </c>
      <c r="C419" t="s">
        <v>416</v>
      </c>
      <c r="D419" s="2">
        <v>0</v>
      </c>
      <c r="E419" s="2">
        <v>0</v>
      </c>
      <c r="F419" s="2">
        <v>0</v>
      </c>
      <c r="G419" s="2">
        <v>0</v>
      </c>
    </row>
    <row r="420" spans="1:7" x14ac:dyDescent="0.3">
      <c r="A420" t="str">
        <f t="shared" si="12"/>
        <v>EE</v>
      </c>
      <c r="B420" t="str">
        <f t="shared" si="13"/>
        <v>O</v>
      </c>
      <c r="C420" t="s">
        <v>417</v>
      </c>
      <c r="D420" s="2">
        <v>0</v>
      </c>
      <c r="E420" s="2">
        <v>0</v>
      </c>
      <c r="F420" s="2">
        <v>0</v>
      </c>
      <c r="G420" s="2">
        <v>0</v>
      </c>
    </row>
    <row r="421" spans="1:7" x14ac:dyDescent="0.3">
      <c r="A421" t="str">
        <f t="shared" si="12"/>
        <v>EE</v>
      </c>
      <c r="B421" t="str">
        <f t="shared" si="13"/>
        <v>O</v>
      </c>
      <c r="C421" t="s">
        <v>418</v>
      </c>
      <c r="D421" s="2">
        <v>0.61729999999999996</v>
      </c>
      <c r="E421" s="2">
        <v>0.58250000000000002</v>
      </c>
      <c r="F421" s="2">
        <v>0.64390000000000003</v>
      </c>
      <c r="G421" s="2">
        <v>0.69610000000000005</v>
      </c>
    </row>
    <row r="422" spans="1:7" x14ac:dyDescent="0.3">
      <c r="A422" t="str">
        <f t="shared" si="12"/>
        <v>GR</v>
      </c>
      <c r="B422" t="str">
        <f t="shared" si="13"/>
        <v>I</v>
      </c>
      <c r="C422" t="s">
        <v>419</v>
      </c>
      <c r="D422" s="2">
        <v>0.21840000000000001</v>
      </c>
      <c r="E422" s="2">
        <v>0.20069999999999999</v>
      </c>
      <c r="F422" s="2">
        <v>0.20660000000000001</v>
      </c>
      <c r="G422" s="2">
        <v>0.21929999999999999</v>
      </c>
    </row>
    <row r="423" spans="1:7" x14ac:dyDescent="0.3">
      <c r="A423" t="str">
        <f t="shared" si="12"/>
        <v>GR</v>
      </c>
      <c r="B423" t="str">
        <f t="shared" si="13"/>
        <v>I</v>
      </c>
      <c r="C423" t="s">
        <v>420</v>
      </c>
      <c r="D423" s="2">
        <v>0</v>
      </c>
      <c r="E423" s="2">
        <v>0</v>
      </c>
      <c r="F423" s="2">
        <v>0</v>
      </c>
      <c r="G423" s="2">
        <v>0</v>
      </c>
    </row>
    <row r="424" spans="1:7" x14ac:dyDescent="0.3">
      <c r="A424" t="str">
        <f t="shared" si="12"/>
        <v>GR</v>
      </c>
      <c r="B424" t="str">
        <f t="shared" si="13"/>
        <v>I</v>
      </c>
      <c r="C424" t="s">
        <v>421</v>
      </c>
      <c r="D424" s="2">
        <v>0</v>
      </c>
      <c r="E424" s="2">
        <v>0</v>
      </c>
      <c r="F424" s="2">
        <v>0</v>
      </c>
      <c r="G424" s="2">
        <v>0</v>
      </c>
    </row>
    <row r="425" spans="1:7" x14ac:dyDescent="0.3">
      <c r="A425" t="str">
        <f t="shared" si="12"/>
        <v>GR</v>
      </c>
      <c r="B425" t="str">
        <f t="shared" si="13"/>
        <v>I</v>
      </c>
      <c r="C425" t="s">
        <v>422</v>
      </c>
      <c r="D425" s="2">
        <v>0.49959999999999999</v>
      </c>
      <c r="E425" s="2">
        <v>0.54059999999999997</v>
      </c>
      <c r="F425" s="2">
        <v>0.53939999999999999</v>
      </c>
      <c r="G425" s="2">
        <v>0.70789999999999997</v>
      </c>
    </row>
    <row r="426" spans="1:7" x14ac:dyDescent="0.3">
      <c r="A426" t="str">
        <f t="shared" si="12"/>
        <v>GR</v>
      </c>
      <c r="B426" t="str">
        <f t="shared" si="13"/>
        <v>I</v>
      </c>
      <c r="C426" t="s">
        <v>423</v>
      </c>
      <c r="D426" s="2">
        <v>0</v>
      </c>
      <c r="E426" s="2">
        <v>0</v>
      </c>
      <c r="F426" s="2">
        <v>0</v>
      </c>
      <c r="G426" s="2">
        <v>0</v>
      </c>
    </row>
    <row r="427" spans="1:7" x14ac:dyDescent="0.3">
      <c r="A427" t="str">
        <f t="shared" si="12"/>
        <v>GR</v>
      </c>
      <c r="B427" t="str">
        <f t="shared" si="13"/>
        <v>I</v>
      </c>
      <c r="C427" t="s">
        <v>424</v>
      </c>
      <c r="D427" s="2">
        <v>0</v>
      </c>
      <c r="E427" s="2">
        <v>0</v>
      </c>
      <c r="F427" s="2">
        <v>0</v>
      </c>
      <c r="G427" s="2">
        <v>0</v>
      </c>
    </row>
    <row r="428" spans="1:7" x14ac:dyDescent="0.3">
      <c r="A428" t="str">
        <f t="shared" si="12"/>
        <v>GR</v>
      </c>
      <c r="B428" t="str">
        <f t="shared" si="13"/>
        <v>I</v>
      </c>
      <c r="C428" t="s">
        <v>425</v>
      </c>
      <c r="D428" s="2">
        <v>2.1366999999999998</v>
      </c>
      <c r="E428" s="2">
        <v>2.4413999999999998</v>
      </c>
      <c r="F428" s="2">
        <v>2.5630999999999999</v>
      </c>
      <c r="G428" s="2">
        <v>2.2585000000000002</v>
      </c>
    </row>
    <row r="429" spans="1:7" x14ac:dyDescent="0.3">
      <c r="A429" t="str">
        <f t="shared" si="12"/>
        <v>GR</v>
      </c>
      <c r="B429" t="str">
        <f t="shared" si="13"/>
        <v>I</v>
      </c>
      <c r="C429" t="s">
        <v>426</v>
      </c>
      <c r="D429" s="2">
        <v>0.17799999999999999</v>
      </c>
      <c r="E429" s="2">
        <v>0.20039999999999999</v>
      </c>
      <c r="F429" s="2">
        <v>0.20860000000000001</v>
      </c>
      <c r="G429" s="2">
        <v>0.1956</v>
      </c>
    </row>
    <row r="430" spans="1:7" x14ac:dyDescent="0.3">
      <c r="A430" t="str">
        <f t="shared" si="12"/>
        <v>GR</v>
      </c>
      <c r="B430" t="str">
        <f t="shared" si="13"/>
        <v>I</v>
      </c>
      <c r="C430" t="s">
        <v>427</v>
      </c>
      <c r="D430" s="2">
        <v>0</v>
      </c>
      <c r="E430" s="2">
        <v>0</v>
      </c>
      <c r="F430" s="2">
        <v>0</v>
      </c>
      <c r="G430" s="2">
        <v>0</v>
      </c>
    </row>
    <row r="431" spans="1:7" x14ac:dyDescent="0.3">
      <c r="A431" t="str">
        <f t="shared" si="12"/>
        <v>GR</v>
      </c>
      <c r="B431" t="str">
        <f t="shared" si="13"/>
        <v>I</v>
      </c>
      <c r="C431" t="s">
        <v>428</v>
      </c>
      <c r="D431" s="2">
        <v>0</v>
      </c>
      <c r="E431" s="2">
        <v>0</v>
      </c>
      <c r="F431" s="2">
        <v>0</v>
      </c>
      <c r="G431" s="2">
        <v>0</v>
      </c>
    </row>
    <row r="432" spans="1:7" x14ac:dyDescent="0.3">
      <c r="A432" t="str">
        <f t="shared" si="12"/>
        <v>GR</v>
      </c>
      <c r="B432" t="str">
        <f t="shared" si="13"/>
        <v>I</v>
      </c>
      <c r="C432" t="s">
        <v>429</v>
      </c>
      <c r="D432" s="2">
        <v>3.0327000000000002</v>
      </c>
      <c r="E432" s="2">
        <v>3.3831000000000002</v>
      </c>
      <c r="F432" s="2">
        <v>3.5177</v>
      </c>
      <c r="G432" s="2">
        <v>3.3813</v>
      </c>
    </row>
    <row r="433" spans="1:7" x14ac:dyDescent="0.3">
      <c r="A433" t="str">
        <f t="shared" si="12"/>
        <v>GR</v>
      </c>
      <c r="B433" t="str">
        <f t="shared" si="13"/>
        <v>M</v>
      </c>
      <c r="C433" t="s">
        <v>430</v>
      </c>
      <c r="D433" s="2">
        <v>0.1045</v>
      </c>
      <c r="E433" s="2">
        <v>0.1328</v>
      </c>
      <c r="F433" s="2">
        <v>0.11749999999999999</v>
      </c>
      <c r="G433" s="2">
        <v>0.114</v>
      </c>
    </row>
    <row r="434" spans="1:7" x14ac:dyDescent="0.3">
      <c r="A434" t="str">
        <f t="shared" si="12"/>
        <v>GR</v>
      </c>
      <c r="B434" t="str">
        <f t="shared" si="13"/>
        <v>M</v>
      </c>
      <c r="C434" t="s">
        <v>431</v>
      </c>
      <c r="D434" s="2">
        <v>0</v>
      </c>
      <c r="E434" s="2">
        <v>0</v>
      </c>
      <c r="F434" s="2">
        <v>0</v>
      </c>
      <c r="G434" s="2">
        <v>0</v>
      </c>
    </row>
    <row r="435" spans="1:7" x14ac:dyDescent="0.3">
      <c r="A435" t="str">
        <f t="shared" si="12"/>
        <v>GR</v>
      </c>
      <c r="B435" t="str">
        <f t="shared" si="13"/>
        <v>M</v>
      </c>
      <c r="C435" t="s">
        <v>432</v>
      </c>
      <c r="D435" s="2">
        <v>0</v>
      </c>
      <c r="E435" s="2">
        <v>0</v>
      </c>
      <c r="F435" s="2">
        <v>0</v>
      </c>
      <c r="G435" s="2">
        <v>0</v>
      </c>
    </row>
    <row r="436" spans="1:7" x14ac:dyDescent="0.3">
      <c r="A436" t="str">
        <f t="shared" si="12"/>
        <v>GR</v>
      </c>
      <c r="B436" t="str">
        <f t="shared" si="13"/>
        <v>M</v>
      </c>
      <c r="C436" t="s">
        <v>433</v>
      </c>
      <c r="D436" s="2">
        <v>2.1960000000000002</v>
      </c>
      <c r="E436" s="2">
        <v>2.3959000000000001</v>
      </c>
      <c r="F436" s="2">
        <v>4.1006999999999998</v>
      </c>
      <c r="G436" s="2">
        <v>4.6174999999999997</v>
      </c>
    </row>
    <row r="437" spans="1:7" x14ac:dyDescent="0.3">
      <c r="A437" t="str">
        <f t="shared" si="12"/>
        <v>GR</v>
      </c>
      <c r="B437" t="str">
        <f t="shared" si="13"/>
        <v>M</v>
      </c>
      <c r="C437" t="s">
        <v>434</v>
      </c>
      <c r="D437" s="2">
        <v>0</v>
      </c>
      <c r="E437" s="2">
        <v>0</v>
      </c>
      <c r="F437" s="2">
        <v>0</v>
      </c>
      <c r="G437" s="2">
        <v>0</v>
      </c>
    </row>
    <row r="438" spans="1:7" x14ac:dyDescent="0.3">
      <c r="A438" t="str">
        <f t="shared" si="12"/>
        <v>GR</v>
      </c>
      <c r="B438" t="str">
        <f t="shared" si="13"/>
        <v>M</v>
      </c>
      <c r="C438" t="s">
        <v>435</v>
      </c>
      <c r="D438" s="2">
        <v>0</v>
      </c>
      <c r="E438" s="2">
        <v>0</v>
      </c>
      <c r="F438" s="2">
        <v>0</v>
      </c>
      <c r="G438" s="2">
        <v>0</v>
      </c>
    </row>
    <row r="439" spans="1:7" x14ac:dyDescent="0.3">
      <c r="A439" t="str">
        <f t="shared" si="12"/>
        <v>GR</v>
      </c>
      <c r="B439" t="str">
        <f t="shared" si="13"/>
        <v>M</v>
      </c>
      <c r="C439" t="s">
        <v>436</v>
      </c>
      <c r="D439" s="2">
        <v>8.3653999999999993</v>
      </c>
      <c r="E439" s="2">
        <v>7.1374000000000004</v>
      </c>
      <c r="F439" s="2">
        <v>6.5488</v>
      </c>
      <c r="G439" s="2">
        <v>6.8478000000000003</v>
      </c>
    </row>
    <row r="440" spans="1:7" x14ac:dyDescent="0.3">
      <c r="A440" t="str">
        <f t="shared" si="12"/>
        <v>GR</v>
      </c>
      <c r="B440" t="str">
        <f t="shared" si="13"/>
        <v>M</v>
      </c>
      <c r="C440" t="s">
        <v>437</v>
      </c>
      <c r="D440" s="2">
        <v>0.25950000000000001</v>
      </c>
      <c r="E440" s="2">
        <v>0.2344</v>
      </c>
      <c r="F440" s="2">
        <v>0.27479999999999999</v>
      </c>
      <c r="G440" s="2">
        <v>0.29709999999999998</v>
      </c>
    </row>
    <row r="441" spans="1:7" x14ac:dyDescent="0.3">
      <c r="A441" t="str">
        <f t="shared" si="12"/>
        <v>GR</v>
      </c>
      <c r="B441" t="str">
        <f t="shared" si="13"/>
        <v>M</v>
      </c>
      <c r="C441" t="s">
        <v>438</v>
      </c>
      <c r="D441" s="2">
        <v>0</v>
      </c>
      <c r="E441" s="2">
        <v>0</v>
      </c>
      <c r="F441" s="2">
        <v>0</v>
      </c>
      <c r="G441" s="2">
        <v>0</v>
      </c>
    </row>
    <row r="442" spans="1:7" x14ac:dyDescent="0.3">
      <c r="A442" t="str">
        <f t="shared" si="12"/>
        <v>GR</v>
      </c>
      <c r="B442" t="str">
        <f t="shared" si="13"/>
        <v>M</v>
      </c>
      <c r="C442" t="s">
        <v>439</v>
      </c>
      <c r="D442" s="2">
        <v>0</v>
      </c>
      <c r="E442" s="2">
        <v>0</v>
      </c>
      <c r="F442" s="2">
        <v>0</v>
      </c>
      <c r="G442" s="2">
        <v>0</v>
      </c>
    </row>
    <row r="443" spans="1:7" x14ac:dyDescent="0.3">
      <c r="A443" t="str">
        <f t="shared" si="12"/>
        <v>GR</v>
      </c>
      <c r="B443" t="str">
        <f t="shared" si="13"/>
        <v>M</v>
      </c>
      <c r="C443" t="s">
        <v>440</v>
      </c>
      <c r="D443" s="2">
        <v>0</v>
      </c>
      <c r="E443" s="2">
        <v>0</v>
      </c>
      <c r="F443" s="2">
        <v>0</v>
      </c>
      <c r="G443" s="2">
        <v>0</v>
      </c>
    </row>
    <row r="444" spans="1:7" x14ac:dyDescent="0.3">
      <c r="A444" t="str">
        <f t="shared" si="12"/>
        <v>GR</v>
      </c>
      <c r="B444" t="str">
        <f t="shared" si="13"/>
        <v>N</v>
      </c>
      <c r="C444" t="s">
        <v>441</v>
      </c>
      <c r="D444" s="2">
        <v>9.6379000000000001</v>
      </c>
      <c r="E444" s="2">
        <v>10.4597</v>
      </c>
      <c r="F444" s="2">
        <v>7.4930000000000003</v>
      </c>
      <c r="G444" s="2">
        <v>8.3216999999999999</v>
      </c>
    </row>
    <row r="445" spans="1:7" x14ac:dyDescent="0.3">
      <c r="A445" t="str">
        <f t="shared" si="12"/>
        <v>GR</v>
      </c>
      <c r="B445" t="str">
        <f t="shared" si="13"/>
        <v>N</v>
      </c>
      <c r="C445" t="s">
        <v>442</v>
      </c>
      <c r="D445" s="2">
        <v>2.4893000000000001</v>
      </c>
      <c r="E445" s="2">
        <v>1.3433999999999999</v>
      </c>
      <c r="F445" s="2">
        <v>2.1558999999999999</v>
      </c>
      <c r="G445" s="2">
        <v>3.0501999999999998</v>
      </c>
    </row>
    <row r="446" spans="1:7" x14ac:dyDescent="0.3">
      <c r="A446" t="str">
        <f t="shared" si="12"/>
        <v>GR</v>
      </c>
      <c r="B446" t="str">
        <f t="shared" si="13"/>
        <v>N</v>
      </c>
      <c r="C446" t="s">
        <v>443</v>
      </c>
      <c r="D446" s="2">
        <v>0</v>
      </c>
      <c r="E446" s="2">
        <v>0</v>
      </c>
      <c r="F446" s="2">
        <v>0</v>
      </c>
      <c r="G446" s="2">
        <v>0</v>
      </c>
    </row>
    <row r="447" spans="1:7" x14ac:dyDescent="0.3">
      <c r="A447" t="str">
        <f t="shared" si="12"/>
        <v>GR</v>
      </c>
      <c r="B447" t="str">
        <f t="shared" si="13"/>
        <v>N</v>
      </c>
      <c r="C447" t="s">
        <v>444</v>
      </c>
      <c r="D447" s="2">
        <v>0.41289999999999999</v>
      </c>
      <c r="E447" s="2">
        <v>0.37580000000000002</v>
      </c>
      <c r="F447" s="2">
        <v>0.83840000000000003</v>
      </c>
      <c r="G447" s="2">
        <v>0.89739999999999998</v>
      </c>
    </row>
    <row r="448" spans="1:7" x14ac:dyDescent="0.3">
      <c r="A448" t="str">
        <f t="shared" si="12"/>
        <v>GR</v>
      </c>
      <c r="B448" t="str">
        <f t="shared" si="13"/>
        <v>N</v>
      </c>
      <c r="C448" t="s">
        <v>445</v>
      </c>
      <c r="D448" s="2">
        <v>0</v>
      </c>
      <c r="E448" s="2">
        <v>0</v>
      </c>
      <c r="F448" s="2">
        <v>0</v>
      </c>
      <c r="G448" s="2">
        <v>0</v>
      </c>
    </row>
    <row r="449" spans="1:7" x14ac:dyDescent="0.3">
      <c r="A449" t="str">
        <f t="shared" si="12"/>
        <v>GR</v>
      </c>
      <c r="B449" t="str">
        <f t="shared" si="13"/>
        <v>N</v>
      </c>
      <c r="C449" t="s">
        <v>446</v>
      </c>
      <c r="D449" s="2">
        <v>8.7999999999999995E-2</v>
      </c>
      <c r="E449" s="2">
        <v>0.17030000000000001</v>
      </c>
      <c r="F449" s="2">
        <v>0.1052</v>
      </c>
      <c r="G449" s="2">
        <v>0.42159999999999997</v>
      </c>
    </row>
    <row r="450" spans="1:7" x14ac:dyDescent="0.3">
      <c r="A450" t="str">
        <f t="shared" si="12"/>
        <v>GR</v>
      </c>
      <c r="B450" t="str">
        <f t="shared" si="13"/>
        <v>N</v>
      </c>
      <c r="C450" t="s">
        <v>447</v>
      </c>
      <c r="D450" s="2">
        <v>0.71030000000000004</v>
      </c>
      <c r="E450" s="2">
        <v>0.85029999999999994</v>
      </c>
      <c r="F450" s="2">
        <v>0.69830000000000003</v>
      </c>
      <c r="G450" s="2">
        <v>0.72089999999999999</v>
      </c>
    </row>
    <row r="451" spans="1:7" x14ac:dyDescent="0.3">
      <c r="A451" t="str">
        <f t="shared" si="12"/>
        <v>GR</v>
      </c>
      <c r="B451" t="str">
        <f t="shared" si="13"/>
        <v>N</v>
      </c>
      <c r="C451" t="s">
        <v>448</v>
      </c>
      <c r="D451" s="2">
        <v>2.0558999999999998</v>
      </c>
      <c r="E451" s="2">
        <v>1.8623000000000001</v>
      </c>
      <c r="F451" s="2">
        <v>1.9112</v>
      </c>
      <c r="G451" s="2">
        <v>2.2292000000000001</v>
      </c>
    </row>
    <row r="452" spans="1:7" x14ac:dyDescent="0.3">
      <c r="A452" t="str">
        <f t="shared" si="12"/>
        <v>GR</v>
      </c>
      <c r="B452" t="str">
        <f t="shared" si="13"/>
        <v>N</v>
      </c>
      <c r="C452" t="s">
        <v>449</v>
      </c>
      <c r="D452" s="2">
        <v>0</v>
      </c>
      <c r="E452" s="2">
        <v>0</v>
      </c>
      <c r="F452" s="2">
        <v>0</v>
      </c>
      <c r="G452" s="2">
        <v>0</v>
      </c>
    </row>
    <row r="453" spans="1:7" x14ac:dyDescent="0.3">
      <c r="A453" t="str">
        <f t="shared" ref="A453:A516" si="14">LEFT(C453,2)</f>
        <v>GR</v>
      </c>
      <c r="B453" t="str">
        <f t="shared" ref="B453:B516" si="15">RIGHT(C453,1)</f>
        <v>N</v>
      </c>
      <c r="C453" t="s">
        <v>450</v>
      </c>
      <c r="D453" s="2">
        <v>0</v>
      </c>
      <c r="E453" s="2">
        <v>0</v>
      </c>
      <c r="F453" s="2">
        <v>0</v>
      </c>
      <c r="G453" s="2">
        <v>0</v>
      </c>
    </row>
    <row r="454" spans="1:7" x14ac:dyDescent="0.3">
      <c r="A454" t="str">
        <f t="shared" si="14"/>
        <v>GR</v>
      </c>
      <c r="B454" t="str">
        <f t="shared" si="15"/>
        <v>N</v>
      </c>
      <c r="C454" t="s">
        <v>451</v>
      </c>
      <c r="D454" s="2">
        <v>0</v>
      </c>
      <c r="E454" s="2">
        <v>0</v>
      </c>
      <c r="F454" s="2">
        <v>0</v>
      </c>
      <c r="G454" s="2">
        <v>0</v>
      </c>
    </row>
    <row r="455" spans="1:7" x14ac:dyDescent="0.3">
      <c r="A455" t="str">
        <f t="shared" si="14"/>
        <v>GR</v>
      </c>
      <c r="B455" t="str">
        <f t="shared" si="15"/>
        <v>F</v>
      </c>
      <c r="C455" t="s">
        <v>452</v>
      </c>
      <c r="D455" s="2">
        <v>3.0112999999999999</v>
      </c>
      <c r="E455" s="2">
        <v>2.8942000000000001</v>
      </c>
      <c r="F455" s="2">
        <v>2.7719999999999998</v>
      </c>
      <c r="G455" s="2">
        <v>2.8662999999999998</v>
      </c>
    </row>
    <row r="456" spans="1:7" x14ac:dyDescent="0.3">
      <c r="A456" t="str">
        <f t="shared" si="14"/>
        <v>GR</v>
      </c>
      <c r="B456" t="str">
        <f t="shared" si="15"/>
        <v>F</v>
      </c>
      <c r="C456" t="s">
        <v>453</v>
      </c>
      <c r="D456" s="2">
        <v>0</v>
      </c>
      <c r="E456" s="2">
        <v>0</v>
      </c>
      <c r="F456" s="2">
        <v>0</v>
      </c>
      <c r="G456" s="2">
        <v>0</v>
      </c>
    </row>
    <row r="457" spans="1:7" x14ac:dyDescent="0.3">
      <c r="A457" t="str">
        <f t="shared" si="14"/>
        <v>GR</v>
      </c>
      <c r="B457" t="str">
        <f t="shared" si="15"/>
        <v>F</v>
      </c>
      <c r="C457" t="s">
        <v>454</v>
      </c>
      <c r="D457" s="2">
        <v>0</v>
      </c>
      <c r="E457" s="2">
        <v>0</v>
      </c>
      <c r="F457" s="2">
        <v>0</v>
      </c>
      <c r="G457" s="2">
        <v>0</v>
      </c>
    </row>
    <row r="458" spans="1:7" x14ac:dyDescent="0.3">
      <c r="A458" t="str">
        <f t="shared" si="14"/>
        <v>GR</v>
      </c>
      <c r="B458" t="str">
        <f t="shared" si="15"/>
        <v>F</v>
      </c>
      <c r="C458" t="s">
        <v>455</v>
      </c>
      <c r="D458" s="2">
        <v>1.2152000000000001</v>
      </c>
      <c r="E458" s="2">
        <v>1.2645</v>
      </c>
      <c r="F458" s="2">
        <v>1.4434</v>
      </c>
      <c r="G458" s="2">
        <v>1.8124</v>
      </c>
    </row>
    <row r="459" spans="1:7" x14ac:dyDescent="0.3">
      <c r="A459" t="str">
        <f t="shared" si="14"/>
        <v>GR</v>
      </c>
      <c r="B459" t="str">
        <f t="shared" si="15"/>
        <v>F</v>
      </c>
      <c r="C459" t="s">
        <v>456</v>
      </c>
      <c r="D459" s="2">
        <v>0</v>
      </c>
      <c r="E459" s="2">
        <v>0</v>
      </c>
      <c r="F459" s="2">
        <v>0</v>
      </c>
      <c r="G459" s="2">
        <v>0</v>
      </c>
    </row>
    <row r="460" spans="1:7" x14ac:dyDescent="0.3">
      <c r="A460" t="str">
        <f t="shared" si="14"/>
        <v>GR</v>
      </c>
      <c r="B460" t="str">
        <f t="shared" si="15"/>
        <v>F</v>
      </c>
      <c r="C460" t="s">
        <v>457</v>
      </c>
      <c r="D460" s="2">
        <v>1.8337000000000001</v>
      </c>
      <c r="E460" s="2">
        <v>1.575</v>
      </c>
      <c r="F460" s="2">
        <v>1.8127</v>
      </c>
      <c r="G460" s="2">
        <v>1.0788</v>
      </c>
    </row>
    <row r="461" spans="1:7" x14ac:dyDescent="0.3">
      <c r="A461" t="str">
        <f t="shared" si="14"/>
        <v>GR</v>
      </c>
      <c r="B461" t="str">
        <f t="shared" si="15"/>
        <v>F</v>
      </c>
      <c r="C461" t="s">
        <v>458</v>
      </c>
      <c r="D461" s="2">
        <v>1.5004999999999999</v>
      </c>
      <c r="E461" s="2">
        <v>1.7441</v>
      </c>
      <c r="F461" s="2">
        <v>1.8403</v>
      </c>
      <c r="G461" s="2">
        <v>1.8687</v>
      </c>
    </row>
    <row r="462" spans="1:7" x14ac:dyDescent="0.3">
      <c r="A462" t="str">
        <f t="shared" si="14"/>
        <v>GR</v>
      </c>
      <c r="B462" t="str">
        <f t="shared" si="15"/>
        <v>F</v>
      </c>
      <c r="C462" t="s">
        <v>459</v>
      </c>
      <c r="D462" s="2">
        <v>1.7032</v>
      </c>
      <c r="E462" s="2">
        <v>1.8709</v>
      </c>
      <c r="F462" s="2">
        <v>1.9638</v>
      </c>
      <c r="G462" s="2">
        <v>2.0093999999999999</v>
      </c>
    </row>
    <row r="463" spans="1:7" x14ac:dyDescent="0.3">
      <c r="A463" t="str">
        <f t="shared" si="14"/>
        <v>GR</v>
      </c>
      <c r="B463" t="str">
        <f t="shared" si="15"/>
        <v>F</v>
      </c>
      <c r="C463" t="s">
        <v>460</v>
      </c>
      <c r="D463" s="2">
        <v>0</v>
      </c>
      <c r="E463" s="2">
        <v>0</v>
      </c>
      <c r="F463" s="2">
        <v>0</v>
      </c>
      <c r="G463" s="2">
        <v>0</v>
      </c>
    </row>
    <row r="464" spans="1:7" x14ac:dyDescent="0.3">
      <c r="A464" t="str">
        <f t="shared" si="14"/>
        <v>GR</v>
      </c>
      <c r="B464" t="str">
        <f t="shared" si="15"/>
        <v>F</v>
      </c>
      <c r="C464" t="s">
        <v>461</v>
      </c>
      <c r="D464" s="2">
        <v>0</v>
      </c>
      <c r="E464" s="2">
        <v>0</v>
      </c>
      <c r="F464" s="2">
        <v>0</v>
      </c>
      <c r="G464" s="2">
        <v>0</v>
      </c>
    </row>
    <row r="465" spans="1:7" x14ac:dyDescent="0.3">
      <c r="A465" t="str">
        <f t="shared" si="14"/>
        <v>GR</v>
      </c>
      <c r="B465" t="str">
        <f t="shared" si="15"/>
        <v>F</v>
      </c>
      <c r="C465" t="s">
        <v>462</v>
      </c>
      <c r="D465" s="2">
        <v>0</v>
      </c>
      <c r="E465" s="2">
        <v>0</v>
      </c>
      <c r="F465" s="2">
        <v>0</v>
      </c>
      <c r="G465" s="2">
        <v>0</v>
      </c>
    </row>
    <row r="466" spans="1:7" x14ac:dyDescent="0.3">
      <c r="A466" t="str">
        <f t="shared" si="14"/>
        <v>GR</v>
      </c>
      <c r="B466" t="str">
        <f t="shared" si="15"/>
        <v>O</v>
      </c>
      <c r="C466" t="s">
        <v>463</v>
      </c>
      <c r="D466" s="2">
        <v>5.6167999999999996</v>
      </c>
      <c r="E466" s="2">
        <v>3.9093</v>
      </c>
      <c r="F466" s="2">
        <v>3.3544999999999998</v>
      </c>
      <c r="G466" s="2">
        <v>3.2414999999999998</v>
      </c>
    </row>
    <row r="467" spans="1:7" x14ac:dyDescent="0.3">
      <c r="A467" t="str">
        <f t="shared" si="14"/>
        <v>GR</v>
      </c>
      <c r="B467" t="str">
        <f t="shared" si="15"/>
        <v>O</v>
      </c>
      <c r="C467" t="s">
        <v>464</v>
      </c>
      <c r="D467" s="2">
        <v>2.3420000000000001</v>
      </c>
      <c r="E467" s="2">
        <v>1.8686</v>
      </c>
      <c r="F467" s="2">
        <v>0.95940000000000003</v>
      </c>
      <c r="G467" s="2">
        <v>0.67759999999999998</v>
      </c>
    </row>
    <row r="468" spans="1:7" x14ac:dyDescent="0.3">
      <c r="A468" t="str">
        <f t="shared" si="14"/>
        <v>GR</v>
      </c>
      <c r="B468" t="str">
        <f t="shared" si="15"/>
        <v>O</v>
      </c>
      <c r="C468" t="s">
        <v>465</v>
      </c>
      <c r="D468" s="2">
        <v>0</v>
      </c>
      <c r="E468" s="2">
        <v>0</v>
      </c>
      <c r="F468" s="2">
        <v>0</v>
      </c>
      <c r="G468" s="2">
        <v>0</v>
      </c>
    </row>
    <row r="469" spans="1:7" x14ac:dyDescent="0.3">
      <c r="A469" t="str">
        <f t="shared" si="14"/>
        <v>GR</v>
      </c>
      <c r="B469" t="str">
        <f t="shared" si="15"/>
        <v>O</v>
      </c>
      <c r="C469" t="s">
        <v>466</v>
      </c>
      <c r="D469" s="2">
        <v>2.0912999999999999</v>
      </c>
      <c r="E469" s="2">
        <v>2.2136999999999998</v>
      </c>
      <c r="F469" s="2">
        <v>2.5853999999999999</v>
      </c>
      <c r="G469" s="2">
        <v>1.9918</v>
      </c>
    </row>
    <row r="470" spans="1:7" x14ac:dyDescent="0.3">
      <c r="A470" t="str">
        <f t="shared" si="14"/>
        <v>GR</v>
      </c>
      <c r="B470" t="str">
        <f t="shared" si="15"/>
        <v>O</v>
      </c>
      <c r="C470" t="s">
        <v>467</v>
      </c>
      <c r="D470" s="2">
        <v>0</v>
      </c>
      <c r="E470" s="2">
        <v>0</v>
      </c>
      <c r="F470" s="2">
        <v>0</v>
      </c>
      <c r="G470" s="2">
        <v>0</v>
      </c>
    </row>
    <row r="471" spans="1:7" x14ac:dyDescent="0.3">
      <c r="A471" t="str">
        <f t="shared" si="14"/>
        <v>GR</v>
      </c>
      <c r="B471" t="str">
        <f t="shared" si="15"/>
        <v>O</v>
      </c>
      <c r="C471" t="s">
        <v>468</v>
      </c>
      <c r="D471" s="2">
        <v>0.33960000000000001</v>
      </c>
      <c r="E471" s="2">
        <v>0.38590000000000002</v>
      </c>
      <c r="F471" s="2">
        <v>0.39069999999999999</v>
      </c>
      <c r="G471" s="2">
        <v>0.46179999999999999</v>
      </c>
    </row>
    <row r="472" spans="1:7" x14ac:dyDescent="0.3">
      <c r="A472" t="str">
        <f t="shared" si="14"/>
        <v>GR</v>
      </c>
      <c r="B472" t="str">
        <f t="shared" si="15"/>
        <v>O</v>
      </c>
      <c r="C472" t="s">
        <v>469</v>
      </c>
      <c r="D472" s="2">
        <v>2.4859</v>
      </c>
      <c r="E472" s="2">
        <v>2.9864000000000002</v>
      </c>
      <c r="F472" s="2">
        <v>2.7858999999999998</v>
      </c>
      <c r="G472" s="2">
        <v>2.4074</v>
      </c>
    </row>
    <row r="473" spans="1:7" x14ac:dyDescent="0.3">
      <c r="A473" t="str">
        <f t="shared" si="14"/>
        <v>GR</v>
      </c>
      <c r="B473" t="str">
        <f t="shared" si="15"/>
        <v>O</v>
      </c>
      <c r="C473" t="s">
        <v>470</v>
      </c>
      <c r="D473" s="2">
        <v>4.6531000000000002</v>
      </c>
      <c r="E473" s="2">
        <v>5.0201000000000002</v>
      </c>
      <c r="F473" s="2">
        <v>4.9787999999999997</v>
      </c>
      <c r="G473" s="2">
        <v>5.6874000000000002</v>
      </c>
    </row>
    <row r="474" spans="1:7" x14ac:dyDescent="0.3">
      <c r="A474" t="str">
        <f t="shared" si="14"/>
        <v>GR</v>
      </c>
      <c r="B474" t="str">
        <f t="shared" si="15"/>
        <v>O</v>
      </c>
      <c r="C474" t="s">
        <v>471</v>
      </c>
      <c r="D474" s="2">
        <v>0</v>
      </c>
      <c r="E474" s="2">
        <v>0</v>
      </c>
      <c r="F474" s="2">
        <v>0</v>
      </c>
      <c r="G474" s="2">
        <v>0</v>
      </c>
    </row>
    <row r="475" spans="1:7" x14ac:dyDescent="0.3">
      <c r="A475" t="str">
        <f t="shared" si="14"/>
        <v>GR</v>
      </c>
      <c r="B475" t="str">
        <f t="shared" si="15"/>
        <v>O</v>
      </c>
      <c r="C475" t="s">
        <v>472</v>
      </c>
      <c r="D475" s="2">
        <v>5.2200000000000003E-2</v>
      </c>
      <c r="E475" s="2">
        <v>5.3699999999999998E-2</v>
      </c>
      <c r="F475" s="2">
        <v>5.4800000000000001E-2</v>
      </c>
      <c r="G475" s="2">
        <v>5.67E-2</v>
      </c>
    </row>
    <row r="476" spans="1:7" x14ac:dyDescent="0.3">
      <c r="A476" t="str">
        <f t="shared" si="14"/>
        <v>GR</v>
      </c>
      <c r="B476" t="str">
        <f t="shared" si="15"/>
        <v>O</v>
      </c>
      <c r="C476" t="s">
        <v>473</v>
      </c>
      <c r="D476" s="2">
        <v>0</v>
      </c>
      <c r="E476" s="2">
        <v>0</v>
      </c>
      <c r="F476" s="2">
        <v>0</v>
      </c>
      <c r="G476" s="2">
        <v>0</v>
      </c>
    </row>
    <row r="477" spans="1:7" x14ac:dyDescent="0.3">
      <c r="A477" t="str">
        <f t="shared" si="14"/>
        <v>ES</v>
      </c>
      <c r="B477" t="str">
        <f t="shared" si="15"/>
        <v>I</v>
      </c>
      <c r="C477" t="s">
        <v>474</v>
      </c>
      <c r="D477" s="2">
        <v>1.5621</v>
      </c>
      <c r="E477" s="2">
        <v>1.5748</v>
      </c>
      <c r="F477" s="2">
        <v>1.1648000000000001</v>
      </c>
      <c r="G477" s="2">
        <v>1.1886000000000001</v>
      </c>
    </row>
    <row r="478" spans="1:7" x14ac:dyDescent="0.3">
      <c r="A478" t="str">
        <f t="shared" si="14"/>
        <v>ES</v>
      </c>
      <c r="B478" t="str">
        <f t="shared" si="15"/>
        <v>I</v>
      </c>
      <c r="C478" t="s">
        <v>475</v>
      </c>
      <c r="D478" s="2">
        <v>1.6403000000000001</v>
      </c>
      <c r="E478" s="2">
        <v>1.6355</v>
      </c>
      <c r="F478" s="2">
        <v>1.3954</v>
      </c>
      <c r="G478" s="2">
        <v>1.6889000000000001</v>
      </c>
    </row>
    <row r="479" spans="1:7" x14ac:dyDescent="0.3">
      <c r="A479" t="str">
        <f t="shared" si="14"/>
        <v>ES</v>
      </c>
      <c r="B479" t="str">
        <f t="shared" si="15"/>
        <v>I</v>
      </c>
      <c r="C479" t="s">
        <v>476</v>
      </c>
      <c r="D479" s="2">
        <v>0</v>
      </c>
      <c r="E479" s="2">
        <v>0</v>
      </c>
      <c r="F479" s="2">
        <v>0</v>
      </c>
      <c r="G479" s="2">
        <v>0</v>
      </c>
    </row>
    <row r="480" spans="1:7" x14ac:dyDescent="0.3">
      <c r="A480" t="str">
        <f t="shared" si="14"/>
        <v>ES</v>
      </c>
      <c r="B480" t="str">
        <f t="shared" si="15"/>
        <v>I</v>
      </c>
      <c r="C480" t="s">
        <v>477</v>
      </c>
      <c r="D480" s="2">
        <v>15.486599999999999</v>
      </c>
      <c r="E480" s="2">
        <v>14.456200000000001</v>
      </c>
      <c r="F480" s="2">
        <v>13.818099999999999</v>
      </c>
      <c r="G480" s="2">
        <v>15.3606</v>
      </c>
    </row>
    <row r="481" spans="1:7" x14ac:dyDescent="0.3">
      <c r="A481" t="str">
        <f t="shared" si="14"/>
        <v>ES</v>
      </c>
      <c r="B481" t="str">
        <f t="shared" si="15"/>
        <v>I</v>
      </c>
      <c r="C481" t="s">
        <v>478</v>
      </c>
      <c r="D481" s="2">
        <v>0</v>
      </c>
      <c r="E481" s="2">
        <v>0</v>
      </c>
      <c r="F481" s="2">
        <v>0</v>
      </c>
      <c r="G481" s="2">
        <v>0</v>
      </c>
    </row>
    <row r="482" spans="1:7" x14ac:dyDescent="0.3">
      <c r="A482" t="str">
        <f t="shared" si="14"/>
        <v>ES</v>
      </c>
      <c r="B482" t="str">
        <f t="shared" si="15"/>
        <v>I</v>
      </c>
      <c r="C482" t="s">
        <v>479</v>
      </c>
      <c r="D482" s="2">
        <v>0</v>
      </c>
      <c r="E482" s="2">
        <v>0</v>
      </c>
      <c r="F482" s="2">
        <v>0</v>
      </c>
      <c r="G482" s="2">
        <v>0</v>
      </c>
    </row>
    <row r="483" spans="1:7" x14ac:dyDescent="0.3">
      <c r="A483" t="str">
        <f t="shared" si="14"/>
        <v>ES</v>
      </c>
      <c r="B483" t="str">
        <f t="shared" si="15"/>
        <v>I</v>
      </c>
      <c r="C483" t="s">
        <v>480</v>
      </c>
      <c r="D483" s="2">
        <v>31.883400000000002</v>
      </c>
      <c r="E483" s="2">
        <v>28.087800000000001</v>
      </c>
      <c r="F483" s="2">
        <v>23.168099999999999</v>
      </c>
      <c r="G483" s="2">
        <v>25.830500000000001</v>
      </c>
    </row>
    <row r="484" spans="1:7" x14ac:dyDescent="0.3">
      <c r="A484" t="str">
        <f t="shared" si="14"/>
        <v>ES</v>
      </c>
      <c r="B484" t="str">
        <f t="shared" si="15"/>
        <v>I</v>
      </c>
      <c r="C484" t="s">
        <v>481</v>
      </c>
      <c r="D484" s="2">
        <v>3.3877000000000002</v>
      </c>
      <c r="E484" s="2">
        <v>3.0036</v>
      </c>
      <c r="F484" s="2">
        <v>2.5409999999999999</v>
      </c>
      <c r="G484" s="2">
        <v>2.7978000000000001</v>
      </c>
    </row>
    <row r="485" spans="1:7" x14ac:dyDescent="0.3">
      <c r="A485" t="str">
        <f t="shared" si="14"/>
        <v>ES</v>
      </c>
      <c r="B485" t="str">
        <f t="shared" si="15"/>
        <v>I</v>
      </c>
      <c r="C485" t="s">
        <v>482</v>
      </c>
      <c r="D485" s="2">
        <v>0</v>
      </c>
      <c r="E485" s="2">
        <v>0</v>
      </c>
      <c r="F485" s="2">
        <v>0</v>
      </c>
      <c r="G485" s="2">
        <v>0</v>
      </c>
    </row>
    <row r="486" spans="1:7" x14ac:dyDescent="0.3">
      <c r="A486" t="str">
        <f t="shared" si="14"/>
        <v>ES</v>
      </c>
      <c r="B486" t="str">
        <f t="shared" si="15"/>
        <v>I</v>
      </c>
      <c r="C486" t="s">
        <v>483</v>
      </c>
      <c r="D486" s="2">
        <v>1E-4</v>
      </c>
      <c r="E486" s="2">
        <v>2.0000000000000001E-4</v>
      </c>
      <c r="F486" s="2">
        <v>2.0000000000000001E-4</v>
      </c>
      <c r="G486" s="2">
        <v>2.0000000000000001E-4</v>
      </c>
    </row>
    <row r="487" spans="1:7" x14ac:dyDescent="0.3">
      <c r="A487" t="str">
        <f t="shared" si="14"/>
        <v>ES</v>
      </c>
      <c r="B487" t="str">
        <f t="shared" si="15"/>
        <v>I</v>
      </c>
      <c r="C487" t="s">
        <v>484</v>
      </c>
      <c r="D487" s="2">
        <v>27.507200000000001</v>
      </c>
      <c r="E487" s="2">
        <v>26.7148</v>
      </c>
      <c r="F487" s="2">
        <v>24.7029</v>
      </c>
      <c r="G487" s="2">
        <v>28.038799999999998</v>
      </c>
    </row>
    <row r="488" spans="1:7" x14ac:dyDescent="0.3">
      <c r="A488" t="str">
        <f t="shared" si="14"/>
        <v>ES</v>
      </c>
      <c r="B488" t="str">
        <f t="shared" si="15"/>
        <v>C</v>
      </c>
      <c r="C488" t="s">
        <v>485</v>
      </c>
      <c r="D488" s="2">
        <v>2.7917999999999998</v>
      </c>
      <c r="E488" s="2">
        <v>1.8313999999999999</v>
      </c>
      <c r="F488" s="2">
        <v>1.3649</v>
      </c>
      <c r="G488" s="2">
        <v>1.5958000000000001</v>
      </c>
    </row>
    <row r="489" spans="1:7" x14ac:dyDescent="0.3">
      <c r="A489" t="str">
        <f t="shared" si="14"/>
        <v>ES</v>
      </c>
      <c r="B489" t="str">
        <f t="shared" si="15"/>
        <v>C</v>
      </c>
      <c r="C489" t="s">
        <v>486</v>
      </c>
      <c r="D489" s="2">
        <v>2.7631000000000001</v>
      </c>
      <c r="E489" s="2">
        <v>2.4994999999999998</v>
      </c>
      <c r="F489" s="2">
        <v>2.4159999999999999</v>
      </c>
      <c r="G489" s="2">
        <v>2.399</v>
      </c>
    </row>
    <row r="490" spans="1:7" x14ac:dyDescent="0.3">
      <c r="A490" t="str">
        <f t="shared" si="14"/>
        <v>ES</v>
      </c>
      <c r="B490" t="str">
        <f t="shared" si="15"/>
        <v>C</v>
      </c>
      <c r="C490" t="s">
        <v>487</v>
      </c>
      <c r="D490" s="2">
        <v>0</v>
      </c>
      <c r="E490" s="2">
        <v>0</v>
      </c>
      <c r="F490" s="2">
        <v>0</v>
      </c>
      <c r="G490" s="2">
        <v>0</v>
      </c>
    </row>
    <row r="491" spans="1:7" x14ac:dyDescent="0.3">
      <c r="A491" t="str">
        <f t="shared" si="14"/>
        <v>ES</v>
      </c>
      <c r="B491" t="str">
        <f t="shared" si="15"/>
        <v>C</v>
      </c>
      <c r="C491" t="s">
        <v>488</v>
      </c>
      <c r="D491" s="2">
        <v>61.674599999999998</v>
      </c>
      <c r="E491" s="2">
        <v>64.548100000000005</v>
      </c>
      <c r="F491" s="2">
        <v>62.260899999999999</v>
      </c>
      <c r="G491" s="2">
        <v>67.064499999999995</v>
      </c>
    </row>
    <row r="492" spans="1:7" x14ac:dyDescent="0.3">
      <c r="A492" t="str">
        <f t="shared" si="14"/>
        <v>ES</v>
      </c>
      <c r="B492" t="str">
        <f t="shared" si="15"/>
        <v>C</v>
      </c>
      <c r="C492" t="s">
        <v>489</v>
      </c>
      <c r="D492" s="2">
        <v>0</v>
      </c>
      <c r="E492" s="2">
        <v>0</v>
      </c>
      <c r="F492" s="2">
        <v>0</v>
      </c>
      <c r="G492" s="2">
        <v>0</v>
      </c>
    </row>
    <row r="493" spans="1:7" x14ac:dyDescent="0.3">
      <c r="A493" t="str">
        <f t="shared" si="14"/>
        <v>ES</v>
      </c>
      <c r="B493" t="str">
        <f t="shared" si="15"/>
        <v>C</v>
      </c>
      <c r="C493" t="s">
        <v>490</v>
      </c>
      <c r="D493" s="2">
        <v>0.1479</v>
      </c>
      <c r="E493" s="2">
        <v>0.15029999999999999</v>
      </c>
      <c r="F493" s="2">
        <v>0.1802</v>
      </c>
      <c r="G493" s="2">
        <v>0.23480000000000001</v>
      </c>
    </row>
    <row r="494" spans="1:7" x14ac:dyDescent="0.3">
      <c r="A494" t="str">
        <f t="shared" si="14"/>
        <v>ES</v>
      </c>
      <c r="B494" t="str">
        <f t="shared" si="15"/>
        <v>C</v>
      </c>
      <c r="C494" t="s">
        <v>491</v>
      </c>
      <c r="D494" s="2">
        <v>0.66149999999999998</v>
      </c>
      <c r="E494" s="2">
        <v>0.65080000000000005</v>
      </c>
      <c r="F494" s="2">
        <v>0.76239999999999997</v>
      </c>
      <c r="G494" s="2">
        <v>0.83330000000000004</v>
      </c>
    </row>
    <row r="495" spans="1:7" x14ac:dyDescent="0.3">
      <c r="A495" t="str">
        <f t="shared" si="14"/>
        <v>ES</v>
      </c>
      <c r="B495" t="str">
        <f t="shared" si="15"/>
        <v>C</v>
      </c>
      <c r="C495" t="s">
        <v>492</v>
      </c>
      <c r="D495" s="2">
        <v>15.002599999999999</v>
      </c>
      <c r="E495" s="2">
        <v>15.385899999999999</v>
      </c>
      <c r="F495" s="2">
        <v>15.651999999999999</v>
      </c>
      <c r="G495" s="2">
        <v>16.8796</v>
      </c>
    </row>
    <row r="496" spans="1:7" x14ac:dyDescent="0.3">
      <c r="A496" t="str">
        <f t="shared" si="14"/>
        <v>ES</v>
      </c>
      <c r="B496" t="str">
        <f t="shared" si="15"/>
        <v>C</v>
      </c>
      <c r="C496" t="s">
        <v>493</v>
      </c>
      <c r="D496" s="2">
        <v>0</v>
      </c>
      <c r="E496" s="2">
        <v>0</v>
      </c>
      <c r="F496" s="2">
        <v>0</v>
      </c>
      <c r="G496" s="2">
        <v>0</v>
      </c>
    </row>
    <row r="497" spans="1:7" x14ac:dyDescent="0.3">
      <c r="A497" t="str">
        <f t="shared" si="14"/>
        <v>ES</v>
      </c>
      <c r="B497" t="str">
        <f t="shared" si="15"/>
        <v>C</v>
      </c>
      <c r="C497" t="s">
        <v>494</v>
      </c>
      <c r="D497" s="2">
        <v>5.4000000000000003E-3</v>
      </c>
      <c r="E497" s="2">
        <v>5.5999999999999999E-3</v>
      </c>
      <c r="F497" s="2">
        <v>5.7999999999999996E-3</v>
      </c>
      <c r="G497" s="2">
        <v>5.8999999999999999E-3</v>
      </c>
    </row>
    <row r="498" spans="1:7" x14ac:dyDescent="0.3">
      <c r="A498" t="str">
        <f t="shared" si="14"/>
        <v>ES</v>
      </c>
      <c r="B498" t="str">
        <f t="shared" si="15"/>
        <v>C</v>
      </c>
      <c r="C498" t="s">
        <v>495</v>
      </c>
      <c r="D498" s="2">
        <v>0</v>
      </c>
      <c r="E498" s="2">
        <v>0</v>
      </c>
      <c r="F498" s="2">
        <v>0</v>
      </c>
      <c r="G498" s="2">
        <v>0</v>
      </c>
    </row>
    <row r="499" spans="1:7" x14ac:dyDescent="0.3">
      <c r="A499" t="str">
        <f t="shared" si="14"/>
        <v>ES</v>
      </c>
      <c r="B499" t="str">
        <f t="shared" si="15"/>
        <v>N</v>
      </c>
      <c r="C499" t="s">
        <v>496</v>
      </c>
      <c r="D499" s="2">
        <v>32.308399999999999</v>
      </c>
      <c r="E499" s="2">
        <v>31.133700000000001</v>
      </c>
      <c r="F499" s="2">
        <v>25.5868</v>
      </c>
      <c r="G499" s="2">
        <v>23.459900000000001</v>
      </c>
    </row>
    <row r="500" spans="1:7" x14ac:dyDescent="0.3">
      <c r="A500" t="str">
        <f t="shared" si="14"/>
        <v>ES</v>
      </c>
      <c r="B500" t="str">
        <f t="shared" si="15"/>
        <v>N</v>
      </c>
      <c r="C500" t="s">
        <v>497</v>
      </c>
      <c r="D500" s="2">
        <v>0.2485</v>
      </c>
      <c r="E500" s="2">
        <v>0.1845</v>
      </c>
      <c r="F500" s="2">
        <v>0.18629999999999999</v>
      </c>
      <c r="G500" s="2">
        <v>0.18940000000000001</v>
      </c>
    </row>
    <row r="501" spans="1:7" x14ac:dyDescent="0.3">
      <c r="A501" t="str">
        <f t="shared" si="14"/>
        <v>ES</v>
      </c>
      <c r="B501" t="str">
        <f t="shared" si="15"/>
        <v>N</v>
      </c>
      <c r="C501" t="s">
        <v>498</v>
      </c>
      <c r="D501" s="2">
        <v>0</v>
      </c>
      <c r="E501" s="2">
        <v>0</v>
      </c>
      <c r="F501" s="2">
        <v>0</v>
      </c>
      <c r="G501" s="2">
        <v>0</v>
      </c>
    </row>
    <row r="502" spans="1:7" x14ac:dyDescent="0.3">
      <c r="A502" t="str">
        <f t="shared" si="14"/>
        <v>ES</v>
      </c>
      <c r="B502" t="str">
        <f t="shared" si="15"/>
        <v>N</v>
      </c>
      <c r="C502" t="s">
        <v>499</v>
      </c>
      <c r="D502" s="2">
        <v>39.431699999999999</v>
      </c>
      <c r="E502" s="2">
        <v>39.6858</v>
      </c>
      <c r="F502" s="2">
        <v>38.0306</v>
      </c>
      <c r="G502" s="2">
        <v>43.536200000000001</v>
      </c>
    </row>
    <row r="503" spans="1:7" x14ac:dyDescent="0.3">
      <c r="A503" t="str">
        <f t="shared" si="14"/>
        <v>ES</v>
      </c>
      <c r="B503" t="str">
        <f t="shared" si="15"/>
        <v>N</v>
      </c>
      <c r="C503" t="s">
        <v>500</v>
      </c>
      <c r="D503" s="2">
        <v>0</v>
      </c>
      <c r="E503" s="2">
        <v>0</v>
      </c>
      <c r="F503" s="2">
        <v>0</v>
      </c>
      <c r="G503" s="2">
        <v>0</v>
      </c>
    </row>
    <row r="504" spans="1:7" x14ac:dyDescent="0.3">
      <c r="A504" t="str">
        <f t="shared" si="14"/>
        <v>ES</v>
      </c>
      <c r="B504" t="str">
        <f t="shared" si="15"/>
        <v>N</v>
      </c>
      <c r="C504" t="s">
        <v>501</v>
      </c>
      <c r="D504" s="2">
        <v>9.5614000000000008</v>
      </c>
      <c r="E504" s="2">
        <v>10.225</v>
      </c>
      <c r="F504" s="2">
        <v>10.086600000000001</v>
      </c>
      <c r="G504" s="2">
        <v>11.2468</v>
      </c>
    </row>
    <row r="505" spans="1:7" x14ac:dyDescent="0.3">
      <c r="A505" t="str">
        <f t="shared" si="14"/>
        <v>ES</v>
      </c>
      <c r="B505" t="str">
        <f t="shared" si="15"/>
        <v>N</v>
      </c>
      <c r="C505" t="s">
        <v>502</v>
      </c>
      <c r="D505" s="2">
        <v>5.1562999999999999</v>
      </c>
      <c r="E505" s="2">
        <v>5.3282999999999996</v>
      </c>
      <c r="F505" s="2">
        <v>4.9217000000000004</v>
      </c>
      <c r="G505" s="2">
        <v>6.2617000000000003</v>
      </c>
    </row>
    <row r="506" spans="1:7" x14ac:dyDescent="0.3">
      <c r="A506" t="str">
        <f t="shared" si="14"/>
        <v>ES</v>
      </c>
      <c r="B506" t="str">
        <f t="shared" si="15"/>
        <v>N</v>
      </c>
      <c r="C506" t="s">
        <v>503</v>
      </c>
      <c r="D506" s="2">
        <v>7.5351999999999997</v>
      </c>
      <c r="E506" s="2">
        <v>7.6913</v>
      </c>
      <c r="F506" s="2">
        <v>7.2969999999999997</v>
      </c>
      <c r="G506" s="2">
        <v>8.6193000000000008</v>
      </c>
    </row>
    <row r="507" spans="1:7" x14ac:dyDescent="0.3">
      <c r="A507" t="str">
        <f t="shared" si="14"/>
        <v>ES</v>
      </c>
      <c r="B507" t="str">
        <f t="shared" si="15"/>
        <v>N</v>
      </c>
      <c r="C507" t="s">
        <v>504</v>
      </c>
      <c r="D507" s="2">
        <v>0</v>
      </c>
      <c r="E507" s="2">
        <v>0</v>
      </c>
      <c r="F507" s="2">
        <v>0</v>
      </c>
      <c r="G507" s="2">
        <v>0</v>
      </c>
    </row>
    <row r="508" spans="1:7" x14ac:dyDescent="0.3">
      <c r="A508" t="str">
        <f t="shared" si="14"/>
        <v>ES</v>
      </c>
      <c r="B508" t="str">
        <f t="shared" si="15"/>
        <v>N</v>
      </c>
      <c r="C508" t="s">
        <v>505</v>
      </c>
      <c r="D508" s="2">
        <v>1.4E-3</v>
      </c>
      <c r="E508" s="2">
        <v>1.5E-3</v>
      </c>
      <c r="F508" s="2">
        <v>1.5E-3</v>
      </c>
      <c r="G508" s="2">
        <v>1.4E-3</v>
      </c>
    </row>
    <row r="509" spans="1:7" x14ac:dyDescent="0.3">
      <c r="A509" t="str">
        <f t="shared" si="14"/>
        <v>ES</v>
      </c>
      <c r="B509" t="str">
        <f t="shared" si="15"/>
        <v>N</v>
      </c>
      <c r="C509" t="s">
        <v>506</v>
      </c>
      <c r="D509" s="2">
        <v>0</v>
      </c>
      <c r="E509" s="2">
        <v>0</v>
      </c>
      <c r="F509" s="2">
        <v>0</v>
      </c>
      <c r="G509" s="2">
        <v>0</v>
      </c>
    </row>
    <row r="510" spans="1:7" x14ac:dyDescent="0.3">
      <c r="A510" t="str">
        <f t="shared" si="14"/>
        <v>ES</v>
      </c>
      <c r="B510" t="str">
        <f t="shared" si="15"/>
        <v>F</v>
      </c>
      <c r="C510" t="s">
        <v>507</v>
      </c>
      <c r="D510" s="2">
        <v>5.2027000000000001</v>
      </c>
      <c r="E510" s="2">
        <v>5.1546000000000003</v>
      </c>
      <c r="F510" s="2">
        <v>5.0327999999999999</v>
      </c>
      <c r="G510" s="2">
        <v>4.1307</v>
      </c>
    </row>
    <row r="511" spans="1:7" x14ac:dyDescent="0.3">
      <c r="A511" t="str">
        <f t="shared" si="14"/>
        <v>ES</v>
      </c>
      <c r="B511" t="str">
        <f t="shared" si="15"/>
        <v>F</v>
      </c>
      <c r="C511" t="s">
        <v>508</v>
      </c>
      <c r="D511" s="2">
        <v>0.43059999999999998</v>
      </c>
      <c r="E511" s="2">
        <v>0.41110000000000002</v>
      </c>
      <c r="F511" s="2">
        <v>0.33800000000000002</v>
      </c>
      <c r="G511" s="2">
        <v>0.44409999999999999</v>
      </c>
    </row>
    <row r="512" spans="1:7" x14ac:dyDescent="0.3">
      <c r="A512" t="str">
        <f t="shared" si="14"/>
        <v>ES</v>
      </c>
      <c r="B512" t="str">
        <f t="shared" si="15"/>
        <v>F</v>
      </c>
      <c r="C512" t="s">
        <v>509</v>
      </c>
      <c r="D512" s="2">
        <v>0</v>
      </c>
      <c r="E512" s="2">
        <v>0</v>
      </c>
      <c r="F512" s="2">
        <v>0</v>
      </c>
      <c r="G512" s="2">
        <v>0</v>
      </c>
    </row>
    <row r="513" spans="1:7" x14ac:dyDescent="0.3">
      <c r="A513" t="str">
        <f t="shared" si="14"/>
        <v>ES</v>
      </c>
      <c r="B513" t="str">
        <f t="shared" si="15"/>
        <v>F</v>
      </c>
      <c r="C513" t="s">
        <v>510</v>
      </c>
      <c r="D513" s="2">
        <v>18.738299999999999</v>
      </c>
      <c r="E513" s="2">
        <v>19.034400000000002</v>
      </c>
      <c r="F513" s="2">
        <v>17.834900000000001</v>
      </c>
      <c r="G513" s="2">
        <v>20.316199999999998</v>
      </c>
    </row>
    <row r="514" spans="1:7" x14ac:dyDescent="0.3">
      <c r="A514" t="str">
        <f t="shared" si="14"/>
        <v>ES</v>
      </c>
      <c r="B514" t="str">
        <f t="shared" si="15"/>
        <v>F</v>
      </c>
      <c r="C514" t="s">
        <v>511</v>
      </c>
      <c r="D514" s="2">
        <v>0</v>
      </c>
      <c r="E514" s="2">
        <v>0</v>
      </c>
      <c r="F514" s="2">
        <v>0</v>
      </c>
      <c r="G514" s="2">
        <v>0</v>
      </c>
    </row>
    <row r="515" spans="1:7" x14ac:dyDescent="0.3">
      <c r="A515" t="str">
        <f t="shared" si="14"/>
        <v>ES</v>
      </c>
      <c r="B515" t="str">
        <f t="shared" si="15"/>
        <v>F</v>
      </c>
      <c r="C515" t="s">
        <v>512</v>
      </c>
      <c r="D515" s="2">
        <v>7.5918999999999999</v>
      </c>
      <c r="E515" s="2">
        <v>7.6028000000000002</v>
      </c>
      <c r="F515" s="2">
        <v>7.6524000000000001</v>
      </c>
      <c r="G515" s="2">
        <v>7.6559999999999997</v>
      </c>
    </row>
    <row r="516" spans="1:7" x14ac:dyDescent="0.3">
      <c r="A516" t="str">
        <f t="shared" si="14"/>
        <v>ES</v>
      </c>
      <c r="B516" t="str">
        <f t="shared" si="15"/>
        <v>F</v>
      </c>
      <c r="C516" t="s">
        <v>513</v>
      </c>
      <c r="D516" s="2">
        <v>9.4031000000000002</v>
      </c>
      <c r="E516" s="2">
        <v>10.108599999999999</v>
      </c>
      <c r="F516" s="2">
        <v>9.2792999999999992</v>
      </c>
      <c r="G516" s="2">
        <v>10.7704</v>
      </c>
    </row>
    <row r="517" spans="1:7" x14ac:dyDescent="0.3">
      <c r="A517" t="str">
        <f t="shared" ref="A517:A580" si="16">LEFT(C517,2)</f>
        <v>ES</v>
      </c>
      <c r="B517" t="str">
        <f t="shared" ref="B517:B580" si="17">RIGHT(C517,1)</f>
        <v>F</v>
      </c>
      <c r="C517" t="s">
        <v>514</v>
      </c>
      <c r="D517" s="2">
        <v>10.687200000000001</v>
      </c>
      <c r="E517" s="2">
        <v>11.2857</v>
      </c>
      <c r="F517" s="2">
        <v>10.4991</v>
      </c>
      <c r="G517" s="2">
        <v>11.873799999999999</v>
      </c>
    </row>
    <row r="518" spans="1:7" x14ac:dyDescent="0.3">
      <c r="A518" t="str">
        <f t="shared" si="16"/>
        <v>ES</v>
      </c>
      <c r="B518" t="str">
        <f t="shared" si="17"/>
        <v>F</v>
      </c>
      <c r="C518" t="s">
        <v>515</v>
      </c>
      <c r="D518" s="2">
        <v>0</v>
      </c>
      <c r="E518" s="2">
        <v>0</v>
      </c>
      <c r="F518" s="2">
        <v>0</v>
      </c>
      <c r="G518" s="2">
        <v>0</v>
      </c>
    </row>
    <row r="519" spans="1:7" x14ac:dyDescent="0.3">
      <c r="A519" t="str">
        <f t="shared" si="16"/>
        <v>ES</v>
      </c>
      <c r="B519" t="str">
        <f t="shared" si="17"/>
        <v>F</v>
      </c>
      <c r="C519" t="s">
        <v>516</v>
      </c>
      <c r="D519" s="2">
        <v>3.0200000000000001E-2</v>
      </c>
      <c r="E519" s="2">
        <v>3.0200000000000001E-2</v>
      </c>
      <c r="F519" s="2">
        <v>3.0099999999999998E-2</v>
      </c>
      <c r="G519" s="2">
        <v>2.98E-2</v>
      </c>
    </row>
    <row r="520" spans="1:7" x14ac:dyDescent="0.3">
      <c r="A520" t="str">
        <f t="shared" si="16"/>
        <v>ES</v>
      </c>
      <c r="B520" t="str">
        <f t="shared" si="17"/>
        <v>F</v>
      </c>
      <c r="C520" t="s">
        <v>517</v>
      </c>
      <c r="D520" s="2">
        <v>0</v>
      </c>
      <c r="E520" s="2">
        <v>0</v>
      </c>
      <c r="F520" s="2">
        <v>0</v>
      </c>
      <c r="G520" s="2">
        <v>0</v>
      </c>
    </row>
    <row r="521" spans="1:7" x14ac:dyDescent="0.3">
      <c r="A521" t="str">
        <f t="shared" si="16"/>
        <v>ES</v>
      </c>
      <c r="B521" t="str">
        <f t="shared" si="17"/>
        <v>O</v>
      </c>
      <c r="C521" t="s">
        <v>518</v>
      </c>
      <c r="D521" s="2">
        <v>17.078399999999998</v>
      </c>
      <c r="E521" s="2">
        <v>17.702300000000001</v>
      </c>
      <c r="F521" s="2">
        <v>15.025</v>
      </c>
      <c r="G521" s="2">
        <v>14.972300000000001</v>
      </c>
    </row>
    <row r="522" spans="1:7" x14ac:dyDescent="0.3">
      <c r="A522" t="str">
        <f t="shared" si="16"/>
        <v>ES</v>
      </c>
      <c r="B522" t="str">
        <f t="shared" si="17"/>
        <v>O</v>
      </c>
      <c r="C522" t="s">
        <v>519</v>
      </c>
      <c r="D522" s="2">
        <v>0.187</v>
      </c>
      <c r="E522" s="2">
        <v>1.0999999999999999E-2</v>
      </c>
      <c r="F522" s="2">
        <v>1.0999999999999999E-2</v>
      </c>
      <c r="G522" s="2">
        <v>2.1899999999999999E-2</v>
      </c>
    </row>
    <row r="523" spans="1:7" x14ac:dyDescent="0.3">
      <c r="A523" t="str">
        <f t="shared" si="16"/>
        <v>ES</v>
      </c>
      <c r="B523" t="str">
        <f t="shared" si="17"/>
        <v>O</v>
      </c>
      <c r="C523" t="s">
        <v>520</v>
      </c>
      <c r="D523" s="2">
        <v>0</v>
      </c>
      <c r="E523" s="2">
        <v>0</v>
      </c>
      <c r="F523" s="2">
        <v>0</v>
      </c>
      <c r="G523" s="2">
        <v>0</v>
      </c>
    </row>
    <row r="524" spans="1:7" x14ac:dyDescent="0.3">
      <c r="A524" t="str">
        <f t="shared" si="16"/>
        <v>ES</v>
      </c>
      <c r="B524" t="str">
        <f t="shared" si="17"/>
        <v>O</v>
      </c>
      <c r="C524" t="s">
        <v>521</v>
      </c>
      <c r="D524" s="2">
        <v>55.162700000000001</v>
      </c>
      <c r="E524" s="2">
        <v>58.705399999999997</v>
      </c>
      <c r="F524" s="2">
        <v>54.674900000000001</v>
      </c>
      <c r="G524" s="2">
        <v>58.343299999999999</v>
      </c>
    </row>
    <row r="525" spans="1:7" x14ac:dyDescent="0.3">
      <c r="A525" t="str">
        <f t="shared" si="16"/>
        <v>ES</v>
      </c>
      <c r="B525" t="str">
        <f t="shared" si="17"/>
        <v>O</v>
      </c>
      <c r="C525" t="s">
        <v>522</v>
      </c>
      <c r="D525" s="2">
        <v>0</v>
      </c>
      <c r="E525" s="2">
        <v>0</v>
      </c>
      <c r="F525" s="2">
        <v>0</v>
      </c>
      <c r="G525" s="2">
        <v>0</v>
      </c>
    </row>
    <row r="526" spans="1:7" x14ac:dyDescent="0.3">
      <c r="A526" t="str">
        <f t="shared" si="16"/>
        <v>ES</v>
      </c>
      <c r="B526" t="str">
        <f t="shared" si="17"/>
        <v>O</v>
      </c>
      <c r="C526" t="s">
        <v>523</v>
      </c>
      <c r="D526" s="2">
        <v>24.196200000000001</v>
      </c>
      <c r="E526" s="2">
        <v>26.956299999999999</v>
      </c>
      <c r="F526" s="2">
        <v>21.260400000000001</v>
      </c>
      <c r="G526" s="2">
        <v>22.3095</v>
      </c>
    </row>
    <row r="527" spans="1:7" x14ac:dyDescent="0.3">
      <c r="A527" t="str">
        <f t="shared" si="16"/>
        <v>ES</v>
      </c>
      <c r="B527" t="str">
        <f t="shared" si="17"/>
        <v>O</v>
      </c>
      <c r="C527" t="s">
        <v>524</v>
      </c>
      <c r="D527" s="2">
        <v>35.847200000000001</v>
      </c>
      <c r="E527" s="2">
        <v>34.073399999999999</v>
      </c>
      <c r="F527" s="2">
        <v>30.613900000000001</v>
      </c>
      <c r="G527" s="2">
        <v>32.594999999999999</v>
      </c>
    </row>
    <row r="528" spans="1:7" x14ac:dyDescent="0.3">
      <c r="A528" t="str">
        <f t="shared" si="16"/>
        <v>ES</v>
      </c>
      <c r="B528" t="str">
        <f t="shared" si="17"/>
        <v>O</v>
      </c>
      <c r="C528" t="s">
        <v>525</v>
      </c>
      <c r="D528" s="2">
        <v>38.779600000000002</v>
      </c>
      <c r="E528" s="2">
        <v>37.904200000000003</v>
      </c>
      <c r="F528" s="2">
        <v>34.025700000000001</v>
      </c>
      <c r="G528" s="2">
        <v>37.4711</v>
      </c>
    </row>
    <row r="529" spans="1:7" x14ac:dyDescent="0.3">
      <c r="A529" t="str">
        <f t="shared" si="16"/>
        <v>ES</v>
      </c>
      <c r="B529" t="str">
        <f t="shared" si="17"/>
        <v>O</v>
      </c>
      <c r="C529" t="s">
        <v>526</v>
      </c>
      <c r="D529" s="2">
        <v>0</v>
      </c>
      <c r="E529" s="2">
        <v>0</v>
      </c>
      <c r="F529" s="2">
        <v>0</v>
      </c>
      <c r="G529" s="2">
        <v>0</v>
      </c>
    </row>
    <row r="530" spans="1:7" x14ac:dyDescent="0.3">
      <c r="A530" t="str">
        <f t="shared" si="16"/>
        <v>ES</v>
      </c>
      <c r="B530" t="str">
        <f t="shared" si="17"/>
        <v>O</v>
      </c>
      <c r="C530" t="s">
        <v>527</v>
      </c>
      <c r="D530" s="2">
        <v>5.3100000000000001E-2</v>
      </c>
      <c r="E530" s="2">
        <v>5.4800000000000001E-2</v>
      </c>
      <c r="F530" s="2">
        <v>5.5199999999999999E-2</v>
      </c>
      <c r="G530" s="2">
        <v>5.5800000000000002E-2</v>
      </c>
    </row>
    <row r="531" spans="1:7" x14ac:dyDescent="0.3">
      <c r="A531" t="str">
        <f t="shared" si="16"/>
        <v>ES</v>
      </c>
      <c r="B531" t="str">
        <f t="shared" si="17"/>
        <v>O</v>
      </c>
      <c r="C531" t="s">
        <v>528</v>
      </c>
      <c r="D531" s="2">
        <v>0</v>
      </c>
      <c r="E531" s="2">
        <v>0</v>
      </c>
      <c r="F531" s="2">
        <v>0</v>
      </c>
      <c r="G531" s="2">
        <v>0</v>
      </c>
    </row>
    <row r="532" spans="1:7" x14ac:dyDescent="0.3">
      <c r="A532" t="str">
        <f t="shared" si="16"/>
        <v>FI</v>
      </c>
      <c r="B532" t="str">
        <f t="shared" si="17"/>
        <v>I</v>
      </c>
      <c r="C532" t="s">
        <v>529</v>
      </c>
      <c r="D532" s="2">
        <v>1.9708000000000001</v>
      </c>
      <c r="E532" s="2">
        <v>0.28799999999999998</v>
      </c>
      <c r="F532" s="2">
        <v>0.17080000000000001</v>
      </c>
      <c r="G532" s="2">
        <v>0.15620000000000001</v>
      </c>
    </row>
    <row r="533" spans="1:7" x14ac:dyDescent="0.3">
      <c r="A533" t="str">
        <f t="shared" si="16"/>
        <v>FI</v>
      </c>
      <c r="B533" t="str">
        <f t="shared" si="17"/>
        <v>I</v>
      </c>
      <c r="C533" t="s">
        <v>530</v>
      </c>
      <c r="D533" s="2">
        <v>0.62170000000000003</v>
      </c>
      <c r="E533" s="2">
        <v>0.60570000000000002</v>
      </c>
      <c r="F533" s="2">
        <v>0.62170000000000003</v>
      </c>
      <c r="G533" s="2">
        <v>0.69910000000000005</v>
      </c>
    </row>
    <row r="534" spans="1:7" x14ac:dyDescent="0.3">
      <c r="A534" t="str">
        <f t="shared" si="16"/>
        <v>FI</v>
      </c>
      <c r="B534" t="str">
        <f t="shared" si="17"/>
        <v>I</v>
      </c>
      <c r="C534" t="s">
        <v>531</v>
      </c>
      <c r="D534" s="2">
        <v>0</v>
      </c>
      <c r="E534" s="2">
        <v>0</v>
      </c>
      <c r="F534" s="2">
        <v>0</v>
      </c>
      <c r="G534" s="2">
        <v>0</v>
      </c>
    </row>
    <row r="535" spans="1:7" x14ac:dyDescent="0.3">
      <c r="A535" t="str">
        <f t="shared" si="16"/>
        <v>FI</v>
      </c>
      <c r="B535" t="str">
        <f t="shared" si="17"/>
        <v>I</v>
      </c>
      <c r="C535" t="s">
        <v>532</v>
      </c>
      <c r="D535" s="2">
        <v>4.0195999999999996</v>
      </c>
      <c r="E535" s="2">
        <v>5.6022999999999996</v>
      </c>
      <c r="F535" s="2">
        <v>5.4721000000000002</v>
      </c>
      <c r="G535" s="2">
        <v>6.1483999999999996</v>
      </c>
    </row>
    <row r="536" spans="1:7" x14ac:dyDescent="0.3">
      <c r="A536" t="str">
        <f t="shared" si="16"/>
        <v>FI</v>
      </c>
      <c r="B536" t="str">
        <f t="shared" si="17"/>
        <v>I</v>
      </c>
      <c r="C536" t="s">
        <v>533</v>
      </c>
      <c r="D536" s="2">
        <v>0</v>
      </c>
      <c r="E536" s="2">
        <v>0</v>
      </c>
      <c r="F536" s="2">
        <v>0</v>
      </c>
      <c r="G536" s="2">
        <v>0</v>
      </c>
    </row>
    <row r="537" spans="1:7" x14ac:dyDescent="0.3">
      <c r="A537" t="str">
        <f t="shared" si="16"/>
        <v>FI</v>
      </c>
      <c r="B537" t="str">
        <f t="shared" si="17"/>
        <v>I</v>
      </c>
      <c r="C537" t="s">
        <v>534</v>
      </c>
      <c r="D537" s="2">
        <v>4.0000000000000002E-4</v>
      </c>
      <c r="E537" s="2">
        <v>0</v>
      </c>
      <c r="F537" s="2">
        <v>0</v>
      </c>
      <c r="G537" s="2">
        <v>0</v>
      </c>
    </row>
    <row r="538" spans="1:7" x14ac:dyDescent="0.3">
      <c r="A538" t="str">
        <f t="shared" si="16"/>
        <v>FI</v>
      </c>
      <c r="B538" t="str">
        <f t="shared" si="17"/>
        <v>I</v>
      </c>
      <c r="C538" t="s">
        <v>535</v>
      </c>
      <c r="D538" s="2">
        <v>8.5023999999999997</v>
      </c>
      <c r="E538" s="2">
        <v>8.5383999999999993</v>
      </c>
      <c r="F538" s="2">
        <v>8.5332000000000008</v>
      </c>
      <c r="G538" s="2">
        <v>9.7418999999999993</v>
      </c>
    </row>
    <row r="539" spans="1:7" x14ac:dyDescent="0.3">
      <c r="A539" t="str">
        <f t="shared" si="16"/>
        <v>FI</v>
      </c>
      <c r="B539" t="str">
        <f t="shared" si="17"/>
        <v>I</v>
      </c>
      <c r="C539" t="s">
        <v>536</v>
      </c>
      <c r="D539" s="2">
        <v>1.1097999999999999</v>
      </c>
      <c r="E539" s="2">
        <v>1.0955999999999999</v>
      </c>
      <c r="F539" s="2">
        <v>1.0903</v>
      </c>
      <c r="G539" s="2">
        <v>1.2091000000000001</v>
      </c>
    </row>
    <row r="540" spans="1:7" x14ac:dyDescent="0.3">
      <c r="A540" t="str">
        <f t="shared" si="16"/>
        <v>FI</v>
      </c>
      <c r="B540" t="str">
        <f t="shared" si="17"/>
        <v>I</v>
      </c>
      <c r="C540" t="s">
        <v>537</v>
      </c>
      <c r="D540" s="2">
        <v>0</v>
      </c>
      <c r="E540" s="2">
        <v>0</v>
      </c>
      <c r="F540" s="2">
        <v>0</v>
      </c>
      <c r="G540" s="2">
        <v>0</v>
      </c>
    </row>
    <row r="541" spans="1:7" x14ac:dyDescent="0.3">
      <c r="A541" t="str">
        <f t="shared" si="16"/>
        <v>FI</v>
      </c>
      <c r="B541" t="str">
        <f t="shared" si="17"/>
        <v>I</v>
      </c>
      <c r="C541" t="s">
        <v>538</v>
      </c>
      <c r="D541" s="2">
        <v>0</v>
      </c>
      <c r="E541" s="2">
        <v>0</v>
      </c>
      <c r="F541" s="2">
        <v>0</v>
      </c>
      <c r="G541" s="2">
        <v>0</v>
      </c>
    </row>
    <row r="542" spans="1:7" x14ac:dyDescent="0.3">
      <c r="A542" t="str">
        <f t="shared" si="16"/>
        <v>FI</v>
      </c>
      <c r="B542" t="str">
        <f t="shared" si="17"/>
        <v>I</v>
      </c>
      <c r="C542" t="s">
        <v>539</v>
      </c>
      <c r="D542" s="2">
        <v>5.7525000000000004</v>
      </c>
      <c r="E542" s="2">
        <v>5.6932</v>
      </c>
      <c r="F542" s="2">
        <v>5.3023999999999996</v>
      </c>
      <c r="G542" s="2">
        <v>6.1109999999999998</v>
      </c>
    </row>
    <row r="543" spans="1:7" x14ac:dyDescent="0.3">
      <c r="A543" t="str">
        <f t="shared" si="16"/>
        <v>FI</v>
      </c>
      <c r="B543" t="str">
        <f t="shared" si="17"/>
        <v>C</v>
      </c>
      <c r="C543" t="s">
        <v>540</v>
      </c>
      <c r="D543" s="2">
        <v>5.9158999999999997</v>
      </c>
      <c r="E543" s="2">
        <v>6.0071000000000003</v>
      </c>
      <c r="F543" s="2">
        <v>5.7397</v>
      </c>
      <c r="G543" s="2">
        <v>5.7281000000000004</v>
      </c>
    </row>
    <row r="544" spans="1:7" x14ac:dyDescent="0.3">
      <c r="A544" t="str">
        <f t="shared" si="16"/>
        <v>FI</v>
      </c>
      <c r="B544" t="str">
        <f t="shared" si="17"/>
        <v>C</v>
      </c>
      <c r="C544" t="s">
        <v>541</v>
      </c>
      <c r="D544" s="2">
        <v>0</v>
      </c>
      <c r="E544" s="2">
        <v>0</v>
      </c>
      <c r="F544" s="2">
        <v>0</v>
      </c>
      <c r="G544" s="2">
        <v>0</v>
      </c>
    </row>
    <row r="545" spans="1:7" x14ac:dyDescent="0.3">
      <c r="A545" t="str">
        <f t="shared" si="16"/>
        <v>FI</v>
      </c>
      <c r="B545" t="str">
        <f t="shared" si="17"/>
        <v>C</v>
      </c>
      <c r="C545" t="s">
        <v>542</v>
      </c>
      <c r="D545" s="2">
        <v>0</v>
      </c>
      <c r="E545" s="2">
        <v>0</v>
      </c>
      <c r="F545" s="2">
        <v>0</v>
      </c>
      <c r="G545" s="2">
        <v>0</v>
      </c>
    </row>
    <row r="546" spans="1:7" x14ac:dyDescent="0.3">
      <c r="A546" t="str">
        <f t="shared" si="16"/>
        <v>FI</v>
      </c>
      <c r="B546" t="str">
        <f t="shared" si="17"/>
        <v>C</v>
      </c>
      <c r="C546" t="s">
        <v>543</v>
      </c>
      <c r="D546" s="2">
        <v>1.6282000000000001</v>
      </c>
      <c r="E546" s="2">
        <v>1.3626</v>
      </c>
      <c r="F546" s="2">
        <v>1.3671</v>
      </c>
      <c r="G546" s="2">
        <v>1.3483000000000001</v>
      </c>
    </row>
    <row r="547" spans="1:7" x14ac:dyDescent="0.3">
      <c r="A547" t="str">
        <f t="shared" si="16"/>
        <v>FI</v>
      </c>
      <c r="B547" t="str">
        <f t="shared" si="17"/>
        <v>C</v>
      </c>
      <c r="C547" t="s">
        <v>544</v>
      </c>
      <c r="D547" s="2">
        <v>0</v>
      </c>
      <c r="E547" s="2">
        <v>0</v>
      </c>
      <c r="F547" s="2">
        <v>0</v>
      </c>
      <c r="G547" s="2">
        <v>0</v>
      </c>
    </row>
    <row r="548" spans="1:7" x14ac:dyDescent="0.3">
      <c r="A548" t="str">
        <f t="shared" si="16"/>
        <v>FI</v>
      </c>
      <c r="B548" t="str">
        <f t="shared" si="17"/>
        <v>C</v>
      </c>
      <c r="C548" t="s">
        <v>545</v>
      </c>
      <c r="D548" s="2">
        <v>0.45960000000000001</v>
      </c>
      <c r="E548" s="2">
        <v>0.40460000000000002</v>
      </c>
      <c r="F548" s="2">
        <v>0.36709999999999998</v>
      </c>
      <c r="G548" s="2">
        <v>0.38919999999999999</v>
      </c>
    </row>
    <row r="549" spans="1:7" x14ac:dyDescent="0.3">
      <c r="A549" t="str">
        <f t="shared" si="16"/>
        <v>FI</v>
      </c>
      <c r="B549" t="str">
        <f t="shared" si="17"/>
        <v>C</v>
      </c>
      <c r="C549" t="s">
        <v>546</v>
      </c>
      <c r="D549" s="2">
        <v>2.5459999999999998</v>
      </c>
      <c r="E549" s="2">
        <v>2.5171999999999999</v>
      </c>
      <c r="F549" s="2">
        <v>2.4411999999999998</v>
      </c>
      <c r="G549" s="2">
        <v>2.6410999999999998</v>
      </c>
    </row>
    <row r="550" spans="1:7" x14ac:dyDescent="0.3">
      <c r="A550" t="str">
        <f t="shared" si="16"/>
        <v>FI</v>
      </c>
      <c r="B550" t="str">
        <f t="shared" si="17"/>
        <v>C</v>
      </c>
      <c r="C550" t="s">
        <v>547</v>
      </c>
      <c r="D550" s="2">
        <v>6.8471000000000002</v>
      </c>
      <c r="E550" s="2">
        <v>6.7487000000000004</v>
      </c>
      <c r="F550" s="2">
        <v>6.5903</v>
      </c>
      <c r="G550" s="2">
        <v>6.9612999999999996</v>
      </c>
    </row>
    <row r="551" spans="1:7" x14ac:dyDescent="0.3">
      <c r="A551" t="str">
        <f t="shared" si="16"/>
        <v>FI</v>
      </c>
      <c r="B551" t="str">
        <f t="shared" si="17"/>
        <v>C</v>
      </c>
      <c r="C551" t="s">
        <v>548</v>
      </c>
      <c r="D551" s="2">
        <v>0</v>
      </c>
      <c r="E551" s="2">
        <v>0</v>
      </c>
      <c r="F551" s="2">
        <v>0</v>
      </c>
      <c r="G551" s="2">
        <v>0</v>
      </c>
    </row>
    <row r="552" spans="1:7" x14ac:dyDescent="0.3">
      <c r="A552" t="str">
        <f t="shared" si="16"/>
        <v>FI</v>
      </c>
      <c r="B552" t="str">
        <f t="shared" si="17"/>
        <v>C</v>
      </c>
      <c r="C552" t="s">
        <v>549</v>
      </c>
      <c r="D552" s="2">
        <v>0</v>
      </c>
      <c r="E552" s="2">
        <v>0</v>
      </c>
      <c r="F552" s="2">
        <v>0</v>
      </c>
      <c r="G552" s="2">
        <v>0</v>
      </c>
    </row>
    <row r="553" spans="1:7" x14ac:dyDescent="0.3">
      <c r="A553" t="str">
        <f t="shared" si="16"/>
        <v>FI</v>
      </c>
      <c r="B553" t="str">
        <f t="shared" si="17"/>
        <v>C</v>
      </c>
      <c r="C553" t="s">
        <v>550</v>
      </c>
      <c r="D553" s="2">
        <v>8.4930000000000003</v>
      </c>
      <c r="E553" s="2">
        <v>8.1857000000000006</v>
      </c>
      <c r="F553" s="2">
        <v>7.9551999999999996</v>
      </c>
      <c r="G553" s="2">
        <v>8.1308000000000007</v>
      </c>
    </row>
    <row r="554" spans="1:7" x14ac:dyDescent="0.3">
      <c r="A554" t="str">
        <f t="shared" si="16"/>
        <v>FI</v>
      </c>
      <c r="B554" t="str">
        <f t="shared" si="17"/>
        <v>W</v>
      </c>
      <c r="C554" t="s">
        <v>551</v>
      </c>
      <c r="D554" s="2">
        <v>0.1477</v>
      </c>
      <c r="E554" s="2">
        <v>0.10580000000000001</v>
      </c>
      <c r="F554" s="2">
        <v>6.2899999999999998E-2</v>
      </c>
      <c r="G554" s="2">
        <v>6.8699999999999997E-2</v>
      </c>
    </row>
    <row r="555" spans="1:7" x14ac:dyDescent="0.3">
      <c r="A555" t="str">
        <f t="shared" si="16"/>
        <v>FI</v>
      </c>
      <c r="B555" t="str">
        <f t="shared" si="17"/>
        <v>W</v>
      </c>
      <c r="C555" t="s">
        <v>552</v>
      </c>
      <c r="D555" s="2">
        <v>6.6600000000000006E-2</v>
      </c>
      <c r="E555" s="2">
        <v>3.1899999999999998E-2</v>
      </c>
      <c r="F555" s="2">
        <v>1.7000000000000001E-2</v>
      </c>
      <c r="G555" s="2">
        <v>2.5899999999999999E-2</v>
      </c>
    </row>
    <row r="556" spans="1:7" x14ac:dyDescent="0.3">
      <c r="A556" t="str">
        <f t="shared" si="16"/>
        <v>FI</v>
      </c>
      <c r="B556" t="str">
        <f t="shared" si="17"/>
        <v>W</v>
      </c>
      <c r="C556" t="s">
        <v>553</v>
      </c>
      <c r="D556" s="2">
        <v>0</v>
      </c>
      <c r="E556" s="2">
        <v>0</v>
      </c>
      <c r="F556" s="2">
        <v>0</v>
      </c>
      <c r="G556" s="2">
        <v>0</v>
      </c>
    </row>
    <row r="557" spans="1:7" x14ac:dyDescent="0.3">
      <c r="A557" t="str">
        <f t="shared" si="16"/>
        <v>FI</v>
      </c>
      <c r="B557" t="str">
        <f t="shared" si="17"/>
        <v>W</v>
      </c>
      <c r="C557" t="s">
        <v>554</v>
      </c>
      <c r="D557" s="2">
        <v>0</v>
      </c>
      <c r="E557" s="2">
        <v>3.3E-3</v>
      </c>
      <c r="F557" s="2">
        <v>2.7000000000000001E-3</v>
      </c>
      <c r="G557" s="2">
        <v>2.7000000000000001E-3</v>
      </c>
    </row>
    <row r="558" spans="1:7" x14ac:dyDescent="0.3">
      <c r="A558" t="str">
        <f t="shared" si="16"/>
        <v>FI</v>
      </c>
      <c r="B558" t="str">
        <f t="shared" si="17"/>
        <v>W</v>
      </c>
      <c r="C558" t="s">
        <v>555</v>
      </c>
      <c r="D558" s="2">
        <v>0</v>
      </c>
      <c r="E558" s="2">
        <v>0</v>
      </c>
      <c r="F558" s="2">
        <v>0</v>
      </c>
      <c r="G558" s="2">
        <v>0</v>
      </c>
    </row>
    <row r="559" spans="1:7" x14ac:dyDescent="0.3">
      <c r="A559" t="str">
        <f t="shared" si="16"/>
        <v>FI</v>
      </c>
      <c r="B559" t="str">
        <f t="shared" si="17"/>
        <v>W</v>
      </c>
      <c r="C559" t="s">
        <v>556</v>
      </c>
      <c r="D559" s="2">
        <v>3.4178000000000002</v>
      </c>
      <c r="E559" s="2">
        <v>3.2241</v>
      </c>
      <c r="F559" s="2">
        <v>3.3338000000000001</v>
      </c>
      <c r="G559" s="2">
        <v>3.7730000000000001</v>
      </c>
    </row>
    <row r="560" spans="1:7" x14ac:dyDescent="0.3">
      <c r="A560" t="str">
        <f t="shared" si="16"/>
        <v>FI</v>
      </c>
      <c r="B560" t="str">
        <f t="shared" si="17"/>
        <v>W</v>
      </c>
      <c r="C560" t="s">
        <v>557</v>
      </c>
      <c r="D560" s="2">
        <v>0.3921</v>
      </c>
      <c r="E560" s="2">
        <v>0.37080000000000002</v>
      </c>
      <c r="F560" s="2">
        <v>0.36459999999999998</v>
      </c>
      <c r="G560" s="2">
        <v>0.39350000000000002</v>
      </c>
    </row>
    <row r="561" spans="1:7" x14ac:dyDescent="0.3">
      <c r="A561" t="str">
        <f t="shared" si="16"/>
        <v>FI</v>
      </c>
      <c r="B561" t="str">
        <f t="shared" si="17"/>
        <v>W</v>
      </c>
      <c r="C561" t="s">
        <v>558</v>
      </c>
      <c r="D561" s="2">
        <v>2.2543000000000002</v>
      </c>
      <c r="E561" s="2">
        <v>2.1292</v>
      </c>
      <c r="F561" s="2">
        <v>2.0756000000000001</v>
      </c>
      <c r="G561" s="2">
        <v>2.2303999999999999</v>
      </c>
    </row>
    <row r="562" spans="1:7" x14ac:dyDescent="0.3">
      <c r="A562" t="str">
        <f t="shared" si="16"/>
        <v>FI</v>
      </c>
      <c r="B562" t="str">
        <f t="shared" si="17"/>
        <v>W</v>
      </c>
      <c r="C562" t="s">
        <v>559</v>
      </c>
      <c r="D562" s="2">
        <v>0</v>
      </c>
      <c r="E562" s="2">
        <v>0</v>
      </c>
      <c r="F562" s="2">
        <v>0</v>
      </c>
      <c r="G562" s="2">
        <v>0</v>
      </c>
    </row>
    <row r="563" spans="1:7" x14ac:dyDescent="0.3">
      <c r="A563" t="str">
        <f t="shared" si="16"/>
        <v>FI</v>
      </c>
      <c r="B563" t="str">
        <f t="shared" si="17"/>
        <v>W</v>
      </c>
      <c r="C563" t="s">
        <v>560</v>
      </c>
      <c r="D563" s="2">
        <v>0</v>
      </c>
      <c r="E563" s="2">
        <v>0</v>
      </c>
      <c r="F563" s="2">
        <v>0</v>
      </c>
      <c r="G563" s="2">
        <v>0</v>
      </c>
    </row>
    <row r="564" spans="1:7" x14ac:dyDescent="0.3">
      <c r="A564" t="str">
        <f t="shared" si="16"/>
        <v>FI</v>
      </c>
      <c r="B564" t="str">
        <f t="shared" si="17"/>
        <v>W</v>
      </c>
      <c r="C564" t="s">
        <v>561</v>
      </c>
      <c r="D564" s="2">
        <v>3.7837000000000001</v>
      </c>
      <c r="E564" s="2">
        <v>3.6551999999999998</v>
      </c>
      <c r="F564" s="2">
        <v>3.6920000000000002</v>
      </c>
      <c r="G564" s="2">
        <v>3.6707000000000001</v>
      </c>
    </row>
    <row r="565" spans="1:7" x14ac:dyDescent="0.3">
      <c r="A565" t="str">
        <f t="shared" si="16"/>
        <v>FI</v>
      </c>
      <c r="B565" t="str">
        <f t="shared" si="17"/>
        <v>P</v>
      </c>
      <c r="C565" t="s">
        <v>562</v>
      </c>
      <c r="D565" s="2">
        <v>4.3974000000000002</v>
      </c>
      <c r="E565" s="2">
        <v>4.0660999999999996</v>
      </c>
      <c r="F565" s="2">
        <v>2.956</v>
      </c>
      <c r="G565" s="2">
        <v>2.9108999999999998</v>
      </c>
    </row>
    <row r="566" spans="1:7" x14ac:dyDescent="0.3">
      <c r="A566" t="str">
        <f t="shared" si="16"/>
        <v>FI</v>
      </c>
      <c r="B566" t="str">
        <f t="shared" si="17"/>
        <v>P</v>
      </c>
      <c r="C566" t="s">
        <v>563</v>
      </c>
      <c r="D566" s="2">
        <v>4.9829999999999997</v>
      </c>
      <c r="E566" s="2">
        <v>4.8262</v>
      </c>
      <c r="F566" s="2">
        <v>3.8792</v>
      </c>
      <c r="G566" s="2">
        <v>3.8260999999999998</v>
      </c>
    </row>
    <row r="567" spans="1:7" x14ac:dyDescent="0.3">
      <c r="A567" t="str">
        <f t="shared" si="16"/>
        <v>FI</v>
      </c>
      <c r="B567" t="str">
        <f t="shared" si="17"/>
        <v>P</v>
      </c>
      <c r="C567" t="s">
        <v>564</v>
      </c>
      <c r="D567" s="2">
        <v>0</v>
      </c>
      <c r="E567" s="2">
        <v>0</v>
      </c>
      <c r="F567" s="2">
        <v>0</v>
      </c>
      <c r="G567" s="2">
        <v>0</v>
      </c>
    </row>
    <row r="568" spans="1:7" x14ac:dyDescent="0.3">
      <c r="A568" t="str">
        <f t="shared" si="16"/>
        <v>FI</v>
      </c>
      <c r="B568" t="str">
        <f t="shared" si="17"/>
        <v>P</v>
      </c>
      <c r="C568" t="s">
        <v>565</v>
      </c>
      <c r="D568" s="2">
        <v>13.299099999999999</v>
      </c>
      <c r="E568" s="2">
        <v>13.7187</v>
      </c>
      <c r="F568" s="2">
        <v>13.327999999999999</v>
      </c>
      <c r="G568" s="2">
        <v>15.016500000000001</v>
      </c>
    </row>
    <row r="569" spans="1:7" x14ac:dyDescent="0.3">
      <c r="A569" t="str">
        <f t="shared" si="16"/>
        <v>FI</v>
      </c>
      <c r="B569" t="str">
        <f t="shared" si="17"/>
        <v>P</v>
      </c>
      <c r="C569" t="s">
        <v>566</v>
      </c>
      <c r="D569" s="2">
        <v>0</v>
      </c>
      <c r="E569" s="2">
        <v>0</v>
      </c>
      <c r="F569" s="2">
        <v>0</v>
      </c>
      <c r="G569" s="2">
        <v>0</v>
      </c>
    </row>
    <row r="570" spans="1:7" x14ac:dyDescent="0.3">
      <c r="A570" t="str">
        <f t="shared" si="16"/>
        <v>FI</v>
      </c>
      <c r="B570" t="str">
        <f t="shared" si="17"/>
        <v>P</v>
      </c>
      <c r="C570" t="s">
        <v>567</v>
      </c>
      <c r="D570" s="2">
        <v>100.1289</v>
      </c>
      <c r="E570" s="2">
        <v>102.7257</v>
      </c>
      <c r="F570" s="2">
        <v>95.065899999999999</v>
      </c>
      <c r="G570" s="2">
        <v>99.424099999999996</v>
      </c>
    </row>
    <row r="571" spans="1:7" x14ac:dyDescent="0.3">
      <c r="A571" t="str">
        <f t="shared" si="16"/>
        <v>FI</v>
      </c>
      <c r="B571" t="str">
        <f t="shared" si="17"/>
        <v>P</v>
      </c>
      <c r="C571" t="s">
        <v>568</v>
      </c>
      <c r="D571" s="2">
        <v>24.278500000000001</v>
      </c>
      <c r="E571" s="2">
        <v>23.256599999999999</v>
      </c>
      <c r="F571" s="2">
        <v>19.7363</v>
      </c>
      <c r="G571" s="2">
        <v>21.157900000000001</v>
      </c>
    </row>
    <row r="572" spans="1:7" x14ac:dyDescent="0.3">
      <c r="A572" t="str">
        <f t="shared" si="16"/>
        <v>FI</v>
      </c>
      <c r="B572" t="str">
        <f t="shared" si="17"/>
        <v>P</v>
      </c>
      <c r="C572" t="s">
        <v>569</v>
      </c>
      <c r="D572" s="2">
        <v>16.722999999999999</v>
      </c>
      <c r="E572" s="2">
        <v>16.477799999999998</v>
      </c>
      <c r="F572" s="2">
        <v>14.7864</v>
      </c>
      <c r="G572" s="2">
        <v>15.5816</v>
      </c>
    </row>
    <row r="573" spans="1:7" x14ac:dyDescent="0.3">
      <c r="A573" t="str">
        <f t="shared" si="16"/>
        <v>FI</v>
      </c>
      <c r="B573" t="str">
        <f t="shared" si="17"/>
        <v>P</v>
      </c>
      <c r="C573" t="s">
        <v>570</v>
      </c>
      <c r="D573" s="2">
        <v>0</v>
      </c>
      <c r="E573" s="2">
        <v>0</v>
      </c>
      <c r="F573" s="2">
        <v>0</v>
      </c>
      <c r="G573" s="2">
        <v>0</v>
      </c>
    </row>
    <row r="574" spans="1:7" x14ac:dyDescent="0.3">
      <c r="A574" t="str">
        <f t="shared" si="16"/>
        <v>FI</v>
      </c>
      <c r="B574" t="str">
        <f t="shared" si="17"/>
        <v>P</v>
      </c>
      <c r="C574" t="s">
        <v>571</v>
      </c>
      <c r="D574" s="2">
        <v>0</v>
      </c>
      <c r="E574" s="2">
        <v>0</v>
      </c>
      <c r="F574" s="2">
        <v>0</v>
      </c>
      <c r="G574" s="2">
        <v>0</v>
      </c>
    </row>
    <row r="575" spans="1:7" x14ac:dyDescent="0.3">
      <c r="A575" t="str">
        <f t="shared" si="16"/>
        <v>FI</v>
      </c>
      <c r="B575" t="str">
        <f t="shared" si="17"/>
        <v>P</v>
      </c>
      <c r="C575" t="s">
        <v>572</v>
      </c>
      <c r="D575" s="2">
        <v>9.5581999999999994</v>
      </c>
      <c r="E575" s="2">
        <v>9.5137999999999998</v>
      </c>
      <c r="F575" s="2">
        <v>8.6691000000000003</v>
      </c>
      <c r="G575" s="2">
        <v>9.3640000000000008</v>
      </c>
    </row>
    <row r="576" spans="1:7" x14ac:dyDescent="0.3">
      <c r="A576" t="str">
        <f t="shared" si="16"/>
        <v>FI</v>
      </c>
      <c r="B576" t="str">
        <f t="shared" si="17"/>
        <v>O</v>
      </c>
      <c r="C576" t="s">
        <v>573</v>
      </c>
      <c r="D576" s="2">
        <v>10.188000000000001</v>
      </c>
      <c r="E576" s="2">
        <v>10.1211</v>
      </c>
      <c r="F576" s="2">
        <v>9.8045000000000009</v>
      </c>
      <c r="G576" s="2">
        <v>9.9610000000000003</v>
      </c>
    </row>
    <row r="577" spans="1:7" x14ac:dyDescent="0.3">
      <c r="A577" t="str">
        <f t="shared" si="16"/>
        <v>FI</v>
      </c>
      <c r="B577" t="str">
        <f t="shared" si="17"/>
        <v>O</v>
      </c>
      <c r="C577" t="s">
        <v>574</v>
      </c>
      <c r="D577" s="2">
        <v>1.2076</v>
      </c>
      <c r="E577" s="2">
        <v>1.1009</v>
      </c>
      <c r="F577" s="2">
        <v>0.83440000000000003</v>
      </c>
      <c r="G577" s="2">
        <v>0.82099999999999995</v>
      </c>
    </row>
    <row r="578" spans="1:7" x14ac:dyDescent="0.3">
      <c r="A578" t="str">
        <f t="shared" si="16"/>
        <v>FI</v>
      </c>
      <c r="B578" t="str">
        <f t="shared" si="17"/>
        <v>O</v>
      </c>
      <c r="C578" t="s">
        <v>575</v>
      </c>
      <c r="D578" s="2">
        <v>0</v>
      </c>
      <c r="E578" s="2">
        <v>0</v>
      </c>
      <c r="F578" s="2">
        <v>0</v>
      </c>
      <c r="G578" s="2">
        <v>0</v>
      </c>
    </row>
    <row r="579" spans="1:7" x14ac:dyDescent="0.3">
      <c r="A579" t="str">
        <f t="shared" si="16"/>
        <v>FI</v>
      </c>
      <c r="B579" t="str">
        <f t="shared" si="17"/>
        <v>O</v>
      </c>
      <c r="C579" t="s">
        <v>576</v>
      </c>
      <c r="D579" s="2">
        <v>1.8754999999999999</v>
      </c>
      <c r="E579" s="2">
        <v>1.9731000000000001</v>
      </c>
      <c r="F579" s="2">
        <v>1.9629000000000001</v>
      </c>
      <c r="G579" s="2">
        <v>2.2336</v>
      </c>
    </row>
    <row r="580" spans="1:7" x14ac:dyDescent="0.3">
      <c r="A580" t="str">
        <f t="shared" si="16"/>
        <v>FI</v>
      </c>
      <c r="B580" t="str">
        <f t="shared" si="17"/>
        <v>O</v>
      </c>
      <c r="C580" t="s">
        <v>577</v>
      </c>
      <c r="D580" s="2">
        <v>0</v>
      </c>
      <c r="E580" s="2">
        <v>0</v>
      </c>
      <c r="F580" s="2">
        <v>0</v>
      </c>
      <c r="G580" s="2">
        <v>0</v>
      </c>
    </row>
    <row r="581" spans="1:7" x14ac:dyDescent="0.3">
      <c r="A581" t="str">
        <f t="shared" ref="A581:A644" si="18">LEFT(C581,2)</f>
        <v>FI</v>
      </c>
      <c r="B581" t="str">
        <f t="shared" ref="B581:B644" si="19">RIGHT(C581,1)</f>
        <v>O</v>
      </c>
      <c r="C581" t="s">
        <v>578</v>
      </c>
      <c r="D581" s="2">
        <v>1.1954</v>
      </c>
      <c r="E581" s="2">
        <v>1.1558999999999999</v>
      </c>
      <c r="F581" s="2">
        <v>1.2658</v>
      </c>
      <c r="G581" s="2">
        <v>1.2323999999999999</v>
      </c>
    </row>
    <row r="582" spans="1:7" x14ac:dyDescent="0.3">
      <c r="A582" t="str">
        <f t="shared" si="18"/>
        <v>FI</v>
      </c>
      <c r="B582" t="str">
        <f t="shared" si="19"/>
        <v>O</v>
      </c>
      <c r="C582" t="s">
        <v>579</v>
      </c>
      <c r="D582" s="2">
        <v>9.8935999999999993</v>
      </c>
      <c r="E582" s="2">
        <v>9.7738999999999994</v>
      </c>
      <c r="F582" s="2">
        <v>9.8697999999999997</v>
      </c>
      <c r="G582" s="2">
        <v>10.1312</v>
      </c>
    </row>
    <row r="583" spans="1:7" x14ac:dyDescent="0.3">
      <c r="A583" t="str">
        <f t="shared" si="18"/>
        <v>FI</v>
      </c>
      <c r="B583" t="str">
        <f t="shared" si="19"/>
        <v>O</v>
      </c>
      <c r="C583" t="s">
        <v>580</v>
      </c>
      <c r="D583" s="2">
        <v>9.6326999999999998</v>
      </c>
      <c r="E583" s="2">
        <v>9.6302000000000003</v>
      </c>
      <c r="F583" s="2">
        <v>9.5792999999999999</v>
      </c>
      <c r="G583" s="2">
        <v>10.012</v>
      </c>
    </row>
    <row r="584" spans="1:7" x14ac:dyDescent="0.3">
      <c r="A584" t="str">
        <f t="shared" si="18"/>
        <v>FI</v>
      </c>
      <c r="B584" t="str">
        <f t="shared" si="19"/>
        <v>O</v>
      </c>
      <c r="C584" t="s">
        <v>581</v>
      </c>
      <c r="D584" s="2">
        <v>0</v>
      </c>
      <c r="E584" s="2">
        <v>0</v>
      </c>
      <c r="F584" s="2">
        <v>0</v>
      </c>
      <c r="G584" s="2">
        <v>0</v>
      </c>
    </row>
    <row r="585" spans="1:7" x14ac:dyDescent="0.3">
      <c r="A585" t="str">
        <f t="shared" si="18"/>
        <v>FI</v>
      </c>
      <c r="B585" t="str">
        <f t="shared" si="19"/>
        <v>O</v>
      </c>
      <c r="C585" t="s">
        <v>582</v>
      </c>
      <c r="D585" s="2">
        <v>0</v>
      </c>
      <c r="E585" s="2">
        <v>0</v>
      </c>
      <c r="F585" s="2">
        <v>0</v>
      </c>
      <c r="G585" s="2">
        <v>0</v>
      </c>
    </row>
    <row r="586" spans="1:7" x14ac:dyDescent="0.3">
      <c r="A586" t="str">
        <f t="shared" si="18"/>
        <v>FI</v>
      </c>
      <c r="B586" t="str">
        <f t="shared" si="19"/>
        <v>O</v>
      </c>
      <c r="C586" t="s">
        <v>583</v>
      </c>
      <c r="D586" s="2">
        <v>9.1128999999999998</v>
      </c>
      <c r="E586" s="2">
        <v>8.9524000000000008</v>
      </c>
      <c r="F586" s="2">
        <v>8.5517000000000003</v>
      </c>
      <c r="G586" s="2">
        <v>9.7835000000000001</v>
      </c>
    </row>
    <row r="587" spans="1:7" x14ac:dyDescent="0.3">
      <c r="A587" t="str">
        <f t="shared" si="18"/>
        <v>FR</v>
      </c>
      <c r="B587" t="str">
        <f t="shared" si="19"/>
        <v>P</v>
      </c>
      <c r="C587" t="s">
        <v>584</v>
      </c>
      <c r="D587" s="2">
        <v>1.0936999999999999</v>
      </c>
      <c r="E587" s="2">
        <v>1.165</v>
      </c>
      <c r="F587" s="2">
        <v>1.3353999999999999</v>
      </c>
      <c r="G587" s="2">
        <v>1.2533000000000001</v>
      </c>
    </row>
    <row r="588" spans="1:7" x14ac:dyDescent="0.3">
      <c r="A588" t="str">
        <f t="shared" si="18"/>
        <v>FR</v>
      </c>
      <c r="B588" t="str">
        <f t="shared" si="19"/>
        <v>P</v>
      </c>
      <c r="C588" t="s">
        <v>585</v>
      </c>
      <c r="D588" s="2">
        <v>0.26960000000000001</v>
      </c>
      <c r="E588" s="2">
        <v>0.24229999999999999</v>
      </c>
      <c r="F588" s="2">
        <v>0</v>
      </c>
      <c r="G588" s="2">
        <v>0</v>
      </c>
    </row>
    <row r="589" spans="1:7" x14ac:dyDescent="0.3">
      <c r="A589" t="str">
        <f t="shared" si="18"/>
        <v>FR</v>
      </c>
      <c r="B589" t="str">
        <f t="shared" si="19"/>
        <v>P</v>
      </c>
      <c r="C589" t="s">
        <v>586</v>
      </c>
      <c r="D589" s="2">
        <v>0</v>
      </c>
      <c r="E589" s="2">
        <v>0</v>
      </c>
      <c r="F589" s="2">
        <v>0</v>
      </c>
      <c r="G589" s="2">
        <v>0</v>
      </c>
    </row>
    <row r="590" spans="1:7" x14ac:dyDescent="0.3">
      <c r="A590" t="str">
        <f t="shared" si="18"/>
        <v>FR</v>
      </c>
      <c r="B590" t="str">
        <f t="shared" si="19"/>
        <v>P</v>
      </c>
      <c r="C590" t="s">
        <v>587</v>
      </c>
      <c r="D590" s="2">
        <v>27.531400000000001</v>
      </c>
      <c r="E590" s="2">
        <v>25.596499999999999</v>
      </c>
      <c r="F590" s="2">
        <v>24.828700000000001</v>
      </c>
      <c r="G590" s="2">
        <v>25.7424</v>
      </c>
    </row>
    <row r="591" spans="1:7" x14ac:dyDescent="0.3">
      <c r="A591" t="str">
        <f t="shared" si="18"/>
        <v>FR</v>
      </c>
      <c r="B591" t="str">
        <f t="shared" si="19"/>
        <v>P</v>
      </c>
      <c r="C591" t="s">
        <v>588</v>
      </c>
      <c r="D591" s="2">
        <v>0</v>
      </c>
      <c r="E591" s="2">
        <v>0</v>
      </c>
      <c r="F591" s="2">
        <v>0</v>
      </c>
      <c r="G591" s="2">
        <v>0</v>
      </c>
    </row>
    <row r="592" spans="1:7" x14ac:dyDescent="0.3">
      <c r="A592" t="str">
        <f t="shared" si="18"/>
        <v>FR</v>
      </c>
      <c r="B592" t="str">
        <f t="shared" si="19"/>
        <v>P</v>
      </c>
      <c r="C592" t="s">
        <v>589</v>
      </c>
      <c r="D592" s="2">
        <v>14.658300000000001</v>
      </c>
      <c r="E592" s="2">
        <v>15.268800000000001</v>
      </c>
      <c r="F592" s="2">
        <v>15.7692</v>
      </c>
      <c r="G592" s="2">
        <v>14.8286</v>
      </c>
    </row>
    <row r="593" spans="1:7" x14ac:dyDescent="0.3">
      <c r="A593" t="str">
        <f t="shared" si="18"/>
        <v>FR</v>
      </c>
      <c r="B593" t="str">
        <f t="shared" si="19"/>
        <v>P</v>
      </c>
      <c r="C593" t="s">
        <v>590</v>
      </c>
      <c r="D593" s="2">
        <v>8.8749000000000002</v>
      </c>
      <c r="E593" s="2">
        <v>8.3294999999999995</v>
      </c>
      <c r="F593" s="2">
        <v>7.6714000000000002</v>
      </c>
      <c r="G593" s="2">
        <v>7.9523999999999999</v>
      </c>
    </row>
    <row r="594" spans="1:7" x14ac:dyDescent="0.3">
      <c r="A594" t="str">
        <f t="shared" si="18"/>
        <v>FR</v>
      </c>
      <c r="B594" t="str">
        <f t="shared" si="19"/>
        <v>P</v>
      </c>
      <c r="C594" t="s">
        <v>591</v>
      </c>
      <c r="D594" s="2">
        <v>8.1283999999999992</v>
      </c>
      <c r="E594" s="2">
        <v>7.8494999999999999</v>
      </c>
      <c r="F594" s="2">
        <v>6.7855999999999996</v>
      </c>
      <c r="G594" s="2">
        <v>7.0568</v>
      </c>
    </row>
    <row r="595" spans="1:7" x14ac:dyDescent="0.3">
      <c r="A595" t="str">
        <f t="shared" si="18"/>
        <v>FR</v>
      </c>
      <c r="B595" t="str">
        <f t="shared" si="19"/>
        <v>P</v>
      </c>
      <c r="C595" t="s">
        <v>592</v>
      </c>
      <c r="D595" s="2">
        <v>0</v>
      </c>
      <c r="E595" s="2">
        <v>0</v>
      </c>
      <c r="F595" s="2">
        <v>0</v>
      </c>
      <c r="G595" s="2">
        <v>0</v>
      </c>
    </row>
    <row r="596" spans="1:7" x14ac:dyDescent="0.3">
      <c r="A596" t="str">
        <f t="shared" si="18"/>
        <v>FR</v>
      </c>
      <c r="B596" t="str">
        <f t="shared" si="19"/>
        <v>P</v>
      </c>
      <c r="C596" t="s">
        <v>593</v>
      </c>
      <c r="D596" s="2">
        <v>0</v>
      </c>
      <c r="E596" s="2">
        <v>0</v>
      </c>
      <c r="F596" s="2">
        <v>0</v>
      </c>
      <c r="G596" s="2">
        <v>0</v>
      </c>
    </row>
    <row r="597" spans="1:7" x14ac:dyDescent="0.3">
      <c r="A597" t="str">
        <f t="shared" si="18"/>
        <v>FR</v>
      </c>
      <c r="B597" t="str">
        <f t="shared" si="19"/>
        <v>P</v>
      </c>
      <c r="C597" t="s">
        <v>594</v>
      </c>
      <c r="D597" s="2">
        <v>9.0289000000000001</v>
      </c>
      <c r="E597" s="2">
        <v>8.0457000000000001</v>
      </c>
      <c r="F597" s="2">
        <v>7.6963999999999997</v>
      </c>
      <c r="G597" s="2">
        <v>9.9575999999999993</v>
      </c>
    </row>
    <row r="598" spans="1:7" x14ac:dyDescent="0.3">
      <c r="A598" t="str">
        <f t="shared" si="18"/>
        <v>FR</v>
      </c>
      <c r="B598" t="str">
        <f t="shared" si="19"/>
        <v>C</v>
      </c>
      <c r="C598" t="s">
        <v>595</v>
      </c>
      <c r="D598" s="2">
        <v>3.3656999999999999</v>
      </c>
      <c r="E598" s="2">
        <v>4.9889000000000001</v>
      </c>
      <c r="F598" s="2">
        <v>5.2233999999999998</v>
      </c>
      <c r="G598" s="2">
        <v>2.4323000000000001</v>
      </c>
    </row>
    <row r="599" spans="1:7" x14ac:dyDescent="0.3">
      <c r="A599" t="str">
        <f t="shared" si="18"/>
        <v>FR</v>
      </c>
      <c r="B599" t="str">
        <f t="shared" si="19"/>
        <v>C</v>
      </c>
      <c r="C599" t="s">
        <v>596</v>
      </c>
      <c r="D599" s="2">
        <v>7.4725000000000001</v>
      </c>
      <c r="E599" s="2">
        <v>6.5646000000000004</v>
      </c>
      <c r="F599" s="2">
        <v>4.5993000000000004</v>
      </c>
      <c r="G599" s="2">
        <v>5.6924999999999999</v>
      </c>
    </row>
    <row r="600" spans="1:7" x14ac:dyDescent="0.3">
      <c r="A600" t="str">
        <f t="shared" si="18"/>
        <v>FR</v>
      </c>
      <c r="B600" t="str">
        <f t="shared" si="19"/>
        <v>C</v>
      </c>
      <c r="C600" t="s">
        <v>597</v>
      </c>
      <c r="D600" s="2">
        <v>0</v>
      </c>
      <c r="E600" s="2">
        <v>0</v>
      </c>
      <c r="F600" s="2">
        <v>0</v>
      </c>
      <c r="G600" s="2">
        <v>0</v>
      </c>
    </row>
    <row r="601" spans="1:7" x14ac:dyDescent="0.3">
      <c r="A601" t="str">
        <f t="shared" si="18"/>
        <v>FR</v>
      </c>
      <c r="B601" t="str">
        <f t="shared" si="19"/>
        <v>C</v>
      </c>
      <c r="C601" t="s">
        <v>598</v>
      </c>
      <c r="D601" s="2">
        <v>71.939599999999999</v>
      </c>
      <c r="E601" s="2">
        <v>77.112200000000001</v>
      </c>
      <c r="F601" s="2">
        <v>73.944900000000004</v>
      </c>
      <c r="G601" s="2">
        <v>67.390799999999999</v>
      </c>
    </row>
    <row r="602" spans="1:7" x14ac:dyDescent="0.3">
      <c r="A602" t="str">
        <f t="shared" si="18"/>
        <v>FR</v>
      </c>
      <c r="B602" t="str">
        <f t="shared" si="19"/>
        <v>C</v>
      </c>
      <c r="C602" t="s">
        <v>599</v>
      </c>
      <c r="D602" s="2">
        <v>0</v>
      </c>
      <c r="E602" s="2">
        <v>0</v>
      </c>
      <c r="F602" s="2">
        <v>0</v>
      </c>
      <c r="G602" s="2">
        <v>0</v>
      </c>
    </row>
    <row r="603" spans="1:7" x14ac:dyDescent="0.3">
      <c r="A603" t="str">
        <f t="shared" si="18"/>
        <v>FR</v>
      </c>
      <c r="B603" t="str">
        <f t="shared" si="19"/>
        <v>C</v>
      </c>
      <c r="C603" t="s">
        <v>600</v>
      </c>
      <c r="D603" s="2">
        <v>1.9962</v>
      </c>
      <c r="E603" s="2">
        <v>2.5026999999999999</v>
      </c>
      <c r="F603" s="2">
        <v>3.3315999999999999</v>
      </c>
      <c r="G603" s="2">
        <v>3.0007000000000001</v>
      </c>
    </row>
    <row r="604" spans="1:7" x14ac:dyDescent="0.3">
      <c r="A604" t="str">
        <f t="shared" si="18"/>
        <v>FR</v>
      </c>
      <c r="B604" t="str">
        <f t="shared" si="19"/>
        <v>C</v>
      </c>
      <c r="C604" t="s">
        <v>601</v>
      </c>
      <c r="D604" s="2">
        <v>2.9624000000000001</v>
      </c>
      <c r="E604" s="2">
        <v>2.9472999999999998</v>
      </c>
      <c r="F604" s="2">
        <v>2.9645000000000001</v>
      </c>
      <c r="G604" s="2">
        <v>3.2826</v>
      </c>
    </row>
    <row r="605" spans="1:7" x14ac:dyDescent="0.3">
      <c r="A605" t="str">
        <f t="shared" si="18"/>
        <v>FR</v>
      </c>
      <c r="B605" t="str">
        <f t="shared" si="19"/>
        <v>C</v>
      </c>
      <c r="C605" t="s">
        <v>602</v>
      </c>
      <c r="D605" s="2">
        <v>33.253</v>
      </c>
      <c r="E605" s="2">
        <v>34.046199999999999</v>
      </c>
      <c r="F605" s="2">
        <v>33.398200000000003</v>
      </c>
      <c r="G605" s="2">
        <v>33.501800000000003</v>
      </c>
    </row>
    <row r="606" spans="1:7" x14ac:dyDescent="0.3">
      <c r="A606" t="str">
        <f t="shared" si="18"/>
        <v>FR</v>
      </c>
      <c r="B606" t="str">
        <f t="shared" si="19"/>
        <v>C</v>
      </c>
      <c r="C606" t="s">
        <v>603</v>
      </c>
      <c r="D606" s="2">
        <v>0</v>
      </c>
      <c r="E606" s="2">
        <v>0</v>
      </c>
      <c r="F606" s="2">
        <v>0</v>
      </c>
      <c r="G606" s="2">
        <v>0</v>
      </c>
    </row>
    <row r="607" spans="1:7" x14ac:dyDescent="0.3">
      <c r="A607" t="str">
        <f t="shared" si="18"/>
        <v>FR</v>
      </c>
      <c r="B607" t="str">
        <f t="shared" si="19"/>
        <v>C</v>
      </c>
      <c r="C607" t="s">
        <v>604</v>
      </c>
      <c r="D607" s="2">
        <v>0</v>
      </c>
      <c r="E607" s="2">
        <v>0</v>
      </c>
      <c r="F607" s="2">
        <v>0</v>
      </c>
      <c r="G607" s="2">
        <v>0</v>
      </c>
    </row>
    <row r="608" spans="1:7" x14ac:dyDescent="0.3">
      <c r="A608" t="str">
        <f t="shared" si="18"/>
        <v>FR</v>
      </c>
      <c r="B608" t="str">
        <f t="shared" si="19"/>
        <v>C</v>
      </c>
      <c r="C608" t="s">
        <v>605</v>
      </c>
      <c r="D608" s="2">
        <v>26.361699999999999</v>
      </c>
      <c r="E608" s="2">
        <v>30.389399999999998</v>
      </c>
      <c r="F608" s="2">
        <v>27.241800000000001</v>
      </c>
      <c r="G608" s="2">
        <v>29.670999999999999</v>
      </c>
    </row>
    <row r="609" spans="1:7" x14ac:dyDescent="0.3">
      <c r="A609" t="str">
        <f t="shared" si="18"/>
        <v>FR</v>
      </c>
      <c r="B609" t="str">
        <f t="shared" si="19"/>
        <v>N</v>
      </c>
      <c r="C609" t="s">
        <v>606</v>
      </c>
      <c r="D609" s="2">
        <v>14.1922</v>
      </c>
      <c r="E609" s="2">
        <v>14.4232</v>
      </c>
      <c r="F609" s="2">
        <v>14.296799999999999</v>
      </c>
      <c r="G609" s="2">
        <v>13.9445</v>
      </c>
    </row>
    <row r="610" spans="1:7" x14ac:dyDescent="0.3">
      <c r="A610" t="str">
        <f t="shared" si="18"/>
        <v>FR</v>
      </c>
      <c r="B610" t="str">
        <f t="shared" si="19"/>
        <v>N</v>
      </c>
      <c r="C610" t="s">
        <v>607</v>
      </c>
      <c r="D610" s="2">
        <v>6.4318</v>
      </c>
      <c r="E610" s="2">
        <v>6.0507999999999997</v>
      </c>
      <c r="F610" s="2">
        <v>5.0803000000000003</v>
      </c>
      <c r="G610" s="2">
        <v>6.3517000000000001</v>
      </c>
    </row>
    <row r="611" spans="1:7" x14ac:dyDescent="0.3">
      <c r="A611" t="str">
        <f t="shared" si="18"/>
        <v>FR</v>
      </c>
      <c r="B611" t="str">
        <f t="shared" si="19"/>
        <v>N</v>
      </c>
      <c r="C611" t="s">
        <v>608</v>
      </c>
      <c r="D611" s="2">
        <v>0</v>
      </c>
      <c r="E611" s="2">
        <v>0</v>
      </c>
      <c r="F611" s="2">
        <v>0</v>
      </c>
      <c r="G611" s="2">
        <v>0</v>
      </c>
    </row>
    <row r="612" spans="1:7" x14ac:dyDescent="0.3">
      <c r="A612" t="str">
        <f t="shared" si="18"/>
        <v>FR</v>
      </c>
      <c r="B612" t="str">
        <f t="shared" si="19"/>
        <v>N</v>
      </c>
      <c r="C612" t="s">
        <v>609</v>
      </c>
      <c r="D612" s="2">
        <v>42.757100000000001</v>
      </c>
      <c r="E612" s="2">
        <v>43.089700000000001</v>
      </c>
      <c r="F612" s="2">
        <v>43.543999999999997</v>
      </c>
      <c r="G612" s="2">
        <v>47.247700000000002</v>
      </c>
    </row>
    <row r="613" spans="1:7" x14ac:dyDescent="0.3">
      <c r="A613" t="str">
        <f t="shared" si="18"/>
        <v>FR</v>
      </c>
      <c r="B613" t="str">
        <f t="shared" si="19"/>
        <v>N</v>
      </c>
      <c r="C613" t="s">
        <v>610</v>
      </c>
      <c r="D613" s="2">
        <v>0</v>
      </c>
      <c r="E613" s="2">
        <v>0</v>
      </c>
      <c r="F613" s="2">
        <v>0</v>
      </c>
      <c r="G613" s="2">
        <v>0</v>
      </c>
    </row>
    <row r="614" spans="1:7" x14ac:dyDescent="0.3">
      <c r="A614" t="str">
        <f t="shared" si="18"/>
        <v>FR</v>
      </c>
      <c r="B614" t="str">
        <f t="shared" si="19"/>
        <v>N</v>
      </c>
      <c r="C614" t="s">
        <v>611</v>
      </c>
      <c r="D614" s="2">
        <v>12.545999999999999</v>
      </c>
      <c r="E614" s="2">
        <v>13.228999999999999</v>
      </c>
      <c r="F614" s="2">
        <v>10.909800000000001</v>
      </c>
      <c r="G614" s="2">
        <v>13.014099999999999</v>
      </c>
    </row>
    <row r="615" spans="1:7" x14ac:dyDescent="0.3">
      <c r="A615" t="str">
        <f t="shared" si="18"/>
        <v>FR</v>
      </c>
      <c r="B615" t="str">
        <f t="shared" si="19"/>
        <v>N</v>
      </c>
      <c r="C615" t="s">
        <v>612</v>
      </c>
      <c r="D615" s="2">
        <v>8.5518999999999998</v>
      </c>
      <c r="E615" s="2">
        <v>8.6435999999999993</v>
      </c>
      <c r="F615" s="2">
        <v>7.9303999999999997</v>
      </c>
      <c r="G615" s="2">
        <v>8.6555999999999997</v>
      </c>
    </row>
    <row r="616" spans="1:7" x14ac:dyDescent="0.3">
      <c r="A616" t="str">
        <f t="shared" si="18"/>
        <v>FR</v>
      </c>
      <c r="B616" t="str">
        <f t="shared" si="19"/>
        <v>N</v>
      </c>
      <c r="C616" t="s">
        <v>613</v>
      </c>
      <c r="D616" s="2">
        <v>11.286300000000001</v>
      </c>
      <c r="E616" s="2">
        <v>11.5596</v>
      </c>
      <c r="F616" s="2">
        <v>10.4816</v>
      </c>
      <c r="G616" s="2">
        <v>11.0428</v>
      </c>
    </row>
    <row r="617" spans="1:7" x14ac:dyDescent="0.3">
      <c r="A617" t="str">
        <f t="shared" si="18"/>
        <v>FR</v>
      </c>
      <c r="B617" t="str">
        <f t="shared" si="19"/>
        <v>N</v>
      </c>
      <c r="C617" t="s">
        <v>614</v>
      </c>
      <c r="D617" s="2">
        <v>0</v>
      </c>
      <c r="E617" s="2">
        <v>0</v>
      </c>
      <c r="F617" s="2">
        <v>0</v>
      </c>
      <c r="G617" s="2">
        <v>0</v>
      </c>
    </row>
    <row r="618" spans="1:7" x14ac:dyDescent="0.3">
      <c r="A618" t="str">
        <f t="shared" si="18"/>
        <v>FR</v>
      </c>
      <c r="B618" t="str">
        <f t="shared" si="19"/>
        <v>N</v>
      </c>
      <c r="C618" t="s">
        <v>615</v>
      </c>
      <c r="D618" s="2">
        <v>0</v>
      </c>
      <c r="E618" s="2">
        <v>0</v>
      </c>
      <c r="F618" s="2">
        <v>0</v>
      </c>
      <c r="G618" s="2">
        <v>0</v>
      </c>
    </row>
    <row r="619" spans="1:7" x14ac:dyDescent="0.3">
      <c r="A619" t="str">
        <f t="shared" si="18"/>
        <v>FR</v>
      </c>
      <c r="B619" t="str">
        <f t="shared" si="19"/>
        <v>N</v>
      </c>
      <c r="C619" t="s">
        <v>616</v>
      </c>
      <c r="D619" s="2">
        <v>0.56899999999999995</v>
      </c>
      <c r="E619" s="2">
        <v>0.3075</v>
      </c>
      <c r="F619" s="2">
        <v>0.436</v>
      </c>
      <c r="G619" s="2">
        <v>0.44750000000000001</v>
      </c>
    </row>
    <row r="620" spans="1:7" x14ac:dyDescent="0.3">
      <c r="A620" t="str">
        <f t="shared" si="18"/>
        <v>FR</v>
      </c>
      <c r="B620" t="str">
        <f t="shared" si="19"/>
        <v>F</v>
      </c>
      <c r="C620" t="s">
        <v>617</v>
      </c>
      <c r="D620" s="2">
        <v>5.0201000000000002</v>
      </c>
      <c r="E620" s="2">
        <v>4.9358000000000004</v>
      </c>
      <c r="F620" s="2">
        <v>5.0827999999999998</v>
      </c>
      <c r="G620" s="2">
        <v>5.0198999999999998</v>
      </c>
    </row>
    <row r="621" spans="1:7" x14ac:dyDescent="0.3">
      <c r="A621" t="str">
        <f t="shared" si="18"/>
        <v>FR</v>
      </c>
      <c r="B621" t="str">
        <f t="shared" si="19"/>
        <v>F</v>
      </c>
      <c r="C621" t="s">
        <v>618</v>
      </c>
      <c r="D621" s="2">
        <v>5.8129</v>
      </c>
      <c r="E621" s="2">
        <v>2.9580000000000002</v>
      </c>
      <c r="F621" s="2">
        <v>3.383</v>
      </c>
      <c r="G621" s="2">
        <v>3.9598</v>
      </c>
    </row>
    <row r="622" spans="1:7" x14ac:dyDescent="0.3">
      <c r="A622" t="str">
        <f t="shared" si="18"/>
        <v>FR</v>
      </c>
      <c r="B622" t="str">
        <f t="shared" si="19"/>
        <v>F</v>
      </c>
      <c r="C622" t="s">
        <v>619</v>
      </c>
      <c r="D622" s="2">
        <v>0</v>
      </c>
      <c r="E622" s="2">
        <v>0</v>
      </c>
      <c r="F622" s="2">
        <v>0</v>
      </c>
      <c r="G622" s="2">
        <v>0</v>
      </c>
    </row>
    <row r="623" spans="1:7" x14ac:dyDescent="0.3">
      <c r="A623" t="str">
        <f t="shared" si="18"/>
        <v>FR</v>
      </c>
      <c r="B623" t="str">
        <f t="shared" si="19"/>
        <v>F</v>
      </c>
      <c r="C623" t="s">
        <v>620</v>
      </c>
      <c r="D623" s="2">
        <v>45.578499999999998</v>
      </c>
      <c r="E623" s="2">
        <v>41.698500000000003</v>
      </c>
      <c r="F623" s="2">
        <v>39.365900000000003</v>
      </c>
      <c r="G623" s="2">
        <v>45.244399999999999</v>
      </c>
    </row>
    <row r="624" spans="1:7" x14ac:dyDescent="0.3">
      <c r="A624" t="str">
        <f t="shared" si="18"/>
        <v>FR</v>
      </c>
      <c r="B624" t="str">
        <f t="shared" si="19"/>
        <v>F</v>
      </c>
      <c r="C624" t="s">
        <v>621</v>
      </c>
      <c r="D624" s="2">
        <v>0</v>
      </c>
      <c r="E624" s="2">
        <v>0</v>
      </c>
      <c r="F624" s="2">
        <v>0</v>
      </c>
      <c r="G624" s="2">
        <v>0</v>
      </c>
    </row>
    <row r="625" spans="1:7" x14ac:dyDescent="0.3">
      <c r="A625" t="str">
        <f t="shared" si="18"/>
        <v>FR</v>
      </c>
      <c r="B625" t="str">
        <f t="shared" si="19"/>
        <v>F</v>
      </c>
      <c r="C625" t="s">
        <v>622</v>
      </c>
      <c r="D625" s="2">
        <v>2.7985000000000002</v>
      </c>
      <c r="E625" s="2">
        <v>2.5190000000000001</v>
      </c>
      <c r="F625" s="2">
        <v>2.8349000000000002</v>
      </c>
      <c r="G625" s="2">
        <v>2.5404</v>
      </c>
    </row>
    <row r="626" spans="1:7" x14ac:dyDescent="0.3">
      <c r="A626" t="str">
        <f t="shared" si="18"/>
        <v>FR</v>
      </c>
      <c r="B626" t="str">
        <f t="shared" si="19"/>
        <v>F</v>
      </c>
      <c r="C626" t="s">
        <v>623</v>
      </c>
      <c r="D626" s="2">
        <v>21.991499999999998</v>
      </c>
      <c r="E626" s="2">
        <v>22.213000000000001</v>
      </c>
      <c r="F626" s="2">
        <v>21.250599999999999</v>
      </c>
      <c r="G626" s="2">
        <v>21.368600000000001</v>
      </c>
    </row>
    <row r="627" spans="1:7" x14ac:dyDescent="0.3">
      <c r="A627" t="str">
        <f t="shared" si="18"/>
        <v>FR</v>
      </c>
      <c r="B627" t="str">
        <f t="shared" si="19"/>
        <v>F</v>
      </c>
      <c r="C627" t="s">
        <v>624</v>
      </c>
      <c r="D627" s="2">
        <v>23.859300000000001</v>
      </c>
      <c r="E627" s="2">
        <v>23.216699999999999</v>
      </c>
      <c r="F627" s="2">
        <v>22.327000000000002</v>
      </c>
      <c r="G627" s="2">
        <v>23.233499999999999</v>
      </c>
    </row>
    <row r="628" spans="1:7" x14ac:dyDescent="0.3">
      <c r="A628" t="str">
        <f t="shared" si="18"/>
        <v>FR</v>
      </c>
      <c r="B628" t="str">
        <f t="shared" si="19"/>
        <v>F</v>
      </c>
      <c r="C628" t="s">
        <v>625</v>
      </c>
      <c r="D628" s="2">
        <v>0</v>
      </c>
      <c r="E628" s="2">
        <v>0</v>
      </c>
      <c r="F628" s="2">
        <v>0</v>
      </c>
      <c r="G628" s="2">
        <v>0</v>
      </c>
    </row>
    <row r="629" spans="1:7" x14ac:dyDescent="0.3">
      <c r="A629" t="str">
        <f t="shared" si="18"/>
        <v>FR</v>
      </c>
      <c r="B629" t="str">
        <f t="shared" si="19"/>
        <v>F</v>
      </c>
      <c r="C629" t="s">
        <v>626</v>
      </c>
      <c r="D629" s="2">
        <v>0</v>
      </c>
      <c r="E629" s="2">
        <v>0</v>
      </c>
      <c r="F629" s="2">
        <v>0</v>
      </c>
      <c r="G629" s="2">
        <v>0</v>
      </c>
    </row>
    <row r="630" spans="1:7" x14ac:dyDescent="0.3">
      <c r="A630" t="str">
        <f t="shared" si="18"/>
        <v>FR</v>
      </c>
      <c r="B630" t="str">
        <f t="shared" si="19"/>
        <v>F</v>
      </c>
      <c r="C630" t="s">
        <v>627</v>
      </c>
      <c r="D630" s="2">
        <v>3.7017000000000002</v>
      </c>
      <c r="E630" s="2">
        <v>4.8235999999999999</v>
      </c>
      <c r="F630" s="2">
        <v>5.5606999999999998</v>
      </c>
      <c r="G630" s="2">
        <v>6.6351000000000004</v>
      </c>
    </row>
    <row r="631" spans="1:7" x14ac:dyDescent="0.3">
      <c r="A631" t="str">
        <f t="shared" si="18"/>
        <v>FR</v>
      </c>
      <c r="B631" t="str">
        <f t="shared" si="19"/>
        <v>O</v>
      </c>
      <c r="C631" t="s">
        <v>628</v>
      </c>
      <c r="D631" s="2">
        <v>21.1173</v>
      </c>
      <c r="E631" s="2">
        <v>20.5853</v>
      </c>
      <c r="F631" s="2">
        <v>18.858799999999999</v>
      </c>
      <c r="G631" s="2">
        <v>20.0075</v>
      </c>
    </row>
    <row r="632" spans="1:7" x14ac:dyDescent="0.3">
      <c r="A632" t="str">
        <f t="shared" si="18"/>
        <v>FR</v>
      </c>
      <c r="B632" t="str">
        <f t="shared" si="19"/>
        <v>O</v>
      </c>
      <c r="C632" t="s">
        <v>629</v>
      </c>
      <c r="D632" s="2">
        <v>1.9742999999999999</v>
      </c>
      <c r="E632" s="2">
        <v>2.6354000000000002</v>
      </c>
      <c r="F632" s="2">
        <v>3.0036</v>
      </c>
      <c r="G632" s="2">
        <v>2.7772000000000001</v>
      </c>
    </row>
    <row r="633" spans="1:7" x14ac:dyDescent="0.3">
      <c r="A633" t="str">
        <f t="shared" si="18"/>
        <v>FR</v>
      </c>
      <c r="B633" t="str">
        <f t="shared" si="19"/>
        <v>O</v>
      </c>
      <c r="C633" t="s">
        <v>630</v>
      </c>
      <c r="D633" s="2">
        <v>0</v>
      </c>
      <c r="E633" s="2">
        <v>0</v>
      </c>
      <c r="F633" s="2">
        <v>0</v>
      </c>
      <c r="G633" s="2">
        <v>0</v>
      </c>
    </row>
    <row r="634" spans="1:7" x14ac:dyDescent="0.3">
      <c r="A634" t="str">
        <f t="shared" si="18"/>
        <v>FR</v>
      </c>
      <c r="B634" t="str">
        <f t="shared" si="19"/>
        <v>O</v>
      </c>
      <c r="C634" t="s">
        <v>631</v>
      </c>
      <c r="D634" s="2">
        <v>51.028500000000001</v>
      </c>
      <c r="E634" s="2">
        <v>48.662300000000002</v>
      </c>
      <c r="F634" s="2">
        <v>36.247999999999998</v>
      </c>
      <c r="G634" s="2">
        <v>51.904200000000003</v>
      </c>
    </row>
    <row r="635" spans="1:7" x14ac:dyDescent="0.3">
      <c r="A635" t="str">
        <f t="shared" si="18"/>
        <v>FR</v>
      </c>
      <c r="B635" t="str">
        <f t="shared" si="19"/>
        <v>O</v>
      </c>
      <c r="C635" t="s">
        <v>632</v>
      </c>
      <c r="D635" s="2">
        <v>0</v>
      </c>
      <c r="E635" s="2">
        <v>0</v>
      </c>
      <c r="F635" s="2">
        <v>0</v>
      </c>
      <c r="G635" s="2">
        <v>0</v>
      </c>
    </row>
    <row r="636" spans="1:7" x14ac:dyDescent="0.3">
      <c r="A636" t="str">
        <f t="shared" si="18"/>
        <v>FR</v>
      </c>
      <c r="B636" t="str">
        <f t="shared" si="19"/>
        <v>O</v>
      </c>
      <c r="C636" t="s">
        <v>633</v>
      </c>
      <c r="D636" s="2">
        <v>6.8292000000000002</v>
      </c>
      <c r="E636" s="2">
        <v>5.3811</v>
      </c>
      <c r="F636" s="2">
        <v>5.4139999999999997</v>
      </c>
      <c r="G636" s="2">
        <v>6.3676000000000004</v>
      </c>
    </row>
    <row r="637" spans="1:7" x14ac:dyDescent="0.3">
      <c r="A637" t="str">
        <f t="shared" si="18"/>
        <v>FR</v>
      </c>
      <c r="B637" t="str">
        <f t="shared" si="19"/>
        <v>O</v>
      </c>
      <c r="C637" t="s">
        <v>634</v>
      </c>
      <c r="D637" s="2">
        <v>66.868099999999998</v>
      </c>
      <c r="E637" s="2">
        <v>64.446600000000004</v>
      </c>
      <c r="F637" s="2">
        <v>56.8626</v>
      </c>
      <c r="G637" s="2">
        <v>63.692799999999998</v>
      </c>
    </row>
    <row r="638" spans="1:7" x14ac:dyDescent="0.3">
      <c r="A638" t="str">
        <f t="shared" si="18"/>
        <v>FR</v>
      </c>
      <c r="B638" t="str">
        <f t="shared" si="19"/>
        <v>O</v>
      </c>
      <c r="C638" t="s">
        <v>635</v>
      </c>
      <c r="D638" s="2">
        <v>49.756700000000002</v>
      </c>
      <c r="E638" s="2">
        <v>49.423999999999999</v>
      </c>
      <c r="F638" s="2">
        <v>43.486199999999997</v>
      </c>
      <c r="G638" s="2">
        <v>48.7149</v>
      </c>
    </row>
    <row r="639" spans="1:7" x14ac:dyDescent="0.3">
      <c r="A639" t="str">
        <f t="shared" si="18"/>
        <v>FR</v>
      </c>
      <c r="B639" t="str">
        <f t="shared" si="19"/>
        <v>O</v>
      </c>
      <c r="C639" t="s">
        <v>636</v>
      </c>
      <c r="D639" s="2">
        <v>0</v>
      </c>
      <c r="E639" s="2">
        <v>0</v>
      </c>
      <c r="F639" s="2">
        <v>0</v>
      </c>
      <c r="G639" s="2">
        <v>0</v>
      </c>
    </row>
    <row r="640" spans="1:7" x14ac:dyDescent="0.3">
      <c r="A640" t="str">
        <f t="shared" si="18"/>
        <v>FR</v>
      </c>
      <c r="B640" t="str">
        <f t="shared" si="19"/>
        <v>O</v>
      </c>
      <c r="C640" t="s">
        <v>637</v>
      </c>
      <c r="D640" s="2">
        <v>3.0800000000000001E-2</v>
      </c>
      <c r="E640" s="2">
        <v>3.9600000000000003E-2</v>
      </c>
      <c r="F640" s="2">
        <v>4.1700000000000001E-2</v>
      </c>
      <c r="G640" s="2">
        <v>6.3100000000000003E-2</v>
      </c>
    </row>
    <row r="641" spans="1:7" x14ac:dyDescent="0.3">
      <c r="A641" t="str">
        <f t="shared" si="18"/>
        <v>FR</v>
      </c>
      <c r="B641" t="str">
        <f t="shared" si="19"/>
        <v>O</v>
      </c>
      <c r="C641" t="s">
        <v>638</v>
      </c>
      <c r="D641" s="2">
        <v>14.2483</v>
      </c>
      <c r="E641" s="2">
        <v>13.5549</v>
      </c>
      <c r="F641" s="2">
        <v>11.8667</v>
      </c>
      <c r="G641" s="2">
        <v>14.823499999999999</v>
      </c>
    </row>
    <row r="642" spans="1:7" x14ac:dyDescent="0.3">
      <c r="A642" t="str">
        <f t="shared" si="18"/>
        <v>HR</v>
      </c>
      <c r="B642" t="str">
        <f t="shared" si="19"/>
        <v>P</v>
      </c>
      <c r="C642" t="s">
        <v>639</v>
      </c>
      <c r="D642" s="2">
        <v>9.2899999999999996E-2</v>
      </c>
      <c r="E642" s="2">
        <v>9.5699999999999993E-2</v>
      </c>
      <c r="F642" s="2">
        <v>7.3099999999999998E-2</v>
      </c>
      <c r="G642" s="2">
        <v>0.1016</v>
      </c>
    </row>
    <row r="643" spans="1:7" x14ac:dyDescent="0.3">
      <c r="A643" t="str">
        <f t="shared" si="18"/>
        <v>HR</v>
      </c>
      <c r="B643" t="str">
        <f t="shared" si="19"/>
        <v>P</v>
      </c>
      <c r="C643" t="s">
        <v>640</v>
      </c>
      <c r="D643" s="2">
        <v>0</v>
      </c>
      <c r="E643" s="2">
        <v>0</v>
      </c>
      <c r="F643" s="2">
        <v>0</v>
      </c>
      <c r="G643" s="2">
        <v>0</v>
      </c>
    </row>
    <row r="644" spans="1:7" x14ac:dyDescent="0.3">
      <c r="A644" t="str">
        <f t="shared" si="18"/>
        <v>HR</v>
      </c>
      <c r="B644" t="str">
        <f t="shared" si="19"/>
        <v>P</v>
      </c>
      <c r="C644" t="s">
        <v>641</v>
      </c>
      <c r="D644" s="2">
        <v>0</v>
      </c>
      <c r="E644" s="2">
        <v>0</v>
      </c>
      <c r="F644" s="2">
        <v>0</v>
      </c>
      <c r="G644" s="2">
        <v>0</v>
      </c>
    </row>
    <row r="645" spans="1:7" x14ac:dyDescent="0.3">
      <c r="A645" t="str">
        <f t="shared" ref="A645:A708" si="20">LEFT(C645,2)</f>
        <v>HR</v>
      </c>
      <c r="B645" t="str">
        <f t="shared" ref="B645:B708" si="21">RIGHT(C645,1)</f>
        <v>P</v>
      </c>
      <c r="C645" t="s">
        <v>642</v>
      </c>
      <c r="D645" s="2">
        <v>1.1808000000000001</v>
      </c>
      <c r="E645" s="2">
        <v>1.4059999999999999</v>
      </c>
      <c r="F645" s="2">
        <v>1.4498</v>
      </c>
      <c r="G645" s="2">
        <v>1.5403</v>
      </c>
    </row>
    <row r="646" spans="1:7" x14ac:dyDescent="0.3">
      <c r="A646" t="str">
        <f t="shared" si="20"/>
        <v>HR</v>
      </c>
      <c r="B646" t="str">
        <f t="shared" si="21"/>
        <v>P</v>
      </c>
      <c r="C646" t="s">
        <v>643</v>
      </c>
      <c r="D646" s="2">
        <v>0</v>
      </c>
      <c r="E646" s="2">
        <v>0</v>
      </c>
      <c r="F646" s="2">
        <v>0</v>
      </c>
      <c r="G646" s="2">
        <v>0</v>
      </c>
    </row>
    <row r="647" spans="1:7" x14ac:dyDescent="0.3">
      <c r="A647" t="str">
        <f t="shared" si="20"/>
        <v>HR</v>
      </c>
      <c r="B647" t="str">
        <f t="shared" si="21"/>
        <v>P</v>
      </c>
      <c r="C647" t="s">
        <v>644</v>
      </c>
      <c r="D647" s="2">
        <v>6.6799999999999998E-2</v>
      </c>
      <c r="E647" s="2">
        <v>5.3699999999999998E-2</v>
      </c>
      <c r="F647" s="2">
        <v>0.12920000000000001</v>
      </c>
      <c r="G647" s="2">
        <v>6.3100000000000003E-2</v>
      </c>
    </row>
    <row r="648" spans="1:7" x14ac:dyDescent="0.3">
      <c r="A648" t="str">
        <f t="shared" si="20"/>
        <v>HR</v>
      </c>
      <c r="B648" t="str">
        <f t="shared" si="21"/>
        <v>P</v>
      </c>
      <c r="C648" t="s">
        <v>645</v>
      </c>
      <c r="D648" s="2">
        <v>0.27550000000000002</v>
      </c>
      <c r="E648" s="2">
        <v>0.21179999999999999</v>
      </c>
      <c r="F648" s="2">
        <v>0.29780000000000001</v>
      </c>
      <c r="G648" s="2">
        <v>0.2959</v>
      </c>
    </row>
    <row r="649" spans="1:7" x14ac:dyDescent="0.3">
      <c r="A649" t="str">
        <f t="shared" si="20"/>
        <v>HR</v>
      </c>
      <c r="B649" t="str">
        <f t="shared" si="21"/>
        <v>P</v>
      </c>
      <c r="C649" t="s">
        <v>646</v>
      </c>
      <c r="D649" s="2">
        <v>0.50349999999999995</v>
      </c>
      <c r="E649" s="2">
        <v>0.47539999999999999</v>
      </c>
      <c r="F649" s="2">
        <v>0.49759999999999999</v>
      </c>
      <c r="G649" s="2">
        <v>0.51619999999999999</v>
      </c>
    </row>
    <row r="650" spans="1:7" x14ac:dyDescent="0.3">
      <c r="A650" t="str">
        <f t="shared" si="20"/>
        <v>HR</v>
      </c>
      <c r="B650" t="str">
        <f t="shared" si="21"/>
        <v>P</v>
      </c>
      <c r="C650" t="s">
        <v>647</v>
      </c>
      <c r="D650" s="2">
        <v>0</v>
      </c>
      <c r="E650" s="2">
        <v>0</v>
      </c>
      <c r="F650" s="2">
        <v>0</v>
      </c>
      <c r="G650" s="2">
        <v>0</v>
      </c>
    </row>
    <row r="651" spans="1:7" x14ac:dyDescent="0.3">
      <c r="A651" t="str">
        <f t="shared" si="20"/>
        <v>HR</v>
      </c>
      <c r="B651" t="str">
        <f t="shared" si="21"/>
        <v>P</v>
      </c>
      <c r="C651" t="s">
        <v>648</v>
      </c>
      <c r="D651" s="2">
        <v>0</v>
      </c>
      <c r="E651" s="2">
        <v>0</v>
      </c>
      <c r="F651" s="2">
        <v>0</v>
      </c>
      <c r="G651" s="2">
        <v>0</v>
      </c>
    </row>
    <row r="652" spans="1:7" x14ac:dyDescent="0.3">
      <c r="A652" t="str">
        <f t="shared" si="20"/>
        <v>HR</v>
      </c>
      <c r="B652" t="str">
        <f t="shared" si="21"/>
        <v>P</v>
      </c>
      <c r="C652" t="s">
        <v>649</v>
      </c>
      <c r="D652" s="2">
        <v>8.5000000000000006E-3</v>
      </c>
      <c r="E652" s="2">
        <v>7.0000000000000001E-3</v>
      </c>
      <c r="F652" s="2">
        <v>6.7999999999999996E-3</v>
      </c>
      <c r="G652" s="2">
        <v>7.1999999999999998E-3</v>
      </c>
    </row>
    <row r="653" spans="1:7" x14ac:dyDescent="0.3">
      <c r="A653" t="str">
        <f t="shared" si="20"/>
        <v>HR</v>
      </c>
      <c r="B653" t="str">
        <f t="shared" si="21"/>
        <v>C</v>
      </c>
      <c r="C653" t="s">
        <v>650</v>
      </c>
      <c r="D653" s="2">
        <v>8.0399999999999999E-2</v>
      </c>
      <c r="E653" s="2">
        <v>4.7199999999999999E-2</v>
      </c>
      <c r="F653" s="2">
        <v>4.6100000000000002E-2</v>
      </c>
      <c r="G653" s="2">
        <v>5.3999999999999999E-2</v>
      </c>
    </row>
    <row r="654" spans="1:7" x14ac:dyDescent="0.3">
      <c r="A654" t="str">
        <f t="shared" si="20"/>
        <v>HR</v>
      </c>
      <c r="B654" t="str">
        <f t="shared" si="21"/>
        <v>C</v>
      </c>
      <c r="C654" t="s">
        <v>651</v>
      </c>
      <c r="D654" s="2">
        <v>0</v>
      </c>
      <c r="E654" s="2">
        <v>0</v>
      </c>
      <c r="F654" s="2">
        <v>0</v>
      </c>
      <c r="G654" s="2">
        <v>0</v>
      </c>
    </row>
    <row r="655" spans="1:7" x14ac:dyDescent="0.3">
      <c r="A655" t="str">
        <f t="shared" si="20"/>
        <v>HR</v>
      </c>
      <c r="B655" t="str">
        <f t="shared" si="21"/>
        <v>C</v>
      </c>
      <c r="C655" t="s">
        <v>652</v>
      </c>
      <c r="D655" s="2">
        <v>0</v>
      </c>
      <c r="E655" s="2">
        <v>0</v>
      </c>
      <c r="F655" s="2">
        <v>0</v>
      </c>
      <c r="G655" s="2">
        <v>0</v>
      </c>
    </row>
    <row r="656" spans="1:7" x14ac:dyDescent="0.3">
      <c r="A656" t="str">
        <f t="shared" si="20"/>
        <v>HR</v>
      </c>
      <c r="B656" t="str">
        <f t="shared" si="21"/>
        <v>C</v>
      </c>
      <c r="C656" t="s">
        <v>653</v>
      </c>
      <c r="D656" s="2">
        <v>2.4948999999999999</v>
      </c>
      <c r="E656" s="2">
        <v>2.6318000000000001</v>
      </c>
      <c r="F656" s="2">
        <v>2.8102999999999998</v>
      </c>
      <c r="G656" s="2">
        <v>2.0011999999999999</v>
      </c>
    </row>
    <row r="657" spans="1:7" x14ac:dyDescent="0.3">
      <c r="A657" t="str">
        <f t="shared" si="20"/>
        <v>HR</v>
      </c>
      <c r="B657" t="str">
        <f t="shared" si="21"/>
        <v>C</v>
      </c>
      <c r="C657" t="s">
        <v>654</v>
      </c>
      <c r="D657" s="2">
        <v>0</v>
      </c>
      <c r="E657" s="2">
        <v>0</v>
      </c>
      <c r="F657" s="2">
        <v>0</v>
      </c>
      <c r="G657" s="2">
        <v>0</v>
      </c>
    </row>
    <row r="658" spans="1:7" x14ac:dyDescent="0.3">
      <c r="A658" t="str">
        <f t="shared" si="20"/>
        <v>HR</v>
      </c>
      <c r="B658" t="str">
        <f t="shared" si="21"/>
        <v>C</v>
      </c>
      <c r="C658" t="s">
        <v>655</v>
      </c>
      <c r="D658" s="2">
        <v>1E-4</v>
      </c>
      <c r="E658" s="2">
        <v>1E-4</v>
      </c>
      <c r="F658" s="2">
        <v>1E-4</v>
      </c>
      <c r="G658" s="2">
        <v>1E-4</v>
      </c>
    </row>
    <row r="659" spans="1:7" x14ac:dyDescent="0.3">
      <c r="A659" t="str">
        <f t="shared" si="20"/>
        <v>HR</v>
      </c>
      <c r="B659" t="str">
        <f t="shared" si="21"/>
        <v>C</v>
      </c>
      <c r="C659" t="s">
        <v>656</v>
      </c>
      <c r="D659" s="2">
        <v>2.46E-2</v>
      </c>
      <c r="E659" s="2">
        <v>1.7500000000000002E-2</v>
      </c>
      <c r="F659" s="2">
        <v>1.6E-2</v>
      </c>
      <c r="G659" s="2">
        <v>2.3099999999999999E-2</v>
      </c>
    </row>
    <row r="660" spans="1:7" x14ac:dyDescent="0.3">
      <c r="A660" t="str">
        <f t="shared" si="20"/>
        <v>HR</v>
      </c>
      <c r="B660" t="str">
        <f t="shared" si="21"/>
        <v>C</v>
      </c>
      <c r="C660" t="s">
        <v>657</v>
      </c>
      <c r="D660" s="2">
        <v>0.47599999999999998</v>
      </c>
      <c r="E660" s="2">
        <v>0.49909999999999999</v>
      </c>
      <c r="F660" s="2">
        <v>0.54310000000000003</v>
      </c>
      <c r="G660" s="2">
        <v>0.48480000000000001</v>
      </c>
    </row>
    <row r="661" spans="1:7" x14ac:dyDescent="0.3">
      <c r="A661" t="str">
        <f t="shared" si="20"/>
        <v>HR</v>
      </c>
      <c r="B661" t="str">
        <f t="shared" si="21"/>
        <v>C</v>
      </c>
      <c r="C661" t="s">
        <v>658</v>
      </c>
      <c r="D661" s="2">
        <v>0</v>
      </c>
      <c r="E661" s="2">
        <v>0</v>
      </c>
      <c r="F661" s="2">
        <v>0</v>
      </c>
      <c r="G661" s="2">
        <v>0</v>
      </c>
    </row>
    <row r="662" spans="1:7" x14ac:dyDescent="0.3">
      <c r="A662" t="str">
        <f t="shared" si="20"/>
        <v>HR</v>
      </c>
      <c r="B662" t="str">
        <f t="shared" si="21"/>
        <v>C</v>
      </c>
      <c r="C662" t="s">
        <v>659</v>
      </c>
      <c r="D662" s="2">
        <v>0</v>
      </c>
      <c r="E662" s="2">
        <v>0</v>
      </c>
      <c r="F662" s="2">
        <v>0</v>
      </c>
      <c r="G662" s="2">
        <v>0</v>
      </c>
    </row>
    <row r="663" spans="1:7" x14ac:dyDescent="0.3">
      <c r="A663" t="str">
        <f t="shared" si="20"/>
        <v>HR</v>
      </c>
      <c r="B663" t="str">
        <f t="shared" si="21"/>
        <v>C</v>
      </c>
      <c r="C663" t="s">
        <v>660</v>
      </c>
      <c r="D663" s="2">
        <v>0.16400000000000001</v>
      </c>
      <c r="E663" s="2">
        <v>0.20780000000000001</v>
      </c>
      <c r="F663" s="2">
        <v>0.30470000000000003</v>
      </c>
      <c r="G663" s="2">
        <v>0.36280000000000001</v>
      </c>
    </row>
    <row r="664" spans="1:7" x14ac:dyDescent="0.3">
      <c r="A664" t="str">
        <f t="shared" si="20"/>
        <v>HR</v>
      </c>
      <c r="B664" t="str">
        <f t="shared" si="21"/>
        <v>N</v>
      </c>
      <c r="C664" t="s">
        <v>661</v>
      </c>
      <c r="D664" s="2">
        <v>3.016</v>
      </c>
      <c r="E664" s="2">
        <v>2.2362000000000002</v>
      </c>
      <c r="F664" s="2">
        <v>1.6931</v>
      </c>
      <c r="G664" s="2">
        <v>1.534</v>
      </c>
    </row>
    <row r="665" spans="1:7" x14ac:dyDescent="0.3">
      <c r="A665" t="str">
        <f t="shared" si="20"/>
        <v>HR</v>
      </c>
      <c r="B665" t="str">
        <f t="shared" si="21"/>
        <v>N</v>
      </c>
      <c r="C665" t="s">
        <v>662</v>
      </c>
      <c r="D665" s="2">
        <v>1.0523</v>
      </c>
      <c r="E665" s="2">
        <v>1.4340999999999999</v>
      </c>
      <c r="F665" s="2">
        <v>1.9761</v>
      </c>
      <c r="G665" s="2">
        <v>2.1425000000000001</v>
      </c>
    </row>
    <row r="666" spans="1:7" x14ac:dyDescent="0.3">
      <c r="A666" t="str">
        <f t="shared" si="20"/>
        <v>HR</v>
      </c>
      <c r="B666" t="str">
        <f t="shared" si="21"/>
        <v>N</v>
      </c>
      <c r="C666" t="s">
        <v>663</v>
      </c>
      <c r="D666" s="2">
        <v>0</v>
      </c>
      <c r="E666" s="2">
        <v>0</v>
      </c>
      <c r="F666" s="2">
        <v>0</v>
      </c>
      <c r="G666" s="2">
        <v>0</v>
      </c>
    </row>
    <row r="667" spans="1:7" x14ac:dyDescent="0.3">
      <c r="A667" t="str">
        <f t="shared" si="20"/>
        <v>HR</v>
      </c>
      <c r="B667" t="str">
        <f t="shared" si="21"/>
        <v>N</v>
      </c>
      <c r="C667" t="s">
        <v>664</v>
      </c>
      <c r="D667" s="2">
        <v>1.8373999999999999</v>
      </c>
      <c r="E667" s="2">
        <v>1.8474999999999999</v>
      </c>
      <c r="F667" s="2">
        <v>1.7058</v>
      </c>
      <c r="G667" s="2">
        <v>1.9850000000000001</v>
      </c>
    </row>
    <row r="668" spans="1:7" x14ac:dyDescent="0.3">
      <c r="A668" t="str">
        <f t="shared" si="20"/>
        <v>HR</v>
      </c>
      <c r="B668" t="str">
        <f t="shared" si="21"/>
        <v>N</v>
      </c>
      <c r="C668" t="s">
        <v>665</v>
      </c>
      <c r="D668" s="2">
        <v>0</v>
      </c>
      <c r="E668" s="2">
        <v>0</v>
      </c>
      <c r="F668" s="2">
        <v>0</v>
      </c>
      <c r="G668" s="2">
        <v>0</v>
      </c>
    </row>
    <row r="669" spans="1:7" x14ac:dyDescent="0.3">
      <c r="A669" t="str">
        <f t="shared" si="20"/>
        <v>HR</v>
      </c>
      <c r="B669" t="str">
        <f t="shared" si="21"/>
        <v>N</v>
      </c>
      <c r="C669" t="s">
        <v>666</v>
      </c>
      <c r="D669" s="2">
        <v>0.4909</v>
      </c>
      <c r="E669" s="2">
        <v>0.62390000000000001</v>
      </c>
      <c r="F669" s="2">
        <v>0.91679999999999995</v>
      </c>
      <c r="G669" s="2">
        <v>1.0138</v>
      </c>
    </row>
    <row r="670" spans="1:7" x14ac:dyDescent="0.3">
      <c r="A670" t="str">
        <f t="shared" si="20"/>
        <v>HR</v>
      </c>
      <c r="B670" t="str">
        <f t="shared" si="21"/>
        <v>N</v>
      </c>
      <c r="C670" t="s">
        <v>667</v>
      </c>
      <c r="D670" s="2">
        <v>0.43159999999999998</v>
      </c>
      <c r="E670" s="2">
        <v>0.4173</v>
      </c>
      <c r="F670" s="2">
        <v>0.45150000000000001</v>
      </c>
      <c r="G670" s="2">
        <v>0.48149999999999998</v>
      </c>
    </row>
    <row r="671" spans="1:7" x14ac:dyDescent="0.3">
      <c r="A671" t="str">
        <f t="shared" si="20"/>
        <v>HR</v>
      </c>
      <c r="B671" t="str">
        <f t="shared" si="21"/>
        <v>N</v>
      </c>
      <c r="C671" t="s">
        <v>668</v>
      </c>
      <c r="D671" s="2">
        <v>0.92779999999999996</v>
      </c>
      <c r="E671" s="2">
        <v>0.95050000000000001</v>
      </c>
      <c r="F671" s="2">
        <v>0.98540000000000005</v>
      </c>
      <c r="G671" s="2">
        <v>1.0056</v>
      </c>
    </row>
    <row r="672" spans="1:7" x14ac:dyDescent="0.3">
      <c r="A672" t="str">
        <f t="shared" si="20"/>
        <v>HR</v>
      </c>
      <c r="B672" t="str">
        <f t="shared" si="21"/>
        <v>N</v>
      </c>
      <c r="C672" t="s">
        <v>669</v>
      </c>
      <c r="D672" s="2">
        <v>0</v>
      </c>
      <c r="E672" s="2">
        <v>0</v>
      </c>
      <c r="F672" s="2">
        <v>0</v>
      </c>
      <c r="G672" s="2">
        <v>0</v>
      </c>
    </row>
    <row r="673" spans="1:7" x14ac:dyDescent="0.3">
      <c r="A673" t="str">
        <f t="shared" si="20"/>
        <v>HR</v>
      </c>
      <c r="B673" t="str">
        <f t="shared" si="21"/>
        <v>N</v>
      </c>
      <c r="C673" t="s">
        <v>670</v>
      </c>
      <c r="D673" s="2">
        <v>0</v>
      </c>
      <c r="E673" s="2">
        <v>0</v>
      </c>
      <c r="F673" s="2">
        <v>0</v>
      </c>
      <c r="G673" s="2">
        <v>0</v>
      </c>
    </row>
    <row r="674" spans="1:7" x14ac:dyDescent="0.3">
      <c r="A674" t="str">
        <f t="shared" si="20"/>
        <v>HR</v>
      </c>
      <c r="B674" t="str">
        <f t="shared" si="21"/>
        <v>N</v>
      </c>
      <c r="C674" t="s">
        <v>671</v>
      </c>
      <c r="D674" s="2">
        <v>0</v>
      </c>
      <c r="E674" s="2">
        <v>0</v>
      </c>
      <c r="F674" s="2">
        <v>0</v>
      </c>
      <c r="G674" s="2">
        <v>0</v>
      </c>
    </row>
    <row r="675" spans="1:7" x14ac:dyDescent="0.3">
      <c r="A675" t="str">
        <f t="shared" si="20"/>
        <v>HR</v>
      </c>
      <c r="B675" t="str">
        <f t="shared" si="21"/>
        <v>F</v>
      </c>
      <c r="C675" t="s">
        <v>672</v>
      </c>
      <c r="D675" s="2">
        <v>0.32869999999999999</v>
      </c>
      <c r="E675" s="2">
        <v>0.3246</v>
      </c>
      <c r="F675" s="2">
        <v>0.2787</v>
      </c>
      <c r="G675" s="2">
        <v>0.28539999999999999</v>
      </c>
    </row>
    <row r="676" spans="1:7" x14ac:dyDescent="0.3">
      <c r="A676" t="str">
        <f t="shared" si="20"/>
        <v>HR</v>
      </c>
      <c r="B676" t="str">
        <f t="shared" si="21"/>
        <v>F</v>
      </c>
      <c r="C676" t="s">
        <v>673</v>
      </c>
      <c r="D676" s="2">
        <v>0.18459999999999999</v>
      </c>
      <c r="E676" s="2">
        <v>0.14019999999999999</v>
      </c>
      <c r="F676" s="2">
        <v>9.9400000000000002E-2</v>
      </c>
      <c r="G676" s="2">
        <v>2.1600000000000001E-2</v>
      </c>
    </row>
    <row r="677" spans="1:7" x14ac:dyDescent="0.3">
      <c r="A677" t="str">
        <f t="shared" si="20"/>
        <v>HR</v>
      </c>
      <c r="B677" t="str">
        <f t="shared" si="21"/>
        <v>F</v>
      </c>
      <c r="C677" t="s">
        <v>674</v>
      </c>
      <c r="D677" s="2">
        <v>0</v>
      </c>
      <c r="E677" s="2">
        <v>0</v>
      </c>
      <c r="F677" s="2">
        <v>0</v>
      </c>
      <c r="G677" s="2">
        <v>0</v>
      </c>
    </row>
    <row r="678" spans="1:7" x14ac:dyDescent="0.3">
      <c r="A678" t="str">
        <f t="shared" si="20"/>
        <v>HR</v>
      </c>
      <c r="B678" t="str">
        <f t="shared" si="21"/>
        <v>F</v>
      </c>
      <c r="C678" t="s">
        <v>675</v>
      </c>
      <c r="D678" s="2">
        <v>1.8220000000000001</v>
      </c>
      <c r="E678" s="2">
        <v>1.9450000000000001</v>
      </c>
      <c r="F678" s="2">
        <v>1.7935000000000001</v>
      </c>
      <c r="G678" s="2">
        <v>1.5737000000000001</v>
      </c>
    </row>
    <row r="679" spans="1:7" x14ac:dyDescent="0.3">
      <c r="A679" t="str">
        <f t="shared" si="20"/>
        <v>HR</v>
      </c>
      <c r="B679" t="str">
        <f t="shared" si="21"/>
        <v>F</v>
      </c>
      <c r="C679" t="s">
        <v>676</v>
      </c>
      <c r="D679" s="2">
        <v>0</v>
      </c>
      <c r="E679" s="2">
        <v>0</v>
      </c>
      <c r="F679" s="2">
        <v>0</v>
      </c>
      <c r="G679" s="2">
        <v>0</v>
      </c>
    </row>
    <row r="680" spans="1:7" x14ac:dyDescent="0.3">
      <c r="A680" t="str">
        <f t="shared" si="20"/>
        <v>HR</v>
      </c>
      <c r="B680" t="str">
        <f t="shared" si="21"/>
        <v>F</v>
      </c>
      <c r="C680" t="s">
        <v>677</v>
      </c>
      <c r="D680" s="2">
        <v>9.7500000000000003E-2</v>
      </c>
      <c r="E680" s="2">
        <v>0.1104</v>
      </c>
      <c r="F680" s="2">
        <v>0.1231</v>
      </c>
      <c r="G680" s="2">
        <v>0.15240000000000001</v>
      </c>
    </row>
    <row r="681" spans="1:7" x14ac:dyDescent="0.3">
      <c r="A681" t="str">
        <f t="shared" si="20"/>
        <v>HR</v>
      </c>
      <c r="B681" t="str">
        <f t="shared" si="21"/>
        <v>F</v>
      </c>
      <c r="C681" t="s">
        <v>678</v>
      </c>
      <c r="D681" s="2">
        <v>0.61809999999999998</v>
      </c>
      <c r="E681" s="2">
        <v>0.62009999999999998</v>
      </c>
      <c r="F681" s="2">
        <v>0.60940000000000005</v>
      </c>
      <c r="G681" s="2">
        <v>0.63819999999999999</v>
      </c>
    </row>
    <row r="682" spans="1:7" x14ac:dyDescent="0.3">
      <c r="A682" t="str">
        <f t="shared" si="20"/>
        <v>HR</v>
      </c>
      <c r="B682" t="str">
        <f t="shared" si="21"/>
        <v>F</v>
      </c>
      <c r="C682" t="s">
        <v>679</v>
      </c>
      <c r="D682" s="2">
        <v>0.75480000000000003</v>
      </c>
      <c r="E682" s="2">
        <v>0.7631</v>
      </c>
      <c r="F682" s="2">
        <v>0.73060000000000003</v>
      </c>
      <c r="G682" s="2">
        <v>0.72440000000000004</v>
      </c>
    </row>
    <row r="683" spans="1:7" x14ac:dyDescent="0.3">
      <c r="A683" t="str">
        <f t="shared" si="20"/>
        <v>HR</v>
      </c>
      <c r="B683" t="str">
        <f t="shared" si="21"/>
        <v>F</v>
      </c>
      <c r="C683" t="s">
        <v>680</v>
      </c>
      <c r="D683" s="2">
        <v>0</v>
      </c>
      <c r="E683" s="2">
        <v>0</v>
      </c>
      <c r="F683" s="2">
        <v>0</v>
      </c>
      <c r="G683" s="2">
        <v>0</v>
      </c>
    </row>
    <row r="684" spans="1:7" x14ac:dyDescent="0.3">
      <c r="A684" t="str">
        <f t="shared" si="20"/>
        <v>HR</v>
      </c>
      <c r="B684" t="str">
        <f t="shared" si="21"/>
        <v>F</v>
      </c>
      <c r="C684" t="s">
        <v>681</v>
      </c>
      <c r="D684" s="2">
        <v>0</v>
      </c>
      <c r="E684" s="2">
        <v>0</v>
      </c>
      <c r="F684" s="2">
        <v>0</v>
      </c>
      <c r="G684" s="2">
        <v>0</v>
      </c>
    </row>
    <row r="685" spans="1:7" x14ac:dyDescent="0.3">
      <c r="A685" t="str">
        <f t="shared" si="20"/>
        <v>HR</v>
      </c>
      <c r="B685" t="str">
        <f t="shared" si="21"/>
        <v>F</v>
      </c>
      <c r="C685" t="s">
        <v>682</v>
      </c>
      <c r="D685" s="2">
        <v>0.13719999999999999</v>
      </c>
      <c r="E685" s="2">
        <v>0.1145</v>
      </c>
      <c r="F685" s="2">
        <v>9.35E-2</v>
      </c>
      <c r="G685" s="2">
        <v>9.2899999999999996E-2</v>
      </c>
    </row>
    <row r="686" spans="1:7" x14ac:dyDescent="0.3">
      <c r="A686" t="str">
        <f t="shared" si="20"/>
        <v>HR</v>
      </c>
      <c r="B686" t="str">
        <f t="shared" si="21"/>
        <v>O</v>
      </c>
      <c r="C686" t="s">
        <v>683</v>
      </c>
      <c r="D686" s="2">
        <v>1.6581999999999999</v>
      </c>
      <c r="E686" s="2">
        <v>1.7010000000000001</v>
      </c>
      <c r="F686" s="2">
        <v>1.714</v>
      </c>
      <c r="G686" s="2">
        <v>1.9582999999999999</v>
      </c>
    </row>
    <row r="687" spans="1:7" x14ac:dyDescent="0.3">
      <c r="A687" t="str">
        <f t="shared" si="20"/>
        <v>HR</v>
      </c>
      <c r="B687" t="str">
        <f t="shared" si="21"/>
        <v>O</v>
      </c>
      <c r="C687" t="s">
        <v>684</v>
      </c>
      <c r="D687" s="2">
        <v>4.0300000000000002E-2</v>
      </c>
      <c r="E687" s="2">
        <v>1.77E-2</v>
      </c>
      <c r="F687" s="2">
        <v>1.1299999999999999E-2</v>
      </c>
      <c r="G687" s="2">
        <v>3.73E-2</v>
      </c>
    </row>
    <row r="688" spans="1:7" x14ac:dyDescent="0.3">
      <c r="A688" t="str">
        <f t="shared" si="20"/>
        <v>HR</v>
      </c>
      <c r="B688" t="str">
        <f t="shared" si="21"/>
        <v>O</v>
      </c>
      <c r="C688" t="s">
        <v>685</v>
      </c>
      <c r="D688" s="2">
        <v>0</v>
      </c>
      <c r="E688" s="2">
        <v>0</v>
      </c>
      <c r="F688" s="2">
        <v>0</v>
      </c>
      <c r="G688" s="2">
        <v>0</v>
      </c>
    </row>
    <row r="689" spans="1:7" x14ac:dyDescent="0.3">
      <c r="A689" t="str">
        <f t="shared" si="20"/>
        <v>HR</v>
      </c>
      <c r="B689" t="str">
        <f t="shared" si="21"/>
        <v>O</v>
      </c>
      <c r="C689" t="s">
        <v>686</v>
      </c>
      <c r="D689" s="2">
        <v>1.1114999999999999</v>
      </c>
      <c r="E689" s="2">
        <v>1.0729</v>
      </c>
      <c r="F689" s="2">
        <v>1.0082</v>
      </c>
      <c r="G689" s="2">
        <v>1.2250000000000001</v>
      </c>
    </row>
    <row r="690" spans="1:7" x14ac:dyDescent="0.3">
      <c r="A690" t="str">
        <f t="shared" si="20"/>
        <v>HR</v>
      </c>
      <c r="B690" t="str">
        <f t="shared" si="21"/>
        <v>O</v>
      </c>
      <c r="C690" t="s">
        <v>687</v>
      </c>
      <c r="D690" s="2">
        <v>0</v>
      </c>
      <c r="E690" s="2">
        <v>0</v>
      </c>
      <c r="F690" s="2">
        <v>0</v>
      </c>
      <c r="G690" s="2">
        <v>0</v>
      </c>
    </row>
    <row r="691" spans="1:7" x14ac:dyDescent="0.3">
      <c r="A691" t="str">
        <f t="shared" si="20"/>
        <v>HR</v>
      </c>
      <c r="B691" t="str">
        <f t="shared" si="21"/>
        <v>O</v>
      </c>
      <c r="C691" t="s">
        <v>688</v>
      </c>
      <c r="D691" s="2">
        <v>0.32650000000000001</v>
      </c>
      <c r="E691" s="2">
        <v>0.30980000000000002</v>
      </c>
      <c r="F691" s="2">
        <v>0.28220000000000001</v>
      </c>
      <c r="G691" s="2">
        <v>0.26429999999999998</v>
      </c>
    </row>
    <row r="692" spans="1:7" x14ac:dyDescent="0.3">
      <c r="A692" t="str">
        <f t="shared" si="20"/>
        <v>HR</v>
      </c>
      <c r="B692" t="str">
        <f t="shared" si="21"/>
        <v>O</v>
      </c>
      <c r="C692" t="s">
        <v>689</v>
      </c>
      <c r="D692" s="2">
        <v>1.2464999999999999</v>
      </c>
      <c r="E692" s="2">
        <v>1.1372</v>
      </c>
      <c r="F692" s="2">
        <v>1.0399</v>
      </c>
      <c r="G692" s="2">
        <v>1.2849999999999999</v>
      </c>
    </row>
    <row r="693" spans="1:7" x14ac:dyDescent="0.3">
      <c r="A693" t="str">
        <f t="shared" si="20"/>
        <v>HR</v>
      </c>
      <c r="B693" t="str">
        <f t="shared" si="21"/>
        <v>O</v>
      </c>
      <c r="C693" t="s">
        <v>690</v>
      </c>
      <c r="D693" s="2">
        <v>1.8667</v>
      </c>
      <c r="E693" s="2">
        <v>1.8697999999999999</v>
      </c>
      <c r="F693" s="2">
        <v>1.7729999999999999</v>
      </c>
      <c r="G693" s="2">
        <v>1.9152</v>
      </c>
    </row>
    <row r="694" spans="1:7" x14ac:dyDescent="0.3">
      <c r="A694" t="str">
        <f t="shared" si="20"/>
        <v>HR</v>
      </c>
      <c r="B694" t="str">
        <f t="shared" si="21"/>
        <v>O</v>
      </c>
      <c r="C694" t="s">
        <v>691</v>
      </c>
      <c r="D694" s="2">
        <v>0</v>
      </c>
      <c r="E694" s="2">
        <v>0</v>
      </c>
      <c r="F694" s="2">
        <v>0</v>
      </c>
      <c r="G694" s="2">
        <v>0</v>
      </c>
    </row>
    <row r="695" spans="1:7" x14ac:dyDescent="0.3">
      <c r="A695" t="str">
        <f t="shared" si="20"/>
        <v>HR</v>
      </c>
      <c r="B695" t="str">
        <f t="shared" si="21"/>
        <v>O</v>
      </c>
      <c r="C695" t="s">
        <v>692</v>
      </c>
      <c r="D695" s="2">
        <v>0</v>
      </c>
      <c r="E695" s="2">
        <v>0</v>
      </c>
      <c r="F695" s="2">
        <v>0</v>
      </c>
      <c r="G695" s="2">
        <v>0</v>
      </c>
    </row>
    <row r="696" spans="1:7" x14ac:dyDescent="0.3">
      <c r="A696" t="str">
        <f t="shared" si="20"/>
        <v>HR</v>
      </c>
      <c r="B696" t="str">
        <f t="shared" si="21"/>
        <v>O</v>
      </c>
      <c r="C696" t="s">
        <v>693</v>
      </c>
      <c r="D696" s="2">
        <v>1.2251000000000001</v>
      </c>
      <c r="E696" s="2">
        <v>1.4137999999999999</v>
      </c>
      <c r="F696" s="2">
        <v>1.3702000000000001</v>
      </c>
      <c r="G696" s="2">
        <v>1.6736</v>
      </c>
    </row>
    <row r="697" spans="1:7" x14ac:dyDescent="0.3">
      <c r="A697" t="str">
        <f t="shared" si="20"/>
        <v>HU</v>
      </c>
      <c r="B697" t="str">
        <f t="shared" si="21"/>
        <v>A</v>
      </c>
      <c r="C697" t="s">
        <v>694</v>
      </c>
      <c r="D697" s="2">
        <v>0.23499999999999999</v>
      </c>
      <c r="E697" s="2">
        <v>0.23530000000000001</v>
      </c>
      <c r="F697" s="2">
        <v>0.21299999999999999</v>
      </c>
      <c r="G697" s="2">
        <v>0.2379</v>
      </c>
    </row>
    <row r="698" spans="1:7" x14ac:dyDescent="0.3">
      <c r="A698" t="str">
        <f t="shared" si="20"/>
        <v>HU</v>
      </c>
      <c r="B698" t="str">
        <f t="shared" si="21"/>
        <v>A</v>
      </c>
      <c r="C698" t="s">
        <v>695</v>
      </c>
      <c r="D698" s="2">
        <v>2.0899999999999998E-2</v>
      </c>
      <c r="E698" s="2">
        <v>7.1999999999999998E-3</v>
      </c>
      <c r="F698" s="2">
        <v>7.1999999999999998E-3</v>
      </c>
      <c r="G698" s="2">
        <v>7.0000000000000001E-3</v>
      </c>
    </row>
    <row r="699" spans="1:7" x14ac:dyDescent="0.3">
      <c r="A699" t="str">
        <f t="shared" si="20"/>
        <v>HU</v>
      </c>
      <c r="B699" t="str">
        <f t="shared" si="21"/>
        <v>A</v>
      </c>
      <c r="C699" t="s">
        <v>696</v>
      </c>
      <c r="D699" s="2">
        <v>0</v>
      </c>
      <c r="E699" s="2">
        <v>0</v>
      </c>
      <c r="F699" s="2">
        <v>0</v>
      </c>
      <c r="G699" s="2">
        <v>0</v>
      </c>
    </row>
    <row r="700" spans="1:7" x14ac:dyDescent="0.3">
      <c r="A700" t="str">
        <f t="shared" si="20"/>
        <v>HU</v>
      </c>
      <c r="B700" t="str">
        <f t="shared" si="21"/>
        <v>A</v>
      </c>
      <c r="C700" t="s">
        <v>697</v>
      </c>
      <c r="D700" s="2">
        <v>4.0697999999999999</v>
      </c>
      <c r="E700" s="2">
        <v>4.0715000000000003</v>
      </c>
      <c r="F700" s="2">
        <v>4.4200999999999997</v>
      </c>
      <c r="G700" s="2">
        <v>4.9541000000000004</v>
      </c>
    </row>
    <row r="701" spans="1:7" x14ac:dyDescent="0.3">
      <c r="A701" t="str">
        <f t="shared" si="20"/>
        <v>HU</v>
      </c>
      <c r="B701" t="str">
        <f t="shared" si="21"/>
        <v>A</v>
      </c>
      <c r="C701" t="s">
        <v>698</v>
      </c>
      <c r="D701" s="2">
        <v>0</v>
      </c>
      <c r="E701" s="2">
        <v>0</v>
      </c>
      <c r="F701" s="2">
        <v>0</v>
      </c>
      <c r="G701" s="2">
        <v>0</v>
      </c>
    </row>
    <row r="702" spans="1:7" x14ac:dyDescent="0.3">
      <c r="A702" t="str">
        <f t="shared" si="20"/>
        <v>HU</v>
      </c>
      <c r="B702" t="str">
        <f t="shared" si="21"/>
        <v>A</v>
      </c>
      <c r="C702" t="s">
        <v>699</v>
      </c>
      <c r="D702" s="2">
        <v>7.4399999999999994E-2</v>
      </c>
      <c r="E702" s="2">
        <v>7.5499999999999998E-2</v>
      </c>
      <c r="F702" s="2">
        <v>8.1900000000000001E-2</v>
      </c>
      <c r="G702" s="2">
        <v>9.1800000000000007E-2</v>
      </c>
    </row>
    <row r="703" spans="1:7" x14ac:dyDescent="0.3">
      <c r="A703" t="str">
        <f t="shared" si="20"/>
        <v>HU</v>
      </c>
      <c r="B703" t="str">
        <f t="shared" si="21"/>
        <v>A</v>
      </c>
      <c r="C703" t="s">
        <v>700</v>
      </c>
      <c r="D703" s="2">
        <v>2.6715</v>
      </c>
      <c r="E703" s="2">
        <v>2.7323</v>
      </c>
      <c r="F703" s="2">
        <v>2.8519000000000001</v>
      </c>
      <c r="G703" s="2">
        <v>3.1918000000000002</v>
      </c>
    </row>
    <row r="704" spans="1:7" x14ac:dyDescent="0.3">
      <c r="A704" t="str">
        <f t="shared" si="20"/>
        <v>HU</v>
      </c>
      <c r="B704" t="str">
        <f t="shared" si="21"/>
        <v>A</v>
      </c>
      <c r="C704" t="s">
        <v>701</v>
      </c>
      <c r="D704" s="2">
        <v>3.1214</v>
      </c>
      <c r="E704" s="2">
        <v>3.1545999999999998</v>
      </c>
      <c r="F704" s="2">
        <v>3.3344999999999998</v>
      </c>
      <c r="G704" s="2">
        <v>3.7303000000000002</v>
      </c>
    </row>
    <row r="705" spans="1:7" x14ac:dyDescent="0.3">
      <c r="A705" t="str">
        <f t="shared" si="20"/>
        <v>HU</v>
      </c>
      <c r="B705" t="str">
        <f t="shared" si="21"/>
        <v>A</v>
      </c>
      <c r="C705" t="s">
        <v>702</v>
      </c>
      <c r="D705" s="2">
        <v>0</v>
      </c>
      <c r="E705" s="2">
        <v>0</v>
      </c>
      <c r="F705" s="2">
        <v>0</v>
      </c>
      <c r="G705" s="2">
        <v>0</v>
      </c>
    </row>
    <row r="706" spans="1:7" x14ac:dyDescent="0.3">
      <c r="A706" t="str">
        <f t="shared" si="20"/>
        <v>HU</v>
      </c>
      <c r="B706" t="str">
        <f t="shared" si="21"/>
        <v>A</v>
      </c>
      <c r="C706" t="s">
        <v>703</v>
      </c>
      <c r="D706" s="2">
        <v>6.3E-3</v>
      </c>
      <c r="E706" s="2">
        <v>6.3E-3</v>
      </c>
      <c r="F706" s="2">
        <v>9.4000000000000004E-3</v>
      </c>
      <c r="G706" s="2">
        <v>1.0200000000000001E-2</v>
      </c>
    </row>
    <row r="707" spans="1:7" x14ac:dyDescent="0.3">
      <c r="A707" t="str">
        <f t="shared" si="20"/>
        <v>HU</v>
      </c>
      <c r="B707" t="str">
        <f t="shared" si="21"/>
        <v>A</v>
      </c>
      <c r="C707" t="s">
        <v>704</v>
      </c>
      <c r="D707" s="2">
        <v>0.20250000000000001</v>
      </c>
      <c r="E707" s="2">
        <v>0.20030000000000001</v>
      </c>
      <c r="F707" s="2">
        <v>0.1666</v>
      </c>
      <c r="G707" s="2">
        <v>0.15690000000000001</v>
      </c>
    </row>
    <row r="708" spans="1:7" x14ac:dyDescent="0.3">
      <c r="A708" t="str">
        <f t="shared" si="20"/>
        <v>HU</v>
      </c>
      <c r="B708" t="str">
        <f t="shared" si="21"/>
        <v>C</v>
      </c>
      <c r="C708" t="s">
        <v>705</v>
      </c>
      <c r="D708" s="2">
        <v>7.0231000000000003</v>
      </c>
      <c r="E708" s="2">
        <v>6.2278000000000002</v>
      </c>
      <c r="F708" s="2">
        <v>7.2374000000000001</v>
      </c>
      <c r="G708" s="2">
        <v>7.8391000000000002</v>
      </c>
    </row>
    <row r="709" spans="1:7" x14ac:dyDescent="0.3">
      <c r="A709" t="str">
        <f t="shared" ref="A709:A772" si="22">LEFT(C709,2)</f>
        <v>HU</v>
      </c>
      <c r="B709" t="str">
        <f t="shared" ref="B709:B772" si="23">RIGHT(C709,1)</f>
        <v>C</v>
      </c>
      <c r="C709" t="s">
        <v>706</v>
      </c>
      <c r="D709" s="2">
        <v>0</v>
      </c>
      <c r="E709" s="2">
        <v>0</v>
      </c>
      <c r="F709" s="2">
        <v>0</v>
      </c>
      <c r="G709" s="2">
        <v>0</v>
      </c>
    </row>
    <row r="710" spans="1:7" x14ac:dyDescent="0.3">
      <c r="A710" t="str">
        <f t="shared" si="22"/>
        <v>HU</v>
      </c>
      <c r="B710" t="str">
        <f t="shared" si="23"/>
        <v>C</v>
      </c>
      <c r="C710" t="s">
        <v>707</v>
      </c>
      <c r="D710" s="2">
        <v>0</v>
      </c>
      <c r="E710" s="2">
        <v>0</v>
      </c>
      <c r="F710" s="2">
        <v>0</v>
      </c>
      <c r="G710" s="2">
        <v>0</v>
      </c>
    </row>
    <row r="711" spans="1:7" x14ac:dyDescent="0.3">
      <c r="A711" t="str">
        <f t="shared" si="22"/>
        <v>HU</v>
      </c>
      <c r="B711" t="str">
        <f t="shared" si="23"/>
        <v>C</v>
      </c>
      <c r="C711" t="s">
        <v>708</v>
      </c>
      <c r="D711" s="2">
        <v>4.8594999999999997</v>
      </c>
      <c r="E711" s="2">
        <v>4.9724000000000004</v>
      </c>
      <c r="F711" s="2">
        <v>4.6539999999999999</v>
      </c>
      <c r="G711" s="2">
        <v>4.6215000000000002</v>
      </c>
    </row>
    <row r="712" spans="1:7" x14ac:dyDescent="0.3">
      <c r="A712" t="str">
        <f t="shared" si="22"/>
        <v>HU</v>
      </c>
      <c r="B712" t="str">
        <f t="shared" si="23"/>
        <v>C</v>
      </c>
      <c r="C712" t="s">
        <v>709</v>
      </c>
      <c r="D712" s="2">
        <v>0</v>
      </c>
      <c r="E712" s="2">
        <v>0</v>
      </c>
      <c r="F712" s="2">
        <v>0</v>
      </c>
      <c r="G712" s="2">
        <v>0</v>
      </c>
    </row>
    <row r="713" spans="1:7" x14ac:dyDescent="0.3">
      <c r="A713" t="str">
        <f t="shared" si="22"/>
        <v>HU</v>
      </c>
      <c r="B713" t="str">
        <f t="shared" si="23"/>
        <v>C</v>
      </c>
      <c r="C713" t="s">
        <v>710</v>
      </c>
      <c r="D713" s="2">
        <v>3.6200000000000003E-2</v>
      </c>
      <c r="E713" s="2">
        <v>3.7100000000000001E-2</v>
      </c>
      <c r="F713" s="2">
        <v>4.0300000000000002E-2</v>
      </c>
      <c r="G713" s="2">
        <v>5.67E-2</v>
      </c>
    </row>
    <row r="714" spans="1:7" x14ac:dyDescent="0.3">
      <c r="A714" t="str">
        <f t="shared" si="22"/>
        <v>HU</v>
      </c>
      <c r="B714" t="str">
        <f t="shared" si="23"/>
        <v>C</v>
      </c>
      <c r="C714" t="s">
        <v>711</v>
      </c>
      <c r="D714" s="2">
        <v>0.5625</v>
      </c>
      <c r="E714" s="2">
        <v>0.58799999999999997</v>
      </c>
      <c r="F714" s="2">
        <v>0.67059999999999997</v>
      </c>
      <c r="G714" s="2">
        <v>0.75900000000000001</v>
      </c>
    </row>
    <row r="715" spans="1:7" x14ac:dyDescent="0.3">
      <c r="A715" t="str">
        <f t="shared" si="22"/>
        <v>HU</v>
      </c>
      <c r="B715" t="str">
        <f t="shared" si="23"/>
        <v>C</v>
      </c>
      <c r="C715" t="s">
        <v>712</v>
      </c>
      <c r="D715" s="2">
        <v>4.8421000000000003</v>
      </c>
      <c r="E715" s="2">
        <v>4.9467999999999996</v>
      </c>
      <c r="F715" s="2">
        <v>5.0675999999999997</v>
      </c>
      <c r="G715" s="2">
        <v>5.4646999999999997</v>
      </c>
    </row>
    <row r="716" spans="1:7" x14ac:dyDescent="0.3">
      <c r="A716" t="str">
        <f t="shared" si="22"/>
        <v>HU</v>
      </c>
      <c r="B716" t="str">
        <f t="shared" si="23"/>
        <v>C</v>
      </c>
      <c r="C716" t="s">
        <v>713</v>
      </c>
      <c r="D716" s="2">
        <v>0</v>
      </c>
      <c r="E716" s="2">
        <v>0</v>
      </c>
      <c r="F716" s="2">
        <v>0</v>
      </c>
      <c r="G716" s="2">
        <v>0</v>
      </c>
    </row>
    <row r="717" spans="1:7" x14ac:dyDescent="0.3">
      <c r="A717" t="str">
        <f t="shared" si="22"/>
        <v>HU</v>
      </c>
      <c r="B717" t="str">
        <f t="shared" si="23"/>
        <v>C</v>
      </c>
      <c r="C717" t="s">
        <v>714</v>
      </c>
      <c r="D717" s="2">
        <v>0</v>
      </c>
      <c r="E717" s="2">
        <v>0</v>
      </c>
      <c r="F717" s="2">
        <v>0</v>
      </c>
      <c r="G717" s="2">
        <v>0</v>
      </c>
    </row>
    <row r="718" spans="1:7" x14ac:dyDescent="0.3">
      <c r="A718" t="str">
        <f t="shared" si="22"/>
        <v>HU</v>
      </c>
      <c r="B718" t="str">
        <f t="shared" si="23"/>
        <v>C</v>
      </c>
      <c r="C718" t="s">
        <v>715</v>
      </c>
      <c r="D718" s="2">
        <v>5.9665999999999997</v>
      </c>
      <c r="E718" s="2">
        <v>6.6238999999999999</v>
      </c>
      <c r="F718" s="2">
        <v>6.6185999999999998</v>
      </c>
      <c r="G718" s="2">
        <v>7.4366000000000003</v>
      </c>
    </row>
    <row r="719" spans="1:7" x14ac:dyDescent="0.3">
      <c r="A719" t="str">
        <f t="shared" si="22"/>
        <v>HU</v>
      </c>
      <c r="B719" t="str">
        <f t="shared" si="23"/>
        <v>N</v>
      </c>
      <c r="C719" t="s">
        <v>716</v>
      </c>
      <c r="D719" s="2">
        <v>2.1827999999999999</v>
      </c>
      <c r="E719" s="2">
        <v>2.3378000000000001</v>
      </c>
      <c r="F719" s="2">
        <v>1.8129</v>
      </c>
      <c r="G719" s="2">
        <v>1.3084</v>
      </c>
    </row>
    <row r="720" spans="1:7" x14ac:dyDescent="0.3">
      <c r="A720" t="str">
        <f t="shared" si="22"/>
        <v>HU</v>
      </c>
      <c r="B720" t="str">
        <f t="shared" si="23"/>
        <v>N</v>
      </c>
      <c r="C720" t="s">
        <v>717</v>
      </c>
      <c r="D720" s="2">
        <v>0.62580000000000002</v>
      </c>
      <c r="E720" s="2">
        <v>0.50060000000000004</v>
      </c>
      <c r="F720" s="2">
        <v>0.49980000000000002</v>
      </c>
      <c r="G720" s="2">
        <v>0.43080000000000002</v>
      </c>
    </row>
    <row r="721" spans="1:7" x14ac:dyDescent="0.3">
      <c r="A721" t="str">
        <f t="shared" si="22"/>
        <v>HU</v>
      </c>
      <c r="B721" t="str">
        <f t="shared" si="23"/>
        <v>N</v>
      </c>
      <c r="C721" t="s">
        <v>718</v>
      </c>
      <c r="D721" s="2">
        <v>0</v>
      </c>
      <c r="E721" s="2">
        <v>0</v>
      </c>
      <c r="F721" s="2">
        <v>0</v>
      </c>
      <c r="G721" s="2">
        <v>0</v>
      </c>
    </row>
    <row r="722" spans="1:7" x14ac:dyDescent="0.3">
      <c r="A722" t="str">
        <f t="shared" si="22"/>
        <v>HU</v>
      </c>
      <c r="B722" t="str">
        <f t="shared" si="23"/>
        <v>N</v>
      </c>
      <c r="C722" t="s">
        <v>719</v>
      </c>
      <c r="D722" s="2">
        <v>4.1101000000000001</v>
      </c>
      <c r="E722" s="2">
        <v>4.3163999999999998</v>
      </c>
      <c r="F722" s="2">
        <v>4.0026999999999999</v>
      </c>
      <c r="G722" s="2">
        <v>4.2461000000000002</v>
      </c>
    </row>
    <row r="723" spans="1:7" x14ac:dyDescent="0.3">
      <c r="A723" t="str">
        <f t="shared" si="22"/>
        <v>HU</v>
      </c>
      <c r="B723" t="str">
        <f t="shared" si="23"/>
        <v>N</v>
      </c>
      <c r="C723" t="s">
        <v>720</v>
      </c>
      <c r="D723" s="2">
        <v>0</v>
      </c>
      <c r="E723" s="2">
        <v>0</v>
      </c>
      <c r="F723" s="2">
        <v>0</v>
      </c>
      <c r="G723" s="2">
        <v>0</v>
      </c>
    </row>
    <row r="724" spans="1:7" x14ac:dyDescent="0.3">
      <c r="A724" t="str">
        <f t="shared" si="22"/>
        <v>HU</v>
      </c>
      <c r="B724" t="str">
        <f t="shared" si="23"/>
        <v>N</v>
      </c>
      <c r="C724" t="s">
        <v>721</v>
      </c>
      <c r="D724" s="2">
        <v>2.4908000000000001</v>
      </c>
      <c r="E724" s="2">
        <v>3.0076000000000001</v>
      </c>
      <c r="F724" s="2">
        <v>2.7808999999999999</v>
      </c>
      <c r="G724" s="2">
        <v>3.7764000000000002</v>
      </c>
    </row>
    <row r="725" spans="1:7" x14ac:dyDescent="0.3">
      <c r="A725" t="str">
        <f t="shared" si="22"/>
        <v>HU</v>
      </c>
      <c r="B725" t="str">
        <f t="shared" si="23"/>
        <v>N</v>
      </c>
      <c r="C725" t="s">
        <v>722</v>
      </c>
      <c r="D725" s="2">
        <v>1.3232999999999999</v>
      </c>
      <c r="E725" s="2">
        <v>1.3119000000000001</v>
      </c>
      <c r="F725" s="2">
        <v>1.2875000000000001</v>
      </c>
      <c r="G725" s="2">
        <v>1.4260999999999999</v>
      </c>
    </row>
    <row r="726" spans="1:7" x14ac:dyDescent="0.3">
      <c r="A726" t="str">
        <f t="shared" si="22"/>
        <v>HU</v>
      </c>
      <c r="B726" t="str">
        <f t="shared" si="23"/>
        <v>N</v>
      </c>
      <c r="C726" t="s">
        <v>723</v>
      </c>
      <c r="D726" s="2">
        <v>1.4522999999999999</v>
      </c>
      <c r="E726" s="2">
        <v>1.6676</v>
      </c>
      <c r="F726" s="2">
        <v>1.6898</v>
      </c>
      <c r="G726" s="2">
        <v>1.8063</v>
      </c>
    </row>
    <row r="727" spans="1:7" x14ac:dyDescent="0.3">
      <c r="A727" t="str">
        <f t="shared" si="22"/>
        <v>HU</v>
      </c>
      <c r="B727" t="str">
        <f t="shared" si="23"/>
        <v>N</v>
      </c>
      <c r="C727" t="s">
        <v>724</v>
      </c>
      <c r="D727" s="2">
        <v>0</v>
      </c>
      <c r="E727" s="2">
        <v>0</v>
      </c>
      <c r="F727" s="2">
        <v>0</v>
      </c>
      <c r="G727" s="2">
        <v>0</v>
      </c>
    </row>
    <row r="728" spans="1:7" x14ac:dyDescent="0.3">
      <c r="A728" t="str">
        <f t="shared" si="22"/>
        <v>HU</v>
      </c>
      <c r="B728" t="str">
        <f t="shared" si="23"/>
        <v>N</v>
      </c>
      <c r="C728" t="s">
        <v>725</v>
      </c>
      <c r="D728" s="2">
        <v>6.0000000000000001E-3</v>
      </c>
      <c r="E728" s="2">
        <v>8.2000000000000007E-3</v>
      </c>
      <c r="F728" s="2">
        <v>0</v>
      </c>
      <c r="G728" s="2">
        <v>0</v>
      </c>
    </row>
    <row r="729" spans="1:7" x14ac:dyDescent="0.3">
      <c r="A729" t="str">
        <f t="shared" si="22"/>
        <v>HU</v>
      </c>
      <c r="B729" t="str">
        <f t="shared" si="23"/>
        <v>N</v>
      </c>
      <c r="C729" t="s">
        <v>726</v>
      </c>
      <c r="D729" s="2">
        <v>7.1900000000000006E-2</v>
      </c>
      <c r="E729" s="2">
        <v>7.3099999999999998E-2</v>
      </c>
      <c r="F729" s="2">
        <v>6.9699999999999998E-2</v>
      </c>
      <c r="G729" s="2">
        <v>7.7499999999999999E-2</v>
      </c>
    </row>
    <row r="730" spans="1:7" x14ac:dyDescent="0.3">
      <c r="A730" t="str">
        <f t="shared" si="22"/>
        <v>HU</v>
      </c>
      <c r="B730" t="str">
        <f t="shared" si="23"/>
        <v>F</v>
      </c>
      <c r="C730" t="s">
        <v>727</v>
      </c>
      <c r="D730" s="2">
        <v>0.24049999999999999</v>
      </c>
      <c r="E730" s="2">
        <v>0.25929999999999997</v>
      </c>
      <c r="F730" s="2">
        <v>0.3211</v>
      </c>
      <c r="G730" s="2">
        <v>0.29849999999999999</v>
      </c>
    </row>
    <row r="731" spans="1:7" x14ac:dyDescent="0.3">
      <c r="A731" t="str">
        <f t="shared" si="22"/>
        <v>HU</v>
      </c>
      <c r="B731" t="str">
        <f t="shared" si="23"/>
        <v>F</v>
      </c>
      <c r="C731" t="s">
        <v>728</v>
      </c>
      <c r="D731" s="2">
        <v>3.39E-2</v>
      </c>
      <c r="E731" s="2">
        <v>2.24E-2</v>
      </c>
      <c r="F731" s="2">
        <v>2.2499999999999999E-2</v>
      </c>
      <c r="G731" s="2">
        <v>2.2499999999999999E-2</v>
      </c>
    </row>
    <row r="732" spans="1:7" x14ac:dyDescent="0.3">
      <c r="A732" t="str">
        <f t="shared" si="22"/>
        <v>HU</v>
      </c>
      <c r="B732" t="str">
        <f t="shared" si="23"/>
        <v>F</v>
      </c>
      <c r="C732" t="s">
        <v>729</v>
      </c>
      <c r="D732" s="2">
        <v>0</v>
      </c>
      <c r="E732" s="2">
        <v>0</v>
      </c>
      <c r="F732" s="2">
        <v>0</v>
      </c>
      <c r="G732" s="2">
        <v>0</v>
      </c>
    </row>
    <row r="733" spans="1:7" x14ac:dyDescent="0.3">
      <c r="A733" t="str">
        <f t="shared" si="22"/>
        <v>HU</v>
      </c>
      <c r="B733" t="str">
        <f t="shared" si="23"/>
        <v>F</v>
      </c>
      <c r="C733" t="s">
        <v>730</v>
      </c>
      <c r="D733" s="2">
        <v>6.7531999999999996</v>
      </c>
      <c r="E733" s="2">
        <v>6.2579000000000002</v>
      </c>
      <c r="F733" s="2">
        <v>6.5613000000000001</v>
      </c>
      <c r="G733" s="2">
        <v>6.9625000000000004</v>
      </c>
    </row>
    <row r="734" spans="1:7" x14ac:dyDescent="0.3">
      <c r="A734" t="str">
        <f t="shared" si="22"/>
        <v>HU</v>
      </c>
      <c r="B734" t="str">
        <f t="shared" si="23"/>
        <v>F</v>
      </c>
      <c r="C734" t="s">
        <v>731</v>
      </c>
      <c r="D734" s="2">
        <v>0</v>
      </c>
      <c r="E734" s="2">
        <v>0</v>
      </c>
      <c r="F734" s="2">
        <v>0</v>
      </c>
      <c r="G734" s="2">
        <v>0</v>
      </c>
    </row>
    <row r="735" spans="1:7" x14ac:dyDescent="0.3">
      <c r="A735" t="str">
        <f t="shared" si="22"/>
        <v>HU</v>
      </c>
      <c r="B735" t="str">
        <f t="shared" si="23"/>
        <v>F</v>
      </c>
      <c r="C735" t="s">
        <v>732</v>
      </c>
      <c r="D735" s="2">
        <v>1.0123</v>
      </c>
      <c r="E735" s="2">
        <v>1.2781</v>
      </c>
      <c r="F735" s="2">
        <v>1.2757000000000001</v>
      </c>
      <c r="G735" s="2">
        <v>1.3654999999999999</v>
      </c>
    </row>
    <row r="736" spans="1:7" x14ac:dyDescent="0.3">
      <c r="A736" t="str">
        <f t="shared" si="22"/>
        <v>HU</v>
      </c>
      <c r="B736" t="str">
        <f t="shared" si="23"/>
        <v>F</v>
      </c>
      <c r="C736" t="s">
        <v>733</v>
      </c>
      <c r="D736" s="2">
        <v>2.3266</v>
      </c>
      <c r="E736" s="2">
        <v>2.5937000000000001</v>
      </c>
      <c r="F736" s="2">
        <v>2.5472000000000001</v>
      </c>
      <c r="G736" s="2">
        <v>2.6124999999999998</v>
      </c>
    </row>
    <row r="737" spans="1:7" x14ac:dyDescent="0.3">
      <c r="A737" t="str">
        <f t="shared" si="22"/>
        <v>HU</v>
      </c>
      <c r="B737" t="str">
        <f t="shared" si="23"/>
        <v>F</v>
      </c>
      <c r="C737" t="s">
        <v>734</v>
      </c>
      <c r="D737" s="2">
        <v>2.6861999999999999</v>
      </c>
      <c r="E737" s="2">
        <v>2.8492999999999999</v>
      </c>
      <c r="F737" s="2">
        <v>2.8637999999999999</v>
      </c>
      <c r="G737" s="2">
        <v>2.9666000000000001</v>
      </c>
    </row>
    <row r="738" spans="1:7" x14ac:dyDescent="0.3">
      <c r="A738" t="str">
        <f t="shared" si="22"/>
        <v>HU</v>
      </c>
      <c r="B738" t="str">
        <f t="shared" si="23"/>
        <v>F</v>
      </c>
      <c r="C738" t="s">
        <v>735</v>
      </c>
      <c r="D738" s="2">
        <v>0</v>
      </c>
      <c r="E738" s="2">
        <v>0</v>
      </c>
      <c r="F738" s="2">
        <v>0</v>
      </c>
      <c r="G738" s="2">
        <v>0</v>
      </c>
    </row>
    <row r="739" spans="1:7" x14ac:dyDescent="0.3">
      <c r="A739" t="str">
        <f t="shared" si="22"/>
        <v>HU</v>
      </c>
      <c r="B739" t="str">
        <f t="shared" si="23"/>
        <v>F</v>
      </c>
      <c r="C739" t="s">
        <v>736</v>
      </c>
      <c r="D739" s="2">
        <v>1.46E-2</v>
      </c>
      <c r="E739" s="2">
        <v>1.2999999999999999E-2</v>
      </c>
      <c r="F739" s="2">
        <v>1.38E-2</v>
      </c>
      <c r="G739" s="2">
        <v>1.5299999999999999E-2</v>
      </c>
    </row>
    <row r="740" spans="1:7" x14ac:dyDescent="0.3">
      <c r="A740" t="str">
        <f t="shared" si="22"/>
        <v>HU</v>
      </c>
      <c r="B740" t="str">
        <f t="shared" si="23"/>
        <v>F</v>
      </c>
      <c r="C740" t="s">
        <v>737</v>
      </c>
      <c r="D740" s="2">
        <v>0.43480000000000002</v>
      </c>
      <c r="E740" s="2">
        <v>0.34620000000000001</v>
      </c>
      <c r="F740" s="2">
        <v>0.51319999999999999</v>
      </c>
      <c r="G740" s="2">
        <v>0.58240000000000003</v>
      </c>
    </row>
    <row r="741" spans="1:7" x14ac:dyDescent="0.3">
      <c r="A741" t="str">
        <f t="shared" si="22"/>
        <v>HU</v>
      </c>
      <c r="B741" t="str">
        <f t="shared" si="23"/>
        <v>O</v>
      </c>
      <c r="C741" t="s">
        <v>738</v>
      </c>
      <c r="D741" s="2">
        <v>3.2738</v>
      </c>
      <c r="E741" s="2">
        <v>3.1063999999999998</v>
      </c>
      <c r="F741" s="2">
        <v>3.3176000000000001</v>
      </c>
      <c r="G741" s="2">
        <v>3.5101</v>
      </c>
    </row>
    <row r="742" spans="1:7" x14ac:dyDescent="0.3">
      <c r="A742" t="str">
        <f t="shared" si="22"/>
        <v>HU</v>
      </c>
      <c r="B742" t="str">
        <f t="shared" si="23"/>
        <v>O</v>
      </c>
      <c r="C742" t="s">
        <v>739</v>
      </c>
      <c r="D742" s="2">
        <v>2.1753999999999998</v>
      </c>
      <c r="E742" s="2">
        <v>1.9463999999999999</v>
      </c>
      <c r="F742" s="2">
        <v>1.6498999999999999</v>
      </c>
      <c r="G742" s="2">
        <v>1.1739999999999999</v>
      </c>
    </row>
    <row r="743" spans="1:7" x14ac:dyDescent="0.3">
      <c r="A743" t="str">
        <f t="shared" si="22"/>
        <v>HU</v>
      </c>
      <c r="B743" t="str">
        <f t="shared" si="23"/>
        <v>O</v>
      </c>
      <c r="C743" t="s">
        <v>740</v>
      </c>
      <c r="D743" s="2">
        <v>0</v>
      </c>
      <c r="E743" s="2">
        <v>0</v>
      </c>
      <c r="F743" s="2">
        <v>0</v>
      </c>
      <c r="G743" s="2">
        <v>0</v>
      </c>
    </row>
    <row r="744" spans="1:7" x14ac:dyDescent="0.3">
      <c r="A744" t="str">
        <f t="shared" si="22"/>
        <v>HU</v>
      </c>
      <c r="B744" t="str">
        <f t="shared" si="23"/>
        <v>O</v>
      </c>
      <c r="C744" t="s">
        <v>741</v>
      </c>
      <c r="D744" s="2">
        <v>9.1709999999999994</v>
      </c>
      <c r="E744" s="2">
        <v>8.8485999999999994</v>
      </c>
      <c r="F744" s="2">
        <v>8.4474</v>
      </c>
      <c r="G744" s="2">
        <v>9.2688000000000006</v>
      </c>
    </row>
    <row r="745" spans="1:7" x14ac:dyDescent="0.3">
      <c r="A745" t="str">
        <f t="shared" si="22"/>
        <v>HU</v>
      </c>
      <c r="B745" t="str">
        <f t="shared" si="23"/>
        <v>O</v>
      </c>
      <c r="C745" t="s">
        <v>742</v>
      </c>
      <c r="D745" s="2">
        <v>0</v>
      </c>
      <c r="E745" s="2">
        <v>0</v>
      </c>
      <c r="F745" s="2">
        <v>0</v>
      </c>
      <c r="G745" s="2">
        <v>0</v>
      </c>
    </row>
    <row r="746" spans="1:7" x14ac:dyDescent="0.3">
      <c r="A746" t="str">
        <f t="shared" si="22"/>
        <v>HU</v>
      </c>
      <c r="B746" t="str">
        <f t="shared" si="23"/>
        <v>O</v>
      </c>
      <c r="C746" t="s">
        <v>743</v>
      </c>
      <c r="D746" s="2">
        <v>2.2757000000000001</v>
      </c>
      <c r="E746" s="2">
        <v>2.6413000000000002</v>
      </c>
      <c r="F746" s="2">
        <v>2.9053</v>
      </c>
      <c r="G746" s="2">
        <v>3.5053000000000001</v>
      </c>
    </row>
    <row r="747" spans="1:7" x14ac:dyDescent="0.3">
      <c r="A747" t="str">
        <f t="shared" si="22"/>
        <v>HU</v>
      </c>
      <c r="B747" t="str">
        <f t="shared" si="23"/>
        <v>O</v>
      </c>
      <c r="C747" t="s">
        <v>744</v>
      </c>
      <c r="D747" s="2">
        <v>5.6506999999999996</v>
      </c>
      <c r="E747" s="2">
        <v>5.6375999999999999</v>
      </c>
      <c r="F747" s="2">
        <v>5.1639999999999997</v>
      </c>
      <c r="G747" s="2">
        <v>5.4255000000000004</v>
      </c>
    </row>
    <row r="748" spans="1:7" x14ac:dyDescent="0.3">
      <c r="A748" t="str">
        <f t="shared" si="22"/>
        <v>HU</v>
      </c>
      <c r="B748" t="str">
        <f t="shared" si="23"/>
        <v>O</v>
      </c>
      <c r="C748" t="s">
        <v>745</v>
      </c>
      <c r="D748" s="2">
        <v>7.8478000000000003</v>
      </c>
      <c r="E748" s="2">
        <v>8.1054999999999993</v>
      </c>
      <c r="F748" s="2">
        <v>7.7481</v>
      </c>
      <c r="G748" s="2">
        <v>8.4657999999999998</v>
      </c>
    </row>
    <row r="749" spans="1:7" x14ac:dyDescent="0.3">
      <c r="A749" t="str">
        <f t="shared" si="22"/>
        <v>HU</v>
      </c>
      <c r="B749" t="str">
        <f t="shared" si="23"/>
        <v>O</v>
      </c>
      <c r="C749" t="s">
        <v>746</v>
      </c>
      <c r="D749" s="2">
        <v>0</v>
      </c>
      <c r="E749" s="2">
        <v>0</v>
      </c>
      <c r="F749" s="2">
        <v>0</v>
      </c>
      <c r="G749" s="2">
        <v>0</v>
      </c>
    </row>
    <row r="750" spans="1:7" x14ac:dyDescent="0.3">
      <c r="A750" t="str">
        <f t="shared" si="22"/>
        <v>HU</v>
      </c>
      <c r="B750" t="str">
        <f t="shared" si="23"/>
        <v>O</v>
      </c>
      <c r="C750" t="s">
        <v>747</v>
      </c>
      <c r="D750" s="2">
        <v>2.2700000000000001E-2</v>
      </c>
      <c r="E750" s="2">
        <v>2.06E-2</v>
      </c>
      <c r="F750" s="2">
        <v>2.6499999999999999E-2</v>
      </c>
      <c r="G750" s="2">
        <v>3.44E-2</v>
      </c>
    </row>
    <row r="751" spans="1:7" x14ac:dyDescent="0.3">
      <c r="A751" t="str">
        <f t="shared" si="22"/>
        <v>HU</v>
      </c>
      <c r="B751" t="str">
        <f t="shared" si="23"/>
        <v>O</v>
      </c>
      <c r="C751" t="s">
        <v>748</v>
      </c>
      <c r="D751" s="2">
        <v>2.3704999999999998</v>
      </c>
      <c r="E751" s="2">
        <v>2.3035000000000001</v>
      </c>
      <c r="F751" s="2">
        <v>2.2481</v>
      </c>
      <c r="G751" s="2">
        <v>2.3618999999999999</v>
      </c>
    </row>
    <row r="752" spans="1:7" x14ac:dyDescent="0.3">
      <c r="A752" t="str">
        <f t="shared" si="22"/>
        <v>IE</v>
      </c>
      <c r="B752" t="str">
        <f t="shared" si="23"/>
        <v>M</v>
      </c>
      <c r="C752" t="s">
        <v>749</v>
      </c>
      <c r="D752" s="2">
        <v>0.1111</v>
      </c>
      <c r="E752" s="2">
        <v>0.11700000000000001</v>
      </c>
      <c r="F752" s="2">
        <v>0.18440000000000001</v>
      </c>
      <c r="G752" s="2">
        <v>7.4700000000000003E-2</v>
      </c>
    </row>
    <row r="753" spans="1:7" x14ac:dyDescent="0.3">
      <c r="A753" t="str">
        <f t="shared" si="22"/>
        <v>IE</v>
      </c>
      <c r="B753" t="str">
        <f t="shared" si="23"/>
        <v>M</v>
      </c>
      <c r="C753" t="s">
        <v>750</v>
      </c>
      <c r="D753" s="2">
        <v>0</v>
      </c>
      <c r="E753" s="2">
        <v>0</v>
      </c>
      <c r="F753" s="2">
        <v>0</v>
      </c>
      <c r="G753" s="2">
        <v>0</v>
      </c>
    </row>
    <row r="754" spans="1:7" x14ac:dyDescent="0.3">
      <c r="A754" t="str">
        <f t="shared" si="22"/>
        <v>IE</v>
      </c>
      <c r="B754" t="str">
        <f t="shared" si="23"/>
        <v>M</v>
      </c>
      <c r="C754" t="s">
        <v>751</v>
      </c>
      <c r="D754" s="2">
        <v>0</v>
      </c>
      <c r="E754" s="2">
        <v>0</v>
      </c>
      <c r="F754" s="2">
        <v>0</v>
      </c>
      <c r="G754" s="2">
        <v>0</v>
      </c>
    </row>
    <row r="755" spans="1:7" x14ac:dyDescent="0.3">
      <c r="A755" t="str">
        <f t="shared" si="22"/>
        <v>IE</v>
      </c>
      <c r="B755" t="str">
        <f t="shared" si="23"/>
        <v>M</v>
      </c>
      <c r="C755" t="s">
        <v>752</v>
      </c>
      <c r="D755" s="2">
        <v>7.9283999999999999</v>
      </c>
      <c r="E755" s="2">
        <v>8.3134999999999994</v>
      </c>
      <c r="F755" s="2">
        <v>7.8041</v>
      </c>
      <c r="G755" s="2">
        <v>8.1700999999999997</v>
      </c>
    </row>
    <row r="756" spans="1:7" x14ac:dyDescent="0.3">
      <c r="A756" t="str">
        <f t="shared" si="22"/>
        <v>IE</v>
      </c>
      <c r="B756" t="str">
        <f t="shared" si="23"/>
        <v>M</v>
      </c>
      <c r="C756" t="s">
        <v>753</v>
      </c>
      <c r="D756" s="2">
        <v>0</v>
      </c>
      <c r="E756" s="2">
        <v>0</v>
      </c>
      <c r="F756" s="2">
        <v>0</v>
      </c>
      <c r="G756" s="2">
        <v>0</v>
      </c>
    </row>
    <row r="757" spans="1:7" x14ac:dyDescent="0.3">
      <c r="A757" t="str">
        <f t="shared" si="22"/>
        <v>IE</v>
      </c>
      <c r="B757" t="str">
        <f t="shared" si="23"/>
        <v>M</v>
      </c>
      <c r="C757" t="s">
        <v>754</v>
      </c>
      <c r="D757" s="2">
        <v>0</v>
      </c>
      <c r="E757" s="2">
        <v>0</v>
      </c>
      <c r="F757" s="2">
        <v>0</v>
      </c>
      <c r="G757" s="2">
        <v>0</v>
      </c>
    </row>
    <row r="758" spans="1:7" x14ac:dyDescent="0.3">
      <c r="A758" t="str">
        <f t="shared" si="22"/>
        <v>IE</v>
      </c>
      <c r="B758" t="str">
        <f t="shared" si="23"/>
        <v>M</v>
      </c>
      <c r="C758" t="s">
        <v>755</v>
      </c>
      <c r="D758" s="2">
        <v>1.2012</v>
      </c>
      <c r="E758" s="2">
        <v>1.0714999999999999</v>
      </c>
      <c r="F758" s="2">
        <v>1.2707999999999999</v>
      </c>
      <c r="G758" s="2">
        <v>1.08</v>
      </c>
    </row>
    <row r="759" spans="1:7" x14ac:dyDescent="0.3">
      <c r="A759" t="str">
        <f t="shared" si="22"/>
        <v>IE</v>
      </c>
      <c r="B759" t="str">
        <f t="shared" si="23"/>
        <v>M</v>
      </c>
      <c r="C759" t="s">
        <v>756</v>
      </c>
      <c r="D759" s="2">
        <v>0.28000000000000003</v>
      </c>
      <c r="E759" s="2">
        <v>0.2888</v>
      </c>
      <c r="F759" s="2">
        <v>0.28029999999999999</v>
      </c>
      <c r="G759" s="2">
        <v>0.28299999999999997</v>
      </c>
    </row>
    <row r="760" spans="1:7" x14ac:dyDescent="0.3">
      <c r="A760" t="str">
        <f t="shared" si="22"/>
        <v>IE</v>
      </c>
      <c r="B760" t="str">
        <f t="shared" si="23"/>
        <v>M</v>
      </c>
      <c r="C760" t="s">
        <v>757</v>
      </c>
      <c r="D760" s="2">
        <v>0</v>
      </c>
      <c r="E760" s="2">
        <v>0</v>
      </c>
      <c r="F760" s="2">
        <v>0</v>
      </c>
      <c r="G760" s="2">
        <v>0</v>
      </c>
    </row>
    <row r="761" spans="1:7" x14ac:dyDescent="0.3">
      <c r="A761" t="str">
        <f t="shared" si="22"/>
        <v>IE</v>
      </c>
      <c r="B761" t="str">
        <f t="shared" si="23"/>
        <v>M</v>
      </c>
      <c r="C761" t="s">
        <v>758</v>
      </c>
      <c r="D761" s="2">
        <v>0</v>
      </c>
      <c r="E761" s="2">
        <v>0</v>
      </c>
      <c r="F761" s="2">
        <v>0</v>
      </c>
      <c r="G761" s="2">
        <v>0</v>
      </c>
    </row>
    <row r="762" spans="1:7" x14ac:dyDescent="0.3">
      <c r="A762" t="str">
        <f t="shared" si="22"/>
        <v>IE</v>
      </c>
      <c r="B762" t="str">
        <f t="shared" si="23"/>
        <v>M</v>
      </c>
      <c r="C762" t="s">
        <v>759</v>
      </c>
      <c r="D762" s="2">
        <v>0</v>
      </c>
      <c r="E762" s="2">
        <v>0</v>
      </c>
      <c r="F762" s="2">
        <v>0</v>
      </c>
      <c r="G762" s="2">
        <v>0</v>
      </c>
    </row>
    <row r="763" spans="1:7" x14ac:dyDescent="0.3">
      <c r="A763" t="str">
        <f t="shared" si="22"/>
        <v>IE</v>
      </c>
      <c r="B763" t="str">
        <f t="shared" si="23"/>
        <v>C</v>
      </c>
      <c r="C763" t="s">
        <v>760</v>
      </c>
      <c r="D763" s="2">
        <v>0.57730000000000004</v>
      </c>
      <c r="E763" s="2">
        <v>0.51949999999999996</v>
      </c>
      <c r="F763" s="2">
        <v>0.44269999999999998</v>
      </c>
      <c r="G763" s="2">
        <v>0.39929999999999999</v>
      </c>
    </row>
    <row r="764" spans="1:7" x14ac:dyDescent="0.3">
      <c r="A764" t="str">
        <f t="shared" si="22"/>
        <v>IE</v>
      </c>
      <c r="B764" t="str">
        <f t="shared" si="23"/>
        <v>C</v>
      </c>
      <c r="C764" t="s">
        <v>761</v>
      </c>
      <c r="D764" s="2">
        <v>0</v>
      </c>
      <c r="E764" s="2">
        <v>0</v>
      </c>
      <c r="F764" s="2">
        <v>0</v>
      </c>
      <c r="G764" s="2">
        <v>0</v>
      </c>
    </row>
    <row r="765" spans="1:7" x14ac:dyDescent="0.3">
      <c r="A765" t="str">
        <f t="shared" si="22"/>
        <v>IE</v>
      </c>
      <c r="B765" t="str">
        <f t="shared" si="23"/>
        <v>C</v>
      </c>
      <c r="C765" t="s">
        <v>762</v>
      </c>
      <c r="D765" s="2">
        <v>0</v>
      </c>
      <c r="E765" s="2">
        <v>0</v>
      </c>
      <c r="F765" s="2">
        <v>0</v>
      </c>
      <c r="G765" s="2">
        <v>0</v>
      </c>
    </row>
    <row r="766" spans="1:7" x14ac:dyDescent="0.3">
      <c r="A766" t="str">
        <f t="shared" si="22"/>
        <v>IE</v>
      </c>
      <c r="B766" t="str">
        <f t="shared" si="23"/>
        <v>C</v>
      </c>
      <c r="C766" t="s">
        <v>763</v>
      </c>
      <c r="D766" s="2">
        <v>3.6760999999999999</v>
      </c>
      <c r="E766" s="2">
        <v>3.7155</v>
      </c>
      <c r="F766" s="2">
        <v>3.8677999999999999</v>
      </c>
      <c r="G766" s="2">
        <v>3.5910000000000002</v>
      </c>
    </row>
    <row r="767" spans="1:7" x14ac:dyDescent="0.3">
      <c r="A767" t="str">
        <f t="shared" si="22"/>
        <v>IE</v>
      </c>
      <c r="B767" t="str">
        <f t="shared" si="23"/>
        <v>C</v>
      </c>
      <c r="C767" t="s">
        <v>764</v>
      </c>
      <c r="D767" s="2">
        <v>0</v>
      </c>
      <c r="E767" s="2">
        <v>0</v>
      </c>
      <c r="F767" s="2">
        <v>0</v>
      </c>
      <c r="G767" s="2">
        <v>0</v>
      </c>
    </row>
    <row r="768" spans="1:7" x14ac:dyDescent="0.3">
      <c r="A768" t="str">
        <f t="shared" si="22"/>
        <v>IE</v>
      </c>
      <c r="B768" t="str">
        <f t="shared" si="23"/>
        <v>C</v>
      </c>
      <c r="C768" t="s">
        <v>765</v>
      </c>
      <c r="D768" s="2">
        <v>0</v>
      </c>
      <c r="E768" s="2">
        <v>0</v>
      </c>
      <c r="F768" s="2">
        <v>0</v>
      </c>
      <c r="G768" s="2">
        <v>0</v>
      </c>
    </row>
    <row r="769" spans="1:7" x14ac:dyDescent="0.3">
      <c r="A769" t="str">
        <f t="shared" si="22"/>
        <v>IE</v>
      </c>
      <c r="B769" t="str">
        <f t="shared" si="23"/>
        <v>C</v>
      </c>
      <c r="C769" t="s">
        <v>766</v>
      </c>
      <c r="D769" s="2">
        <v>0.2243</v>
      </c>
      <c r="E769" s="2">
        <v>0.31740000000000002</v>
      </c>
      <c r="F769" s="2">
        <v>0.36759999999999998</v>
      </c>
      <c r="G769" s="2">
        <v>0.38669999999999999</v>
      </c>
    </row>
    <row r="770" spans="1:7" x14ac:dyDescent="0.3">
      <c r="A770" t="str">
        <f t="shared" si="22"/>
        <v>IE</v>
      </c>
      <c r="B770" t="str">
        <f t="shared" si="23"/>
        <v>C</v>
      </c>
      <c r="C770" t="s">
        <v>767</v>
      </c>
      <c r="D770" s="2">
        <v>1.6331</v>
      </c>
      <c r="E770" s="2">
        <v>1.8028</v>
      </c>
      <c r="F770" s="2">
        <v>1.8451</v>
      </c>
      <c r="G770" s="2">
        <v>1.7939000000000001</v>
      </c>
    </row>
    <row r="771" spans="1:7" x14ac:dyDescent="0.3">
      <c r="A771" t="str">
        <f t="shared" si="22"/>
        <v>IE</v>
      </c>
      <c r="B771" t="str">
        <f t="shared" si="23"/>
        <v>C</v>
      </c>
      <c r="C771" t="s">
        <v>768</v>
      </c>
      <c r="D771" s="2">
        <v>0</v>
      </c>
      <c r="E771" s="2">
        <v>0</v>
      </c>
      <c r="F771" s="2">
        <v>0</v>
      </c>
      <c r="G771" s="2">
        <v>0</v>
      </c>
    </row>
    <row r="772" spans="1:7" x14ac:dyDescent="0.3">
      <c r="A772" t="str">
        <f t="shared" si="22"/>
        <v>IE</v>
      </c>
      <c r="B772" t="str">
        <f t="shared" si="23"/>
        <v>C</v>
      </c>
      <c r="C772" t="s">
        <v>769</v>
      </c>
      <c r="D772" s="2">
        <v>0</v>
      </c>
      <c r="E772" s="2">
        <v>0</v>
      </c>
      <c r="F772" s="2">
        <v>0</v>
      </c>
      <c r="G772" s="2">
        <v>0</v>
      </c>
    </row>
    <row r="773" spans="1:7" x14ac:dyDescent="0.3">
      <c r="A773" t="str">
        <f t="shared" ref="A773:A836" si="24">LEFT(C773,2)</f>
        <v>IE</v>
      </c>
      <c r="B773" t="str">
        <f t="shared" ref="B773:B836" si="25">RIGHT(C773,1)</f>
        <v>C</v>
      </c>
      <c r="C773" t="s">
        <v>770</v>
      </c>
      <c r="D773" s="2">
        <v>0</v>
      </c>
      <c r="E773" s="2">
        <v>0</v>
      </c>
      <c r="F773" s="2">
        <v>0</v>
      </c>
      <c r="G773" s="2">
        <v>0</v>
      </c>
    </row>
    <row r="774" spans="1:7" x14ac:dyDescent="0.3">
      <c r="A774" t="str">
        <f t="shared" si="24"/>
        <v>IE</v>
      </c>
      <c r="B774" t="str">
        <f t="shared" si="25"/>
        <v>N</v>
      </c>
      <c r="C774" t="s">
        <v>771</v>
      </c>
      <c r="D774" s="2">
        <v>3.7629999999999999</v>
      </c>
      <c r="E774" s="2">
        <v>3.7610000000000001</v>
      </c>
      <c r="F774" s="2">
        <v>3.4882</v>
      </c>
      <c r="G774" s="2">
        <v>4.0117000000000003</v>
      </c>
    </row>
    <row r="775" spans="1:7" x14ac:dyDescent="0.3">
      <c r="A775" t="str">
        <f t="shared" si="24"/>
        <v>IE</v>
      </c>
      <c r="B775" t="str">
        <f t="shared" si="25"/>
        <v>N</v>
      </c>
      <c r="C775" t="s">
        <v>772</v>
      </c>
      <c r="D775" s="2">
        <v>1.8895999999999999</v>
      </c>
      <c r="E775" s="2">
        <v>1.7506999999999999</v>
      </c>
      <c r="F775" s="2">
        <v>1.6822999999999999</v>
      </c>
      <c r="G775" s="2">
        <v>1.9885999999999999</v>
      </c>
    </row>
    <row r="776" spans="1:7" x14ac:dyDescent="0.3">
      <c r="A776" t="str">
        <f t="shared" si="24"/>
        <v>IE</v>
      </c>
      <c r="B776" t="str">
        <f t="shared" si="25"/>
        <v>N</v>
      </c>
      <c r="C776" t="s">
        <v>773</v>
      </c>
      <c r="D776" s="2">
        <v>0</v>
      </c>
      <c r="E776" s="2">
        <v>0</v>
      </c>
      <c r="F776" s="2">
        <v>0</v>
      </c>
      <c r="G776" s="2">
        <v>0</v>
      </c>
    </row>
    <row r="777" spans="1:7" x14ac:dyDescent="0.3">
      <c r="A777" t="str">
        <f t="shared" si="24"/>
        <v>IE</v>
      </c>
      <c r="B777" t="str">
        <f t="shared" si="25"/>
        <v>N</v>
      </c>
      <c r="C777" t="s">
        <v>774</v>
      </c>
      <c r="D777" s="2">
        <v>0.59260000000000002</v>
      </c>
      <c r="E777" s="2">
        <v>0.60909999999999997</v>
      </c>
      <c r="F777" s="2">
        <v>0.62090000000000001</v>
      </c>
      <c r="G777" s="2">
        <v>0.80869999999999997</v>
      </c>
    </row>
    <row r="778" spans="1:7" x14ac:dyDescent="0.3">
      <c r="A778" t="str">
        <f t="shared" si="24"/>
        <v>IE</v>
      </c>
      <c r="B778" t="str">
        <f t="shared" si="25"/>
        <v>N</v>
      </c>
      <c r="C778" t="s">
        <v>775</v>
      </c>
      <c r="D778" s="2">
        <v>0</v>
      </c>
      <c r="E778" s="2">
        <v>0</v>
      </c>
      <c r="F778" s="2">
        <v>0</v>
      </c>
      <c r="G778" s="2">
        <v>0</v>
      </c>
    </row>
    <row r="779" spans="1:7" x14ac:dyDescent="0.3">
      <c r="A779" t="str">
        <f t="shared" si="24"/>
        <v>IE</v>
      </c>
      <c r="B779" t="str">
        <f t="shared" si="25"/>
        <v>N</v>
      </c>
      <c r="C779" t="s">
        <v>776</v>
      </c>
      <c r="D779" s="2">
        <v>2.3454000000000002</v>
      </c>
      <c r="E779" s="2">
        <v>2.3771</v>
      </c>
      <c r="F779" s="2">
        <v>2.3752</v>
      </c>
      <c r="G779" s="2">
        <v>2.5163000000000002</v>
      </c>
    </row>
    <row r="780" spans="1:7" x14ac:dyDescent="0.3">
      <c r="A780" t="str">
        <f t="shared" si="24"/>
        <v>IE</v>
      </c>
      <c r="B780" t="str">
        <f t="shared" si="25"/>
        <v>N</v>
      </c>
      <c r="C780" t="s">
        <v>777</v>
      </c>
      <c r="D780" s="2">
        <v>0.62480000000000002</v>
      </c>
      <c r="E780" s="2">
        <v>0.55820000000000003</v>
      </c>
      <c r="F780" s="2">
        <v>0.48970000000000002</v>
      </c>
      <c r="G780" s="2">
        <v>0.60370000000000001</v>
      </c>
    </row>
    <row r="781" spans="1:7" x14ac:dyDescent="0.3">
      <c r="A781" t="str">
        <f t="shared" si="24"/>
        <v>IE</v>
      </c>
      <c r="B781" t="str">
        <f t="shared" si="25"/>
        <v>N</v>
      </c>
      <c r="C781" t="s">
        <v>778</v>
      </c>
      <c r="D781" s="2">
        <v>1.2451000000000001</v>
      </c>
      <c r="E781" s="2">
        <v>1.2785</v>
      </c>
      <c r="F781" s="2">
        <v>1.1497999999999999</v>
      </c>
      <c r="G781" s="2">
        <v>1.2441</v>
      </c>
    </row>
    <row r="782" spans="1:7" x14ac:dyDescent="0.3">
      <c r="A782" t="str">
        <f t="shared" si="24"/>
        <v>IE</v>
      </c>
      <c r="B782" t="str">
        <f t="shared" si="25"/>
        <v>N</v>
      </c>
      <c r="C782" t="s">
        <v>779</v>
      </c>
      <c r="D782" s="2">
        <v>0</v>
      </c>
      <c r="E782" s="2">
        <v>0</v>
      </c>
      <c r="F782" s="2">
        <v>0</v>
      </c>
      <c r="G782" s="2">
        <v>0</v>
      </c>
    </row>
    <row r="783" spans="1:7" x14ac:dyDescent="0.3">
      <c r="A783" t="str">
        <f t="shared" si="24"/>
        <v>IE</v>
      </c>
      <c r="B783" t="str">
        <f t="shared" si="25"/>
        <v>N</v>
      </c>
      <c r="C783" t="s">
        <v>780</v>
      </c>
      <c r="D783" s="2">
        <v>0</v>
      </c>
      <c r="E783" s="2">
        <v>0</v>
      </c>
      <c r="F783" s="2">
        <v>0</v>
      </c>
      <c r="G783" s="2">
        <v>0</v>
      </c>
    </row>
    <row r="784" spans="1:7" x14ac:dyDescent="0.3">
      <c r="A784" t="str">
        <f t="shared" si="24"/>
        <v>IE</v>
      </c>
      <c r="B784" t="str">
        <f t="shared" si="25"/>
        <v>N</v>
      </c>
      <c r="C784" t="s">
        <v>781</v>
      </c>
      <c r="D784" s="2">
        <v>0</v>
      </c>
      <c r="E784" s="2">
        <v>0</v>
      </c>
      <c r="F784" s="2">
        <v>0</v>
      </c>
      <c r="G784" s="2">
        <v>0</v>
      </c>
    </row>
    <row r="785" spans="1:7" x14ac:dyDescent="0.3">
      <c r="A785" t="str">
        <f t="shared" si="24"/>
        <v>IE</v>
      </c>
      <c r="B785" t="str">
        <f t="shared" si="25"/>
        <v>F</v>
      </c>
      <c r="C785" t="s">
        <v>782</v>
      </c>
      <c r="D785" s="2">
        <v>1.2371000000000001</v>
      </c>
      <c r="E785" s="2">
        <v>1.2381</v>
      </c>
      <c r="F785" s="2">
        <v>1.2477</v>
      </c>
      <c r="G785" s="2">
        <v>1.2589999999999999</v>
      </c>
    </row>
    <row r="786" spans="1:7" x14ac:dyDescent="0.3">
      <c r="A786" t="str">
        <f t="shared" si="24"/>
        <v>IE</v>
      </c>
      <c r="B786" t="str">
        <f t="shared" si="25"/>
        <v>F</v>
      </c>
      <c r="C786" t="s">
        <v>783</v>
      </c>
      <c r="D786" s="2">
        <v>0.31169999999999998</v>
      </c>
      <c r="E786" s="2">
        <v>0</v>
      </c>
      <c r="F786" s="2">
        <v>0</v>
      </c>
      <c r="G786" s="2">
        <v>0</v>
      </c>
    </row>
    <row r="787" spans="1:7" x14ac:dyDescent="0.3">
      <c r="A787" t="str">
        <f t="shared" si="24"/>
        <v>IE</v>
      </c>
      <c r="B787" t="str">
        <f t="shared" si="25"/>
        <v>F</v>
      </c>
      <c r="C787" t="s">
        <v>784</v>
      </c>
      <c r="D787" s="2">
        <v>0</v>
      </c>
      <c r="E787" s="2">
        <v>0</v>
      </c>
      <c r="F787" s="2">
        <v>0</v>
      </c>
      <c r="G787" s="2">
        <v>0</v>
      </c>
    </row>
    <row r="788" spans="1:7" x14ac:dyDescent="0.3">
      <c r="A788" t="str">
        <f t="shared" si="24"/>
        <v>IE</v>
      </c>
      <c r="B788" t="str">
        <f t="shared" si="25"/>
        <v>F</v>
      </c>
      <c r="C788" t="s">
        <v>785</v>
      </c>
      <c r="D788" s="2">
        <v>5.6218000000000004</v>
      </c>
      <c r="E788" s="2">
        <v>5.6623000000000001</v>
      </c>
      <c r="F788" s="2">
        <v>5.7991999999999999</v>
      </c>
      <c r="G788" s="2">
        <v>6.2149000000000001</v>
      </c>
    </row>
    <row r="789" spans="1:7" x14ac:dyDescent="0.3">
      <c r="A789" t="str">
        <f t="shared" si="24"/>
        <v>IE</v>
      </c>
      <c r="B789" t="str">
        <f t="shared" si="25"/>
        <v>F</v>
      </c>
      <c r="C789" t="s">
        <v>786</v>
      </c>
      <c r="D789" s="2">
        <v>0</v>
      </c>
      <c r="E789" s="2">
        <v>0</v>
      </c>
      <c r="F789" s="2">
        <v>0</v>
      </c>
      <c r="G789" s="2">
        <v>0</v>
      </c>
    </row>
    <row r="790" spans="1:7" x14ac:dyDescent="0.3">
      <c r="A790" t="str">
        <f t="shared" si="24"/>
        <v>IE</v>
      </c>
      <c r="B790" t="str">
        <f t="shared" si="25"/>
        <v>F</v>
      </c>
      <c r="C790" t="s">
        <v>787</v>
      </c>
      <c r="D790" s="2">
        <v>0.40970000000000001</v>
      </c>
      <c r="E790" s="2">
        <v>0.40079999999999999</v>
      </c>
      <c r="F790" s="2">
        <v>0.56669999999999998</v>
      </c>
      <c r="G790" s="2">
        <v>7.2999999999999995E-2</v>
      </c>
    </row>
    <row r="791" spans="1:7" x14ac:dyDescent="0.3">
      <c r="A791" t="str">
        <f t="shared" si="24"/>
        <v>IE</v>
      </c>
      <c r="B791" t="str">
        <f t="shared" si="25"/>
        <v>F</v>
      </c>
      <c r="C791" t="s">
        <v>788</v>
      </c>
      <c r="D791" s="2">
        <v>0.94240000000000002</v>
      </c>
      <c r="E791" s="2">
        <v>0.90110000000000001</v>
      </c>
      <c r="F791" s="2">
        <v>0.90859999999999996</v>
      </c>
      <c r="G791" s="2">
        <v>0.99780000000000002</v>
      </c>
    </row>
    <row r="792" spans="1:7" x14ac:dyDescent="0.3">
      <c r="A792" t="str">
        <f t="shared" si="24"/>
        <v>IE</v>
      </c>
      <c r="B792" t="str">
        <f t="shared" si="25"/>
        <v>F</v>
      </c>
      <c r="C792" t="s">
        <v>789</v>
      </c>
      <c r="D792" s="2">
        <v>1.3912</v>
      </c>
      <c r="E792" s="2">
        <v>1.3313999999999999</v>
      </c>
      <c r="F792" s="2">
        <v>1.3506</v>
      </c>
      <c r="G792" s="2">
        <v>1.4575</v>
      </c>
    </row>
    <row r="793" spans="1:7" x14ac:dyDescent="0.3">
      <c r="A793" t="str">
        <f t="shared" si="24"/>
        <v>IE</v>
      </c>
      <c r="B793" t="str">
        <f t="shared" si="25"/>
        <v>F</v>
      </c>
      <c r="C793" t="s">
        <v>790</v>
      </c>
      <c r="D793" s="2">
        <v>0</v>
      </c>
      <c r="E793" s="2">
        <v>0</v>
      </c>
      <c r="F793" s="2">
        <v>0</v>
      </c>
      <c r="G793" s="2">
        <v>0</v>
      </c>
    </row>
    <row r="794" spans="1:7" x14ac:dyDescent="0.3">
      <c r="A794" t="str">
        <f t="shared" si="24"/>
        <v>IE</v>
      </c>
      <c r="B794" t="str">
        <f t="shared" si="25"/>
        <v>F</v>
      </c>
      <c r="C794" t="s">
        <v>791</v>
      </c>
      <c r="D794" s="2">
        <v>0</v>
      </c>
      <c r="E794" s="2">
        <v>0</v>
      </c>
      <c r="F794" s="2">
        <v>0</v>
      </c>
      <c r="G794" s="2">
        <v>0</v>
      </c>
    </row>
    <row r="795" spans="1:7" x14ac:dyDescent="0.3">
      <c r="A795" t="str">
        <f t="shared" si="24"/>
        <v>IE</v>
      </c>
      <c r="B795" t="str">
        <f t="shared" si="25"/>
        <v>F</v>
      </c>
      <c r="C795" t="s">
        <v>792</v>
      </c>
      <c r="D795" s="2">
        <v>0</v>
      </c>
      <c r="E795" s="2">
        <v>0</v>
      </c>
      <c r="F795" s="2">
        <v>0</v>
      </c>
      <c r="G795" s="2">
        <v>0</v>
      </c>
    </row>
    <row r="796" spans="1:7" x14ac:dyDescent="0.3">
      <c r="A796" t="str">
        <f t="shared" si="24"/>
        <v>IE</v>
      </c>
      <c r="B796" t="str">
        <f t="shared" si="25"/>
        <v>O</v>
      </c>
      <c r="C796" t="s">
        <v>793</v>
      </c>
      <c r="D796" s="2">
        <v>1.2432000000000001</v>
      </c>
      <c r="E796" s="2">
        <v>1.2465999999999999</v>
      </c>
      <c r="F796" s="2">
        <v>1.4123000000000001</v>
      </c>
      <c r="G796" s="2">
        <v>1.2736000000000001</v>
      </c>
    </row>
    <row r="797" spans="1:7" x14ac:dyDescent="0.3">
      <c r="A797" t="str">
        <f t="shared" si="24"/>
        <v>IE</v>
      </c>
      <c r="B797" t="str">
        <f t="shared" si="25"/>
        <v>O</v>
      </c>
      <c r="C797" t="s">
        <v>794</v>
      </c>
      <c r="D797" s="2">
        <v>0</v>
      </c>
      <c r="E797" s="2">
        <v>0</v>
      </c>
      <c r="F797" s="2">
        <v>0</v>
      </c>
      <c r="G797" s="2">
        <v>0</v>
      </c>
    </row>
    <row r="798" spans="1:7" x14ac:dyDescent="0.3">
      <c r="A798" t="str">
        <f t="shared" si="24"/>
        <v>IE</v>
      </c>
      <c r="B798" t="str">
        <f t="shared" si="25"/>
        <v>O</v>
      </c>
      <c r="C798" t="s">
        <v>795</v>
      </c>
      <c r="D798" s="2">
        <v>0</v>
      </c>
      <c r="E798" s="2">
        <v>0</v>
      </c>
      <c r="F798" s="2">
        <v>0</v>
      </c>
      <c r="G798" s="2">
        <v>0</v>
      </c>
    </row>
    <row r="799" spans="1:7" x14ac:dyDescent="0.3">
      <c r="A799" t="str">
        <f t="shared" si="24"/>
        <v>IE</v>
      </c>
      <c r="B799" t="str">
        <f t="shared" si="25"/>
        <v>O</v>
      </c>
      <c r="C799" t="s">
        <v>796</v>
      </c>
      <c r="D799" s="2">
        <v>1.8672</v>
      </c>
      <c r="E799" s="2">
        <v>1.9016999999999999</v>
      </c>
      <c r="F799" s="2">
        <v>1.9057999999999999</v>
      </c>
      <c r="G799" s="2">
        <v>2.4632000000000001</v>
      </c>
    </row>
    <row r="800" spans="1:7" x14ac:dyDescent="0.3">
      <c r="A800" t="str">
        <f t="shared" si="24"/>
        <v>IE</v>
      </c>
      <c r="B800" t="str">
        <f t="shared" si="25"/>
        <v>O</v>
      </c>
      <c r="C800" t="s">
        <v>797</v>
      </c>
      <c r="D800" s="2">
        <v>0</v>
      </c>
      <c r="E800" s="2">
        <v>0</v>
      </c>
      <c r="F800" s="2">
        <v>0</v>
      </c>
      <c r="G800" s="2">
        <v>0</v>
      </c>
    </row>
    <row r="801" spans="1:7" x14ac:dyDescent="0.3">
      <c r="A801" t="str">
        <f t="shared" si="24"/>
        <v>IE</v>
      </c>
      <c r="B801" t="str">
        <f t="shared" si="25"/>
        <v>O</v>
      </c>
      <c r="C801" t="s">
        <v>798</v>
      </c>
      <c r="D801" s="2">
        <v>2.2302</v>
      </c>
      <c r="E801" s="2">
        <v>2.1179999999999999</v>
      </c>
      <c r="F801" s="2">
        <v>1.8136000000000001</v>
      </c>
      <c r="G801" s="2">
        <v>2.0627</v>
      </c>
    </row>
    <row r="802" spans="1:7" x14ac:dyDescent="0.3">
      <c r="A802" t="str">
        <f t="shared" si="24"/>
        <v>IE</v>
      </c>
      <c r="B802" t="str">
        <f t="shared" si="25"/>
        <v>O</v>
      </c>
      <c r="C802" t="s">
        <v>799</v>
      </c>
      <c r="D802" s="2">
        <v>1.8343</v>
      </c>
      <c r="E802" s="2">
        <v>1.9399</v>
      </c>
      <c r="F802" s="2">
        <v>2.2652000000000001</v>
      </c>
      <c r="G802" s="2">
        <v>2.0771000000000002</v>
      </c>
    </row>
    <row r="803" spans="1:7" x14ac:dyDescent="0.3">
      <c r="A803" t="str">
        <f t="shared" si="24"/>
        <v>IE</v>
      </c>
      <c r="B803" t="str">
        <f t="shared" si="25"/>
        <v>O</v>
      </c>
      <c r="C803" t="s">
        <v>800</v>
      </c>
      <c r="D803" s="2">
        <v>3.6833</v>
      </c>
      <c r="E803" s="2">
        <v>3.6185999999999998</v>
      </c>
      <c r="F803" s="2">
        <v>4.0599999999999996</v>
      </c>
      <c r="G803" s="2">
        <v>3.9973999999999998</v>
      </c>
    </row>
    <row r="804" spans="1:7" x14ac:dyDescent="0.3">
      <c r="A804" t="str">
        <f t="shared" si="24"/>
        <v>IE</v>
      </c>
      <c r="B804" t="str">
        <f t="shared" si="25"/>
        <v>O</v>
      </c>
      <c r="C804" t="s">
        <v>801</v>
      </c>
      <c r="D804" s="2">
        <v>0</v>
      </c>
      <c r="E804" s="2">
        <v>0</v>
      </c>
      <c r="F804" s="2">
        <v>0</v>
      </c>
      <c r="G804" s="2">
        <v>0</v>
      </c>
    </row>
    <row r="805" spans="1:7" x14ac:dyDescent="0.3">
      <c r="A805" t="str">
        <f t="shared" si="24"/>
        <v>IE</v>
      </c>
      <c r="B805" t="str">
        <f t="shared" si="25"/>
        <v>O</v>
      </c>
      <c r="C805" t="s">
        <v>802</v>
      </c>
      <c r="D805" s="2">
        <v>0</v>
      </c>
      <c r="E805" s="2">
        <v>0</v>
      </c>
      <c r="F805" s="2">
        <v>0</v>
      </c>
      <c r="G805" s="2">
        <v>0</v>
      </c>
    </row>
    <row r="806" spans="1:7" x14ac:dyDescent="0.3">
      <c r="A806" t="str">
        <f t="shared" si="24"/>
        <v>IE</v>
      </c>
      <c r="B806" t="str">
        <f t="shared" si="25"/>
        <v>O</v>
      </c>
      <c r="C806" t="s">
        <v>803</v>
      </c>
      <c r="D806" s="2">
        <v>0</v>
      </c>
      <c r="E806" s="2">
        <v>0</v>
      </c>
      <c r="F806" s="2">
        <v>0</v>
      </c>
      <c r="G806" s="2">
        <v>0</v>
      </c>
    </row>
    <row r="807" spans="1:7" x14ac:dyDescent="0.3">
      <c r="A807" t="str">
        <f t="shared" si="24"/>
        <v>IT</v>
      </c>
      <c r="B807" t="str">
        <f t="shared" si="25"/>
        <v>A</v>
      </c>
      <c r="C807" t="s">
        <v>804</v>
      </c>
      <c r="D807" s="2">
        <v>5.6029</v>
      </c>
      <c r="E807" s="2">
        <v>4.8327</v>
      </c>
      <c r="F807" s="2">
        <v>4.2784000000000004</v>
      </c>
      <c r="G807" s="2">
        <v>4.5282</v>
      </c>
    </row>
    <row r="808" spans="1:7" x14ac:dyDescent="0.3">
      <c r="A808" t="str">
        <f t="shared" si="24"/>
        <v>IT</v>
      </c>
      <c r="B808" t="str">
        <f t="shared" si="25"/>
        <v>A</v>
      </c>
      <c r="C808" t="s">
        <v>805</v>
      </c>
      <c r="D808" s="2">
        <v>0</v>
      </c>
      <c r="E808" s="2">
        <v>0</v>
      </c>
      <c r="F808" s="2">
        <v>0</v>
      </c>
      <c r="G808" s="2">
        <v>0</v>
      </c>
    </row>
    <row r="809" spans="1:7" x14ac:dyDescent="0.3">
      <c r="A809" t="str">
        <f t="shared" si="24"/>
        <v>IT</v>
      </c>
      <c r="B809" t="str">
        <f t="shared" si="25"/>
        <v>A</v>
      </c>
      <c r="C809" t="s">
        <v>806</v>
      </c>
      <c r="D809" s="2">
        <v>0</v>
      </c>
      <c r="E809" s="2">
        <v>0</v>
      </c>
      <c r="F809" s="2">
        <v>0</v>
      </c>
      <c r="G809" s="2">
        <v>0</v>
      </c>
    </row>
    <row r="810" spans="1:7" x14ac:dyDescent="0.3">
      <c r="A810" t="str">
        <f t="shared" si="24"/>
        <v>IT</v>
      </c>
      <c r="B810" t="str">
        <f t="shared" si="25"/>
        <v>A</v>
      </c>
      <c r="C810" t="s">
        <v>807</v>
      </c>
      <c r="D810" s="2">
        <v>30.846</v>
      </c>
      <c r="E810" s="2">
        <v>29.853300000000001</v>
      </c>
      <c r="F810" s="2">
        <v>27.751100000000001</v>
      </c>
      <c r="G810" s="2">
        <v>33.114600000000003</v>
      </c>
    </row>
    <row r="811" spans="1:7" x14ac:dyDescent="0.3">
      <c r="A811" t="str">
        <f t="shared" si="24"/>
        <v>IT</v>
      </c>
      <c r="B811" t="str">
        <f t="shared" si="25"/>
        <v>A</v>
      </c>
      <c r="C811" t="s">
        <v>808</v>
      </c>
      <c r="D811" s="2">
        <v>0</v>
      </c>
      <c r="E811" s="2">
        <v>0</v>
      </c>
      <c r="F811" s="2">
        <v>0</v>
      </c>
      <c r="G811" s="2">
        <v>0</v>
      </c>
    </row>
    <row r="812" spans="1:7" x14ac:dyDescent="0.3">
      <c r="A812" t="str">
        <f t="shared" si="24"/>
        <v>IT</v>
      </c>
      <c r="B812" t="str">
        <f t="shared" si="25"/>
        <v>A</v>
      </c>
      <c r="C812" t="s">
        <v>809</v>
      </c>
      <c r="D812" s="2">
        <v>0.14349999999999999</v>
      </c>
      <c r="E812" s="2">
        <v>0.1363</v>
      </c>
      <c r="F812" s="2">
        <v>0.14019999999999999</v>
      </c>
      <c r="G812" s="2">
        <v>8.4099999999999994E-2</v>
      </c>
    </row>
    <row r="813" spans="1:7" x14ac:dyDescent="0.3">
      <c r="A813" t="str">
        <f t="shared" si="24"/>
        <v>IT</v>
      </c>
      <c r="B813" t="str">
        <f t="shared" si="25"/>
        <v>A</v>
      </c>
      <c r="C813" t="s">
        <v>810</v>
      </c>
      <c r="D813" s="2">
        <v>19.397600000000001</v>
      </c>
      <c r="E813" s="2">
        <v>20.293099999999999</v>
      </c>
      <c r="F813" s="2">
        <v>19.378399999999999</v>
      </c>
      <c r="G813" s="2">
        <v>21.526900000000001</v>
      </c>
    </row>
    <row r="814" spans="1:7" x14ac:dyDescent="0.3">
      <c r="A814" t="str">
        <f t="shared" si="24"/>
        <v>IT</v>
      </c>
      <c r="B814" t="str">
        <f t="shared" si="25"/>
        <v>A</v>
      </c>
      <c r="C814" t="s">
        <v>811</v>
      </c>
      <c r="D814" s="2">
        <v>24.160499999999999</v>
      </c>
      <c r="E814" s="2">
        <v>24.334299999999999</v>
      </c>
      <c r="F814" s="2">
        <v>22.897200000000002</v>
      </c>
      <c r="G814" s="2">
        <v>25.8782</v>
      </c>
    </row>
    <row r="815" spans="1:7" x14ac:dyDescent="0.3">
      <c r="A815" t="str">
        <f t="shared" si="24"/>
        <v>IT</v>
      </c>
      <c r="B815" t="str">
        <f t="shared" si="25"/>
        <v>A</v>
      </c>
      <c r="C815" t="s">
        <v>812</v>
      </c>
      <c r="D815" s="2">
        <v>0</v>
      </c>
      <c r="E815" s="2">
        <v>0</v>
      </c>
      <c r="F815" s="2">
        <v>0</v>
      </c>
      <c r="G815" s="2">
        <v>0</v>
      </c>
    </row>
    <row r="816" spans="1:7" x14ac:dyDescent="0.3">
      <c r="A816" t="str">
        <f t="shared" si="24"/>
        <v>IT</v>
      </c>
      <c r="B816" t="str">
        <f t="shared" si="25"/>
        <v>A</v>
      </c>
      <c r="C816" t="s">
        <v>813</v>
      </c>
      <c r="D816" s="2">
        <v>0</v>
      </c>
      <c r="E816" s="2">
        <v>0</v>
      </c>
      <c r="F816" s="2">
        <v>0</v>
      </c>
      <c r="G816" s="2">
        <v>0</v>
      </c>
    </row>
    <row r="817" spans="1:7" x14ac:dyDescent="0.3">
      <c r="A817" t="str">
        <f t="shared" si="24"/>
        <v>IT</v>
      </c>
      <c r="B817" t="str">
        <f t="shared" si="25"/>
        <v>A</v>
      </c>
      <c r="C817" t="s">
        <v>814</v>
      </c>
      <c r="D817" s="2">
        <v>0.88859999999999995</v>
      </c>
      <c r="E817" s="2">
        <v>2.5594000000000001</v>
      </c>
      <c r="F817" s="2">
        <v>2.581</v>
      </c>
      <c r="G817" s="2">
        <v>1.0636000000000001</v>
      </c>
    </row>
    <row r="818" spans="1:7" x14ac:dyDescent="0.3">
      <c r="A818" t="str">
        <f t="shared" si="24"/>
        <v>IT</v>
      </c>
      <c r="B818" t="str">
        <f t="shared" si="25"/>
        <v>C</v>
      </c>
      <c r="C818" t="s">
        <v>815</v>
      </c>
      <c r="D818" s="2">
        <v>8.4158000000000008</v>
      </c>
      <c r="E818" s="2">
        <v>7.5186999999999999</v>
      </c>
      <c r="F818" s="2">
        <v>5.5260999999999996</v>
      </c>
      <c r="G818" s="2">
        <v>5.0488</v>
      </c>
    </row>
    <row r="819" spans="1:7" x14ac:dyDescent="0.3">
      <c r="A819" t="str">
        <f t="shared" si="24"/>
        <v>IT</v>
      </c>
      <c r="B819" t="str">
        <f t="shared" si="25"/>
        <v>C</v>
      </c>
      <c r="C819" t="s">
        <v>816</v>
      </c>
      <c r="D819" s="2">
        <v>2.64E-2</v>
      </c>
      <c r="E819" s="2">
        <v>1.3299999999999999E-2</v>
      </c>
      <c r="F819" s="2">
        <v>0</v>
      </c>
      <c r="G819" s="2">
        <v>0</v>
      </c>
    </row>
    <row r="820" spans="1:7" x14ac:dyDescent="0.3">
      <c r="A820" t="str">
        <f t="shared" si="24"/>
        <v>IT</v>
      </c>
      <c r="B820" t="str">
        <f t="shared" si="25"/>
        <v>C</v>
      </c>
      <c r="C820" t="s">
        <v>817</v>
      </c>
      <c r="D820" s="2">
        <v>0</v>
      </c>
      <c r="E820" s="2">
        <v>0</v>
      </c>
      <c r="F820" s="2">
        <v>0</v>
      </c>
      <c r="G820" s="2">
        <v>0</v>
      </c>
    </row>
    <row r="821" spans="1:7" x14ac:dyDescent="0.3">
      <c r="A821" t="str">
        <f t="shared" si="24"/>
        <v>IT</v>
      </c>
      <c r="B821" t="str">
        <f t="shared" si="25"/>
        <v>C</v>
      </c>
      <c r="C821" t="s">
        <v>818</v>
      </c>
      <c r="D821" s="2">
        <v>22.488499999999998</v>
      </c>
      <c r="E821" s="2">
        <v>22.4194</v>
      </c>
      <c r="F821" s="2">
        <v>21.95</v>
      </c>
      <c r="G821" s="2">
        <v>50.971600000000002</v>
      </c>
    </row>
    <row r="822" spans="1:7" x14ac:dyDescent="0.3">
      <c r="A822" t="str">
        <f t="shared" si="24"/>
        <v>IT</v>
      </c>
      <c r="B822" t="str">
        <f t="shared" si="25"/>
        <v>C</v>
      </c>
      <c r="C822" t="s">
        <v>819</v>
      </c>
      <c r="D822" s="2">
        <v>0</v>
      </c>
      <c r="E822" s="2">
        <v>0</v>
      </c>
      <c r="F822" s="2">
        <v>0</v>
      </c>
      <c r="G822" s="2">
        <v>0</v>
      </c>
    </row>
    <row r="823" spans="1:7" x14ac:dyDescent="0.3">
      <c r="A823" t="str">
        <f t="shared" si="24"/>
        <v>IT</v>
      </c>
      <c r="B823" t="str">
        <f t="shared" si="25"/>
        <v>C</v>
      </c>
      <c r="C823" t="s">
        <v>820</v>
      </c>
      <c r="D823" s="2">
        <v>1.9441999999999999</v>
      </c>
      <c r="E823" s="2">
        <v>2.0630000000000002</v>
      </c>
      <c r="F823" s="2">
        <v>2.032</v>
      </c>
      <c r="G823" s="2">
        <v>1.9593</v>
      </c>
    </row>
    <row r="824" spans="1:7" x14ac:dyDescent="0.3">
      <c r="A824" t="str">
        <f t="shared" si="24"/>
        <v>IT</v>
      </c>
      <c r="B824" t="str">
        <f t="shared" si="25"/>
        <v>C</v>
      </c>
      <c r="C824" t="s">
        <v>821</v>
      </c>
      <c r="D824" s="2">
        <v>7.2233999999999998</v>
      </c>
      <c r="E824" s="2">
        <v>6.968</v>
      </c>
      <c r="F824" s="2">
        <v>7.3026999999999997</v>
      </c>
      <c r="G824" s="2">
        <v>4.1321000000000003</v>
      </c>
    </row>
    <row r="825" spans="1:7" x14ac:dyDescent="0.3">
      <c r="A825" t="str">
        <f t="shared" si="24"/>
        <v>IT</v>
      </c>
      <c r="B825" t="str">
        <f t="shared" si="25"/>
        <v>C</v>
      </c>
      <c r="C825" t="s">
        <v>822</v>
      </c>
      <c r="D825" s="2">
        <v>21.169699999999999</v>
      </c>
      <c r="E825" s="2">
        <v>20.171600000000002</v>
      </c>
      <c r="F825" s="2">
        <v>20.361599999999999</v>
      </c>
      <c r="G825" s="2">
        <v>23.477499999999999</v>
      </c>
    </row>
    <row r="826" spans="1:7" x14ac:dyDescent="0.3">
      <c r="A826" t="str">
        <f t="shared" si="24"/>
        <v>IT</v>
      </c>
      <c r="B826" t="str">
        <f t="shared" si="25"/>
        <v>C</v>
      </c>
      <c r="C826" t="s">
        <v>823</v>
      </c>
      <c r="D826" s="2">
        <v>0</v>
      </c>
      <c r="E826" s="2">
        <v>0</v>
      </c>
      <c r="F826" s="2">
        <v>0</v>
      </c>
      <c r="G826" s="2">
        <v>0</v>
      </c>
    </row>
    <row r="827" spans="1:7" x14ac:dyDescent="0.3">
      <c r="A827" t="str">
        <f t="shared" si="24"/>
        <v>IT</v>
      </c>
      <c r="B827" t="str">
        <f t="shared" si="25"/>
        <v>C</v>
      </c>
      <c r="C827" t="s">
        <v>824</v>
      </c>
      <c r="D827" s="2">
        <v>0</v>
      </c>
      <c r="E827" s="2">
        <v>0</v>
      </c>
      <c r="F827" s="2">
        <v>0</v>
      </c>
      <c r="G827" s="2">
        <v>0</v>
      </c>
    </row>
    <row r="828" spans="1:7" x14ac:dyDescent="0.3">
      <c r="A828" t="str">
        <f t="shared" si="24"/>
        <v>IT</v>
      </c>
      <c r="B828" t="str">
        <f t="shared" si="25"/>
        <v>C</v>
      </c>
      <c r="C828" t="s">
        <v>825</v>
      </c>
      <c r="D828" s="2">
        <v>30.902899999999999</v>
      </c>
      <c r="E828" s="2">
        <v>30.285299999999999</v>
      </c>
      <c r="F828" s="2">
        <v>30.8276</v>
      </c>
      <c r="G828" s="2">
        <v>19.5593</v>
      </c>
    </row>
    <row r="829" spans="1:7" x14ac:dyDescent="0.3">
      <c r="A829" t="str">
        <f t="shared" si="24"/>
        <v>IT</v>
      </c>
      <c r="B829" t="str">
        <f t="shared" si="25"/>
        <v>N</v>
      </c>
      <c r="C829" t="s">
        <v>826</v>
      </c>
      <c r="D829" s="2">
        <v>21.430199999999999</v>
      </c>
      <c r="E829" s="2">
        <v>19.7483</v>
      </c>
      <c r="F829" s="2">
        <v>22.806899999999999</v>
      </c>
      <c r="G829" s="2">
        <v>28.460599999999999</v>
      </c>
    </row>
    <row r="830" spans="1:7" x14ac:dyDescent="0.3">
      <c r="A830" t="str">
        <f t="shared" si="24"/>
        <v>IT</v>
      </c>
      <c r="B830" t="str">
        <f t="shared" si="25"/>
        <v>N</v>
      </c>
      <c r="C830" t="s">
        <v>827</v>
      </c>
      <c r="D830" s="2">
        <v>3.9154</v>
      </c>
      <c r="E830" s="2">
        <v>3.9914000000000001</v>
      </c>
      <c r="F830" s="2">
        <v>3.3660999999999999</v>
      </c>
      <c r="G830" s="2">
        <v>0.79630000000000001</v>
      </c>
    </row>
    <row r="831" spans="1:7" x14ac:dyDescent="0.3">
      <c r="A831" t="str">
        <f t="shared" si="24"/>
        <v>IT</v>
      </c>
      <c r="B831" t="str">
        <f t="shared" si="25"/>
        <v>N</v>
      </c>
      <c r="C831" t="s">
        <v>828</v>
      </c>
      <c r="D831" s="2">
        <v>0</v>
      </c>
      <c r="E831" s="2">
        <v>0</v>
      </c>
      <c r="F831" s="2">
        <v>0</v>
      </c>
      <c r="G831" s="2">
        <v>0</v>
      </c>
    </row>
    <row r="832" spans="1:7" x14ac:dyDescent="0.3">
      <c r="A832" t="str">
        <f t="shared" si="24"/>
        <v>IT</v>
      </c>
      <c r="B832" t="str">
        <f t="shared" si="25"/>
        <v>N</v>
      </c>
      <c r="C832" t="s">
        <v>829</v>
      </c>
      <c r="D832" s="2">
        <v>49.623600000000003</v>
      </c>
      <c r="E832" s="2">
        <v>49.2134</v>
      </c>
      <c r="F832" s="2">
        <v>45.267200000000003</v>
      </c>
      <c r="G832" s="2">
        <v>51.976599999999998</v>
      </c>
    </row>
    <row r="833" spans="1:7" x14ac:dyDescent="0.3">
      <c r="A833" t="str">
        <f t="shared" si="24"/>
        <v>IT</v>
      </c>
      <c r="B833" t="str">
        <f t="shared" si="25"/>
        <v>N</v>
      </c>
      <c r="C833" t="s">
        <v>830</v>
      </c>
      <c r="D833" s="2">
        <v>0</v>
      </c>
      <c r="E833" s="2">
        <v>0</v>
      </c>
      <c r="F833" s="2">
        <v>0</v>
      </c>
      <c r="G833" s="2">
        <v>0</v>
      </c>
    </row>
    <row r="834" spans="1:7" x14ac:dyDescent="0.3">
      <c r="A834" t="str">
        <f t="shared" si="24"/>
        <v>IT</v>
      </c>
      <c r="B834" t="str">
        <f t="shared" si="25"/>
        <v>N</v>
      </c>
      <c r="C834" t="s">
        <v>831</v>
      </c>
      <c r="D834" s="2">
        <v>7.2831000000000001</v>
      </c>
      <c r="E834" s="2">
        <v>7.6007999999999996</v>
      </c>
      <c r="F834" s="2">
        <v>9.1904000000000003</v>
      </c>
      <c r="G834" s="2">
        <v>11.222799999999999</v>
      </c>
    </row>
    <row r="835" spans="1:7" x14ac:dyDescent="0.3">
      <c r="A835" t="str">
        <f t="shared" si="24"/>
        <v>IT</v>
      </c>
      <c r="B835" t="str">
        <f t="shared" si="25"/>
        <v>N</v>
      </c>
      <c r="C835" t="s">
        <v>832</v>
      </c>
      <c r="D835" s="2">
        <v>8.9247999999999994</v>
      </c>
      <c r="E835" s="2">
        <v>8.7550000000000008</v>
      </c>
      <c r="F835" s="2">
        <v>8.2483000000000004</v>
      </c>
      <c r="G835" s="2">
        <v>10.021699999999999</v>
      </c>
    </row>
    <row r="836" spans="1:7" x14ac:dyDescent="0.3">
      <c r="A836" t="str">
        <f t="shared" si="24"/>
        <v>IT</v>
      </c>
      <c r="B836" t="str">
        <f t="shared" si="25"/>
        <v>N</v>
      </c>
      <c r="C836" t="s">
        <v>833</v>
      </c>
      <c r="D836" s="2">
        <v>11.9712</v>
      </c>
      <c r="E836" s="2">
        <v>12.1767</v>
      </c>
      <c r="F836" s="2">
        <v>12.0603</v>
      </c>
      <c r="G836" s="2">
        <v>13.0608</v>
      </c>
    </row>
    <row r="837" spans="1:7" x14ac:dyDescent="0.3">
      <c r="A837" t="str">
        <f t="shared" ref="A837:A900" si="26">LEFT(C837,2)</f>
        <v>IT</v>
      </c>
      <c r="B837" t="str">
        <f t="shared" ref="B837:B900" si="27">RIGHT(C837,1)</f>
        <v>N</v>
      </c>
      <c r="C837" t="s">
        <v>834</v>
      </c>
      <c r="D837" s="2">
        <v>0</v>
      </c>
      <c r="E837" s="2">
        <v>0</v>
      </c>
      <c r="F837" s="2">
        <v>0</v>
      </c>
      <c r="G837" s="2">
        <v>0</v>
      </c>
    </row>
    <row r="838" spans="1:7" x14ac:dyDescent="0.3">
      <c r="A838" t="str">
        <f t="shared" si="26"/>
        <v>IT</v>
      </c>
      <c r="B838" t="str">
        <f t="shared" si="27"/>
        <v>N</v>
      </c>
      <c r="C838" t="s">
        <v>835</v>
      </c>
      <c r="D838" s="2">
        <v>0</v>
      </c>
      <c r="E838" s="2">
        <v>0</v>
      </c>
      <c r="F838" s="2">
        <v>0</v>
      </c>
      <c r="G838" s="2">
        <v>0</v>
      </c>
    </row>
    <row r="839" spans="1:7" x14ac:dyDescent="0.3">
      <c r="A839" t="str">
        <f t="shared" si="26"/>
        <v>IT</v>
      </c>
      <c r="B839" t="str">
        <f t="shared" si="27"/>
        <v>N</v>
      </c>
      <c r="C839" t="s">
        <v>836</v>
      </c>
      <c r="D839" s="2">
        <v>4.1492000000000004</v>
      </c>
      <c r="E839" s="2">
        <v>4.5091000000000001</v>
      </c>
      <c r="F839" s="2">
        <v>4.2782</v>
      </c>
      <c r="G839" s="2">
        <v>3.1438999999999999</v>
      </c>
    </row>
    <row r="840" spans="1:7" x14ac:dyDescent="0.3">
      <c r="A840" t="str">
        <f t="shared" si="26"/>
        <v>IT</v>
      </c>
      <c r="B840" t="str">
        <f t="shared" si="27"/>
        <v>I</v>
      </c>
      <c r="C840" t="s">
        <v>837</v>
      </c>
      <c r="D840" s="2">
        <v>1.5226</v>
      </c>
      <c r="E840" s="2">
        <v>1.3445</v>
      </c>
      <c r="F840" s="2">
        <v>1.5975999999999999</v>
      </c>
      <c r="G840" s="2">
        <v>2.3940000000000001</v>
      </c>
    </row>
    <row r="841" spans="1:7" x14ac:dyDescent="0.3">
      <c r="A841" t="str">
        <f t="shared" si="26"/>
        <v>IT</v>
      </c>
      <c r="B841" t="str">
        <f t="shared" si="27"/>
        <v>I</v>
      </c>
      <c r="C841" t="s">
        <v>838</v>
      </c>
      <c r="D841" s="2">
        <v>9.3347999999999995</v>
      </c>
      <c r="E841" s="2">
        <v>8.6844999999999999</v>
      </c>
      <c r="F841" s="2">
        <v>5.4725000000000001</v>
      </c>
      <c r="G841" s="2">
        <v>5.8489000000000004</v>
      </c>
    </row>
    <row r="842" spans="1:7" x14ac:dyDescent="0.3">
      <c r="A842" t="str">
        <f t="shared" si="26"/>
        <v>IT</v>
      </c>
      <c r="B842" t="str">
        <f t="shared" si="27"/>
        <v>I</v>
      </c>
      <c r="C842" t="s">
        <v>839</v>
      </c>
      <c r="D842" s="2">
        <v>0</v>
      </c>
      <c r="E842" s="2">
        <v>0</v>
      </c>
      <c r="F842" s="2">
        <v>0</v>
      </c>
      <c r="G842" s="2">
        <v>0</v>
      </c>
    </row>
    <row r="843" spans="1:7" x14ac:dyDescent="0.3">
      <c r="A843" t="str">
        <f t="shared" si="26"/>
        <v>IT</v>
      </c>
      <c r="B843" t="str">
        <f t="shared" si="27"/>
        <v>I</v>
      </c>
      <c r="C843" t="s">
        <v>840</v>
      </c>
      <c r="D843" s="2">
        <v>30.6355</v>
      </c>
      <c r="E843" s="2">
        <v>29.7456</v>
      </c>
      <c r="F843" s="2">
        <v>27.8643</v>
      </c>
      <c r="G843" s="2">
        <v>29.718599999999999</v>
      </c>
    </row>
    <row r="844" spans="1:7" x14ac:dyDescent="0.3">
      <c r="A844" t="str">
        <f t="shared" si="26"/>
        <v>IT</v>
      </c>
      <c r="B844" t="str">
        <f t="shared" si="27"/>
        <v>I</v>
      </c>
      <c r="C844" t="s">
        <v>841</v>
      </c>
      <c r="D844" s="2">
        <v>0</v>
      </c>
      <c r="E844" s="2">
        <v>0</v>
      </c>
      <c r="F844" s="2">
        <v>0</v>
      </c>
      <c r="G844" s="2">
        <v>0</v>
      </c>
    </row>
    <row r="845" spans="1:7" x14ac:dyDescent="0.3">
      <c r="A845" t="str">
        <f t="shared" si="26"/>
        <v>IT</v>
      </c>
      <c r="B845" t="str">
        <f t="shared" si="27"/>
        <v>I</v>
      </c>
      <c r="C845" t="s">
        <v>842</v>
      </c>
      <c r="D845" s="2">
        <v>0</v>
      </c>
      <c r="E845" s="2">
        <v>0</v>
      </c>
      <c r="F845" s="2">
        <v>0</v>
      </c>
      <c r="G845" s="2">
        <v>0</v>
      </c>
    </row>
    <row r="846" spans="1:7" x14ac:dyDescent="0.3">
      <c r="A846" t="str">
        <f t="shared" si="26"/>
        <v>IT</v>
      </c>
      <c r="B846" t="str">
        <f t="shared" si="27"/>
        <v>I</v>
      </c>
      <c r="C846" t="s">
        <v>843</v>
      </c>
      <c r="D846" s="2">
        <v>42.049700000000001</v>
      </c>
      <c r="E846" s="2">
        <v>42.260199999999998</v>
      </c>
      <c r="F846" s="2">
        <v>37.156500000000001</v>
      </c>
      <c r="G846" s="2">
        <v>43.241599999999998</v>
      </c>
    </row>
    <row r="847" spans="1:7" x14ac:dyDescent="0.3">
      <c r="A847" t="str">
        <f t="shared" si="26"/>
        <v>IT</v>
      </c>
      <c r="B847" t="str">
        <f t="shared" si="27"/>
        <v>I</v>
      </c>
      <c r="C847" t="s">
        <v>844</v>
      </c>
      <c r="D847" s="2">
        <v>4.7938000000000001</v>
      </c>
      <c r="E847" s="2">
        <v>4.8014999999999999</v>
      </c>
      <c r="F847" s="2">
        <v>4.2827000000000002</v>
      </c>
      <c r="G847" s="2">
        <v>4.8539000000000003</v>
      </c>
    </row>
    <row r="848" spans="1:7" x14ac:dyDescent="0.3">
      <c r="A848" t="str">
        <f t="shared" si="26"/>
        <v>IT</v>
      </c>
      <c r="B848" t="str">
        <f t="shared" si="27"/>
        <v>I</v>
      </c>
      <c r="C848" t="s">
        <v>845</v>
      </c>
      <c r="D848" s="2">
        <v>0</v>
      </c>
      <c r="E848" s="2">
        <v>0</v>
      </c>
      <c r="F848" s="2">
        <v>0</v>
      </c>
      <c r="G848" s="2">
        <v>0</v>
      </c>
    </row>
    <row r="849" spans="1:7" x14ac:dyDescent="0.3">
      <c r="A849" t="str">
        <f t="shared" si="26"/>
        <v>IT</v>
      </c>
      <c r="B849" t="str">
        <f t="shared" si="27"/>
        <v>I</v>
      </c>
      <c r="C849" t="s">
        <v>846</v>
      </c>
      <c r="D849" s="2">
        <v>0</v>
      </c>
      <c r="E849" s="2">
        <v>0</v>
      </c>
      <c r="F849" s="2">
        <v>0</v>
      </c>
      <c r="G849" s="2">
        <v>0</v>
      </c>
    </row>
    <row r="850" spans="1:7" x14ac:dyDescent="0.3">
      <c r="A850" t="str">
        <f t="shared" si="26"/>
        <v>IT</v>
      </c>
      <c r="B850" t="str">
        <f t="shared" si="27"/>
        <v>I</v>
      </c>
      <c r="C850" t="s">
        <v>847</v>
      </c>
      <c r="D850" s="2">
        <v>64.811199999999999</v>
      </c>
      <c r="E850" s="2">
        <v>66.244</v>
      </c>
      <c r="F850" s="2">
        <v>60.813800000000001</v>
      </c>
      <c r="G850" s="2">
        <v>66.855800000000002</v>
      </c>
    </row>
    <row r="851" spans="1:7" x14ac:dyDescent="0.3">
      <c r="A851" t="str">
        <f t="shared" si="26"/>
        <v>IT</v>
      </c>
      <c r="B851" t="str">
        <f t="shared" si="27"/>
        <v>O</v>
      </c>
      <c r="C851" t="s">
        <v>848</v>
      </c>
      <c r="D851" s="2">
        <v>6.8413000000000004</v>
      </c>
      <c r="E851" s="2">
        <v>5.1595000000000004</v>
      </c>
      <c r="F851" s="2">
        <v>5.0541</v>
      </c>
      <c r="G851" s="2">
        <v>9.9118999999999993</v>
      </c>
    </row>
    <row r="852" spans="1:7" x14ac:dyDescent="0.3">
      <c r="A852" t="str">
        <f t="shared" si="26"/>
        <v>IT</v>
      </c>
      <c r="B852" t="str">
        <f t="shared" si="27"/>
        <v>O</v>
      </c>
      <c r="C852" t="s">
        <v>849</v>
      </c>
      <c r="D852" s="2">
        <v>0.57099999999999995</v>
      </c>
      <c r="E852" s="2">
        <v>0.54330000000000001</v>
      </c>
      <c r="F852" s="2">
        <v>0.2949</v>
      </c>
      <c r="G852" s="2">
        <v>0.13639999999999999</v>
      </c>
    </row>
    <row r="853" spans="1:7" x14ac:dyDescent="0.3">
      <c r="A853" t="str">
        <f t="shared" si="26"/>
        <v>IT</v>
      </c>
      <c r="B853" t="str">
        <f t="shared" si="27"/>
        <v>O</v>
      </c>
      <c r="C853" t="s">
        <v>850</v>
      </c>
      <c r="D853" s="2">
        <v>0</v>
      </c>
      <c r="E853" s="2">
        <v>0</v>
      </c>
      <c r="F853" s="2">
        <v>0</v>
      </c>
      <c r="G853" s="2">
        <v>0</v>
      </c>
    </row>
    <row r="854" spans="1:7" x14ac:dyDescent="0.3">
      <c r="A854" t="str">
        <f t="shared" si="26"/>
        <v>IT</v>
      </c>
      <c r="B854" t="str">
        <f t="shared" si="27"/>
        <v>O</v>
      </c>
      <c r="C854" t="s">
        <v>851</v>
      </c>
      <c r="D854" s="2">
        <v>62.164700000000003</v>
      </c>
      <c r="E854" s="2">
        <v>61.682600000000001</v>
      </c>
      <c r="F854" s="2">
        <v>59.380099999999999</v>
      </c>
      <c r="G854" s="2">
        <v>114.0808</v>
      </c>
    </row>
    <row r="855" spans="1:7" x14ac:dyDescent="0.3">
      <c r="A855" t="str">
        <f t="shared" si="26"/>
        <v>IT</v>
      </c>
      <c r="B855" t="str">
        <f t="shared" si="27"/>
        <v>O</v>
      </c>
      <c r="C855" t="s">
        <v>852</v>
      </c>
      <c r="D855" s="2">
        <v>0</v>
      </c>
      <c r="E855" s="2">
        <v>0</v>
      </c>
      <c r="F855" s="2">
        <v>0</v>
      </c>
      <c r="G855" s="2">
        <v>0</v>
      </c>
    </row>
    <row r="856" spans="1:7" x14ac:dyDescent="0.3">
      <c r="A856" t="str">
        <f t="shared" si="26"/>
        <v>IT</v>
      </c>
      <c r="B856" t="str">
        <f t="shared" si="27"/>
        <v>O</v>
      </c>
      <c r="C856" t="s">
        <v>853</v>
      </c>
      <c r="D856" s="2">
        <v>3.8946000000000001</v>
      </c>
      <c r="E856" s="2">
        <v>4.2586000000000004</v>
      </c>
      <c r="F856" s="2">
        <v>3.8834</v>
      </c>
      <c r="G856" s="2">
        <v>3.5343</v>
      </c>
    </row>
    <row r="857" spans="1:7" x14ac:dyDescent="0.3">
      <c r="A857" t="str">
        <f t="shared" si="26"/>
        <v>IT</v>
      </c>
      <c r="B857" t="str">
        <f t="shared" si="27"/>
        <v>O</v>
      </c>
      <c r="C857" t="s">
        <v>854</v>
      </c>
      <c r="D857" s="2">
        <v>36.465899999999998</v>
      </c>
      <c r="E857" s="2">
        <v>39.183599999999998</v>
      </c>
      <c r="F857" s="2">
        <v>40.823500000000003</v>
      </c>
      <c r="G857" s="2">
        <v>38.83</v>
      </c>
    </row>
    <row r="858" spans="1:7" x14ac:dyDescent="0.3">
      <c r="A858" t="str">
        <f t="shared" si="26"/>
        <v>IT</v>
      </c>
      <c r="B858" t="str">
        <f t="shared" si="27"/>
        <v>O</v>
      </c>
      <c r="C858" t="s">
        <v>855</v>
      </c>
      <c r="D858" s="2">
        <v>58.969700000000003</v>
      </c>
      <c r="E858" s="2">
        <v>62.878399999999999</v>
      </c>
      <c r="F858" s="2">
        <v>63.633800000000001</v>
      </c>
      <c r="G858" s="2">
        <v>72.183700000000002</v>
      </c>
    </row>
    <row r="859" spans="1:7" x14ac:dyDescent="0.3">
      <c r="A859" t="str">
        <f t="shared" si="26"/>
        <v>IT</v>
      </c>
      <c r="B859" t="str">
        <f t="shared" si="27"/>
        <v>O</v>
      </c>
      <c r="C859" t="s">
        <v>856</v>
      </c>
      <c r="D859" s="2">
        <v>0</v>
      </c>
      <c r="E859" s="2">
        <v>0</v>
      </c>
      <c r="F859" s="2">
        <v>0</v>
      </c>
      <c r="G859" s="2">
        <v>0</v>
      </c>
    </row>
    <row r="860" spans="1:7" x14ac:dyDescent="0.3">
      <c r="A860" t="str">
        <f t="shared" si="26"/>
        <v>IT</v>
      </c>
      <c r="B860" t="str">
        <f t="shared" si="27"/>
        <v>O</v>
      </c>
      <c r="C860" t="s">
        <v>857</v>
      </c>
      <c r="D860" s="2">
        <v>0.34050000000000002</v>
      </c>
      <c r="E860" s="2">
        <v>0.36470000000000002</v>
      </c>
      <c r="F860" s="2">
        <v>0.32829999999999998</v>
      </c>
      <c r="G860" s="2">
        <v>0.33560000000000001</v>
      </c>
    </row>
    <row r="861" spans="1:7" x14ac:dyDescent="0.3">
      <c r="A861" t="str">
        <f t="shared" si="26"/>
        <v>IT</v>
      </c>
      <c r="B861" t="str">
        <f t="shared" si="27"/>
        <v>O</v>
      </c>
      <c r="C861" t="s">
        <v>858</v>
      </c>
      <c r="D861" s="2">
        <v>33.301200000000001</v>
      </c>
      <c r="E861" s="2">
        <v>36.488999999999997</v>
      </c>
      <c r="F861" s="2">
        <v>32.483899999999998</v>
      </c>
      <c r="G861" s="2">
        <v>30.935600000000001</v>
      </c>
    </row>
    <row r="862" spans="1:7" x14ac:dyDescent="0.3">
      <c r="A862" t="str">
        <f t="shared" si="26"/>
        <v>LT</v>
      </c>
      <c r="B862" t="str">
        <f t="shared" si="27"/>
        <v>W</v>
      </c>
      <c r="C862" t="s">
        <v>859</v>
      </c>
      <c r="D862" s="2">
        <v>0.04</v>
      </c>
      <c r="E862" s="2">
        <v>4.1099999999999998E-2</v>
      </c>
      <c r="F862" s="2">
        <v>3.9699999999999999E-2</v>
      </c>
      <c r="G862" s="2">
        <v>4.02E-2</v>
      </c>
    </row>
    <row r="863" spans="1:7" x14ac:dyDescent="0.3">
      <c r="A863" t="str">
        <f t="shared" si="26"/>
        <v>LT</v>
      </c>
      <c r="B863" t="str">
        <f t="shared" si="27"/>
        <v>W</v>
      </c>
      <c r="C863" t="s">
        <v>860</v>
      </c>
      <c r="D863" s="2">
        <v>1.4E-3</v>
      </c>
      <c r="E863" s="2">
        <v>1.6999999999999999E-3</v>
      </c>
      <c r="F863" s="2">
        <v>0</v>
      </c>
      <c r="G863" s="2">
        <v>0</v>
      </c>
    </row>
    <row r="864" spans="1:7" x14ac:dyDescent="0.3">
      <c r="A864" t="str">
        <f t="shared" si="26"/>
        <v>LT</v>
      </c>
      <c r="B864" t="str">
        <f t="shared" si="27"/>
        <v>W</v>
      </c>
      <c r="C864" t="s">
        <v>861</v>
      </c>
      <c r="D864" s="2">
        <v>0</v>
      </c>
      <c r="E864" s="2">
        <v>0</v>
      </c>
      <c r="F864" s="2">
        <v>0</v>
      </c>
      <c r="G864" s="2">
        <v>0</v>
      </c>
    </row>
    <row r="865" spans="1:7" x14ac:dyDescent="0.3">
      <c r="A865" t="str">
        <f t="shared" si="26"/>
        <v>LT</v>
      </c>
      <c r="B865" t="str">
        <f t="shared" si="27"/>
        <v>W</v>
      </c>
      <c r="C865" t="s">
        <v>862</v>
      </c>
      <c r="D865" s="2">
        <v>0.16500000000000001</v>
      </c>
      <c r="E865" s="2">
        <v>0.1144</v>
      </c>
      <c r="F865" s="2">
        <v>0.12759999999999999</v>
      </c>
      <c r="G865" s="2">
        <v>0.16270000000000001</v>
      </c>
    </row>
    <row r="866" spans="1:7" x14ac:dyDescent="0.3">
      <c r="A866" t="str">
        <f t="shared" si="26"/>
        <v>LT</v>
      </c>
      <c r="B866" t="str">
        <f t="shared" si="27"/>
        <v>W</v>
      </c>
      <c r="C866" t="s">
        <v>863</v>
      </c>
      <c r="D866" s="2">
        <v>0</v>
      </c>
      <c r="E866" s="2">
        <v>0</v>
      </c>
      <c r="F866" s="2">
        <v>0</v>
      </c>
      <c r="G866" s="2">
        <v>0</v>
      </c>
    </row>
    <row r="867" spans="1:7" x14ac:dyDescent="0.3">
      <c r="A867" t="str">
        <f t="shared" si="26"/>
        <v>LT</v>
      </c>
      <c r="B867" t="str">
        <f t="shared" si="27"/>
        <v>W</v>
      </c>
      <c r="C867" t="s">
        <v>864</v>
      </c>
      <c r="D867" s="2">
        <v>0.64700000000000002</v>
      </c>
      <c r="E867" s="2">
        <v>0.65900000000000003</v>
      </c>
      <c r="F867" s="2">
        <v>0.85580000000000001</v>
      </c>
      <c r="G867" s="2">
        <v>0.89570000000000005</v>
      </c>
    </row>
    <row r="868" spans="1:7" x14ac:dyDescent="0.3">
      <c r="A868" t="str">
        <f t="shared" si="26"/>
        <v>LT</v>
      </c>
      <c r="B868" t="str">
        <f t="shared" si="27"/>
        <v>W</v>
      </c>
      <c r="C868" t="s">
        <v>865</v>
      </c>
      <c r="D868" s="2">
        <v>7.1300000000000002E-2</v>
      </c>
      <c r="E868" s="2">
        <v>7.8399999999999997E-2</v>
      </c>
      <c r="F868" s="2">
        <v>7.9200000000000007E-2</v>
      </c>
      <c r="G868" s="2">
        <v>8.0600000000000005E-2</v>
      </c>
    </row>
    <row r="869" spans="1:7" x14ac:dyDescent="0.3">
      <c r="A869" t="str">
        <f t="shared" si="26"/>
        <v>LT</v>
      </c>
      <c r="B869" t="str">
        <f t="shared" si="27"/>
        <v>W</v>
      </c>
      <c r="C869" t="s">
        <v>866</v>
      </c>
      <c r="D869" s="2">
        <v>0.4617</v>
      </c>
      <c r="E869" s="2">
        <v>0.47810000000000002</v>
      </c>
      <c r="F869" s="2">
        <v>0.49509999999999998</v>
      </c>
      <c r="G869" s="2">
        <v>0.52669999999999995</v>
      </c>
    </row>
    <row r="870" spans="1:7" x14ac:dyDescent="0.3">
      <c r="A870" t="str">
        <f t="shared" si="26"/>
        <v>LT</v>
      </c>
      <c r="B870" t="str">
        <f t="shared" si="27"/>
        <v>W</v>
      </c>
      <c r="C870" t="s">
        <v>867</v>
      </c>
      <c r="D870" s="2">
        <v>0</v>
      </c>
      <c r="E870" s="2">
        <v>0</v>
      </c>
      <c r="F870" s="2">
        <v>0</v>
      </c>
      <c r="G870" s="2">
        <v>0</v>
      </c>
    </row>
    <row r="871" spans="1:7" x14ac:dyDescent="0.3">
      <c r="A871" t="str">
        <f t="shared" si="26"/>
        <v>LT</v>
      </c>
      <c r="B871" t="str">
        <f t="shared" si="27"/>
        <v>W</v>
      </c>
      <c r="C871" t="s">
        <v>868</v>
      </c>
      <c r="D871" s="2">
        <v>0</v>
      </c>
      <c r="E871" s="2">
        <v>0</v>
      </c>
      <c r="F871" s="2">
        <v>0</v>
      </c>
      <c r="G871" s="2">
        <v>0</v>
      </c>
    </row>
    <row r="872" spans="1:7" x14ac:dyDescent="0.3">
      <c r="A872" t="str">
        <f t="shared" si="26"/>
        <v>LT</v>
      </c>
      <c r="B872" t="str">
        <f t="shared" si="27"/>
        <v>W</v>
      </c>
      <c r="C872" t="s">
        <v>869</v>
      </c>
      <c r="D872" s="2">
        <v>0.1416</v>
      </c>
      <c r="E872" s="2">
        <v>0.13239999999999999</v>
      </c>
      <c r="F872" s="2">
        <v>0.1439</v>
      </c>
      <c r="G872" s="2">
        <v>0.1696</v>
      </c>
    </row>
    <row r="873" spans="1:7" x14ac:dyDescent="0.3">
      <c r="A873" t="str">
        <f t="shared" si="26"/>
        <v>LT</v>
      </c>
      <c r="B873" t="str">
        <f t="shared" si="27"/>
        <v>C</v>
      </c>
      <c r="C873" t="s">
        <v>870</v>
      </c>
      <c r="D873" s="2">
        <v>1.7000000000000001E-2</v>
      </c>
      <c r="E873" s="2">
        <v>2.24E-2</v>
      </c>
      <c r="F873" s="2">
        <v>2.4899999999999999E-2</v>
      </c>
      <c r="G873" s="2">
        <v>2.9700000000000001E-2</v>
      </c>
    </row>
    <row r="874" spans="1:7" x14ac:dyDescent="0.3">
      <c r="A874" t="str">
        <f t="shared" si="26"/>
        <v>LT</v>
      </c>
      <c r="B874" t="str">
        <f t="shared" si="27"/>
        <v>C</v>
      </c>
      <c r="C874" t="s">
        <v>871</v>
      </c>
      <c r="D874" s="2">
        <v>0</v>
      </c>
      <c r="E874" s="2">
        <v>0</v>
      </c>
      <c r="F874" s="2">
        <v>0</v>
      </c>
      <c r="G874" s="2">
        <v>0</v>
      </c>
    </row>
    <row r="875" spans="1:7" x14ac:dyDescent="0.3">
      <c r="A875" t="str">
        <f t="shared" si="26"/>
        <v>LT</v>
      </c>
      <c r="B875" t="str">
        <f t="shared" si="27"/>
        <v>C</v>
      </c>
      <c r="C875" t="s">
        <v>872</v>
      </c>
      <c r="D875" s="2">
        <v>0</v>
      </c>
      <c r="E875" s="2">
        <v>0</v>
      </c>
      <c r="F875" s="2">
        <v>0</v>
      </c>
      <c r="G875" s="2">
        <v>0</v>
      </c>
    </row>
    <row r="876" spans="1:7" x14ac:dyDescent="0.3">
      <c r="A876" t="str">
        <f t="shared" si="26"/>
        <v>LT</v>
      </c>
      <c r="B876" t="str">
        <f t="shared" si="27"/>
        <v>C</v>
      </c>
      <c r="C876" t="s">
        <v>873</v>
      </c>
      <c r="D876" s="2">
        <v>2.0863999999999998</v>
      </c>
      <c r="E876" s="2">
        <v>2.2944</v>
      </c>
      <c r="F876" s="2">
        <v>2.121</v>
      </c>
      <c r="G876" s="2">
        <v>2.1021999999999998</v>
      </c>
    </row>
    <row r="877" spans="1:7" x14ac:dyDescent="0.3">
      <c r="A877" t="str">
        <f t="shared" si="26"/>
        <v>LT</v>
      </c>
      <c r="B877" t="str">
        <f t="shared" si="27"/>
        <v>C</v>
      </c>
      <c r="C877" t="s">
        <v>874</v>
      </c>
      <c r="D877" s="2">
        <v>0</v>
      </c>
      <c r="E877" s="2">
        <v>0</v>
      </c>
      <c r="F877" s="2">
        <v>0</v>
      </c>
      <c r="G877" s="2">
        <v>0</v>
      </c>
    </row>
    <row r="878" spans="1:7" x14ac:dyDescent="0.3">
      <c r="A878" t="str">
        <f t="shared" si="26"/>
        <v>LT</v>
      </c>
      <c r="B878" t="str">
        <f t="shared" si="27"/>
        <v>C</v>
      </c>
      <c r="C878" t="s">
        <v>875</v>
      </c>
      <c r="D878" s="2">
        <v>0.19969999999999999</v>
      </c>
      <c r="E878" s="2">
        <v>0.19620000000000001</v>
      </c>
      <c r="F878" s="2">
        <v>0.19520000000000001</v>
      </c>
      <c r="G878" s="2">
        <v>0.19919999999999999</v>
      </c>
    </row>
    <row r="879" spans="1:7" x14ac:dyDescent="0.3">
      <c r="A879" t="str">
        <f t="shared" si="26"/>
        <v>LT</v>
      </c>
      <c r="B879" t="str">
        <f t="shared" si="27"/>
        <v>C</v>
      </c>
      <c r="C879" t="s">
        <v>876</v>
      </c>
      <c r="D879" s="2">
        <v>4.7899999999999998E-2</v>
      </c>
      <c r="E879" s="2">
        <v>4.2700000000000002E-2</v>
      </c>
      <c r="F879" s="2">
        <v>6.7900000000000002E-2</v>
      </c>
      <c r="G879" s="2">
        <v>5.5E-2</v>
      </c>
    </row>
    <row r="880" spans="1:7" x14ac:dyDescent="0.3">
      <c r="A880" t="str">
        <f t="shared" si="26"/>
        <v>LT</v>
      </c>
      <c r="B880" t="str">
        <f t="shared" si="27"/>
        <v>C</v>
      </c>
      <c r="C880" t="s">
        <v>877</v>
      </c>
      <c r="D880" s="2">
        <v>1.0936999999999999</v>
      </c>
      <c r="E880" s="2">
        <v>1.1014999999999999</v>
      </c>
      <c r="F880" s="2">
        <v>1.0928</v>
      </c>
      <c r="G880" s="2">
        <v>1.0817000000000001</v>
      </c>
    </row>
    <row r="881" spans="1:7" x14ac:dyDescent="0.3">
      <c r="A881" t="str">
        <f t="shared" si="26"/>
        <v>LT</v>
      </c>
      <c r="B881" t="str">
        <f t="shared" si="27"/>
        <v>C</v>
      </c>
      <c r="C881" t="s">
        <v>878</v>
      </c>
      <c r="D881" s="2">
        <v>0</v>
      </c>
      <c r="E881" s="2">
        <v>0</v>
      </c>
      <c r="F881" s="2">
        <v>0</v>
      </c>
      <c r="G881" s="2">
        <v>0</v>
      </c>
    </row>
    <row r="882" spans="1:7" x14ac:dyDescent="0.3">
      <c r="A882" t="str">
        <f t="shared" si="26"/>
        <v>LT</v>
      </c>
      <c r="B882" t="str">
        <f t="shared" si="27"/>
        <v>C</v>
      </c>
      <c r="C882" t="s">
        <v>879</v>
      </c>
      <c r="D882" s="2">
        <v>0</v>
      </c>
      <c r="E882" s="2">
        <v>0</v>
      </c>
      <c r="F882" s="2">
        <v>0</v>
      </c>
      <c r="G882" s="2">
        <v>0</v>
      </c>
    </row>
    <row r="883" spans="1:7" x14ac:dyDescent="0.3">
      <c r="A883" t="str">
        <f t="shared" si="26"/>
        <v>LT</v>
      </c>
      <c r="B883" t="str">
        <f t="shared" si="27"/>
        <v>C</v>
      </c>
      <c r="C883" t="s">
        <v>880</v>
      </c>
      <c r="D883" s="2">
        <v>4.7192999999999996</v>
      </c>
      <c r="E883" s="2">
        <v>4.5887000000000002</v>
      </c>
      <c r="F883" s="2">
        <v>3.0680999999999998</v>
      </c>
      <c r="G883" s="2">
        <v>3.7909000000000002</v>
      </c>
    </row>
    <row r="884" spans="1:7" x14ac:dyDescent="0.3">
      <c r="A884" t="str">
        <f t="shared" si="26"/>
        <v>LT</v>
      </c>
      <c r="B884" t="str">
        <f t="shared" si="27"/>
        <v>N</v>
      </c>
      <c r="C884" t="s">
        <v>881</v>
      </c>
      <c r="D884" s="2">
        <v>6.1699999999999998E-2</v>
      </c>
      <c r="E884" s="2">
        <v>6.3100000000000003E-2</v>
      </c>
      <c r="F884" s="2">
        <v>6.4000000000000001E-2</v>
      </c>
      <c r="G884" s="2">
        <v>7.9600000000000004E-2</v>
      </c>
    </row>
    <row r="885" spans="1:7" x14ac:dyDescent="0.3">
      <c r="A885" t="str">
        <f t="shared" si="26"/>
        <v>LT</v>
      </c>
      <c r="B885" t="str">
        <f t="shared" si="27"/>
        <v>N</v>
      </c>
      <c r="C885" t="s">
        <v>882</v>
      </c>
      <c r="D885" s="2">
        <v>1.7149000000000001</v>
      </c>
      <c r="E885" s="2">
        <v>1.9786999999999999</v>
      </c>
      <c r="F885" s="2">
        <v>1.6168</v>
      </c>
      <c r="G885" s="2">
        <v>1.9743999999999999</v>
      </c>
    </row>
    <row r="886" spans="1:7" x14ac:dyDescent="0.3">
      <c r="A886" t="str">
        <f t="shared" si="26"/>
        <v>LT</v>
      </c>
      <c r="B886" t="str">
        <f t="shared" si="27"/>
        <v>N</v>
      </c>
      <c r="C886" t="s">
        <v>883</v>
      </c>
      <c r="D886" s="2">
        <v>0</v>
      </c>
      <c r="E886" s="2">
        <v>0</v>
      </c>
      <c r="F886" s="2">
        <v>0</v>
      </c>
      <c r="G886" s="2">
        <v>0</v>
      </c>
    </row>
    <row r="887" spans="1:7" x14ac:dyDescent="0.3">
      <c r="A887" t="str">
        <f t="shared" si="26"/>
        <v>LT</v>
      </c>
      <c r="B887" t="str">
        <f t="shared" si="27"/>
        <v>N</v>
      </c>
      <c r="C887" t="s">
        <v>884</v>
      </c>
      <c r="D887" s="2">
        <v>0.44679999999999997</v>
      </c>
      <c r="E887" s="2">
        <v>0.43519999999999998</v>
      </c>
      <c r="F887" s="2">
        <v>0.40749999999999997</v>
      </c>
      <c r="G887" s="2">
        <v>0.43219999999999997</v>
      </c>
    </row>
    <row r="888" spans="1:7" x14ac:dyDescent="0.3">
      <c r="A888" t="str">
        <f t="shared" si="26"/>
        <v>LT</v>
      </c>
      <c r="B888" t="str">
        <f t="shared" si="27"/>
        <v>N</v>
      </c>
      <c r="C888" t="s">
        <v>885</v>
      </c>
      <c r="D888" s="2">
        <v>0</v>
      </c>
      <c r="E888" s="2">
        <v>0</v>
      </c>
      <c r="F888" s="2">
        <v>0</v>
      </c>
      <c r="G888" s="2">
        <v>0</v>
      </c>
    </row>
    <row r="889" spans="1:7" x14ac:dyDescent="0.3">
      <c r="A889" t="str">
        <f t="shared" si="26"/>
        <v>LT</v>
      </c>
      <c r="B889" t="str">
        <f t="shared" si="27"/>
        <v>N</v>
      </c>
      <c r="C889" t="s">
        <v>886</v>
      </c>
      <c r="D889" s="2">
        <v>0.22739999999999999</v>
      </c>
      <c r="E889" s="2">
        <v>0.25700000000000001</v>
      </c>
      <c r="F889" s="2">
        <v>0.23710000000000001</v>
      </c>
      <c r="G889" s="2">
        <v>0.27560000000000001</v>
      </c>
    </row>
    <row r="890" spans="1:7" x14ac:dyDescent="0.3">
      <c r="A890" t="str">
        <f t="shared" si="26"/>
        <v>LT</v>
      </c>
      <c r="B890" t="str">
        <f t="shared" si="27"/>
        <v>N</v>
      </c>
      <c r="C890" t="s">
        <v>887</v>
      </c>
      <c r="D890" s="2">
        <v>0.12130000000000001</v>
      </c>
      <c r="E890" s="2">
        <v>0.1241</v>
      </c>
      <c r="F890" s="2">
        <v>0.10150000000000001</v>
      </c>
      <c r="G890" s="2">
        <v>0.1169</v>
      </c>
    </row>
    <row r="891" spans="1:7" x14ac:dyDescent="0.3">
      <c r="A891" t="str">
        <f t="shared" si="26"/>
        <v>LT</v>
      </c>
      <c r="B891" t="str">
        <f t="shared" si="27"/>
        <v>N</v>
      </c>
      <c r="C891" t="s">
        <v>888</v>
      </c>
      <c r="D891" s="2">
        <v>0.39900000000000002</v>
      </c>
      <c r="E891" s="2">
        <v>0.37159999999999999</v>
      </c>
      <c r="F891" s="2">
        <v>0.38200000000000001</v>
      </c>
      <c r="G891" s="2">
        <v>0.4073</v>
      </c>
    </row>
    <row r="892" spans="1:7" x14ac:dyDescent="0.3">
      <c r="A892" t="str">
        <f t="shared" si="26"/>
        <v>LT</v>
      </c>
      <c r="B892" t="str">
        <f t="shared" si="27"/>
        <v>N</v>
      </c>
      <c r="C892" t="s">
        <v>889</v>
      </c>
      <c r="D892" s="2">
        <v>0</v>
      </c>
      <c r="E892" s="2">
        <v>0</v>
      </c>
      <c r="F892" s="2">
        <v>0</v>
      </c>
      <c r="G892" s="2">
        <v>0</v>
      </c>
    </row>
    <row r="893" spans="1:7" x14ac:dyDescent="0.3">
      <c r="A893" t="str">
        <f t="shared" si="26"/>
        <v>LT</v>
      </c>
      <c r="B893" t="str">
        <f t="shared" si="27"/>
        <v>N</v>
      </c>
      <c r="C893" t="s">
        <v>890</v>
      </c>
      <c r="D893" s="2">
        <v>0</v>
      </c>
      <c r="E893" s="2">
        <v>0</v>
      </c>
      <c r="F893" s="2">
        <v>0</v>
      </c>
      <c r="G893" s="2">
        <v>0</v>
      </c>
    </row>
    <row r="894" spans="1:7" x14ac:dyDescent="0.3">
      <c r="A894" t="str">
        <f t="shared" si="26"/>
        <v>LT</v>
      </c>
      <c r="B894" t="str">
        <f t="shared" si="27"/>
        <v>N</v>
      </c>
      <c r="C894" t="s">
        <v>891</v>
      </c>
      <c r="D894" s="2">
        <v>4.8999999999999998E-3</v>
      </c>
      <c r="E894" s="2">
        <v>5.9999999999999995E-4</v>
      </c>
      <c r="F894" s="2">
        <v>5.0000000000000001E-4</v>
      </c>
      <c r="G894" s="2">
        <v>5.9999999999999995E-4</v>
      </c>
    </row>
    <row r="895" spans="1:7" x14ac:dyDescent="0.3">
      <c r="A895" t="str">
        <f t="shared" si="26"/>
        <v>LT</v>
      </c>
      <c r="B895" t="str">
        <f t="shared" si="27"/>
        <v>F</v>
      </c>
      <c r="C895" t="s">
        <v>892</v>
      </c>
      <c r="D895" s="2">
        <v>0.19439999999999999</v>
      </c>
      <c r="E895" s="2">
        <v>0.21759999999999999</v>
      </c>
      <c r="F895" s="2">
        <v>0.21360000000000001</v>
      </c>
      <c r="G895" s="2">
        <v>0.19969999999999999</v>
      </c>
    </row>
    <row r="896" spans="1:7" x14ac:dyDescent="0.3">
      <c r="A896" t="str">
        <f t="shared" si="26"/>
        <v>LT</v>
      </c>
      <c r="B896" t="str">
        <f t="shared" si="27"/>
        <v>F</v>
      </c>
      <c r="C896" t="s">
        <v>893</v>
      </c>
      <c r="D896" s="2">
        <v>3.5700000000000003E-2</v>
      </c>
      <c r="E896" s="2">
        <v>2.8299999999999999E-2</v>
      </c>
      <c r="F896" s="2">
        <v>3.6999999999999998E-2</v>
      </c>
      <c r="G896" s="2">
        <v>2.9000000000000001E-2</v>
      </c>
    </row>
    <row r="897" spans="1:7" x14ac:dyDescent="0.3">
      <c r="A897" t="str">
        <f t="shared" si="26"/>
        <v>LT</v>
      </c>
      <c r="B897" t="str">
        <f t="shared" si="27"/>
        <v>F</v>
      </c>
      <c r="C897" t="s">
        <v>894</v>
      </c>
      <c r="D897" s="2">
        <v>0</v>
      </c>
      <c r="E897" s="2">
        <v>0</v>
      </c>
      <c r="F897" s="2">
        <v>0</v>
      </c>
      <c r="G897" s="2">
        <v>0</v>
      </c>
    </row>
    <row r="898" spans="1:7" x14ac:dyDescent="0.3">
      <c r="A898" t="str">
        <f t="shared" si="26"/>
        <v>LT</v>
      </c>
      <c r="B898" t="str">
        <f t="shared" si="27"/>
        <v>F</v>
      </c>
      <c r="C898" t="s">
        <v>895</v>
      </c>
      <c r="D898" s="2">
        <v>1.7923</v>
      </c>
      <c r="E898" s="2">
        <v>1.6072</v>
      </c>
      <c r="F898" s="2">
        <v>1.6711</v>
      </c>
      <c r="G898" s="2">
        <v>1.6625000000000001</v>
      </c>
    </row>
    <row r="899" spans="1:7" x14ac:dyDescent="0.3">
      <c r="A899" t="str">
        <f t="shared" si="26"/>
        <v>LT</v>
      </c>
      <c r="B899" t="str">
        <f t="shared" si="27"/>
        <v>F</v>
      </c>
      <c r="C899" t="s">
        <v>896</v>
      </c>
      <c r="D899" s="2">
        <v>0</v>
      </c>
      <c r="E899" s="2">
        <v>0</v>
      </c>
      <c r="F899" s="2">
        <v>0</v>
      </c>
      <c r="G899" s="2">
        <v>0</v>
      </c>
    </row>
    <row r="900" spans="1:7" x14ac:dyDescent="0.3">
      <c r="A900" t="str">
        <f t="shared" si="26"/>
        <v>LT</v>
      </c>
      <c r="B900" t="str">
        <f t="shared" si="27"/>
        <v>F</v>
      </c>
      <c r="C900" t="s">
        <v>897</v>
      </c>
      <c r="D900" s="2">
        <v>0.20119999999999999</v>
      </c>
      <c r="E900" s="2">
        <v>0.16739999999999999</v>
      </c>
      <c r="F900" s="2">
        <v>0.23250000000000001</v>
      </c>
      <c r="G900" s="2">
        <v>0.26029999999999998</v>
      </c>
    </row>
    <row r="901" spans="1:7" x14ac:dyDescent="0.3">
      <c r="A901" t="str">
        <f t="shared" ref="A901:A964" si="28">LEFT(C901,2)</f>
        <v>LT</v>
      </c>
      <c r="B901" t="str">
        <f t="shared" ref="B901:B964" si="29">RIGHT(C901,1)</f>
        <v>F</v>
      </c>
      <c r="C901" t="s">
        <v>898</v>
      </c>
      <c r="D901" s="2">
        <v>0.71020000000000005</v>
      </c>
      <c r="E901" s="2">
        <v>0.73499999999999999</v>
      </c>
      <c r="F901" s="2">
        <v>0.73599999999999999</v>
      </c>
      <c r="G901" s="2">
        <v>0.7923</v>
      </c>
    </row>
    <row r="902" spans="1:7" x14ac:dyDescent="0.3">
      <c r="A902" t="str">
        <f t="shared" si="28"/>
        <v>LT</v>
      </c>
      <c r="B902" t="str">
        <f t="shared" si="29"/>
        <v>F</v>
      </c>
      <c r="C902" t="s">
        <v>899</v>
      </c>
      <c r="D902" s="2">
        <v>0.80359999999999998</v>
      </c>
      <c r="E902" s="2">
        <v>0.79910000000000003</v>
      </c>
      <c r="F902" s="2">
        <v>0.81220000000000003</v>
      </c>
      <c r="G902" s="2">
        <v>0.85499999999999998</v>
      </c>
    </row>
    <row r="903" spans="1:7" x14ac:dyDescent="0.3">
      <c r="A903" t="str">
        <f t="shared" si="28"/>
        <v>LT</v>
      </c>
      <c r="B903" t="str">
        <f t="shared" si="29"/>
        <v>F</v>
      </c>
      <c r="C903" t="s">
        <v>900</v>
      </c>
      <c r="D903" s="2">
        <v>0</v>
      </c>
      <c r="E903" s="2">
        <v>0</v>
      </c>
      <c r="F903" s="2">
        <v>0</v>
      </c>
      <c r="G903" s="2">
        <v>0</v>
      </c>
    </row>
    <row r="904" spans="1:7" x14ac:dyDescent="0.3">
      <c r="A904" t="str">
        <f t="shared" si="28"/>
        <v>LT</v>
      </c>
      <c r="B904" t="str">
        <f t="shared" si="29"/>
        <v>F</v>
      </c>
      <c r="C904" t="s">
        <v>901</v>
      </c>
      <c r="D904" s="2">
        <v>0</v>
      </c>
      <c r="E904" s="2">
        <v>0</v>
      </c>
      <c r="F904" s="2">
        <v>0</v>
      </c>
      <c r="G904" s="2">
        <v>0</v>
      </c>
    </row>
    <row r="905" spans="1:7" x14ac:dyDescent="0.3">
      <c r="A905" t="str">
        <f t="shared" si="28"/>
        <v>LT</v>
      </c>
      <c r="B905" t="str">
        <f t="shared" si="29"/>
        <v>F</v>
      </c>
      <c r="C905" t="s">
        <v>902</v>
      </c>
      <c r="D905" s="2">
        <v>0.1968</v>
      </c>
      <c r="E905" s="2">
        <v>0.14099999999999999</v>
      </c>
      <c r="F905" s="2">
        <v>0.14680000000000001</v>
      </c>
      <c r="G905" s="2">
        <v>0.1608</v>
      </c>
    </row>
    <row r="906" spans="1:7" x14ac:dyDescent="0.3">
      <c r="A906" t="str">
        <f t="shared" si="28"/>
        <v>LT</v>
      </c>
      <c r="B906" t="str">
        <f t="shared" si="29"/>
        <v>O</v>
      </c>
      <c r="C906" t="s">
        <v>903</v>
      </c>
      <c r="D906" s="2">
        <v>0.28320000000000001</v>
      </c>
      <c r="E906" s="2">
        <v>0.31140000000000001</v>
      </c>
      <c r="F906" s="2">
        <v>0.26119999999999999</v>
      </c>
      <c r="G906" s="2">
        <v>0.25440000000000002</v>
      </c>
    </row>
    <row r="907" spans="1:7" x14ac:dyDescent="0.3">
      <c r="A907" t="str">
        <f t="shared" si="28"/>
        <v>LT</v>
      </c>
      <c r="B907" t="str">
        <f t="shared" si="29"/>
        <v>O</v>
      </c>
      <c r="C907" t="s">
        <v>904</v>
      </c>
      <c r="D907" s="2">
        <v>2.3300000000000001E-2</v>
      </c>
      <c r="E907" s="2">
        <v>1.7399999999999999E-2</v>
      </c>
      <c r="F907" s="2">
        <v>7.7999999999999996E-3</v>
      </c>
      <c r="G907" s="2">
        <v>7.3000000000000001E-3</v>
      </c>
    </row>
    <row r="908" spans="1:7" x14ac:dyDescent="0.3">
      <c r="A908" t="str">
        <f t="shared" si="28"/>
        <v>LT</v>
      </c>
      <c r="B908" t="str">
        <f t="shared" si="29"/>
        <v>O</v>
      </c>
      <c r="C908" t="s">
        <v>905</v>
      </c>
      <c r="D908" s="2">
        <v>0</v>
      </c>
      <c r="E908" s="2">
        <v>0</v>
      </c>
      <c r="F908" s="2">
        <v>0</v>
      </c>
      <c r="G908" s="2">
        <v>0</v>
      </c>
    </row>
    <row r="909" spans="1:7" x14ac:dyDescent="0.3">
      <c r="A909" t="str">
        <f t="shared" si="28"/>
        <v>LT</v>
      </c>
      <c r="B909" t="str">
        <f t="shared" si="29"/>
        <v>O</v>
      </c>
      <c r="C909" t="s">
        <v>906</v>
      </c>
      <c r="D909" s="2">
        <v>1.2801</v>
      </c>
      <c r="E909" s="2">
        <v>1.1914</v>
      </c>
      <c r="F909" s="2">
        <v>1.0968</v>
      </c>
      <c r="G909" s="2">
        <v>1.2199</v>
      </c>
    </row>
    <row r="910" spans="1:7" x14ac:dyDescent="0.3">
      <c r="A910" t="str">
        <f t="shared" si="28"/>
        <v>LT</v>
      </c>
      <c r="B910" t="str">
        <f t="shared" si="29"/>
        <v>O</v>
      </c>
      <c r="C910" t="s">
        <v>907</v>
      </c>
      <c r="D910" s="2">
        <v>0</v>
      </c>
      <c r="E910" s="2">
        <v>0</v>
      </c>
      <c r="F910" s="2">
        <v>0</v>
      </c>
      <c r="G910" s="2">
        <v>0</v>
      </c>
    </row>
    <row r="911" spans="1:7" x14ac:dyDescent="0.3">
      <c r="A911" t="str">
        <f t="shared" si="28"/>
        <v>LT</v>
      </c>
      <c r="B911" t="str">
        <f t="shared" si="29"/>
        <v>O</v>
      </c>
      <c r="C911" t="s">
        <v>908</v>
      </c>
      <c r="D911" s="2">
        <v>0.63970000000000005</v>
      </c>
      <c r="E911" s="2">
        <v>0.67700000000000005</v>
      </c>
      <c r="F911" s="2">
        <v>0.66200000000000003</v>
      </c>
      <c r="G911" s="2">
        <v>0.66359999999999997</v>
      </c>
    </row>
    <row r="912" spans="1:7" x14ac:dyDescent="0.3">
      <c r="A912" t="str">
        <f t="shared" si="28"/>
        <v>LT</v>
      </c>
      <c r="B912" t="str">
        <f t="shared" si="29"/>
        <v>O</v>
      </c>
      <c r="C912" t="s">
        <v>909</v>
      </c>
      <c r="D912" s="2">
        <v>0.80559999999999998</v>
      </c>
      <c r="E912" s="2">
        <v>0.95009999999999994</v>
      </c>
      <c r="F912" s="2">
        <v>0.86009999999999998</v>
      </c>
      <c r="G912" s="2">
        <v>1.0071000000000001</v>
      </c>
    </row>
    <row r="913" spans="1:7" x14ac:dyDescent="0.3">
      <c r="A913" t="str">
        <f t="shared" si="28"/>
        <v>LT</v>
      </c>
      <c r="B913" t="str">
        <f t="shared" si="29"/>
        <v>O</v>
      </c>
      <c r="C913" t="s">
        <v>910</v>
      </c>
      <c r="D913" s="2">
        <v>1.8848</v>
      </c>
      <c r="E913" s="2">
        <v>1.9598</v>
      </c>
      <c r="F913" s="2">
        <v>1.8734999999999999</v>
      </c>
      <c r="G913" s="2">
        <v>1.9697</v>
      </c>
    </row>
    <row r="914" spans="1:7" x14ac:dyDescent="0.3">
      <c r="A914" t="str">
        <f t="shared" si="28"/>
        <v>LT</v>
      </c>
      <c r="B914" t="str">
        <f t="shared" si="29"/>
        <v>O</v>
      </c>
      <c r="C914" t="s">
        <v>911</v>
      </c>
      <c r="D914" s="2">
        <v>0</v>
      </c>
      <c r="E914" s="2">
        <v>0</v>
      </c>
      <c r="F914" s="2">
        <v>0</v>
      </c>
      <c r="G914" s="2">
        <v>0</v>
      </c>
    </row>
    <row r="915" spans="1:7" x14ac:dyDescent="0.3">
      <c r="A915" t="str">
        <f t="shared" si="28"/>
        <v>LT</v>
      </c>
      <c r="B915" t="str">
        <f t="shared" si="29"/>
        <v>O</v>
      </c>
      <c r="C915" t="s">
        <v>912</v>
      </c>
      <c r="D915" s="2">
        <v>0</v>
      </c>
      <c r="E915" s="2">
        <v>0</v>
      </c>
      <c r="F915" s="2">
        <v>0</v>
      </c>
      <c r="G915" s="2">
        <v>0</v>
      </c>
    </row>
    <row r="916" spans="1:7" x14ac:dyDescent="0.3">
      <c r="A916" t="str">
        <f t="shared" si="28"/>
        <v>LT</v>
      </c>
      <c r="B916" t="str">
        <f t="shared" si="29"/>
        <v>O</v>
      </c>
      <c r="C916" t="s">
        <v>913</v>
      </c>
      <c r="D916" s="2">
        <v>0.21329999999999999</v>
      </c>
      <c r="E916" s="2">
        <v>0.1769</v>
      </c>
      <c r="F916" s="2">
        <v>0.1883</v>
      </c>
      <c r="G916" s="2">
        <v>0.246</v>
      </c>
    </row>
    <row r="917" spans="1:7" x14ac:dyDescent="0.3">
      <c r="A917" t="str">
        <f t="shared" si="28"/>
        <v>LU</v>
      </c>
      <c r="B917" t="str">
        <f t="shared" si="29"/>
        <v>N</v>
      </c>
      <c r="C917" t="s">
        <v>914</v>
      </c>
      <c r="D917" s="2">
        <v>8.9300000000000004E-2</v>
      </c>
      <c r="E917" s="2">
        <v>0.1225</v>
      </c>
      <c r="F917" s="2">
        <v>0.1124</v>
      </c>
      <c r="G917" s="2">
        <v>0.10489999999999999</v>
      </c>
    </row>
    <row r="918" spans="1:7" x14ac:dyDescent="0.3">
      <c r="A918" t="str">
        <f t="shared" si="28"/>
        <v>LU</v>
      </c>
      <c r="B918" t="str">
        <f t="shared" si="29"/>
        <v>N</v>
      </c>
      <c r="C918" t="s">
        <v>915</v>
      </c>
      <c r="D918" s="2">
        <v>0.74170000000000003</v>
      </c>
      <c r="E918" s="2">
        <v>0.83199999999999996</v>
      </c>
      <c r="F918" s="2">
        <v>0.68159999999999998</v>
      </c>
      <c r="G918" s="2">
        <v>0.74280000000000002</v>
      </c>
    </row>
    <row r="919" spans="1:7" x14ac:dyDescent="0.3">
      <c r="A919" t="str">
        <f t="shared" si="28"/>
        <v>LU</v>
      </c>
      <c r="B919" t="str">
        <f t="shared" si="29"/>
        <v>N</v>
      </c>
      <c r="C919" t="s">
        <v>916</v>
      </c>
      <c r="D919" s="2">
        <v>0</v>
      </c>
      <c r="E919" s="2">
        <v>0</v>
      </c>
      <c r="F919" s="2">
        <v>0</v>
      </c>
      <c r="G919" s="2">
        <v>0</v>
      </c>
    </row>
    <row r="920" spans="1:7" x14ac:dyDescent="0.3">
      <c r="A920" t="str">
        <f t="shared" si="28"/>
        <v>LU</v>
      </c>
      <c r="B920" t="str">
        <f t="shared" si="29"/>
        <v>N</v>
      </c>
      <c r="C920" t="s">
        <v>917</v>
      </c>
      <c r="D920" s="2">
        <v>1.7188000000000001</v>
      </c>
      <c r="E920" s="2">
        <v>1.6536999999999999</v>
      </c>
      <c r="F920" s="2">
        <v>1.1688000000000001</v>
      </c>
      <c r="G920" s="2">
        <v>0.9496</v>
      </c>
    </row>
    <row r="921" spans="1:7" x14ac:dyDescent="0.3">
      <c r="A921" t="str">
        <f t="shared" si="28"/>
        <v>LU</v>
      </c>
      <c r="B921" t="str">
        <f t="shared" si="29"/>
        <v>N</v>
      </c>
      <c r="C921" t="s">
        <v>918</v>
      </c>
      <c r="D921" s="2">
        <v>0</v>
      </c>
      <c r="E921" s="2">
        <v>0</v>
      </c>
      <c r="F921" s="2">
        <v>0</v>
      </c>
      <c r="G921" s="2">
        <v>0</v>
      </c>
    </row>
    <row r="922" spans="1:7" x14ac:dyDescent="0.3">
      <c r="A922" t="str">
        <f t="shared" si="28"/>
        <v>LU</v>
      </c>
      <c r="B922" t="str">
        <f t="shared" si="29"/>
        <v>N</v>
      </c>
      <c r="C922" t="s">
        <v>919</v>
      </c>
      <c r="D922" s="2">
        <v>0.44419999999999998</v>
      </c>
      <c r="E922" s="2">
        <v>0.4516</v>
      </c>
      <c r="F922" s="2">
        <v>0.69610000000000005</v>
      </c>
      <c r="G922" s="2">
        <v>0.57899999999999996</v>
      </c>
    </row>
    <row r="923" spans="1:7" x14ac:dyDescent="0.3">
      <c r="A923" t="str">
        <f t="shared" si="28"/>
        <v>LU</v>
      </c>
      <c r="B923" t="str">
        <f t="shared" si="29"/>
        <v>N</v>
      </c>
      <c r="C923" t="s">
        <v>920</v>
      </c>
      <c r="D923" s="2">
        <v>7.7600000000000002E-2</v>
      </c>
      <c r="E923" s="2">
        <v>7.1099999999999997E-2</v>
      </c>
      <c r="F923" s="2">
        <v>6.2600000000000003E-2</v>
      </c>
      <c r="G923" s="2">
        <v>3.7100000000000001E-2</v>
      </c>
    </row>
    <row r="924" spans="1:7" x14ac:dyDescent="0.3">
      <c r="A924" t="str">
        <f t="shared" si="28"/>
        <v>LU</v>
      </c>
      <c r="B924" t="str">
        <f t="shared" si="29"/>
        <v>N</v>
      </c>
      <c r="C924" t="s">
        <v>921</v>
      </c>
      <c r="D924" s="2">
        <v>0.20549999999999999</v>
      </c>
      <c r="E924" s="2">
        <v>0.1918</v>
      </c>
      <c r="F924" s="2">
        <v>0.17649999999999999</v>
      </c>
      <c r="G924" s="2">
        <v>0.124</v>
      </c>
    </row>
    <row r="925" spans="1:7" x14ac:dyDescent="0.3">
      <c r="A925" t="str">
        <f t="shared" si="28"/>
        <v>LU</v>
      </c>
      <c r="B925" t="str">
        <f t="shared" si="29"/>
        <v>N</v>
      </c>
      <c r="C925" t="s">
        <v>922</v>
      </c>
      <c r="D925" s="2">
        <v>0</v>
      </c>
      <c r="E925" s="2">
        <v>0</v>
      </c>
      <c r="F925" s="2">
        <v>0</v>
      </c>
      <c r="G925" s="2">
        <v>0</v>
      </c>
    </row>
    <row r="926" spans="1:7" x14ac:dyDescent="0.3">
      <c r="A926" t="str">
        <f t="shared" si="28"/>
        <v>LU</v>
      </c>
      <c r="B926" t="str">
        <f t="shared" si="29"/>
        <v>N</v>
      </c>
      <c r="C926" t="s">
        <v>923</v>
      </c>
      <c r="D926" s="2">
        <v>0</v>
      </c>
      <c r="E926" s="2">
        <v>0</v>
      </c>
      <c r="F926" s="2">
        <v>0</v>
      </c>
      <c r="G926" s="2">
        <v>0</v>
      </c>
    </row>
    <row r="927" spans="1:7" x14ac:dyDescent="0.3">
      <c r="A927" t="str">
        <f t="shared" si="28"/>
        <v>LU</v>
      </c>
      <c r="B927" t="str">
        <f t="shared" si="29"/>
        <v>N</v>
      </c>
      <c r="C927" t="s">
        <v>924</v>
      </c>
      <c r="D927" s="2">
        <v>0</v>
      </c>
      <c r="E927" s="2">
        <v>0</v>
      </c>
      <c r="F927" s="2">
        <v>0</v>
      </c>
      <c r="G927" s="2">
        <v>0</v>
      </c>
    </row>
    <row r="928" spans="1:7" x14ac:dyDescent="0.3">
      <c r="A928" t="str">
        <f t="shared" si="28"/>
        <v>LU</v>
      </c>
      <c r="B928" t="str">
        <f t="shared" si="29"/>
        <v>I</v>
      </c>
      <c r="C928" t="s">
        <v>925</v>
      </c>
      <c r="D928" s="2">
        <v>2.7900000000000001E-2</v>
      </c>
      <c r="E928" s="2">
        <v>2.5000000000000001E-2</v>
      </c>
      <c r="F928" s="2">
        <v>2.3099999999999999E-2</v>
      </c>
      <c r="G928" s="2">
        <v>2.1299999999999999E-2</v>
      </c>
    </row>
    <row r="929" spans="1:7" x14ac:dyDescent="0.3">
      <c r="A929" t="str">
        <f t="shared" si="28"/>
        <v>LU</v>
      </c>
      <c r="B929" t="str">
        <f t="shared" si="29"/>
        <v>I</v>
      </c>
      <c r="C929" t="s">
        <v>926</v>
      </c>
      <c r="D929" s="2">
        <v>6.4399999999999999E-2</v>
      </c>
      <c r="E929" s="2">
        <v>6.5500000000000003E-2</v>
      </c>
      <c r="F929" s="2">
        <v>5.9499999999999997E-2</v>
      </c>
      <c r="G929" s="2">
        <v>4.9599999999999998E-2</v>
      </c>
    </row>
    <row r="930" spans="1:7" x14ac:dyDescent="0.3">
      <c r="A930" t="str">
        <f t="shared" si="28"/>
        <v>LU</v>
      </c>
      <c r="B930" t="str">
        <f t="shared" si="29"/>
        <v>I</v>
      </c>
      <c r="C930" t="s">
        <v>927</v>
      </c>
      <c r="D930" s="2">
        <v>0</v>
      </c>
      <c r="E930" s="2">
        <v>0</v>
      </c>
      <c r="F930" s="2">
        <v>0</v>
      </c>
      <c r="G930" s="2">
        <v>0</v>
      </c>
    </row>
    <row r="931" spans="1:7" x14ac:dyDescent="0.3">
      <c r="A931" t="str">
        <f t="shared" si="28"/>
        <v>LU</v>
      </c>
      <c r="B931" t="str">
        <f t="shared" si="29"/>
        <v>I</v>
      </c>
      <c r="C931" t="s">
        <v>928</v>
      </c>
      <c r="D931" s="2">
        <v>3.5697000000000001</v>
      </c>
      <c r="E931" s="2">
        <v>3.3831000000000002</v>
      </c>
      <c r="F931" s="2">
        <v>3.0653000000000001</v>
      </c>
      <c r="G931" s="2">
        <v>3.1190000000000002</v>
      </c>
    </row>
    <row r="932" spans="1:7" x14ac:dyDescent="0.3">
      <c r="A932" t="str">
        <f t="shared" si="28"/>
        <v>LU</v>
      </c>
      <c r="B932" t="str">
        <f t="shared" si="29"/>
        <v>I</v>
      </c>
      <c r="C932" t="s">
        <v>929</v>
      </c>
      <c r="D932" s="2">
        <v>0</v>
      </c>
      <c r="E932" s="2">
        <v>0</v>
      </c>
      <c r="F932" s="2">
        <v>0</v>
      </c>
      <c r="G932" s="2">
        <v>0</v>
      </c>
    </row>
    <row r="933" spans="1:7" x14ac:dyDescent="0.3">
      <c r="A933" t="str">
        <f t="shared" si="28"/>
        <v>LU</v>
      </c>
      <c r="B933" t="str">
        <f t="shared" si="29"/>
        <v>I</v>
      </c>
      <c r="C933" t="s">
        <v>930</v>
      </c>
      <c r="D933" s="2">
        <v>0</v>
      </c>
      <c r="E933" s="2">
        <v>0</v>
      </c>
      <c r="F933" s="2">
        <v>0</v>
      </c>
      <c r="G933" s="2">
        <v>0</v>
      </c>
    </row>
    <row r="934" spans="1:7" x14ac:dyDescent="0.3">
      <c r="A934" t="str">
        <f t="shared" si="28"/>
        <v>LU</v>
      </c>
      <c r="B934" t="str">
        <f t="shared" si="29"/>
        <v>I</v>
      </c>
      <c r="C934" t="s">
        <v>931</v>
      </c>
      <c r="D934" s="2">
        <v>5.5381</v>
      </c>
      <c r="E934" s="2">
        <v>4.9904999999999999</v>
      </c>
      <c r="F934" s="2">
        <v>4.6032999999999999</v>
      </c>
      <c r="G934" s="2">
        <v>3.7997000000000001</v>
      </c>
    </row>
    <row r="935" spans="1:7" x14ac:dyDescent="0.3">
      <c r="A935" t="str">
        <f t="shared" si="28"/>
        <v>LU</v>
      </c>
      <c r="B935" t="str">
        <f t="shared" si="29"/>
        <v>I</v>
      </c>
      <c r="C935" t="s">
        <v>932</v>
      </c>
      <c r="D935" s="2">
        <v>0.6341</v>
      </c>
      <c r="E935" s="2">
        <v>0.57730000000000004</v>
      </c>
      <c r="F935" s="2">
        <v>0.53169999999999995</v>
      </c>
      <c r="G935" s="2">
        <v>0.45490000000000003</v>
      </c>
    </row>
    <row r="936" spans="1:7" x14ac:dyDescent="0.3">
      <c r="A936" t="str">
        <f t="shared" si="28"/>
        <v>LU</v>
      </c>
      <c r="B936" t="str">
        <f t="shared" si="29"/>
        <v>I</v>
      </c>
      <c r="C936" t="s">
        <v>933</v>
      </c>
      <c r="D936" s="2">
        <v>0</v>
      </c>
      <c r="E936" s="2">
        <v>0</v>
      </c>
      <c r="F936" s="2">
        <v>0</v>
      </c>
      <c r="G936" s="2">
        <v>0</v>
      </c>
    </row>
    <row r="937" spans="1:7" x14ac:dyDescent="0.3">
      <c r="A937" t="str">
        <f t="shared" si="28"/>
        <v>LU</v>
      </c>
      <c r="B937" t="str">
        <f t="shared" si="29"/>
        <v>I</v>
      </c>
      <c r="C937" t="s">
        <v>934</v>
      </c>
      <c r="D937" s="2">
        <v>0</v>
      </c>
      <c r="E937" s="2">
        <v>0</v>
      </c>
      <c r="F937" s="2">
        <v>0</v>
      </c>
      <c r="G937" s="2">
        <v>0</v>
      </c>
    </row>
    <row r="938" spans="1:7" x14ac:dyDescent="0.3">
      <c r="A938" t="str">
        <f t="shared" si="28"/>
        <v>LU</v>
      </c>
      <c r="B938" t="str">
        <f t="shared" si="29"/>
        <v>I</v>
      </c>
      <c r="C938" t="s">
        <v>935</v>
      </c>
      <c r="D938" s="2">
        <v>9.8363999999999994</v>
      </c>
      <c r="E938" s="2">
        <v>9.0432000000000006</v>
      </c>
      <c r="F938" s="2">
        <v>8.2843999999999998</v>
      </c>
      <c r="G938" s="2">
        <v>7.4462000000000002</v>
      </c>
    </row>
    <row r="939" spans="1:7" x14ac:dyDescent="0.3">
      <c r="A939" t="str">
        <f t="shared" si="28"/>
        <v>LU</v>
      </c>
      <c r="B939" t="str">
        <f t="shared" si="29"/>
        <v>O</v>
      </c>
      <c r="C939" t="s">
        <v>936</v>
      </c>
      <c r="D939" s="2">
        <v>0.30740000000000001</v>
      </c>
      <c r="E939" s="2">
        <v>0.42049999999999998</v>
      </c>
      <c r="F939" s="2">
        <v>0.39360000000000001</v>
      </c>
      <c r="G939" s="2">
        <v>0.3659</v>
      </c>
    </row>
    <row r="940" spans="1:7" x14ac:dyDescent="0.3">
      <c r="A940" t="str">
        <f t="shared" si="28"/>
        <v>LU</v>
      </c>
      <c r="B940" t="str">
        <f t="shared" si="29"/>
        <v>O</v>
      </c>
      <c r="C940" t="s">
        <v>937</v>
      </c>
      <c r="D940" s="2">
        <v>2.5399999999999999E-2</v>
      </c>
      <c r="E940" s="2">
        <v>2.2499999999999999E-2</v>
      </c>
      <c r="F940" s="2">
        <v>2.4899999999999999E-2</v>
      </c>
      <c r="G940" s="2">
        <v>1.2800000000000001E-2</v>
      </c>
    </row>
    <row r="941" spans="1:7" x14ac:dyDescent="0.3">
      <c r="A941" t="str">
        <f t="shared" si="28"/>
        <v>LU</v>
      </c>
      <c r="B941" t="str">
        <f t="shared" si="29"/>
        <v>O</v>
      </c>
      <c r="C941" t="s">
        <v>938</v>
      </c>
      <c r="D941" s="2">
        <v>0</v>
      </c>
      <c r="E941" s="2">
        <v>0</v>
      </c>
      <c r="F941" s="2">
        <v>0</v>
      </c>
      <c r="G941" s="2">
        <v>0</v>
      </c>
    </row>
    <row r="942" spans="1:7" x14ac:dyDescent="0.3">
      <c r="A942" t="str">
        <f t="shared" si="28"/>
        <v>LU</v>
      </c>
      <c r="B942" t="str">
        <f t="shared" si="29"/>
        <v>O</v>
      </c>
      <c r="C942" t="s">
        <v>939</v>
      </c>
      <c r="D942" s="2">
        <v>1.0599000000000001</v>
      </c>
      <c r="E942" s="2">
        <v>1.0851</v>
      </c>
      <c r="F942" s="2">
        <v>0.98699999999999999</v>
      </c>
      <c r="G942" s="2">
        <v>1.4201999999999999</v>
      </c>
    </row>
    <row r="943" spans="1:7" x14ac:dyDescent="0.3">
      <c r="A943" t="str">
        <f t="shared" si="28"/>
        <v>LU</v>
      </c>
      <c r="B943" t="str">
        <f t="shared" si="29"/>
        <v>O</v>
      </c>
      <c r="C943" t="s">
        <v>940</v>
      </c>
      <c r="D943" s="2">
        <v>0</v>
      </c>
      <c r="E943" s="2">
        <v>0</v>
      </c>
      <c r="F943" s="2">
        <v>0</v>
      </c>
      <c r="G943" s="2">
        <v>0</v>
      </c>
    </row>
    <row r="944" spans="1:7" x14ac:dyDescent="0.3">
      <c r="A944" t="str">
        <f t="shared" si="28"/>
        <v>LU</v>
      </c>
      <c r="B944" t="str">
        <f t="shared" si="29"/>
        <v>O</v>
      </c>
      <c r="C944" t="s">
        <v>941</v>
      </c>
      <c r="D944" s="2">
        <v>0.1782</v>
      </c>
      <c r="E944" s="2">
        <v>5.7099999999999998E-2</v>
      </c>
      <c r="F944" s="2">
        <v>5.7299999999999997E-2</v>
      </c>
      <c r="G944" s="2">
        <v>0.12959999999999999</v>
      </c>
    </row>
    <row r="945" spans="1:7" x14ac:dyDescent="0.3">
      <c r="A945" t="str">
        <f t="shared" si="28"/>
        <v>LU</v>
      </c>
      <c r="B945" t="str">
        <f t="shared" si="29"/>
        <v>O</v>
      </c>
      <c r="C945" t="s">
        <v>942</v>
      </c>
      <c r="D945" s="2">
        <v>0.37480000000000002</v>
      </c>
      <c r="E945" s="2">
        <v>0.38629999999999998</v>
      </c>
      <c r="F945" s="2">
        <v>0.40679999999999999</v>
      </c>
      <c r="G945" s="2">
        <v>0.6028</v>
      </c>
    </row>
    <row r="946" spans="1:7" x14ac:dyDescent="0.3">
      <c r="A946" t="str">
        <f t="shared" si="28"/>
        <v>LU</v>
      </c>
      <c r="B946" t="str">
        <f t="shared" si="29"/>
        <v>O</v>
      </c>
      <c r="C946" t="s">
        <v>943</v>
      </c>
      <c r="D946" s="2">
        <v>1.0736000000000001</v>
      </c>
      <c r="E946" s="2">
        <v>1.1870000000000001</v>
      </c>
      <c r="F946" s="2">
        <v>1.1984999999999999</v>
      </c>
      <c r="G946" s="2">
        <v>1.8776999999999999</v>
      </c>
    </row>
    <row r="947" spans="1:7" x14ac:dyDescent="0.3">
      <c r="A947" t="str">
        <f t="shared" si="28"/>
        <v>LU</v>
      </c>
      <c r="B947" t="str">
        <f t="shared" si="29"/>
        <v>O</v>
      </c>
      <c r="C947" t="s">
        <v>944</v>
      </c>
      <c r="D947" s="2">
        <v>0</v>
      </c>
      <c r="E947" s="2">
        <v>0</v>
      </c>
      <c r="F947" s="2">
        <v>0</v>
      </c>
      <c r="G947" s="2">
        <v>0</v>
      </c>
    </row>
    <row r="948" spans="1:7" x14ac:dyDescent="0.3">
      <c r="A948" t="str">
        <f t="shared" si="28"/>
        <v>LU</v>
      </c>
      <c r="B948" t="str">
        <f t="shared" si="29"/>
        <v>O</v>
      </c>
      <c r="C948" t="s">
        <v>945</v>
      </c>
      <c r="D948" s="2">
        <v>0</v>
      </c>
      <c r="E948" s="2">
        <v>0</v>
      </c>
      <c r="F948" s="2">
        <v>0</v>
      </c>
      <c r="G948" s="2">
        <v>0</v>
      </c>
    </row>
    <row r="949" spans="1:7" x14ac:dyDescent="0.3">
      <c r="A949" t="str">
        <f t="shared" si="28"/>
        <v>LU</v>
      </c>
      <c r="B949" t="str">
        <f t="shared" si="29"/>
        <v>O</v>
      </c>
      <c r="C949" t="s">
        <v>946</v>
      </c>
      <c r="D949" s="2">
        <v>1.8599999999999998E-2</v>
      </c>
      <c r="E949" s="2">
        <v>5.4300000000000001E-2</v>
      </c>
      <c r="F949" s="2">
        <v>5.1900000000000002E-2</v>
      </c>
      <c r="G949" s="2">
        <v>3.6700000000000003E-2</v>
      </c>
    </row>
    <row r="950" spans="1:7" x14ac:dyDescent="0.3">
      <c r="A950" t="str">
        <f t="shared" si="28"/>
        <v>LV</v>
      </c>
      <c r="B950" t="str">
        <f t="shared" si="29"/>
        <v>W</v>
      </c>
      <c r="C950" t="s">
        <v>947</v>
      </c>
      <c r="D950" s="2">
        <v>0.1613</v>
      </c>
      <c r="E950" s="2">
        <v>0.1452</v>
      </c>
      <c r="F950" s="2">
        <v>0.14030000000000001</v>
      </c>
      <c r="G950" s="2">
        <v>0.15770000000000001</v>
      </c>
    </row>
    <row r="951" spans="1:7" x14ac:dyDescent="0.3">
      <c r="A951" t="str">
        <f t="shared" si="28"/>
        <v>LV</v>
      </c>
      <c r="B951" t="str">
        <f t="shared" si="29"/>
        <v>W</v>
      </c>
      <c r="C951" t="s">
        <v>948</v>
      </c>
      <c r="D951" s="2">
        <v>0</v>
      </c>
      <c r="E951" s="2">
        <v>4.1000000000000003E-3</v>
      </c>
      <c r="F951" s="2">
        <v>2.5999999999999999E-3</v>
      </c>
      <c r="G951" s="2">
        <v>8.0000000000000002E-3</v>
      </c>
    </row>
    <row r="952" spans="1:7" x14ac:dyDescent="0.3">
      <c r="A952" t="str">
        <f t="shared" si="28"/>
        <v>LV</v>
      </c>
      <c r="B952" t="str">
        <f t="shared" si="29"/>
        <v>W</v>
      </c>
      <c r="C952" t="s">
        <v>949</v>
      </c>
      <c r="D952" s="2">
        <v>0</v>
      </c>
      <c r="E952" s="2">
        <v>0</v>
      </c>
      <c r="F952" s="2">
        <v>0</v>
      </c>
      <c r="G952" s="2">
        <v>0</v>
      </c>
    </row>
    <row r="953" spans="1:7" x14ac:dyDescent="0.3">
      <c r="A953" t="str">
        <f t="shared" si="28"/>
        <v>LV</v>
      </c>
      <c r="B953" t="str">
        <f t="shared" si="29"/>
        <v>W</v>
      </c>
      <c r="C953" t="s">
        <v>950</v>
      </c>
      <c r="D953" s="2">
        <v>0.31830000000000003</v>
      </c>
      <c r="E953" s="2">
        <v>0.1706</v>
      </c>
      <c r="F953" s="2">
        <v>0.14449999999999999</v>
      </c>
      <c r="G953" s="2">
        <v>0.1721</v>
      </c>
    </row>
    <row r="954" spans="1:7" x14ac:dyDescent="0.3">
      <c r="A954" t="str">
        <f t="shared" si="28"/>
        <v>LV</v>
      </c>
      <c r="B954" t="str">
        <f t="shared" si="29"/>
        <v>W</v>
      </c>
      <c r="C954" t="s">
        <v>951</v>
      </c>
      <c r="D954" s="2">
        <v>0</v>
      </c>
      <c r="E954" s="2">
        <v>0</v>
      </c>
      <c r="F954" s="2">
        <v>0</v>
      </c>
      <c r="G954" s="2">
        <v>0</v>
      </c>
    </row>
    <row r="955" spans="1:7" x14ac:dyDescent="0.3">
      <c r="A955" t="str">
        <f t="shared" si="28"/>
        <v>LV</v>
      </c>
      <c r="B955" t="str">
        <f t="shared" si="29"/>
        <v>W</v>
      </c>
      <c r="C955" t="s">
        <v>952</v>
      </c>
      <c r="D955" s="2">
        <v>5.2995999999999999</v>
      </c>
      <c r="E955" s="2">
        <v>5.5666000000000002</v>
      </c>
      <c r="F955" s="2">
        <v>5.9038000000000004</v>
      </c>
      <c r="G955" s="2">
        <v>6.2592999999999996</v>
      </c>
    </row>
    <row r="956" spans="1:7" x14ac:dyDescent="0.3">
      <c r="A956" t="str">
        <f t="shared" si="28"/>
        <v>LV</v>
      </c>
      <c r="B956" t="str">
        <f t="shared" si="29"/>
        <v>W</v>
      </c>
      <c r="C956" t="s">
        <v>953</v>
      </c>
      <c r="D956" s="2">
        <v>0.1474</v>
      </c>
      <c r="E956" s="2">
        <v>0.17499999999999999</v>
      </c>
      <c r="F956" s="2">
        <v>0.19270000000000001</v>
      </c>
      <c r="G956" s="2">
        <v>0.19309999999999999</v>
      </c>
    </row>
    <row r="957" spans="1:7" x14ac:dyDescent="0.3">
      <c r="A957" t="str">
        <f t="shared" si="28"/>
        <v>LV</v>
      </c>
      <c r="B957" t="str">
        <f t="shared" si="29"/>
        <v>W</v>
      </c>
      <c r="C957" t="s">
        <v>954</v>
      </c>
      <c r="D957" s="2">
        <v>1.1728000000000001</v>
      </c>
      <c r="E957" s="2">
        <v>1.1923999999999999</v>
      </c>
      <c r="F957" s="2">
        <v>1.2472000000000001</v>
      </c>
      <c r="G957" s="2">
        <v>1.2844</v>
      </c>
    </row>
    <row r="958" spans="1:7" x14ac:dyDescent="0.3">
      <c r="A958" t="str">
        <f t="shared" si="28"/>
        <v>LV</v>
      </c>
      <c r="B958" t="str">
        <f t="shared" si="29"/>
        <v>W</v>
      </c>
      <c r="C958" t="s">
        <v>955</v>
      </c>
      <c r="D958" s="2">
        <v>0</v>
      </c>
      <c r="E958" s="2">
        <v>0</v>
      </c>
      <c r="F958" s="2">
        <v>0</v>
      </c>
      <c r="G958" s="2">
        <v>0</v>
      </c>
    </row>
    <row r="959" spans="1:7" x14ac:dyDescent="0.3">
      <c r="A959" t="str">
        <f t="shared" si="28"/>
        <v>LV</v>
      </c>
      <c r="B959" t="str">
        <f t="shared" si="29"/>
        <v>W</v>
      </c>
      <c r="C959" t="s">
        <v>956</v>
      </c>
      <c r="D959" s="2">
        <v>0</v>
      </c>
      <c r="E959" s="2">
        <v>0</v>
      </c>
      <c r="F959" s="2">
        <v>0</v>
      </c>
      <c r="G959" s="2">
        <v>0</v>
      </c>
    </row>
    <row r="960" spans="1:7" x14ac:dyDescent="0.3">
      <c r="A960" t="str">
        <f t="shared" si="28"/>
        <v>LV</v>
      </c>
      <c r="B960" t="str">
        <f t="shared" si="29"/>
        <v>W</v>
      </c>
      <c r="C960" t="s">
        <v>957</v>
      </c>
      <c r="D960" s="2">
        <v>1.5482</v>
      </c>
      <c r="E960" s="2">
        <v>1.3933</v>
      </c>
      <c r="F960" s="2">
        <v>1.2088000000000001</v>
      </c>
      <c r="G960" s="2">
        <v>1.1775</v>
      </c>
    </row>
    <row r="961" spans="1:7" x14ac:dyDescent="0.3">
      <c r="A961" t="str">
        <f t="shared" si="28"/>
        <v>LV</v>
      </c>
      <c r="B961" t="str">
        <f t="shared" si="29"/>
        <v>N</v>
      </c>
      <c r="C961" t="s">
        <v>958</v>
      </c>
      <c r="D961" s="2">
        <v>0.2039</v>
      </c>
      <c r="E961" s="2">
        <v>0.16500000000000001</v>
      </c>
      <c r="F961" s="2">
        <v>0.19309999999999999</v>
      </c>
      <c r="G961" s="2">
        <v>0.14929999999999999</v>
      </c>
    </row>
    <row r="962" spans="1:7" x14ac:dyDescent="0.3">
      <c r="A962" t="str">
        <f t="shared" si="28"/>
        <v>LV</v>
      </c>
      <c r="B962" t="str">
        <f t="shared" si="29"/>
        <v>N</v>
      </c>
      <c r="C962" t="s">
        <v>959</v>
      </c>
      <c r="D962" s="2">
        <v>0.62039999999999995</v>
      </c>
      <c r="E962" s="2">
        <v>0.56830000000000003</v>
      </c>
      <c r="F962" s="2">
        <v>0.3584</v>
      </c>
      <c r="G962" s="2">
        <v>0.2273</v>
      </c>
    </row>
    <row r="963" spans="1:7" x14ac:dyDescent="0.3">
      <c r="A963" t="str">
        <f t="shared" si="28"/>
        <v>LV</v>
      </c>
      <c r="B963" t="str">
        <f t="shared" si="29"/>
        <v>N</v>
      </c>
      <c r="C963" t="s">
        <v>960</v>
      </c>
      <c r="D963" s="2">
        <v>0</v>
      </c>
      <c r="E963" s="2">
        <v>0</v>
      </c>
      <c r="F963" s="2">
        <v>0</v>
      </c>
      <c r="G963" s="2">
        <v>0</v>
      </c>
    </row>
    <row r="964" spans="1:7" x14ac:dyDescent="0.3">
      <c r="A964" t="str">
        <f t="shared" si="28"/>
        <v>LV</v>
      </c>
      <c r="B964" t="str">
        <f t="shared" si="29"/>
        <v>N</v>
      </c>
      <c r="C964" t="s">
        <v>961</v>
      </c>
      <c r="D964" s="2">
        <v>0.62480000000000002</v>
      </c>
      <c r="E964" s="2">
        <v>0.63149999999999995</v>
      </c>
      <c r="F964" s="2">
        <v>0.63529999999999998</v>
      </c>
      <c r="G964" s="2">
        <v>0.6552</v>
      </c>
    </row>
    <row r="965" spans="1:7" x14ac:dyDescent="0.3">
      <c r="A965" t="str">
        <f t="shared" ref="A965:A1028" si="30">LEFT(C965,2)</f>
        <v>LV</v>
      </c>
      <c r="B965" t="str">
        <f t="shared" ref="B965:B1028" si="31">RIGHT(C965,1)</f>
        <v>N</v>
      </c>
      <c r="C965" t="s">
        <v>962</v>
      </c>
      <c r="D965" s="2">
        <v>0</v>
      </c>
      <c r="E965" s="2">
        <v>0</v>
      </c>
      <c r="F965" s="2">
        <v>0</v>
      </c>
      <c r="G965" s="2">
        <v>0</v>
      </c>
    </row>
    <row r="966" spans="1:7" x14ac:dyDescent="0.3">
      <c r="A966" t="str">
        <f t="shared" si="30"/>
        <v>LV</v>
      </c>
      <c r="B966" t="str">
        <f t="shared" si="31"/>
        <v>N</v>
      </c>
      <c r="C966" t="s">
        <v>963</v>
      </c>
      <c r="D966" s="2">
        <v>1.8374999999999999</v>
      </c>
      <c r="E966" s="2">
        <v>1.7502</v>
      </c>
      <c r="F966" s="2">
        <v>2.3332000000000002</v>
      </c>
      <c r="G966" s="2">
        <v>2.2991999999999999</v>
      </c>
    </row>
    <row r="967" spans="1:7" x14ac:dyDescent="0.3">
      <c r="A967" t="str">
        <f t="shared" si="30"/>
        <v>LV</v>
      </c>
      <c r="B967" t="str">
        <f t="shared" si="31"/>
        <v>N</v>
      </c>
      <c r="C967" t="s">
        <v>964</v>
      </c>
      <c r="D967" s="2">
        <v>0.21890000000000001</v>
      </c>
      <c r="E967" s="2">
        <v>0.2102</v>
      </c>
      <c r="F967" s="2">
        <v>0.2235</v>
      </c>
      <c r="G967" s="2">
        <v>0.2291</v>
      </c>
    </row>
    <row r="968" spans="1:7" x14ac:dyDescent="0.3">
      <c r="A968" t="str">
        <f t="shared" si="30"/>
        <v>LV</v>
      </c>
      <c r="B968" t="str">
        <f t="shared" si="31"/>
        <v>N</v>
      </c>
      <c r="C968" t="s">
        <v>965</v>
      </c>
      <c r="D968" s="2">
        <v>0.34699999999999998</v>
      </c>
      <c r="E968" s="2">
        <v>0.3548</v>
      </c>
      <c r="F968" s="2">
        <v>0.33629999999999999</v>
      </c>
      <c r="G968" s="2">
        <v>0.35420000000000001</v>
      </c>
    </row>
    <row r="969" spans="1:7" x14ac:dyDescent="0.3">
      <c r="A969" t="str">
        <f t="shared" si="30"/>
        <v>LV</v>
      </c>
      <c r="B969" t="str">
        <f t="shared" si="31"/>
        <v>N</v>
      </c>
      <c r="C969" t="s">
        <v>966</v>
      </c>
      <c r="D969" s="2">
        <v>0</v>
      </c>
      <c r="E969" s="2">
        <v>0</v>
      </c>
      <c r="F969" s="2">
        <v>0</v>
      </c>
      <c r="G969" s="2">
        <v>0</v>
      </c>
    </row>
    <row r="970" spans="1:7" x14ac:dyDescent="0.3">
      <c r="A970" t="str">
        <f t="shared" si="30"/>
        <v>LV</v>
      </c>
      <c r="B970" t="str">
        <f t="shared" si="31"/>
        <v>N</v>
      </c>
      <c r="C970" t="s">
        <v>967</v>
      </c>
      <c r="D970" s="2">
        <v>0</v>
      </c>
      <c r="E970" s="2">
        <v>0</v>
      </c>
      <c r="F970" s="2">
        <v>0</v>
      </c>
      <c r="G970" s="2">
        <v>0</v>
      </c>
    </row>
    <row r="971" spans="1:7" x14ac:dyDescent="0.3">
      <c r="A971" t="str">
        <f t="shared" si="30"/>
        <v>LV</v>
      </c>
      <c r="B971" t="str">
        <f t="shared" si="31"/>
        <v>N</v>
      </c>
      <c r="C971" t="s">
        <v>968</v>
      </c>
      <c r="D971" s="2">
        <v>7.7000000000000002E-3</v>
      </c>
      <c r="E971" s="2">
        <v>7.7000000000000002E-3</v>
      </c>
      <c r="F971" s="2">
        <v>1.04E-2</v>
      </c>
      <c r="G971" s="2">
        <v>1.2999999999999999E-2</v>
      </c>
    </row>
    <row r="972" spans="1:7" x14ac:dyDescent="0.3">
      <c r="A972" t="str">
        <f t="shared" si="30"/>
        <v>LV</v>
      </c>
      <c r="B972" t="str">
        <f t="shared" si="31"/>
        <v>F</v>
      </c>
      <c r="C972" t="s">
        <v>969</v>
      </c>
      <c r="D972" s="2">
        <v>0.16350000000000001</v>
      </c>
      <c r="E972" s="2">
        <v>0.1245</v>
      </c>
      <c r="F972" s="2">
        <v>9.5299999999999996E-2</v>
      </c>
      <c r="G972" s="2">
        <v>8.1600000000000006E-2</v>
      </c>
    </row>
    <row r="973" spans="1:7" x14ac:dyDescent="0.3">
      <c r="A973" t="str">
        <f t="shared" si="30"/>
        <v>LV</v>
      </c>
      <c r="B973" t="str">
        <f t="shared" si="31"/>
        <v>F</v>
      </c>
      <c r="C973" t="s">
        <v>970</v>
      </c>
      <c r="D973" s="2">
        <v>6.4999999999999997E-3</v>
      </c>
      <c r="E973" s="2">
        <v>5.5999999999999999E-3</v>
      </c>
      <c r="F973" s="2">
        <v>6.4999999999999997E-3</v>
      </c>
      <c r="G973" s="2">
        <v>4.3E-3</v>
      </c>
    </row>
    <row r="974" spans="1:7" x14ac:dyDescent="0.3">
      <c r="A974" t="str">
        <f t="shared" si="30"/>
        <v>LV</v>
      </c>
      <c r="B974" t="str">
        <f t="shared" si="31"/>
        <v>F</v>
      </c>
      <c r="C974" t="s">
        <v>971</v>
      </c>
      <c r="D974" s="2">
        <v>0</v>
      </c>
      <c r="E974" s="2">
        <v>0</v>
      </c>
      <c r="F974" s="2">
        <v>0</v>
      </c>
      <c r="G974" s="2">
        <v>0</v>
      </c>
    </row>
    <row r="975" spans="1:7" x14ac:dyDescent="0.3">
      <c r="A975" t="str">
        <f t="shared" si="30"/>
        <v>LV</v>
      </c>
      <c r="B975" t="str">
        <f t="shared" si="31"/>
        <v>F</v>
      </c>
      <c r="C975" t="s">
        <v>972</v>
      </c>
      <c r="D975" s="2">
        <v>0.62239999999999995</v>
      </c>
      <c r="E975" s="2">
        <v>0.59309999999999996</v>
      </c>
      <c r="F975" s="2">
        <v>0.621</v>
      </c>
      <c r="G975" s="2">
        <v>0.69630000000000003</v>
      </c>
    </row>
    <row r="976" spans="1:7" x14ac:dyDescent="0.3">
      <c r="A976" t="str">
        <f t="shared" si="30"/>
        <v>LV</v>
      </c>
      <c r="B976" t="str">
        <f t="shared" si="31"/>
        <v>F</v>
      </c>
      <c r="C976" t="s">
        <v>973</v>
      </c>
      <c r="D976" s="2">
        <v>0</v>
      </c>
      <c r="E976" s="2">
        <v>0</v>
      </c>
      <c r="F976" s="2">
        <v>0</v>
      </c>
      <c r="G976" s="2">
        <v>0</v>
      </c>
    </row>
    <row r="977" spans="1:7" x14ac:dyDescent="0.3">
      <c r="A977" t="str">
        <f t="shared" si="30"/>
        <v>LV</v>
      </c>
      <c r="B977" t="str">
        <f t="shared" si="31"/>
        <v>F</v>
      </c>
      <c r="C977" t="s">
        <v>974</v>
      </c>
      <c r="D977" s="2">
        <v>0.18090000000000001</v>
      </c>
      <c r="E977" s="2">
        <v>0.18260000000000001</v>
      </c>
      <c r="F977" s="2">
        <v>0.22309999999999999</v>
      </c>
      <c r="G977" s="2">
        <v>0.1195</v>
      </c>
    </row>
    <row r="978" spans="1:7" x14ac:dyDescent="0.3">
      <c r="A978" t="str">
        <f t="shared" si="30"/>
        <v>LV</v>
      </c>
      <c r="B978" t="str">
        <f t="shared" si="31"/>
        <v>F</v>
      </c>
      <c r="C978" t="s">
        <v>975</v>
      </c>
      <c r="D978" s="2">
        <v>0.26479999999999998</v>
      </c>
      <c r="E978" s="2">
        <v>0.26329999999999998</v>
      </c>
      <c r="F978" s="2">
        <v>0.26450000000000001</v>
      </c>
      <c r="G978" s="2">
        <v>0.29049999999999998</v>
      </c>
    </row>
    <row r="979" spans="1:7" x14ac:dyDescent="0.3">
      <c r="A979" t="str">
        <f t="shared" si="30"/>
        <v>LV</v>
      </c>
      <c r="B979" t="str">
        <f t="shared" si="31"/>
        <v>F</v>
      </c>
      <c r="C979" t="s">
        <v>976</v>
      </c>
      <c r="D979" s="2">
        <v>0.31059999999999999</v>
      </c>
      <c r="E979" s="2">
        <v>0.30149999999999999</v>
      </c>
      <c r="F979" s="2">
        <v>0.3044</v>
      </c>
      <c r="G979" s="2">
        <v>0.32690000000000002</v>
      </c>
    </row>
    <row r="980" spans="1:7" x14ac:dyDescent="0.3">
      <c r="A980" t="str">
        <f t="shared" si="30"/>
        <v>LV</v>
      </c>
      <c r="B980" t="str">
        <f t="shared" si="31"/>
        <v>F</v>
      </c>
      <c r="C980" t="s">
        <v>977</v>
      </c>
      <c r="D980" s="2">
        <v>0</v>
      </c>
      <c r="E980" s="2">
        <v>0</v>
      </c>
      <c r="F980" s="2">
        <v>0</v>
      </c>
      <c r="G980" s="2">
        <v>0</v>
      </c>
    </row>
    <row r="981" spans="1:7" x14ac:dyDescent="0.3">
      <c r="A981" t="str">
        <f t="shared" si="30"/>
        <v>LV</v>
      </c>
      <c r="B981" t="str">
        <f t="shared" si="31"/>
        <v>F</v>
      </c>
      <c r="C981" t="s">
        <v>978</v>
      </c>
      <c r="D981" s="2">
        <v>0</v>
      </c>
      <c r="E981" s="2">
        <v>0</v>
      </c>
      <c r="F981" s="2">
        <v>0</v>
      </c>
      <c r="G981" s="2">
        <v>0</v>
      </c>
    </row>
    <row r="982" spans="1:7" x14ac:dyDescent="0.3">
      <c r="A982" t="str">
        <f t="shared" si="30"/>
        <v>LV</v>
      </c>
      <c r="B982" t="str">
        <f t="shared" si="31"/>
        <v>F</v>
      </c>
      <c r="C982" t="s">
        <v>979</v>
      </c>
      <c r="D982" s="2">
        <v>0.15820000000000001</v>
      </c>
      <c r="E982" s="2">
        <v>0.13159999999999999</v>
      </c>
      <c r="F982" s="2">
        <v>0.12479999999999999</v>
      </c>
      <c r="G982" s="2">
        <v>0.1245</v>
      </c>
    </row>
    <row r="983" spans="1:7" x14ac:dyDescent="0.3">
      <c r="A983" t="str">
        <f t="shared" si="30"/>
        <v>LV</v>
      </c>
      <c r="B983" t="str">
        <f t="shared" si="31"/>
        <v>O</v>
      </c>
      <c r="C983" t="s">
        <v>980</v>
      </c>
      <c r="D983" s="2">
        <v>0.40949999999999998</v>
      </c>
      <c r="E983" s="2">
        <v>0.38419999999999999</v>
      </c>
      <c r="F983" s="2">
        <v>0.40360000000000001</v>
      </c>
      <c r="G983" s="2">
        <v>0.39200000000000002</v>
      </c>
    </row>
    <row r="984" spans="1:7" x14ac:dyDescent="0.3">
      <c r="A984" t="str">
        <f t="shared" si="30"/>
        <v>LV</v>
      </c>
      <c r="B984" t="str">
        <f t="shared" si="31"/>
        <v>O</v>
      </c>
      <c r="C984" t="s">
        <v>981</v>
      </c>
      <c r="D984" s="2">
        <v>8.8000000000000005E-3</v>
      </c>
      <c r="E984" s="2">
        <v>4.4000000000000003E-3</v>
      </c>
      <c r="F984" s="2">
        <v>2.0999999999999999E-3</v>
      </c>
      <c r="G984" s="2">
        <v>6.0000000000000001E-3</v>
      </c>
    </row>
    <row r="985" spans="1:7" x14ac:dyDescent="0.3">
      <c r="A985" t="str">
        <f t="shared" si="30"/>
        <v>LV</v>
      </c>
      <c r="B985" t="str">
        <f t="shared" si="31"/>
        <v>O</v>
      </c>
      <c r="C985" t="s">
        <v>982</v>
      </c>
      <c r="D985" s="2">
        <v>0</v>
      </c>
      <c r="E985" s="2">
        <v>0</v>
      </c>
      <c r="F985" s="2">
        <v>0</v>
      </c>
      <c r="G985" s="2">
        <v>0</v>
      </c>
    </row>
    <row r="986" spans="1:7" x14ac:dyDescent="0.3">
      <c r="A986" t="str">
        <f t="shared" si="30"/>
        <v>LV</v>
      </c>
      <c r="B986" t="str">
        <f t="shared" si="31"/>
        <v>O</v>
      </c>
      <c r="C986" t="s">
        <v>983</v>
      </c>
      <c r="D986" s="2">
        <v>0.68259999999999998</v>
      </c>
      <c r="E986" s="2">
        <v>0.54049999999999998</v>
      </c>
      <c r="F986" s="2">
        <v>0.49070000000000003</v>
      </c>
      <c r="G986" s="2">
        <v>0.61899999999999999</v>
      </c>
    </row>
    <row r="987" spans="1:7" x14ac:dyDescent="0.3">
      <c r="A987" t="str">
        <f t="shared" si="30"/>
        <v>LV</v>
      </c>
      <c r="B987" t="str">
        <f t="shared" si="31"/>
        <v>O</v>
      </c>
      <c r="C987" t="s">
        <v>984</v>
      </c>
      <c r="D987" s="2">
        <v>0</v>
      </c>
      <c r="E987" s="2">
        <v>0</v>
      </c>
      <c r="F987" s="2">
        <v>0</v>
      </c>
      <c r="G987" s="2">
        <v>0</v>
      </c>
    </row>
    <row r="988" spans="1:7" x14ac:dyDescent="0.3">
      <c r="A988" t="str">
        <f t="shared" si="30"/>
        <v>LV</v>
      </c>
      <c r="B988" t="str">
        <f t="shared" si="31"/>
        <v>O</v>
      </c>
      <c r="C988" t="s">
        <v>985</v>
      </c>
      <c r="D988" s="2">
        <v>0.8357</v>
      </c>
      <c r="E988" s="2">
        <v>0.50470000000000004</v>
      </c>
      <c r="F988" s="2">
        <v>0.36709999999999998</v>
      </c>
      <c r="G988" s="2">
        <v>0.34389999999999998</v>
      </c>
    </row>
    <row r="989" spans="1:7" x14ac:dyDescent="0.3">
      <c r="A989" t="str">
        <f t="shared" si="30"/>
        <v>LV</v>
      </c>
      <c r="B989" t="str">
        <f t="shared" si="31"/>
        <v>O</v>
      </c>
      <c r="C989" t="s">
        <v>986</v>
      </c>
      <c r="D989" s="2">
        <v>0.23069999999999999</v>
      </c>
      <c r="E989" s="2">
        <v>0.2487</v>
      </c>
      <c r="F989" s="2">
        <v>0.22109999999999999</v>
      </c>
      <c r="G989" s="2">
        <v>0.24909999999999999</v>
      </c>
    </row>
    <row r="990" spans="1:7" x14ac:dyDescent="0.3">
      <c r="A990" t="str">
        <f t="shared" si="30"/>
        <v>LV</v>
      </c>
      <c r="B990" t="str">
        <f t="shared" si="31"/>
        <v>O</v>
      </c>
      <c r="C990" t="s">
        <v>987</v>
      </c>
      <c r="D990" s="2">
        <v>0.70189999999999997</v>
      </c>
      <c r="E990" s="2">
        <v>0.65200000000000002</v>
      </c>
      <c r="F990" s="2">
        <v>0.62290000000000001</v>
      </c>
      <c r="G990" s="2">
        <v>0.63770000000000004</v>
      </c>
    </row>
    <row r="991" spans="1:7" x14ac:dyDescent="0.3">
      <c r="A991" t="str">
        <f t="shared" si="30"/>
        <v>LV</v>
      </c>
      <c r="B991" t="str">
        <f t="shared" si="31"/>
        <v>O</v>
      </c>
      <c r="C991" t="s">
        <v>988</v>
      </c>
      <c r="D991" s="2">
        <v>0</v>
      </c>
      <c r="E991" s="2">
        <v>0</v>
      </c>
      <c r="F991" s="2">
        <v>0</v>
      </c>
      <c r="G991" s="2">
        <v>0</v>
      </c>
    </row>
    <row r="992" spans="1:7" x14ac:dyDescent="0.3">
      <c r="A992" t="str">
        <f t="shared" si="30"/>
        <v>LV</v>
      </c>
      <c r="B992" t="str">
        <f t="shared" si="31"/>
        <v>O</v>
      </c>
      <c r="C992" t="s">
        <v>989</v>
      </c>
      <c r="D992" s="2">
        <v>0</v>
      </c>
      <c r="E992" s="2">
        <v>0</v>
      </c>
      <c r="F992" s="2">
        <v>0</v>
      </c>
      <c r="G992" s="2">
        <v>0</v>
      </c>
    </row>
    <row r="993" spans="1:7" x14ac:dyDescent="0.3">
      <c r="A993" t="str">
        <f t="shared" si="30"/>
        <v>LV</v>
      </c>
      <c r="B993" t="str">
        <f t="shared" si="31"/>
        <v>O</v>
      </c>
      <c r="C993" t="s">
        <v>990</v>
      </c>
      <c r="D993" s="2">
        <v>0.153</v>
      </c>
      <c r="E993" s="2">
        <v>9.6199999999999994E-2</v>
      </c>
      <c r="F993" s="2">
        <v>0.1052</v>
      </c>
      <c r="G993" s="2">
        <v>0.1522</v>
      </c>
    </row>
    <row r="994" spans="1:7" x14ac:dyDescent="0.3">
      <c r="A994" t="str">
        <f t="shared" si="30"/>
        <v>MT</v>
      </c>
      <c r="B994" t="str">
        <f t="shared" si="31"/>
        <v>O</v>
      </c>
      <c r="C994" t="s">
        <v>991</v>
      </c>
      <c r="D994" s="2">
        <v>0.29980000000000001</v>
      </c>
      <c r="E994" s="2">
        <v>0.32219999999999999</v>
      </c>
      <c r="F994" s="2">
        <v>0.39679999999999999</v>
      </c>
      <c r="G994" s="2">
        <v>0.41060000000000002</v>
      </c>
    </row>
    <row r="995" spans="1:7" x14ac:dyDescent="0.3">
      <c r="A995" t="str">
        <f t="shared" si="30"/>
        <v>MT</v>
      </c>
      <c r="B995" t="str">
        <f t="shared" si="31"/>
        <v>O</v>
      </c>
      <c r="C995" t="s">
        <v>992</v>
      </c>
      <c r="D995" s="2">
        <v>0</v>
      </c>
      <c r="E995" s="2">
        <v>0</v>
      </c>
      <c r="F995" s="2">
        <v>0</v>
      </c>
      <c r="G995" s="2">
        <v>0</v>
      </c>
    </row>
    <row r="996" spans="1:7" x14ac:dyDescent="0.3">
      <c r="A996" t="str">
        <f t="shared" si="30"/>
        <v>MT</v>
      </c>
      <c r="B996" t="str">
        <f t="shared" si="31"/>
        <v>O</v>
      </c>
      <c r="C996" t="s">
        <v>993</v>
      </c>
      <c r="D996" s="2">
        <v>0</v>
      </c>
      <c r="E996" s="2">
        <v>0</v>
      </c>
      <c r="F996" s="2">
        <v>0</v>
      </c>
      <c r="G996" s="2">
        <v>0</v>
      </c>
    </row>
    <row r="997" spans="1:7" x14ac:dyDescent="0.3">
      <c r="A997" t="str">
        <f t="shared" si="30"/>
        <v>MT</v>
      </c>
      <c r="B997" t="str">
        <f t="shared" si="31"/>
        <v>O</v>
      </c>
      <c r="C997" t="s">
        <v>994</v>
      </c>
      <c r="D997" s="2">
        <v>0</v>
      </c>
      <c r="E997" s="2">
        <v>0</v>
      </c>
      <c r="F997" s="2">
        <v>0</v>
      </c>
      <c r="G997" s="2">
        <v>0</v>
      </c>
    </row>
    <row r="998" spans="1:7" x14ac:dyDescent="0.3">
      <c r="A998" t="str">
        <f t="shared" si="30"/>
        <v>MT</v>
      </c>
      <c r="B998" t="str">
        <f t="shared" si="31"/>
        <v>O</v>
      </c>
      <c r="C998" t="s">
        <v>995</v>
      </c>
      <c r="D998" s="2">
        <v>0</v>
      </c>
      <c r="E998" s="2">
        <v>0</v>
      </c>
      <c r="F998" s="2">
        <v>0</v>
      </c>
      <c r="G998" s="2">
        <v>0</v>
      </c>
    </row>
    <row r="999" spans="1:7" x14ac:dyDescent="0.3">
      <c r="A999" t="str">
        <f t="shared" si="30"/>
        <v>MT</v>
      </c>
      <c r="B999" t="str">
        <f t="shared" si="31"/>
        <v>O</v>
      </c>
      <c r="C999" t="s">
        <v>996</v>
      </c>
      <c r="D999" s="2">
        <v>0</v>
      </c>
      <c r="E999" s="2">
        <v>0</v>
      </c>
      <c r="F999" s="2">
        <v>0</v>
      </c>
      <c r="G999" s="2">
        <v>0</v>
      </c>
    </row>
    <row r="1000" spans="1:7" x14ac:dyDescent="0.3">
      <c r="A1000" t="str">
        <f t="shared" si="30"/>
        <v>MT</v>
      </c>
      <c r="B1000" t="str">
        <f t="shared" si="31"/>
        <v>O</v>
      </c>
      <c r="C1000" t="s">
        <v>997</v>
      </c>
      <c r="D1000" s="2">
        <v>0.3493</v>
      </c>
      <c r="E1000" s="2">
        <v>0.34429999999999999</v>
      </c>
      <c r="F1000" s="2">
        <v>0.33660000000000001</v>
      </c>
      <c r="G1000" s="2">
        <v>0.3629</v>
      </c>
    </row>
    <row r="1001" spans="1:7" x14ac:dyDescent="0.3">
      <c r="A1001" t="str">
        <f t="shared" si="30"/>
        <v>MT</v>
      </c>
      <c r="B1001" t="str">
        <f t="shared" si="31"/>
        <v>O</v>
      </c>
      <c r="C1001" t="s">
        <v>998</v>
      </c>
      <c r="D1001" s="2">
        <v>0.58940000000000003</v>
      </c>
      <c r="E1001" s="2">
        <v>0.59370000000000001</v>
      </c>
      <c r="F1001" s="2">
        <v>0.58750000000000002</v>
      </c>
      <c r="G1001" s="2">
        <v>0.61470000000000002</v>
      </c>
    </row>
    <row r="1002" spans="1:7" x14ac:dyDescent="0.3">
      <c r="A1002" t="str">
        <f t="shared" si="30"/>
        <v>MT</v>
      </c>
      <c r="B1002" t="str">
        <f t="shared" si="31"/>
        <v>O</v>
      </c>
      <c r="C1002" t="s">
        <v>999</v>
      </c>
      <c r="D1002" s="2">
        <v>0</v>
      </c>
      <c r="E1002" s="2">
        <v>0</v>
      </c>
      <c r="F1002" s="2">
        <v>0</v>
      </c>
      <c r="G1002" s="2">
        <v>0</v>
      </c>
    </row>
    <row r="1003" spans="1:7" x14ac:dyDescent="0.3">
      <c r="A1003" t="str">
        <f t="shared" si="30"/>
        <v>MT</v>
      </c>
      <c r="B1003" t="str">
        <f t="shared" si="31"/>
        <v>O</v>
      </c>
      <c r="C1003" t="s">
        <v>1000</v>
      </c>
      <c r="D1003" s="2">
        <v>0</v>
      </c>
      <c r="E1003" s="2">
        <v>0</v>
      </c>
      <c r="F1003" s="2">
        <v>0</v>
      </c>
      <c r="G1003" s="2">
        <v>0</v>
      </c>
    </row>
    <row r="1004" spans="1:7" x14ac:dyDescent="0.3">
      <c r="A1004" t="str">
        <f t="shared" si="30"/>
        <v>MT</v>
      </c>
      <c r="B1004" t="str">
        <f t="shared" si="31"/>
        <v>O</v>
      </c>
      <c r="C1004" t="s">
        <v>1001</v>
      </c>
      <c r="D1004" s="2">
        <v>0</v>
      </c>
      <c r="E1004" s="2">
        <v>0</v>
      </c>
      <c r="F1004" s="2">
        <v>0</v>
      </c>
      <c r="G1004" s="2">
        <v>0</v>
      </c>
    </row>
    <row r="1005" spans="1:7" x14ac:dyDescent="0.3">
      <c r="A1005" t="str">
        <f t="shared" si="30"/>
        <v>NL</v>
      </c>
      <c r="B1005" t="str">
        <f t="shared" si="31"/>
        <v>I</v>
      </c>
      <c r="C1005" t="s">
        <v>1002</v>
      </c>
      <c r="D1005" s="2">
        <v>4.5900000000000003E-2</v>
      </c>
      <c r="E1005" s="2">
        <v>5.4800000000000001E-2</v>
      </c>
      <c r="F1005" s="2">
        <v>8.1100000000000005E-2</v>
      </c>
      <c r="G1005" s="2">
        <v>0.1105</v>
      </c>
    </row>
    <row r="1006" spans="1:7" x14ac:dyDescent="0.3">
      <c r="A1006" t="str">
        <f t="shared" si="30"/>
        <v>NL</v>
      </c>
      <c r="B1006" t="str">
        <f t="shared" si="31"/>
        <v>I</v>
      </c>
      <c r="C1006" t="s">
        <v>1003</v>
      </c>
      <c r="D1006" s="2">
        <v>3.6815000000000002</v>
      </c>
      <c r="E1006" s="2">
        <v>3.64</v>
      </c>
      <c r="F1006" s="2">
        <v>3.1154999999999999</v>
      </c>
      <c r="G1006" s="2">
        <v>2.3652000000000002</v>
      </c>
    </row>
    <row r="1007" spans="1:7" x14ac:dyDescent="0.3">
      <c r="A1007" t="str">
        <f t="shared" si="30"/>
        <v>NL</v>
      </c>
      <c r="B1007" t="str">
        <f t="shared" si="31"/>
        <v>I</v>
      </c>
      <c r="C1007" t="s">
        <v>1004</v>
      </c>
      <c r="D1007" s="2">
        <v>0</v>
      </c>
      <c r="E1007" s="2">
        <v>0</v>
      </c>
      <c r="F1007" s="2">
        <v>0</v>
      </c>
      <c r="G1007" s="2">
        <v>0</v>
      </c>
    </row>
    <row r="1008" spans="1:7" x14ac:dyDescent="0.3">
      <c r="A1008" t="str">
        <f t="shared" si="30"/>
        <v>NL</v>
      </c>
      <c r="B1008" t="str">
        <f t="shared" si="31"/>
        <v>I</v>
      </c>
      <c r="C1008" t="s">
        <v>1005</v>
      </c>
      <c r="D1008" s="2">
        <v>10.658300000000001</v>
      </c>
      <c r="E1008" s="2">
        <v>10.160600000000001</v>
      </c>
      <c r="F1008" s="2">
        <v>10.191700000000001</v>
      </c>
      <c r="G1008" s="2">
        <v>11.565300000000001</v>
      </c>
    </row>
    <row r="1009" spans="1:7" x14ac:dyDescent="0.3">
      <c r="A1009" t="str">
        <f t="shared" si="30"/>
        <v>NL</v>
      </c>
      <c r="B1009" t="str">
        <f t="shared" si="31"/>
        <v>I</v>
      </c>
      <c r="C1009" t="s">
        <v>1006</v>
      </c>
      <c r="D1009" s="2">
        <v>0</v>
      </c>
      <c r="E1009" s="2">
        <v>0</v>
      </c>
      <c r="F1009" s="2">
        <v>0</v>
      </c>
      <c r="G1009" s="2">
        <v>0</v>
      </c>
    </row>
    <row r="1010" spans="1:7" x14ac:dyDescent="0.3">
      <c r="A1010" t="str">
        <f t="shared" si="30"/>
        <v>NL</v>
      </c>
      <c r="B1010" t="str">
        <f t="shared" si="31"/>
        <v>I</v>
      </c>
      <c r="C1010" t="s">
        <v>1007</v>
      </c>
      <c r="D1010" s="2">
        <v>0</v>
      </c>
      <c r="E1010" s="2">
        <v>0</v>
      </c>
      <c r="F1010" s="2">
        <v>0</v>
      </c>
      <c r="G1010" s="2">
        <v>0</v>
      </c>
    </row>
    <row r="1011" spans="1:7" x14ac:dyDescent="0.3">
      <c r="A1011" t="str">
        <f t="shared" si="30"/>
        <v>NL</v>
      </c>
      <c r="B1011" t="str">
        <f t="shared" si="31"/>
        <v>I</v>
      </c>
      <c r="C1011" t="s">
        <v>1008</v>
      </c>
      <c r="D1011" s="2">
        <v>5.1978999999999997</v>
      </c>
      <c r="E1011" s="2">
        <v>5.0907</v>
      </c>
      <c r="F1011" s="2">
        <v>4.4124999999999996</v>
      </c>
      <c r="G1011" s="2">
        <v>4.5926999999999998</v>
      </c>
    </row>
    <row r="1012" spans="1:7" x14ac:dyDescent="0.3">
      <c r="A1012" t="str">
        <f t="shared" si="30"/>
        <v>NL</v>
      </c>
      <c r="B1012" t="str">
        <f t="shared" si="31"/>
        <v>I</v>
      </c>
      <c r="C1012" t="s">
        <v>1009</v>
      </c>
      <c r="D1012" s="2">
        <v>0.77380000000000004</v>
      </c>
      <c r="E1012" s="2">
        <v>0.77259999999999995</v>
      </c>
      <c r="F1012" s="2">
        <v>0.71589999999999998</v>
      </c>
      <c r="G1012" s="2">
        <v>0.77559999999999996</v>
      </c>
    </row>
    <row r="1013" spans="1:7" x14ac:dyDescent="0.3">
      <c r="A1013" t="str">
        <f t="shared" si="30"/>
        <v>NL</v>
      </c>
      <c r="B1013" t="str">
        <f t="shared" si="31"/>
        <v>I</v>
      </c>
      <c r="C1013" t="s">
        <v>1010</v>
      </c>
      <c r="D1013" s="2">
        <v>0</v>
      </c>
      <c r="E1013" s="2">
        <v>0</v>
      </c>
      <c r="F1013" s="2">
        <v>0</v>
      </c>
      <c r="G1013" s="2">
        <v>0</v>
      </c>
    </row>
    <row r="1014" spans="1:7" x14ac:dyDescent="0.3">
      <c r="A1014" t="str">
        <f t="shared" si="30"/>
        <v>NL</v>
      </c>
      <c r="B1014" t="str">
        <f t="shared" si="31"/>
        <v>I</v>
      </c>
      <c r="C1014" t="s">
        <v>1011</v>
      </c>
      <c r="D1014" s="2">
        <v>0</v>
      </c>
      <c r="E1014" s="2">
        <v>0</v>
      </c>
      <c r="F1014" s="2">
        <v>0</v>
      </c>
      <c r="G1014" s="2">
        <v>0</v>
      </c>
    </row>
    <row r="1015" spans="1:7" x14ac:dyDescent="0.3">
      <c r="A1015" t="str">
        <f t="shared" si="30"/>
        <v>NL</v>
      </c>
      <c r="B1015" t="str">
        <f t="shared" si="31"/>
        <v>I</v>
      </c>
      <c r="C1015" t="s">
        <v>1012</v>
      </c>
      <c r="D1015" s="2">
        <v>4.4999999999999997E-3</v>
      </c>
      <c r="E1015" s="2">
        <v>6.4999999999999997E-3</v>
      </c>
      <c r="F1015" s="2">
        <v>4.7000000000000002E-3</v>
      </c>
      <c r="G1015" s="2">
        <v>0.1159</v>
      </c>
    </row>
    <row r="1016" spans="1:7" x14ac:dyDescent="0.3">
      <c r="A1016" t="str">
        <f t="shared" si="30"/>
        <v>NL</v>
      </c>
      <c r="B1016" t="str">
        <f t="shared" si="31"/>
        <v>C</v>
      </c>
      <c r="C1016" t="s">
        <v>1013</v>
      </c>
      <c r="D1016" s="2">
        <v>74.293800000000005</v>
      </c>
      <c r="E1016" s="2">
        <v>67.603999999999999</v>
      </c>
      <c r="F1016" s="2">
        <v>74.792500000000004</v>
      </c>
      <c r="G1016" s="2">
        <v>72.610900000000001</v>
      </c>
    </row>
    <row r="1017" spans="1:7" x14ac:dyDescent="0.3">
      <c r="A1017" t="str">
        <f t="shared" si="30"/>
        <v>NL</v>
      </c>
      <c r="B1017" t="str">
        <f t="shared" si="31"/>
        <v>C</v>
      </c>
      <c r="C1017" t="s">
        <v>1014</v>
      </c>
      <c r="D1017" s="2">
        <v>0</v>
      </c>
      <c r="E1017" s="2">
        <v>0</v>
      </c>
      <c r="F1017" s="2">
        <v>0</v>
      </c>
      <c r="G1017" s="2">
        <v>0</v>
      </c>
    </row>
    <row r="1018" spans="1:7" x14ac:dyDescent="0.3">
      <c r="A1018" t="str">
        <f t="shared" si="30"/>
        <v>NL</v>
      </c>
      <c r="B1018" t="str">
        <f t="shared" si="31"/>
        <v>C</v>
      </c>
      <c r="C1018" t="s">
        <v>1015</v>
      </c>
      <c r="D1018" s="2">
        <v>0</v>
      </c>
      <c r="E1018" s="2">
        <v>0</v>
      </c>
      <c r="F1018" s="2">
        <v>0</v>
      </c>
      <c r="G1018" s="2">
        <v>0</v>
      </c>
    </row>
    <row r="1019" spans="1:7" x14ac:dyDescent="0.3">
      <c r="A1019" t="str">
        <f t="shared" si="30"/>
        <v>NL</v>
      </c>
      <c r="B1019" t="str">
        <f t="shared" si="31"/>
        <v>C</v>
      </c>
      <c r="C1019" t="s">
        <v>1016</v>
      </c>
      <c r="D1019" s="2">
        <v>41.832000000000001</v>
      </c>
      <c r="E1019" s="2">
        <v>43.037599999999998</v>
      </c>
      <c r="F1019" s="2">
        <v>45.406399999999998</v>
      </c>
      <c r="G1019" s="2">
        <v>46.256900000000002</v>
      </c>
    </row>
    <row r="1020" spans="1:7" x14ac:dyDescent="0.3">
      <c r="A1020" t="str">
        <f t="shared" si="30"/>
        <v>NL</v>
      </c>
      <c r="B1020" t="str">
        <f t="shared" si="31"/>
        <v>C</v>
      </c>
      <c r="C1020" t="s">
        <v>1017</v>
      </c>
      <c r="D1020" s="2">
        <v>0</v>
      </c>
      <c r="E1020" s="2">
        <v>0</v>
      </c>
      <c r="F1020" s="2">
        <v>0</v>
      </c>
      <c r="G1020" s="2">
        <v>0</v>
      </c>
    </row>
    <row r="1021" spans="1:7" x14ac:dyDescent="0.3">
      <c r="A1021" t="str">
        <f t="shared" si="30"/>
        <v>NL</v>
      </c>
      <c r="B1021" t="str">
        <f t="shared" si="31"/>
        <v>C</v>
      </c>
      <c r="C1021" t="s">
        <v>1018</v>
      </c>
      <c r="D1021" s="2">
        <v>0.4733</v>
      </c>
      <c r="E1021" s="2">
        <v>0.3871</v>
      </c>
      <c r="F1021" s="2">
        <v>0.33550000000000002</v>
      </c>
      <c r="G1021" s="2">
        <v>5.0799999999999998E-2</v>
      </c>
    </row>
    <row r="1022" spans="1:7" x14ac:dyDescent="0.3">
      <c r="A1022" t="str">
        <f t="shared" si="30"/>
        <v>NL</v>
      </c>
      <c r="B1022" t="str">
        <f t="shared" si="31"/>
        <v>C</v>
      </c>
      <c r="C1022" t="s">
        <v>1019</v>
      </c>
      <c r="D1022" s="2">
        <v>1.1509</v>
      </c>
      <c r="E1022" s="2">
        <v>0.94210000000000005</v>
      </c>
      <c r="F1022" s="2">
        <v>1.0242</v>
      </c>
      <c r="G1022" s="2">
        <v>1.0525</v>
      </c>
    </row>
    <row r="1023" spans="1:7" x14ac:dyDescent="0.3">
      <c r="A1023" t="str">
        <f t="shared" si="30"/>
        <v>NL</v>
      </c>
      <c r="B1023" t="str">
        <f t="shared" si="31"/>
        <v>C</v>
      </c>
      <c r="C1023" t="s">
        <v>1020</v>
      </c>
      <c r="D1023" s="2">
        <v>24.003699999999998</v>
      </c>
      <c r="E1023" s="2">
        <v>22.9757</v>
      </c>
      <c r="F1023" s="2">
        <v>24.095300000000002</v>
      </c>
      <c r="G1023" s="2">
        <v>24.451000000000001</v>
      </c>
    </row>
    <row r="1024" spans="1:7" x14ac:dyDescent="0.3">
      <c r="A1024" t="str">
        <f t="shared" si="30"/>
        <v>NL</v>
      </c>
      <c r="B1024" t="str">
        <f t="shared" si="31"/>
        <v>C</v>
      </c>
      <c r="C1024" t="s">
        <v>1021</v>
      </c>
      <c r="D1024" s="2">
        <v>0</v>
      </c>
      <c r="E1024" s="2">
        <v>0</v>
      </c>
      <c r="F1024" s="2">
        <v>0</v>
      </c>
      <c r="G1024" s="2">
        <v>0</v>
      </c>
    </row>
    <row r="1025" spans="1:7" x14ac:dyDescent="0.3">
      <c r="A1025" t="str">
        <f t="shared" si="30"/>
        <v>NL</v>
      </c>
      <c r="B1025" t="str">
        <f t="shared" si="31"/>
        <v>C</v>
      </c>
      <c r="C1025" t="s">
        <v>1022</v>
      </c>
      <c r="D1025" s="2">
        <v>0</v>
      </c>
      <c r="E1025" s="2">
        <v>0</v>
      </c>
      <c r="F1025" s="2">
        <v>0</v>
      </c>
      <c r="G1025" s="2">
        <v>0</v>
      </c>
    </row>
    <row r="1026" spans="1:7" x14ac:dyDescent="0.3">
      <c r="A1026" t="str">
        <f t="shared" si="30"/>
        <v>NL</v>
      </c>
      <c r="B1026" t="str">
        <f t="shared" si="31"/>
        <v>C</v>
      </c>
      <c r="C1026" t="s">
        <v>1023</v>
      </c>
      <c r="D1026" s="2">
        <v>37.573999999999998</v>
      </c>
      <c r="E1026" s="2">
        <v>41.883299999999998</v>
      </c>
      <c r="F1026" s="2">
        <v>37.077100000000002</v>
      </c>
      <c r="G1026" s="2">
        <v>40.781700000000001</v>
      </c>
    </row>
    <row r="1027" spans="1:7" x14ac:dyDescent="0.3">
      <c r="A1027" t="str">
        <f t="shared" si="30"/>
        <v>NL</v>
      </c>
      <c r="B1027" t="str">
        <f t="shared" si="31"/>
        <v>N</v>
      </c>
      <c r="C1027" t="s">
        <v>1024</v>
      </c>
      <c r="D1027" s="2">
        <v>0.1308</v>
      </c>
      <c r="E1027" s="2">
        <v>0.13900000000000001</v>
      </c>
      <c r="F1027" s="2">
        <v>0.21790000000000001</v>
      </c>
      <c r="G1027" s="2">
        <v>0.1004</v>
      </c>
    </row>
    <row r="1028" spans="1:7" x14ac:dyDescent="0.3">
      <c r="A1028" t="str">
        <f t="shared" si="30"/>
        <v>NL</v>
      </c>
      <c r="B1028" t="str">
        <f t="shared" si="31"/>
        <v>N</v>
      </c>
      <c r="C1028" t="s">
        <v>1025</v>
      </c>
      <c r="D1028" s="2">
        <v>0.89470000000000005</v>
      </c>
      <c r="E1028" s="2">
        <v>0.51649999999999996</v>
      </c>
      <c r="F1028" s="2">
        <v>0.46210000000000001</v>
      </c>
      <c r="G1028" s="2">
        <v>0.48020000000000002</v>
      </c>
    </row>
    <row r="1029" spans="1:7" x14ac:dyDescent="0.3">
      <c r="A1029" t="str">
        <f t="shared" ref="A1029:A1092" si="32">LEFT(C1029,2)</f>
        <v>NL</v>
      </c>
      <c r="B1029" t="str">
        <f t="shared" ref="B1029:B1092" si="33">RIGHT(C1029,1)</f>
        <v>N</v>
      </c>
      <c r="C1029" t="s">
        <v>1026</v>
      </c>
      <c r="D1029" s="2">
        <v>0</v>
      </c>
      <c r="E1029" s="2">
        <v>0</v>
      </c>
      <c r="F1029" s="2">
        <v>0</v>
      </c>
      <c r="G1029" s="2">
        <v>0</v>
      </c>
    </row>
    <row r="1030" spans="1:7" x14ac:dyDescent="0.3">
      <c r="A1030" t="str">
        <f t="shared" si="32"/>
        <v>NL</v>
      </c>
      <c r="B1030" t="str">
        <f t="shared" si="33"/>
        <v>N</v>
      </c>
      <c r="C1030" t="s">
        <v>1027</v>
      </c>
      <c r="D1030" s="2">
        <v>11.3468</v>
      </c>
      <c r="E1030" s="2">
        <v>10.5921</v>
      </c>
      <c r="F1030" s="2">
        <v>10.081099999999999</v>
      </c>
      <c r="G1030" s="2">
        <v>10.215299999999999</v>
      </c>
    </row>
    <row r="1031" spans="1:7" x14ac:dyDescent="0.3">
      <c r="A1031" t="str">
        <f t="shared" si="32"/>
        <v>NL</v>
      </c>
      <c r="B1031" t="str">
        <f t="shared" si="33"/>
        <v>N</v>
      </c>
      <c r="C1031" t="s">
        <v>1028</v>
      </c>
      <c r="D1031" s="2">
        <v>0</v>
      </c>
      <c r="E1031" s="2">
        <v>0</v>
      </c>
      <c r="F1031" s="2">
        <v>0</v>
      </c>
      <c r="G1031" s="2">
        <v>0</v>
      </c>
    </row>
    <row r="1032" spans="1:7" x14ac:dyDescent="0.3">
      <c r="A1032" t="str">
        <f t="shared" si="32"/>
        <v>NL</v>
      </c>
      <c r="B1032" t="str">
        <f t="shared" si="33"/>
        <v>N</v>
      </c>
      <c r="C1032" t="s">
        <v>1029</v>
      </c>
      <c r="D1032" s="2">
        <v>0</v>
      </c>
      <c r="E1032" s="2">
        <v>0</v>
      </c>
      <c r="F1032" s="2">
        <v>0</v>
      </c>
      <c r="G1032" s="2">
        <v>0</v>
      </c>
    </row>
    <row r="1033" spans="1:7" x14ac:dyDescent="0.3">
      <c r="A1033" t="str">
        <f t="shared" si="32"/>
        <v>NL</v>
      </c>
      <c r="B1033" t="str">
        <f t="shared" si="33"/>
        <v>N</v>
      </c>
      <c r="C1033" t="s">
        <v>1030</v>
      </c>
      <c r="D1033" s="2">
        <v>1.1055999999999999</v>
      </c>
      <c r="E1033" s="2">
        <v>0.96279999999999999</v>
      </c>
      <c r="F1033" s="2">
        <v>0.9133</v>
      </c>
      <c r="G1033" s="2">
        <v>0.95109999999999995</v>
      </c>
    </row>
    <row r="1034" spans="1:7" x14ac:dyDescent="0.3">
      <c r="A1034" t="str">
        <f t="shared" si="32"/>
        <v>NL</v>
      </c>
      <c r="B1034" t="str">
        <f t="shared" si="33"/>
        <v>N</v>
      </c>
      <c r="C1034" t="s">
        <v>1031</v>
      </c>
      <c r="D1034" s="2">
        <v>1.6347</v>
      </c>
      <c r="E1034" s="2">
        <v>1.5386</v>
      </c>
      <c r="F1034" s="2">
        <v>1.4863</v>
      </c>
      <c r="G1034" s="2">
        <v>1.5125</v>
      </c>
    </row>
    <row r="1035" spans="1:7" x14ac:dyDescent="0.3">
      <c r="A1035" t="str">
        <f t="shared" si="32"/>
        <v>NL</v>
      </c>
      <c r="B1035" t="str">
        <f t="shared" si="33"/>
        <v>N</v>
      </c>
      <c r="C1035" t="s">
        <v>1032</v>
      </c>
      <c r="D1035" s="2">
        <v>0</v>
      </c>
      <c r="E1035" s="2">
        <v>0</v>
      </c>
      <c r="F1035" s="2">
        <v>0</v>
      </c>
      <c r="G1035" s="2">
        <v>0</v>
      </c>
    </row>
    <row r="1036" spans="1:7" x14ac:dyDescent="0.3">
      <c r="A1036" t="str">
        <f t="shared" si="32"/>
        <v>NL</v>
      </c>
      <c r="B1036" t="str">
        <f t="shared" si="33"/>
        <v>N</v>
      </c>
      <c r="C1036" t="s">
        <v>1033</v>
      </c>
      <c r="D1036" s="2">
        <v>0</v>
      </c>
      <c r="E1036" s="2">
        <v>0</v>
      </c>
      <c r="F1036" s="2">
        <v>0</v>
      </c>
      <c r="G1036" s="2">
        <v>0</v>
      </c>
    </row>
    <row r="1037" spans="1:7" x14ac:dyDescent="0.3">
      <c r="A1037" t="str">
        <f t="shared" si="32"/>
        <v>NL</v>
      </c>
      <c r="B1037" t="str">
        <f t="shared" si="33"/>
        <v>N</v>
      </c>
      <c r="C1037" t="s">
        <v>1034</v>
      </c>
      <c r="D1037" s="2">
        <v>0</v>
      </c>
      <c r="E1037" s="2">
        <v>0</v>
      </c>
      <c r="F1037" s="2">
        <v>0</v>
      </c>
      <c r="G1037" s="2">
        <v>1E-4</v>
      </c>
    </row>
    <row r="1038" spans="1:7" x14ac:dyDescent="0.3">
      <c r="A1038" t="str">
        <f t="shared" si="32"/>
        <v>NL</v>
      </c>
      <c r="B1038" t="str">
        <f t="shared" si="33"/>
        <v>F</v>
      </c>
      <c r="C1038" t="s">
        <v>1035</v>
      </c>
      <c r="D1038" s="2">
        <v>0.72829999999999995</v>
      </c>
      <c r="E1038" s="2">
        <v>0.56910000000000005</v>
      </c>
      <c r="F1038" s="2">
        <v>0.4118</v>
      </c>
      <c r="G1038" s="2">
        <v>0.2442</v>
      </c>
    </row>
    <row r="1039" spans="1:7" x14ac:dyDescent="0.3">
      <c r="A1039" t="str">
        <f t="shared" si="32"/>
        <v>NL</v>
      </c>
      <c r="B1039" t="str">
        <f t="shared" si="33"/>
        <v>F</v>
      </c>
      <c r="C1039" t="s">
        <v>1036</v>
      </c>
      <c r="D1039" s="2">
        <v>0.3296</v>
      </c>
      <c r="E1039" s="2">
        <v>0.32929999999999998</v>
      </c>
      <c r="F1039" s="2">
        <v>0.23880000000000001</v>
      </c>
      <c r="G1039" s="2">
        <v>0.255</v>
      </c>
    </row>
    <row r="1040" spans="1:7" x14ac:dyDescent="0.3">
      <c r="A1040" t="str">
        <f t="shared" si="32"/>
        <v>NL</v>
      </c>
      <c r="B1040" t="str">
        <f t="shared" si="33"/>
        <v>F</v>
      </c>
      <c r="C1040" t="s">
        <v>1037</v>
      </c>
      <c r="D1040" s="2">
        <v>0</v>
      </c>
      <c r="E1040" s="2">
        <v>0</v>
      </c>
      <c r="F1040" s="2">
        <v>0</v>
      </c>
      <c r="G1040" s="2">
        <v>0</v>
      </c>
    </row>
    <row r="1041" spans="1:7" x14ac:dyDescent="0.3">
      <c r="A1041" t="str">
        <f t="shared" si="32"/>
        <v>NL</v>
      </c>
      <c r="B1041" t="str">
        <f t="shared" si="33"/>
        <v>F</v>
      </c>
      <c r="C1041" t="s">
        <v>1038</v>
      </c>
      <c r="D1041" s="2">
        <v>25.595700000000001</v>
      </c>
      <c r="E1041" s="2">
        <v>26.417300000000001</v>
      </c>
      <c r="F1041" s="2">
        <v>25.997399999999999</v>
      </c>
      <c r="G1041" s="2">
        <v>26.5517</v>
      </c>
    </row>
    <row r="1042" spans="1:7" x14ac:dyDescent="0.3">
      <c r="A1042" t="str">
        <f t="shared" si="32"/>
        <v>NL</v>
      </c>
      <c r="B1042" t="str">
        <f t="shared" si="33"/>
        <v>F</v>
      </c>
      <c r="C1042" t="s">
        <v>1039</v>
      </c>
      <c r="D1042" s="2">
        <v>0</v>
      </c>
      <c r="E1042" s="2">
        <v>0</v>
      </c>
      <c r="F1042" s="2">
        <v>0</v>
      </c>
      <c r="G1042" s="2">
        <v>0</v>
      </c>
    </row>
    <row r="1043" spans="1:7" x14ac:dyDescent="0.3">
      <c r="A1043" t="str">
        <f t="shared" si="32"/>
        <v>NL</v>
      </c>
      <c r="B1043" t="str">
        <f t="shared" si="33"/>
        <v>F</v>
      </c>
      <c r="C1043" t="s">
        <v>1040</v>
      </c>
      <c r="D1043" s="2">
        <v>0</v>
      </c>
      <c r="E1043" s="2">
        <v>0</v>
      </c>
      <c r="F1043" s="2">
        <v>0</v>
      </c>
      <c r="G1043" s="2">
        <v>0</v>
      </c>
    </row>
    <row r="1044" spans="1:7" x14ac:dyDescent="0.3">
      <c r="A1044" t="str">
        <f t="shared" si="32"/>
        <v>NL</v>
      </c>
      <c r="B1044" t="str">
        <f t="shared" si="33"/>
        <v>F</v>
      </c>
      <c r="C1044" t="s">
        <v>1041</v>
      </c>
      <c r="D1044" s="2">
        <v>5.9104999999999999</v>
      </c>
      <c r="E1044" s="2">
        <v>5.8627000000000002</v>
      </c>
      <c r="F1044" s="2">
        <v>5.8730000000000002</v>
      </c>
      <c r="G1044" s="2">
        <v>5.6436999999999999</v>
      </c>
    </row>
    <row r="1045" spans="1:7" x14ac:dyDescent="0.3">
      <c r="A1045" t="str">
        <f t="shared" si="32"/>
        <v>NL</v>
      </c>
      <c r="B1045" t="str">
        <f t="shared" si="33"/>
        <v>F</v>
      </c>
      <c r="C1045" t="s">
        <v>1042</v>
      </c>
      <c r="D1045" s="2">
        <v>7.5707000000000004</v>
      </c>
      <c r="E1045" s="2">
        <v>7.5216000000000003</v>
      </c>
      <c r="F1045" s="2">
        <v>7.48</v>
      </c>
      <c r="G1045" s="2">
        <v>7.3105000000000002</v>
      </c>
    </row>
    <row r="1046" spans="1:7" x14ac:dyDescent="0.3">
      <c r="A1046" t="str">
        <f t="shared" si="32"/>
        <v>NL</v>
      </c>
      <c r="B1046" t="str">
        <f t="shared" si="33"/>
        <v>F</v>
      </c>
      <c r="C1046" t="s">
        <v>1043</v>
      </c>
      <c r="D1046" s="2">
        <v>0</v>
      </c>
      <c r="E1046" s="2">
        <v>0</v>
      </c>
      <c r="F1046" s="2">
        <v>0</v>
      </c>
      <c r="G1046" s="2">
        <v>0</v>
      </c>
    </row>
    <row r="1047" spans="1:7" x14ac:dyDescent="0.3">
      <c r="A1047" t="str">
        <f t="shared" si="32"/>
        <v>NL</v>
      </c>
      <c r="B1047" t="str">
        <f t="shared" si="33"/>
        <v>F</v>
      </c>
      <c r="C1047" t="s">
        <v>1044</v>
      </c>
      <c r="D1047" s="2">
        <v>0</v>
      </c>
      <c r="E1047" s="2">
        <v>0</v>
      </c>
      <c r="F1047" s="2">
        <v>0</v>
      </c>
      <c r="G1047" s="2">
        <v>0</v>
      </c>
    </row>
    <row r="1048" spans="1:7" x14ac:dyDescent="0.3">
      <c r="A1048" t="str">
        <f t="shared" si="32"/>
        <v>NL</v>
      </c>
      <c r="B1048" t="str">
        <f t="shared" si="33"/>
        <v>F</v>
      </c>
      <c r="C1048" t="s">
        <v>1045</v>
      </c>
      <c r="D1048" s="2">
        <v>1.8714</v>
      </c>
      <c r="E1048" s="2">
        <v>0.1961</v>
      </c>
      <c r="F1048" s="2">
        <v>0.36909999999999998</v>
      </c>
      <c r="G1048" s="2">
        <v>0.47470000000000001</v>
      </c>
    </row>
    <row r="1049" spans="1:7" x14ac:dyDescent="0.3">
      <c r="A1049" t="str">
        <f t="shared" si="32"/>
        <v>NL</v>
      </c>
      <c r="B1049" t="str">
        <f t="shared" si="33"/>
        <v>O</v>
      </c>
      <c r="C1049" t="s">
        <v>1046</v>
      </c>
      <c r="D1049" s="2">
        <v>7.4471999999999996</v>
      </c>
      <c r="E1049" s="2">
        <v>7.0446999999999997</v>
      </c>
      <c r="F1049" s="2">
        <v>7.3784000000000001</v>
      </c>
      <c r="G1049" s="2">
        <v>7.0096999999999996</v>
      </c>
    </row>
    <row r="1050" spans="1:7" x14ac:dyDescent="0.3">
      <c r="A1050" t="str">
        <f t="shared" si="32"/>
        <v>NL</v>
      </c>
      <c r="B1050" t="str">
        <f t="shared" si="33"/>
        <v>O</v>
      </c>
      <c r="C1050" t="s">
        <v>1047</v>
      </c>
      <c r="D1050" s="2">
        <v>0.22209999999999999</v>
      </c>
      <c r="E1050" s="2">
        <v>0.23780000000000001</v>
      </c>
      <c r="F1050" s="2">
        <v>8.7800000000000003E-2</v>
      </c>
      <c r="G1050" s="2">
        <v>7.7499999999999999E-2</v>
      </c>
    </row>
    <row r="1051" spans="1:7" x14ac:dyDescent="0.3">
      <c r="A1051" t="str">
        <f t="shared" si="32"/>
        <v>NL</v>
      </c>
      <c r="B1051" t="str">
        <f t="shared" si="33"/>
        <v>O</v>
      </c>
      <c r="C1051" t="s">
        <v>1048</v>
      </c>
      <c r="D1051" s="2">
        <v>0</v>
      </c>
      <c r="E1051" s="2">
        <v>0</v>
      </c>
      <c r="F1051" s="2">
        <v>0</v>
      </c>
      <c r="G1051" s="2">
        <v>0</v>
      </c>
    </row>
    <row r="1052" spans="1:7" x14ac:dyDescent="0.3">
      <c r="A1052" t="str">
        <f t="shared" si="32"/>
        <v>NL</v>
      </c>
      <c r="B1052" t="str">
        <f t="shared" si="33"/>
        <v>O</v>
      </c>
      <c r="C1052" t="s">
        <v>1049</v>
      </c>
      <c r="D1052" s="2">
        <v>25.5443</v>
      </c>
      <c r="E1052" s="2">
        <v>23.851900000000001</v>
      </c>
      <c r="F1052" s="2">
        <v>22.257000000000001</v>
      </c>
      <c r="G1052" s="2">
        <v>23.880600000000001</v>
      </c>
    </row>
    <row r="1053" spans="1:7" x14ac:dyDescent="0.3">
      <c r="A1053" t="str">
        <f t="shared" si="32"/>
        <v>NL</v>
      </c>
      <c r="B1053" t="str">
        <f t="shared" si="33"/>
        <v>O</v>
      </c>
      <c r="C1053" t="s">
        <v>1050</v>
      </c>
      <c r="D1053" s="2">
        <v>0</v>
      </c>
      <c r="E1053" s="2">
        <v>0</v>
      </c>
      <c r="F1053" s="2">
        <v>0</v>
      </c>
      <c r="G1053" s="2">
        <v>0</v>
      </c>
    </row>
    <row r="1054" spans="1:7" x14ac:dyDescent="0.3">
      <c r="A1054" t="str">
        <f t="shared" si="32"/>
        <v>NL</v>
      </c>
      <c r="B1054" t="str">
        <f t="shared" si="33"/>
        <v>O</v>
      </c>
      <c r="C1054" t="s">
        <v>1051</v>
      </c>
      <c r="D1054" s="2">
        <v>1.4276</v>
      </c>
      <c r="E1054" s="2">
        <v>1.2271000000000001</v>
      </c>
      <c r="F1054" s="2">
        <v>1.2282999999999999</v>
      </c>
      <c r="G1054" s="2">
        <v>1.3033999999999999</v>
      </c>
    </row>
    <row r="1055" spans="1:7" x14ac:dyDescent="0.3">
      <c r="A1055" t="str">
        <f t="shared" si="32"/>
        <v>NL</v>
      </c>
      <c r="B1055" t="str">
        <f t="shared" si="33"/>
        <v>O</v>
      </c>
      <c r="C1055" t="s">
        <v>1052</v>
      </c>
      <c r="D1055" s="2">
        <v>11.196300000000001</v>
      </c>
      <c r="E1055" s="2">
        <v>12.5425</v>
      </c>
      <c r="F1055" s="2">
        <v>12.0778</v>
      </c>
      <c r="G1055" s="2">
        <v>10.9009</v>
      </c>
    </row>
    <row r="1056" spans="1:7" x14ac:dyDescent="0.3">
      <c r="A1056" t="str">
        <f t="shared" si="32"/>
        <v>NL</v>
      </c>
      <c r="B1056" t="str">
        <f t="shared" si="33"/>
        <v>O</v>
      </c>
      <c r="C1056" t="s">
        <v>1053</v>
      </c>
      <c r="D1056" s="2">
        <v>13.353199999999999</v>
      </c>
      <c r="E1056" s="2">
        <v>12.761200000000001</v>
      </c>
      <c r="F1056" s="2">
        <v>12.7577</v>
      </c>
      <c r="G1056" s="2">
        <v>13.2165</v>
      </c>
    </row>
    <row r="1057" spans="1:7" x14ac:dyDescent="0.3">
      <c r="A1057" t="str">
        <f t="shared" si="32"/>
        <v>NL</v>
      </c>
      <c r="B1057" t="str">
        <f t="shared" si="33"/>
        <v>O</v>
      </c>
      <c r="C1057" t="s">
        <v>1054</v>
      </c>
      <c r="D1057" s="2">
        <v>0</v>
      </c>
      <c r="E1057" s="2">
        <v>0</v>
      </c>
      <c r="F1057" s="2">
        <v>0</v>
      </c>
      <c r="G1057" s="2">
        <v>0</v>
      </c>
    </row>
    <row r="1058" spans="1:7" x14ac:dyDescent="0.3">
      <c r="A1058" t="str">
        <f t="shared" si="32"/>
        <v>NL</v>
      </c>
      <c r="B1058" t="str">
        <f t="shared" si="33"/>
        <v>O</v>
      </c>
      <c r="C1058" t="s">
        <v>1055</v>
      </c>
      <c r="D1058" s="2">
        <v>0</v>
      </c>
      <c r="E1058" s="2">
        <v>0</v>
      </c>
      <c r="F1058" s="2">
        <v>0</v>
      </c>
      <c r="G1058" s="2">
        <v>0</v>
      </c>
    </row>
    <row r="1059" spans="1:7" x14ac:dyDescent="0.3">
      <c r="A1059" t="str">
        <f t="shared" si="32"/>
        <v>NL</v>
      </c>
      <c r="B1059" t="str">
        <f t="shared" si="33"/>
        <v>O</v>
      </c>
      <c r="C1059" t="s">
        <v>1056</v>
      </c>
      <c r="D1059" s="2">
        <v>2.536</v>
      </c>
      <c r="E1059" s="2">
        <v>2.4523000000000001</v>
      </c>
      <c r="F1059" s="2">
        <v>2.5213999999999999</v>
      </c>
      <c r="G1059" s="2">
        <v>1.3</v>
      </c>
    </row>
    <row r="1060" spans="1:7" x14ac:dyDescent="0.3">
      <c r="A1060" t="str">
        <f t="shared" si="32"/>
        <v>PL</v>
      </c>
      <c r="B1060" t="str">
        <f t="shared" si="33"/>
        <v>I</v>
      </c>
      <c r="C1060" t="s">
        <v>1057</v>
      </c>
      <c r="D1060" s="2">
        <v>0.1066</v>
      </c>
      <c r="E1060" s="2">
        <v>0.10580000000000001</v>
      </c>
      <c r="F1060" s="2">
        <v>8.2199999999999995E-2</v>
      </c>
      <c r="G1060" s="2">
        <v>8.9899999999999994E-2</v>
      </c>
    </row>
    <row r="1061" spans="1:7" x14ac:dyDescent="0.3">
      <c r="A1061" t="str">
        <f t="shared" si="32"/>
        <v>PL</v>
      </c>
      <c r="B1061" t="str">
        <f t="shared" si="33"/>
        <v>I</v>
      </c>
      <c r="C1061" t="s">
        <v>1058</v>
      </c>
      <c r="D1061" s="2">
        <v>5.8902000000000001</v>
      </c>
      <c r="E1061" s="2">
        <v>2.1105999999999998</v>
      </c>
      <c r="F1061" s="2">
        <v>1.0780000000000001</v>
      </c>
      <c r="G1061" s="2">
        <v>1.6718</v>
      </c>
    </row>
    <row r="1062" spans="1:7" x14ac:dyDescent="0.3">
      <c r="A1062" t="str">
        <f t="shared" si="32"/>
        <v>PL</v>
      </c>
      <c r="B1062" t="str">
        <f t="shared" si="33"/>
        <v>I</v>
      </c>
      <c r="C1062" t="s">
        <v>1059</v>
      </c>
      <c r="D1062" s="2">
        <v>0</v>
      </c>
      <c r="E1062" s="2">
        <v>0</v>
      </c>
      <c r="F1062" s="2">
        <v>0</v>
      </c>
      <c r="G1062" s="2">
        <v>0</v>
      </c>
    </row>
    <row r="1063" spans="1:7" x14ac:dyDescent="0.3">
      <c r="A1063" t="str">
        <f t="shared" si="32"/>
        <v>PL</v>
      </c>
      <c r="B1063" t="str">
        <f t="shared" si="33"/>
        <v>I</v>
      </c>
      <c r="C1063" t="s">
        <v>1060</v>
      </c>
      <c r="D1063" s="2">
        <v>20.592600000000001</v>
      </c>
      <c r="E1063" s="2">
        <v>18.660599999999999</v>
      </c>
      <c r="F1063" s="2">
        <v>17.366299999999999</v>
      </c>
      <c r="G1063" s="2">
        <v>19.1371</v>
      </c>
    </row>
    <row r="1064" spans="1:7" x14ac:dyDescent="0.3">
      <c r="A1064" t="str">
        <f t="shared" si="32"/>
        <v>PL</v>
      </c>
      <c r="B1064" t="str">
        <f t="shared" si="33"/>
        <v>I</v>
      </c>
      <c r="C1064" t="s">
        <v>1061</v>
      </c>
      <c r="D1064" s="2">
        <v>0</v>
      </c>
      <c r="E1064" s="2">
        <v>0</v>
      </c>
      <c r="F1064" s="2">
        <v>0</v>
      </c>
      <c r="G1064" s="2">
        <v>0</v>
      </c>
    </row>
    <row r="1065" spans="1:7" x14ac:dyDescent="0.3">
      <c r="A1065" t="str">
        <f t="shared" si="32"/>
        <v>PL</v>
      </c>
      <c r="B1065" t="str">
        <f t="shared" si="33"/>
        <v>I</v>
      </c>
      <c r="C1065" t="s">
        <v>1062</v>
      </c>
      <c r="D1065" s="2">
        <v>5.9999999999999995E-4</v>
      </c>
      <c r="E1065" s="2">
        <v>2.9999999999999997E-4</v>
      </c>
      <c r="F1065" s="2">
        <v>0</v>
      </c>
      <c r="G1065" s="2">
        <v>3.3999999999999998E-3</v>
      </c>
    </row>
    <row r="1066" spans="1:7" x14ac:dyDescent="0.3">
      <c r="A1066" t="str">
        <f t="shared" si="32"/>
        <v>PL</v>
      </c>
      <c r="B1066" t="str">
        <f t="shared" si="33"/>
        <v>I</v>
      </c>
      <c r="C1066" t="s">
        <v>1063</v>
      </c>
      <c r="D1066" s="2">
        <v>13.4215</v>
      </c>
      <c r="E1066" s="2">
        <v>12.0471</v>
      </c>
      <c r="F1066" s="2">
        <v>10.981199999999999</v>
      </c>
      <c r="G1066" s="2">
        <v>12.271100000000001</v>
      </c>
    </row>
    <row r="1067" spans="1:7" x14ac:dyDescent="0.3">
      <c r="A1067" t="str">
        <f t="shared" si="32"/>
        <v>PL</v>
      </c>
      <c r="B1067" t="str">
        <f t="shared" si="33"/>
        <v>I</v>
      </c>
      <c r="C1067" t="s">
        <v>1064</v>
      </c>
      <c r="D1067" s="2">
        <v>2.121</v>
      </c>
      <c r="E1067" s="2">
        <v>1.9014</v>
      </c>
      <c r="F1067" s="2">
        <v>1.7267999999999999</v>
      </c>
      <c r="G1067" s="2">
        <v>1.9215</v>
      </c>
    </row>
    <row r="1068" spans="1:7" x14ac:dyDescent="0.3">
      <c r="A1068" t="str">
        <f t="shared" si="32"/>
        <v>PL</v>
      </c>
      <c r="B1068" t="str">
        <f t="shared" si="33"/>
        <v>I</v>
      </c>
      <c r="C1068" t="s">
        <v>1065</v>
      </c>
      <c r="D1068" s="2">
        <v>0</v>
      </c>
      <c r="E1068" s="2">
        <v>0</v>
      </c>
      <c r="F1068" s="2">
        <v>0</v>
      </c>
      <c r="G1068" s="2">
        <v>0</v>
      </c>
    </row>
    <row r="1069" spans="1:7" x14ac:dyDescent="0.3">
      <c r="A1069" t="str">
        <f t="shared" si="32"/>
        <v>PL</v>
      </c>
      <c r="B1069" t="str">
        <f t="shared" si="33"/>
        <v>I</v>
      </c>
      <c r="C1069" t="s">
        <v>1066</v>
      </c>
      <c r="D1069" s="2">
        <v>0</v>
      </c>
      <c r="E1069" s="2">
        <v>0</v>
      </c>
      <c r="F1069" s="2">
        <v>0</v>
      </c>
      <c r="G1069" s="2">
        <v>0</v>
      </c>
    </row>
    <row r="1070" spans="1:7" x14ac:dyDescent="0.3">
      <c r="A1070" t="str">
        <f t="shared" si="32"/>
        <v>PL</v>
      </c>
      <c r="B1070" t="str">
        <f t="shared" si="33"/>
        <v>I</v>
      </c>
      <c r="C1070" t="s">
        <v>1067</v>
      </c>
      <c r="D1070" s="2">
        <v>15.0975</v>
      </c>
      <c r="E1070" s="2">
        <v>12.2881</v>
      </c>
      <c r="F1070" s="2">
        <v>12.1805</v>
      </c>
      <c r="G1070" s="2">
        <v>13.4145</v>
      </c>
    </row>
    <row r="1071" spans="1:7" x14ac:dyDescent="0.3">
      <c r="A1071" t="str">
        <f t="shared" si="32"/>
        <v>PL</v>
      </c>
      <c r="B1071" t="str">
        <f t="shared" si="33"/>
        <v>C</v>
      </c>
      <c r="C1071" t="s">
        <v>1068</v>
      </c>
      <c r="D1071" s="2">
        <v>7.7313000000000001</v>
      </c>
      <c r="E1071" s="2">
        <v>11.3406</v>
      </c>
      <c r="F1071" s="2">
        <v>12.276400000000001</v>
      </c>
      <c r="G1071" s="2">
        <v>13.0123</v>
      </c>
    </row>
    <row r="1072" spans="1:7" x14ac:dyDescent="0.3">
      <c r="A1072" t="str">
        <f t="shared" si="32"/>
        <v>PL</v>
      </c>
      <c r="B1072" t="str">
        <f t="shared" si="33"/>
        <v>C</v>
      </c>
      <c r="C1072" t="s">
        <v>1069</v>
      </c>
      <c r="D1072" s="2">
        <v>23.8964</v>
      </c>
      <c r="E1072" s="2">
        <v>23.5869</v>
      </c>
      <c r="F1072" s="2">
        <v>21.9511</v>
      </c>
      <c r="G1072" s="2">
        <v>22.581499999999998</v>
      </c>
    </row>
    <row r="1073" spans="1:7" x14ac:dyDescent="0.3">
      <c r="A1073" t="str">
        <f t="shared" si="32"/>
        <v>PL</v>
      </c>
      <c r="B1073" t="str">
        <f t="shared" si="33"/>
        <v>C</v>
      </c>
      <c r="C1073" t="s">
        <v>1070</v>
      </c>
      <c r="D1073" s="2">
        <v>0</v>
      </c>
      <c r="E1073" s="2">
        <v>0</v>
      </c>
      <c r="F1073" s="2">
        <v>0</v>
      </c>
      <c r="G1073" s="2">
        <v>0</v>
      </c>
    </row>
    <row r="1074" spans="1:7" x14ac:dyDescent="0.3">
      <c r="A1074" t="str">
        <f t="shared" si="32"/>
        <v>PL</v>
      </c>
      <c r="B1074" t="str">
        <f t="shared" si="33"/>
        <v>C</v>
      </c>
      <c r="C1074" t="s">
        <v>1071</v>
      </c>
      <c r="D1074" s="2">
        <v>9.1202000000000005</v>
      </c>
      <c r="E1074" s="2">
        <v>8.9860000000000007</v>
      </c>
      <c r="F1074" s="2">
        <v>10.036199999999999</v>
      </c>
      <c r="G1074" s="2">
        <v>11.254899999999999</v>
      </c>
    </row>
    <row r="1075" spans="1:7" x14ac:dyDescent="0.3">
      <c r="A1075" t="str">
        <f t="shared" si="32"/>
        <v>PL</v>
      </c>
      <c r="B1075" t="str">
        <f t="shared" si="33"/>
        <v>C</v>
      </c>
      <c r="C1075" t="s">
        <v>1072</v>
      </c>
      <c r="D1075" s="2">
        <v>0</v>
      </c>
      <c r="E1075" s="2">
        <v>0</v>
      </c>
      <c r="F1075" s="2">
        <v>0</v>
      </c>
      <c r="G1075" s="2">
        <v>0</v>
      </c>
    </row>
    <row r="1076" spans="1:7" x14ac:dyDescent="0.3">
      <c r="A1076" t="str">
        <f t="shared" si="32"/>
        <v>PL</v>
      </c>
      <c r="B1076" t="str">
        <f t="shared" si="33"/>
        <v>C</v>
      </c>
      <c r="C1076" t="s">
        <v>1073</v>
      </c>
      <c r="D1076" s="2">
        <v>0.49880000000000002</v>
      </c>
      <c r="E1076" s="2">
        <v>0.43309999999999998</v>
      </c>
      <c r="F1076" s="2">
        <v>0.39169999999999999</v>
      </c>
      <c r="G1076" s="2">
        <v>0.38019999999999998</v>
      </c>
    </row>
    <row r="1077" spans="1:7" x14ac:dyDescent="0.3">
      <c r="A1077" t="str">
        <f t="shared" si="32"/>
        <v>PL</v>
      </c>
      <c r="B1077" t="str">
        <f t="shared" si="33"/>
        <v>C</v>
      </c>
      <c r="C1077" t="s">
        <v>1074</v>
      </c>
      <c r="D1077" s="2">
        <v>2.1324999999999998</v>
      </c>
      <c r="E1077" s="2">
        <v>2.2105000000000001</v>
      </c>
      <c r="F1077" s="2">
        <v>2.2103999999999999</v>
      </c>
      <c r="G1077" s="2">
        <v>1.7422</v>
      </c>
    </row>
    <row r="1078" spans="1:7" x14ac:dyDescent="0.3">
      <c r="A1078" t="str">
        <f t="shared" si="32"/>
        <v>PL</v>
      </c>
      <c r="B1078" t="str">
        <f t="shared" si="33"/>
        <v>C</v>
      </c>
      <c r="C1078" t="s">
        <v>1075</v>
      </c>
      <c r="D1078" s="2">
        <v>13.5953</v>
      </c>
      <c r="E1078" s="2">
        <v>13.9574</v>
      </c>
      <c r="F1078" s="2">
        <v>14.379899999999999</v>
      </c>
      <c r="G1078" s="2">
        <v>13.4899</v>
      </c>
    </row>
    <row r="1079" spans="1:7" x14ac:dyDescent="0.3">
      <c r="A1079" t="str">
        <f t="shared" si="32"/>
        <v>PL</v>
      </c>
      <c r="B1079" t="str">
        <f t="shared" si="33"/>
        <v>C</v>
      </c>
      <c r="C1079" t="s">
        <v>1076</v>
      </c>
      <c r="D1079" s="2">
        <v>0</v>
      </c>
      <c r="E1079" s="2">
        <v>0</v>
      </c>
      <c r="F1079" s="2">
        <v>0</v>
      </c>
      <c r="G1079" s="2">
        <v>0</v>
      </c>
    </row>
    <row r="1080" spans="1:7" x14ac:dyDescent="0.3">
      <c r="A1080" t="str">
        <f t="shared" si="32"/>
        <v>PL</v>
      </c>
      <c r="B1080" t="str">
        <f t="shared" si="33"/>
        <v>C</v>
      </c>
      <c r="C1080" t="s">
        <v>1077</v>
      </c>
      <c r="D1080" s="2">
        <v>0</v>
      </c>
      <c r="E1080" s="2">
        <v>0</v>
      </c>
      <c r="F1080" s="2">
        <v>0</v>
      </c>
      <c r="G1080" s="2">
        <v>0</v>
      </c>
    </row>
    <row r="1081" spans="1:7" x14ac:dyDescent="0.3">
      <c r="A1081" t="str">
        <f t="shared" si="32"/>
        <v>PL</v>
      </c>
      <c r="B1081" t="str">
        <f t="shared" si="33"/>
        <v>C</v>
      </c>
      <c r="C1081" t="s">
        <v>1078</v>
      </c>
      <c r="D1081" s="2">
        <v>7.2313000000000001</v>
      </c>
      <c r="E1081" s="2">
        <v>9.8816000000000006</v>
      </c>
      <c r="F1081" s="2">
        <v>10.6286</v>
      </c>
      <c r="G1081" s="2">
        <v>10.5534</v>
      </c>
    </row>
    <row r="1082" spans="1:7" x14ac:dyDescent="0.3">
      <c r="A1082" t="str">
        <f t="shared" si="32"/>
        <v>PL</v>
      </c>
      <c r="B1082" t="str">
        <f t="shared" si="33"/>
        <v>N</v>
      </c>
      <c r="C1082" t="s">
        <v>1079</v>
      </c>
      <c r="D1082" s="2">
        <v>1.8754999999999999</v>
      </c>
      <c r="E1082" s="2">
        <v>2.1061999999999999</v>
      </c>
      <c r="F1082" s="2">
        <v>1.3831</v>
      </c>
      <c r="G1082" s="2">
        <v>1.4384999999999999</v>
      </c>
    </row>
    <row r="1083" spans="1:7" x14ac:dyDescent="0.3">
      <c r="A1083" t="str">
        <f t="shared" si="32"/>
        <v>PL</v>
      </c>
      <c r="B1083" t="str">
        <f t="shared" si="33"/>
        <v>N</v>
      </c>
      <c r="C1083" t="s">
        <v>1080</v>
      </c>
      <c r="D1083" s="2">
        <v>11.3332</v>
      </c>
      <c r="E1083" s="2">
        <v>10.4817</v>
      </c>
      <c r="F1083" s="2">
        <v>9.2876999999999992</v>
      </c>
      <c r="G1083" s="2">
        <v>9.7050000000000001</v>
      </c>
    </row>
    <row r="1084" spans="1:7" x14ac:dyDescent="0.3">
      <c r="A1084" t="str">
        <f t="shared" si="32"/>
        <v>PL</v>
      </c>
      <c r="B1084" t="str">
        <f t="shared" si="33"/>
        <v>N</v>
      </c>
      <c r="C1084" t="s">
        <v>1081</v>
      </c>
      <c r="D1084" s="2">
        <v>0</v>
      </c>
      <c r="E1084" s="2">
        <v>0</v>
      </c>
      <c r="F1084" s="2">
        <v>0</v>
      </c>
      <c r="G1084" s="2">
        <v>0</v>
      </c>
    </row>
    <row r="1085" spans="1:7" x14ac:dyDescent="0.3">
      <c r="A1085" t="str">
        <f t="shared" si="32"/>
        <v>PL</v>
      </c>
      <c r="B1085" t="str">
        <f t="shared" si="33"/>
        <v>N</v>
      </c>
      <c r="C1085" t="s">
        <v>1082</v>
      </c>
      <c r="D1085" s="2">
        <v>22.037099999999999</v>
      </c>
      <c r="E1085" s="2">
        <v>23.792400000000001</v>
      </c>
      <c r="F1085" s="2">
        <v>22.8431</v>
      </c>
      <c r="G1085" s="2">
        <v>26.940799999999999</v>
      </c>
    </row>
    <row r="1086" spans="1:7" x14ac:dyDescent="0.3">
      <c r="A1086" t="str">
        <f t="shared" si="32"/>
        <v>PL</v>
      </c>
      <c r="B1086" t="str">
        <f t="shared" si="33"/>
        <v>N</v>
      </c>
      <c r="C1086" t="s">
        <v>1083</v>
      </c>
      <c r="D1086" s="2">
        <v>0</v>
      </c>
      <c r="E1086" s="2">
        <v>0</v>
      </c>
      <c r="F1086" s="2">
        <v>0</v>
      </c>
      <c r="G1086" s="2">
        <v>0</v>
      </c>
    </row>
    <row r="1087" spans="1:7" x14ac:dyDescent="0.3">
      <c r="A1087" t="str">
        <f t="shared" si="32"/>
        <v>PL</v>
      </c>
      <c r="B1087" t="str">
        <f t="shared" si="33"/>
        <v>N</v>
      </c>
      <c r="C1087" t="s">
        <v>1084</v>
      </c>
      <c r="D1087" s="2">
        <v>18.0885</v>
      </c>
      <c r="E1087" s="2">
        <v>18.553899999999999</v>
      </c>
      <c r="F1087" s="2">
        <v>18.309000000000001</v>
      </c>
      <c r="G1087" s="2">
        <v>18.139500000000002</v>
      </c>
    </row>
    <row r="1088" spans="1:7" x14ac:dyDescent="0.3">
      <c r="A1088" t="str">
        <f t="shared" si="32"/>
        <v>PL</v>
      </c>
      <c r="B1088" t="str">
        <f t="shared" si="33"/>
        <v>N</v>
      </c>
      <c r="C1088" t="s">
        <v>1085</v>
      </c>
      <c r="D1088" s="2">
        <v>3.8018999999999998</v>
      </c>
      <c r="E1088" s="2">
        <v>3.8576999999999999</v>
      </c>
      <c r="F1088" s="2">
        <v>3.8218000000000001</v>
      </c>
      <c r="G1088" s="2">
        <v>4.1147999999999998</v>
      </c>
    </row>
    <row r="1089" spans="1:7" x14ac:dyDescent="0.3">
      <c r="A1089" t="str">
        <f t="shared" si="32"/>
        <v>PL</v>
      </c>
      <c r="B1089" t="str">
        <f t="shared" si="33"/>
        <v>N</v>
      </c>
      <c r="C1089" t="s">
        <v>1086</v>
      </c>
      <c r="D1089" s="2">
        <v>7.3273000000000001</v>
      </c>
      <c r="E1089" s="2">
        <v>7.3487</v>
      </c>
      <c r="F1089" s="2">
        <v>7.2290999999999999</v>
      </c>
      <c r="G1089" s="2">
        <v>7.8776999999999999</v>
      </c>
    </row>
    <row r="1090" spans="1:7" x14ac:dyDescent="0.3">
      <c r="A1090" t="str">
        <f t="shared" si="32"/>
        <v>PL</v>
      </c>
      <c r="B1090" t="str">
        <f t="shared" si="33"/>
        <v>N</v>
      </c>
      <c r="C1090" t="s">
        <v>1087</v>
      </c>
      <c r="D1090" s="2">
        <v>0</v>
      </c>
      <c r="E1090" s="2">
        <v>0</v>
      </c>
      <c r="F1090" s="2">
        <v>0</v>
      </c>
      <c r="G1090" s="2">
        <v>0</v>
      </c>
    </row>
    <row r="1091" spans="1:7" x14ac:dyDescent="0.3">
      <c r="A1091" t="str">
        <f t="shared" si="32"/>
        <v>PL</v>
      </c>
      <c r="B1091" t="str">
        <f t="shared" si="33"/>
        <v>N</v>
      </c>
      <c r="C1091" t="s">
        <v>1088</v>
      </c>
      <c r="D1091" s="2">
        <v>0</v>
      </c>
      <c r="E1091" s="2">
        <v>0</v>
      </c>
      <c r="F1091" s="2">
        <v>0</v>
      </c>
      <c r="G1091" s="2">
        <v>0</v>
      </c>
    </row>
    <row r="1092" spans="1:7" x14ac:dyDescent="0.3">
      <c r="A1092" t="str">
        <f t="shared" si="32"/>
        <v>PL</v>
      </c>
      <c r="B1092" t="str">
        <f t="shared" si="33"/>
        <v>N</v>
      </c>
      <c r="C1092" t="s">
        <v>1089</v>
      </c>
      <c r="D1092" s="2">
        <v>0.74419999999999997</v>
      </c>
      <c r="E1092" s="2">
        <v>0.77639999999999998</v>
      </c>
      <c r="F1092" s="2">
        <v>0.6603</v>
      </c>
      <c r="G1092" s="2">
        <v>0.77239999999999998</v>
      </c>
    </row>
    <row r="1093" spans="1:7" x14ac:dyDescent="0.3">
      <c r="A1093" t="str">
        <f t="shared" ref="A1093:A1156" si="34">LEFT(C1093,2)</f>
        <v>PL</v>
      </c>
      <c r="B1093" t="str">
        <f t="shared" ref="B1093:B1156" si="35">RIGHT(C1093,1)</f>
        <v>F</v>
      </c>
      <c r="C1093" t="s">
        <v>1090</v>
      </c>
      <c r="D1093" s="2">
        <v>1.4984</v>
      </c>
      <c r="E1093" s="2">
        <v>1.3154999999999999</v>
      </c>
      <c r="F1093" s="2">
        <v>1.1302000000000001</v>
      </c>
      <c r="G1093" s="2">
        <v>1.1167</v>
      </c>
    </row>
    <row r="1094" spans="1:7" x14ac:dyDescent="0.3">
      <c r="A1094" t="str">
        <f t="shared" si="34"/>
        <v>PL</v>
      </c>
      <c r="B1094" t="str">
        <f t="shared" si="35"/>
        <v>F</v>
      </c>
      <c r="C1094" t="s">
        <v>1091</v>
      </c>
      <c r="D1094" s="2">
        <v>9.5404999999999998</v>
      </c>
      <c r="E1094" s="2">
        <v>9.5152999999999999</v>
      </c>
      <c r="F1094" s="2">
        <v>8.8153000000000006</v>
      </c>
      <c r="G1094" s="2">
        <v>8.3873999999999995</v>
      </c>
    </row>
    <row r="1095" spans="1:7" x14ac:dyDescent="0.3">
      <c r="A1095" t="str">
        <f t="shared" si="34"/>
        <v>PL</v>
      </c>
      <c r="B1095" t="str">
        <f t="shared" si="35"/>
        <v>F</v>
      </c>
      <c r="C1095" t="s">
        <v>1092</v>
      </c>
      <c r="D1095" s="2">
        <v>0</v>
      </c>
      <c r="E1095" s="2">
        <v>0</v>
      </c>
      <c r="F1095" s="2">
        <v>0</v>
      </c>
      <c r="G1095" s="2">
        <v>0</v>
      </c>
    </row>
    <row r="1096" spans="1:7" x14ac:dyDescent="0.3">
      <c r="A1096" t="str">
        <f t="shared" si="34"/>
        <v>PL</v>
      </c>
      <c r="B1096" t="str">
        <f t="shared" si="35"/>
        <v>F</v>
      </c>
      <c r="C1096" t="s">
        <v>1093</v>
      </c>
      <c r="D1096" s="2">
        <v>17.922599999999999</v>
      </c>
      <c r="E1096" s="2">
        <v>17.560500000000001</v>
      </c>
      <c r="F1096" s="2">
        <v>17.027899999999999</v>
      </c>
      <c r="G1096" s="2">
        <v>17.667200000000001</v>
      </c>
    </row>
    <row r="1097" spans="1:7" x14ac:dyDescent="0.3">
      <c r="A1097" t="str">
        <f t="shared" si="34"/>
        <v>PL</v>
      </c>
      <c r="B1097" t="str">
        <f t="shared" si="35"/>
        <v>F</v>
      </c>
      <c r="C1097" t="s">
        <v>1094</v>
      </c>
      <c r="D1097" s="2">
        <v>0</v>
      </c>
      <c r="E1097" s="2">
        <v>0</v>
      </c>
      <c r="F1097" s="2">
        <v>0</v>
      </c>
      <c r="G1097" s="2">
        <v>0</v>
      </c>
    </row>
    <row r="1098" spans="1:7" x14ac:dyDescent="0.3">
      <c r="A1098" t="str">
        <f t="shared" si="34"/>
        <v>PL</v>
      </c>
      <c r="B1098" t="str">
        <f t="shared" si="35"/>
        <v>F</v>
      </c>
      <c r="C1098" t="s">
        <v>1095</v>
      </c>
      <c r="D1098" s="2">
        <v>0.51680000000000004</v>
      </c>
      <c r="E1098" s="2">
        <v>0.32400000000000001</v>
      </c>
      <c r="F1098" s="2">
        <v>0.27</v>
      </c>
      <c r="G1098" s="2">
        <v>0.17080000000000001</v>
      </c>
    </row>
    <row r="1099" spans="1:7" x14ac:dyDescent="0.3">
      <c r="A1099" t="str">
        <f t="shared" si="34"/>
        <v>PL</v>
      </c>
      <c r="B1099" t="str">
        <f t="shared" si="35"/>
        <v>F</v>
      </c>
      <c r="C1099" t="s">
        <v>1096</v>
      </c>
      <c r="D1099" s="2">
        <v>6.7576000000000001</v>
      </c>
      <c r="E1099" s="2">
        <v>6.9720000000000004</v>
      </c>
      <c r="F1099" s="2">
        <v>6.9461000000000004</v>
      </c>
      <c r="G1099" s="2">
        <v>7.1840999999999999</v>
      </c>
    </row>
    <row r="1100" spans="1:7" x14ac:dyDescent="0.3">
      <c r="A1100" t="str">
        <f t="shared" si="34"/>
        <v>PL</v>
      </c>
      <c r="B1100" t="str">
        <f t="shared" si="35"/>
        <v>F</v>
      </c>
      <c r="C1100" t="s">
        <v>1097</v>
      </c>
      <c r="D1100" s="2">
        <v>8.5303000000000004</v>
      </c>
      <c r="E1100" s="2">
        <v>8.6562999999999999</v>
      </c>
      <c r="F1100" s="2">
        <v>8.4983000000000004</v>
      </c>
      <c r="G1100" s="2">
        <v>8.7058</v>
      </c>
    </row>
    <row r="1101" spans="1:7" x14ac:dyDescent="0.3">
      <c r="A1101" t="str">
        <f t="shared" si="34"/>
        <v>PL</v>
      </c>
      <c r="B1101" t="str">
        <f t="shared" si="35"/>
        <v>F</v>
      </c>
      <c r="C1101" t="s">
        <v>1098</v>
      </c>
      <c r="D1101" s="2">
        <v>0</v>
      </c>
      <c r="E1101" s="2">
        <v>0</v>
      </c>
      <c r="F1101" s="2">
        <v>0</v>
      </c>
      <c r="G1101" s="2">
        <v>0</v>
      </c>
    </row>
    <row r="1102" spans="1:7" x14ac:dyDescent="0.3">
      <c r="A1102" t="str">
        <f t="shared" si="34"/>
        <v>PL</v>
      </c>
      <c r="B1102" t="str">
        <f t="shared" si="35"/>
        <v>F</v>
      </c>
      <c r="C1102" t="s">
        <v>1099</v>
      </c>
      <c r="D1102" s="2">
        <v>0</v>
      </c>
      <c r="E1102" s="2">
        <v>0</v>
      </c>
      <c r="F1102" s="2">
        <v>0</v>
      </c>
      <c r="G1102" s="2">
        <v>0</v>
      </c>
    </row>
    <row r="1103" spans="1:7" x14ac:dyDescent="0.3">
      <c r="A1103" t="str">
        <f t="shared" si="34"/>
        <v>PL</v>
      </c>
      <c r="B1103" t="str">
        <f t="shared" si="35"/>
        <v>F</v>
      </c>
      <c r="C1103" t="s">
        <v>1100</v>
      </c>
      <c r="D1103" s="2">
        <v>1.2903</v>
      </c>
      <c r="E1103" s="2">
        <v>1.2332000000000001</v>
      </c>
      <c r="F1103" s="2">
        <v>1.1927000000000001</v>
      </c>
      <c r="G1103" s="2">
        <v>0.99</v>
      </c>
    </row>
    <row r="1104" spans="1:7" x14ac:dyDescent="0.3">
      <c r="A1104" t="str">
        <f t="shared" si="34"/>
        <v>PL</v>
      </c>
      <c r="B1104" t="str">
        <f t="shared" si="35"/>
        <v>O</v>
      </c>
      <c r="C1104" t="s">
        <v>1101</v>
      </c>
      <c r="D1104" s="2">
        <v>4.3804999999999996</v>
      </c>
      <c r="E1104" s="2">
        <v>4.6196000000000002</v>
      </c>
      <c r="F1104" s="2">
        <v>4.0350000000000001</v>
      </c>
      <c r="G1104" s="2">
        <v>4.5210999999999997</v>
      </c>
    </row>
    <row r="1105" spans="1:7" x14ac:dyDescent="0.3">
      <c r="A1105" t="str">
        <f t="shared" si="34"/>
        <v>PL</v>
      </c>
      <c r="B1105" t="str">
        <f t="shared" si="35"/>
        <v>O</v>
      </c>
      <c r="C1105" t="s">
        <v>1102</v>
      </c>
      <c r="D1105" s="2">
        <v>6.7537000000000003</v>
      </c>
      <c r="E1105" s="2">
        <v>7.2815000000000003</v>
      </c>
      <c r="F1105" s="2">
        <v>6.2169999999999996</v>
      </c>
      <c r="G1105" s="2">
        <v>6.8276000000000003</v>
      </c>
    </row>
    <row r="1106" spans="1:7" x14ac:dyDescent="0.3">
      <c r="A1106" t="str">
        <f t="shared" si="34"/>
        <v>PL</v>
      </c>
      <c r="B1106" t="str">
        <f t="shared" si="35"/>
        <v>O</v>
      </c>
      <c r="C1106" t="s">
        <v>1103</v>
      </c>
      <c r="D1106" s="2">
        <v>0</v>
      </c>
      <c r="E1106" s="2">
        <v>0</v>
      </c>
      <c r="F1106" s="2">
        <v>0</v>
      </c>
      <c r="G1106" s="2">
        <v>0</v>
      </c>
    </row>
    <row r="1107" spans="1:7" x14ac:dyDescent="0.3">
      <c r="A1107" t="str">
        <f t="shared" si="34"/>
        <v>PL</v>
      </c>
      <c r="B1107" t="str">
        <f t="shared" si="35"/>
        <v>O</v>
      </c>
      <c r="C1107" t="s">
        <v>1104</v>
      </c>
      <c r="D1107" s="2">
        <v>22.398800000000001</v>
      </c>
      <c r="E1107" s="2">
        <v>23.595500000000001</v>
      </c>
      <c r="F1107" s="2">
        <v>22.898900000000001</v>
      </c>
      <c r="G1107" s="2">
        <v>24.677800000000001</v>
      </c>
    </row>
    <row r="1108" spans="1:7" x14ac:dyDescent="0.3">
      <c r="A1108" t="str">
        <f t="shared" si="34"/>
        <v>PL</v>
      </c>
      <c r="B1108" t="str">
        <f t="shared" si="35"/>
        <v>O</v>
      </c>
      <c r="C1108" t="s">
        <v>1105</v>
      </c>
      <c r="D1108" s="2">
        <v>0</v>
      </c>
      <c r="E1108" s="2">
        <v>0</v>
      </c>
      <c r="F1108" s="2">
        <v>0</v>
      </c>
      <c r="G1108" s="2">
        <v>0</v>
      </c>
    </row>
    <row r="1109" spans="1:7" x14ac:dyDescent="0.3">
      <c r="A1109" t="str">
        <f t="shared" si="34"/>
        <v>PL</v>
      </c>
      <c r="B1109" t="str">
        <f t="shared" si="35"/>
        <v>O</v>
      </c>
      <c r="C1109" t="s">
        <v>1106</v>
      </c>
      <c r="D1109" s="2">
        <v>34.812600000000003</v>
      </c>
      <c r="E1109" s="2">
        <v>38.316899999999997</v>
      </c>
      <c r="F1109" s="2">
        <v>41.2624</v>
      </c>
      <c r="G1109" s="2">
        <v>30.5307</v>
      </c>
    </row>
    <row r="1110" spans="1:7" x14ac:dyDescent="0.3">
      <c r="A1110" t="str">
        <f t="shared" si="34"/>
        <v>PL</v>
      </c>
      <c r="B1110" t="str">
        <f t="shared" si="35"/>
        <v>O</v>
      </c>
      <c r="C1110" t="s">
        <v>1107</v>
      </c>
      <c r="D1110" s="2">
        <v>21.113099999999999</v>
      </c>
      <c r="E1110" s="2">
        <v>22.020299999999999</v>
      </c>
      <c r="F1110" s="2">
        <v>20.7149</v>
      </c>
      <c r="G1110" s="2">
        <v>22.077300000000001</v>
      </c>
    </row>
    <row r="1111" spans="1:7" x14ac:dyDescent="0.3">
      <c r="A1111" t="str">
        <f t="shared" si="34"/>
        <v>PL</v>
      </c>
      <c r="B1111" t="str">
        <f t="shared" si="35"/>
        <v>O</v>
      </c>
      <c r="C1111" t="s">
        <v>1108</v>
      </c>
      <c r="D1111" s="2">
        <v>31.069600000000001</v>
      </c>
      <c r="E1111" s="2">
        <v>31.591000000000001</v>
      </c>
      <c r="F1111" s="2">
        <v>29.8322</v>
      </c>
      <c r="G1111" s="2">
        <v>31.258800000000001</v>
      </c>
    </row>
    <row r="1112" spans="1:7" x14ac:dyDescent="0.3">
      <c r="A1112" t="str">
        <f t="shared" si="34"/>
        <v>PL</v>
      </c>
      <c r="B1112" t="str">
        <f t="shared" si="35"/>
        <v>O</v>
      </c>
      <c r="C1112" t="s">
        <v>1109</v>
      </c>
      <c r="D1112" s="2">
        <v>0</v>
      </c>
      <c r="E1112" s="2">
        <v>0</v>
      </c>
      <c r="F1112" s="2">
        <v>0</v>
      </c>
      <c r="G1112" s="2">
        <v>0</v>
      </c>
    </row>
    <row r="1113" spans="1:7" x14ac:dyDescent="0.3">
      <c r="A1113" t="str">
        <f t="shared" si="34"/>
        <v>PL</v>
      </c>
      <c r="B1113" t="str">
        <f t="shared" si="35"/>
        <v>O</v>
      </c>
      <c r="C1113" t="s">
        <v>1110</v>
      </c>
      <c r="D1113" s="2">
        <v>0</v>
      </c>
      <c r="E1113" s="2">
        <v>0</v>
      </c>
      <c r="F1113" s="2">
        <v>0</v>
      </c>
      <c r="G1113" s="2">
        <v>0</v>
      </c>
    </row>
    <row r="1114" spans="1:7" x14ac:dyDescent="0.3">
      <c r="A1114" t="str">
        <f t="shared" si="34"/>
        <v>PL</v>
      </c>
      <c r="B1114" t="str">
        <f t="shared" si="35"/>
        <v>O</v>
      </c>
      <c r="C1114" t="s">
        <v>1111</v>
      </c>
      <c r="D1114" s="2">
        <v>9.8140999999999998</v>
      </c>
      <c r="E1114" s="2">
        <v>8.9094999999999995</v>
      </c>
      <c r="F1114" s="2">
        <v>8.7377000000000002</v>
      </c>
      <c r="G1114" s="2">
        <v>10.4641</v>
      </c>
    </row>
    <row r="1115" spans="1:7" x14ac:dyDescent="0.3">
      <c r="A1115" t="str">
        <f t="shared" si="34"/>
        <v>PT</v>
      </c>
      <c r="B1115" t="str">
        <f t="shared" si="35"/>
        <v>P</v>
      </c>
      <c r="C1115" t="s">
        <v>1112</v>
      </c>
      <c r="D1115" s="2">
        <v>1.1868000000000001</v>
      </c>
      <c r="E1115" s="2">
        <v>0.98309999999999997</v>
      </c>
      <c r="F1115" s="2">
        <v>1.1511</v>
      </c>
      <c r="G1115" s="2">
        <v>0.86899999999999999</v>
      </c>
    </row>
    <row r="1116" spans="1:7" x14ac:dyDescent="0.3">
      <c r="A1116" t="str">
        <f t="shared" si="34"/>
        <v>PT</v>
      </c>
      <c r="B1116" t="str">
        <f t="shared" si="35"/>
        <v>P</v>
      </c>
      <c r="C1116" t="s">
        <v>1113</v>
      </c>
      <c r="D1116" s="2">
        <v>0</v>
      </c>
      <c r="E1116" s="2">
        <v>0</v>
      </c>
      <c r="F1116" s="2">
        <v>0</v>
      </c>
      <c r="G1116" s="2">
        <v>0</v>
      </c>
    </row>
    <row r="1117" spans="1:7" x14ac:dyDescent="0.3">
      <c r="A1117" t="str">
        <f t="shared" si="34"/>
        <v>PT</v>
      </c>
      <c r="B1117" t="str">
        <f t="shared" si="35"/>
        <v>P</v>
      </c>
      <c r="C1117" t="s">
        <v>1114</v>
      </c>
      <c r="D1117" s="2">
        <v>0</v>
      </c>
      <c r="E1117" s="2">
        <v>0</v>
      </c>
      <c r="F1117" s="2">
        <v>0</v>
      </c>
      <c r="G1117" s="2">
        <v>0</v>
      </c>
    </row>
    <row r="1118" spans="1:7" x14ac:dyDescent="0.3">
      <c r="A1118" t="str">
        <f t="shared" si="34"/>
        <v>PT</v>
      </c>
      <c r="B1118" t="str">
        <f t="shared" si="35"/>
        <v>P</v>
      </c>
      <c r="C1118" t="s">
        <v>1115</v>
      </c>
      <c r="D1118" s="2">
        <v>4.9146000000000001</v>
      </c>
      <c r="E1118" s="2">
        <v>4.9595000000000002</v>
      </c>
      <c r="F1118" s="2">
        <v>4.7308000000000003</v>
      </c>
      <c r="G1118" s="2">
        <v>5.6894</v>
      </c>
    </row>
    <row r="1119" spans="1:7" x14ac:dyDescent="0.3">
      <c r="A1119" t="str">
        <f t="shared" si="34"/>
        <v>PT</v>
      </c>
      <c r="B1119" t="str">
        <f t="shared" si="35"/>
        <v>P</v>
      </c>
      <c r="C1119" t="s">
        <v>1116</v>
      </c>
      <c r="D1119" s="2">
        <v>0</v>
      </c>
      <c r="E1119" s="2">
        <v>0</v>
      </c>
      <c r="F1119" s="2">
        <v>0</v>
      </c>
      <c r="G1119" s="2">
        <v>0</v>
      </c>
    </row>
    <row r="1120" spans="1:7" x14ac:dyDescent="0.3">
      <c r="A1120" t="str">
        <f t="shared" si="34"/>
        <v>PT</v>
      </c>
      <c r="B1120" t="str">
        <f t="shared" si="35"/>
        <v>P</v>
      </c>
      <c r="C1120" t="s">
        <v>1117</v>
      </c>
      <c r="D1120" s="2">
        <v>20.944099999999999</v>
      </c>
      <c r="E1120" s="2">
        <v>21.4788</v>
      </c>
      <c r="F1120" s="2">
        <v>21.4087</v>
      </c>
      <c r="G1120" s="2">
        <v>20.327999999999999</v>
      </c>
    </row>
    <row r="1121" spans="1:7" x14ac:dyDescent="0.3">
      <c r="A1121" t="str">
        <f t="shared" si="34"/>
        <v>PT</v>
      </c>
      <c r="B1121" t="str">
        <f t="shared" si="35"/>
        <v>P</v>
      </c>
      <c r="C1121" t="s">
        <v>1118</v>
      </c>
      <c r="D1121" s="2">
        <v>3.0821000000000001</v>
      </c>
      <c r="E1121" s="2">
        <v>3.1429999999999998</v>
      </c>
      <c r="F1121" s="2">
        <v>3.1707999999999998</v>
      </c>
      <c r="G1121" s="2">
        <v>3.3296999999999999</v>
      </c>
    </row>
    <row r="1122" spans="1:7" x14ac:dyDescent="0.3">
      <c r="A1122" t="str">
        <f t="shared" si="34"/>
        <v>PT</v>
      </c>
      <c r="B1122" t="str">
        <f t="shared" si="35"/>
        <v>P</v>
      </c>
      <c r="C1122" t="s">
        <v>1119</v>
      </c>
      <c r="D1122" s="2">
        <v>3.3895</v>
      </c>
      <c r="E1122" s="2">
        <v>3.5141</v>
      </c>
      <c r="F1122" s="2">
        <v>3.4249999999999998</v>
      </c>
      <c r="G1122" s="2">
        <v>3.4079000000000002</v>
      </c>
    </row>
    <row r="1123" spans="1:7" x14ac:dyDescent="0.3">
      <c r="A1123" t="str">
        <f t="shared" si="34"/>
        <v>PT</v>
      </c>
      <c r="B1123" t="str">
        <f t="shared" si="35"/>
        <v>P</v>
      </c>
      <c r="C1123" t="s">
        <v>1120</v>
      </c>
      <c r="D1123" s="2">
        <v>0</v>
      </c>
      <c r="E1123" s="2">
        <v>0</v>
      </c>
      <c r="F1123" s="2">
        <v>0</v>
      </c>
      <c r="G1123" s="2">
        <v>0</v>
      </c>
    </row>
    <row r="1124" spans="1:7" x14ac:dyDescent="0.3">
      <c r="A1124" t="str">
        <f t="shared" si="34"/>
        <v>PT</v>
      </c>
      <c r="B1124" t="str">
        <f t="shared" si="35"/>
        <v>P</v>
      </c>
      <c r="C1124" t="s">
        <v>1121</v>
      </c>
      <c r="D1124" s="2">
        <v>0</v>
      </c>
      <c r="E1124" s="2">
        <v>0</v>
      </c>
      <c r="F1124" s="2">
        <v>0</v>
      </c>
      <c r="G1124" s="2">
        <v>0</v>
      </c>
    </row>
    <row r="1125" spans="1:7" x14ac:dyDescent="0.3">
      <c r="A1125" t="str">
        <f t="shared" si="34"/>
        <v>PT</v>
      </c>
      <c r="B1125" t="str">
        <f t="shared" si="35"/>
        <v>P</v>
      </c>
      <c r="C1125" t="s">
        <v>1122</v>
      </c>
      <c r="D1125" s="2">
        <v>2.3437000000000001</v>
      </c>
      <c r="E1125" s="2">
        <v>2.5083000000000002</v>
      </c>
      <c r="F1125" s="2">
        <v>1.9112</v>
      </c>
      <c r="G1125" s="2">
        <v>1.3772</v>
      </c>
    </row>
    <row r="1126" spans="1:7" x14ac:dyDescent="0.3">
      <c r="A1126" t="str">
        <f t="shared" si="34"/>
        <v>PT</v>
      </c>
      <c r="B1126" t="str">
        <f t="shared" si="35"/>
        <v>C</v>
      </c>
      <c r="C1126" t="s">
        <v>1123</v>
      </c>
      <c r="D1126" s="2">
        <v>0.30320000000000003</v>
      </c>
      <c r="E1126" s="2">
        <v>0.14030000000000001</v>
      </c>
      <c r="F1126" s="2">
        <v>0.12740000000000001</v>
      </c>
      <c r="G1126" s="2">
        <v>0.1217</v>
      </c>
    </row>
    <row r="1127" spans="1:7" x14ac:dyDescent="0.3">
      <c r="A1127" t="str">
        <f t="shared" si="34"/>
        <v>PT</v>
      </c>
      <c r="B1127" t="str">
        <f t="shared" si="35"/>
        <v>C</v>
      </c>
      <c r="C1127" t="s">
        <v>1124</v>
      </c>
      <c r="D1127" s="2">
        <v>0</v>
      </c>
      <c r="E1127" s="2">
        <v>0</v>
      </c>
      <c r="F1127" s="2">
        <v>0</v>
      </c>
      <c r="G1127" s="2">
        <v>0</v>
      </c>
    </row>
    <row r="1128" spans="1:7" x14ac:dyDescent="0.3">
      <c r="A1128" t="str">
        <f t="shared" si="34"/>
        <v>PT</v>
      </c>
      <c r="B1128" t="str">
        <f t="shared" si="35"/>
        <v>C</v>
      </c>
      <c r="C1128" t="s">
        <v>1125</v>
      </c>
      <c r="D1128" s="2">
        <v>0</v>
      </c>
      <c r="E1128" s="2">
        <v>0</v>
      </c>
      <c r="F1128" s="2">
        <v>0</v>
      </c>
      <c r="G1128" s="2">
        <v>0</v>
      </c>
    </row>
    <row r="1129" spans="1:7" x14ac:dyDescent="0.3">
      <c r="A1129" t="str">
        <f t="shared" si="34"/>
        <v>PT</v>
      </c>
      <c r="B1129" t="str">
        <f t="shared" si="35"/>
        <v>C</v>
      </c>
      <c r="C1129" t="s">
        <v>1126</v>
      </c>
      <c r="D1129" s="2">
        <v>4.468</v>
      </c>
      <c r="E1129" s="2">
        <v>4.4386999999999999</v>
      </c>
      <c r="F1129" s="2">
        <v>2.7768000000000002</v>
      </c>
      <c r="G1129" s="2">
        <v>3.8896000000000002</v>
      </c>
    </row>
    <row r="1130" spans="1:7" x14ac:dyDescent="0.3">
      <c r="A1130" t="str">
        <f t="shared" si="34"/>
        <v>PT</v>
      </c>
      <c r="B1130" t="str">
        <f t="shared" si="35"/>
        <v>C</v>
      </c>
      <c r="C1130" t="s">
        <v>1127</v>
      </c>
      <c r="D1130" s="2">
        <v>0</v>
      </c>
      <c r="E1130" s="2">
        <v>0</v>
      </c>
      <c r="F1130" s="2">
        <v>0</v>
      </c>
      <c r="G1130" s="2">
        <v>0</v>
      </c>
    </row>
    <row r="1131" spans="1:7" x14ac:dyDescent="0.3">
      <c r="A1131" t="str">
        <f t="shared" si="34"/>
        <v>PT</v>
      </c>
      <c r="B1131" t="str">
        <f t="shared" si="35"/>
        <v>C</v>
      </c>
      <c r="C1131" t="s">
        <v>1128</v>
      </c>
      <c r="D1131" s="2">
        <v>0.1113</v>
      </c>
      <c r="E1131" s="2">
        <v>0.14610000000000001</v>
      </c>
      <c r="F1131" s="2">
        <v>0.1326</v>
      </c>
      <c r="G1131" s="2">
        <v>0.14749999999999999</v>
      </c>
    </row>
    <row r="1132" spans="1:7" x14ac:dyDescent="0.3">
      <c r="A1132" t="str">
        <f t="shared" si="34"/>
        <v>PT</v>
      </c>
      <c r="B1132" t="str">
        <f t="shared" si="35"/>
        <v>C</v>
      </c>
      <c r="C1132" t="s">
        <v>1129</v>
      </c>
      <c r="D1132" s="2">
        <v>0.67900000000000005</v>
      </c>
      <c r="E1132" s="2">
        <v>0.79900000000000004</v>
      </c>
      <c r="F1132" s="2">
        <v>1.0113000000000001</v>
      </c>
      <c r="G1132" s="2">
        <v>0.92620000000000002</v>
      </c>
    </row>
    <row r="1133" spans="1:7" x14ac:dyDescent="0.3">
      <c r="A1133" t="str">
        <f t="shared" si="34"/>
        <v>PT</v>
      </c>
      <c r="B1133" t="str">
        <f t="shared" si="35"/>
        <v>C</v>
      </c>
      <c r="C1133" t="s">
        <v>1130</v>
      </c>
      <c r="D1133" s="2">
        <v>3.7860999999999998</v>
      </c>
      <c r="E1133" s="2">
        <v>4.0294999999999996</v>
      </c>
      <c r="F1133" s="2">
        <v>3.8216999999999999</v>
      </c>
      <c r="G1133" s="2">
        <v>4.1338999999999997</v>
      </c>
    </row>
    <row r="1134" spans="1:7" x14ac:dyDescent="0.3">
      <c r="A1134" t="str">
        <f t="shared" si="34"/>
        <v>PT</v>
      </c>
      <c r="B1134" t="str">
        <f t="shared" si="35"/>
        <v>C</v>
      </c>
      <c r="C1134" t="s">
        <v>1131</v>
      </c>
      <c r="D1134" s="2">
        <v>0</v>
      </c>
      <c r="E1134" s="2">
        <v>0</v>
      </c>
      <c r="F1134" s="2">
        <v>0</v>
      </c>
      <c r="G1134" s="2">
        <v>0</v>
      </c>
    </row>
    <row r="1135" spans="1:7" x14ac:dyDescent="0.3">
      <c r="A1135" t="str">
        <f t="shared" si="34"/>
        <v>PT</v>
      </c>
      <c r="B1135" t="str">
        <f t="shared" si="35"/>
        <v>C</v>
      </c>
      <c r="C1135" t="s">
        <v>1132</v>
      </c>
      <c r="D1135" s="2">
        <v>0</v>
      </c>
      <c r="E1135" s="2">
        <v>0</v>
      </c>
      <c r="F1135" s="2">
        <v>0</v>
      </c>
      <c r="G1135" s="2">
        <v>0</v>
      </c>
    </row>
    <row r="1136" spans="1:7" x14ac:dyDescent="0.3">
      <c r="A1136" t="str">
        <f t="shared" si="34"/>
        <v>PT</v>
      </c>
      <c r="B1136" t="str">
        <f t="shared" si="35"/>
        <v>C</v>
      </c>
      <c r="C1136" t="s">
        <v>1133</v>
      </c>
      <c r="D1136" s="2">
        <v>1.5961000000000001</v>
      </c>
      <c r="E1136" s="2">
        <v>1.9624999999999999</v>
      </c>
      <c r="F1136" s="2">
        <v>1.7809999999999999</v>
      </c>
      <c r="G1136" s="2">
        <v>1.9685999999999999</v>
      </c>
    </row>
    <row r="1137" spans="1:7" x14ac:dyDescent="0.3">
      <c r="A1137" t="str">
        <f t="shared" si="34"/>
        <v>PT</v>
      </c>
      <c r="B1137" t="str">
        <f t="shared" si="35"/>
        <v>N</v>
      </c>
      <c r="C1137" t="s">
        <v>1134</v>
      </c>
      <c r="D1137" s="2">
        <v>5.9406999999999996</v>
      </c>
      <c r="E1137" s="2">
        <v>6.0054999999999996</v>
      </c>
      <c r="F1137" s="2">
        <v>6.3083</v>
      </c>
      <c r="G1137" s="2">
        <v>5.5063000000000004</v>
      </c>
    </row>
    <row r="1138" spans="1:7" x14ac:dyDescent="0.3">
      <c r="A1138" t="str">
        <f t="shared" si="34"/>
        <v>PT</v>
      </c>
      <c r="B1138" t="str">
        <f t="shared" si="35"/>
        <v>N</v>
      </c>
      <c r="C1138" t="s">
        <v>1135</v>
      </c>
      <c r="D1138" s="2">
        <v>2.69E-2</v>
      </c>
      <c r="E1138" s="2">
        <v>2.87E-2</v>
      </c>
      <c r="F1138" s="2">
        <v>3.4599999999999999E-2</v>
      </c>
      <c r="G1138" s="2">
        <v>3.5799999999999998E-2</v>
      </c>
    </row>
    <row r="1139" spans="1:7" x14ac:dyDescent="0.3">
      <c r="A1139" t="str">
        <f t="shared" si="34"/>
        <v>PT</v>
      </c>
      <c r="B1139" t="str">
        <f t="shared" si="35"/>
        <v>N</v>
      </c>
      <c r="C1139" t="s">
        <v>1136</v>
      </c>
      <c r="D1139" s="2">
        <v>0</v>
      </c>
      <c r="E1139" s="2">
        <v>0</v>
      </c>
      <c r="F1139" s="2">
        <v>0</v>
      </c>
      <c r="G1139" s="2">
        <v>0</v>
      </c>
    </row>
    <row r="1140" spans="1:7" x14ac:dyDescent="0.3">
      <c r="A1140" t="str">
        <f t="shared" si="34"/>
        <v>PT</v>
      </c>
      <c r="B1140" t="str">
        <f t="shared" si="35"/>
        <v>N</v>
      </c>
      <c r="C1140" t="s">
        <v>1137</v>
      </c>
      <c r="D1140" s="2">
        <v>8.8637999999999995</v>
      </c>
      <c r="E1140" s="2">
        <v>9.1112000000000002</v>
      </c>
      <c r="F1140" s="2">
        <v>8.8016000000000005</v>
      </c>
      <c r="G1140" s="2">
        <v>9.2424999999999997</v>
      </c>
    </row>
    <row r="1141" spans="1:7" x14ac:dyDescent="0.3">
      <c r="A1141" t="str">
        <f t="shared" si="34"/>
        <v>PT</v>
      </c>
      <c r="B1141" t="str">
        <f t="shared" si="35"/>
        <v>N</v>
      </c>
      <c r="C1141" t="s">
        <v>1138</v>
      </c>
      <c r="D1141" s="2">
        <v>0</v>
      </c>
      <c r="E1141" s="2">
        <v>0</v>
      </c>
      <c r="F1141" s="2">
        <v>0</v>
      </c>
      <c r="G1141" s="2">
        <v>0</v>
      </c>
    </row>
    <row r="1142" spans="1:7" x14ac:dyDescent="0.3">
      <c r="A1142" t="str">
        <f t="shared" si="34"/>
        <v>PT</v>
      </c>
      <c r="B1142" t="str">
        <f t="shared" si="35"/>
        <v>N</v>
      </c>
      <c r="C1142" t="s">
        <v>1139</v>
      </c>
      <c r="D1142" s="2">
        <v>3.5667</v>
      </c>
      <c r="E1142" s="2">
        <v>3.8485999999999998</v>
      </c>
      <c r="F1142" s="2">
        <v>4.0270000000000001</v>
      </c>
      <c r="G1142" s="2">
        <v>3.7097000000000002</v>
      </c>
    </row>
    <row r="1143" spans="1:7" x14ac:dyDescent="0.3">
      <c r="A1143" t="str">
        <f t="shared" si="34"/>
        <v>PT</v>
      </c>
      <c r="B1143" t="str">
        <f t="shared" si="35"/>
        <v>N</v>
      </c>
      <c r="C1143" t="s">
        <v>1140</v>
      </c>
      <c r="D1143" s="2">
        <v>1.4669000000000001</v>
      </c>
      <c r="E1143" s="2">
        <v>1.4578</v>
      </c>
      <c r="F1143" s="2">
        <v>1.3766</v>
      </c>
      <c r="G1143" s="2">
        <v>1.4899</v>
      </c>
    </row>
    <row r="1144" spans="1:7" x14ac:dyDescent="0.3">
      <c r="A1144" t="str">
        <f t="shared" si="34"/>
        <v>PT</v>
      </c>
      <c r="B1144" t="str">
        <f t="shared" si="35"/>
        <v>N</v>
      </c>
      <c r="C1144" t="s">
        <v>1141</v>
      </c>
      <c r="D1144" s="2">
        <v>2.2734000000000001</v>
      </c>
      <c r="E1144" s="2">
        <v>2.2349999999999999</v>
      </c>
      <c r="F1144" s="2">
        <v>2.1118999999999999</v>
      </c>
      <c r="G1144" s="2">
        <v>2.2587000000000002</v>
      </c>
    </row>
    <row r="1145" spans="1:7" x14ac:dyDescent="0.3">
      <c r="A1145" t="str">
        <f t="shared" si="34"/>
        <v>PT</v>
      </c>
      <c r="B1145" t="str">
        <f t="shared" si="35"/>
        <v>N</v>
      </c>
      <c r="C1145" t="s">
        <v>1142</v>
      </c>
      <c r="D1145" s="2">
        <v>0</v>
      </c>
      <c r="E1145" s="2">
        <v>0</v>
      </c>
      <c r="F1145" s="2">
        <v>0</v>
      </c>
      <c r="G1145" s="2">
        <v>0</v>
      </c>
    </row>
    <row r="1146" spans="1:7" x14ac:dyDescent="0.3">
      <c r="A1146" t="str">
        <f t="shared" si="34"/>
        <v>PT</v>
      </c>
      <c r="B1146" t="str">
        <f t="shared" si="35"/>
        <v>N</v>
      </c>
      <c r="C1146" t="s">
        <v>1143</v>
      </c>
      <c r="D1146" s="2">
        <v>0</v>
      </c>
      <c r="E1146" s="2">
        <v>0</v>
      </c>
      <c r="F1146" s="2">
        <v>0</v>
      </c>
      <c r="G1146" s="2">
        <v>0</v>
      </c>
    </row>
    <row r="1147" spans="1:7" x14ac:dyDescent="0.3">
      <c r="A1147" t="str">
        <f t="shared" si="34"/>
        <v>PT</v>
      </c>
      <c r="B1147" t="str">
        <f t="shared" si="35"/>
        <v>N</v>
      </c>
      <c r="C1147" t="s">
        <v>1144</v>
      </c>
      <c r="D1147" s="2">
        <v>0.21690000000000001</v>
      </c>
      <c r="E1147" s="2">
        <v>0.1724</v>
      </c>
      <c r="F1147" s="2">
        <v>0.1222</v>
      </c>
      <c r="G1147" s="2">
        <v>0.1053</v>
      </c>
    </row>
    <row r="1148" spans="1:7" x14ac:dyDescent="0.3">
      <c r="A1148" t="str">
        <f t="shared" si="34"/>
        <v>PT</v>
      </c>
      <c r="B1148" t="str">
        <f t="shared" si="35"/>
        <v>F</v>
      </c>
      <c r="C1148" t="s">
        <v>1145</v>
      </c>
      <c r="D1148" s="2">
        <v>1.2398</v>
      </c>
      <c r="E1148" s="2">
        <v>1.1631</v>
      </c>
      <c r="F1148" s="2">
        <v>0.99039999999999995</v>
      </c>
      <c r="G1148" s="2">
        <v>0.8841</v>
      </c>
    </row>
    <row r="1149" spans="1:7" x14ac:dyDescent="0.3">
      <c r="A1149" t="str">
        <f t="shared" si="34"/>
        <v>PT</v>
      </c>
      <c r="B1149" t="str">
        <f t="shared" si="35"/>
        <v>F</v>
      </c>
      <c r="C1149" t="s">
        <v>1146</v>
      </c>
      <c r="D1149" s="2">
        <v>0</v>
      </c>
      <c r="E1149" s="2">
        <v>0</v>
      </c>
      <c r="F1149" s="2">
        <v>0</v>
      </c>
      <c r="G1149" s="2">
        <v>0</v>
      </c>
    </row>
    <row r="1150" spans="1:7" x14ac:dyDescent="0.3">
      <c r="A1150" t="str">
        <f t="shared" si="34"/>
        <v>PT</v>
      </c>
      <c r="B1150" t="str">
        <f t="shared" si="35"/>
        <v>F</v>
      </c>
      <c r="C1150" t="s">
        <v>1147</v>
      </c>
      <c r="D1150" s="2">
        <v>0</v>
      </c>
      <c r="E1150" s="2">
        <v>0</v>
      </c>
      <c r="F1150" s="2">
        <v>0</v>
      </c>
      <c r="G1150" s="2">
        <v>0</v>
      </c>
    </row>
    <row r="1151" spans="1:7" x14ac:dyDescent="0.3">
      <c r="A1151" t="str">
        <f t="shared" si="34"/>
        <v>PT</v>
      </c>
      <c r="B1151" t="str">
        <f t="shared" si="35"/>
        <v>F</v>
      </c>
      <c r="C1151" t="s">
        <v>1148</v>
      </c>
      <c r="D1151" s="2">
        <v>3.0068000000000001</v>
      </c>
      <c r="E1151" s="2">
        <v>3.1766999999999999</v>
      </c>
      <c r="F1151" s="2">
        <v>3.2734000000000001</v>
      </c>
      <c r="G1151" s="2">
        <v>3.5034000000000001</v>
      </c>
    </row>
    <row r="1152" spans="1:7" x14ac:dyDescent="0.3">
      <c r="A1152" t="str">
        <f t="shared" si="34"/>
        <v>PT</v>
      </c>
      <c r="B1152" t="str">
        <f t="shared" si="35"/>
        <v>F</v>
      </c>
      <c r="C1152" t="s">
        <v>1149</v>
      </c>
      <c r="D1152" s="2">
        <v>0</v>
      </c>
      <c r="E1152" s="2">
        <v>0</v>
      </c>
      <c r="F1152" s="2">
        <v>0</v>
      </c>
      <c r="G1152" s="2">
        <v>0</v>
      </c>
    </row>
    <row r="1153" spans="1:7" x14ac:dyDescent="0.3">
      <c r="A1153" t="str">
        <f t="shared" si="34"/>
        <v>PT</v>
      </c>
      <c r="B1153" t="str">
        <f t="shared" si="35"/>
        <v>F</v>
      </c>
      <c r="C1153" t="s">
        <v>1150</v>
      </c>
      <c r="D1153" s="2">
        <v>0.48</v>
      </c>
      <c r="E1153" s="2">
        <v>0.48470000000000002</v>
      </c>
      <c r="F1153" s="2">
        <v>0.51</v>
      </c>
      <c r="G1153" s="2">
        <v>0.62919999999999998</v>
      </c>
    </row>
    <row r="1154" spans="1:7" x14ac:dyDescent="0.3">
      <c r="A1154" t="str">
        <f t="shared" si="34"/>
        <v>PT</v>
      </c>
      <c r="B1154" t="str">
        <f t="shared" si="35"/>
        <v>F</v>
      </c>
      <c r="C1154" t="s">
        <v>1151</v>
      </c>
      <c r="D1154" s="2">
        <v>1.9843</v>
      </c>
      <c r="E1154" s="2">
        <v>2.0387</v>
      </c>
      <c r="F1154" s="2">
        <v>1.9649000000000001</v>
      </c>
      <c r="G1154" s="2">
        <v>2.1156999999999999</v>
      </c>
    </row>
    <row r="1155" spans="1:7" x14ac:dyDescent="0.3">
      <c r="A1155" t="str">
        <f t="shared" si="34"/>
        <v>PT</v>
      </c>
      <c r="B1155" t="str">
        <f t="shared" si="35"/>
        <v>F</v>
      </c>
      <c r="C1155" t="s">
        <v>1152</v>
      </c>
      <c r="D1155" s="2">
        <v>2.0674999999999999</v>
      </c>
      <c r="E1155" s="2">
        <v>2.1217000000000001</v>
      </c>
      <c r="F1155" s="2">
        <v>2.0627</v>
      </c>
      <c r="G1155" s="2">
        <v>2.1901000000000002</v>
      </c>
    </row>
    <row r="1156" spans="1:7" x14ac:dyDescent="0.3">
      <c r="A1156" t="str">
        <f t="shared" si="34"/>
        <v>PT</v>
      </c>
      <c r="B1156" t="str">
        <f t="shared" si="35"/>
        <v>F</v>
      </c>
      <c r="C1156" t="s">
        <v>1153</v>
      </c>
      <c r="D1156" s="2">
        <v>0</v>
      </c>
      <c r="E1156" s="2">
        <v>0</v>
      </c>
      <c r="F1156" s="2">
        <v>0</v>
      </c>
      <c r="G1156" s="2">
        <v>0</v>
      </c>
    </row>
    <row r="1157" spans="1:7" x14ac:dyDescent="0.3">
      <c r="A1157" t="str">
        <f t="shared" ref="A1157:A1220" si="36">LEFT(C1157,2)</f>
        <v>PT</v>
      </c>
      <c r="B1157" t="str">
        <f t="shared" ref="B1157:B1220" si="37">RIGHT(C1157,1)</f>
        <v>F</v>
      </c>
      <c r="C1157" t="s">
        <v>1154</v>
      </c>
      <c r="D1157" s="2">
        <v>0</v>
      </c>
      <c r="E1157" s="2">
        <v>0</v>
      </c>
      <c r="F1157" s="2">
        <v>0</v>
      </c>
      <c r="G1157" s="2">
        <v>0</v>
      </c>
    </row>
    <row r="1158" spans="1:7" x14ac:dyDescent="0.3">
      <c r="A1158" t="str">
        <f t="shared" si="36"/>
        <v>PT</v>
      </c>
      <c r="B1158" t="str">
        <f t="shared" si="37"/>
        <v>F</v>
      </c>
      <c r="C1158" t="s">
        <v>1155</v>
      </c>
      <c r="D1158" s="2">
        <v>0.51490000000000002</v>
      </c>
      <c r="E1158" s="2">
        <v>0.56000000000000005</v>
      </c>
      <c r="F1158" s="2">
        <v>0.67030000000000001</v>
      </c>
      <c r="G1158" s="2">
        <v>0.51290000000000002</v>
      </c>
    </row>
    <row r="1159" spans="1:7" x14ac:dyDescent="0.3">
      <c r="A1159" t="str">
        <f t="shared" si="36"/>
        <v>PT</v>
      </c>
      <c r="B1159" t="str">
        <f t="shared" si="37"/>
        <v>O</v>
      </c>
      <c r="C1159" t="s">
        <v>1156</v>
      </c>
      <c r="D1159" s="2">
        <v>2.4895999999999998</v>
      </c>
      <c r="E1159" s="2">
        <v>2.2831999999999999</v>
      </c>
      <c r="F1159" s="2">
        <v>2.2162999999999999</v>
      </c>
      <c r="G1159" s="2">
        <v>2.4409000000000001</v>
      </c>
    </row>
    <row r="1160" spans="1:7" x14ac:dyDescent="0.3">
      <c r="A1160" t="str">
        <f t="shared" si="36"/>
        <v>PT</v>
      </c>
      <c r="B1160" t="str">
        <f t="shared" si="37"/>
        <v>O</v>
      </c>
      <c r="C1160" t="s">
        <v>1157</v>
      </c>
      <c r="D1160" s="2">
        <v>0.15890000000000001</v>
      </c>
      <c r="E1160" s="2">
        <v>0.16850000000000001</v>
      </c>
      <c r="F1160" s="2">
        <v>0.14080000000000001</v>
      </c>
      <c r="G1160" s="2">
        <v>0.1472</v>
      </c>
    </row>
    <row r="1161" spans="1:7" x14ac:dyDescent="0.3">
      <c r="A1161" t="str">
        <f t="shared" si="36"/>
        <v>PT</v>
      </c>
      <c r="B1161" t="str">
        <f t="shared" si="37"/>
        <v>O</v>
      </c>
      <c r="C1161" t="s">
        <v>1158</v>
      </c>
      <c r="D1161" s="2">
        <v>0</v>
      </c>
      <c r="E1161" s="2">
        <v>0</v>
      </c>
      <c r="F1161" s="2">
        <v>0</v>
      </c>
      <c r="G1161" s="2">
        <v>0</v>
      </c>
    </row>
    <row r="1162" spans="1:7" x14ac:dyDescent="0.3">
      <c r="A1162" t="str">
        <f t="shared" si="36"/>
        <v>PT</v>
      </c>
      <c r="B1162" t="str">
        <f t="shared" si="37"/>
        <v>O</v>
      </c>
      <c r="C1162" t="s">
        <v>1159</v>
      </c>
      <c r="D1162" s="2">
        <v>6.3071999999999999</v>
      </c>
      <c r="E1162" s="2">
        <v>6.2396000000000003</v>
      </c>
      <c r="F1162" s="2">
        <v>6.1612999999999998</v>
      </c>
      <c r="G1162" s="2">
        <v>7.1361999999999997</v>
      </c>
    </row>
    <row r="1163" spans="1:7" x14ac:dyDescent="0.3">
      <c r="A1163" t="str">
        <f t="shared" si="36"/>
        <v>PT</v>
      </c>
      <c r="B1163" t="str">
        <f t="shared" si="37"/>
        <v>O</v>
      </c>
      <c r="C1163" t="s">
        <v>1160</v>
      </c>
      <c r="D1163" s="2">
        <v>0</v>
      </c>
      <c r="E1163" s="2">
        <v>0</v>
      </c>
      <c r="F1163" s="2">
        <v>0</v>
      </c>
      <c r="G1163" s="2">
        <v>0</v>
      </c>
    </row>
    <row r="1164" spans="1:7" x14ac:dyDescent="0.3">
      <c r="A1164" t="str">
        <f t="shared" si="36"/>
        <v>PT</v>
      </c>
      <c r="B1164" t="str">
        <f t="shared" si="37"/>
        <v>O</v>
      </c>
      <c r="C1164" t="s">
        <v>1161</v>
      </c>
      <c r="D1164" s="2">
        <v>1.1512</v>
      </c>
      <c r="E1164" s="2">
        <v>1.3091999999999999</v>
      </c>
      <c r="F1164" s="2">
        <v>1.1241000000000001</v>
      </c>
      <c r="G1164" s="2">
        <v>1.3073999999999999</v>
      </c>
    </row>
    <row r="1165" spans="1:7" x14ac:dyDescent="0.3">
      <c r="A1165" t="str">
        <f t="shared" si="36"/>
        <v>PT</v>
      </c>
      <c r="B1165" t="str">
        <f t="shared" si="37"/>
        <v>O</v>
      </c>
      <c r="C1165" t="s">
        <v>1162</v>
      </c>
      <c r="D1165" s="2">
        <v>7.2641</v>
      </c>
      <c r="E1165" s="2">
        <v>7.1148999999999996</v>
      </c>
      <c r="F1165" s="2">
        <v>6.9527000000000001</v>
      </c>
      <c r="G1165" s="2">
        <v>7.0960000000000001</v>
      </c>
    </row>
    <row r="1166" spans="1:7" x14ac:dyDescent="0.3">
      <c r="A1166" t="str">
        <f t="shared" si="36"/>
        <v>PT</v>
      </c>
      <c r="B1166" t="str">
        <f t="shared" si="37"/>
        <v>O</v>
      </c>
      <c r="C1166" t="s">
        <v>1163</v>
      </c>
      <c r="D1166" s="2">
        <v>6.6013000000000002</v>
      </c>
      <c r="E1166" s="2">
        <v>6.7786</v>
      </c>
      <c r="F1166" s="2">
        <v>6.3959999999999999</v>
      </c>
      <c r="G1166" s="2">
        <v>6.5031999999999996</v>
      </c>
    </row>
    <row r="1167" spans="1:7" x14ac:dyDescent="0.3">
      <c r="A1167" t="str">
        <f t="shared" si="36"/>
        <v>PT</v>
      </c>
      <c r="B1167" t="str">
        <f t="shared" si="37"/>
        <v>O</v>
      </c>
      <c r="C1167" t="s">
        <v>1164</v>
      </c>
      <c r="D1167" s="2">
        <v>0</v>
      </c>
      <c r="E1167" s="2">
        <v>0</v>
      </c>
      <c r="F1167" s="2">
        <v>0</v>
      </c>
      <c r="G1167" s="2">
        <v>0</v>
      </c>
    </row>
    <row r="1168" spans="1:7" x14ac:dyDescent="0.3">
      <c r="A1168" t="str">
        <f t="shared" si="36"/>
        <v>PT</v>
      </c>
      <c r="B1168" t="str">
        <f t="shared" si="37"/>
        <v>O</v>
      </c>
      <c r="C1168" t="s">
        <v>1165</v>
      </c>
      <c r="D1168" s="2">
        <v>0</v>
      </c>
      <c r="E1168" s="2">
        <v>0</v>
      </c>
      <c r="F1168" s="2">
        <v>0</v>
      </c>
      <c r="G1168" s="2">
        <v>0</v>
      </c>
    </row>
    <row r="1169" spans="1:7" x14ac:dyDescent="0.3">
      <c r="A1169" t="str">
        <f t="shared" si="36"/>
        <v>PT</v>
      </c>
      <c r="B1169" t="str">
        <f t="shared" si="37"/>
        <v>O</v>
      </c>
      <c r="C1169" t="s">
        <v>1166</v>
      </c>
      <c r="D1169" s="2">
        <v>6.3357000000000001</v>
      </c>
      <c r="E1169" s="2">
        <v>6.1978</v>
      </c>
      <c r="F1169" s="2">
        <v>6.3971</v>
      </c>
      <c r="G1169" s="2">
        <v>6.1753</v>
      </c>
    </row>
    <row r="1170" spans="1:7" x14ac:dyDescent="0.3">
      <c r="A1170" t="str">
        <f t="shared" si="36"/>
        <v>RO</v>
      </c>
      <c r="B1170" t="str">
        <f t="shared" si="37"/>
        <v>I</v>
      </c>
      <c r="C1170" t="s">
        <v>1167</v>
      </c>
      <c r="D1170" s="2">
        <v>9.2999999999999992E-3</v>
      </c>
      <c r="E1170" s="2">
        <v>2.8E-3</v>
      </c>
      <c r="F1170" s="2">
        <v>5.1999999999999998E-3</v>
      </c>
      <c r="G1170" s="2">
        <v>6.7999999999999996E-3</v>
      </c>
    </row>
    <row r="1171" spans="1:7" x14ac:dyDescent="0.3">
      <c r="A1171" t="str">
        <f t="shared" si="36"/>
        <v>RO</v>
      </c>
      <c r="B1171" t="str">
        <f t="shared" si="37"/>
        <v>I</v>
      </c>
      <c r="C1171" t="s">
        <v>1168</v>
      </c>
      <c r="D1171" s="2">
        <v>7.6935000000000002</v>
      </c>
      <c r="E1171" s="2">
        <v>8.1054999999999993</v>
      </c>
      <c r="F1171" s="2">
        <v>7.4871999999999996</v>
      </c>
      <c r="G1171" s="2">
        <v>8.7468000000000004</v>
      </c>
    </row>
    <row r="1172" spans="1:7" x14ac:dyDescent="0.3">
      <c r="A1172" t="str">
        <f t="shared" si="36"/>
        <v>RO</v>
      </c>
      <c r="B1172" t="str">
        <f t="shared" si="37"/>
        <v>I</v>
      </c>
      <c r="C1172" t="s">
        <v>1169</v>
      </c>
      <c r="D1172" s="2">
        <v>0</v>
      </c>
      <c r="E1172" s="2">
        <v>0</v>
      </c>
      <c r="F1172" s="2">
        <v>0</v>
      </c>
      <c r="G1172" s="2">
        <v>0</v>
      </c>
    </row>
    <row r="1173" spans="1:7" x14ac:dyDescent="0.3">
      <c r="A1173" t="str">
        <f t="shared" si="36"/>
        <v>RO</v>
      </c>
      <c r="B1173" t="str">
        <f t="shared" si="37"/>
        <v>I</v>
      </c>
      <c r="C1173" t="s">
        <v>1170</v>
      </c>
      <c r="D1173" s="2">
        <v>7.2782999999999998</v>
      </c>
      <c r="E1173" s="2">
        <v>6.7717000000000001</v>
      </c>
      <c r="F1173" s="2">
        <v>6.3460999999999999</v>
      </c>
      <c r="G1173" s="2">
        <v>6.1009000000000002</v>
      </c>
    </row>
    <row r="1174" spans="1:7" x14ac:dyDescent="0.3">
      <c r="A1174" t="str">
        <f t="shared" si="36"/>
        <v>RO</v>
      </c>
      <c r="B1174" t="str">
        <f t="shared" si="37"/>
        <v>I</v>
      </c>
      <c r="C1174" t="s">
        <v>1171</v>
      </c>
      <c r="D1174" s="2">
        <v>0</v>
      </c>
      <c r="E1174" s="2">
        <v>0</v>
      </c>
      <c r="F1174" s="2">
        <v>0</v>
      </c>
      <c r="G1174" s="2">
        <v>0</v>
      </c>
    </row>
    <row r="1175" spans="1:7" x14ac:dyDescent="0.3">
      <c r="A1175" t="str">
        <f t="shared" si="36"/>
        <v>RO</v>
      </c>
      <c r="B1175" t="str">
        <f t="shared" si="37"/>
        <v>I</v>
      </c>
      <c r="C1175" t="s">
        <v>1172</v>
      </c>
      <c r="D1175" s="2">
        <v>1.38E-2</v>
      </c>
      <c r="E1175" s="2">
        <v>1.23E-2</v>
      </c>
      <c r="F1175" s="2">
        <v>5.7999999999999996E-3</v>
      </c>
      <c r="G1175" s="2">
        <v>4.8999999999999998E-3</v>
      </c>
    </row>
    <row r="1176" spans="1:7" x14ac:dyDescent="0.3">
      <c r="A1176" t="str">
        <f t="shared" si="36"/>
        <v>RO</v>
      </c>
      <c r="B1176" t="str">
        <f t="shared" si="37"/>
        <v>I</v>
      </c>
      <c r="C1176" t="s">
        <v>1173</v>
      </c>
      <c r="D1176" s="2">
        <v>2.6804000000000001</v>
      </c>
      <c r="E1176" s="2">
        <v>2.9855</v>
      </c>
      <c r="F1176" s="2">
        <v>2.3815</v>
      </c>
      <c r="G1176" s="2">
        <v>2.4104000000000001</v>
      </c>
    </row>
    <row r="1177" spans="1:7" x14ac:dyDescent="0.3">
      <c r="A1177" t="str">
        <f t="shared" si="36"/>
        <v>RO</v>
      </c>
      <c r="B1177" t="str">
        <f t="shared" si="37"/>
        <v>I</v>
      </c>
      <c r="C1177" t="s">
        <v>1174</v>
      </c>
      <c r="D1177" s="2">
        <v>0.61209999999999998</v>
      </c>
      <c r="E1177" s="2">
        <v>0.6794</v>
      </c>
      <c r="F1177" s="2">
        <v>0.61219999999999997</v>
      </c>
      <c r="G1177" s="2">
        <v>0.59050000000000002</v>
      </c>
    </row>
    <row r="1178" spans="1:7" x14ac:dyDescent="0.3">
      <c r="A1178" t="str">
        <f t="shared" si="36"/>
        <v>RO</v>
      </c>
      <c r="B1178" t="str">
        <f t="shared" si="37"/>
        <v>I</v>
      </c>
      <c r="C1178" t="s">
        <v>1175</v>
      </c>
      <c r="D1178" s="2">
        <v>0</v>
      </c>
      <c r="E1178" s="2">
        <v>0</v>
      </c>
      <c r="F1178" s="2">
        <v>0</v>
      </c>
      <c r="G1178" s="2">
        <v>0</v>
      </c>
    </row>
    <row r="1179" spans="1:7" x14ac:dyDescent="0.3">
      <c r="A1179" t="str">
        <f t="shared" si="36"/>
        <v>RO</v>
      </c>
      <c r="B1179" t="str">
        <f t="shared" si="37"/>
        <v>I</v>
      </c>
      <c r="C1179" t="s">
        <v>1176</v>
      </c>
      <c r="D1179" s="2">
        <v>0</v>
      </c>
      <c r="E1179" s="2">
        <v>0</v>
      </c>
      <c r="F1179" s="2">
        <v>0</v>
      </c>
      <c r="G1179" s="2">
        <v>0</v>
      </c>
    </row>
    <row r="1180" spans="1:7" x14ac:dyDescent="0.3">
      <c r="A1180" t="str">
        <f t="shared" si="36"/>
        <v>RO</v>
      </c>
      <c r="B1180" t="str">
        <f t="shared" si="37"/>
        <v>I</v>
      </c>
      <c r="C1180" t="s">
        <v>1177</v>
      </c>
      <c r="D1180" s="2">
        <v>4.6764999999999999</v>
      </c>
      <c r="E1180" s="2">
        <v>3.8641000000000001</v>
      </c>
      <c r="F1180" s="2">
        <v>2.7833999999999999</v>
      </c>
      <c r="G1180" s="2">
        <v>3.0306999999999999</v>
      </c>
    </row>
    <row r="1181" spans="1:7" x14ac:dyDescent="0.3">
      <c r="A1181" t="str">
        <f t="shared" si="36"/>
        <v>RO</v>
      </c>
      <c r="B1181" t="str">
        <f t="shared" si="37"/>
        <v>C</v>
      </c>
      <c r="C1181" t="s">
        <v>1178</v>
      </c>
      <c r="D1181" s="2">
        <v>6.5103999999999997</v>
      </c>
      <c r="E1181" s="2">
        <v>10.074</v>
      </c>
      <c r="F1181" s="2">
        <v>8.8564000000000007</v>
      </c>
      <c r="G1181" s="2">
        <v>8.6042000000000005</v>
      </c>
    </row>
    <row r="1182" spans="1:7" x14ac:dyDescent="0.3">
      <c r="A1182" t="str">
        <f t="shared" si="36"/>
        <v>RO</v>
      </c>
      <c r="B1182" t="str">
        <f t="shared" si="37"/>
        <v>C</v>
      </c>
      <c r="C1182" t="s">
        <v>1179</v>
      </c>
      <c r="D1182" s="2">
        <v>0.53059999999999996</v>
      </c>
      <c r="E1182" s="2">
        <v>0.35809999999999997</v>
      </c>
      <c r="F1182" s="2">
        <v>0</v>
      </c>
      <c r="G1182" s="2">
        <v>0</v>
      </c>
    </row>
    <row r="1183" spans="1:7" x14ac:dyDescent="0.3">
      <c r="A1183" t="str">
        <f t="shared" si="36"/>
        <v>RO</v>
      </c>
      <c r="B1183" t="str">
        <f t="shared" si="37"/>
        <v>C</v>
      </c>
      <c r="C1183" t="s">
        <v>1180</v>
      </c>
      <c r="D1183" s="2">
        <v>0</v>
      </c>
      <c r="E1183" s="2">
        <v>0</v>
      </c>
      <c r="F1183" s="2">
        <v>0</v>
      </c>
      <c r="G1183" s="2">
        <v>0</v>
      </c>
    </row>
    <row r="1184" spans="1:7" x14ac:dyDescent="0.3">
      <c r="A1184" t="str">
        <f t="shared" si="36"/>
        <v>RO</v>
      </c>
      <c r="B1184" t="str">
        <f t="shared" si="37"/>
        <v>C</v>
      </c>
      <c r="C1184" t="s">
        <v>1181</v>
      </c>
      <c r="D1184" s="2">
        <v>10.7117</v>
      </c>
      <c r="E1184" s="2">
        <v>9.3902999999999999</v>
      </c>
      <c r="F1184" s="2">
        <v>12.2622</v>
      </c>
      <c r="G1184" s="2">
        <v>15.289</v>
      </c>
    </row>
    <row r="1185" spans="1:7" x14ac:dyDescent="0.3">
      <c r="A1185" t="str">
        <f t="shared" si="36"/>
        <v>RO</v>
      </c>
      <c r="B1185" t="str">
        <f t="shared" si="37"/>
        <v>C</v>
      </c>
      <c r="C1185" t="s">
        <v>1182</v>
      </c>
      <c r="D1185" s="2">
        <v>0</v>
      </c>
      <c r="E1185" s="2">
        <v>0</v>
      </c>
      <c r="F1185" s="2">
        <v>0</v>
      </c>
      <c r="G1185" s="2">
        <v>0</v>
      </c>
    </row>
    <row r="1186" spans="1:7" x14ac:dyDescent="0.3">
      <c r="A1186" t="str">
        <f t="shared" si="36"/>
        <v>RO</v>
      </c>
      <c r="B1186" t="str">
        <f t="shared" si="37"/>
        <v>C</v>
      </c>
      <c r="C1186" t="s">
        <v>1183</v>
      </c>
      <c r="D1186" s="2">
        <v>0.42570000000000002</v>
      </c>
      <c r="E1186" s="2">
        <v>0.375</v>
      </c>
      <c r="F1186" s="2">
        <v>8.3199999999999996E-2</v>
      </c>
      <c r="G1186" s="2">
        <v>0.1076</v>
      </c>
    </row>
    <row r="1187" spans="1:7" x14ac:dyDescent="0.3">
      <c r="A1187" t="str">
        <f t="shared" si="36"/>
        <v>RO</v>
      </c>
      <c r="B1187" t="str">
        <f t="shared" si="37"/>
        <v>C</v>
      </c>
      <c r="C1187" t="s">
        <v>1184</v>
      </c>
      <c r="D1187" s="2">
        <v>0.21640000000000001</v>
      </c>
      <c r="E1187" s="2">
        <v>0.23749999999999999</v>
      </c>
      <c r="F1187" s="2">
        <v>0.19320000000000001</v>
      </c>
      <c r="G1187" s="2">
        <v>0.15559999999999999</v>
      </c>
    </row>
    <row r="1188" spans="1:7" x14ac:dyDescent="0.3">
      <c r="A1188" t="str">
        <f t="shared" si="36"/>
        <v>RO</v>
      </c>
      <c r="B1188" t="str">
        <f t="shared" si="37"/>
        <v>C</v>
      </c>
      <c r="C1188" t="s">
        <v>1185</v>
      </c>
      <c r="D1188" s="2">
        <v>4.2525000000000004</v>
      </c>
      <c r="E1188" s="2">
        <v>4.1741999999999999</v>
      </c>
      <c r="F1188" s="2">
        <v>4.2153</v>
      </c>
      <c r="G1188" s="2">
        <v>4.3299000000000003</v>
      </c>
    </row>
    <row r="1189" spans="1:7" x14ac:dyDescent="0.3">
      <c r="A1189" t="str">
        <f t="shared" si="36"/>
        <v>RO</v>
      </c>
      <c r="B1189" t="str">
        <f t="shared" si="37"/>
        <v>C</v>
      </c>
      <c r="C1189" t="s">
        <v>1186</v>
      </c>
      <c r="D1189" s="2">
        <v>0</v>
      </c>
      <c r="E1189" s="2">
        <v>0</v>
      </c>
      <c r="F1189" s="2">
        <v>0</v>
      </c>
      <c r="G1189" s="2">
        <v>0</v>
      </c>
    </row>
    <row r="1190" spans="1:7" x14ac:dyDescent="0.3">
      <c r="A1190" t="str">
        <f t="shared" si="36"/>
        <v>RO</v>
      </c>
      <c r="B1190" t="str">
        <f t="shared" si="37"/>
        <v>C</v>
      </c>
      <c r="C1190" t="s">
        <v>1187</v>
      </c>
      <c r="D1190" s="2">
        <v>0</v>
      </c>
      <c r="E1190" s="2">
        <v>0</v>
      </c>
      <c r="F1190" s="2">
        <v>0</v>
      </c>
      <c r="G1190" s="2">
        <v>0</v>
      </c>
    </row>
    <row r="1191" spans="1:7" x14ac:dyDescent="0.3">
      <c r="A1191" t="str">
        <f t="shared" si="36"/>
        <v>RO</v>
      </c>
      <c r="B1191" t="str">
        <f t="shared" si="37"/>
        <v>C</v>
      </c>
      <c r="C1191" t="s">
        <v>1188</v>
      </c>
      <c r="D1191" s="2">
        <v>4.3209999999999997</v>
      </c>
      <c r="E1191" s="2">
        <v>3.2122999999999999</v>
      </c>
      <c r="F1191" s="2">
        <v>1.2250000000000001</v>
      </c>
      <c r="G1191" s="2">
        <v>1.1309</v>
      </c>
    </row>
    <row r="1192" spans="1:7" x14ac:dyDescent="0.3">
      <c r="A1192" t="str">
        <f t="shared" si="36"/>
        <v>RO</v>
      </c>
      <c r="B1192" t="str">
        <f t="shared" si="37"/>
        <v>N</v>
      </c>
      <c r="C1192" t="s">
        <v>1189</v>
      </c>
      <c r="D1192" s="2">
        <v>6.2843</v>
      </c>
      <c r="E1192" s="2">
        <v>6.8211000000000004</v>
      </c>
      <c r="F1192" s="2">
        <v>6.5688000000000004</v>
      </c>
      <c r="G1192" s="2">
        <v>5.2610999999999999</v>
      </c>
    </row>
    <row r="1193" spans="1:7" x14ac:dyDescent="0.3">
      <c r="A1193" t="str">
        <f t="shared" si="36"/>
        <v>RO</v>
      </c>
      <c r="B1193" t="str">
        <f t="shared" si="37"/>
        <v>N</v>
      </c>
      <c r="C1193" t="s">
        <v>1190</v>
      </c>
      <c r="D1193" s="2">
        <v>1.1991000000000001</v>
      </c>
      <c r="E1193" s="2">
        <v>1.5590999999999999</v>
      </c>
      <c r="F1193" s="2">
        <v>1.6051</v>
      </c>
      <c r="G1193" s="2">
        <v>2.5709</v>
      </c>
    </row>
    <row r="1194" spans="1:7" x14ac:dyDescent="0.3">
      <c r="A1194" t="str">
        <f t="shared" si="36"/>
        <v>RO</v>
      </c>
      <c r="B1194" t="str">
        <f t="shared" si="37"/>
        <v>N</v>
      </c>
      <c r="C1194" t="s">
        <v>1191</v>
      </c>
      <c r="D1194" s="2">
        <v>0</v>
      </c>
      <c r="E1194" s="2">
        <v>0</v>
      </c>
      <c r="F1194" s="2">
        <v>0</v>
      </c>
      <c r="G1194" s="2">
        <v>0</v>
      </c>
    </row>
    <row r="1195" spans="1:7" x14ac:dyDescent="0.3">
      <c r="A1195" t="str">
        <f t="shared" si="36"/>
        <v>RO</v>
      </c>
      <c r="B1195" t="str">
        <f t="shared" si="37"/>
        <v>N</v>
      </c>
      <c r="C1195" t="s">
        <v>1192</v>
      </c>
      <c r="D1195" s="2">
        <v>7.1006</v>
      </c>
      <c r="E1195" s="2">
        <v>5.8468</v>
      </c>
      <c r="F1195" s="2">
        <v>5.6304999999999996</v>
      </c>
      <c r="G1195" s="2">
        <v>6.1616999999999997</v>
      </c>
    </row>
    <row r="1196" spans="1:7" x14ac:dyDescent="0.3">
      <c r="A1196" t="str">
        <f t="shared" si="36"/>
        <v>RO</v>
      </c>
      <c r="B1196" t="str">
        <f t="shared" si="37"/>
        <v>N</v>
      </c>
      <c r="C1196" t="s">
        <v>1193</v>
      </c>
      <c r="D1196" s="2">
        <v>0</v>
      </c>
      <c r="E1196" s="2">
        <v>0</v>
      </c>
      <c r="F1196" s="2">
        <v>0</v>
      </c>
      <c r="G1196" s="2">
        <v>0</v>
      </c>
    </row>
    <row r="1197" spans="1:7" x14ac:dyDescent="0.3">
      <c r="A1197" t="str">
        <f t="shared" si="36"/>
        <v>RO</v>
      </c>
      <c r="B1197" t="str">
        <f t="shared" si="37"/>
        <v>N</v>
      </c>
      <c r="C1197" t="s">
        <v>1194</v>
      </c>
      <c r="D1197" s="2">
        <v>2.6526000000000001</v>
      </c>
      <c r="E1197" s="2">
        <v>2.383</v>
      </c>
      <c r="F1197" s="2">
        <v>5.37</v>
      </c>
      <c r="G1197" s="2">
        <v>6.0622999999999996</v>
      </c>
    </row>
    <row r="1198" spans="1:7" x14ac:dyDescent="0.3">
      <c r="A1198" t="str">
        <f t="shared" si="36"/>
        <v>RO</v>
      </c>
      <c r="B1198" t="str">
        <f t="shared" si="37"/>
        <v>N</v>
      </c>
      <c r="C1198" t="s">
        <v>1195</v>
      </c>
      <c r="D1198" s="2">
        <v>1.0738000000000001</v>
      </c>
      <c r="E1198" s="2">
        <v>1.1742999999999999</v>
      </c>
      <c r="F1198" s="2">
        <v>1.2108000000000001</v>
      </c>
      <c r="G1198" s="2">
        <v>1.3326</v>
      </c>
    </row>
    <row r="1199" spans="1:7" x14ac:dyDescent="0.3">
      <c r="A1199" t="str">
        <f t="shared" si="36"/>
        <v>RO</v>
      </c>
      <c r="B1199" t="str">
        <f t="shared" si="37"/>
        <v>N</v>
      </c>
      <c r="C1199" t="s">
        <v>1196</v>
      </c>
      <c r="D1199" s="2">
        <v>3.7722000000000002</v>
      </c>
      <c r="E1199" s="2">
        <v>3.9453</v>
      </c>
      <c r="F1199" s="2">
        <v>3.7869999999999999</v>
      </c>
      <c r="G1199" s="2">
        <v>3.8645</v>
      </c>
    </row>
    <row r="1200" spans="1:7" x14ac:dyDescent="0.3">
      <c r="A1200" t="str">
        <f t="shared" si="36"/>
        <v>RO</v>
      </c>
      <c r="B1200" t="str">
        <f t="shared" si="37"/>
        <v>N</v>
      </c>
      <c r="C1200" t="s">
        <v>1197</v>
      </c>
      <c r="D1200" s="2">
        <v>0</v>
      </c>
      <c r="E1200" s="2">
        <v>0</v>
      </c>
      <c r="F1200" s="2">
        <v>0</v>
      </c>
      <c r="G1200" s="2">
        <v>0</v>
      </c>
    </row>
    <row r="1201" spans="1:7" x14ac:dyDescent="0.3">
      <c r="A1201" t="str">
        <f t="shared" si="36"/>
        <v>RO</v>
      </c>
      <c r="B1201" t="str">
        <f t="shared" si="37"/>
        <v>N</v>
      </c>
      <c r="C1201" t="s">
        <v>1198</v>
      </c>
      <c r="D1201" s="2">
        <v>0</v>
      </c>
      <c r="E1201" s="2">
        <v>0</v>
      </c>
      <c r="F1201" s="2">
        <v>0</v>
      </c>
      <c r="G1201" s="2">
        <v>0</v>
      </c>
    </row>
    <row r="1202" spans="1:7" x14ac:dyDescent="0.3">
      <c r="A1202" t="str">
        <f t="shared" si="36"/>
        <v>RO</v>
      </c>
      <c r="B1202" t="str">
        <f t="shared" si="37"/>
        <v>N</v>
      </c>
      <c r="C1202" t="s">
        <v>1199</v>
      </c>
      <c r="D1202" s="2">
        <v>5.6599999999999998E-2</v>
      </c>
      <c r="E1202" s="2">
        <v>8.5000000000000006E-3</v>
      </c>
      <c r="F1202" s="2">
        <v>7.4499999999999997E-2</v>
      </c>
      <c r="G1202" s="2">
        <v>8.1100000000000005E-2</v>
      </c>
    </row>
    <row r="1203" spans="1:7" x14ac:dyDescent="0.3">
      <c r="A1203" t="str">
        <f t="shared" si="36"/>
        <v>RO</v>
      </c>
      <c r="B1203" t="str">
        <f t="shared" si="37"/>
        <v>M</v>
      </c>
      <c r="C1203" t="s">
        <v>1200</v>
      </c>
      <c r="D1203" s="2">
        <v>4.5999999999999999E-3</v>
      </c>
      <c r="E1203" s="2">
        <v>1.47E-2</v>
      </c>
      <c r="F1203" s="2">
        <v>6.4000000000000003E-3</v>
      </c>
      <c r="G1203" s="2">
        <v>2.6800000000000001E-2</v>
      </c>
    </row>
    <row r="1204" spans="1:7" x14ac:dyDescent="0.3">
      <c r="A1204" t="str">
        <f t="shared" si="36"/>
        <v>RO</v>
      </c>
      <c r="B1204" t="str">
        <f t="shared" si="37"/>
        <v>M</v>
      </c>
      <c r="C1204" t="s">
        <v>1201</v>
      </c>
      <c r="D1204" s="2">
        <v>0.83489999999999998</v>
      </c>
      <c r="E1204" s="2">
        <v>0.89890000000000003</v>
      </c>
      <c r="F1204" s="2">
        <v>0.8266</v>
      </c>
      <c r="G1204" s="2">
        <v>0.95660000000000001</v>
      </c>
    </row>
    <row r="1205" spans="1:7" x14ac:dyDescent="0.3">
      <c r="A1205" t="str">
        <f t="shared" si="36"/>
        <v>RO</v>
      </c>
      <c r="B1205" t="str">
        <f t="shared" si="37"/>
        <v>M</v>
      </c>
      <c r="C1205" t="s">
        <v>1202</v>
      </c>
      <c r="D1205" s="2">
        <v>0</v>
      </c>
      <c r="E1205" s="2">
        <v>0</v>
      </c>
      <c r="F1205" s="2">
        <v>0</v>
      </c>
      <c r="G1205" s="2">
        <v>0</v>
      </c>
    </row>
    <row r="1206" spans="1:7" x14ac:dyDescent="0.3">
      <c r="A1206" t="str">
        <f t="shared" si="36"/>
        <v>RO</v>
      </c>
      <c r="B1206" t="str">
        <f t="shared" si="37"/>
        <v>M</v>
      </c>
      <c r="C1206" t="s">
        <v>1203</v>
      </c>
      <c r="D1206" s="2">
        <v>4.3627000000000002</v>
      </c>
      <c r="E1206" s="2">
        <v>3.7277999999999998</v>
      </c>
      <c r="F1206" s="2">
        <v>3.5554000000000001</v>
      </c>
      <c r="G1206" s="2">
        <v>3.8304</v>
      </c>
    </row>
    <row r="1207" spans="1:7" x14ac:dyDescent="0.3">
      <c r="A1207" t="str">
        <f t="shared" si="36"/>
        <v>RO</v>
      </c>
      <c r="B1207" t="str">
        <f t="shared" si="37"/>
        <v>M</v>
      </c>
      <c r="C1207" t="s">
        <v>1204</v>
      </c>
      <c r="D1207" s="2">
        <v>0</v>
      </c>
      <c r="E1207" s="2">
        <v>0</v>
      </c>
      <c r="F1207" s="2">
        <v>0</v>
      </c>
      <c r="G1207" s="2">
        <v>0</v>
      </c>
    </row>
    <row r="1208" spans="1:7" x14ac:dyDescent="0.3">
      <c r="A1208" t="str">
        <f t="shared" si="36"/>
        <v>RO</v>
      </c>
      <c r="B1208" t="str">
        <f t="shared" si="37"/>
        <v>M</v>
      </c>
      <c r="C1208" t="s">
        <v>1205</v>
      </c>
      <c r="D1208" s="2">
        <v>4.3E-3</v>
      </c>
      <c r="E1208" s="2">
        <v>3.8999999999999998E-3</v>
      </c>
      <c r="F1208" s="2">
        <v>1.9E-3</v>
      </c>
      <c r="G1208" s="2">
        <v>1.6000000000000001E-3</v>
      </c>
    </row>
    <row r="1209" spans="1:7" x14ac:dyDescent="0.3">
      <c r="A1209" t="str">
        <f t="shared" si="36"/>
        <v>RO</v>
      </c>
      <c r="B1209" t="str">
        <f t="shared" si="37"/>
        <v>M</v>
      </c>
      <c r="C1209" t="s">
        <v>1206</v>
      </c>
      <c r="D1209" s="2">
        <v>8.1229999999999993</v>
      </c>
      <c r="E1209" s="2">
        <v>7.3209</v>
      </c>
      <c r="F1209" s="2">
        <v>6.9608999999999996</v>
      </c>
      <c r="G1209" s="2">
        <v>7.4170999999999996</v>
      </c>
    </row>
    <row r="1210" spans="1:7" x14ac:dyDescent="0.3">
      <c r="A1210" t="str">
        <f t="shared" si="36"/>
        <v>RO</v>
      </c>
      <c r="B1210" t="str">
        <f t="shared" si="37"/>
        <v>M</v>
      </c>
      <c r="C1210" t="s">
        <v>1207</v>
      </c>
      <c r="D1210" s="2">
        <v>0.3352</v>
      </c>
      <c r="E1210" s="2">
        <v>0.29920000000000002</v>
      </c>
      <c r="F1210" s="2">
        <v>0.28399999999999997</v>
      </c>
      <c r="G1210" s="2">
        <v>0.30649999999999999</v>
      </c>
    </row>
    <row r="1211" spans="1:7" x14ac:dyDescent="0.3">
      <c r="A1211" t="str">
        <f t="shared" si="36"/>
        <v>RO</v>
      </c>
      <c r="B1211" t="str">
        <f t="shared" si="37"/>
        <v>M</v>
      </c>
      <c r="C1211" t="s">
        <v>1208</v>
      </c>
      <c r="D1211" s="2">
        <v>0</v>
      </c>
      <c r="E1211" s="2">
        <v>0</v>
      </c>
      <c r="F1211" s="2">
        <v>0</v>
      </c>
      <c r="G1211" s="2">
        <v>0</v>
      </c>
    </row>
    <row r="1212" spans="1:7" x14ac:dyDescent="0.3">
      <c r="A1212" t="str">
        <f t="shared" si="36"/>
        <v>RO</v>
      </c>
      <c r="B1212" t="str">
        <f t="shared" si="37"/>
        <v>M</v>
      </c>
      <c r="C1212" t="s">
        <v>1209</v>
      </c>
      <c r="D1212" s="2">
        <v>0</v>
      </c>
      <c r="E1212" s="2">
        <v>0</v>
      </c>
      <c r="F1212" s="2">
        <v>0</v>
      </c>
      <c r="G1212" s="2">
        <v>0</v>
      </c>
    </row>
    <row r="1213" spans="1:7" x14ac:dyDescent="0.3">
      <c r="A1213" t="str">
        <f t="shared" si="36"/>
        <v>RO</v>
      </c>
      <c r="B1213" t="str">
        <f t="shared" si="37"/>
        <v>M</v>
      </c>
      <c r="C1213" t="s">
        <v>1210</v>
      </c>
      <c r="D1213" s="2">
        <v>3.0999999999999999E-3</v>
      </c>
      <c r="E1213" s="2">
        <v>1.1999999999999999E-3</v>
      </c>
      <c r="F1213" s="2">
        <v>8.9999999999999993E-3</v>
      </c>
      <c r="G1213" s="2">
        <v>1.0500000000000001E-2</v>
      </c>
    </row>
    <row r="1214" spans="1:7" x14ac:dyDescent="0.3">
      <c r="A1214" t="str">
        <f t="shared" si="36"/>
        <v>RO</v>
      </c>
      <c r="B1214" t="str">
        <f t="shared" si="37"/>
        <v>O</v>
      </c>
      <c r="C1214" t="s">
        <v>1211</v>
      </c>
      <c r="D1214" s="2">
        <v>4.8959000000000001</v>
      </c>
      <c r="E1214" s="2">
        <v>5.2355999999999998</v>
      </c>
      <c r="F1214" s="2">
        <v>5.2900999999999998</v>
      </c>
      <c r="G1214" s="2">
        <v>5.8131000000000004</v>
      </c>
    </row>
    <row r="1215" spans="1:7" x14ac:dyDescent="0.3">
      <c r="A1215" t="str">
        <f t="shared" si="36"/>
        <v>RO</v>
      </c>
      <c r="B1215" t="str">
        <f t="shared" si="37"/>
        <v>O</v>
      </c>
      <c r="C1215" t="s">
        <v>1212</v>
      </c>
      <c r="D1215" s="2">
        <v>1.9E-2</v>
      </c>
      <c r="E1215" s="2">
        <v>2.35E-2</v>
      </c>
      <c r="F1215" s="2">
        <v>2.1999999999999999E-2</v>
      </c>
      <c r="G1215" s="2">
        <v>2.9399999999999999E-2</v>
      </c>
    </row>
    <row r="1216" spans="1:7" x14ac:dyDescent="0.3">
      <c r="A1216" t="str">
        <f t="shared" si="36"/>
        <v>RO</v>
      </c>
      <c r="B1216" t="str">
        <f t="shared" si="37"/>
        <v>O</v>
      </c>
      <c r="C1216" t="s">
        <v>1213</v>
      </c>
      <c r="D1216" s="2">
        <v>0</v>
      </c>
      <c r="E1216" s="2">
        <v>0</v>
      </c>
      <c r="F1216" s="2">
        <v>0</v>
      </c>
      <c r="G1216" s="2">
        <v>0</v>
      </c>
    </row>
    <row r="1217" spans="1:7" x14ac:dyDescent="0.3">
      <c r="A1217" t="str">
        <f t="shared" si="36"/>
        <v>RO</v>
      </c>
      <c r="B1217" t="str">
        <f t="shared" si="37"/>
        <v>O</v>
      </c>
      <c r="C1217" t="s">
        <v>1214</v>
      </c>
      <c r="D1217" s="2">
        <v>17.3081</v>
      </c>
      <c r="E1217" s="2">
        <v>18.965399999999999</v>
      </c>
      <c r="F1217" s="2">
        <v>17.9895</v>
      </c>
      <c r="G1217" s="2">
        <v>19.210899999999999</v>
      </c>
    </row>
    <row r="1218" spans="1:7" x14ac:dyDescent="0.3">
      <c r="A1218" t="str">
        <f t="shared" si="36"/>
        <v>RO</v>
      </c>
      <c r="B1218" t="str">
        <f t="shared" si="37"/>
        <v>O</v>
      </c>
      <c r="C1218" t="s">
        <v>1215</v>
      </c>
      <c r="D1218" s="2">
        <v>0</v>
      </c>
      <c r="E1218" s="2">
        <v>0</v>
      </c>
      <c r="F1218" s="2">
        <v>0</v>
      </c>
      <c r="G1218" s="2">
        <v>0</v>
      </c>
    </row>
    <row r="1219" spans="1:7" x14ac:dyDescent="0.3">
      <c r="A1219" t="str">
        <f t="shared" si="36"/>
        <v>RO</v>
      </c>
      <c r="B1219" t="str">
        <f t="shared" si="37"/>
        <v>O</v>
      </c>
      <c r="C1219" t="s">
        <v>1216</v>
      </c>
      <c r="D1219" s="2">
        <v>4.0145999999999997</v>
      </c>
      <c r="E1219" s="2">
        <v>4.0007000000000001</v>
      </c>
      <c r="F1219" s="2">
        <v>3.3654999999999999</v>
      </c>
      <c r="G1219" s="2">
        <v>3.4026000000000001</v>
      </c>
    </row>
    <row r="1220" spans="1:7" x14ac:dyDescent="0.3">
      <c r="A1220" t="str">
        <f t="shared" si="36"/>
        <v>RO</v>
      </c>
      <c r="B1220" t="str">
        <f t="shared" si="37"/>
        <v>O</v>
      </c>
      <c r="C1220" t="s">
        <v>1217</v>
      </c>
      <c r="D1220" s="2">
        <v>7.9248000000000003</v>
      </c>
      <c r="E1220" s="2">
        <v>7.6978</v>
      </c>
      <c r="F1220" s="2">
        <v>6.3089000000000004</v>
      </c>
      <c r="G1220" s="2">
        <v>6.8253000000000004</v>
      </c>
    </row>
    <row r="1221" spans="1:7" x14ac:dyDescent="0.3">
      <c r="A1221" t="str">
        <f t="shared" ref="A1221:A1284" si="38">LEFT(C1221,2)</f>
        <v>RO</v>
      </c>
      <c r="B1221" t="str">
        <f t="shared" ref="B1221:B1284" si="39">RIGHT(C1221,1)</f>
        <v>O</v>
      </c>
      <c r="C1221" t="s">
        <v>1218</v>
      </c>
      <c r="D1221" s="2">
        <v>12.5771</v>
      </c>
      <c r="E1221" s="2">
        <v>12.6898</v>
      </c>
      <c r="F1221" s="2">
        <v>11.8256</v>
      </c>
      <c r="G1221" s="2">
        <v>12.385</v>
      </c>
    </row>
    <row r="1222" spans="1:7" x14ac:dyDescent="0.3">
      <c r="A1222" t="str">
        <f t="shared" si="38"/>
        <v>RO</v>
      </c>
      <c r="B1222" t="str">
        <f t="shared" si="39"/>
        <v>O</v>
      </c>
      <c r="C1222" t="s">
        <v>1219</v>
      </c>
      <c r="D1222" s="2">
        <v>0</v>
      </c>
      <c r="E1222" s="2">
        <v>0</v>
      </c>
      <c r="F1222" s="2">
        <v>0</v>
      </c>
      <c r="G1222" s="2">
        <v>0</v>
      </c>
    </row>
    <row r="1223" spans="1:7" x14ac:dyDescent="0.3">
      <c r="A1223" t="str">
        <f t="shared" si="38"/>
        <v>RO</v>
      </c>
      <c r="B1223" t="str">
        <f t="shared" si="39"/>
        <v>O</v>
      </c>
      <c r="C1223" t="s">
        <v>1220</v>
      </c>
      <c r="D1223" s="2">
        <v>3.4599999999999999E-2</v>
      </c>
      <c r="E1223" s="2">
        <v>2.3E-2</v>
      </c>
      <c r="F1223" s="2">
        <v>2.4299999999999999E-2</v>
      </c>
      <c r="G1223" s="2">
        <v>3.0599999999999999E-2</v>
      </c>
    </row>
    <row r="1224" spans="1:7" x14ac:dyDescent="0.3">
      <c r="A1224" t="str">
        <f t="shared" si="38"/>
        <v>RO</v>
      </c>
      <c r="B1224" t="str">
        <f t="shared" si="39"/>
        <v>O</v>
      </c>
      <c r="C1224" t="s">
        <v>1221</v>
      </c>
      <c r="D1224" s="2">
        <v>2.4214000000000002</v>
      </c>
      <c r="E1224" s="2">
        <v>2.4798</v>
      </c>
      <c r="F1224" s="2">
        <v>2.3614999999999999</v>
      </c>
      <c r="G1224" s="2">
        <v>2.3952</v>
      </c>
    </row>
    <row r="1225" spans="1:7" x14ac:dyDescent="0.3">
      <c r="A1225" t="str">
        <f t="shared" si="38"/>
        <v>SE</v>
      </c>
      <c r="B1225" t="str">
        <f t="shared" si="39"/>
        <v>P</v>
      </c>
      <c r="C1225" t="s">
        <v>1222</v>
      </c>
      <c r="D1225" s="2">
        <v>5.4012000000000002</v>
      </c>
      <c r="E1225" s="2">
        <v>4.8947000000000003</v>
      </c>
      <c r="F1225" s="2">
        <v>6.1304999999999996</v>
      </c>
      <c r="G1225" s="2">
        <v>6.9764999999999997</v>
      </c>
    </row>
    <row r="1226" spans="1:7" x14ac:dyDescent="0.3">
      <c r="A1226" t="str">
        <f t="shared" si="38"/>
        <v>SE</v>
      </c>
      <c r="B1226" t="str">
        <f t="shared" si="39"/>
        <v>P</v>
      </c>
      <c r="C1226" t="s">
        <v>1223</v>
      </c>
      <c r="D1226" s="2">
        <v>0.158</v>
      </c>
      <c r="E1226" s="2">
        <v>0.1472</v>
      </c>
      <c r="F1226" s="2">
        <v>8.6900000000000005E-2</v>
      </c>
      <c r="G1226" s="2">
        <v>5.8200000000000002E-2</v>
      </c>
    </row>
    <row r="1227" spans="1:7" x14ac:dyDescent="0.3">
      <c r="A1227" t="str">
        <f t="shared" si="38"/>
        <v>SE</v>
      </c>
      <c r="B1227" t="str">
        <f t="shared" si="39"/>
        <v>P</v>
      </c>
      <c r="C1227" t="s">
        <v>1224</v>
      </c>
      <c r="D1227" s="2">
        <v>0</v>
      </c>
      <c r="E1227" s="2">
        <v>0</v>
      </c>
      <c r="F1227" s="2">
        <v>0</v>
      </c>
      <c r="G1227" s="2">
        <v>0</v>
      </c>
    </row>
    <row r="1228" spans="1:7" x14ac:dyDescent="0.3">
      <c r="A1228" t="str">
        <f t="shared" si="38"/>
        <v>SE</v>
      </c>
      <c r="B1228" t="str">
        <f t="shared" si="39"/>
        <v>P</v>
      </c>
      <c r="C1228" t="s">
        <v>1225</v>
      </c>
      <c r="D1228" s="2">
        <v>1.3715999999999999</v>
      </c>
      <c r="E1228" s="2">
        <v>1.6263000000000001</v>
      </c>
      <c r="F1228" s="2">
        <v>1.3042</v>
      </c>
      <c r="G1228" s="2">
        <v>1.1046</v>
      </c>
    </row>
    <row r="1229" spans="1:7" x14ac:dyDescent="0.3">
      <c r="A1229" t="str">
        <f t="shared" si="38"/>
        <v>SE</v>
      </c>
      <c r="B1229" t="str">
        <f t="shared" si="39"/>
        <v>P</v>
      </c>
      <c r="C1229" t="s">
        <v>1226</v>
      </c>
      <c r="D1229" s="2">
        <v>0</v>
      </c>
      <c r="E1229" s="2">
        <v>0</v>
      </c>
      <c r="F1229" s="2">
        <v>0</v>
      </c>
      <c r="G1229" s="2">
        <v>0</v>
      </c>
    </row>
    <row r="1230" spans="1:7" x14ac:dyDescent="0.3">
      <c r="A1230" t="str">
        <f t="shared" si="38"/>
        <v>SE</v>
      </c>
      <c r="B1230" t="str">
        <f t="shared" si="39"/>
        <v>P</v>
      </c>
      <c r="C1230" t="s">
        <v>1227</v>
      </c>
      <c r="D1230" s="2">
        <v>104.97490000000001</v>
      </c>
      <c r="E1230" s="2">
        <v>107.1105</v>
      </c>
      <c r="F1230" s="2">
        <v>116.5941</v>
      </c>
      <c r="G1230" s="2">
        <v>115.01730000000001</v>
      </c>
    </row>
    <row r="1231" spans="1:7" x14ac:dyDescent="0.3">
      <c r="A1231" t="str">
        <f t="shared" si="38"/>
        <v>SE</v>
      </c>
      <c r="B1231" t="str">
        <f t="shared" si="39"/>
        <v>P</v>
      </c>
      <c r="C1231" t="s">
        <v>1228</v>
      </c>
      <c r="D1231" s="2">
        <v>31.425799999999999</v>
      </c>
      <c r="E1231" s="2">
        <v>30.519300000000001</v>
      </c>
      <c r="F1231" s="2">
        <v>28.912600000000001</v>
      </c>
      <c r="G1231" s="2">
        <v>26.604900000000001</v>
      </c>
    </row>
    <row r="1232" spans="1:7" x14ac:dyDescent="0.3">
      <c r="A1232" t="str">
        <f t="shared" si="38"/>
        <v>SE</v>
      </c>
      <c r="B1232" t="str">
        <f t="shared" si="39"/>
        <v>P</v>
      </c>
      <c r="C1232" t="s">
        <v>1229</v>
      </c>
      <c r="D1232" s="2">
        <v>17.334399999999999</v>
      </c>
      <c r="E1232" s="2">
        <v>17.259499999999999</v>
      </c>
      <c r="F1232" s="2">
        <v>17.559000000000001</v>
      </c>
      <c r="G1232" s="2">
        <v>16.8095</v>
      </c>
    </row>
    <row r="1233" spans="1:7" x14ac:dyDescent="0.3">
      <c r="A1233" t="str">
        <f t="shared" si="38"/>
        <v>SE</v>
      </c>
      <c r="B1233" t="str">
        <f t="shared" si="39"/>
        <v>P</v>
      </c>
      <c r="C1233" t="s">
        <v>1230</v>
      </c>
      <c r="D1233" s="2">
        <v>0</v>
      </c>
      <c r="E1233" s="2">
        <v>0</v>
      </c>
      <c r="F1233" s="2">
        <v>0</v>
      </c>
      <c r="G1233" s="2">
        <v>0</v>
      </c>
    </row>
    <row r="1234" spans="1:7" x14ac:dyDescent="0.3">
      <c r="A1234" t="str">
        <f t="shared" si="38"/>
        <v>SE</v>
      </c>
      <c r="B1234" t="str">
        <f t="shared" si="39"/>
        <v>P</v>
      </c>
      <c r="C1234" t="s">
        <v>1231</v>
      </c>
      <c r="D1234" s="2">
        <v>0</v>
      </c>
      <c r="E1234" s="2">
        <v>0</v>
      </c>
      <c r="F1234" s="2">
        <v>0</v>
      </c>
      <c r="G1234" s="2">
        <v>0</v>
      </c>
    </row>
    <row r="1235" spans="1:7" x14ac:dyDescent="0.3">
      <c r="A1235" t="str">
        <f t="shared" si="38"/>
        <v>SE</v>
      </c>
      <c r="B1235" t="str">
        <f t="shared" si="39"/>
        <v>P</v>
      </c>
      <c r="C1235" t="s">
        <v>1232</v>
      </c>
      <c r="D1235" s="2">
        <v>0</v>
      </c>
      <c r="E1235" s="2">
        <v>0</v>
      </c>
      <c r="F1235" s="2">
        <v>2.3523999999999998</v>
      </c>
      <c r="G1235" s="2">
        <v>2.4377</v>
      </c>
    </row>
    <row r="1236" spans="1:7" x14ac:dyDescent="0.3">
      <c r="A1236" t="str">
        <f t="shared" si="38"/>
        <v>SE</v>
      </c>
      <c r="B1236" t="str">
        <f t="shared" si="39"/>
        <v>C</v>
      </c>
      <c r="C1236" t="s">
        <v>1233</v>
      </c>
      <c r="D1236" s="2">
        <v>1.2052</v>
      </c>
      <c r="E1236" s="2">
        <v>1.1133999999999999</v>
      </c>
      <c r="F1236" s="2">
        <v>1.1173</v>
      </c>
      <c r="G1236" s="2">
        <v>0.98309999999999997</v>
      </c>
    </row>
    <row r="1237" spans="1:7" x14ac:dyDescent="0.3">
      <c r="A1237" t="str">
        <f t="shared" si="38"/>
        <v>SE</v>
      </c>
      <c r="B1237" t="str">
        <f t="shared" si="39"/>
        <v>C</v>
      </c>
      <c r="C1237" t="s">
        <v>1234</v>
      </c>
      <c r="D1237" s="2">
        <v>6.4699999999999994E-2</v>
      </c>
      <c r="E1237" s="2">
        <v>6.5500000000000003E-2</v>
      </c>
      <c r="F1237" s="2">
        <v>6.5799999999999997E-2</v>
      </c>
      <c r="G1237" s="2">
        <v>2.4199999999999999E-2</v>
      </c>
    </row>
    <row r="1238" spans="1:7" x14ac:dyDescent="0.3">
      <c r="A1238" t="str">
        <f t="shared" si="38"/>
        <v>SE</v>
      </c>
      <c r="B1238" t="str">
        <f t="shared" si="39"/>
        <v>C</v>
      </c>
      <c r="C1238" t="s">
        <v>1235</v>
      </c>
      <c r="D1238" s="2">
        <v>0</v>
      </c>
      <c r="E1238" s="2">
        <v>0</v>
      </c>
      <c r="F1238" s="2">
        <v>0</v>
      </c>
      <c r="G1238" s="2">
        <v>0</v>
      </c>
    </row>
    <row r="1239" spans="1:7" x14ac:dyDescent="0.3">
      <c r="A1239" t="str">
        <f t="shared" si="38"/>
        <v>SE</v>
      </c>
      <c r="B1239" t="str">
        <f t="shared" si="39"/>
        <v>C</v>
      </c>
      <c r="C1239" t="s">
        <v>1236</v>
      </c>
      <c r="D1239" s="2">
        <v>2.0066999999999999</v>
      </c>
      <c r="E1239" s="2">
        <v>2.2757999999999998</v>
      </c>
      <c r="F1239" s="2">
        <v>2.5030000000000001</v>
      </c>
      <c r="G1239" s="2">
        <v>2.7124000000000001</v>
      </c>
    </row>
    <row r="1240" spans="1:7" x14ac:dyDescent="0.3">
      <c r="A1240" t="str">
        <f t="shared" si="38"/>
        <v>SE</v>
      </c>
      <c r="B1240" t="str">
        <f t="shared" si="39"/>
        <v>C</v>
      </c>
      <c r="C1240" t="s">
        <v>1237</v>
      </c>
      <c r="D1240" s="2">
        <v>0</v>
      </c>
      <c r="E1240" s="2">
        <v>0</v>
      </c>
      <c r="F1240" s="2">
        <v>0</v>
      </c>
      <c r="G1240" s="2">
        <v>0</v>
      </c>
    </row>
    <row r="1241" spans="1:7" x14ac:dyDescent="0.3">
      <c r="A1241" t="str">
        <f t="shared" si="38"/>
        <v>SE</v>
      </c>
      <c r="B1241" t="str">
        <f t="shared" si="39"/>
        <v>C</v>
      </c>
      <c r="C1241" t="s">
        <v>1238</v>
      </c>
      <c r="D1241" s="2">
        <v>0.35899999999999999</v>
      </c>
      <c r="E1241" s="2">
        <v>0.36420000000000002</v>
      </c>
      <c r="F1241" s="2">
        <v>0.98570000000000002</v>
      </c>
      <c r="G1241" s="2">
        <v>1.0972</v>
      </c>
    </row>
    <row r="1242" spans="1:7" x14ac:dyDescent="0.3">
      <c r="A1242" t="str">
        <f t="shared" si="38"/>
        <v>SE</v>
      </c>
      <c r="B1242" t="str">
        <f t="shared" si="39"/>
        <v>C</v>
      </c>
      <c r="C1242" t="s">
        <v>1239</v>
      </c>
      <c r="D1242" s="2">
        <v>3.4670000000000001</v>
      </c>
      <c r="E1242" s="2">
        <v>3.2646999999999999</v>
      </c>
      <c r="F1242" s="2">
        <v>2.6772999999999998</v>
      </c>
      <c r="G1242" s="2">
        <v>2.4565000000000001</v>
      </c>
    </row>
    <row r="1243" spans="1:7" x14ac:dyDescent="0.3">
      <c r="A1243" t="str">
        <f t="shared" si="38"/>
        <v>SE</v>
      </c>
      <c r="B1243" t="str">
        <f t="shared" si="39"/>
        <v>C</v>
      </c>
      <c r="C1243" t="s">
        <v>1240</v>
      </c>
      <c r="D1243" s="2">
        <v>5.9875999999999996</v>
      </c>
      <c r="E1243" s="2">
        <v>6.1322999999999999</v>
      </c>
      <c r="F1243" s="2">
        <v>6.1405000000000003</v>
      </c>
      <c r="G1243" s="2">
        <v>5.9210000000000003</v>
      </c>
    </row>
    <row r="1244" spans="1:7" x14ac:dyDescent="0.3">
      <c r="A1244" t="str">
        <f t="shared" si="38"/>
        <v>SE</v>
      </c>
      <c r="B1244" t="str">
        <f t="shared" si="39"/>
        <v>C</v>
      </c>
      <c r="C1244" t="s">
        <v>1241</v>
      </c>
      <c r="D1244" s="2">
        <v>0</v>
      </c>
      <c r="E1244" s="2">
        <v>0</v>
      </c>
      <c r="F1244" s="2">
        <v>0</v>
      </c>
      <c r="G1244" s="2">
        <v>0</v>
      </c>
    </row>
    <row r="1245" spans="1:7" x14ac:dyDescent="0.3">
      <c r="A1245" t="str">
        <f t="shared" si="38"/>
        <v>SE</v>
      </c>
      <c r="B1245" t="str">
        <f t="shared" si="39"/>
        <v>C</v>
      </c>
      <c r="C1245" t="s">
        <v>1242</v>
      </c>
      <c r="D1245" s="2">
        <v>0</v>
      </c>
      <c r="E1245" s="2">
        <v>0</v>
      </c>
      <c r="F1245" s="2">
        <v>0</v>
      </c>
      <c r="G1245" s="2">
        <v>0</v>
      </c>
    </row>
    <row r="1246" spans="1:7" x14ac:dyDescent="0.3">
      <c r="A1246" t="str">
        <f t="shared" si="38"/>
        <v>SE</v>
      </c>
      <c r="B1246" t="str">
        <f t="shared" si="39"/>
        <v>C</v>
      </c>
      <c r="C1246" t="s">
        <v>1243</v>
      </c>
      <c r="D1246" s="2">
        <v>0</v>
      </c>
      <c r="E1246" s="2">
        <v>0</v>
      </c>
      <c r="F1246" s="2">
        <v>3.4746000000000001</v>
      </c>
      <c r="G1246" s="2">
        <v>3.9773999999999998</v>
      </c>
    </row>
    <row r="1247" spans="1:7" x14ac:dyDescent="0.3">
      <c r="A1247" t="str">
        <f t="shared" si="38"/>
        <v>SE</v>
      </c>
      <c r="B1247" t="str">
        <f t="shared" si="39"/>
        <v>I</v>
      </c>
      <c r="C1247" t="s">
        <v>1244</v>
      </c>
      <c r="D1247" s="2">
        <v>4.72</v>
      </c>
      <c r="E1247" s="2">
        <v>4.3898999999999999</v>
      </c>
      <c r="F1247" s="2">
        <v>3.5646</v>
      </c>
      <c r="G1247" s="2">
        <v>3.9300999999999999</v>
      </c>
    </row>
    <row r="1248" spans="1:7" x14ac:dyDescent="0.3">
      <c r="A1248" t="str">
        <f t="shared" si="38"/>
        <v>SE</v>
      </c>
      <c r="B1248" t="str">
        <f t="shared" si="39"/>
        <v>I</v>
      </c>
      <c r="C1248" t="s">
        <v>1245</v>
      </c>
      <c r="D1248" s="2">
        <v>2.0716000000000001</v>
      </c>
      <c r="E1248" s="2">
        <v>2.1030000000000002</v>
      </c>
      <c r="F1248" s="2">
        <v>1.7652000000000001</v>
      </c>
      <c r="G1248" s="2">
        <v>2.0562</v>
      </c>
    </row>
    <row r="1249" spans="1:7" x14ac:dyDescent="0.3">
      <c r="A1249" t="str">
        <f t="shared" si="38"/>
        <v>SE</v>
      </c>
      <c r="B1249" t="str">
        <f t="shared" si="39"/>
        <v>I</v>
      </c>
      <c r="C1249" t="s">
        <v>1246</v>
      </c>
      <c r="D1249" s="2">
        <v>0</v>
      </c>
      <c r="E1249" s="2">
        <v>0</v>
      </c>
      <c r="F1249" s="2">
        <v>0</v>
      </c>
      <c r="G1249" s="2">
        <v>0</v>
      </c>
    </row>
    <row r="1250" spans="1:7" x14ac:dyDescent="0.3">
      <c r="A1250" t="str">
        <f t="shared" si="38"/>
        <v>SE</v>
      </c>
      <c r="B1250" t="str">
        <f t="shared" si="39"/>
        <v>I</v>
      </c>
      <c r="C1250" t="s">
        <v>1247</v>
      </c>
      <c r="D1250" s="2">
        <v>5.2045000000000003</v>
      </c>
      <c r="E1250" s="2">
        <v>5.9104999999999999</v>
      </c>
      <c r="F1250" s="2">
        <v>5.8573000000000004</v>
      </c>
      <c r="G1250" s="2">
        <v>5.2855999999999996</v>
      </c>
    </row>
    <row r="1251" spans="1:7" x14ac:dyDescent="0.3">
      <c r="A1251" t="str">
        <f t="shared" si="38"/>
        <v>SE</v>
      </c>
      <c r="B1251" t="str">
        <f t="shared" si="39"/>
        <v>I</v>
      </c>
      <c r="C1251" t="s">
        <v>1248</v>
      </c>
      <c r="D1251" s="2">
        <v>0</v>
      </c>
      <c r="E1251" s="2">
        <v>0</v>
      </c>
      <c r="F1251" s="2">
        <v>0</v>
      </c>
      <c r="G1251" s="2">
        <v>0</v>
      </c>
    </row>
    <row r="1252" spans="1:7" x14ac:dyDescent="0.3">
      <c r="A1252" t="str">
        <f t="shared" si="38"/>
        <v>SE</v>
      </c>
      <c r="B1252" t="str">
        <f t="shared" si="39"/>
        <v>I</v>
      </c>
      <c r="C1252" t="s">
        <v>1249</v>
      </c>
      <c r="D1252" s="2">
        <v>0</v>
      </c>
      <c r="E1252" s="2">
        <v>0</v>
      </c>
      <c r="F1252" s="2">
        <v>5.5999999999999999E-3</v>
      </c>
      <c r="G1252" s="2">
        <v>4.1999999999999997E-3</v>
      </c>
    </row>
    <row r="1253" spans="1:7" x14ac:dyDescent="0.3">
      <c r="A1253" t="str">
        <f t="shared" si="38"/>
        <v>SE</v>
      </c>
      <c r="B1253" t="str">
        <f t="shared" si="39"/>
        <v>I</v>
      </c>
      <c r="C1253" t="s">
        <v>1250</v>
      </c>
      <c r="D1253" s="2">
        <v>9.4111999999999991</v>
      </c>
      <c r="E1253" s="2">
        <v>9.3617000000000008</v>
      </c>
      <c r="F1253" s="2">
        <v>8.6367999999999991</v>
      </c>
      <c r="G1253" s="2">
        <v>9.3211999999999993</v>
      </c>
    </row>
    <row r="1254" spans="1:7" x14ac:dyDescent="0.3">
      <c r="A1254" t="str">
        <f t="shared" si="38"/>
        <v>SE</v>
      </c>
      <c r="B1254" t="str">
        <f t="shared" si="39"/>
        <v>I</v>
      </c>
      <c r="C1254" t="s">
        <v>1251</v>
      </c>
      <c r="D1254" s="2">
        <v>1.4311</v>
      </c>
      <c r="E1254" s="2">
        <v>1.4435</v>
      </c>
      <c r="F1254" s="2">
        <v>1.3425</v>
      </c>
      <c r="G1254" s="2">
        <v>1.4135</v>
      </c>
    </row>
    <row r="1255" spans="1:7" x14ac:dyDescent="0.3">
      <c r="A1255" t="str">
        <f t="shared" si="38"/>
        <v>SE</v>
      </c>
      <c r="B1255" t="str">
        <f t="shared" si="39"/>
        <v>I</v>
      </c>
      <c r="C1255" t="s">
        <v>1252</v>
      </c>
      <c r="D1255" s="2">
        <v>0</v>
      </c>
      <c r="E1255" s="2">
        <v>0</v>
      </c>
      <c r="F1255" s="2">
        <v>0</v>
      </c>
      <c r="G1255" s="2">
        <v>0</v>
      </c>
    </row>
    <row r="1256" spans="1:7" x14ac:dyDescent="0.3">
      <c r="A1256" t="str">
        <f t="shared" si="38"/>
        <v>SE</v>
      </c>
      <c r="B1256" t="str">
        <f t="shared" si="39"/>
        <v>I</v>
      </c>
      <c r="C1256" t="s">
        <v>1253</v>
      </c>
      <c r="D1256" s="2">
        <v>0</v>
      </c>
      <c r="E1256" s="2">
        <v>0</v>
      </c>
      <c r="F1256" s="2">
        <v>0</v>
      </c>
      <c r="G1256" s="2">
        <v>0</v>
      </c>
    </row>
    <row r="1257" spans="1:7" x14ac:dyDescent="0.3">
      <c r="A1257" t="str">
        <f t="shared" si="38"/>
        <v>SE</v>
      </c>
      <c r="B1257" t="str">
        <f t="shared" si="39"/>
        <v>I</v>
      </c>
      <c r="C1257" t="s">
        <v>1254</v>
      </c>
      <c r="D1257" s="2">
        <v>6.1944999999999997</v>
      </c>
      <c r="E1257" s="2">
        <v>5.2297000000000002</v>
      </c>
      <c r="F1257" s="2">
        <v>5.2229000000000001</v>
      </c>
      <c r="G1257" s="2">
        <v>5.4443000000000001</v>
      </c>
    </row>
    <row r="1258" spans="1:7" x14ac:dyDescent="0.3">
      <c r="A1258" t="str">
        <f t="shared" si="38"/>
        <v>SE</v>
      </c>
      <c r="B1258" t="str">
        <f t="shared" si="39"/>
        <v>F</v>
      </c>
      <c r="C1258" t="s">
        <v>1255</v>
      </c>
      <c r="D1258" s="2">
        <v>0.79610000000000003</v>
      </c>
      <c r="E1258" s="2">
        <v>0.74780000000000002</v>
      </c>
      <c r="F1258" s="2">
        <v>0.78990000000000005</v>
      </c>
      <c r="G1258" s="2">
        <v>0.61929999999999996</v>
      </c>
    </row>
    <row r="1259" spans="1:7" x14ac:dyDescent="0.3">
      <c r="A1259" t="str">
        <f t="shared" si="38"/>
        <v>SE</v>
      </c>
      <c r="B1259" t="str">
        <f t="shared" si="39"/>
        <v>F</v>
      </c>
      <c r="C1259" t="s">
        <v>1256</v>
      </c>
      <c r="D1259" s="2">
        <v>2.0799999999999999E-2</v>
      </c>
      <c r="E1259" s="2">
        <v>3.1099999999999999E-2</v>
      </c>
      <c r="F1259" s="2">
        <v>3.09E-2</v>
      </c>
      <c r="G1259" s="2">
        <v>4.1099999999999998E-2</v>
      </c>
    </row>
    <row r="1260" spans="1:7" x14ac:dyDescent="0.3">
      <c r="A1260" t="str">
        <f t="shared" si="38"/>
        <v>SE</v>
      </c>
      <c r="B1260" t="str">
        <f t="shared" si="39"/>
        <v>F</v>
      </c>
      <c r="C1260" t="s">
        <v>1257</v>
      </c>
      <c r="D1260" s="2">
        <v>0</v>
      </c>
      <c r="E1260" s="2">
        <v>0</v>
      </c>
      <c r="F1260" s="2">
        <v>0</v>
      </c>
      <c r="G1260" s="2">
        <v>0</v>
      </c>
    </row>
    <row r="1261" spans="1:7" x14ac:dyDescent="0.3">
      <c r="A1261" t="str">
        <f t="shared" si="38"/>
        <v>SE</v>
      </c>
      <c r="B1261" t="str">
        <f t="shared" si="39"/>
        <v>F</v>
      </c>
      <c r="C1261" t="s">
        <v>1258</v>
      </c>
      <c r="D1261" s="2">
        <v>1.3862000000000001</v>
      </c>
      <c r="E1261" s="2">
        <v>1.389</v>
      </c>
      <c r="F1261" s="2">
        <v>1.5789</v>
      </c>
      <c r="G1261" s="2">
        <v>1.4492</v>
      </c>
    </row>
    <row r="1262" spans="1:7" x14ac:dyDescent="0.3">
      <c r="A1262" t="str">
        <f t="shared" si="38"/>
        <v>SE</v>
      </c>
      <c r="B1262" t="str">
        <f t="shared" si="39"/>
        <v>F</v>
      </c>
      <c r="C1262" t="s">
        <v>1259</v>
      </c>
      <c r="D1262" s="2">
        <v>0</v>
      </c>
      <c r="E1262" s="2">
        <v>0</v>
      </c>
      <c r="F1262" s="2">
        <v>0</v>
      </c>
      <c r="G1262" s="2">
        <v>0</v>
      </c>
    </row>
    <row r="1263" spans="1:7" x14ac:dyDescent="0.3">
      <c r="A1263" t="str">
        <f t="shared" si="38"/>
        <v>SE</v>
      </c>
      <c r="B1263" t="str">
        <f t="shared" si="39"/>
        <v>F</v>
      </c>
      <c r="C1263" t="s">
        <v>1260</v>
      </c>
      <c r="D1263" s="2">
        <v>0.36820000000000003</v>
      </c>
      <c r="E1263" s="2">
        <v>0.4163</v>
      </c>
      <c r="F1263" s="2">
        <v>0.62119999999999997</v>
      </c>
      <c r="G1263" s="2">
        <v>0.50960000000000005</v>
      </c>
    </row>
    <row r="1264" spans="1:7" x14ac:dyDescent="0.3">
      <c r="A1264" t="str">
        <f t="shared" si="38"/>
        <v>SE</v>
      </c>
      <c r="B1264" t="str">
        <f t="shared" si="39"/>
        <v>F</v>
      </c>
      <c r="C1264" t="s">
        <v>1261</v>
      </c>
      <c r="D1264" s="2">
        <v>2.4483999999999999</v>
      </c>
      <c r="E1264" s="2">
        <v>2.4698000000000002</v>
      </c>
      <c r="F1264" s="2">
        <v>2.4039999999999999</v>
      </c>
      <c r="G1264" s="2">
        <v>2.3675999999999999</v>
      </c>
    </row>
    <row r="1265" spans="1:7" x14ac:dyDescent="0.3">
      <c r="A1265" t="str">
        <f t="shared" si="38"/>
        <v>SE</v>
      </c>
      <c r="B1265" t="str">
        <f t="shared" si="39"/>
        <v>F</v>
      </c>
      <c r="C1265" t="s">
        <v>1262</v>
      </c>
      <c r="D1265" s="2">
        <v>2.1048</v>
      </c>
      <c r="E1265" s="2">
        <v>2.1166999999999998</v>
      </c>
      <c r="F1265" s="2">
        <v>2.1461000000000001</v>
      </c>
      <c r="G1265" s="2">
        <v>2.0764999999999998</v>
      </c>
    </row>
    <row r="1266" spans="1:7" x14ac:dyDescent="0.3">
      <c r="A1266" t="str">
        <f t="shared" si="38"/>
        <v>SE</v>
      </c>
      <c r="B1266" t="str">
        <f t="shared" si="39"/>
        <v>F</v>
      </c>
      <c r="C1266" t="s">
        <v>1263</v>
      </c>
      <c r="D1266" s="2">
        <v>0</v>
      </c>
      <c r="E1266" s="2">
        <v>0</v>
      </c>
      <c r="F1266" s="2">
        <v>0</v>
      </c>
      <c r="G1266" s="2">
        <v>0</v>
      </c>
    </row>
    <row r="1267" spans="1:7" x14ac:dyDescent="0.3">
      <c r="A1267" t="str">
        <f t="shared" si="38"/>
        <v>SE</v>
      </c>
      <c r="B1267" t="str">
        <f t="shared" si="39"/>
        <v>F</v>
      </c>
      <c r="C1267" t="s">
        <v>1264</v>
      </c>
      <c r="D1267" s="2">
        <v>0</v>
      </c>
      <c r="E1267" s="2">
        <v>0</v>
      </c>
      <c r="F1267" s="2">
        <v>0</v>
      </c>
      <c r="G1267" s="2">
        <v>0</v>
      </c>
    </row>
    <row r="1268" spans="1:7" x14ac:dyDescent="0.3">
      <c r="A1268" t="str">
        <f t="shared" si="38"/>
        <v>SE</v>
      </c>
      <c r="B1268" t="str">
        <f t="shared" si="39"/>
        <v>F</v>
      </c>
      <c r="C1268" t="s">
        <v>1265</v>
      </c>
      <c r="D1268" s="2">
        <v>0</v>
      </c>
      <c r="E1268" s="2">
        <v>0</v>
      </c>
      <c r="F1268" s="2">
        <v>1.0605</v>
      </c>
      <c r="G1268" s="2">
        <v>1.2298</v>
      </c>
    </row>
    <row r="1269" spans="1:7" x14ac:dyDescent="0.3">
      <c r="A1269" t="str">
        <f t="shared" si="38"/>
        <v>SE</v>
      </c>
      <c r="B1269" t="str">
        <f t="shared" si="39"/>
        <v>O</v>
      </c>
      <c r="C1269" t="s">
        <v>1266</v>
      </c>
      <c r="D1269" s="2">
        <v>9.0374999999999996</v>
      </c>
      <c r="E1269" s="2">
        <v>8.6042000000000005</v>
      </c>
      <c r="F1269" s="2">
        <v>7.6879</v>
      </c>
      <c r="G1269" s="2">
        <v>8.2195999999999998</v>
      </c>
    </row>
    <row r="1270" spans="1:7" x14ac:dyDescent="0.3">
      <c r="A1270" t="str">
        <f t="shared" si="38"/>
        <v>SE</v>
      </c>
      <c r="B1270" t="str">
        <f t="shared" si="39"/>
        <v>O</v>
      </c>
      <c r="C1270" t="s">
        <v>1267</v>
      </c>
      <c r="D1270" s="2">
        <v>4.5312000000000001</v>
      </c>
      <c r="E1270" s="2">
        <v>3.972</v>
      </c>
      <c r="F1270" s="2">
        <v>3.3607</v>
      </c>
      <c r="G1270" s="2">
        <v>3.5733999999999999</v>
      </c>
    </row>
    <row r="1271" spans="1:7" x14ac:dyDescent="0.3">
      <c r="A1271" t="str">
        <f t="shared" si="38"/>
        <v>SE</v>
      </c>
      <c r="B1271" t="str">
        <f t="shared" si="39"/>
        <v>O</v>
      </c>
      <c r="C1271" t="s">
        <v>1268</v>
      </c>
      <c r="D1271" s="2">
        <v>0</v>
      </c>
      <c r="E1271" s="2">
        <v>0</v>
      </c>
      <c r="F1271" s="2">
        <v>0</v>
      </c>
      <c r="G1271" s="2">
        <v>0</v>
      </c>
    </row>
    <row r="1272" spans="1:7" x14ac:dyDescent="0.3">
      <c r="A1272" t="str">
        <f t="shared" si="38"/>
        <v>SE</v>
      </c>
      <c r="B1272" t="str">
        <f t="shared" si="39"/>
        <v>O</v>
      </c>
      <c r="C1272" t="s">
        <v>1269</v>
      </c>
      <c r="D1272" s="2">
        <v>1.9631000000000001</v>
      </c>
      <c r="E1272" s="2">
        <v>1.7197</v>
      </c>
      <c r="F1272" s="2">
        <v>1.7024999999999999</v>
      </c>
      <c r="G1272" s="2">
        <v>1.7636000000000001</v>
      </c>
    </row>
    <row r="1273" spans="1:7" x14ac:dyDescent="0.3">
      <c r="A1273" t="str">
        <f t="shared" si="38"/>
        <v>SE</v>
      </c>
      <c r="B1273" t="str">
        <f t="shared" si="39"/>
        <v>O</v>
      </c>
      <c r="C1273" t="s">
        <v>1270</v>
      </c>
      <c r="D1273" s="2">
        <v>0</v>
      </c>
      <c r="E1273" s="2">
        <v>0</v>
      </c>
      <c r="F1273" s="2">
        <v>0</v>
      </c>
      <c r="G1273" s="2">
        <v>0</v>
      </c>
    </row>
    <row r="1274" spans="1:7" x14ac:dyDescent="0.3">
      <c r="A1274" t="str">
        <f t="shared" si="38"/>
        <v>SE</v>
      </c>
      <c r="B1274" t="str">
        <f t="shared" si="39"/>
        <v>O</v>
      </c>
      <c r="C1274" t="s">
        <v>1271</v>
      </c>
      <c r="D1274" s="2">
        <v>7.0831999999999997</v>
      </c>
      <c r="E1274" s="2">
        <v>6.9413</v>
      </c>
      <c r="F1274" s="2">
        <v>8.3425999999999991</v>
      </c>
      <c r="G1274" s="2">
        <v>7.8354999999999997</v>
      </c>
    </row>
    <row r="1275" spans="1:7" x14ac:dyDescent="0.3">
      <c r="A1275" t="str">
        <f t="shared" si="38"/>
        <v>SE</v>
      </c>
      <c r="B1275" t="str">
        <f t="shared" si="39"/>
        <v>O</v>
      </c>
      <c r="C1275" t="s">
        <v>1272</v>
      </c>
      <c r="D1275" s="2">
        <v>15.5443</v>
      </c>
      <c r="E1275" s="2">
        <v>14.958399999999999</v>
      </c>
      <c r="F1275" s="2">
        <v>14.1502</v>
      </c>
      <c r="G1275" s="2">
        <v>14.7072</v>
      </c>
    </row>
    <row r="1276" spans="1:7" x14ac:dyDescent="0.3">
      <c r="A1276" t="str">
        <f t="shared" si="38"/>
        <v>SE</v>
      </c>
      <c r="B1276" t="str">
        <f t="shared" si="39"/>
        <v>O</v>
      </c>
      <c r="C1276" t="s">
        <v>1273</v>
      </c>
      <c r="D1276" s="2">
        <v>20.927499999999998</v>
      </c>
      <c r="E1276" s="2">
        <v>20.231000000000002</v>
      </c>
      <c r="F1276" s="2">
        <v>19.643000000000001</v>
      </c>
      <c r="G1276" s="2">
        <v>20.544499999999999</v>
      </c>
    </row>
    <row r="1277" spans="1:7" x14ac:dyDescent="0.3">
      <c r="A1277" t="str">
        <f t="shared" si="38"/>
        <v>SE</v>
      </c>
      <c r="B1277" t="str">
        <f t="shared" si="39"/>
        <v>O</v>
      </c>
      <c r="C1277" t="s">
        <v>1274</v>
      </c>
      <c r="D1277" s="2">
        <v>0</v>
      </c>
      <c r="E1277" s="2">
        <v>0</v>
      </c>
      <c r="F1277" s="2">
        <v>0</v>
      </c>
      <c r="G1277" s="2">
        <v>0</v>
      </c>
    </row>
    <row r="1278" spans="1:7" x14ac:dyDescent="0.3">
      <c r="A1278" t="str">
        <f t="shared" si="38"/>
        <v>SE</v>
      </c>
      <c r="B1278" t="str">
        <f t="shared" si="39"/>
        <v>O</v>
      </c>
      <c r="C1278" t="s">
        <v>1275</v>
      </c>
      <c r="D1278" s="2">
        <v>0</v>
      </c>
      <c r="E1278" s="2">
        <v>0</v>
      </c>
      <c r="F1278" s="2">
        <v>0</v>
      </c>
      <c r="G1278" s="2">
        <v>0</v>
      </c>
    </row>
    <row r="1279" spans="1:7" x14ac:dyDescent="0.3">
      <c r="A1279" t="str">
        <f t="shared" si="38"/>
        <v>SE</v>
      </c>
      <c r="B1279" t="str">
        <f t="shared" si="39"/>
        <v>O</v>
      </c>
      <c r="C1279" t="s">
        <v>1276</v>
      </c>
      <c r="D1279" s="2">
        <v>9.0742999999999991</v>
      </c>
      <c r="E1279" s="2">
        <v>8.7373999999999992</v>
      </c>
      <c r="F1279" s="2">
        <v>7.5509000000000004</v>
      </c>
      <c r="G1279" s="2">
        <v>7.9977</v>
      </c>
    </row>
    <row r="1280" spans="1:7" x14ac:dyDescent="0.3">
      <c r="A1280" t="str">
        <f t="shared" si="38"/>
        <v>SI</v>
      </c>
      <c r="B1280" t="str">
        <f t="shared" si="39"/>
        <v>A</v>
      </c>
      <c r="C1280" t="s">
        <v>1277</v>
      </c>
      <c r="D1280" s="2">
        <v>0.31680000000000003</v>
      </c>
      <c r="E1280" s="2">
        <v>0.28649999999999998</v>
      </c>
      <c r="F1280" s="2">
        <v>0.216</v>
      </c>
      <c r="G1280" s="2">
        <v>0.23680000000000001</v>
      </c>
    </row>
    <row r="1281" spans="1:7" x14ac:dyDescent="0.3">
      <c r="A1281" t="str">
        <f t="shared" si="38"/>
        <v>SI</v>
      </c>
      <c r="B1281" t="str">
        <f t="shared" si="39"/>
        <v>A</v>
      </c>
      <c r="C1281" t="s">
        <v>1278</v>
      </c>
      <c r="D1281" s="2">
        <v>2.0000000000000001E-4</v>
      </c>
      <c r="E1281" s="2">
        <v>0</v>
      </c>
      <c r="F1281" s="2">
        <v>0</v>
      </c>
      <c r="G1281" s="2">
        <v>0</v>
      </c>
    </row>
    <row r="1282" spans="1:7" x14ac:dyDescent="0.3">
      <c r="A1282" t="str">
        <f t="shared" si="38"/>
        <v>SI</v>
      </c>
      <c r="B1282" t="str">
        <f t="shared" si="39"/>
        <v>A</v>
      </c>
      <c r="C1282" t="s">
        <v>1279</v>
      </c>
      <c r="D1282" s="2">
        <v>0</v>
      </c>
      <c r="E1282" s="2">
        <v>0</v>
      </c>
      <c r="F1282" s="2">
        <v>0</v>
      </c>
      <c r="G1282" s="2">
        <v>0</v>
      </c>
    </row>
    <row r="1283" spans="1:7" x14ac:dyDescent="0.3">
      <c r="A1283" t="str">
        <f t="shared" si="38"/>
        <v>SI</v>
      </c>
      <c r="B1283" t="str">
        <f t="shared" si="39"/>
        <v>A</v>
      </c>
      <c r="C1283" t="s">
        <v>1280</v>
      </c>
      <c r="D1283" s="2">
        <v>1.2847</v>
      </c>
      <c r="E1283" s="2">
        <v>1.2270000000000001</v>
      </c>
      <c r="F1283" s="2">
        <v>1.2534000000000001</v>
      </c>
      <c r="G1283" s="2">
        <v>1.3213999999999999</v>
      </c>
    </row>
    <row r="1284" spans="1:7" x14ac:dyDescent="0.3">
      <c r="A1284" t="str">
        <f t="shared" si="38"/>
        <v>SI</v>
      </c>
      <c r="B1284" t="str">
        <f t="shared" si="39"/>
        <v>A</v>
      </c>
      <c r="C1284" t="s">
        <v>1281</v>
      </c>
      <c r="D1284" s="2">
        <v>0</v>
      </c>
      <c r="E1284" s="2">
        <v>0</v>
      </c>
      <c r="F1284" s="2">
        <v>0</v>
      </c>
      <c r="G1284" s="2">
        <v>0</v>
      </c>
    </row>
    <row r="1285" spans="1:7" x14ac:dyDescent="0.3">
      <c r="A1285" t="str">
        <f t="shared" ref="A1285:A1348" si="40">LEFT(C1285,2)</f>
        <v>SI</v>
      </c>
      <c r="B1285" t="str">
        <f t="shared" ref="B1285:B1348" si="41">RIGHT(C1285,1)</f>
        <v>A</v>
      </c>
      <c r="C1285" t="s">
        <v>1282</v>
      </c>
      <c r="D1285" s="2">
        <v>4.1599999999999998E-2</v>
      </c>
      <c r="E1285" s="2">
        <v>5.5300000000000002E-2</v>
      </c>
      <c r="F1285" s="2">
        <v>7.0900000000000005E-2</v>
      </c>
      <c r="G1285" s="2">
        <v>7.8E-2</v>
      </c>
    </row>
    <row r="1286" spans="1:7" x14ac:dyDescent="0.3">
      <c r="A1286" t="str">
        <f t="shared" si="40"/>
        <v>SI</v>
      </c>
      <c r="B1286" t="str">
        <f t="shared" si="41"/>
        <v>A</v>
      </c>
      <c r="C1286" t="s">
        <v>1283</v>
      </c>
      <c r="D1286" s="2">
        <v>1.2294</v>
      </c>
      <c r="E1286" s="2">
        <v>1.2786999999999999</v>
      </c>
      <c r="F1286" s="2">
        <v>1.2301</v>
      </c>
      <c r="G1286" s="2">
        <v>1.3465</v>
      </c>
    </row>
    <row r="1287" spans="1:7" x14ac:dyDescent="0.3">
      <c r="A1287" t="str">
        <f t="shared" si="40"/>
        <v>SI</v>
      </c>
      <c r="B1287" t="str">
        <f t="shared" si="41"/>
        <v>A</v>
      </c>
      <c r="C1287" t="s">
        <v>1284</v>
      </c>
      <c r="D1287" s="2">
        <v>1.3179000000000001</v>
      </c>
      <c r="E1287" s="2">
        <v>1.3194999999999999</v>
      </c>
      <c r="F1287" s="2">
        <v>1.2761</v>
      </c>
      <c r="G1287" s="2">
        <v>1.3783000000000001</v>
      </c>
    </row>
    <row r="1288" spans="1:7" x14ac:dyDescent="0.3">
      <c r="A1288" t="str">
        <f t="shared" si="40"/>
        <v>SI</v>
      </c>
      <c r="B1288" t="str">
        <f t="shared" si="41"/>
        <v>A</v>
      </c>
      <c r="C1288" t="s">
        <v>1285</v>
      </c>
      <c r="D1288" s="2">
        <v>0</v>
      </c>
      <c r="E1288" s="2">
        <v>0</v>
      </c>
      <c r="F1288" s="2">
        <v>0</v>
      </c>
      <c r="G1288" s="2">
        <v>0</v>
      </c>
    </row>
    <row r="1289" spans="1:7" x14ac:dyDescent="0.3">
      <c r="A1289" t="str">
        <f t="shared" si="40"/>
        <v>SI</v>
      </c>
      <c r="B1289" t="str">
        <f t="shared" si="41"/>
        <v>A</v>
      </c>
      <c r="C1289" t="s">
        <v>1286</v>
      </c>
      <c r="D1289" s="2">
        <v>0</v>
      </c>
      <c r="E1289" s="2">
        <v>0</v>
      </c>
      <c r="F1289" s="2">
        <v>0</v>
      </c>
      <c r="G1289" s="2">
        <v>0</v>
      </c>
    </row>
    <row r="1290" spans="1:7" x14ac:dyDescent="0.3">
      <c r="A1290" t="str">
        <f t="shared" si="40"/>
        <v>SI</v>
      </c>
      <c r="B1290" t="str">
        <f t="shared" si="41"/>
        <v>A</v>
      </c>
      <c r="C1290" t="s">
        <v>1287</v>
      </c>
      <c r="D1290" s="2">
        <v>0.1777</v>
      </c>
      <c r="E1290" s="2">
        <v>0.17760000000000001</v>
      </c>
      <c r="F1290" s="2">
        <v>0.17430000000000001</v>
      </c>
      <c r="G1290" s="2">
        <v>0.18029999999999999</v>
      </c>
    </row>
    <row r="1291" spans="1:7" x14ac:dyDescent="0.3">
      <c r="A1291" t="str">
        <f t="shared" si="40"/>
        <v>SI</v>
      </c>
      <c r="B1291" t="str">
        <f t="shared" si="41"/>
        <v>C</v>
      </c>
      <c r="C1291" t="s">
        <v>1288</v>
      </c>
      <c r="D1291" s="2">
        <v>6.9099999999999995E-2</v>
      </c>
      <c r="E1291" s="2">
        <v>6.3200000000000006E-2</v>
      </c>
      <c r="F1291" s="2">
        <v>6.4000000000000001E-2</v>
      </c>
      <c r="G1291" s="2">
        <v>5.7500000000000002E-2</v>
      </c>
    </row>
    <row r="1292" spans="1:7" x14ac:dyDescent="0.3">
      <c r="A1292" t="str">
        <f t="shared" si="40"/>
        <v>SI</v>
      </c>
      <c r="B1292" t="str">
        <f t="shared" si="41"/>
        <v>C</v>
      </c>
      <c r="C1292" t="s">
        <v>1289</v>
      </c>
      <c r="D1292" s="2">
        <v>0</v>
      </c>
      <c r="E1292" s="2">
        <v>1E-4</v>
      </c>
      <c r="F1292" s="2">
        <v>0</v>
      </c>
      <c r="G1292" s="2">
        <v>0</v>
      </c>
    </row>
    <row r="1293" spans="1:7" x14ac:dyDescent="0.3">
      <c r="A1293" t="str">
        <f t="shared" si="40"/>
        <v>SI</v>
      </c>
      <c r="B1293" t="str">
        <f t="shared" si="41"/>
        <v>C</v>
      </c>
      <c r="C1293" t="s">
        <v>1290</v>
      </c>
      <c r="D1293" s="2">
        <v>0</v>
      </c>
      <c r="E1293" s="2">
        <v>0</v>
      </c>
      <c r="F1293" s="2">
        <v>0</v>
      </c>
      <c r="G1293" s="2">
        <v>0</v>
      </c>
    </row>
    <row r="1294" spans="1:7" x14ac:dyDescent="0.3">
      <c r="A1294" t="str">
        <f t="shared" si="40"/>
        <v>SI</v>
      </c>
      <c r="B1294" t="str">
        <f t="shared" si="41"/>
        <v>C</v>
      </c>
      <c r="C1294" t="s">
        <v>1291</v>
      </c>
      <c r="D1294" s="2">
        <v>0.80600000000000005</v>
      </c>
      <c r="E1294" s="2">
        <v>0.7792</v>
      </c>
      <c r="F1294" s="2">
        <v>0.87549999999999994</v>
      </c>
      <c r="G1294" s="2">
        <v>0.93340000000000001</v>
      </c>
    </row>
    <row r="1295" spans="1:7" x14ac:dyDescent="0.3">
      <c r="A1295" t="str">
        <f t="shared" si="40"/>
        <v>SI</v>
      </c>
      <c r="B1295" t="str">
        <f t="shared" si="41"/>
        <v>C</v>
      </c>
      <c r="C1295" t="s">
        <v>1292</v>
      </c>
      <c r="D1295" s="2">
        <v>0</v>
      </c>
      <c r="E1295" s="2">
        <v>0</v>
      </c>
      <c r="F1295" s="2">
        <v>0</v>
      </c>
      <c r="G1295" s="2">
        <v>0</v>
      </c>
    </row>
    <row r="1296" spans="1:7" x14ac:dyDescent="0.3">
      <c r="A1296" t="str">
        <f t="shared" si="40"/>
        <v>SI</v>
      </c>
      <c r="B1296" t="str">
        <f t="shared" si="41"/>
        <v>C</v>
      </c>
      <c r="C1296" t="s">
        <v>1293</v>
      </c>
      <c r="D1296" s="2">
        <v>0.35639999999999999</v>
      </c>
      <c r="E1296" s="2">
        <v>0.3634</v>
      </c>
      <c r="F1296" s="2">
        <v>0.35460000000000003</v>
      </c>
      <c r="G1296" s="2">
        <v>0.43269999999999997</v>
      </c>
    </row>
    <row r="1297" spans="1:7" x14ac:dyDescent="0.3">
      <c r="A1297" t="str">
        <f t="shared" si="40"/>
        <v>SI</v>
      </c>
      <c r="B1297" t="str">
        <f t="shared" si="41"/>
        <v>C</v>
      </c>
      <c r="C1297" t="s">
        <v>1294</v>
      </c>
      <c r="D1297" s="2">
        <v>0.24299999999999999</v>
      </c>
      <c r="E1297" s="2">
        <v>0.25869999999999999</v>
      </c>
      <c r="F1297" s="2">
        <v>0.26400000000000001</v>
      </c>
      <c r="G1297" s="2">
        <v>0.26840000000000003</v>
      </c>
    </row>
    <row r="1298" spans="1:7" x14ac:dyDescent="0.3">
      <c r="A1298" t="str">
        <f t="shared" si="40"/>
        <v>SI</v>
      </c>
      <c r="B1298" t="str">
        <f t="shared" si="41"/>
        <v>C</v>
      </c>
      <c r="C1298" t="s">
        <v>1295</v>
      </c>
      <c r="D1298" s="2">
        <v>0.72499999999999998</v>
      </c>
      <c r="E1298" s="2">
        <v>0.73470000000000002</v>
      </c>
      <c r="F1298" s="2">
        <v>0.76619999999999999</v>
      </c>
      <c r="G1298" s="2">
        <v>0.81830000000000003</v>
      </c>
    </row>
    <row r="1299" spans="1:7" x14ac:dyDescent="0.3">
      <c r="A1299" t="str">
        <f t="shared" si="40"/>
        <v>SI</v>
      </c>
      <c r="B1299" t="str">
        <f t="shared" si="41"/>
        <v>C</v>
      </c>
      <c r="C1299" t="s">
        <v>1296</v>
      </c>
      <c r="D1299" s="2">
        <v>0</v>
      </c>
      <c r="E1299" s="2">
        <v>0</v>
      </c>
      <c r="F1299" s="2">
        <v>0</v>
      </c>
      <c r="G1299" s="2">
        <v>0</v>
      </c>
    </row>
    <row r="1300" spans="1:7" x14ac:dyDescent="0.3">
      <c r="A1300" t="str">
        <f t="shared" si="40"/>
        <v>SI</v>
      </c>
      <c r="B1300" t="str">
        <f t="shared" si="41"/>
        <v>C</v>
      </c>
      <c r="C1300" t="s">
        <v>1297</v>
      </c>
      <c r="D1300" s="2">
        <v>0</v>
      </c>
      <c r="E1300" s="2">
        <v>0</v>
      </c>
      <c r="F1300" s="2">
        <v>0</v>
      </c>
      <c r="G1300" s="2">
        <v>0</v>
      </c>
    </row>
    <row r="1301" spans="1:7" x14ac:dyDescent="0.3">
      <c r="A1301" t="str">
        <f t="shared" si="40"/>
        <v>SI</v>
      </c>
      <c r="B1301" t="str">
        <f t="shared" si="41"/>
        <v>C</v>
      </c>
      <c r="C1301" t="s">
        <v>1298</v>
      </c>
      <c r="D1301" s="2">
        <v>0.68189999999999995</v>
      </c>
      <c r="E1301" s="2">
        <v>0.78939999999999999</v>
      </c>
      <c r="F1301" s="2">
        <v>0.79100000000000004</v>
      </c>
      <c r="G1301" s="2">
        <v>0.80779999999999996</v>
      </c>
    </row>
    <row r="1302" spans="1:7" x14ac:dyDescent="0.3">
      <c r="A1302" t="str">
        <f t="shared" si="40"/>
        <v>SI</v>
      </c>
      <c r="B1302" t="str">
        <f t="shared" si="41"/>
        <v>N</v>
      </c>
      <c r="C1302" t="s">
        <v>1299</v>
      </c>
      <c r="D1302" s="2">
        <v>0.66400000000000003</v>
      </c>
      <c r="E1302" s="2">
        <v>0.64419999999999999</v>
      </c>
      <c r="F1302" s="2">
        <v>0.73140000000000005</v>
      </c>
      <c r="G1302" s="2">
        <v>0.79390000000000005</v>
      </c>
    </row>
    <row r="1303" spans="1:7" x14ac:dyDescent="0.3">
      <c r="A1303" t="str">
        <f t="shared" si="40"/>
        <v>SI</v>
      </c>
      <c r="B1303" t="str">
        <f t="shared" si="41"/>
        <v>N</v>
      </c>
      <c r="C1303" t="s">
        <v>1300</v>
      </c>
      <c r="D1303" s="2">
        <v>0.19650000000000001</v>
      </c>
      <c r="E1303" s="2">
        <v>0.2072</v>
      </c>
      <c r="F1303" s="2">
        <v>0.1993</v>
      </c>
      <c r="G1303" s="2">
        <v>0.22550000000000001</v>
      </c>
    </row>
    <row r="1304" spans="1:7" x14ac:dyDescent="0.3">
      <c r="A1304" t="str">
        <f t="shared" si="40"/>
        <v>SI</v>
      </c>
      <c r="B1304" t="str">
        <f t="shared" si="41"/>
        <v>N</v>
      </c>
      <c r="C1304" t="s">
        <v>1301</v>
      </c>
      <c r="D1304" s="2">
        <v>0</v>
      </c>
      <c r="E1304" s="2">
        <v>0</v>
      </c>
      <c r="F1304" s="2">
        <v>0</v>
      </c>
      <c r="G1304" s="2">
        <v>0</v>
      </c>
    </row>
    <row r="1305" spans="1:7" x14ac:dyDescent="0.3">
      <c r="A1305" t="str">
        <f t="shared" si="40"/>
        <v>SI</v>
      </c>
      <c r="B1305" t="str">
        <f t="shared" si="41"/>
        <v>N</v>
      </c>
      <c r="C1305" t="s">
        <v>1302</v>
      </c>
      <c r="D1305" s="2">
        <v>1.4398</v>
      </c>
      <c r="E1305" s="2">
        <v>1.5325</v>
      </c>
      <c r="F1305" s="2">
        <v>1.2175</v>
      </c>
      <c r="G1305" s="2">
        <v>1.3777999999999999</v>
      </c>
    </row>
    <row r="1306" spans="1:7" x14ac:dyDescent="0.3">
      <c r="A1306" t="str">
        <f t="shared" si="40"/>
        <v>SI</v>
      </c>
      <c r="B1306" t="str">
        <f t="shared" si="41"/>
        <v>N</v>
      </c>
      <c r="C1306" t="s">
        <v>1303</v>
      </c>
      <c r="D1306" s="2">
        <v>0</v>
      </c>
      <c r="E1306" s="2">
        <v>0</v>
      </c>
      <c r="F1306" s="2">
        <v>0</v>
      </c>
      <c r="G1306" s="2">
        <v>0</v>
      </c>
    </row>
    <row r="1307" spans="1:7" x14ac:dyDescent="0.3">
      <c r="A1307" t="str">
        <f t="shared" si="40"/>
        <v>SI</v>
      </c>
      <c r="B1307" t="str">
        <f t="shared" si="41"/>
        <v>N</v>
      </c>
      <c r="C1307" t="s">
        <v>1304</v>
      </c>
      <c r="D1307" s="2">
        <v>1.0125</v>
      </c>
      <c r="E1307" s="2">
        <v>1.1013999999999999</v>
      </c>
      <c r="F1307" s="2">
        <v>0.96850000000000003</v>
      </c>
      <c r="G1307" s="2">
        <v>0.92230000000000001</v>
      </c>
    </row>
    <row r="1308" spans="1:7" x14ac:dyDescent="0.3">
      <c r="A1308" t="str">
        <f t="shared" si="40"/>
        <v>SI</v>
      </c>
      <c r="B1308" t="str">
        <f t="shared" si="41"/>
        <v>N</v>
      </c>
      <c r="C1308" t="s">
        <v>1305</v>
      </c>
      <c r="D1308" s="2">
        <v>0.31969999999999998</v>
      </c>
      <c r="E1308" s="2">
        <v>0.30359999999999998</v>
      </c>
      <c r="F1308" s="2">
        <v>0.2782</v>
      </c>
      <c r="G1308" s="2">
        <v>0.3246</v>
      </c>
    </row>
    <row r="1309" spans="1:7" x14ac:dyDescent="0.3">
      <c r="A1309" t="str">
        <f t="shared" si="40"/>
        <v>SI</v>
      </c>
      <c r="B1309" t="str">
        <f t="shared" si="41"/>
        <v>N</v>
      </c>
      <c r="C1309" t="s">
        <v>1306</v>
      </c>
      <c r="D1309" s="2">
        <v>0.39439999999999997</v>
      </c>
      <c r="E1309" s="2">
        <v>0.4783</v>
      </c>
      <c r="F1309" s="2">
        <v>0.42049999999999998</v>
      </c>
      <c r="G1309" s="2">
        <v>0.45879999999999999</v>
      </c>
    </row>
    <row r="1310" spans="1:7" x14ac:dyDescent="0.3">
      <c r="A1310" t="str">
        <f t="shared" si="40"/>
        <v>SI</v>
      </c>
      <c r="B1310" t="str">
        <f t="shared" si="41"/>
        <v>N</v>
      </c>
      <c r="C1310" t="s">
        <v>1307</v>
      </c>
      <c r="D1310" s="2">
        <v>0</v>
      </c>
      <c r="E1310" s="2">
        <v>0</v>
      </c>
      <c r="F1310" s="2">
        <v>0</v>
      </c>
      <c r="G1310" s="2">
        <v>0</v>
      </c>
    </row>
    <row r="1311" spans="1:7" x14ac:dyDescent="0.3">
      <c r="A1311" t="str">
        <f t="shared" si="40"/>
        <v>SI</v>
      </c>
      <c r="B1311" t="str">
        <f t="shared" si="41"/>
        <v>N</v>
      </c>
      <c r="C1311" t="s">
        <v>1308</v>
      </c>
      <c r="D1311" s="2">
        <v>0</v>
      </c>
      <c r="E1311" s="2">
        <v>0</v>
      </c>
      <c r="F1311" s="2">
        <v>0</v>
      </c>
      <c r="G1311" s="2">
        <v>0</v>
      </c>
    </row>
    <row r="1312" spans="1:7" x14ac:dyDescent="0.3">
      <c r="A1312" t="str">
        <f t="shared" si="40"/>
        <v>SI</v>
      </c>
      <c r="B1312" t="str">
        <f t="shared" si="41"/>
        <v>N</v>
      </c>
      <c r="C1312" t="s">
        <v>1309</v>
      </c>
      <c r="D1312" s="2">
        <v>2.9999999999999997E-4</v>
      </c>
      <c r="E1312" s="2">
        <v>2.0000000000000001E-4</v>
      </c>
      <c r="F1312" s="2">
        <v>2.0000000000000001E-4</v>
      </c>
      <c r="G1312" s="2">
        <v>4.0000000000000002E-4</v>
      </c>
    </row>
    <row r="1313" spans="1:7" x14ac:dyDescent="0.3">
      <c r="A1313" t="str">
        <f t="shared" si="40"/>
        <v>SI</v>
      </c>
      <c r="B1313" t="str">
        <f t="shared" si="41"/>
        <v>I</v>
      </c>
      <c r="C1313" t="s">
        <v>1310</v>
      </c>
      <c r="D1313" s="2">
        <v>3.2599999999999997E-2</v>
      </c>
      <c r="E1313" s="2">
        <v>0.03</v>
      </c>
      <c r="F1313" s="2">
        <v>1.72E-2</v>
      </c>
      <c r="G1313" s="2">
        <v>1.7000000000000001E-2</v>
      </c>
    </row>
    <row r="1314" spans="1:7" x14ac:dyDescent="0.3">
      <c r="A1314" t="str">
        <f t="shared" si="40"/>
        <v>SI</v>
      </c>
      <c r="B1314" t="str">
        <f t="shared" si="41"/>
        <v>I</v>
      </c>
      <c r="C1314" t="s">
        <v>1311</v>
      </c>
      <c r="D1314" s="2">
        <v>9.1899999999999996E-2</v>
      </c>
      <c r="E1314" s="2">
        <v>8.3599999999999994E-2</v>
      </c>
      <c r="F1314" s="2">
        <v>6.6500000000000004E-2</v>
      </c>
      <c r="G1314" s="2">
        <v>6.4799999999999996E-2</v>
      </c>
    </row>
    <row r="1315" spans="1:7" x14ac:dyDescent="0.3">
      <c r="A1315" t="str">
        <f t="shared" si="40"/>
        <v>SI</v>
      </c>
      <c r="B1315" t="str">
        <f t="shared" si="41"/>
        <v>I</v>
      </c>
      <c r="C1315" t="s">
        <v>1312</v>
      </c>
      <c r="D1315" s="2">
        <v>0</v>
      </c>
      <c r="E1315" s="2">
        <v>0</v>
      </c>
      <c r="F1315" s="2">
        <v>0</v>
      </c>
      <c r="G1315" s="2">
        <v>0</v>
      </c>
    </row>
    <row r="1316" spans="1:7" x14ac:dyDescent="0.3">
      <c r="A1316" t="str">
        <f t="shared" si="40"/>
        <v>SI</v>
      </c>
      <c r="B1316" t="str">
        <f t="shared" si="41"/>
        <v>I</v>
      </c>
      <c r="C1316" t="s">
        <v>1313</v>
      </c>
      <c r="D1316" s="2">
        <v>1.2927</v>
      </c>
      <c r="E1316" s="2">
        <v>1.3689</v>
      </c>
      <c r="F1316" s="2">
        <v>1.2684</v>
      </c>
      <c r="G1316" s="2">
        <v>1.4118999999999999</v>
      </c>
    </row>
    <row r="1317" spans="1:7" x14ac:dyDescent="0.3">
      <c r="A1317" t="str">
        <f t="shared" si="40"/>
        <v>SI</v>
      </c>
      <c r="B1317" t="str">
        <f t="shared" si="41"/>
        <v>I</v>
      </c>
      <c r="C1317" t="s">
        <v>1314</v>
      </c>
      <c r="D1317" s="2">
        <v>0</v>
      </c>
      <c r="E1317" s="2">
        <v>0</v>
      </c>
      <c r="F1317" s="2">
        <v>0</v>
      </c>
      <c r="G1317" s="2">
        <v>0</v>
      </c>
    </row>
    <row r="1318" spans="1:7" x14ac:dyDescent="0.3">
      <c r="A1318" t="str">
        <f t="shared" si="40"/>
        <v>SI</v>
      </c>
      <c r="B1318" t="str">
        <f t="shared" si="41"/>
        <v>I</v>
      </c>
      <c r="C1318" t="s">
        <v>1315</v>
      </c>
      <c r="D1318" s="2">
        <v>1E-4</v>
      </c>
      <c r="E1318" s="2">
        <v>1E-4</v>
      </c>
      <c r="F1318" s="2">
        <v>1E-4</v>
      </c>
      <c r="G1318" s="2">
        <v>0</v>
      </c>
    </row>
    <row r="1319" spans="1:7" x14ac:dyDescent="0.3">
      <c r="A1319" t="str">
        <f t="shared" si="40"/>
        <v>SI</v>
      </c>
      <c r="B1319" t="str">
        <f t="shared" si="41"/>
        <v>I</v>
      </c>
      <c r="C1319" t="s">
        <v>1316</v>
      </c>
      <c r="D1319" s="2">
        <v>1.3947000000000001</v>
      </c>
      <c r="E1319" s="2">
        <v>1.4092</v>
      </c>
      <c r="F1319" s="2">
        <v>1.2739</v>
      </c>
      <c r="G1319" s="2">
        <v>1.4433</v>
      </c>
    </row>
    <row r="1320" spans="1:7" x14ac:dyDescent="0.3">
      <c r="A1320" t="str">
        <f t="shared" si="40"/>
        <v>SI</v>
      </c>
      <c r="B1320" t="str">
        <f t="shared" si="41"/>
        <v>I</v>
      </c>
      <c r="C1320" t="s">
        <v>1317</v>
      </c>
      <c r="D1320" s="2">
        <v>0.17979999999999999</v>
      </c>
      <c r="E1320" s="2">
        <v>0.18260000000000001</v>
      </c>
      <c r="F1320" s="2">
        <v>0.1653</v>
      </c>
      <c r="G1320" s="2">
        <v>0.1867</v>
      </c>
    </row>
    <row r="1321" spans="1:7" x14ac:dyDescent="0.3">
      <c r="A1321" t="str">
        <f t="shared" si="40"/>
        <v>SI</v>
      </c>
      <c r="B1321" t="str">
        <f t="shared" si="41"/>
        <v>I</v>
      </c>
      <c r="C1321" t="s">
        <v>1318</v>
      </c>
      <c r="D1321" s="2">
        <v>0</v>
      </c>
      <c r="E1321" s="2">
        <v>0</v>
      </c>
      <c r="F1321" s="2">
        <v>0</v>
      </c>
      <c r="G1321" s="2">
        <v>0</v>
      </c>
    </row>
    <row r="1322" spans="1:7" x14ac:dyDescent="0.3">
      <c r="A1322" t="str">
        <f t="shared" si="40"/>
        <v>SI</v>
      </c>
      <c r="B1322" t="str">
        <f t="shared" si="41"/>
        <v>I</v>
      </c>
      <c r="C1322" t="s">
        <v>1319</v>
      </c>
      <c r="D1322" s="2">
        <v>0</v>
      </c>
      <c r="E1322" s="2">
        <v>0</v>
      </c>
      <c r="F1322" s="2">
        <v>0</v>
      </c>
      <c r="G1322" s="2">
        <v>0</v>
      </c>
    </row>
    <row r="1323" spans="1:7" x14ac:dyDescent="0.3">
      <c r="A1323" t="str">
        <f t="shared" si="40"/>
        <v>SI</v>
      </c>
      <c r="B1323" t="str">
        <f t="shared" si="41"/>
        <v>I</v>
      </c>
      <c r="C1323" t="s">
        <v>1320</v>
      </c>
      <c r="D1323" s="2">
        <v>3.0150999999999999</v>
      </c>
      <c r="E1323" s="2">
        <v>3.0954999999999999</v>
      </c>
      <c r="F1323" s="2">
        <v>2.8119000000000001</v>
      </c>
      <c r="G1323" s="2">
        <v>3.1446999999999998</v>
      </c>
    </row>
    <row r="1324" spans="1:7" x14ac:dyDescent="0.3">
      <c r="A1324" t="str">
        <f t="shared" si="40"/>
        <v>SI</v>
      </c>
      <c r="B1324" t="str">
        <f t="shared" si="41"/>
        <v>O</v>
      </c>
      <c r="C1324" t="s">
        <v>1321</v>
      </c>
      <c r="D1324" s="2">
        <v>0.70899999999999996</v>
      </c>
      <c r="E1324" s="2">
        <v>0.66610000000000003</v>
      </c>
      <c r="F1324" s="2">
        <v>0.70250000000000001</v>
      </c>
      <c r="G1324" s="2">
        <v>0.67669999999999997</v>
      </c>
    </row>
    <row r="1325" spans="1:7" x14ac:dyDescent="0.3">
      <c r="A1325" t="str">
        <f t="shared" si="40"/>
        <v>SI</v>
      </c>
      <c r="B1325" t="str">
        <f t="shared" si="41"/>
        <v>O</v>
      </c>
      <c r="C1325" t="s">
        <v>1322</v>
      </c>
      <c r="D1325" s="2">
        <v>0.66500000000000004</v>
      </c>
      <c r="E1325" s="2">
        <v>0.64670000000000005</v>
      </c>
      <c r="F1325" s="2">
        <v>0.35310000000000002</v>
      </c>
      <c r="G1325" s="2">
        <v>0.1081</v>
      </c>
    </row>
    <row r="1326" spans="1:7" x14ac:dyDescent="0.3">
      <c r="A1326" t="str">
        <f t="shared" si="40"/>
        <v>SI</v>
      </c>
      <c r="B1326" t="str">
        <f t="shared" si="41"/>
        <v>O</v>
      </c>
      <c r="C1326" t="s">
        <v>1323</v>
      </c>
      <c r="D1326" s="2">
        <v>0</v>
      </c>
      <c r="E1326" s="2">
        <v>0</v>
      </c>
      <c r="F1326" s="2">
        <v>0</v>
      </c>
      <c r="G1326" s="2">
        <v>0</v>
      </c>
    </row>
    <row r="1327" spans="1:7" x14ac:dyDescent="0.3">
      <c r="A1327" t="str">
        <f t="shared" si="40"/>
        <v>SI</v>
      </c>
      <c r="B1327" t="str">
        <f t="shared" si="41"/>
        <v>O</v>
      </c>
      <c r="C1327" t="s">
        <v>1324</v>
      </c>
      <c r="D1327" s="2">
        <v>4.8550000000000004</v>
      </c>
      <c r="E1327" s="2">
        <v>4.7756999999999996</v>
      </c>
      <c r="F1327" s="2">
        <v>4.9104999999999999</v>
      </c>
      <c r="G1327" s="2">
        <v>5.0872000000000002</v>
      </c>
    </row>
    <row r="1328" spans="1:7" x14ac:dyDescent="0.3">
      <c r="A1328" t="str">
        <f t="shared" si="40"/>
        <v>SI</v>
      </c>
      <c r="B1328" t="str">
        <f t="shared" si="41"/>
        <v>O</v>
      </c>
      <c r="C1328" t="s">
        <v>1325</v>
      </c>
      <c r="D1328" s="2">
        <v>0</v>
      </c>
      <c r="E1328" s="2">
        <v>0</v>
      </c>
      <c r="F1328" s="2">
        <v>0</v>
      </c>
      <c r="G1328" s="2">
        <v>0</v>
      </c>
    </row>
    <row r="1329" spans="1:7" x14ac:dyDescent="0.3">
      <c r="A1329" t="str">
        <f t="shared" si="40"/>
        <v>SI</v>
      </c>
      <c r="B1329" t="str">
        <f t="shared" si="41"/>
        <v>O</v>
      </c>
      <c r="C1329" t="s">
        <v>1326</v>
      </c>
      <c r="D1329" s="2">
        <v>0.91290000000000004</v>
      </c>
      <c r="E1329" s="2">
        <v>0.98770000000000002</v>
      </c>
      <c r="F1329" s="2">
        <v>1.0004999999999999</v>
      </c>
      <c r="G1329" s="2">
        <v>1.0066999999999999</v>
      </c>
    </row>
    <row r="1330" spans="1:7" x14ac:dyDescent="0.3">
      <c r="A1330" t="str">
        <f t="shared" si="40"/>
        <v>SI</v>
      </c>
      <c r="B1330" t="str">
        <f t="shared" si="41"/>
        <v>O</v>
      </c>
      <c r="C1330" t="s">
        <v>1327</v>
      </c>
      <c r="D1330" s="2">
        <v>4.2506000000000004</v>
      </c>
      <c r="E1330" s="2">
        <v>4.1151999999999997</v>
      </c>
      <c r="F1330" s="2">
        <v>3.5350999999999999</v>
      </c>
      <c r="G1330" s="2">
        <v>3.1516999999999999</v>
      </c>
    </row>
    <row r="1331" spans="1:7" x14ac:dyDescent="0.3">
      <c r="A1331" t="str">
        <f t="shared" si="40"/>
        <v>SI</v>
      </c>
      <c r="B1331" t="str">
        <f t="shared" si="41"/>
        <v>O</v>
      </c>
      <c r="C1331" t="s">
        <v>1328</v>
      </c>
      <c r="D1331" s="2">
        <v>2.3628</v>
      </c>
      <c r="E1331" s="2">
        <v>2.4152</v>
      </c>
      <c r="F1331" s="2">
        <v>2.2805</v>
      </c>
      <c r="G1331" s="2">
        <v>2.3645</v>
      </c>
    </row>
    <row r="1332" spans="1:7" x14ac:dyDescent="0.3">
      <c r="A1332" t="str">
        <f t="shared" si="40"/>
        <v>SI</v>
      </c>
      <c r="B1332" t="str">
        <f t="shared" si="41"/>
        <v>O</v>
      </c>
      <c r="C1332" t="s">
        <v>1329</v>
      </c>
      <c r="D1332" s="2">
        <v>0</v>
      </c>
      <c r="E1332" s="2">
        <v>0</v>
      </c>
      <c r="F1332" s="2">
        <v>0</v>
      </c>
      <c r="G1332" s="2">
        <v>0</v>
      </c>
    </row>
    <row r="1333" spans="1:7" x14ac:dyDescent="0.3">
      <c r="A1333" t="str">
        <f t="shared" si="40"/>
        <v>SI</v>
      </c>
      <c r="B1333" t="str">
        <f t="shared" si="41"/>
        <v>O</v>
      </c>
      <c r="C1333" t="s">
        <v>1330</v>
      </c>
      <c r="D1333" s="2">
        <v>0</v>
      </c>
      <c r="E1333" s="2">
        <v>0</v>
      </c>
      <c r="F1333" s="2">
        <v>0</v>
      </c>
      <c r="G1333" s="2">
        <v>0</v>
      </c>
    </row>
    <row r="1334" spans="1:7" x14ac:dyDescent="0.3">
      <c r="A1334" t="str">
        <f t="shared" si="40"/>
        <v>SI</v>
      </c>
      <c r="B1334" t="str">
        <f t="shared" si="41"/>
        <v>O</v>
      </c>
      <c r="C1334" t="s">
        <v>1331</v>
      </c>
      <c r="D1334" s="2">
        <v>0.21060000000000001</v>
      </c>
      <c r="E1334" s="2">
        <v>0.24079999999999999</v>
      </c>
      <c r="F1334" s="2">
        <v>0.2394</v>
      </c>
      <c r="G1334" s="2">
        <v>0.20699999999999999</v>
      </c>
    </row>
    <row r="1335" spans="1:7" x14ac:dyDescent="0.3">
      <c r="A1335" t="str">
        <f t="shared" si="40"/>
        <v>SK</v>
      </c>
      <c r="B1335" t="str">
        <f t="shared" si="41"/>
        <v>I</v>
      </c>
      <c r="C1335" t="s">
        <v>1332</v>
      </c>
      <c r="D1335" s="2">
        <v>0</v>
      </c>
      <c r="E1335" s="2">
        <v>1.9199999999999998E-2</v>
      </c>
      <c r="F1335" s="2">
        <v>0</v>
      </c>
      <c r="G1335" s="2">
        <v>1.78E-2</v>
      </c>
    </row>
    <row r="1336" spans="1:7" x14ac:dyDescent="0.3">
      <c r="A1336" t="str">
        <f t="shared" si="40"/>
        <v>SK</v>
      </c>
      <c r="B1336" t="str">
        <f t="shared" si="41"/>
        <v>I</v>
      </c>
      <c r="C1336" t="s">
        <v>1333</v>
      </c>
      <c r="D1336" s="2">
        <v>4.8357000000000001</v>
      </c>
      <c r="E1336" s="2">
        <v>4.2152000000000003</v>
      </c>
      <c r="F1336" s="2">
        <v>3.7530999999999999</v>
      </c>
      <c r="G1336" s="2">
        <v>3.9952999999999999</v>
      </c>
    </row>
    <row r="1337" spans="1:7" x14ac:dyDescent="0.3">
      <c r="A1337" t="str">
        <f t="shared" si="40"/>
        <v>SK</v>
      </c>
      <c r="B1337" t="str">
        <f t="shared" si="41"/>
        <v>I</v>
      </c>
      <c r="C1337" t="s">
        <v>1334</v>
      </c>
      <c r="D1337" s="2">
        <v>0</v>
      </c>
      <c r="E1337" s="2">
        <v>0</v>
      </c>
      <c r="F1337" s="2">
        <v>0</v>
      </c>
      <c r="G1337" s="2">
        <v>0</v>
      </c>
    </row>
    <row r="1338" spans="1:7" x14ac:dyDescent="0.3">
      <c r="A1338" t="str">
        <f t="shared" si="40"/>
        <v>SK</v>
      </c>
      <c r="B1338" t="str">
        <f t="shared" si="41"/>
        <v>I</v>
      </c>
      <c r="C1338" t="s">
        <v>1335</v>
      </c>
      <c r="D1338" s="2">
        <v>12.6267</v>
      </c>
      <c r="E1338" s="2">
        <v>10.1975</v>
      </c>
      <c r="F1338" s="2">
        <v>9.0650999999999993</v>
      </c>
      <c r="G1338" s="2">
        <v>11.653600000000001</v>
      </c>
    </row>
    <row r="1339" spans="1:7" x14ac:dyDescent="0.3">
      <c r="A1339" t="str">
        <f t="shared" si="40"/>
        <v>SK</v>
      </c>
      <c r="B1339" t="str">
        <f t="shared" si="41"/>
        <v>I</v>
      </c>
      <c r="C1339" t="s">
        <v>1336</v>
      </c>
      <c r="D1339" s="2">
        <v>0</v>
      </c>
      <c r="E1339" s="2">
        <v>0</v>
      </c>
      <c r="F1339" s="2">
        <v>0</v>
      </c>
      <c r="G1339" s="2">
        <v>0</v>
      </c>
    </row>
    <row r="1340" spans="1:7" x14ac:dyDescent="0.3">
      <c r="A1340" t="str">
        <f t="shared" si="40"/>
        <v>SK</v>
      </c>
      <c r="B1340" t="str">
        <f t="shared" si="41"/>
        <v>I</v>
      </c>
      <c r="C1340" t="s">
        <v>1337</v>
      </c>
      <c r="D1340" s="2">
        <v>0.13389999999999999</v>
      </c>
      <c r="E1340" s="2">
        <v>0.11070000000000001</v>
      </c>
      <c r="F1340" s="2">
        <v>0.1037</v>
      </c>
      <c r="G1340" s="2">
        <v>0.14050000000000001</v>
      </c>
    </row>
    <row r="1341" spans="1:7" x14ac:dyDescent="0.3">
      <c r="A1341" t="str">
        <f t="shared" si="40"/>
        <v>SK</v>
      </c>
      <c r="B1341" t="str">
        <f t="shared" si="41"/>
        <v>I</v>
      </c>
      <c r="C1341" t="s">
        <v>1338</v>
      </c>
      <c r="D1341" s="2">
        <v>4.7558999999999996</v>
      </c>
      <c r="E1341" s="2">
        <v>4.1303000000000001</v>
      </c>
      <c r="F1341" s="2">
        <v>2.7181000000000002</v>
      </c>
      <c r="G1341" s="2">
        <v>3.0714999999999999</v>
      </c>
    </row>
    <row r="1342" spans="1:7" x14ac:dyDescent="0.3">
      <c r="A1342" t="str">
        <f t="shared" si="40"/>
        <v>SK</v>
      </c>
      <c r="B1342" t="str">
        <f t="shared" si="41"/>
        <v>I</v>
      </c>
      <c r="C1342" t="s">
        <v>1339</v>
      </c>
      <c r="D1342" s="2">
        <v>0.88390000000000002</v>
      </c>
      <c r="E1342" s="2">
        <v>0.76129999999999998</v>
      </c>
      <c r="F1342" s="2">
        <v>0.61990000000000001</v>
      </c>
      <c r="G1342" s="2">
        <v>0.70230000000000004</v>
      </c>
    </row>
    <row r="1343" spans="1:7" x14ac:dyDescent="0.3">
      <c r="A1343" t="str">
        <f t="shared" si="40"/>
        <v>SK</v>
      </c>
      <c r="B1343" t="str">
        <f t="shared" si="41"/>
        <v>I</v>
      </c>
      <c r="C1343" t="s">
        <v>1340</v>
      </c>
      <c r="D1343" s="2">
        <v>0</v>
      </c>
      <c r="E1343" s="2">
        <v>0</v>
      </c>
      <c r="F1343" s="2">
        <v>0</v>
      </c>
      <c r="G1343" s="2">
        <v>0</v>
      </c>
    </row>
    <row r="1344" spans="1:7" x14ac:dyDescent="0.3">
      <c r="A1344" t="str">
        <f t="shared" si="40"/>
        <v>SK</v>
      </c>
      <c r="B1344" t="str">
        <f t="shared" si="41"/>
        <v>I</v>
      </c>
      <c r="C1344" t="s">
        <v>1341</v>
      </c>
      <c r="D1344" s="2">
        <v>0</v>
      </c>
      <c r="E1344" s="2">
        <v>0</v>
      </c>
      <c r="F1344" s="2">
        <v>0</v>
      </c>
      <c r="G1344" s="2">
        <v>0</v>
      </c>
    </row>
    <row r="1345" spans="1:7" x14ac:dyDescent="0.3">
      <c r="A1345" t="str">
        <f t="shared" si="40"/>
        <v>SK</v>
      </c>
      <c r="B1345" t="str">
        <f t="shared" si="41"/>
        <v>I</v>
      </c>
      <c r="C1345" t="s">
        <v>1342</v>
      </c>
      <c r="D1345" s="2">
        <v>0.66469999999999996</v>
      </c>
      <c r="E1345" s="2">
        <v>0.75429999999999997</v>
      </c>
      <c r="F1345" s="2">
        <v>0.38679999999999998</v>
      </c>
      <c r="G1345" s="2">
        <v>0.48530000000000001</v>
      </c>
    </row>
    <row r="1346" spans="1:7" x14ac:dyDescent="0.3">
      <c r="A1346" t="str">
        <f t="shared" si="40"/>
        <v>SK</v>
      </c>
      <c r="B1346" t="str">
        <f t="shared" si="41"/>
        <v>C</v>
      </c>
      <c r="C1346" t="s">
        <v>1343</v>
      </c>
      <c r="D1346" s="2">
        <v>4.9984999999999999</v>
      </c>
      <c r="E1346" s="2">
        <v>4.8437000000000001</v>
      </c>
      <c r="F1346" s="2">
        <v>5.2743000000000002</v>
      </c>
      <c r="G1346" s="2">
        <v>5.5591999999999997</v>
      </c>
    </row>
    <row r="1347" spans="1:7" x14ac:dyDescent="0.3">
      <c r="A1347" t="str">
        <f t="shared" si="40"/>
        <v>SK</v>
      </c>
      <c r="B1347" t="str">
        <f t="shared" si="41"/>
        <v>C</v>
      </c>
      <c r="C1347" t="s">
        <v>1344</v>
      </c>
      <c r="D1347" s="2">
        <v>0</v>
      </c>
      <c r="E1347" s="2">
        <v>0</v>
      </c>
      <c r="F1347" s="2">
        <v>0</v>
      </c>
      <c r="G1347" s="2">
        <v>1.3599999999999999E-2</v>
      </c>
    </row>
    <row r="1348" spans="1:7" x14ac:dyDescent="0.3">
      <c r="A1348" t="str">
        <f t="shared" si="40"/>
        <v>SK</v>
      </c>
      <c r="B1348" t="str">
        <f t="shared" si="41"/>
        <v>C</v>
      </c>
      <c r="C1348" t="s">
        <v>1345</v>
      </c>
      <c r="D1348" s="2">
        <v>0</v>
      </c>
      <c r="E1348" s="2">
        <v>0</v>
      </c>
      <c r="F1348" s="2">
        <v>0</v>
      </c>
      <c r="G1348" s="2">
        <v>0</v>
      </c>
    </row>
    <row r="1349" spans="1:7" x14ac:dyDescent="0.3">
      <c r="A1349" t="str">
        <f t="shared" ref="A1349:A1389" si="42">LEFT(C1349,2)</f>
        <v>SK</v>
      </c>
      <c r="B1349" t="str">
        <f t="shared" ref="B1349:B1389" si="43">RIGHT(C1349,1)</f>
        <v>C</v>
      </c>
      <c r="C1349" t="s">
        <v>1346</v>
      </c>
      <c r="D1349" s="2">
        <v>3.1629999999999998</v>
      </c>
      <c r="E1349" s="2">
        <v>2.9489000000000001</v>
      </c>
      <c r="F1349" s="2">
        <v>2.7029999999999998</v>
      </c>
      <c r="G1349" s="2">
        <v>2.6082999999999998</v>
      </c>
    </row>
    <row r="1350" spans="1:7" x14ac:dyDescent="0.3">
      <c r="A1350" t="str">
        <f t="shared" si="42"/>
        <v>SK</v>
      </c>
      <c r="B1350" t="str">
        <f t="shared" si="43"/>
        <v>C</v>
      </c>
      <c r="C1350" t="s">
        <v>1347</v>
      </c>
      <c r="D1350" s="2">
        <v>0</v>
      </c>
      <c r="E1350" s="2">
        <v>0</v>
      </c>
      <c r="F1350" s="2">
        <v>0</v>
      </c>
      <c r="G1350" s="2">
        <v>0</v>
      </c>
    </row>
    <row r="1351" spans="1:7" x14ac:dyDescent="0.3">
      <c r="A1351" t="str">
        <f t="shared" si="42"/>
        <v>SK</v>
      </c>
      <c r="B1351" t="str">
        <f t="shared" si="43"/>
        <v>C</v>
      </c>
      <c r="C1351" t="s">
        <v>1348</v>
      </c>
      <c r="D1351" s="2">
        <v>0.58709999999999996</v>
      </c>
      <c r="E1351" s="2">
        <v>0.55769999999999997</v>
      </c>
      <c r="F1351" s="2">
        <v>0.48949999999999999</v>
      </c>
      <c r="G1351" s="2">
        <v>0.5131</v>
      </c>
    </row>
    <row r="1352" spans="1:7" x14ac:dyDescent="0.3">
      <c r="A1352" t="str">
        <f t="shared" si="42"/>
        <v>SK</v>
      </c>
      <c r="B1352" t="str">
        <f t="shared" si="43"/>
        <v>C</v>
      </c>
      <c r="C1352" t="s">
        <v>1349</v>
      </c>
      <c r="D1352" s="2">
        <v>8.1900000000000001E-2</v>
      </c>
      <c r="E1352" s="2">
        <v>8.7400000000000005E-2</v>
      </c>
      <c r="F1352" s="2">
        <v>0.12479999999999999</v>
      </c>
      <c r="G1352" s="2">
        <v>0.18659999999999999</v>
      </c>
    </row>
    <row r="1353" spans="1:7" x14ac:dyDescent="0.3">
      <c r="A1353" t="str">
        <f t="shared" si="42"/>
        <v>SK</v>
      </c>
      <c r="B1353" t="str">
        <f t="shared" si="43"/>
        <v>C</v>
      </c>
      <c r="C1353" t="s">
        <v>1350</v>
      </c>
      <c r="D1353" s="2">
        <v>1.5994999999999999</v>
      </c>
      <c r="E1353" s="2">
        <v>1.5980000000000001</v>
      </c>
      <c r="F1353" s="2">
        <v>1.74</v>
      </c>
      <c r="G1353" s="2">
        <v>2.0137999999999998</v>
      </c>
    </row>
    <row r="1354" spans="1:7" x14ac:dyDescent="0.3">
      <c r="A1354" t="str">
        <f t="shared" si="42"/>
        <v>SK</v>
      </c>
      <c r="B1354" t="str">
        <f t="shared" si="43"/>
        <v>C</v>
      </c>
      <c r="C1354" t="s">
        <v>1351</v>
      </c>
      <c r="D1354" s="2">
        <v>0</v>
      </c>
      <c r="E1354" s="2">
        <v>0</v>
      </c>
      <c r="F1354" s="2">
        <v>0</v>
      </c>
      <c r="G1354" s="2">
        <v>0</v>
      </c>
    </row>
    <row r="1355" spans="1:7" x14ac:dyDescent="0.3">
      <c r="A1355" t="str">
        <f t="shared" si="42"/>
        <v>SK</v>
      </c>
      <c r="B1355" t="str">
        <f t="shared" si="43"/>
        <v>C</v>
      </c>
      <c r="C1355" t="s">
        <v>1352</v>
      </c>
      <c r="D1355" s="2">
        <v>0</v>
      </c>
      <c r="E1355" s="2">
        <v>0</v>
      </c>
      <c r="F1355" s="2">
        <v>0</v>
      </c>
      <c r="G1355" s="2">
        <v>0</v>
      </c>
    </row>
    <row r="1356" spans="1:7" x14ac:dyDescent="0.3">
      <c r="A1356" t="str">
        <f t="shared" si="42"/>
        <v>SK</v>
      </c>
      <c r="B1356" t="str">
        <f t="shared" si="43"/>
        <v>C</v>
      </c>
      <c r="C1356" t="s">
        <v>1353</v>
      </c>
      <c r="D1356" s="2">
        <v>0.32690000000000002</v>
      </c>
      <c r="E1356" s="2">
        <v>0.30199999999999999</v>
      </c>
      <c r="F1356" s="2">
        <v>0.26879999999999998</v>
      </c>
      <c r="G1356" s="2">
        <v>0.30790000000000001</v>
      </c>
    </row>
    <row r="1357" spans="1:7" x14ac:dyDescent="0.3">
      <c r="A1357" t="str">
        <f t="shared" si="42"/>
        <v>SK</v>
      </c>
      <c r="B1357" t="str">
        <f t="shared" si="43"/>
        <v>N</v>
      </c>
      <c r="C1357" t="s">
        <v>1354</v>
      </c>
      <c r="D1357" s="2">
        <v>0.97289999999999999</v>
      </c>
      <c r="E1357" s="2">
        <v>1.0450999999999999</v>
      </c>
      <c r="F1357" s="2">
        <v>1.0846</v>
      </c>
      <c r="G1357" s="2">
        <v>1.2126999999999999</v>
      </c>
    </row>
    <row r="1358" spans="1:7" x14ac:dyDescent="0.3">
      <c r="A1358" t="str">
        <f t="shared" si="42"/>
        <v>SK</v>
      </c>
      <c r="B1358" t="str">
        <f t="shared" si="43"/>
        <v>N</v>
      </c>
      <c r="C1358" t="s">
        <v>1355</v>
      </c>
      <c r="D1358" s="2">
        <v>0.98580000000000001</v>
      </c>
      <c r="E1358" s="2">
        <v>1.0601</v>
      </c>
      <c r="F1358" s="2">
        <v>1.0207999999999999</v>
      </c>
      <c r="G1358" s="2">
        <v>1.2271000000000001</v>
      </c>
    </row>
    <row r="1359" spans="1:7" x14ac:dyDescent="0.3">
      <c r="A1359" t="str">
        <f t="shared" si="42"/>
        <v>SK</v>
      </c>
      <c r="B1359" t="str">
        <f t="shared" si="43"/>
        <v>N</v>
      </c>
      <c r="C1359" t="s">
        <v>1356</v>
      </c>
      <c r="D1359" s="2">
        <v>0</v>
      </c>
      <c r="E1359" s="2">
        <v>0</v>
      </c>
      <c r="F1359" s="2">
        <v>0</v>
      </c>
      <c r="G1359" s="2">
        <v>0</v>
      </c>
    </row>
    <row r="1360" spans="1:7" x14ac:dyDescent="0.3">
      <c r="A1360" t="str">
        <f t="shared" si="42"/>
        <v>SK</v>
      </c>
      <c r="B1360" t="str">
        <f t="shared" si="43"/>
        <v>N</v>
      </c>
      <c r="C1360" t="s">
        <v>1357</v>
      </c>
      <c r="D1360" s="2">
        <v>2.1248</v>
      </c>
      <c r="E1360" s="2">
        <v>2.3410000000000002</v>
      </c>
      <c r="F1360" s="2">
        <v>2.1636000000000002</v>
      </c>
      <c r="G1360" s="2">
        <v>2.4270999999999998</v>
      </c>
    </row>
    <row r="1361" spans="1:7" x14ac:dyDescent="0.3">
      <c r="A1361" t="str">
        <f t="shared" si="42"/>
        <v>SK</v>
      </c>
      <c r="B1361" t="str">
        <f t="shared" si="43"/>
        <v>N</v>
      </c>
      <c r="C1361" t="s">
        <v>1358</v>
      </c>
      <c r="D1361" s="2">
        <v>0</v>
      </c>
      <c r="E1361" s="2">
        <v>0</v>
      </c>
      <c r="F1361" s="2">
        <v>0</v>
      </c>
      <c r="G1361" s="2">
        <v>0</v>
      </c>
    </row>
    <row r="1362" spans="1:7" x14ac:dyDescent="0.3">
      <c r="A1362" t="str">
        <f t="shared" si="42"/>
        <v>SK</v>
      </c>
      <c r="B1362" t="str">
        <f t="shared" si="43"/>
        <v>N</v>
      </c>
      <c r="C1362" t="s">
        <v>1359</v>
      </c>
      <c r="D1362" s="2">
        <v>2.9754999999999998</v>
      </c>
      <c r="E1362" s="2">
        <v>3.3658000000000001</v>
      </c>
      <c r="F1362" s="2">
        <v>3.9226000000000001</v>
      </c>
      <c r="G1362" s="2">
        <v>3.2639999999999998</v>
      </c>
    </row>
    <row r="1363" spans="1:7" x14ac:dyDescent="0.3">
      <c r="A1363" t="str">
        <f t="shared" si="42"/>
        <v>SK</v>
      </c>
      <c r="B1363" t="str">
        <f t="shared" si="43"/>
        <v>N</v>
      </c>
      <c r="C1363" t="s">
        <v>1360</v>
      </c>
      <c r="D1363" s="2">
        <v>0.37769999999999998</v>
      </c>
      <c r="E1363" s="2">
        <v>0.42909999999999998</v>
      </c>
      <c r="F1363" s="2">
        <v>0.40849999999999997</v>
      </c>
      <c r="G1363" s="2">
        <v>0.46529999999999999</v>
      </c>
    </row>
    <row r="1364" spans="1:7" x14ac:dyDescent="0.3">
      <c r="A1364" t="str">
        <f t="shared" si="42"/>
        <v>SK</v>
      </c>
      <c r="B1364" t="str">
        <f t="shared" si="43"/>
        <v>N</v>
      </c>
      <c r="C1364" t="s">
        <v>1361</v>
      </c>
      <c r="D1364" s="2">
        <v>1.2319</v>
      </c>
      <c r="E1364" s="2">
        <v>1.3403</v>
      </c>
      <c r="F1364" s="2">
        <v>1.1637</v>
      </c>
      <c r="G1364" s="2">
        <v>1.3362000000000001</v>
      </c>
    </row>
    <row r="1365" spans="1:7" x14ac:dyDescent="0.3">
      <c r="A1365" t="str">
        <f t="shared" si="42"/>
        <v>SK</v>
      </c>
      <c r="B1365" t="str">
        <f t="shared" si="43"/>
        <v>N</v>
      </c>
      <c r="C1365" t="s">
        <v>1362</v>
      </c>
      <c r="D1365" s="2">
        <v>0</v>
      </c>
      <c r="E1365" s="2">
        <v>0</v>
      </c>
      <c r="F1365" s="2">
        <v>0</v>
      </c>
      <c r="G1365" s="2">
        <v>0</v>
      </c>
    </row>
    <row r="1366" spans="1:7" x14ac:dyDescent="0.3">
      <c r="A1366" t="str">
        <f t="shared" si="42"/>
        <v>SK</v>
      </c>
      <c r="B1366" t="str">
        <f t="shared" si="43"/>
        <v>N</v>
      </c>
      <c r="C1366" t="s">
        <v>1363</v>
      </c>
      <c r="D1366" s="2">
        <v>0</v>
      </c>
      <c r="E1366" s="2">
        <v>0</v>
      </c>
      <c r="F1366" s="2">
        <v>0</v>
      </c>
      <c r="G1366" s="2">
        <v>0</v>
      </c>
    </row>
    <row r="1367" spans="1:7" x14ac:dyDescent="0.3">
      <c r="A1367" t="str">
        <f t="shared" si="42"/>
        <v>SK</v>
      </c>
      <c r="B1367" t="str">
        <f t="shared" si="43"/>
        <v>N</v>
      </c>
      <c r="C1367" t="s">
        <v>1364</v>
      </c>
      <c r="D1367" s="2">
        <v>9.9400000000000002E-2</v>
      </c>
      <c r="E1367" s="2">
        <v>0.11650000000000001</v>
      </c>
      <c r="F1367" s="2">
        <v>0.1157</v>
      </c>
      <c r="G1367" s="2">
        <v>0.126</v>
      </c>
    </row>
    <row r="1368" spans="1:7" x14ac:dyDescent="0.3">
      <c r="A1368" t="str">
        <f t="shared" si="42"/>
        <v>SK</v>
      </c>
      <c r="B1368" t="str">
        <f t="shared" si="43"/>
        <v>P</v>
      </c>
      <c r="C1368" t="s">
        <v>1365</v>
      </c>
      <c r="D1368" s="2">
        <v>2.4199999999999999E-2</v>
      </c>
      <c r="E1368" s="2">
        <v>2.4199999999999999E-2</v>
      </c>
      <c r="F1368" s="2">
        <v>2.47E-2</v>
      </c>
      <c r="G1368" s="2">
        <v>0</v>
      </c>
    </row>
    <row r="1369" spans="1:7" x14ac:dyDescent="0.3">
      <c r="A1369" t="str">
        <f t="shared" si="42"/>
        <v>SK</v>
      </c>
      <c r="B1369" t="str">
        <f t="shared" si="43"/>
        <v>P</v>
      </c>
      <c r="C1369" t="s">
        <v>1366</v>
      </c>
      <c r="D1369" s="2">
        <v>0</v>
      </c>
      <c r="E1369" s="2">
        <v>0</v>
      </c>
      <c r="F1369" s="2">
        <v>0</v>
      </c>
      <c r="G1369" s="2">
        <v>0</v>
      </c>
    </row>
    <row r="1370" spans="1:7" x14ac:dyDescent="0.3">
      <c r="A1370" t="str">
        <f t="shared" si="42"/>
        <v>SK</v>
      </c>
      <c r="B1370" t="str">
        <f t="shared" si="43"/>
        <v>P</v>
      </c>
      <c r="C1370" t="s">
        <v>1367</v>
      </c>
      <c r="D1370" s="2">
        <v>0</v>
      </c>
      <c r="E1370" s="2">
        <v>0</v>
      </c>
      <c r="F1370" s="2">
        <v>0</v>
      </c>
      <c r="G1370" s="2">
        <v>0</v>
      </c>
    </row>
    <row r="1371" spans="1:7" x14ac:dyDescent="0.3">
      <c r="A1371" t="str">
        <f t="shared" si="42"/>
        <v>SK</v>
      </c>
      <c r="B1371" t="str">
        <f t="shared" si="43"/>
        <v>P</v>
      </c>
      <c r="C1371" t="s">
        <v>1368</v>
      </c>
      <c r="D1371" s="2">
        <v>1.3737999999999999</v>
      </c>
      <c r="E1371" s="2">
        <v>1.8967000000000001</v>
      </c>
      <c r="F1371" s="2">
        <v>1.3734999999999999</v>
      </c>
      <c r="G1371" s="2">
        <v>1.4912000000000001</v>
      </c>
    </row>
    <row r="1372" spans="1:7" x14ac:dyDescent="0.3">
      <c r="A1372" t="str">
        <f t="shared" si="42"/>
        <v>SK</v>
      </c>
      <c r="B1372" t="str">
        <f t="shared" si="43"/>
        <v>P</v>
      </c>
      <c r="C1372" t="s">
        <v>1369</v>
      </c>
      <c r="D1372" s="2">
        <v>0</v>
      </c>
      <c r="E1372" s="2">
        <v>0</v>
      </c>
      <c r="F1372" s="2">
        <v>0</v>
      </c>
      <c r="G1372" s="2">
        <v>0</v>
      </c>
    </row>
    <row r="1373" spans="1:7" x14ac:dyDescent="0.3">
      <c r="A1373" t="str">
        <f t="shared" si="42"/>
        <v>SK</v>
      </c>
      <c r="B1373" t="str">
        <f t="shared" si="43"/>
        <v>P</v>
      </c>
      <c r="C1373" t="s">
        <v>1370</v>
      </c>
      <c r="D1373" s="2">
        <v>8.125</v>
      </c>
      <c r="E1373" s="2">
        <v>8.5204000000000004</v>
      </c>
      <c r="F1373" s="2">
        <v>6.2857000000000003</v>
      </c>
      <c r="G1373" s="2">
        <v>7.2073</v>
      </c>
    </row>
    <row r="1374" spans="1:7" x14ac:dyDescent="0.3">
      <c r="A1374" t="str">
        <f t="shared" si="42"/>
        <v>SK</v>
      </c>
      <c r="B1374" t="str">
        <f t="shared" si="43"/>
        <v>P</v>
      </c>
      <c r="C1374" t="s">
        <v>1371</v>
      </c>
      <c r="D1374" s="2">
        <v>0.50990000000000002</v>
      </c>
      <c r="E1374" s="2">
        <v>0.4587</v>
      </c>
      <c r="F1374" s="2">
        <v>0.62780000000000002</v>
      </c>
      <c r="G1374" s="2">
        <v>0.68369999999999997</v>
      </c>
    </row>
    <row r="1375" spans="1:7" x14ac:dyDescent="0.3">
      <c r="A1375" t="str">
        <f t="shared" si="42"/>
        <v>SK</v>
      </c>
      <c r="B1375" t="str">
        <f t="shared" si="43"/>
        <v>P</v>
      </c>
      <c r="C1375" t="s">
        <v>1372</v>
      </c>
      <c r="D1375" s="2">
        <v>1.1216999999999999</v>
      </c>
      <c r="E1375" s="2">
        <v>1.1303000000000001</v>
      </c>
      <c r="F1375" s="2">
        <v>1.1301000000000001</v>
      </c>
      <c r="G1375" s="2">
        <v>1.2402</v>
      </c>
    </row>
    <row r="1376" spans="1:7" x14ac:dyDescent="0.3">
      <c r="A1376" t="str">
        <f t="shared" si="42"/>
        <v>SK</v>
      </c>
      <c r="B1376" t="str">
        <f t="shared" si="43"/>
        <v>P</v>
      </c>
      <c r="C1376" t="s">
        <v>1373</v>
      </c>
      <c r="D1376" s="2">
        <v>0</v>
      </c>
      <c r="E1376" s="2">
        <v>0</v>
      </c>
      <c r="F1376" s="2">
        <v>0</v>
      </c>
      <c r="G1376" s="2">
        <v>0</v>
      </c>
    </row>
    <row r="1377" spans="1:7" x14ac:dyDescent="0.3">
      <c r="A1377" t="str">
        <f t="shared" si="42"/>
        <v>SK</v>
      </c>
      <c r="B1377" t="str">
        <f t="shared" si="43"/>
        <v>P</v>
      </c>
      <c r="C1377" t="s">
        <v>1374</v>
      </c>
      <c r="D1377" s="2">
        <v>0</v>
      </c>
      <c r="E1377" s="2">
        <v>0</v>
      </c>
      <c r="F1377" s="2">
        <v>0</v>
      </c>
      <c r="G1377" s="2">
        <v>0</v>
      </c>
    </row>
    <row r="1378" spans="1:7" x14ac:dyDescent="0.3">
      <c r="A1378" t="str">
        <f t="shared" si="42"/>
        <v>SK</v>
      </c>
      <c r="B1378" t="str">
        <f t="shared" si="43"/>
        <v>P</v>
      </c>
      <c r="C1378" t="s">
        <v>1375</v>
      </c>
      <c r="D1378" s="2">
        <v>0.91879999999999995</v>
      </c>
      <c r="E1378" s="2">
        <v>0.96619999999999995</v>
      </c>
      <c r="F1378" s="2">
        <v>0.92230000000000001</v>
      </c>
      <c r="G1378" s="2">
        <v>0.93740000000000001</v>
      </c>
    </row>
    <row r="1379" spans="1:7" x14ac:dyDescent="0.3">
      <c r="A1379" t="str">
        <f t="shared" si="42"/>
        <v>SK</v>
      </c>
      <c r="B1379" t="str">
        <f t="shared" si="43"/>
        <v>O</v>
      </c>
      <c r="C1379" t="s">
        <v>1376</v>
      </c>
      <c r="D1379" s="2">
        <v>0.43969999999999998</v>
      </c>
      <c r="E1379" s="2">
        <v>0.36549999999999999</v>
      </c>
      <c r="F1379" s="2">
        <v>0.254</v>
      </c>
      <c r="G1379" s="2">
        <v>0.25840000000000002</v>
      </c>
    </row>
    <row r="1380" spans="1:7" x14ac:dyDescent="0.3">
      <c r="A1380" t="str">
        <f t="shared" si="42"/>
        <v>SK</v>
      </c>
      <c r="B1380" t="str">
        <f t="shared" si="43"/>
        <v>O</v>
      </c>
      <c r="C1380" t="s">
        <v>1377</v>
      </c>
      <c r="D1380" s="2">
        <v>0.253</v>
      </c>
      <c r="E1380" s="2">
        <v>0.2397</v>
      </c>
      <c r="F1380" s="2">
        <v>0.23449999999999999</v>
      </c>
      <c r="G1380" s="2">
        <v>0.1132</v>
      </c>
    </row>
    <row r="1381" spans="1:7" x14ac:dyDescent="0.3">
      <c r="A1381" t="str">
        <f t="shared" si="42"/>
        <v>SK</v>
      </c>
      <c r="B1381" t="str">
        <f t="shared" si="43"/>
        <v>O</v>
      </c>
      <c r="C1381" t="s">
        <v>1378</v>
      </c>
      <c r="D1381" s="2">
        <v>0</v>
      </c>
      <c r="E1381" s="2">
        <v>0</v>
      </c>
      <c r="F1381" s="2">
        <v>0</v>
      </c>
      <c r="G1381" s="2">
        <v>0</v>
      </c>
    </row>
    <row r="1382" spans="1:7" x14ac:dyDescent="0.3">
      <c r="A1382" t="str">
        <f t="shared" si="42"/>
        <v>SK</v>
      </c>
      <c r="B1382" t="str">
        <f t="shared" si="43"/>
        <v>O</v>
      </c>
      <c r="C1382" t="s">
        <v>1379</v>
      </c>
      <c r="D1382" s="2">
        <v>8.7391000000000005</v>
      </c>
      <c r="E1382" s="2">
        <v>7.7367999999999997</v>
      </c>
      <c r="F1382" s="2">
        <v>7.9435000000000002</v>
      </c>
      <c r="G1382" s="2">
        <v>7.8884999999999996</v>
      </c>
    </row>
    <row r="1383" spans="1:7" x14ac:dyDescent="0.3">
      <c r="A1383" t="str">
        <f t="shared" si="42"/>
        <v>SK</v>
      </c>
      <c r="B1383" t="str">
        <f t="shared" si="43"/>
        <v>O</v>
      </c>
      <c r="C1383" t="s">
        <v>1380</v>
      </c>
      <c r="D1383" s="2">
        <v>0</v>
      </c>
      <c r="E1383" s="2">
        <v>0</v>
      </c>
      <c r="F1383" s="2">
        <v>0</v>
      </c>
      <c r="G1383" s="2">
        <v>0</v>
      </c>
    </row>
    <row r="1384" spans="1:7" x14ac:dyDescent="0.3">
      <c r="A1384" t="str">
        <f t="shared" si="42"/>
        <v>SK</v>
      </c>
      <c r="B1384" t="str">
        <f t="shared" si="43"/>
        <v>O</v>
      </c>
      <c r="C1384" t="s">
        <v>1381</v>
      </c>
      <c r="D1384" s="2">
        <v>0.90539999999999998</v>
      </c>
      <c r="E1384" s="2">
        <v>0.89400000000000002</v>
      </c>
      <c r="F1384" s="2">
        <v>0.76019999999999999</v>
      </c>
      <c r="G1384" s="2">
        <v>0.7258</v>
      </c>
    </row>
    <row r="1385" spans="1:7" x14ac:dyDescent="0.3">
      <c r="A1385" t="str">
        <f t="shared" si="42"/>
        <v>SK</v>
      </c>
      <c r="B1385" t="str">
        <f t="shared" si="43"/>
        <v>O</v>
      </c>
      <c r="C1385" t="s">
        <v>1382</v>
      </c>
      <c r="D1385" s="2">
        <v>8.4126999999999992</v>
      </c>
      <c r="E1385" s="2">
        <v>8.4916</v>
      </c>
      <c r="F1385" s="2">
        <v>7.1944999999999997</v>
      </c>
      <c r="G1385" s="2">
        <v>7.9238999999999997</v>
      </c>
    </row>
    <row r="1386" spans="1:7" x14ac:dyDescent="0.3">
      <c r="A1386" t="str">
        <f t="shared" si="42"/>
        <v>SK</v>
      </c>
      <c r="B1386" t="str">
        <f t="shared" si="43"/>
        <v>O</v>
      </c>
      <c r="C1386" t="s">
        <v>1383</v>
      </c>
      <c r="D1386" s="2">
        <v>6.4782000000000002</v>
      </c>
      <c r="E1386" s="2">
        <v>6.0072000000000001</v>
      </c>
      <c r="F1386" s="2">
        <v>5.1722999999999999</v>
      </c>
      <c r="G1386" s="2">
        <v>5.6192000000000002</v>
      </c>
    </row>
    <row r="1387" spans="1:7" x14ac:dyDescent="0.3">
      <c r="A1387" t="str">
        <f t="shared" si="42"/>
        <v>SK</v>
      </c>
      <c r="B1387" t="str">
        <f t="shared" si="43"/>
        <v>O</v>
      </c>
      <c r="C1387" t="s">
        <v>1384</v>
      </c>
      <c r="D1387" s="2">
        <v>0</v>
      </c>
      <c r="E1387" s="2">
        <v>0</v>
      </c>
      <c r="F1387" s="2">
        <v>0</v>
      </c>
      <c r="G1387" s="2">
        <v>0</v>
      </c>
    </row>
    <row r="1388" spans="1:7" x14ac:dyDescent="0.3">
      <c r="A1388" t="str">
        <f t="shared" si="42"/>
        <v>SK</v>
      </c>
      <c r="B1388" t="str">
        <f t="shared" si="43"/>
        <v>O</v>
      </c>
      <c r="C1388" t="s">
        <v>1385</v>
      </c>
      <c r="D1388" s="2">
        <v>0</v>
      </c>
      <c r="E1388" s="2">
        <v>0</v>
      </c>
      <c r="F1388" s="2">
        <v>0</v>
      </c>
      <c r="G1388" s="2">
        <v>0</v>
      </c>
    </row>
    <row r="1389" spans="1:7" x14ac:dyDescent="0.3">
      <c r="A1389" t="str">
        <f t="shared" si="42"/>
        <v>SK</v>
      </c>
      <c r="B1389" t="str">
        <f t="shared" si="43"/>
        <v>O</v>
      </c>
      <c r="C1389" t="s">
        <v>1386</v>
      </c>
      <c r="D1389" s="2">
        <v>0.36009999999999998</v>
      </c>
      <c r="E1389" s="2">
        <v>0.52839999999999998</v>
      </c>
      <c r="F1389" s="2">
        <v>0.47599999999999998</v>
      </c>
      <c r="G1389" s="2">
        <v>0.5343</v>
      </c>
    </row>
  </sheetData>
  <autoFilter ref="A3:G138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D793-EA21-414D-BD0D-A46FE876DB98}">
  <sheetPr>
    <tabColor theme="9"/>
  </sheetPr>
  <dimension ref="A1:AR129"/>
  <sheetViews>
    <sheetView topLeftCell="C1" workbookViewId="0">
      <selection activeCell="C1" sqref="C1"/>
    </sheetView>
  </sheetViews>
  <sheetFormatPr defaultRowHeight="14.4" x14ac:dyDescent="0.3"/>
  <cols>
    <col min="3" max="3" width="14.88671875" bestFit="1" customWidth="1"/>
    <col min="4" max="4" width="14.88671875" customWidth="1"/>
  </cols>
  <sheetData>
    <row r="1" spans="1:44" x14ac:dyDescent="0.3">
      <c r="A1" s="8" t="s">
        <v>1389</v>
      </c>
      <c r="B1" s="9"/>
      <c r="C1" s="9"/>
      <c r="D1" s="9"/>
    </row>
    <row r="2" spans="1:44" x14ac:dyDescent="0.3">
      <c r="E2" s="9"/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I2">
        <v>32</v>
      </c>
      <c r="AJ2">
        <v>33</v>
      </c>
      <c r="AK2">
        <v>34</v>
      </c>
      <c r="AL2">
        <v>35</v>
      </c>
      <c r="AM2">
        <v>36</v>
      </c>
      <c r="AN2">
        <v>37</v>
      </c>
      <c r="AO2">
        <v>38</v>
      </c>
      <c r="AP2">
        <v>39</v>
      </c>
      <c r="AQ2">
        <v>40</v>
      </c>
      <c r="AR2">
        <v>41</v>
      </c>
    </row>
    <row r="3" spans="1:44" x14ac:dyDescent="0.3">
      <c r="A3" s="3" t="s">
        <v>1387</v>
      </c>
      <c r="B3" s="3" t="s">
        <v>1388</v>
      </c>
      <c r="C3" s="1" t="s">
        <v>0</v>
      </c>
      <c r="D3" s="1" t="s">
        <v>1432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 s="1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  <c r="AI3" s="1">
        <v>2051</v>
      </c>
      <c r="AJ3" s="1">
        <v>2052</v>
      </c>
      <c r="AK3" s="1">
        <v>2053</v>
      </c>
      <c r="AL3" s="1">
        <v>2054</v>
      </c>
      <c r="AM3" s="1">
        <v>2055</v>
      </c>
      <c r="AN3" s="1">
        <v>2056</v>
      </c>
      <c r="AO3" s="1">
        <v>2057</v>
      </c>
      <c r="AP3" s="1">
        <v>2058</v>
      </c>
      <c r="AQ3" s="1">
        <v>2059</v>
      </c>
      <c r="AR3" s="1">
        <v>2060</v>
      </c>
    </row>
    <row r="4" spans="1:44" x14ac:dyDescent="0.3">
      <c r="A4" t="s">
        <v>1405</v>
      </c>
      <c r="B4" t="s">
        <v>1406</v>
      </c>
      <c r="C4" t="s">
        <v>393</v>
      </c>
      <c r="D4" t="str">
        <f t="shared" ref="D4:D35" si="0">A4&amp;"IME"&amp;B4</f>
        <v>EEIMEW</v>
      </c>
      <c r="E4" s="2">
        <v>0.60570000000000002</v>
      </c>
      <c r="F4" s="7">
        <f>E4*VLOOKUP($A4,'EU Ref Sc 2020 Other industries'!$A$5:$AE$33,F$2)</f>
        <v>0.63107760782899602</v>
      </c>
      <c r="G4" s="7">
        <f>F4*VLOOKUP($A4,'EU Ref Sc 2020 Other industries'!$A$5:$AE$33,G$2)</f>
        <v>0.65645521565799203</v>
      </c>
      <c r="H4" s="7">
        <f>G4*VLOOKUP($A4,'EU Ref Sc 2020 Other industries'!$A$5:$AE$33,H$2)</f>
        <v>0.68183282348698815</v>
      </c>
      <c r="I4" s="7">
        <f>H4*VLOOKUP($A4,'EU Ref Sc 2020 Other industries'!$A$5:$AE$33,I$2)</f>
        <v>0.70721043131598438</v>
      </c>
      <c r="J4" s="7">
        <f>I4*VLOOKUP($A4,'EU Ref Sc 2020 Other industries'!$A$5:$AE$33,J$2)</f>
        <v>0.73242382982117549</v>
      </c>
      <c r="K4" s="7">
        <f>J4*VLOOKUP($A4,'EU Ref Sc 2020 Other industries'!$A$5:$AE$33,K$2)</f>
        <v>0.7576372283263666</v>
      </c>
      <c r="L4" s="7">
        <f>K4*VLOOKUP($A4,'EU Ref Sc 2020 Other industries'!$A$5:$AE$33,L$2)</f>
        <v>0.78285062683155771</v>
      </c>
      <c r="M4" s="7">
        <f>L4*VLOOKUP($A4,'EU Ref Sc 2020 Other industries'!$A$5:$AE$33,M$2)</f>
        <v>0.80806402533674881</v>
      </c>
      <c r="N4" s="7">
        <f>M4*VLOOKUP($A4,'EU Ref Sc 2020 Other industries'!$A$5:$AE$33,N$2)</f>
        <v>0.83327742384194015</v>
      </c>
      <c r="O4" s="7">
        <f>N4*VLOOKUP($A4,'EU Ref Sc 2020 Other industries'!$A$5:$AE$33,O$2)</f>
        <v>0.83387006553158871</v>
      </c>
      <c r="P4" s="7">
        <f>O4*VLOOKUP($A4,'EU Ref Sc 2020 Other industries'!$A$5:$AE$33,P$2)</f>
        <v>0.83446270722123717</v>
      </c>
      <c r="Q4" s="7">
        <f>P4*VLOOKUP($A4,'EU Ref Sc 2020 Other industries'!$A$5:$AE$33,Q$2)</f>
        <v>0.83505534891088573</v>
      </c>
      <c r="R4" s="7">
        <f>Q4*VLOOKUP($A4,'EU Ref Sc 2020 Other industries'!$A$5:$AE$33,R$2)</f>
        <v>0.8356479906005343</v>
      </c>
      <c r="S4" s="7">
        <f>R4*VLOOKUP($A4,'EU Ref Sc 2020 Other industries'!$A$5:$AE$33,S$2)</f>
        <v>0.83624063229018275</v>
      </c>
      <c r="T4" s="7">
        <f>S4*VLOOKUP($A4,'EU Ref Sc 2020 Other industries'!$A$5:$AE$33,T$2)</f>
        <v>0.83245653671665498</v>
      </c>
      <c r="U4" s="7">
        <f>T4*VLOOKUP($A4,'EU Ref Sc 2020 Other industries'!$A$5:$AE$33,U$2)</f>
        <v>0.82867244114312721</v>
      </c>
      <c r="V4" s="7">
        <f>U4*VLOOKUP($A4,'EU Ref Sc 2020 Other industries'!$A$5:$AE$33,V$2)</f>
        <v>0.82488834556959945</v>
      </c>
      <c r="W4" s="7">
        <f>V4*VLOOKUP($A4,'EU Ref Sc 2020 Other industries'!$A$5:$AE$33,W$2)</f>
        <v>0.82110424999607168</v>
      </c>
      <c r="X4" s="7">
        <f>W4*VLOOKUP($A4,'EU Ref Sc 2020 Other industries'!$A$5:$AE$33,X$2)</f>
        <v>0.81732015442254413</v>
      </c>
      <c r="Y4" s="7">
        <f>X4*VLOOKUP($A4,'EU Ref Sc 2020 Other industries'!$A$5:$AE$33,Y$2)</f>
        <v>0.81734339728882899</v>
      </c>
      <c r="Z4" s="7">
        <f>Y4*VLOOKUP($A4,'EU Ref Sc 2020 Other industries'!$A$5:$AE$33,Z$2)</f>
        <v>0.81736664015511373</v>
      </c>
      <c r="AA4" s="7">
        <f>Z4*VLOOKUP($A4,'EU Ref Sc 2020 Other industries'!$A$5:$AE$33,AA$2)</f>
        <v>0.81738988302139848</v>
      </c>
      <c r="AB4" s="7">
        <f>AA4*VLOOKUP($A4,'EU Ref Sc 2020 Other industries'!$A$5:$AE$33,AB$2)</f>
        <v>0.81741312588768333</v>
      </c>
      <c r="AC4" s="7">
        <f>AB4*VLOOKUP($A4,'EU Ref Sc 2020 Other industries'!$A$5:$AE$33,AC$2)</f>
        <v>0.8174363687539683</v>
      </c>
      <c r="AD4" s="7">
        <f>AC4*VLOOKUP($A4,'EU Ref Sc 2020 Other industries'!$A$5:$AE$33,AD$2)</f>
        <v>0.81559856261905694</v>
      </c>
      <c r="AE4" s="7">
        <f>AD4*VLOOKUP($A4,'EU Ref Sc 2020 Other industries'!$A$5:$AE$33,AE$2)</f>
        <v>0.81376075648414559</v>
      </c>
      <c r="AF4" s="7">
        <f>AE4*VLOOKUP($A4,'EU Ref Sc 2020 Other industries'!$A$5:$AE$33,AF$2)</f>
        <v>0.81192295034923423</v>
      </c>
      <c r="AG4" s="7">
        <f>AF4*VLOOKUP($A4,'EU Ref Sc 2020 Other industries'!$A$5:$AE$33,AG$2)</f>
        <v>0.81008514421432287</v>
      </c>
      <c r="AH4" s="7">
        <f>AG4*VLOOKUP($A4,'EU Ref Sc 2020 Other industries'!$A$5:$AE$33,AH$2)</f>
        <v>0.80824733807941129</v>
      </c>
      <c r="AI4" s="13">
        <f>AH4</f>
        <v>0.80824733807941129</v>
      </c>
      <c r="AJ4" s="13">
        <f t="shared" ref="AJ4:AR4" si="1">AI4</f>
        <v>0.80824733807941129</v>
      </c>
      <c r="AK4" s="13">
        <f t="shared" si="1"/>
        <v>0.80824733807941129</v>
      </c>
      <c r="AL4" s="13">
        <f t="shared" si="1"/>
        <v>0.80824733807941129</v>
      </c>
      <c r="AM4" s="13">
        <f t="shared" si="1"/>
        <v>0.80824733807941129</v>
      </c>
      <c r="AN4" s="13">
        <f t="shared" si="1"/>
        <v>0.80824733807941129</v>
      </c>
      <c r="AO4" s="13">
        <f t="shared" si="1"/>
        <v>0.80824733807941129</v>
      </c>
      <c r="AP4" s="13">
        <f t="shared" si="1"/>
        <v>0.80824733807941129</v>
      </c>
      <c r="AQ4" s="13">
        <f t="shared" si="1"/>
        <v>0.80824733807941129</v>
      </c>
      <c r="AR4" s="13">
        <f t="shared" si="1"/>
        <v>0.80824733807941129</v>
      </c>
    </row>
    <row r="5" spans="1:44" x14ac:dyDescent="0.3">
      <c r="A5" t="s">
        <v>1409</v>
      </c>
      <c r="B5" t="s">
        <v>1406</v>
      </c>
      <c r="C5" t="s">
        <v>558</v>
      </c>
      <c r="D5" t="str">
        <f t="shared" si="0"/>
        <v>FIIMEW</v>
      </c>
      <c r="E5" s="2">
        <v>2.2303999999999999</v>
      </c>
      <c r="F5" s="7">
        <f>E5*VLOOKUP($A5,'EU Ref Sc 2020 Other industries'!$A$5:$AE$33,F$2)</f>
        <v>2.3238492595373827</v>
      </c>
      <c r="G5" s="7">
        <f>F5*VLOOKUP($A5,'EU Ref Sc 2020 Other industries'!$A$5:$AE$33,G$2)</f>
        <v>2.4172985190747656</v>
      </c>
      <c r="H5" s="7">
        <f>G5*VLOOKUP($A5,'EU Ref Sc 2020 Other industries'!$A$5:$AE$33,H$2)</f>
        <v>2.5107477786121484</v>
      </c>
      <c r="I5" s="7">
        <f>H5*VLOOKUP($A5,'EU Ref Sc 2020 Other industries'!$A$5:$AE$33,I$2)</f>
        <v>2.6041970381495321</v>
      </c>
      <c r="J5" s="7">
        <f>I5*VLOOKUP($A5,'EU Ref Sc 2020 Other industries'!$A$5:$AE$33,J$2)</f>
        <v>2.6970416213193822</v>
      </c>
      <c r="K5" s="7">
        <f>J5*VLOOKUP($A5,'EU Ref Sc 2020 Other industries'!$A$5:$AE$33,K$2)</f>
        <v>2.7898862044892323</v>
      </c>
      <c r="L5" s="7">
        <f>K5*VLOOKUP($A5,'EU Ref Sc 2020 Other industries'!$A$5:$AE$33,L$2)</f>
        <v>2.8827307876590829</v>
      </c>
      <c r="M5" s="7">
        <f>L5*VLOOKUP($A5,'EU Ref Sc 2020 Other industries'!$A$5:$AE$33,M$2)</f>
        <v>2.975575370828933</v>
      </c>
      <c r="N5" s="7">
        <f>M5*VLOOKUP($A5,'EU Ref Sc 2020 Other industries'!$A$5:$AE$33,N$2)</f>
        <v>3.068419953998784</v>
      </c>
      <c r="O5" s="7">
        <f>N5*VLOOKUP($A5,'EU Ref Sc 2020 Other industries'!$A$5:$AE$33,O$2)</f>
        <v>3.0706022687166179</v>
      </c>
      <c r="P5" s="7">
        <f>O5*VLOOKUP($A5,'EU Ref Sc 2020 Other industries'!$A$5:$AE$33,P$2)</f>
        <v>3.0727845834344518</v>
      </c>
      <c r="Q5" s="7">
        <f>P5*VLOOKUP($A5,'EU Ref Sc 2020 Other industries'!$A$5:$AE$33,Q$2)</f>
        <v>3.0749668981522862</v>
      </c>
      <c r="R5" s="7">
        <f>Q5*VLOOKUP($A5,'EU Ref Sc 2020 Other industries'!$A$5:$AE$33,R$2)</f>
        <v>3.0771492128701201</v>
      </c>
      <c r="S5" s="7">
        <f>R5*VLOOKUP($A5,'EU Ref Sc 2020 Other industries'!$A$5:$AE$33,S$2)</f>
        <v>3.079331527587954</v>
      </c>
      <c r="T5" s="7">
        <f>S5*VLOOKUP($A5,'EU Ref Sc 2020 Other industries'!$A$5:$AE$33,T$2)</f>
        <v>3.065397159473052</v>
      </c>
      <c r="U5" s="7">
        <f>T5*VLOOKUP($A5,'EU Ref Sc 2020 Other industries'!$A$5:$AE$33,U$2)</f>
        <v>3.0514627913581496</v>
      </c>
      <c r="V5" s="7">
        <f>U5*VLOOKUP($A5,'EU Ref Sc 2020 Other industries'!$A$5:$AE$33,V$2)</f>
        <v>3.0375284232432471</v>
      </c>
      <c r="W5" s="7">
        <f>V5*VLOOKUP($A5,'EU Ref Sc 2020 Other industries'!$A$5:$AE$33,W$2)</f>
        <v>3.0235940551283447</v>
      </c>
      <c r="X5" s="7">
        <f>W5*VLOOKUP($A5,'EU Ref Sc 2020 Other industries'!$A$5:$AE$33,X$2)</f>
        <v>3.0096596870134431</v>
      </c>
      <c r="Y5" s="7">
        <f>X5*VLOOKUP($A5,'EU Ref Sc 2020 Other industries'!$A$5:$AE$33,Y$2)</f>
        <v>3.0097452754053231</v>
      </c>
      <c r="Z5" s="7">
        <f>Y5*VLOOKUP($A5,'EU Ref Sc 2020 Other industries'!$A$5:$AE$33,Z$2)</f>
        <v>3.0098308637972027</v>
      </c>
      <c r="AA5" s="7">
        <f>Z5*VLOOKUP($A5,'EU Ref Sc 2020 Other industries'!$A$5:$AE$33,AA$2)</f>
        <v>3.0099164521890827</v>
      </c>
      <c r="AB5" s="7">
        <f>AA5*VLOOKUP($A5,'EU Ref Sc 2020 Other industries'!$A$5:$AE$33,AB$2)</f>
        <v>3.0100020405809627</v>
      </c>
      <c r="AC5" s="7">
        <f>AB5*VLOOKUP($A5,'EU Ref Sc 2020 Other industries'!$A$5:$AE$33,AC$2)</f>
        <v>3.0100876289728431</v>
      </c>
      <c r="AD5" s="7">
        <f>AC5*VLOOKUP($A5,'EU Ref Sc 2020 Other industries'!$A$5:$AE$33,AD$2)</f>
        <v>3.00332018171627</v>
      </c>
      <c r="AE5" s="7">
        <f>AD5*VLOOKUP($A5,'EU Ref Sc 2020 Other industries'!$A$5:$AE$33,AE$2)</f>
        <v>2.9965527344596969</v>
      </c>
      <c r="AF5" s="7">
        <f>AE5*VLOOKUP($A5,'EU Ref Sc 2020 Other industries'!$A$5:$AE$33,AF$2)</f>
        <v>2.9897852872031239</v>
      </c>
      <c r="AG5" s="7">
        <f>AF5*VLOOKUP($A5,'EU Ref Sc 2020 Other industries'!$A$5:$AE$33,AG$2)</f>
        <v>2.9830178399465508</v>
      </c>
      <c r="AH5" s="7">
        <f>AG5*VLOOKUP($A5,'EU Ref Sc 2020 Other industries'!$A$5:$AE$33,AH$2)</f>
        <v>2.9762503926899768</v>
      </c>
      <c r="AI5" s="13">
        <f t="shared" ref="AI5:AR5" si="2">AH5</f>
        <v>2.9762503926899768</v>
      </c>
      <c r="AJ5" s="13">
        <f t="shared" si="2"/>
        <v>2.9762503926899768</v>
      </c>
      <c r="AK5" s="13">
        <f t="shared" si="2"/>
        <v>2.9762503926899768</v>
      </c>
      <c r="AL5" s="13">
        <f t="shared" si="2"/>
        <v>2.9762503926899768</v>
      </c>
      <c r="AM5" s="13">
        <f t="shared" si="2"/>
        <v>2.9762503926899768</v>
      </c>
      <c r="AN5" s="13">
        <f t="shared" si="2"/>
        <v>2.9762503926899768</v>
      </c>
      <c r="AO5" s="13">
        <f t="shared" si="2"/>
        <v>2.9762503926899768</v>
      </c>
      <c r="AP5" s="13">
        <f t="shared" si="2"/>
        <v>2.9762503926899768</v>
      </c>
      <c r="AQ5" s="13">
        <f t="shared" si="2"/>
        <v>2.9762503926899768</v>
      </c>
      <c r="AR5" s="13">
        <f t="shared" si="2"/>
        <v>2.9762503926899768</v>
      </c>
    </row>
    <row r="6" spans="1:44" x14ac:dyDescent="0.3">
      <c r="A6" t="s">
        <v>1415</v>
      </c>
      <c r="B6" t="s">
        <v>1406</v>
      </c>
      <c r="C6" t="s">
        <v>866</v>
      </c>
      <c r="D6" t="str">
        <f t="shared" si="0"/>
        <v>LTIMEW</v>
      </c>
      <c r="E6" s="2">
        <v>0.52669999999999995</v>
      </c>
      <c r="F6" s="7">
        <f>E6*VLOOKUP($A6,'EU Ref Sc 2020 Other industries'!$A$5:$AE$33,F$2)</f>
        <v>0.54002850795934898</v>
      </c>
      <c r="G6" s="7">
        <f>F6*VLOOKUP($A6,'EU Ref Sc 2020 Other industries'!$A$5:$AE$33,G$2)</f>
        <v>0.55335701591869801</v>
      </c>
      <c r="H6" s="7">
        <f>G6*VLOOKUP($A6,'EU Ref Sc 2020 Other industries'!$A$5:$AE$33,H$2)</f>
        <v>0.56668552387804705</v>
      </c>
      <c r="I6" s="7">
        <f>H6*VLOOKUP($A6,'EU Ref Sc 2020 Other industries'!$A$5:$AE$33,I$2)</f>
        <v>0.5800140318373963</v>
      </c>
      <c r="J6" s="7">
        <f>I6*VLOOKUP($A6,'EU Ref Sc 2020 Other industries'!$A$5:$AE$33,J$2)</f>
        <v>0.57950225644178255</v>
      </c>
      <c r="K6" s="7">
        <f>J6*VLOOKUP($A6,'EU Ref Sc 2020 Other industries'!$A$5:$AE$33,K$2)</f>
        <v>0.57899048104616868</v>
      </c>
      <c r="L6" s="7">
        <f>K6*VLOOKUP($A6,'EU Ref Sc 2020 Other industries'!$A$5:$AE$33,L$2)</f>
        <v>0.57847870565055481</v>
      </c>
      <c r="M6" s="7">
        <f>L6*VLOOKUP($A6,'EU Ref Sc 2020 Other industries'!$A$5:$AE$33,M$2)</f>
        <v>0.57796693025494106</v>
      </c>
      <c r="N6" s="7">
        <f>M6*VLOOKUP($A6,'EU Ref Sc 2020 Other industries'!$A$5:$AE$33,N$2)</f>
        <v>0.5774551548593273</v>
      </c>
      <c r="O6" s="7">
        <f>N6*VLOOKUP($A6,'EU Ref Sc 2020 Other industries'!$A$5:$AE$33,O$2)</f>
        <v>0.56945991936372853</v>
      </c>
      <c r="P6" s="7">
        <f>O6*VLOOKUP($A6,'EU Ref Sc 2020 Other industries'!$A$5:$AE$33,P$2)</f>
        <v>0.56146468386812975</v>
      </c>
      <c r="Q6" s="7">
        <f>P6*VLOOKUP($A6,'EU Ref Sc 2020 Other industries'!$A$5:$AE$33,Q$2)</f>
        <v>0.55346944837253098</v>
      </c>
      <c r="R6" s="7">
        <f>Q6*VLOOKUP($A6,'EU Ref Sc 2020 Other industries'!$A$5:$AE$33,R$2)</f>
        <v>0.54547421287693221</v>
      </c>
      <c r="S6" s="7">
        <f>R6*VLOOKUP($A6,'EU Ref Sc 2020 Other industries'!$A$5:$AE$33,S$2)</f>
        <v>0.53747897738133343</v>
      </c>
      <c r="T6" s="7">
        <f>S6*VLOOKUP($A6,'EU Ref Sc 2020 Other industries'!$A$5:$AE$33,T$2)</f>
        <v>0.53847421924273597</v>
      </c>
      <c r="U6" s="7">
        <f>T6*VLOOKUP($A6,'EU Ref Sc 2020 Other industries'!$A$5:$AE$33,U$2)</f>
        <v>0.5394694611041384</v>
      </c>
      <c r="V6" s="7">
        <f>U6*VLOOKUP($A6,'EU Ref Sc 2020 Other industries'!$A$5:$AE$33,V$2)</f>
        <v>0.54046470296554083</v>
      </c>
      <c r="W6" s="7">
        <f>V6*VLOOKUP($A6,'EU Ref Sc 2020 Other industries'!$A$5:$AE$33,W$2)</f>
        <v>0.54145994482694326</v>
      </c>
      <c r="X6" s="7">
        <f>W6*VLOOKUP($A6,'EU Ref Sc 2020 Other industries'!$A$5:$AE$33,X$2)</f>
        <v>0.5424551866883458</v>
      </c>
      <c r="Y6" s="7">
        <f>X6*VLOOKUP($A6,'EU Ref Sc 2020 Other industries'!$A$5:$AE$33,Y$2)</f>
        <v>0.55093048203927997</v>
      </c>
      <c r="Z6" s="7">
        <f>Y6*VLOOKUP($A6,'EU Ref Sc 2020 Other industries'!$A$5:$AE$33,Z$2)</f>
        <v>0.55940577739021413</v>
      </c>
      <c r="AA6" s="7">
        <f>Z6*VLOOKUP($A6,'EU Ref Sc 2020 Other industries'!$A$5:$AE$33,AA$2)</f>
        <v>0.56788107274114819</v>
      </c>
      <c r="AB6" s="7">
        <f>AA6*VLOOKUP($A6,'EU Ref Sc 2020 Other industries'!$A$5:$AE$33,AB$2)</f>
        <v>0.57635636809208235</v>
      </c>
      <c r="AC6" s="7">
        <f>AB6*VLOOKUP($A6,'EU Ref Sc 2020 Other industries'!$A$5:$AE$33,AC$2)</f>
        <v>0.58483166344301662</v>
      </c>
      <c r="AD6" s="7">
        <f>AC6*VLOOKUP($A6,'EU Ref Sc 2020 Other industries'!$A$5:$AE$33,AD$2)</f>
        <v>0.58581339996429838</v>
      </c>
      <c r="AE6" s="7">
        <f>AD6*VLOOKUP($A6,'EU Ref Sc 2020 Other industries'!$A$5:$AE$33,AE$2)</f>
        <v>0.58679513648558024</v>
      </c>
      <c r="AF6" s="7">
        <f>AE6*VLOOKUP($A6,'EU Ref Sc 2020 Other industries'!$A$5:$AE$33,AF$2)</f>
        <v>0.5877768730068621</v>
      </c>
      <c r="AG6" s="7">
        <f>AF6*VLOOKUP($A6,'EU Ref Sc 2020 Other industries'!$A$5:$AE$33,AG$2)</f>
        <v>0.58875860952814385</v>
      </c>
      <c r="AH6" s="7">
        <f>AG6*VLOOKUP($A6,'EU Ref Sc 2020 Other industries'!$A$5:$AE$33,AH$2)</f>
        <v>0.58974034604942571</v>
      </c>
      <c r="AI6" s="13">
        <f t="shared" ref="AI6:AR6" si="3">AH6</f>
        <v>0.58974034604942571</v>
      </c>
      <c r="AJ6" s="13">
        <f t="shared" si="3"/>
        <v>0.58974034604942571</v>
      </c>
      <c r="AK6" s="13">
        <f t="shared" si="3"/>
        <v>0.58974034604942571</v>
      </c>
      <c r="AL6" s="13">
        <f t="shared" si="3"/>
        <v>0.58974034604942571</v>
      </c>
      <c r="AM6" s="13">
        <f t="shared" si="3"/>
        <v>0.58974034604942571</v>
      </c>
      <c r="AN6" s="13">
        <f t="shared" si="3"/>
        <v>0.58974034604942571</v>
      </c>
      <c r="AO6" s="13">
        <f t="shared" si="3"/>
        <v>0.58974034604942571</v>
      </c>
      <c r="AP6" s="13">
        <f t="shared" si="3"/>
        <v>0.58974034604942571</v>
      </c>
      <c r="AQ6" s="13">
        <f t="shared" si="3"/>
        <v>0.58974034604942571</v>
      </c>
      <c r="AR6" s="13">
        <f t="shared" si="3"/>
        <v>0.58974034604942571</v>
      </c>
    </row>
    <row r="7" spans="1:44" x14ac:dyDescent="0.3">
      <c r="A7" t="s">
        <v>1417</v>
      </c>
      <c r="B7" t="s">
        <v>1406</v>
      </c>
      <c r="C7" t="s">
        <v>954</v>
      </c>
      <c r="D7" t="str">
        <f t="shared" si="0"/>
        <v>LVIMEW</v>
      </c>
      <c r="E7" s="2">
        <v>1.2844</v>
      </c>
      <c r="F7" s="7">
        <f>E7*VLOOKUP($A7,'EU Ref Sc 2020 Other industries'!$A$5:$AE$33,F$2)</f>
        <v>1.3014488031078162</v>
      </c>
      <c r="G7" s="7">
        <f>F7*VLOOKUP($A7,'EU Ref Sc 2020 Other industries'!$A$5:$AE$33,G$2)</f>
        <v>1.3184976062156322</v>
      </c>
      <c r="H7" s="7">
        <f>G7*VLOOKUP($A7,'EU Ref Sc 2020 Other industries'!$A$5:$AE$33,H$2)</f>
        <v>1.3355464093234484</v>
      </c>
      <c r="I7" s="7">
        <f>H7*VLOOKUP($A7,'EU Ref Sc 2020 Other industries'!$A$5:$AE$33,I$2)</f>
        <v>1.3525952124312641</v>
      </c>
      <c r="J7" s="7">
        <f>I7*VLOOKUP($A7,'EU Ref Sc 2020 Other industries'!$A$5:$AE$33,J$2)</f>
        <v>1.3534645409118415</v>
      </c>
      <c r="K7" s="7">
        <f>J7*VLOOKUP($A7,'EU Ref Sc 2020 Other industries'!$A$5:$AE$33,K$2)</f>
        <v>1.3543338693924187</v>
      </c>
      <c r="L7" s="7">
        <f>K7*VLOOKUP($A7,'EU Ref Sc 2020 Other industries'!$A$5:$AE$33,L$2)</f>
        <v>1.3552031978729959</v>
      </c>
      <c r="M7" s="7">
        <f>L7*VLOOKUP($A7,'EU Ref Sc 2020 Other industries'!$A$5:$AE$33,M$2)</f>
        <v>1.3560725263535731</v>
      </c>
      <c r="N7" s="7">
        <f>M7*VLOOKUP($A7,'EU Ref Sc 2020 Other industries'!$A$5:$AE$33,N$2)</f>
        <v>1.3569418548341499</v>
      </c>
      <c r="O7" s="7">
        <f>N7*VLOOKUP($A7,'EU Ref Sc 2020 Other industries'!$A$5:$AE$33,O$2)</f>
        <v>1.3592040069460682</v>
      </c>
      <c r="P7" s="7">
        <f>O7*VLOOKUP($A7,'EU Ref Sc 2020 Other industries'!$A$5:$AE$33,P$2)</f>
        <v>1.3614661590579866</v>
      </c>
      <c r="Q7" s="7">
        <f>P7*VLOOKUP($A7,'EU Ref Sc 2020 Other industries'!$A$5:$AE$33,Q$2)</f>
        <v>1.3637283111699048</v>
      </c>
      <c r="R7" s="7">
        <f>Q7*VLOOKUP($A7,'EU Ref Sc 2020 Other industries'!$A$5:$AE$33,R$2)</f>
        <v>1.3659904632818229</v>
      </c>
      <c r="S7" s="7">
        <f>R7*VLOOKUP($A7,'EU Ref Sc 2020 Other industries'!$A$5:$AE$33,S$2)</f>
        <v>1.3682526153937418</v>
      </c>
      <c r="T7" s="7">
        <f>S7*VLOOKUP($A7,'EU Ref Sc 2020 Other industries'!$A$5:$AE$33,T$2)</f>
        <v>1.3504717517520828</v>
      </c>
      <c r="U7" s="7">
        <f>T7*VLOOKUP($A7,'EU Ref Sc 2020 Other industries'!$A$5:$AE$33,U$2)</f>
        <v>1.3326908881104238</v>
      </c>
      <c r="V7" s="7">
        <f>U7*VLOOKUP($A7,'EU Ref Sc 2020 Other industries'!$A$5:$AE$33,V$2)</f>
        <v>1.3149100244687648</v>
      </c>
      <c r="W7" s="7">
        <f>V7*VLOOKUP($A7,'EU Ref Sc 2020 Other industries'!$A$5:$AE$33,W$2)</f>
        <v>1.2971291608271058</v>
      </c>
      <c r="X7" s="7">
        <f>W7*VLOOKUP($A7,'EU Ref Sc 2020 Other industries'!$A$5:$AE$33,X$2)</f>
        <v>1.2793482971854468</v>
      </c>
      <c r="Y7" s="7">
        <f>X7*VLOOKUP($A7,'EU Ref Sc 2020 Other industries'!$A$5:$AE$33,Y$2)</f>
        <v>1.2643589954918273</v>
      </c>
      <c r="Z7" s="7">
        <f>Y7*VLOOKUP($A7,'EU Ref Sc 2020 Other industries'!$A$5:$AE$33,Z$2)</f>
        <v>1.2493696937982077</v>
      </c>
      <c r="AA7" s="7">
        <f>Z7*VLOOKUP($A7,'EU Ref Sc 2020 Other industries'!$A$5:$AE$33,AA$2)</f>
        <v>1.2343803921045884</v>
      </c>
      <c r="AB7" s="7">
        <f>AA7*VLOOKUP($A7,'EU Ref Sc 2020 Other industries'!$A$5:$AE$33,AB$2)</f>
        <v>1.2193910904109688</v>
      </c>
      <c r="AC7" s="7">
        <f>AB7*VLOOKUP($A7,'EU Ref Sc 2020 Other industries'!$A$5:$AE$33,AC$2)</f>
        <v>1.2044017887173497</v>
      </c>
      <c r="AD7" s="7">
        <f>AC7*VLOOKUP($A7,'EU Ref Sc 2020 Other industries'!$A$5:$AE$33,AD$2)</f>
        <v>1.1917229944013952</v>
      </c>
      <c r="AE7" s="7">
        <f>AD7*VLOOKUP($A7,'EU Ref Sc 2020 Other industries'!$A$5:$AE$33,AE$2)</f>
        <v>1.1790442000854406</v>
      </c>
      <c r="AF7" s="7">
        <f>AE7*VLOOKUP($A7,'EU Ref Sc 2020 Other industries'!$A$5:$AE$33,AF$2)</f>
        <v>1.1663654057694861</v>
      </c>
      <c r="AG7" s="7">
        <f>AF7*VLOOKUP($A7,'EU Ref Sc 2020 Other industries'!$A$5:$AE$33,AG$2)</f>
        <v>1.1536866114535316</v>
      </c>
      <c r="AH7" s="7">
        <f>AG7*VLOOKUP($A7,'EU Ref Sc 2020 Other industries'!$A$5:$AE$33,AH$2)</f>
        <v>1.1410078171375768</v>
      </c>
      <c r="AI7" s="13">
        <f t="shared" ref="AI7:AR7" si="4">AH7</f>
        <v>1.1410078171375768</v>
      </c>
      <c r="AJ7" s="13">
        <f t="shared" si="4"/>
        <v>1.1410078171375768</v>
      </c>
      <c r="AK7" s="13">
        <f t="shared" si="4"/>
        <v>1.1410078171375768</v>
      </c>
      <c r="AL7" s="13">
        <f t="shared" si="4"/>
        <v>1.1410078171375768</v>
      </c>
      <c r="AM7" s="13">
        <f t="shared" si="4"/>
        <v>1.1410078171375768</v>
      </c>
      <c r="AN7" s="13">
        <f t="shared" si="4"/>
        <v>1.1410078171375768</v>
      </c>
      <c r="AO7" s="13">
        <f t="shared" si="4"/>
        <v>1.1410078171375768</v>
      </c>
      <c r="AP7" s="13">
        <f t="shared" si="4"/>
        <v>1.1410078171375768</v>
      </c>
      <c r="AQ7" s="13">
        <f t="shared" si="4"/>
        <v>1.1410078171375768</v>
      </c>
      <c r="AR7" s="13">
        <f t="shared" si="4"/>
        <v>1.1410078171375768</v>
      </c>
    </row>
    <row r="8" spans="1:44" x14ac:dyDescent="0.3">
      <c r="A8" t="s">
        <v>1390</v>
      </c>
      <c r="B8" t="s">
        <v>1394</v>
      </c>
      <c r="C8" t="s">
        <v>41</v>
      </c>
      <c r="D8" t="str">
        <f t="shared" si="0"/>
        <v>ATIMEP</v>
      </c>
      <c r="E8" s="2">
        <v>4.2201000000000004</v>
      </c>
      <c r="F8" s="12">
        <f>E8*VLOOKUP($A8,'EU Ref Sc 2020 Energy intensive'!$A$5:$AE$33,F$2)</f>
        <v>4.2518206210391778</v>
      </c>
      <c r="G8" s="12">
        <f>F8*VLOOKUP($A8,'EU Ref Sc 2020 Energy intensive'!$A$5:$AE$33,G$2)</f>
        <v>4.2835412420783552</v>
      </c>
      <c r="H8" s="12">
        <f>G8*VLOOKUP($A8,'EU Ref Sc 2020 Energy intensive'!$A$5:$AE$33,H$2)</f>
        <v>4.3152618631175326</v>
      </c>
      <c r="I8" s="12">
        <f>H8*VLOOKUP($A8,'EU Ref Sc 2020 Energy intensive'!$A$5:$AE$33,I$2)</f>
        <v>4.3469824841567091</v>
      </c>
      <c r="J8" s="12">
        <f>I8*VLOOKUP($A8,'EU Ref Sc 2020 Energy intensive'!$A$5:$AE$33,J$2)</f>
        <v>4.3130635736302754</v>
      </c>
      <c r="K8" s="12">
        <f>J8*VLOOKUP($A8,'EU Ref Sc 2020 Energy intensive'!$A$5:$AE$33,K$2)</f>
        <v>4.2791446631038417</v>
      </c>
      <c r="L8" s="12">
        <f>K8*VLOOKUP($A8,'EU Ref Sc 2020 Energy intensive'!$A$5:$AE$33,L$2)</f>
        <v>4.245225752577408</v>
      </c>
      <c r="M8" s="12">
        <f>L8*VLOOKUP($A8,'EU Ref Sc 2020 Energy intensive'!$A$5:$AE$33,M$2)</f>
        <v>4.2113068420509743</v>
      </c>
      <c r="N8" s="12">
        <f>M8*VLOOKUP($A8,'EU Ref Sc 2020 Energy intensive'!$A$5:$AE$33,N$2)</f>
        <v>4.1773879315245415</v>
      </c>
      <c r="O8" s="12">
        <f>N8*VLOOKUP($A8,'EU Ref Sc 2020 Energy intensive'!$A$5:$AE$33,O$2)</f>
        <v>4.13005049906441</v>
      </c>
      <c r="P8" s="12">
        <f>O8*VLOOKUP($A8,'EU Ref Sc 2020 Energy intensive'!$A$5:$AE$33,P$2)</f>
        <v>4.0827130666042786</v>
      </c>
      <c r="Q8" s="12">
        <f>P8*VLOOKUP($A8,'EU Ref Sc 2020 Energy intensive'!$A$5:$AE$33,Q$2)</f>
        <v>4.0353756341441471</v>
      </c>
      <c r="R8" s="12">
        <f>Q8*VLOOKUP($A8,'EU Ref Sc 2020 Energy intensive'!$A$5:$AE$33,R$2)</f>
        <v>3.9880382016840157</v>
      </c>
      <c r="S8" s="12">
        <f>R8*VLOOKUP($A8,'EU Ref Sc 2020 Energy intensive'!$A$5:$AE$33,S$2)</f>
        <v>3.9407007692238856</v>
      </c>
      <c r="T8" s="12">
        <f>S8*VLOOKUP($A8,'EU Ref Sc 2020 Energy intensive'!$A$5:$AE$33,T$2)</f>
        <v>3.9031704081181697</v>
      </c>
      <c r="U8" s="12">
        <f>T8*VLOOKUP($A8,'EU Ref Sc 2020 Energy intensive'!$A$5:$AE$33,U$2)</f>
        <v>3.8656400470124535</v>
      </c>
      <c r="V8" s="12">
        <f>U8*VLOOKUP($A8,'EU Ref Sc 2020 Energy intensive'!$A$5:$AE$33,V$2)</f>
        <v>3.8281096859067372</v>
      </c>
      <c r="W8" s="12">
        <f>V8*VLOOKUP($A8,'EU Ref Sc 2020 Energy intensive'!$A$5:$AE$33,W$2)</f>
        <v>3.7905793248010209</v>
      </c>
      <c r="X8" s="12">
        <f>W8*VLOOKUP($A8,'EU Ref Sc 2020 Energy intensive'!$A$5:$AE$33,X$2)</f>
        <v>3.7530489636953064</v>
      </c>
      <c r="Y8" s="12">
        <f>X8*VLOOKUP($A8,'EU Ref Sc 2020 Energy intensive'!$A$5:$AE$33,Y$2)</f>
        <v>3.7356308436164407</v>
      </c>
      <c r="Z8" s="12">
        <f>Y8*VLOOKUP($A8,'EU Ref Sc 2020 Energy intensive'!$A$5:$AE$33,Z$2)</f>
        <v>3.7182127235375746</v>
      </c>
      <c r="AA8" s="12">
        <f>Z8*VLOOKUP($A8,'EU Ref Sc 2020 Energy intensive'!$A$5:$AE$33,AA$2)</f>
        <v>3.7007946034587089</v>
      </c>
      <c r="AB8" s="12">
        <f>AA8*VLOOKUP($A8,'EU Ref Sc 2020 Energy intensive'!$A$5:$AE$33,AB$2)</f>
        <v>3.6833764833798432</v>
      </c>
      <c r="AC8" s="12">
        <f>AB8*VLOOKUP($A8,'EU Ref Sc 2020 Energy intensive'!$A$5:$AE$33,AC$2)</f>
        <v>3.665958363300978</v>
      </c>
      <c r="AD8" s="12">
        <f>AC8*VLOOKUP($A8,'EU Ref Sc 2020 Energy intensive'!$A$5:$AE$33,AD$2)</f>
        <v>3.65693295224276</v>
      </c>
      <c r="AE8" s="12">
        <f>AD8*VLOOKUP($A8,'EU Ref Sc 2020 Energy intensive'!$A$5:$AE$33,AE$2)</f>
        <v>3.6479075411845421</v>
      </c>
      <c r="AF8" s="12">
        <f>AE8*VLOOKUP($A8,'EU Ref Sc 2020 Energy intensive'!$A$5:$AE$33,AF$2)</f>
        <v>3.6388821301263241</v>
      </c>
      <c r="AG8" s="12">
        <f>AF8*VLOOKUP($A8,'EU Ref Sc 2020 Energy intensive'!$A$5:$AE$33,AG$2)</f>
        <v>3.6298567190681061</v>
      </c>
      <c r="AH8" s="12">
        <f>AG8*VLOOKUP($A8,'EU Ref Sc 2020 Energy intensive'!$A$5:$AE$33,AH$2)</f>
        <v>3.6208313080098886</v>
      </c>
      <c r="AI8" s="13">
        <f t="shared" ref="AI8:AR8" si="5">AH8</f>
        <v>3.6208313080098886</v>
      </c>
      <c r="AJ8" s="13">
        <f t="shared" si="5"/>
        <v>3.6208313080098886</v>
      </c>
      <c r="AK8" s="13">
        <f t="shared" si="5"/>
        <v>3.6208313080098886</v>
      </c>
      <c r="AL8" s="13">
        <f t="shared" si="5"/>
        <v>3.6208313080098886</v>
      </c>
      <c r="AM8" s="13">
        <f t="shared" si="5"/>
        <v>3.6208313080098886</v>
      </c>
      <c r="AN8" s="13">
        <f t="shared" si="5"/>
        <v>3.6208313080098886</v>
      </c>
      <c r="AO8" s="13">
        <f t="shared" si="5"/>
        <v>3.6208313080098886</v>
      </c>
      <c r="AP8" s="13">
        <f t="shared" si="5"/>
        <v>3.6208313080098886</v>
      </c>
      <c r="AQ8" s="13">
        <f t="shared" si="5"/>
        <v>3.6208313080098886</v>
      </c>
      <c r="AR8" s="13">
        <f t="shared" si="5"/>
        <v>3.6208313080098886</v>
      </c>
    </row>
    <row r="9" spans="1:44" x14ac:dyDescent="0.3">
      <c r="A9" t="s">
        <v>1401</v>
      </c>
      <c r="B9" t="s">
        <v>1394</v>
      </c>
      <c r="C9" t="s">
        <v>239</v>
      </c>
      <c r="D9" t="str">
        <f t="shared" si="0"/>
        <v>CZIMEP</v>
      </c>
      <c r="E9" s="2">
        <v>2.1454</v>
      </c>
      <c r="F9" s="12">
        <f>E9*VLOOKUP($A9,'EU Ref Sc 2020 Energy intensive'!$A$5:$AE$33,F$2)</f>
        <v>2.1506704680656661</v>
      </c>
      <c r="G9" s="12">
        <f>F9*VLOOKUP($A9,'EU Ref Sc 2020 Energy intensive'!$A$5:$AE$33,G$2)</f>
        <v>2.1559409361313322</v>
      </c>
      <c r="H9" s="12">
        <f>G9*VLOOKUP($A9,'EU Ref Sc 2020 Energy intensive'!$A$5:$AE$33,H$2)</f>
        <v>2.1612114041969979</v>
      </c>
      <c r="I9" s="12">
        <f>H9*VLOOKUP($A9,'EU Ref Sc 2020 Energy intensive'!$A$5:$AE$33,I$2)</f>
        <v>2.1664818722626635</v>
      </c>
      <c r="J9" s="12">
        <f>I9*VLOOKUP($A9,'EU Ref Sc 2020 Energy intensive'!$A$5:$AE$33,J$2)</f>
        <v>2.1258421277579247</v>
      </c>
      <c r="K9" s="12">
        <f>J9*VLOOKUP($A9,'EU Ref Sc 2020 Energy intensive'!$A$5:$AE$33,K$2)</f>
        <v>2.0852023832531863</v>
      </c>
      <c r="L9" s="12">
        <f>K9*VLOOKUP($A9,'EU Ref Sc 2020 Energy intensive'!$A$5:$AE$33,L$2)</f>
        <v>2.0445626387484479</v>
      </c>
      <c r="M9" s="12">
        <f>L9*VLOOKUP($A9,'EU Ref Sc 2020 Energy intensive'!$A$5:$AE$33,M$2)</f>
        <v>2.0039228942437095</v>
      </c>
      <c r="N9" s="12">
        <f>M9*VLOOKUP($A9,'EU Ref Sc 2020 Energy intensive'!$A$5:$AE$33,N$2)</f>
        <v>1.9632831497389716</v>
      </c>
      <c r="O9" s="12">
        <f>N9*VLOOKUP($A9,'EU Ref Sc 2020 Energy intensive'!$A$5:$AE$33,O$2)</f>
        <v>1.9442307967585368</v>
      </c>
      <c r="P9" s="12">
        <f>O9*VLOOKUP($A9,'EU Ref Sc 2020 Energy intensive'!$A$5:$AE$33,P$2)</f>
        <v>1.9251784437781021</v>
      </c>
      <c r="Q9" s="12">
        <f>P9*VLOOKUP($A9,'EU Ref Sc 2020 Energy intensive'!$A$5:$AE$33,Q$2)</f>
        <v>1.9061260907976674</v>
      </c>
      <c r="R9" s="12">
        <f>Q9*VLOOKUP($A9,'EU Ref Sc 2020 Energy intensive'!$A$5:$AE$33,R$2)</f>
        <v>1.8870737378172326</v>
      </c>
      <c r="S9" s="12">
        <f>R9*VLOOKUP($A9,'EU Ref Sc 2020 Energy intensive'!$A$5:$AE$33,S$2)</f>
        <v>1.8680213848367984</v>
      </c>
      <c r="T9" s="12">
        <f>S9*VLOOKUP($A9,'EU Ref Sc 2020 Energy intensive'!$A$5:$AE$33,T$2)</f>
        <v>1.8561111830573924</v>
      </c>
      <c r="U9" s="12">
        <f>T9*VLOOKUP($A9,'EU Ref Sc 2020 Energy intensive'!$A$5:$AE$33,U$2)</f>
        <v>1.8442009812779867</v>
      </c>
      <c r="V9" s="12">
        <f>U9*VLOOKUP($A9,'EU Ref Sc 2020 Energy intensive'!$A$5:$AE$33,V$2)</f>
        <v>1.832290779498581</v>
      </c>
      <c r="W9" s="12">
        <f>V9*VLOOKUP($A9,'EU Ref Sc 2020 Energy intensive'!$A$5:$AE$33,W$2)</f>
        <v>1.8203805777191753</v>
      </c>
      <c r="X9" s="12">
        <f>W9*VLOOKUP($A9,'EU Ref Sc 2020 Energy intensive'!$A$5:$AE$33,X$2)</f>
        <v>1.8084703759397698</v>
      </c>
      <c r="Y9" s="12">
        <f>X9*VLOOKUP($A9,'EU Ref Sc 2020 Energy intensive'!$A$5:$AE$33,Y$2)</f>
        <v>1.7936992832144578</v>
      </c>
      <c r="Z9" s="12">
        <f>Y9*VLOOKUP($A9,'EU Ref Sc 2020 Energy intensive'!$A$5:$AE$33,Z$2)</f>
        <v>1.7789281904891456</v>
      </c>
      <c r="AA9" s="12">
        <f>Z9*VLOOKUP($A9,'EU Ref Sc 2020 Energy intensive'!$A$5:$AE$33,AA$2)</f>
        <v>1.7641570977638337</v>
      </c>
      <c r="AB9" s="12">
        <f>AA9*VLOOKUP($A9,'EU Ref Sc 2020 Energy intensive'!$A$5:$AE$33,AB$2)</f>
        <v>1.7493860050385215</v>
      </c>
      <c r="AC9" s="12">
        <f>AB9*VLOOKUP($A9,'EU Ref Sc 2020 Energy intensive'!$A$5:$AE$33,AC$2)</f>
        <v>1.7346149123132091</v>
      </c>
      <c r="AD9" s="12">
        <f>AC9*VLOOKUP($A9,'EU Ref Sc 2020 Energy intensive'!$A$5:$AE$33,AD$2)</f>
        <v>1.7259675694615511</v>
      </c>
      <c r="AE9" s="12">
        <f>AD9*VLOOKUP($A9,'EU Ref Sc 2020 Energy intensive'!$A$5:$AE$33,AE$2)</f>
        <v>1.717320226609893</v>
      </c>
      <c r="AF9" s="12">
        <f>AE9*VLOOKUP($A9,'EU Ref Sc 2020 Energy intensive'!$A$5:$AE$33,AF$2)</f>
        <v>1.708672883758235</v>
      </c>
      <c r="AG9" s="12">
        <f>AF9*VLOOKUP($A9,'EU Ref Sc 2020 Energy intensive'!$A$5:$AE$33,AG$2)</f>
        <v>1.7000255409065768</v>
      </c>
      <c r="AH9" s="12">
        <f>AG9*VLOOKUP($A9,'EU Ref Sc 2020 Energy intensive'!$A$5:$AE$33,AH$2)</f>
        <v>1.6913781980549187</v>
      </c>
      <c r="AI9" s="13">
        <f t="shared" ref="AI9:AR9" si="6">AH9</f>
        <v>1.6913781980549187</v>
      </c>
      <c r="AJ9" s="13">
        <f t="shared" si="6"/>
        <v>1.6913781980549187</v>
      </c>
      <c r="AK9" s="13">
        <f t="shared" si="6"/>
        <v>1.6913781980549187</v>
      </c>
      <c r="AL9" s="13">
        <f t="shared" si="6"/>
        <v>1.6913781980549187</v>
      </c>
      <c r="AM9" s="13">
        <f t="shared" si="6"/>
        <v>1.6913781980549187</v>
      </c>
      <c r="AN9" s="13">
        <f t="shared" si="6"/>
        <v>1.6913781980549187</v>
      </c>
      <c r="AO9" s="13">
        <f t="shared" si="6"/>
        <v>1.6913781980549187</v>
      </c>
      <c r="AP9" s="13">
        <f t="shared" si="6"/>
        <v>1.6913781980549187</v>
      </c>
      <c r="AQ9" s="13">
        <f t="shared" si="6"/>
        <v>1.6913781980549187</v>
      </c>
      <c r="AR9" s="13">
        <f t="shared" si="6"/>
        <v>1.6913781980549187</v>
      </c>
    </row>
    <row r="10" spans="1:44" x14ac:dyDescent="0.3">
      <c r="A10" t="s">
        <v>1402</v>
      </c>
      <c r="B10" t="s">
        <v>1394</v>
      </c>
      <c r="C10" t="s">
        <v>294</v>
      </c>
      <c r="D10" t="str">
        <f t="shared" si="0"/>
        <v>DEIMEP</v>
      </c>
      <c r="E10" s="2">
        <v>17.786799999999999</v>
      </c>
      <c r="F10" s="12">
        <f>E10*VLOOKUP($A10,'EU Ref Sc 2020 Energy intensive'!$A$5:$AE$33,F$2)</f>
        <v>17.899302168492905</v>
      </c>
      <c r="G10" s="12">
        <f>F10*VLOOKUP($A10,'EU Ref Sc 2020 Energy intensive'!$A$5:$AE$33,G$2)</f>
        <v>18.011804336985811</v>
      </c>
      <c r="H10" s="12">
        <f>G10*VLOOKUP($A10,'EU Ref Sc 2020 Energy intensive'!$A$5:$AE$33,H$2)</f>
        <v>18.124306505478717</v>
      </c>
      <c r="I10" s="12">
        <f>H10*VLOOKUP($A10,'EU Ref Sc 2020 Energy intensive'!$A$5:$AE$33,I$2)</f>
        <v>18.23680867397162</v>
      </c>
      <c r="J10" s="12">
        <f>I10*VLOOKUP($A10,'EU Ref Sc 2020 Energy intensive'!$A$5:$AE$33,J$2)</f>
        <v>18.012967622276562</v>
      </c>
      <c r="K10" s="12">
        <f>J10*VLOOKUP($A10,'EU Ref Sc 2020 Energy intensive'!$A$5:$AE$33,K$2)</f>
        <v>17.789126570581505</v>
      </c>
      <c r="L10" s="12">
        <f>K10*VLOOKUP($A10,'EU Ref Sc 2020 Energy intensive'!$A$5:$AE$33,L$2)</f>
        <v>17.565285518886448</v>
      </c>
      <c r="M10" s="12">
        <f>L10*VLOOKUP($A10,'EU Ref Sc 2020 Energy intensive'!$A$5:$AE$33,M$2)</f>
        <v>17.341444467191391</v>
      </c>
      <c r="N10" s="12">
        <f>M10*VLOOKUP($A10,'EU Ref Sc 2020 Energy intensive'!$A$5:$AE$33,N$2)</f>
        <v>17.117603415496326</v>
      </c>
      <c r="O10" s="12">
        <f>N10*VLOOKUP($A10,'EU Ref Sc 2020 Energy intensive'!$A$5:$AE$33,O$2)</f>
        <v>16.809476289522806</v>
      </c>
      <c r="P10" s="12">
        <f>O10*VLOOKUP($A10,'EU Ref Sc 2020 Energy intensive'!$A$5:$AE$33,P$2)</f>
        <v>16.501349163549285</v>
      </c>
      <c r="Q10" s="12">
        <f>P10*VLOOKUP($A10,'EU Ref Sc 2020 Energy intensive'!$A$5:$AE$33,Q$2)</f>
        <v>16.193222037575769</v>
      </c>
      <c r="R10" s="12">
        <f>Q10*VLOOKUP($A10,'EU Ref Sc 2020 Energy intensive'!$A$5:$AE$33,R$2)</f>
        <v>15.88509491160225</v>
      </c>
      <c r="S10" s="12">
        <f>R10*VLOOKUP($A10,'EU Ref Sc 2020 Energy intensive'!$A$5:$AE$33,S$2)</f>
        <v>15.576967785628733</v>
      </c>
      <c r="T10" s="12">
        <f>S10*VLOOKUP($A10,'EU Ref Sc 2020 Energy intensive'!$A$5:$AE$33,T$2)</f>
        <v>15.425576517448865</v>
      </c>
      <c r="U10" s="12">
        <f>T10*VLOOKUP($A10,'EU Ref Sc 2020 Energy intensive'!$A$5:$AE$33,U$2)</f>
        <v>15.274185249268998</v>
      </c>
      <c r="V10" s="12">
        <f>U10*VLOOKUP($A10,'EU Ref Sc 2020 Energy intensive'!$A$5:$AE$33,V$2)</f>
        <v>15.122793981089131</v>
      </c>
      <c r="W10" s="12">
        <f>V10*VLOOKUP($A10,'EU Ref Sc 2020 Energy intensive'!$A$5:$AE$33,W$2)</f>
        <v>14.971402712909263</v>
      </c>
      <c r="X10" s="12">
        <f>W10*VLOOKUP($A10,'EU Ref Sc 2020 Energy intensive'!$A$5:$AE$33,X$2)</f>
        <v>14.820011444729392</v>
      </c>
      <c r="Y10" s="12">
        <f>X10*VLOOKUP($A10,'EU Ref Sc 2020 Energy intensive'!$A$5:$AE$33,Y$2)</f>
        <v>14.740181317011677</v>
      </c>
      <c r="Z10" s="12">
        <f>Y10*VLOOKUP($A10,'EU Ref Sc 2020 Energy intensive'!$A$5:$AE$33,Z$2)</f>
        <v>14.660351189293964</v>
      </c>
      <c r="AA10" s="12">
        <f>Z10*VLOOKUP($A10,'EU Ref Sc 2020 Energy intensive'!$A$5:$AE$33,AA$2)</f>
        <v>14.580521061576251</v>
      </c>
      <c r="AB10" s="12">
        <f>AA10*VLOOKUP($A10,'EU Ref Sc 2020 Energy intensive'!$A$5:$AE$33,AB$2)</f>
        <v>14.500690933858538</v>
      </c>
      <c r="AC10" s="12">
        <f>AB10*VLOOKUP($A10,'EU Ref Sc 2020 Energy intensive'!$A$5:$AE$33,AC$2)</f>
        <v>14.420860806140821</v>
      </c>
      <c r="AD10" s="12">
        <f>AC10*VLOOKUP($A10,'EU Ref Sc 2020 Energy intensive'!$A$5:$AE$33,AD$2)</f>
        <v>14.363015206227525</v>
      </c>
      <c r="AE10" s="12">
        <f>AD10*VLOOKUP($A10,'EU Ref Sc 2020 Energy intensive'!$A$5:$AE$33,AE$2)</f>
        <v>14.305169606314227</v>
      </c>
      <c r="AF10" s="12">
        <f>AE10*VLOOKUP($A10,'EU Ref Sc 2020 Energy intensive'!$A$5:$AE$33,AF$2)</f>
        <v>14.24732400640093</v>
      </c>
      <c r="AG10" s="12">
        <f>AF10*VLOOKUP($A10,'EU Ref Sc 2020 Energy intensive'!$A$5:$AE$33,AG$2)</f>
        <v>14.189478406487634</v>
      </c>
      <c r="AH10" s="12">
        <f>AG10*VLOOKUP($A10,'EU Ref Sc 2020 Energy intensive'!$A$5:$AE$33,AH$2)</f>
        <v>14.131632806574336</v>
      </c>
      <c r="AI10" s="13">
        <f t="shared" ref="AI10:AR10" si="7">AH10</f>
        <v>14.131632806574336</v>
      </c>
      <c r="AJ10" s="13">
        <f t="shared" si="7"/>
        <v>14.131632806574336</v>
      </c>
      <c r="AK10" s="13">
        <f t="shared" si="7"/>
        <v>14.131632806574336</v>
      </c>
      <c r="AL10" s="13">
        <f t="shared" si="7"/>
        <v>14.131632806574336</v>
      </c>
      <c r="AM10" s="13">
        <f t="shared" si="7"/>
        <v>14.131632806574336</v>
      </c>
      <c r="AN10" s="13">
        <f t="shared" si="7"/>
        <v>14.131632806574336</v>
      </c>
      <c r="AO10" s="13">
        <f t="shared" si="7"/>
        <v>14.131632806574336</v>
      </c>
      <c r="AP10" s="13">
        <f t="shared" si="7"/>
        <v>14.131632806574336</v>
      </c>
      <c r="AQ10" s="13">
        <f t="shared" si="7"/>
        <v>14.131632806574336</v>
      </c>
      <c r="AR10" s="13">
        <f t="shared" si="7"/>
        <v>14.131632806574336</v>
      </c>
    </row>
    <row r="11" spans="1:44" x14ac:dyDescent="0.3">
      <c r="A11" t="s">
        <v>1405</v>
      </c>
      <c r="B11" t="s">
        <v>1394</v>
      </c>
      <c r="C11" t="s">
        <v>382</v>
      </c>
      <c r="D11" t="str">
        <f t="shared" si="0"/>
        <v>EEIMEP</v>
      </c>
      <c r="E11" s="2">
        <v>0.39900000000000002</v>
      </c>
      <c r="F11" s="12">
        <f>E11*VLOOKUP($A11,'EU Ref Sc 2020 Energy intensive'!$A$5:$AE$33,F$2)</f>
        <v>0.41734826279253595</v>
      </c>
      <c r="G11" s="12">
        <f>F11*VLOOKUP($A11,'EU Ref Sc 2020 Energy intensive'!$A$5:$AE$33,G$2)</f>
        <v>0.43569652558507194</v>
      </c>
      <c r="H11" s="12">
        <f>G11*VLOOKUP($A11,'EU Ref Sc 2020 Energy intensive'!$A$5:$AE$33,H$2)</f>
        <v>0.45404478837760787</v>
      </c>
      <c r="I11" s="12">
        <f>H11*VLOOKUP($A11,'EU Ref Sc 2020 Energy intensive'!$A$5:$AE$33,I$2)</f>
        <v>0.4723930511701438</v>
      </c>
      <c r="J11" s="12">
        <f>I11*VLOOKUP($A11,'EU Ref Sc 2020 Energy intensive'!$A$5:$AE$33,J$2)</f>
        <v>0.47474324128470019</v>
      </c>
      <c r="K11" s="12">
        <f>J11*VLOOKUP($A11,'EU Ref Sc 2020 Energy intensive'!$A$5:$AE$33,K$2)</f>
        <v>0.47709343139925664</v>
      </c>
      <c r="L11" s="12">
        <f>K11*VLOOKUP($A11,'EU Ref Sc 2020 Energy intensive'!$A$5:$AE$33,L$2)</f>
        <v>0.47944362151381309</v>
      </c>
      <c r="M11" s="12">
        <f>L11*VLOOKUP($A11,'EU Ref Sc 2020 Energy intensive'!$A$5:$AE$33,M$2)</f>
        <v>0.48179381162836948</v>
      </c>
      <c r="N11" s="12">
        <f>M11*VLOOKUP($A11,'EU Ref Sc 2020 Energy intensive'!$A$5:$AE$33,N$2)</f>
        <v>0.48414400174292604</v>
      </c>
      <c r="O11" s="12">
        <f>N11*VLOOKUP($A11,'EU Ref Sc 2020 Energy intensive'!$A$5:$AE$33,O$2)</f>
        <v>0.47386991859260996</v>
      </c>
      <c r="P11" s="12">
        <f>O11*VLOOKUP($A11,'EU Ref Sc 2020 Energy intensive'!$A$5:$AE$33,P$2)</f>
        <v>0.46359583544229394</v>
      </c>
      <c r="Q11" s="12">
        <f>P11*VLOOKUP($A11,'EU Ref Sc 2020 Energy intensive'!$A$5:$AE$33,Q$2)</f>
        <v>0.45332175229197785</v>
      </c>
      <c r="R11" s="12">
        <f>Q11*VLOOKUP($A11,'EU Ref Sc 2020 Energy intensive'!$A$5:$AE$33,R$2)</f>
        <v>0.44304766914166177</v>
      </c>
      <c r="S11" s="12">
        <f>R11*VLOOKUP($A11,'EU Ref Sc 2020 Energy intensive'!$A$5:$AE$33,S$2)</f>
        <v>0.43277358599134563</v>
      </c>
      <c r="T11" s="12">
        <f>S11*VLOOKUP($A11,'EU Ref Sc 2020 Energy intensive'!$A$5:$AE$33,T$2)</f>
        <v>0.42929656592761628</v>
      </c>
      <c r="U11" s="12">
        <f>T11*VLOOKUP($A11,'EU Ref Sc 2020 Energy intensive'!$A$5:$AE$33,U$2)</f>
        <v>0.42581954586388698</v>
      </c>
      <c r="V11" s="12">
        <f>U11*VLOOKUP($A11,'EU Ref Sc 2020 Energy intensive'!$A$5:$AE$33,V$2)</f>
        <v>0.42234252580015769</v>
      </c>
      <c r="W11" s="12">
        <f>V11*VLOOKUP($A11,'EU Ref Sc 2020 Energy intensive'!$A$5:$AE$33,W$2)</f>
        <v>0.41886550573642839</v>
      </c>
      <c r="X11" s="12">
        <f>W11*VLOOKUP($A11,'EU Ref Sc 2020 Energy intensive'!$A$5:$AE$33,X$2)</f>
        <v>0.41538848567269909</v>
      </c>
      <c r="Y11" s="12">
        <f>X11*VLOOKUP($A11,'EU Ref Sc 2020 Energy intensive'!$A$5:$AE$33,Y$2)</f>
        <v>0.41239550124736579</v>
      </c>
      <c r="Z11" s="12">
        <f>Y11*VLOOKUP($A11,'EU Ref Sc 2020 Energy intensive'!$A$5:$AE$33,Z$2)</f>
        <v>0.40940251682203249</v>
      </c>
      <c r="AA11" s="12">
        <f>Z11*VLOOKUP($A11,'EU Ref Sc 2020 Energy intensive'!$A$5:$AE$33,AA$2)</f>
        <v>0.40640953239669925</v>
      </c>
      <c r="AB11" s="12">
        <f>AA11*VLOOKUP($A11,'EU Ref Sc 2020 Energy intensive'!$A$5:$AE$33,AB$2)</f>
        <v>0.40341654797136595</v>
      </c>
      <c r="AC11" s="12">
        <f>AB11*VLOOKUP($A11,'EU Ref Sc 2020 Energy intensive'!$A$5:$AE$33,AC$2)</f>
        <v>0.4004235635460327</v>
      </c>
      <c r="AD11" s="12">
        <f>AC11*VLOOKUP($A11,'EU Ref Sc 2020 Energy intensive'!$A$5:$AE$33,AD$2)</f>
        <v>0.39955657983714077</v>
      </c>
      <c r="AE11" s="12">
        <f>AD11*VLOOKUP($A11,'EU Ref Sc 2020 Energy intensive'!$A$5:$AE$33,AE$2)</f>
        <v>0.39868959612824884</v>
      </c>
      <c r="AF11" s="12">
        <f>AE11*VLOOKUP($A11,'EU Ref Sc 2020 Energy intensive'!$A$5:$AE$33,AF$2)</f>
        <v>0.39782261241935696</v>
      </c>
      <c r="AG11" s="12">
        <f>AF11*VLOOKUP($A11,'EU Ref Sc 2020 Energy intensive'!$A$5:$AE$33,AG$2)</f>
        <v>0.39695562871046502</v>
      </c>
      <c r="AH11" s="12">
        <f>AG11*VLOOKUP($A11,'EU Ref Sc 2020 Energy intensive'!$A$5:$AE$33,AH$2)</f>
        <v>0.3960886450015732</v>
      </c>
      <c r="AI11" s="13">
        <f t="shared" ref="AI11:AR11" si="8">AH11</f>
        <v>0.3960886450015732</v>
      </c>
      <c r="AJ11" s="13">
        <f t="shared" si="8"/>
        <v>0.3960886450015732</v>
      </c>
      <c r="AK11" s="13">
        <f t="shared" si="8"/>
        <v>0.3960886450015732</v>
      </c>
      <c r="AL11" s="13">
        <f t="shared" si="8"/>
        <v>0.3960886450015732</v>
      </c>
      <c r="AM11" s="13">
        <f t="shared" si="8"/>
        <v>0.3960886450015732</v>
      </c>
      <c r="AN11" s="13">
        <f t="shared" si="8"/>
        <v>0.3960886450015732</v>
      </c>
      <c r="AO11" s="13">
        <f t="shared" si="8"/>
        <v>0.3960886450015732</v>
      </c>
      <c r="AP11" s="13">
        <f t="shared" si="8"/>
        <v>0.3960886450015732</v>
      </c>
      <c r="AQ11" s="13">
        <f t="shared" si="8"/>
        <v>0.3960886450015732</v>
      </c>
      <c r="AR11" s="13">
        <f t="shared" si="8"/>
        <v>0.3960886450015732</v>
      </c>
    </row>
    <row r="12" spans="1:44" x14ac:dyDescent="0.3">
      <c r="A12" t="s">
        <v>1409</v>
      </c>
      <c r="B12" t="s">
        <v>1394</v>
      </c>
      <c r="C12" t="s">
        <v>569</v>
      </c>
      <c r="D12" t="str">
        <f t="shared" si="0"/>
        <v>FIIMEP</v>
      </c>
      <c r="E12" s="2">
        <v>15.5816</v>
      </c>
      <c r="F12" s="12">
        <f>E12*VLOOKUP($A12,'EU Ref Sc 2020 Energy intensive'!$A$5:$AE$33,F$2)</f>
        <v>16.2981295527022</v>
      </c>
      <c r="G12" s="12">
        <f>F12*VLOOKUP($A12,'EU Ref Sc 2020 Energy intensive'!$A$5:$AE$33,G$2)</f>
        <v>17.014659105404402</v>
      </c>
      <c r="H12" s="12">
        <f>G12*VLOOKUP($A12,'EU Ref Sc 2020 Energy intensive'!$A$5:$AE$33,H$2)</f>
        <v>17.7311886581066</v>
      </c>
      <c r="I12" s="12">
        <f>H12*VLOOKUP($A12,'EU Ref Sc 2020 Energy intensive'!$A$5:$AE$33,I$2)</f>
        <v>18.447718210808802</v>
      </c>
      <c r="J12" s="12">
        <f>I12*VLOOKUP($A12,'EU Ref Sc 2020 Energy intensive'!$A$5:$AE$33,J$2)</f>
        <v>18.539496963412741</v>
      </c>
      <c r="K12" s="12">
        <f>J12*VLOOKUP($A12,'EU Ref Sc 2020 Energy intensive'!$A$5:$AE$33,K$2)</f>
        <v>18.631275716016681</v>
      </c>
      <c r="L12" s="12">
        <f>K12*VLOOKUP($A12,'EU Ref Sc 2020 Energy intensive'!$A$5:$AE$33,L$2)</f>
        <v>18.723054468620624</v>
      </c>
      <c r="M12" s="12">
        <f>L12*VLOOKUP($A12,'EU Ref Sc 2020 Energy intensive'!$A$5:$AE$33,M$2)</f>
        <v>18.814833221224564</v>
      </c>
      <c r="N12" s="12">
        <f>M12*VLOOKUP($A12,'EU Ref Sc 2020 Energy intensive'!$A$5:$AE$33,N$2)</f>
        <v>18.906611973828511</v>
      </c>
      <c r="O12" s="12">
        <f>N12*VLOOKUP($A12,'EU Ref Sc 2020 Energy intensive'!$A$5:$AE$33,O$2)</f>
        <v>18.505392289580477</v>
      </c>
      <c r="P12" s="12">
        <f>O12*VLOOKUP($A12,'EU Ref Sc 2020 Energy intensive'!$A$5:$AE$33,P$2)</f>
        <v>18.104172605332447</v>
      </c>
      <c r="Q12" s="12">
        <f>P12*VLOOKUP($A12,'EU Ref Sc 2020 Energy intensive'!$A$5:$AE$33,Q$2)</f>
        <v>17.702952921084414</v>
      </c>
      <c r="R12" s="12">
        <f>Q12*VLOOKUP($A12,'EU Ref Sc 2020 Energy intensive'!$A$5:$AE$33,R$2)</f>
        <v>17.30173323683638</v>
      </c>
      <c r="S12" s="12">
        <f>R12*VLOOKUP($A12,'EU Ref Sc 2020 Energy intensive'!$A$5:$AE$33,S$2)</f>
        <v>16.900513552588347</v>
      </c>
      <c r="T12" s="12">
        <f>S12*VLOOKUP($A12,'EU Ref Sc 2020 Energy intensive'!$A$5:$AE$33,T$2)</f>
        <v>16.764730254781316</v>
      </c>
      <c r="U12" s="12">
        <f>T12*VLOOKUP($A12,'EU Ref Sc 2020 Energy intensive'!$A$5:$AE$33,U$2)</f>
        <v>16.628946956974289</v>
      </c>
      <c r="V12" s="12">
        <f>U12*VLOOKUP($A12,'EU Ref Sc 2020 Energy intensive'!$A$5:$AE$33,V$2)</f>
        <v>16.493163659167262</v>
      </c>
      <c r="W12" s="12">
        <f>V12*VLOOKUP($A12,'EU Ref Sc 2020 Energy intensive'!$A$5:$AE$33,W$2)</f>
        <v>16.357380361360232</v>
      </c>
      <c r="X12" s="12">
        <f>W12*VLOOKUP($A12,'EU Ref Sc 2020 Energy intensive'!$A$5:$AE$33,X$2)</f>
        <v>16.221597063553201</v>
      </c>
      <c r="Y12" s="12">
        <f>X12*VLOOKUP($A12,'EU Ref Sc 2020 Energy intensive'!$A$5:$AE$33,Y$2)</f>
        <v>16.104716145954772</v>
      </c>
      <c r="Z12" s="12">
        <f>Y12*VLOOKUP($A12,'EU Ref Sc 2020 Energy intensive'!$A$5:$AE$33,Z$2)</f>
        <v>15.987835228356342</v>
      </c>
      <c r="AA12" s="12">
        <f>Z12*VLOOKUP($A12,'EU Ref Sc 2020 Energy intensive'!$A$5:$AE$33,AA$2)</f>
        <v>15.870954310757915</v>
      </c>
      <c r="AB12" s="12">
        <f>AA12*VLOOKUP($A12,'EU Ref Sc 2020 Energy intensive'!$A$5:$AE$33,AB$2)</f>
        <v>15.754073393159485</v>
      </c>
      <c r="AC12" s="12">
        <f>AB12*VLOOKUP($A12,'EU Ref Sc 2020 Energy intensive'!$A$5:$AE$33,AC$2)</f>
        <v>15.637192475561058</v>
      </c>
      <c r="AD12" s="12">
        <f>AC12*VLOOKUP($A12,'EU Ref Sc 2020 Energy intensive'!$A$5:$AE$33,AD$2)</f>
        <v>15.603335349349353</v>
      </c>
      <c r="AE12" s="12">
        <f>AD12*VLOOKUP($A12,'EU Ref Sc 2020 Energy intensive'!$A$5:$AE$33,AE$2)</f>
        <v>15.569478223137647</v>
      </c>
      <c r="AF12" s="12">
        <f>AE12*VLOOKUP($A12,'EU Ref Sc 2020 Energy intensive'!$A$5:$AE$33,AF$2)</f>
        <v>15.535621096925944</v>
      </c>
      <c r="AG12" s="12">
        <f>AF12*VLOOKUP($A12,'EU Ref Sc 2020 Energy intensive'!$A$5:$AE$33,AG$2)</f>
        <v>15.501763970714238</v>
      </c>
      <c r="AH12" s="12">
        <f>AG12*VLOOKUP($A12,'EU Ref Sc 2020 Energy intensive'!$A$5:$AE$33,AH$2)</f>
        <v>15.467906844502538</v>
      </c>
      <c r="AI12" s="13">
        <f t="shared" ref="AI12:AR12" si="9">AH12</f>
        <v>15.467906844502538</v>
      </c>
      <c r="AJ12" s="13">
        <f t="shared" si="9"/>
        <v>15.467906844502538</v>
      </c>
      <c r="AK12" s="13">
        <f t="shared" si="9"/>
        <v>15.467906844502538</v>
      </c>
      <c r="AL12" s="13">
        <f t="shared" si="9"/>
        <v>15.467906844502538</v>
      </c>
      <c r="AM12" s="13">
        <f t="shared" si="9"/>
        <v>15.467906844502538</v>
      </c>
      <c r="AN12" s="13">
        <f t="shared" si="9"/>
        <v>15.467906844502538</v>
      </c>
      <c r="AO12" s="13">
        <f t="shared" si="9"/>
        <v>15.467906844502538</v>
      </c>
      <c r="AP12" s="13">
        <f t="shared" si="9"/>
        <v>15.467906844502538</v>
      </c>
      <c r="AQ12" s="13">
        <f t="shared" si="9"/>
        <v>15.467906844502538</v>
      </c>
      <c r="AR12" s="13">
        <f t="shared" si="9"/>
        <v>15.467906844502538</v>
      </c>
    </row>
    <row r="13" spans="1:44" x14ac:dyDescent="0.3">
      <c r="A13" t="s">
        <v>1410</v>
      </c>
      <c r="B13" t="s">
        <v>1394</v>
      </c>
      <c r="C13" t="s">
        <v>591</v>
      </c>
      <c r="D13" t="str">
        <f t="shared" si="0"/>
        <v>FRIMEP</v>
      </c>
      <c r="E13" s="2">
        <v>7.0568</v>
      </c>
      <c r="F13" s="12">
        <f>E13*VLOOKUP($A13,'EU Ref Sc 2020 Energy intensive'!$A$5:$AE$33,F$2)</f>
        <v>7.3813113305122</v>
      </c>
      <c r="G13" s="12">
        <f>F13*VLOOKUP($A13,'EU Ref Sc 2020 Energy intensive'!$A$5:$AE$33,G$2)</f>
        <v>7.7058226610244001</v>
      </c>
      <c r="H13" s="12">
        <f>G13*VLOOKUP($A13,'EU Ref Sc 2020 Energy intensive'!$A$5:$AE$33,H$2)</f>
        <v>8.0303339915365992</v>
      </c>
      <c r="I13" s="12">
        <f>H13*VLOOKUP($A13,'EU Ref Sc 2020 Energy intensive'!$A$5:$AE$33,I$2)</f>
        <v>8.3548453220487993</v>
      </c>
      <c r="J13" s="12">
        <f>I13*VLOOKUP($A13,'EU Ref Sc 2020 Energy intensive'!$A$5:$AE$33,J$2)</f>
        <v>8.3964112909721127</v>
      </c>
      <c r="K13" s="12">
        <f>J13*VLOOKUP($A13,'EU Ref Sc 2020 Energy intensive'!$A$5:$AE$33,K$2)</f>
        <v>8.4379772598954261</v>
      </c>
      <c r="L13" s="12">
        <f>K13*VLOOKUP($A13,'EU Ref Sc 2020 Energy intensive'!$A$5:$AE$33,L$2)</f>
        <v>8.4795432288187396</v>
      </c>
      <c r="M13" s="12">
        <f>L13*VLOOKUP($A13,'EU Ref Sc 2020 Energy intensive'!$A$5:$AE$33,M$2)</f>
        <v>8.5211091977420512</v>
      </c>
      <c r="N13" s="12">
        <f>M13*VLOOKUP($A13,'EU Ref Sc 2020 Energy intensive'!$A$5:$AE$33,N$2)</f>
        <v>8.5626751666653664</v>
      </c>
      <c r="O13" s="12">
        <f>N13*VLOOKUP($A13,'EU Ref Sc 2020 Energy intensive'!$A$5:$AE$33,O$2)</f>
        <v>8.3809655176048388</v>
      </c>
      <c r="P13" s="12">
        <f>O13*VLOOKUP($A13,'EU Ref Sc 2020 Energy intensive'!$A$5:$AE$33,P$2)</f>
        <v>8.1992558685443111</v>
      </c>
      <c r="Q13" s="12">
        <f>P13*VLOOKUP($A13,'EU Ref Sc 2020 Energy intensive'!$A$5:$AE$33,Q$2)</f>
        <v>8.0175462194837834</v>
      </c>
      <c r="R13" s="12">
        <f>Q13*VLOOKUP($A13,'EU Ref Sc 2020 Energy intensive'!$A$5:$AE$33,R$2)</f>
        <v>7.8358365704232558</v>
      </c>
      <c r="S13" s="12">
        <f>R13*VLOOKUP($A13,'EU Ref Sc 2020 Energy intensive'!$A$5:$AE$33,S$2)</f>
        <v>7.6541269213627272</v>
      </c>
      <c r="T13" s="12">
        <f>S13*VLOOKUP($A13,'EU Ref Sc 2020 Energy intensive'!$A$5:$AE$33,T$2)</f>
        <v>7.5926315950827146</v>
      </c>
      <c r="U13" s="12">
        <f>T13*VLOOKUP($A13,'EU Ref Sc 2020 Energy intensive'!$A$5:$AE$33,U$2)</f>
        <v>7.5311362688027028</v>
      </c>
      <c r="V13" s="12">
        <f>U13*VLOOKUP($A13,'EU Ref Sc 2020 Energy intensive'!$A$5:$AE$33,V$2)</f>
        <v>7.4696409425226911</v>
      </c>
      <c r="W13" s="12">
        <f>V13*VLOOKUP($A13,'EU Ref Sc 2020 Energy intensive'!$A$5:$AE$33,W$2)</f>
        <v>7.4081456162426784</v>
      </c>
      <c r="X13" s="12">
        <f>W13*VLOOKUP($A13,'EU Ref Sc 2020 Energy intensive'!$A$5:$AE$33,X$2)</f>
        <v>7.3466502899626658</v>
      </c>
      <c r="Y13" s="12">
        <f>X13*VLOOKUP($A13,'EU Ref Sc 2020 Energy intensive'!$A$5:$AE$33,Y$2)</f>
        <v>7.2937157223118092</v>
      </c>
      <c r="Z13" s="12">
        <f>Y13*VLOOKUP($A13,'EU Ref Sc 2020 Energy intensive'!$A$5:$AE$33,Z$2)</f>
        <v>7.2407811546609526</v>
      </c>
      <c r="AA13" s="12">
        <f>Z13*VLOOKUP($A13,'EU Ref Sc 2020 Energy intensive'!$A$5:$AE$33,AA$2)</f>
        <v>7.187846587010096</v>
      </c>
      <c r="AB13" s="12">
        <f>AA13*VLOOKUP($A13,'EU Ref Sc 2020 Energy intensive'!$A$5:$AE$33,AB$2)</f>
        <v>7.1349120193592386</v>
      </c>
      <c r="AC13" s="12">
        <f>AB13*VLOOKUP($A13,'EU Ref Sc 2020 Energy intensive'!$A$5:$AE$33,AC$2)</f>
        <v>7.081977451708382</v>
      </c>
      <c r="AD13" s="12">
        <f>AC13*VLOOKUP($A13,'EU Ref Sc 2020 Energy intensive'!$A$5:$AE$33,AD$2)</f>
        <v>7.0666437909642505</v>
      </c>
      <c r="AE13" s="12">
        <f>AD13*VLOOKUP($A13,'EU Ref Sc 2020 Energy intensive'!$A$5:$AE$33,AE$2)</f>
        <v>7.0513101302201191</v>
      </c>
      <c r="AF13" s="12">
        <f>AE13*VLOOKUP($A13,'EU Ref Sc 2020 Energy intensive'!$A$5:$AE$33,AF$2)</f>
        <v>7.0359764694759876</v>
      </c>
      <c r="AG13" s="12">
        <f>AF13*VLOOKUP($A13,'EU Ref Sc 2020 Energy intensive'!$A$5:$AE$33,AG$2)</f>
        <v>7.0206428087318562</v>
      </c>
      <c r="AH13" s="12">
        <f>AG13*VLOOKUP($A13,'EU Ref Sc 2020 Energy intensive'!$A$5:$AE$33,AH$2)</f>
        <v>7.0053091479877265</v>
      </c>
      <c r="AI13" s="13">
        <f t="shared" ref="AI13:AR13" si="10">AH13</f>
        <v>7.0053091479877265</v>
      </c>
      <c r="AJ13" s="13">
        <f t="shared" si="10"/>
        <v>7.0053091479877265</v>
      </c>
      <c r="AK13" s="13">
        <f t="shared" si="10"/>
        <v>7.0053091479877265</v>
      </c>
      <c r="AL13" s="13">
        <f t="shared" si="10"/>
        <v>7.0053091479877265</v>
      </c>
      <c r="AM13" s="13">
        <f t="shared" si="10"/>
        <v>7.0053091479877265</v>
      </c>
      <c r="AN13" s="13">
        <f t="shared" si="10"/>
        <v>7.0053091479877265</v>
      </c>
      <c r="AO13" s="13">
        <f t="shared" si="10"/>
        <v>7.0053091479877265</v>
      </c>
      <c r="AP13" s="13">
        <f t="shared" si="10"/>
        <v>7.0053091479877265</v>
      </c>
      <c r="AQ13" s="13">
        <f t="shared" si="10"/>
        <v>7.0053091479877265</v>
      </c>
      <c r="AR13" s="13">
        <f t="shared" si="10"/>
        <v>7.0053091479877265</v>
      </c>
    </row>
    <row r="14" spans="1:44" x14ac:dyDescent="0.3">
      <c r="A14" t="s">
        <v>1411</v>
      </c>
      <c r="B14" t="s">
        <v>1394</v>
      </c>
      <c r="C14" t="s">
        <v>646</v>
      </c>
      <c r="D14" t="str">
        <f t="shared" si="0"/>
        <v>HRIMEP</v>
      </c>
      <c r="E14" s="2">
        <v>0.51619999999999999</v>
      </c>
      <c r="F14" s="12">
        <f>E14*VLOOKUP($A14,'EU Ref Sc 2020 Energy intensive'!$A$5:$AE$33,F$2)</f>
        <v>0.52195412357563309</v>
      </c>
      <c r="G14" s="12">
        <f>F14*VLOOKUP($A14,'EU Ref Sc 2020 Energy intensive'!$A$5:$AE$33,G$2)</f>
        <v>0.52770824715126619</v>
      </c>
      <c r="H14" s="12">
        <f>G14*VLOOKUP($A14,'EU Ref Sc 2020 Energy intensive'!$A$5:$AE$33,H$2)</f>
        <v>0.53346237072689939</v>
      </c>
      <c r="I14" s="12">
        <f>H14*VLOOKUP($A14,'EU Ref Sc 2020 Energy intensive'!$A$5:$AE$33,I$2)</f>
        <v>0.53921649430253238</v>
      </c>
      <c r="J14" s="12">
        <f>I14*VLOOKUP($A14,'EU Ref Sc 2020 Energy intensive'!$A$5:$AE$33,J$2)</f>
        <v>0.52989742629319847</v>
      </c>
      <c r="K14" s="12">
        <f>J14*VLOOKUP($A14,'EU Ref Sc 2020 Energy intensive'!$A$5:$AE$33,K$2)</f>
        <v>0.52057835828386456</v>
      </c>
      <c r="L14" s="12">
        <f>K14*VLOOKUP($A14,'EU Ref Sc 2020 Energy intensive'!$A$5:$AE$33,L$2)</f>
        <v>0.51125929027453065</v>
      </c>
      <c r="M14" s="12">
        <f>L14*VLOOKUP($A14,'EU Ref Sc 2020 Energy intensive'!$A$5:$AE$33,M$2)</f>
        <v>0.50194022226519674</v>
      </c>
      <c r="N14" s="12">
        <f>M14*VLOOKUP($A14,'EU Ref Sc 2020 Energy intensive'!$A$5:$AE$33,N$2)</f>
        <v>0.49262115425586284</v>
      </c>
      <c r="O14" s="12">
        <f>N14*VLOOKUP($A14,'EU Ref Sc 2020 Energy intensive'!$A$5:$AE$33,O$2)</f>
        <v>0.48825288108950371</v>
      </c>
      <c r="P14" s="12">
        <f>O14*VLOOKUP($A14,'EU Ref Sc 2020 Energy intensive'!$A$5:$AE$33,P$2)</f>
        <v>0.48388460792314453</v>
      </c>
      <c r="Q14" s="12">
        <f>P14*VLOOKUP($A14,'EU Ref Sc 2020 Energy intensive'!$A$5:$AE$33,Q$2)</f>
        <v>0.4795163347567854</v>
      </c>
      <c r="R14" s="12">
        <f>Q14*VLOOKUP($A14,'EU Ref Sc 2020 Energy intensive'!$A$5:$AE$33,R$2)</f>
        <v>0.47514806159042622</v>
      </c>
      <c r="S14" s="12">
        <f>R14*VLOOKUP($A14,'EU Ref Sc 2020 Energy intensive'!$A$5:$AE$33,S$2)</f>
        <v>0.47077978842406709</v>
      </c>
      <c r="T14" s="12">
        <f>S14*VLOOKUP($A14,'EU Ref Sc 2020 Energy intensive'!$A$5:$AE$33,T$2)</f>
        <v>0.47291005225987559</v>
      </c>
      <c r="U14" s="12">
        <f>T14*VLOOKUP($A14,'EU Ref Sc 2020 Energy intensive'!$A$5:$AE$33,U$2)</f>
        <v>0.47504031609568409</v>
      </c>
      <c r="V14" s="12">
        <f>U14*VLOOKUP($A14,'EU Ref Sc 2020 Energy intensive'!$A$5:$AE$33,V$2)</f>
        <v>0.47717057993149259</v>
      </c>
      <c r="W14" s="12">
        <f>V14*VLOOKUP($A14,'EU Ref Sc 2020 Energy intensive'!$A$5:$AE$33,W$2)</f>
        <v>0.47930084376730109</v>
      </c>
      <c r="X14" s="12">
        <f>W14*VLOOKUP($A14,'EU Ref Sc 2020 Energy intensive'!$A$5:$AE$33,X$2)</f>
        <v>0.48143110760310959</v>
      </c>
      <c r="Y14" s="12">
        <f>X14*VLOOKUP($A14,'EU Ref Sc 2020 Energy intensive'!$A$5:$AE$33,Y$2)</f>
        <v>0.48363641549536401</v>
      </c>
      <c r="Z14" s="12">
        <f>Y14*VLOOKUP($A14,'EU Ref Sc 2020 Energy intensive'!$A$5:$AE$33,Z$2)</f>
        <v>0.48584172338761844</v>
      </c>
      <c r="AA14" s="12">
        <f>Z14*VLOOKUP($A14,'EU Ref Sc 2020 Energy intensive'!$A$5:$AE$33,AA$2)</f>
        <v>0.48804703127987292</v>
      </c>
      <c r="AB14" s="12">
        <f>AA14*VLOOKUP($A14,'EU Ref Sc 2020 Energy intensive'!$A$5:$AE$33,AB$2)</f>
        <v>0.49025233917212735</v>
      </c>
      <c r="AC14" s="12">
        <f>AB14*VLOOKUP($A14,'EU Ref Sc 2020 Energy intensive'!$A$5:$AE$33,AC$2)</f>
        <v>0.49245764706438167</v>
      </c>
      <c r="AD14" s="12">
        <f>AC14*VLOOKUP($A14,'EU Ref Sc 2020 Energy intensive'!$A$5:$AE$33,AD$2)</f>
        <v>0.49390001187288801</v>
      </c>
      <c r="AE14" s="12">
        <f>AD14*VLOOKUP($A14,'EU Ref Sc 2020 Energy intensive'!$A$5:$AE$33,AE$2)</f>
        <v>0.49534237668139441</v>
      </c>
      <c r="AF14" s="12">
        <f>AE14*VLOOKUP($A14,'EU Ref Sc 2020 Energy intensive'!$A$5:$AE$33,AF$2)</f>
        <v>0.49678474148990082</v>
      </c>
      <c r="AG14" s="12">
        <f>AF14*VLOOKUP($A14,'EU Ref Sc 2020 Energy intensive'!$A$5:$AE$33,AG$2)</f>
        <v>0.49822710629840716</v>
      </c>
      <c r="AH14" s="12">
        <f>AG14*VLOOKUP($A14,'EU Ref Sc 2020 Energy intensive'!$A$5:$AE$33,AH$2)</f>
        <v>0.49966947110691357</v>
      </c>
      <c r="AI14" s="13">
        <f t="shared" ref="AI14:AR14" si="11">AH14</f>
        <v>0.49966947110691357</v>
      </c>
      <c r="AJ14" s="13">
        <f t="shared" si="11"/>
        <v>0.49966947110691357</v>
      </c>
      <c r="AK14" s="13">
        <f t="shared" si="11"/>
        <v>0.49966947110691357</v>
      </c>
      <c r="AL14" s="13">
        <f t="shared" si="11"/>
        <v>0.49966947110691357</v>
      </c>
      <c r="AM14" s="13">
        <f t="shared" si="11"/>
        <v>0.49966947110691357</v>
      </c>
      <c r="AN14" s="13">
        <f t="shared" si="11"/>
        <v>0.49966947110691357</v>
      </c>
      <c r="AO14" s="13">
        <f t="shared" si="11"/>
        <v>0.49966947110691357</v>
      </c>
      <c r="AP14" s="13">
        <f t="shared" si="11"/>
        <v>0.49966947110691357</v>
      </c>
      <c r="AQ14" s="13">
        <f t="shared" si="11"/>
        <v>0.49966947110691357</v>
      </c>
      <c r="AR14" s="13">
        <f t="shared" si="11"/>
        <v>0.49966947110691357</v>
      </c>
    </row>
    <row r="15" spans="1:44" x14ac:dyDescent="0.3">
      <c r="A15" t="s">
        <v>1421</v>
      </c>
      <c r="B15" t="s">
        <v>1394</v>
      </c>
      <c r="C15" t="s">
        <v>1119</v>
      </c>
      <c r="D15" t="str">
        <f t="shared" si="0"/>
        <v>PTIMEP</v>
      </c>
      <c r="E15" s="2">
        <v>3.4079000000000002</v>
      </c>
      <c r="F15" s="12">
        <f>E15*VLOOKUP($A15,'EU Ref Sc 2020 Energy intensive'!$A$5:$AE$33,F$2)</f>
        <v>3.4075642976257532</v>
      </c>
      <c r="G15" s="12">
        <f>F15*VLOOKUP($A15,'EU Ref Sc 2020 Energy intensive'!$A$5:$AE$33,G$2)</f>
        <v>3.4072285952515062</v>
      </c>
      <c r="H15" s="12">
        <f>G15*VLOOKUP($A15,'EU Ref Sc 2020 Energy intensive'!$A$5:$AE$33,H$2)</f>
        <v>3.4068928928772588</v>
      </c>
      <c r="I15" s="12">
        <f>H15*VLOOKUP($A15,'EU Ref Sc 2020 Energy intensive'!$A$5:$AE$33,I$2)</f>
        <v>3.4065571905030123</v>
      </c>
      <c r="J15" s="12">
        <f>I15*VLOOKUP($A15,'EU Ref Sc 2020 Energy intensive'!$A$5:$AE$33,J$2)</f>
        <v>3.3791755517072186</v>
      </c>
      <c r="K15" s="12">
        <f>J15*VLOOKUP($A15,'EU Ref Sc 2020 Energy intensive'!$A$5:$AE$33,K$2)</f>
        <v>3.3517939129114249</v>
      </c>
      <c r="L15" s="12">
        <f>K15*VLOOKUP($A15,'EU Ref Sc 2020 Energy intensive'!$A$5:$AE$33,L$2)</f>
        <v>3.3244122741156308</v>
      </c>
      <c r="M15" s="12">
        <f>L15*VLOOKUP($A15,'EU Ref Sc 2020 Energy intensive'!$A$5:$AE$33,M$2)</f>
        <v>3.2970306353198371</v>
      </c>
      <c r="N15" s="12">
        <f>M15*VLOOKUP($A15,'EU Ref Sc 2020 Energy intensive'!$A$5:$AE$33,N$2)</f>
        <v>3.2696489965240443</v>
      </c>
      <c r="O15" s="12">
        <f>N15*VLOOKUP($A15,'EU Ref Sc 2020 Energy intensive'!$A$5:$AE$33,O$2)</f>
        <v>3.2249377882962973</v>
      </c>
      <c r="P15" s="12">
        <f>O15*VLOOKUP($A15,'EU Ref Sc 2020 Energy intensive'!$A$5:$AE$33,P$2)</f>
        <v>3.1802265800685499</v>
      </c>
      <c r="Q15" s="12">
        <f>P15*VLOOKUP($A15,'EU Ref Sc 2020 Energy intensive'!$A$5:$AE$33,Q$2)</f>
        <v>3.1355153718408024</v>
      </c>
      <c r="R15" s="12">
        <f>Q15*VLOOKUP($A15,'EU Ref Sc 2020 Energy intensive'!$A$5:$AE$33,R$2)</f>
        <v>3.090804163613055</v>
      </c>
      <c r="S15" s="12">
        <f>R15*VLOOKUP($A15,'EU Ref Sc 2020 Energy intensive'!$A$5:$AE$33,S$2)</f>
        <v>3.0460929553853076</v>
      </c>
      <c r="T15" s="12">
        <f>S15*VLOOKUP($A15,'EU Ref Sc 2020 Energy intensive'!$A$5:$AE$33,T$2)</f>
        <v>2.9856556122397095</v>
      </c>
      <c r="U15" s="12">
        <f>T15*VLOOKUP($A15,'EU Ref Sc 2020 Energy intensive'!$A$5:$AE$33,U$2)</f>
        <v>2.9252182690941115</v>
      </c>
      <c r="V15" s="12">
        <f>U15*VLOOKUP($A15,'EU Ref Sc 2020 Energy intensive'!$A$5:$AE$33,V$2)</f>
        <v>2.8647809259485131</v>
      </c>
      <c r="W15" s="12">
        <f>V15*VLOOKUP($A15,'EU Ref Sc 2020 Energy intensive'!$A$5:$AE$33,W$2)</f>
        <v>2.8043435828029146</v>
      </c>
      <c r="X15" s="12">
        <f>W15*VLOOKUP($A15,'EU Ref Sc 2020 Energy intensive'!$A$5:$AE$33,X$2)</f>
        <v>2.7439062396573171</v>
      </c>
      <c r="Y15" s="12">
        <f>X15*VLOOKUP($A15,'EU Ref Sc 2020 Energy intensive'!$A$5:$AE$33,Y$2)</f>
        <v>2.7132923100567514</v>
      </c>
      <c r="Z15" s="12">
        <f>Y15*VLOOKUP($A15,'EU Ref Sc 2020 Energy intensive'!$A$5:$AE$33,Z$2)</f>
        <v>2.6826783804561858</v>
      </c>
      <c r="AA15" s="12">
        <f>Z15*VLOOKUP($A15,'EU Ref Sc 2020 Energy intensive'!$A$5:$AE$33,AA$2)</f>
        <v>2.6520644508556201</v>
      </c>
      <c r="AB15" s="12">
        <f>AA15*VLOOKUP($A15,'EU Ref Sc 2020 Energy intensive'!$A$5:$AE$33,AB$2)</f>
        <v>2.6214505212550541</v>
      </c>
      <c r="AC15" s="12">
        <f>AB15*VLOOKUP($A15,'EU Ref Sc 2020 Energy intensive'!$A$5:$AE$33,AC$2)</f>
        <v>2.5908365916544875</v>
      </c>
      <c r="AD15" s="12">
        <f>AC15*VLOOKUP($A15,'EU Ref Sc 2020 Energy intensive'!$A$5:$AE$33,AD$2)</f>
        <v>2.5655903563639644</v>
      </c>
      <c r="AE15" s="12">
        <f>AD15*VLOOKUP($A15,'EU Ref Sc 2020 Energy intensive'!$A$5:$AE$33,AE$2)</f>
        <v>2.5403441210734408</v>
      </c>
      <c r="AF15" s="12">
        <f>AE15*VLOOKUP($A15,'EU Ref Sc 2020 Energy intensive'!$A$5:$AE$33,AF$2)</f>
        <v>2.5150978857829172</v>
      </c>
      <c r="AG15" s="12">
        <f>AF15*VLOOKUP($A15,'EU Ref Sc 2020 Energy intensive'!$A$5:$AE$33,AG$2)</f>
        <v>2.489851650492394</v>
      </c>
      <c r="AH15" s="12">
        <f>AG15*VLOOKUP($A15,'EU Ref Sc 2020 Energy intensive'!$A$5:$AE$33,AH$2)</f>
        <v>2.4646054152018717</v>
      </c>
      <c r="AI15" s="13">
        <f t="shared" ref="AI15:AR15" si="12">AH15</f>
        <v>2.4646054152018717</v>
      </c>
      <c r="AJ15" s="13">
        <f t="shared" si="12"/>
        <v>2.4646054152018717</v>
      </c>
      <c r="AK15" s="13">
        <f t="shared" si="12"/>
        <v>2.4646054152018717</v>
      </c>
      <c r="AL15" s="13">
        <f t="shared" si="12"/>
        <v>2.4646054152018717</v>
      </c>
      <c r="AM15" s="13">
        <f t="shared" si="12"/>
        <v>2.4646054152018717</v>
      </c>
      <c r="AN15" s="13">
        <f t="shared" si="12"/>
        <v>2.4646054152018717</v>
      </c>
      <c r="AO15" s="13">
        <f t="shared" si="12"/>
        <v>2.4646054152018717</v>
      </c>
      <c r="AP15" s="13">
        <f t="shared" si="12"/>
        <v>2.4646054152018717</v>
      </c>
      <c r="AQ15" s="13">
        <f t="shared" si="12"/>
        <v>2.4646054152018717</v>
      </c>
      <c r="AR15" s="13">
        <f t="shared" si="12"/>
        <v>2.4646054152018717</v>
      </c>
    </row>
    <row r="16" spans="1:44" x14ac:dyDescent="0.3">
      <c r="A16" t="s">
        <v>1423</v>
      </c>
      <c r="B16" t="s">
        <v>1394</v>
      </c>
      <c r="C16" t="s">
        <v>1229</v>
      </c>
      <c r="D16" t="str">
        <f t="shared" si="0"/>
        <v>SEIMEP</v>
      </c>
      <c r="E16" s="2">
        <v>16.8095</v>
      </c>
      <c r="F16" s="12">
        <f>E16*VLOOKUP($A16,'EU Ref Sc 2020 Energy intensive'!$A$5:$AE$33,F$2)</f>
        <v>16.808331990996184</v>
      </c>
      <c r="G16" s="12">
        <f>F16*VLOOKUP($A16,'EU Ref Sc 2020 Energy intensive'!$A$5:$AE$33,G$2)</f>
        <v>16.807163981992367</v>
      </c>
      <c r="H16" s="12">
        <f>G16*VLOOKUP($A16,'EU Ref Sc 2020 Energy intensive'!$A$5:$AE$33,H$2)</f>
        <v>16.805995972988551</v>
      </c>
      <c r="I16" s="12">
        <f>H16*VLOOKUP($A16,'EU Ref Sc 2020 Energy intensive'!$A$5:$AE$33,I$2)</f>
        <v>16.804827963984732</v>
      </c>
      <c r="J16" s="12">
        <f>I16*VLOOKUP($A16,'EU Ref Sc 2020 Energy intensive'!$A$5:$AE$33,J$2)</f>
        <v>16.782961351492919</v>
      </c>
      <c r="K16" s="12">
        <f>J16*VLOOKUP($A16,'EU Ref Sc 2020 Energy intensive'!$A$5:$AE$33,K$2)</f>
        <v>16.761094739001106</v>
      </c>
      <c r="L16" s="12">
        <f>K16*VLOOKUP($A16,'EU Ref Sc 2020 Energy intensive'!$A$5:$AE$33,L$2)</f>
        <v>16.739228126509293</v>
      </c>
      <c r="M16" s="12">
        <f>L16*VLOOKUP($A16,'EU Ref Sc 2020 Energy intensive'!$A$5:$AE$33,M$2)</f>
        <v>16.71736151401748</v>
      </c>
      <c r="N16" s="12">
        <f>M16*VLOOKUP($A16,'EU Ref Sc 2020 Energy intensive'!$A$5:$AE$33,N$2)</f>
        <v>16.695494901525663</v>
      </c>
      <c r="O16" s="12">
        <f>N16*VLOOKUP($A16,'EU Ref Sc 2020 Energy intensive'!$A$5:$AE$33,O$2)</f>
        <v>16.406886284533265</v>
      </c>
      <c r="P16" s="12">
        <f>O16*VLOOKUP($A16,'EU Ref Sc 2020 Energy intensive'!$A$5:$AE$33,P$2)</f>
        <v>16.11827766754087</v>
      </c>
      <c r="Q16" s="12">
        <f>P16*VLOOKUP($A16,'EU Ref Sc 2020 Energy intensive'!$A$5:$AE$33,Q$2)</f>
        <v>15.829669050548473</v>
      </c>
      <c r="R16" s="12">
        <f>Q16*VLOOKUP($A16,'EU Ref Sc 2020 Energy intensive'!$A$5:$AE$33,R$2)</f>
        <v>15.541060433556076</v>
      </c>
      <c r="S16" s="12">
        <f>R16*VLOOKUP($A16,'EU Ref Sc 2020 Energy intensive'!$A$5:$AE$33,S$2)</f>
        <v>15.252451816563676</v>
      </c>
      <c r="T16" s="12">
        <f>S16*VLOOKUP($A16,'EU Ref Sc 2020 Energy intensive'!$A$5:$AE$33,T$2)</f>
        <v>14.929203604642318</v>
      </c>
      <c r="U16" s="12">
        <f>T16*VLOOKUP($A16,'EU Ref Sc 2020 Energy intensive'!$A$5:$AE$33,U$2)</f>
        <v>14.60595539272096</v>
      </c>
      <c r="V16" s="12">
        <f>U16*VLOOKUP($A16,'EU Ref Sc 2020 Energy intensive'!$A$5:$AE$33,V$2)</f>
        <v>14.282707180799601</v>
      </c>
      <c r="W16" s="12">
        <f>V16*VLOOKUP($A16,'EU Ref Sc 2020 Energy intensive'!$A$5:$AE$33,W$2)</f>
        <v>13.959458968878243</v>
      </c>
      <c r="X16" s="12">
        <f>W16*VLOOKUP($A16,'EU Ref Sc 2020 Energy intensive'!$A$5:$AE$33,X$2)</f>
        <v>13.636210756956887</v>
      </c>
      <c r="Y16" s="12">
        <f>X16*VLOOKUP($A16,'EU Ref Sc 2020 Energy intensive'!$A$5:$AE$33,Y$2)</f>
        <v>13.638672463109151</v>
      </c>
      <c r="Z16" s="12">
        <f>Y16*VLOOKUP($A16,'EU Ref Sc 2020 Energy intensive'!$A$5:$AE$33,Z$2)</f>
        <v>13.641134169261417</v>
      </c>
      <c r="AA16" s="12">
        <f>Z16*VLOOKUP($A16,'EU Ref Sc 2020 Energy intensive'!$A$5:$AE$33,AA$2)</f>
        <v>13.643595875413681</v>
      </c>
      <c r="AB16" s="12">
        <f>AA16*VLOOKUP($A16,'EU Ref Sc 2020 Energy intensive'!$A$5:$AE$33,AB$2)</f>
        <v>13.646057581565946</v>
      </c>
      <c r="AC16" s="12">
        <f>AB16*VLOOKUP($A16,'EU Ref Sc 2020 Energy intensive'!$A$5:$AE$33,AC$2)</f>
        <v>13.648519287718212</v>
      </c>
      <c r="AD16" s="12">
        <f>AC16*VLOOKUP($A16,'EU Ref Sc 2020 Energy intensive'!$A$5:$AE$33,AD$2)</f>
        <v>13.636962481503812</v>
      </c>
      <c r="AE16" s="12">
        <f>AD16*VLOOKUP($A16,'EU Ref Sc 2020 Energy intensive'!$A$5:$AE$33,AE$2)</f>
        <v>13.625405675289411</v>
      </c>
      <c r="AF16" s="12">
        <f>AE16*VLOOKUP($A16,'EU Ref Sc 2020 Energy intensive'!$A$5:$AE$33,AF$2)</f>
        <v>13.61384886907501</v>
      </c>
      <c r="AG16" s="12">
        <f>AF16*VLOOKUP($A16,'EU Ref Sc 2020 Energy intensive'!$A$5:$AE$33,AG$2)</f>
        <v>13.602292062860609</v>
      </c>
      <c r="AH16" s="12">
        <f>AG16*VLOOKUP($A16,'EU Ref Sc 2020 Energy intensive'!$A$5:$AE$33,AH$2)</f>
        <v>13.590735256646205</v>
      </c>
      <c r="AI16" s="13">
        <f t="shared" ref="AI16:AR16" si="13">AH16</f>
        <v>13.590735256646205</v>
      </c>
      <c r="AJ16" s="13">
        <f t="shared" si="13"/>
        <v>13.590735256646205</v>
      </c>
      <c r="AK16" s="13">
        <f t="shared" si="13"/>
        <v>13.590735256646205</v>
      </c>
      <c r="AL16" s="13">
        <f t="shared" si="13"/>
        <v>13.590735256646205</v>
      </c>
      <c r="AM16" s="13">
        <f t="shared" si="13"/>
        <v>13.590735256646205</v>
      </c>
      <c r="AN16" s="13">
        <f t="shared" si="13"/>
        <v>13.590735256646205</v>
      </c>
      <c r="AO16" s="13">
        <f t="shared" si="13"/>
        <v>13.590735256646205</v>
      </c>
      <c r="AP16" s="13">
        <f t="shared" si="13"/>
        <v>13.590735256646205</v>
      </c>
      <c r="AQ16" s="13">
        <f t="shared" si="13"/>
        <v>13.590735256646205</v>
      </c>
      <c r="AR16" s="13">
        <f t="shared" si="13"/>
        <v>13.590735256646205</v>
      </c>
    </row>
    <row r="17" spans="1:44" x14ac:dyDescent="0.3">
      <c r="A17" t="s">
        <v>1425</v>
      </c>
      <c r="B17" t="s">
        <v>1394</v>
      </c>
      <c r="C17" t="s">
        <v>1372</v>
      </c>
      <c r="D17" t="str">
        <f t="shared" si="0"/>
        <v>SKIMEP</v>
      </c>
      <c r="E17" s="2">
        <v>1.2402</v>
      </c>
      <c r="F17" s="12">
        <f>E17*VLOOKUP($A17,'EU Ref Sc 2020 Energy intensive'!$A$5:$AE$33,F$2)</f>
        <v>1.2449537053880557</v>
      </c>
      <c r="G17" s="12">
        <f>F17*VLOOKUP($A17,'EU Ref Sc 2020 Energy intensive'!$A$5:$AE$33,G$2)</f>
        <v>1.2497074107761115</v>
      </c>
      <c r="H17" s="12">
        <f>G17*VLOOKUP($A17,'EU Ref Sc 2020 Energy intensive'!$A$5:$AE$33,H$2)</f>
        <v>1.2544611161641672</v>
      </c>
      <c r="I17" s="12">
        <f>H17*VLOOKUP($A17,'EU Ref Sc 2020 Energy intensive'!$A$5:$AE$33,I$2)</f>
        <v>1.259214821552223</v>
      </c>
      <c r="J17" s="12">
        <f>I17*VLOOKUP($A17,'EU Ref Sc 2020 Energy intensive'!$A$5:$AE$33,J$2)</f>
        <v>1.2460362078598359</v>
      </c>
      <c r="K17" s="12">
        <f>J17*VLOOKUP($A17,'EU Ref Sc 2020 Energy intensive'!$A$5:$AE$33,K$2)</f>
        <v>1.2328575941674489</v>
      </c>
      <c r="L17" s="12">
        <f>K17*VLOOKUP($A17,'EU Ref Sc 2020 Energy intensive'!$A$5:$AE$33,L$2)</f>
        <v>1.2196789804750618</v>
      </c>
      <c r="M17" s="12">
        <f>L17*VLOOKUP($A17,'EU Ref Sc 2020 Energy intensive'!$A$5:$AE$33,M$2)</f>
        <v>1.2065003667826748</v>
      </c>
      <c r="N17" s="12">
        <f>M17*VLOOKUP($A17,'EU Ref Sc 2020 Energy intensive'!$A$5:$AE$33,N$2)</f>
        <v>1.1933217530902882</v>
      </c>
      <c r="O17" s="12">
        <f>N17*VLOOKUP($A17,'EU Ref Sc 2020 Energy intensive'!$A$5:$AE$33,O$2)</f>
        <v>1.1852378076153749</v>
      </c>
      <c r="P17" s="12">
        <f>O17*VLOOKUP($A17,'EU Ref Sc 2020 Energy intensive'!$A$5:$AE$33,P$2)</f>
        <v>1.1771538621404616</v>
      </c>
      <c r="Q17" s="12">
        <f>P17*VLOOKUP($A17,'EU Ref Sc 2020 Energy intensive'!$A$5:$AE$33,Q$2)</f>
        <v>1.169069916665548</v>
      </c>
      <c r="R17" s="12">
        <f>Q17*VLOOKUP($A17,'EU Ref Sc 2020 Energy intensive'!$A$5:$AE$33,R$2)</f>
        <v>1.1609859711906347</v>
      </c>
      <c r="S17" s="12">
        <f>R17*VLOOKUP($A17,'EU Ref Sc 2020 Energy intensive'!$A$5:$AE$33,S$2)</f>
        <v>1.1529020257157208</v>
      </c>
      <c r="T17" s="12">
        <f>S17*VLOOKUP($A17,'EU Ref Sc 2020 Energy intensive'!$A$5:$AE$33,T$2)</f>
        <v>1.1321980783306294</v>
      </c>
      <c r="U17" s="12">
        <f>T17*VLOOKUP($A17,'EU Ref Sc 2020 Energy intensive'!$A$5:$AE$33,U$2)</f>
        <v>1.111494130945538</v>
      </c>
      <c r="V17" s="12">
        <f>U17*VLOOKUP($A17,'EU Ref Sc 2020 Energy intensive'!$A$5:$AE$33,V$2)</f>
        <v>1.0907901835604465</v>
      </c>
      <c r="W17" s="12">
        <f>V17*VLOOKUP($A17,'EU Ref Sc 2020 Energy intensive'!$A$5:$AE$33,W$2)</f>
        <v>1.0700862361753551</v>
      </c>
      <c r="X17" s="12">
        <f>W17*VLOOKUP($A17,'EU Ref Sc 2020 Energy intensive'!$A$5:$AE$33,X$2)</f>
        <v>1.0493822887902633</v>
      </c>
      <c r="Y17" s="12">
        <f>X17*VLOOKUP($A17,'EU Ref Sc 2020 Energy intensive'!$A$5:$AE$33,Y$2)</f>
        <v>1.0334435610215875</v>
      </c>
      <c r="Z17" s="12">
        <f>Y17*VLOOKUP($A17,'EU Ref Sc 2020 Energy intensive'!$A$5:$AE$33,Z$2)</f>
        <v>1.0175048332529115</v>
      </c>
      <c r="AA17" s="12">
        <f>Z17*VLOOKUP($A17,'EU Ref Sc 2020 Energy intensive'!$A$5:$AE$33,AA$2)</f>
        <v>1.0015661054842355</v>
      </c>
      <c r="AB17" s="12">
        <f>AA17*VLOOKUP($A17,'EU Ref Sc 2020 Energy intensive'!$A$5:$AE$33,AB$2)</f>
        <v>0.98562737771555964</v>
      </c>
      <c r="AC17" s="12">
        <f>AB17*VLOOKUP($A17,'EU Ref Sc 2020 Energy intensive'!$A$5:$AE$33,AC$2)</f>
        <v>0.96968864994688386</v>
      </c>
      <c r="AD17" s="12">
        <f>AC17*VLOOKUP($A17,'EU Ref Sc 2020 Energy intensive'!$A$5:$AE$33,AD$2)</f>
        <v>0.95404442141438028</v>
      </c>
      <c r="AE17" s="12">
        <f>AD17*VLOOKUP($A17,'EU Ref Sc 2020 Energy intensive'!$A$5:$AE$33,AE$2)</f>
        <v>0.9384001928818767</v>
      </c>
      <c r="AF17" s="12">
        <f>AE17*VLOOKUP($A17,'EU Ref Sc 2020 Energy intensive'!$A$5:$AE$33,AF$2)</f>
        <v>0.92275596434937313</v>
      </c>
      <c r="AG17" s="12">
        <f>AF17*VLOOKUP($A17,'EU Ref Sc 2020 Energy intensive'!$A$5:$AE$33,AG$2)</f>
        <v>0.90711173581686955</v>
      </c>
      <c r="AH17" s="12">
        <f>AG17*VLOOKUP($A17,'EU Ref Sc 2020 Energy intensive'!$A$5:$AE$33,AH$2)</f>
        <v>0.89146750728436586</v>
      </c>
      <c r="AI17" s="13">
        <f t="shared" ref="AI17:AR17" si="14">AH17</f>
        <v>0.89146750728436586</v>
      </c>
      <c r="AJ17" s="13">
        <f t="shared" si="14"/>
        <v>0.89146750728436586</v>
      </c>
      <c r="AK17" s="13">
        <f t="shared" si="14"/>
        <v>0.89146750728436586</v>
      </c>
      <c r="AL17" s="13">
        <f t="shared" si="14"/>
        <v>0.89146750728436586</v>
      </c>
      <c r="AM17" s="13">
        <f t="shared" si="14"/>
        <v>0.89146750728436586</v>
      </c>
      <c r="AN17" s="13">
        <f t="shared" si="14"/>
        <v>0.89146750728436586</v>
      </c>
      <c r="AO17" s="13">
        <f t="shared" si="14"/>
        <v>0.89146750728436586</v>
      </c>
      <c r="AP17" s="13">
        <f t="shared" si="14"/>
        <v>0.89146750728436586</v>
      </c>
      <c r="AQ17" s="13">
        <f t="shared" si="14"/>
        <v>0.89146750728436586</v>
      </c>
      <c r="AR17" s="13">
        <f t="shared" si="14"/>
        <v>0.89146750728436586</v>
      </c>
    </row>
    <row r="18" spans="1:44" x14ac:dyDescent="0.3">
      <c r="A18" t="s">
        <v>1390</v>
      </c>
      <c r="B18" t="s">
        <v>1395</v>
      </c>
      <c r="C18" t="s">
        <v>52</v>
      </c>
      <c r="D18" t="str">
        <f t="shared" si="0"/>
        <v>ATIMEO</v>
      </c>
      <c r="E18" s="2">
        <v>14.5245</v>
      </c>
      <c r="F18" s="7">
        <f>E18*VLOOKUP($A18,'EU Ref Sc 2020 Other industries'!$A$5:$AE$33,F$2)</f>
        <v>14.753360550644226</v>
      </c>
      <c r="G18" s="7">
        <f>F18*VLOOKUP($A18,'EU Ref Sc 2020 Other industries'!$A$5:$AE$33,G$2)</f>
        <v>14.982221101288451</v>
      </c>
      <c r="H18" s="7">
        <f>G18*VLOOKUP($A18,'EU Ref Sc 2020 Other industries'!$A$5:$AE$33,H$2)</f>
        <v>15.211081651932673</v>
      </c>
      <c r="I18" s="7">
        <f>H18*VLOOKUP($A18,'EU Ref Sc 2020 Other industries'!$A$5:$AE$33,I$2)</f>
        <v>15.439942202576898</v>
      </c>
      <c r="J18" s="7">
        <f>I18*VLOOKUP($A18,'EU Ref Sc 2020 Other industries'!$A$5:$AE$33,J$2)</f>
        <v>15.334295925804367</v>
      </c>
      <c r="K18" s="7">
        <f>J18*VLOOKUP($A18,'EU Ref Sc 2020 Other industries'!$A$5:$AE$33,K$2)</f>
        <v>15.228649649031839</v>
      </c>
      <c r="L18" s="7">
        <f>K18*VLOOKUP($A18,'EU Ref Sc 2020 Other industries'!$A$5:$AE$33,L$2)</f>
        <v>15.123003372259308</v>
      </c>
      <c r="M18" s="7">
        <f>L18*VLOOKUP($A18,'EU Ref Sc 2020 Other industries'!$A$5:$AE$33,M$2)</f>
        <v>15.017357095486778</v>
      </c>
      <c r="N18" s="7">
        <f>M18*VLOOKUP($A18,'EU Ref Sc 2020 Other industries'!$A$5:$AE$33,N$2)</f>
        <v>14.911710818714251</v>
      </c>
      <c r="O18" s="7">
        <f>N18*VLOOKUP($A18,'EU Ref Sc 2020 Other industries'!$A$5:$AE$33,O$2)</f>
        <v>15.084012084700362</v>
      </c>
      <c r="P18" s="7">
        <f>O18*VLOOKUP($A18,'EU Ref Sc 2020 Other industries'!$A$5:$AE$33,P$2)</f>
        <v>15.256313350686472</v>
      </c>
      <c r="Q18" s="7">
        <f>P18*VLOOKUP($A18,'EU Ref Sc 2020 Other industries'!$A$5:$AE$33,Q$2)</f>
        <v>15.428614616672583</v>
      </c>
      <c r="R18" s="7">
        <f>Q18*VLOOKUP($A18,'EU Ref Sc 2020 Other industries'!$A$5:$AE$33,R$2)</f>
        <v>15.600915882658693</v>
      </c>
      <c r="S18" s="7">
        <f>R18*VLOOKUP($A18,'EU Ref Sc 2020 Other industries'!$A$5:$AE$33,S$2)</f>
        <v>15.773217148644807</v>
      </c>
      <c r="T18" s="7">
        <f>S18*VLOOKUP($A18,'EU Ref Sc 2020 Other industries'!$A$5:$AE$33,T$2)</f>
        <v>15.971166680053161</v>
      </c>
      <c r="U18" s="7">
        <f>T18*VLOOKUP($A18,'EU Ref Sc 2020 Other industries'!$A$5:$AE$33,U$2)</f>
        <v>16.169116211461514</v>
      </c>
      <c r="V18" s="7">
        <f>U18*VLOOKUP($A18,'EU Ref Sc 2020 Other industries'!$A$5:$AE$33,V$2)</f>
        <v>16.367065742869869</v>
      </c>
      <c r="W18" s="7">
        <f>V18*VLOOKUP($A18,'EU Ref Sc 2020 Other industries'!$A$5:$AE$33,W$2)</f>
        <v>16.56501527427822</v>
      </c>
      <c r="X18" s="7">
        <f>W18*VLOOKUP($A18,'EU Ref Sc 2020 Other industries'!$A$5:$AE$33,X$2)</f>
        <v>16.762964805686575</v>
      </c>
      <c r="Y18" s="7">
        <f>X18*VLOOKUP($A18,'EU Ref Sc 2020 Other industries'!$A$5:$AE$33,Y$2)</f>
        <v>16.915352419149002</v>
      </c>
      <c r="Z18" s="7">
        <f>Y18*VLOOKUP($A18,'EU Ref Sc 2020 Other industries'!$A$5:$AE$33,Z$2)</f>
        <v>17.067740032611425</v>
      </c>
      <c r="AA18" s="7">
        <f>Z18*VLOOKUP($A18,'EU Ref Sc 2020 Other industries'!$A$5:$AE$33,AA$2)</f>
        <v>17.220127646073852</v>
      </c>
      <c r="AB18" s="7">
        <f>AA18*VLOOKUP($A18,'EU Ref Sc 2020 Other industries'!$A$5:$AE$33,AB$2)</f>
        <v>17.372515259536279</v>
      </c>
      <c r="AC18" s="7">
        <f>AB18*VLOOKUP($A18,'EU Ref Sc 2020 Other industries'!$A$5:$AE$33,AC$2)</f>
        <v>17.524902872998702</v>
      </c>
      <c r="AD18" s="7">
        <f>AC18*VLOOKUP($A18,'EU Ref Sc 2020 Other industries'!$A$5:$AE$33,AD$2)</f>
        <v>17.672203875866373</v>
      </c>
      <c r="AE18" s="7">
        <f>AD18*VLOOKUP($A18,'EU Ref Sc 2020 Other industries'!$A$5:$AE$33,AE$2)</f>
        <v>17.819504878734044</v>
      </c>
      <c r="AF18" s="7">
        <f>AE18*VLOOKUP($A18,'EU Ref Sc 2020 Other industries'!$A$5:$AE$33,AF$2)</f>
        <v>17.966805881601715</v>
      </c>
      <c r="AG18" s="7">
        <f>AF18*VLOOKUP($A18,'EU Ref Sc 2020 Other industries'!$A$5:$AE$33,AG$2)</f>
        <v>18.114106884469386</v>
      </c>
      <c r="AH18" s="7">
        <f>AG18*VLOOKUP($A18,'EU Ref Sc 2020 Other industries'!$A$5:$AE$33,AH$2)</f>
        <v>18.261407887337061</v>
      </c>
      <c r="AI18" s="13">
        <f t="shared" ref="AI18:AR18" si="15">AH18</f>
        <v>18.261407887337061</v>
      </c>
      <c r="AJ18" s="13">
        <f t="shared" si="15"/>
        <v>18.261407887337061</v>
      </c>
      <c r="AK18" s="13">
        <f t="shared" si="15"/>
        <v>18.261407887337061</v>
      </c>
      <c r="AL18" s="13">
        <f t="shared" si="15"/>
        <v>18.261407887337061</v>
      </c>
      <c r="AM18" s="13">
        <f t="shared" si="15"/>
        <v>18.261407887337061</v>
      </c>
      <c r="AN18" s="13">
        <f t="shared" si="15"/>
        <v>18.261407887337061</v>
      </c>
      <c r="AO18" s="13">
        <f t="shared" si="15"/>
        <v>18.261407887337061</v>
      </c>
      <c r="AP18" s="13">
        <f t="shared" si="15"/>
        <v>18.261407887337061</v>
      </c>
      <c r="AQ18" s="13">
        <f t="shared" si="15"/>
        <v>18.261407887337061</v>
      </c>
      <c r="AR18" s="13">
        <f t="shared" si="15"/>
        <v>18.261407887337061</v>
      </c>
    </row>
    <row r="19" spans="1:44" x14ac:dyDescent="0.3">
      <c r="A19" t="s">
        <v>1396</v>
      </c>
      <c r="B19" t="s">
        <v>1395</v>
      </c>
      <c r="C19" t="s">
        <v>107</v>
      </c>
      <c r="D19" t="str">
        <f t="shared" si="0"/>
        <v>BEIMEO</v>
      </c>
      <c r="E19" s="2">
        <v>13.0382</v>
      </c>
      <c r="F19" s="7">
        <f>E19*VLOOKUP($A19,'EU Ref Sc 2020 Other industries'!$A$5:$AE$33,F$2)</f>
        <v>13.377703626189369</v>
      </c>
      <c r="G19" s="7">
        <f>F19*VLOOKUP($A19,'EU Ref Sc 2020 Other industries'!$A$5:$AE$33,G$2)</f>
        <v>13.717207252378737</v>
      </c>
      <c r="H19" s="7">
        <f>G19*VLOOKUP($A19,'EU Ref Sc 2020 Other industries'!$A$5:$AE$33,H$2)</f>
        <v>14.056710878568104</v>
      </c>
      <c r="I19" s="7">
        <f>H19*VLOOKUP($A19,'EU Ref Sc 2020 Other industries'!$A$5:$AE$33,I$2)</f>
        <v>14.396214504757475</v>
      </c>
      <c r="J19" s="7">
        <f>I19*VLOOKUP($A19,'EU Ref Sc 2020 Other industries'!$A$5:$AE$33,J$2)</f>
        <v>14.346147768054868</v>
      </c>
      <c r="K19" s="7">
        <f>J19*VLOOKUP($A19,'EU Ref Sc 2020 Other industries'!$A$5:$AE$33,K$2)</f>
        <v>14.296081031352259</v>
      </c>
      <c r="L19" s="7">
        <f>K19*VLOOKUP($A19,'EU Ref Sc 2020 Other industries'!$A$5:$AE$33,L$2)</f>
        <v>14.246014294649649</v>
      </c>
      <c r="M19" s="7">
        <f>L19*VLOOKUP($A19,'EU Ref Sc 2020 Other industries'!$A$5:$AE$33,M$2)</f>
        <v>14.19594755794704</v>
      </c>
      <c r="N19" s="7">
        <f>M19*VLOOKUP($A19,'EU Ref Sc 2020 Other industries'!$A$5:$AE$33,N$2)</f>
        <v>14.145880821244431</v>
      </c>
      <c r="O19" s="7">
        <f>N19*VLOOKUP($A19,'EU Ref Sc 2020 Other industries'!$A$5:$AE$33,O$2)</f>
        <v>13.985098935545919</v>
      </c>
      <c r="P19" s="7">
        <f>O19*VLOOKUP($A19,'EU Ref Sc 2020 Other industries'!$A$5:$AE$33,P$2)</f>
        <v>13.824317049847407</v>
      </c>
      <c r="Q19" s="7">
        <f>P19*VLOOKUP($A19,'EU Ref Sc 2020 Other industries'!$A$5:$AE$33,Q$2)</f>
        <v>13.663535164148895</v>
      </c>
      <c r="R19" s="7">
        <f>Q19*VLOOKUP($A19,'EU Ref Sc 2020 Other industries'!$A$5:$AE$33,R$2)</f>
        <v>13.502753278450385</v>
      </c>
      <c r="S19" s="7">
        <f>R19*VLOOKUP($A19,'EU Ref Sc 2020 Other industries'!$A$5:$AE$33,S$2)</f>
        <v>13.341971392751873</v>
      </c>
      <c r="T19" s="7">
        <f>S19*VLOOKUP($A19,'EU Ref Sc 2020 Other industries'!$A$5:$AE$33,T$2)</f>
        <v>13.42780568438131</v>
      </c>
      <c r="U19" s="7">
        <f>T19*VLOOKUP($A19,'EU Ref Sc 2020 Other industries'!$A$5:$AE$33,U$2)</f>
        <v>13.513639976010744</v>
      </c>
      <c r="V19" s="7">
        <f>U19*VLOOKUP($A19,'EU Ref Sc 2020 Other industries'!$A$5:$AE$33,V$2)</f>
        <v>13.599474267640181</v>
      </c>
      <c r="W19" s="7">
        <f>V19*VLOOKUP($A19,'EU Ref Sc 2020 Other industries'!$A$5:$AE$33,W$2)</f>
        <v>13.685308559269618</v>
      </c>
      <c r="X19" s="7">
        <f>W19*VLOOKUP($A19,'EU Ref Sc 2020 Other industries'!$A$5:$AE$33,X$2)</f>
        <v>13.771142850899054</v>
      </c>
      <c r="Y19" s="7">
        <f>X19*VLOOKUP($A19,'EU Ref Sc 2020 Other industries'!$A$5:$AE$33,Y$2)</f>
        <v>13.920464645598765</v>
      </c>
      <c r="Z19" s="7">
        <f>Y19*VLOOKUP($A19,'EU Ref Sc 2020 Other industries'!$A$5:$AE$33,Z$2)</f>
        <v>14.069786440298477</v>
      </c>
      <c r="AA19" s="7">
        <f>Z19*VLOOKUP($A19,'EU Ref Sc 2020 Other industries'!$A$5:$AE$33,AA$2)</f>
        <v>14.21910823499819</v>
      </c>
      <c r="AB19" s="7">
        <f>AA19*VLOOKUP($A19,'EU Ref Sc 2020 Other industries'!$A$5:$AE$33,AB$2)</f>
        <v>14.368430029697903</v>
      </c>
      <c r="AC19" s="7">
        <f>AB19*VLOOKUP($A19,'EU Ref Sc 2020 Other industries'!$A$5:$AE$33,AC$2)</f>
        <v>14.517751824397614</v>
      </c>
      <c r="AD19" s="7">
        <f>AC19*VLOOKUP($A19,'EU Ref Sc 2020 Other industries'!$A$5:$AE$33,AD$2)</f>
        <v>14.669690562086179</v>
      </c>
      <c r="AE19" s="7">
        <f>AD19*VLOOKUP($A19,'EU Ref Sc 2020 Other industries'!$A$5:$AE$33,AE$2)</f>
        <v>14.821629299774743</v>
      </c>
      <c r="AF19" s="7">
        <f>AE19*VLOOKUP($A19,'EU Ref Sc 2020 Other industries'!$A$5:$AE$33,AF$2)</f>
        <v>14.973568037463307</v>
      </c>
      <c r="AG19" s="7">
        <f>AF19*VLOOKUP($A19,'EU Ref Sc 2020 Other industries'!$A$5:$AE$33,AG$2)</f>
        <v>15.125506775151871</v>
      </c>
      <c r="AH19" s="7">
        <f>AG19*VLOOKUP($A19,'EU Ref Sc 2020 Other industries'!$A$5:$AE$33,AH$2)</f>
        <v>15.277445512840437</v>
      </c>
      <c r="AI19" s="13">
        <f t="shared" ref="AI19:AR19" si="16">AH19</f>
        <v>15.277445512840437</v>
      </c>
      <c r="AJ19" s="13">
        <f t="shared" si="16"/>
        <v>15.277445512840437</v>
      </c>
      <c r="AK19" s="13">
        <f t="shared" si="16"/>
        <v>15.277445512840437</v>
      </c>
      <c r="AL19" s="13">
        <f t="shared" si="16"/>
        <v>15.277445512840437</v>
      </c>
      <c r="AM19" s="13">
        <f t="shared" si="16"/>
        <v>15.277445512840437</v>
      </c>
      <c r="AN19" s="13">
        <f t="shared" si="16"/>
        <v>15.277445512840437</v>
      </c>
      <c r="AO19" s="13">
        <f t="shared" si="16"/>
        <v>15.277445512840437</v>
      </c>
      <c r="AP19" s="13">
        <f t="shared" si="16"/>
        <v>15.277445512840437</v>
      </c>
      <c r="AQ19" s="13">
        <f t="shared" si="16"/>
        <v>15.277445512840437</v>
      </c>
      <c r="AR19" s="13">
        <f t="shared" si="16"/>
        <v>15.277445512840437</v>
      </c>
    </row>
    <row r="20" spans="1:44" x14ac:dyDescent="0.3">
      <c r="A20" t="s">
        <v>1398</v>
      </c>
      <c r="B20" t="s">
        <v>1395</v>
      </c>
      <c r="C20" t="s">
        <v>162</v>
      </c>
      <c r="D20" t="str">
        <f t="shared" si="0"/>
        <v>BGIMEO</v>
      </c>
      <c r="E20" s="2">
        <v>5.4743000000000004</v>
      </c>
      <c r="F20" s="7">
        <f>E20*VLOOKUP($A20,'EU Ref Sc 2020 Other industries'!$A$5:$AE$33,F$2)</f>
        <v>5.6672845542110499</v>
      </c>
      <c r="G20" s="7">
        <f>F20*VLOOKUP($A20,'EU Ref Sc 2020 Other industries'!$A$5:$AE$33,G$2)</f>
        <v>5.8602691084221004</v>
      </c>
      <c r="H20" s="7">
        <f>G20*VLOOKUP($A20,'EU Ref Sc 2020 Other industries'!$A$5:$AE$33,H$2)</f>
        <v>6.0532536626331499</v>
      </c>
      <c r="I20" s="7">
        <f>H20*VLOOKUP($A20,'EU Ref Sc 2020 Other industries'!$A$5:$AE$33,I$2)</f>
        <v>6.2462382168442003</v>
      </c>
      <c r="J20" s="7">
        <f>I20*VLOOKUP($A20,'EU Ref Sc 2020 Other industries'!$A$5:$AE$33,J$2)</f>
        <v>6.4315634060330362</v>
      </c>
      <c r="K20" s="7">
        <f>J20*VLOOKUP($A20,'EU Ref Sc 2020 Other industries'!$A$5:$AE$33,K$2)</f>
        <v>6.6168885952218721</v>
      </c>
      <c r="L20" s="7">
        <f>K20*VLOOKUP($A20,'EU Ref Sc 2020 Other industries'!$A$5:$AE$33,L$2)</f>
        <v>6.802213784410708</v>
      </c>
      <c r="M20" s="7">
        <f>L20*VLOOKUP($A20,'EU Ref Sc 2020 Other industries'!$A$5:$AE$33,M$2)</f>
        <v>6.9875389735995448</v>
      </c>
      <c r="N20" s="7">
        <f>M20*VLOOKUP($A20,'EU Ref Sc 2020 Other industries'!$A$5:$AE$33,N$2)</f>
        <v>7.1728641627883816</v>
      </c>
      <c r="O20" s="7">
        <f>N20*VLOOKUP($A20,'EU Ref Sc 2020 Other industries'!$A$5:$AE$33,O$2)</f>
        <v>7.1236908780112902</v>
      </c>
      <c r="P20" s="7">
        <f>O20*VLOOKUP($A20,'EU Ref Sc 2020 Other industries'!$A$5:$AE$33,P$2)</f>
        <v>7.0745175932341979</v>
      </c>
      <c r="Q20" s="7">
        <f>P20*VLOOKUP($A20,'EU Ref Sc 2020 Other industries'!$A$5:$AE$33,Q$2)</f>
        <v>7.0253443084571066</v>
      </c>
      <c r="R20" s="7">
        <f>Q20*VLOOKUP($A20,'EU Ref Sc 2020 Other industries'!$A$5:$AE$33,R$2)</f>
        <v>6.9761710236800152</v>
      </c>
      <c r="S20" s="7">
        <f>R20*VLOOKUP($A20,'EU Ref Sc 2020 Other industries'!$A$5:$AE$33,S$2)</f>
        <v>6.9269977389029211</v>
      </c>
      <c r="T20" s="7">
        <f>S20*VLOOKUP($A20,'EU Ref Sc 2020 Other industries'!$A$5:$AE$33,T$2)</f>
        <v>6.9162704560475898</v>
      </c>
      <c r="U20" s="7">
        <f>T20*VLOOKUP($A20,'EU Ref Sc 2020 Other industries'!$A$5:$AE$33,U$2)</f>
        <v>6.9055431731922585</v>
      </c>
      <c r="V20" s="7">
        <f>U20*VLOOKUP($A20,'EU Ref Sc 2020 Other industries'!$A$5:$AE$33,V$2)</f>
        <v>6.8948158903369272</v>
      </c>
      <c r="W20" s="7">
        <f>V20*VLOOKUP($A20,'EU Ref Sc 2020 Other industries'!$A$5:$AE$33,W$2)</f>
        <v>6.8840886074815959</v>
      </c>
      <c r="X20" s="7">
        <f>W20*VLOOKUP($A20,'EU Ref Sc 2020 Other industries'!$A$5:$AE$33,X$2)</f>
        <v>6.8733613246262646</v>
      </c>
      <c r="Y20" s="7">
        <f>X20*VLOOKUP($A20,'EU Ref Sc 2020 Other industries'!$A$5:$AE$33,Y$2)</f>
        <v>6.9337083259220194</v>
      </c>
      <c r="Z20" s="7">
        <f>Y20*VLOOKUP($A20,'EU Ref Sc 2020 Other industries'!$A$5:$AE$33,Z$2)</f>
        <v>6.9940553272177741</v>
      </c>
      <c r="AA20" s="7">
        <f>Z20*VLOOKUP($A20,'EU Ref Sc 2020 Other industries'!$A$5:$AE$33,AA$2)</f>
        <v>7.0544023285135298</v>
      </c>
      <c r="AB20" s="7">
        <f>AA20*VLOOKUP($A20,'EU Ref Sc 2020 Other industries'!$A$5:$AE$33,AB$2)</f>
        <v>7.1147493298092854</v>
      </c>
      <c r="AC20" s="7">
        <f>AB20*VLOOKUP($A20,'EU Ref Sc 2020 Other industries'!$A$5:$AE$33,AC$2)</f>
        <v>7.1750963311050402</v>
      </c>
      <c r="AD20" s="7">
        <f>AC20*VLOOKUP($A20,'EU Ref Sc 2020 Other industries'!$A$5:$AE$33,AD$2)</f>
        <v>7.1647125494758237</v>
      </c>
      <c r="AE20" s="7">
        <f>AD20*VLOOKUP($A20,'EU Ref Sc 2020 Other industries'!$A$5:$AE$33,AE$2)</f>
        <v>7.1543287678466072</v>
      </c>
      <c r="AF20" s="7">
        <f>AE20*VLOOKUP($A20,'EU Ref Sc 2020 Other industries'!$A$5:$AE$33,AF$2)</f>
        <v>7.1439449862173907</v>
      </c>
      <c r="AG20" s="7">
        <f>AF20*VLOOKUP($A20,'EU Ref Sc 2020 Other industries'!$A$5:$AE$33,AG$2)</f>
        <v>7.1335612045881742</v>
      </c>
      <c r="AH20" s="7">
        <f>AG20*VLOOKUP($A20,'EU Ref Sc 2020 Other industries'!$A$5:$AE$33,AH$2)</f>
        <v>7.1231774229589577</v>
      </c>
      <c r="AI20" s="13">
        <f t="shared" ref="AI20:AR20" si="17">AH20</f>
        <v>7.1231774229589577</v>
      </c>
      <c r="AJ20" s="13">
        <f t="shared" si="17"/>
        <v>7.1231774229589577</v>
      </c>
      <c r="AK20" s="13">
        <f t="shared" si="17"/>
        <v>7.1231774229589577</v>
      </c>
      <c r="AL20" s="13">
        <f t="shared" si="17"/>
        <v>7.1231774229589577</v>
      </c>
      <c r="AM20" s="13">
        <f t="shared" si="17"/>
        <v>7.1231774229589577</v>
      </c>
      <c r="AN20" s="13">
        <f t="shared" si="17"/>
        <v>7.1231774229589577</v>
      </c>
      <c r="AO20" s="13">
        <f t="shared" si="17"/>
        <v>7.1231774229589577</v>
      </c>
      <c r="AP20" s="13">
        <f t="shared" si="17"/>
        <v>7.1231774229589577</v>
      </c>
      <c r="AQ20" s="13">
        <f t="shared" si="17"/>
        <v>7.1231774229589577</v>
      </c>
      <c r="AR20" s="13">
        <f t="shared" si="17"/>
        <v>7.1231774229589577</v>
      </c>
    </row>
    <row r="21" spans="1:44" x14ac:dyDescent="0.3">
      <c r="A21" t="s">
        <v>1400</v>
      </c>
      <c r="B21" t="s">
        <v>1395</v>
      </c>
      <c r="C21" t="s">
        <v>195</v>
      </c>
      <c r="D21" t="str">
        <f t="shared" si="0"/>
        <v>CYIMEO</v>
      </c>
      <c r="E21" s="2">
        <v>0.34200000000000003</v>
      </c>
      <c r="F21" s="7">
        <f>E21*VLOOKUP($A21,'EU Ref Sc 2020 Other industries'!$A$5:$AE$33,F$2)</f>
        <v>0.34593815122044475</v>
      </c>
      <c r="G21" s="7">
        <f>F21*VLOOKUP($A21,'EU Ref Sc 2020 Other industries'!$A$5:$AE$33,G$2)</f>
        <v>0.34987630244088946</v>
      </c>
      <c r="H21" s="7">
        <f>G21*VLOOKUP($A21,'EU Ref Sc 2020 Other industries'!$A$5:$AE$33,H$2)</f>
        <v>0.35381445366133418</v>
      </c>
      <c r="I21" s="7">
        <f>H21*VLOOKUP($A21,'EU Ref Sc 2020 Other industries'!$A$5:$AE$33,I$2)</f>
        <v>0.35775260488177885</v>
      </c>
      <c r="J21" s="7">
        <f>I21*VLOOKUP($A21,'EU Ref Sc 2020 Other industries'!$A$5:$AE$33,J$2)</f>
        <v>0.35217754045238414</v>
      </c>
      <c r="K21" s="7">
        <f>J21*VLOOKUP($A21,'EU Ref Sc 2020 Other industries'!$A$5:$AE$33,K$2)</f>
        <v>0.34660247602298944</v>
      </c>
      <c r="L21" s="7">
        <f>K21*VLOOKUP($A21,'EU Ref Sc 2020 Other industries'!$A$5:$AE$33,L$2)</f>
        <v>0.34102741159359473</v>
      </c>
      <c r="M21" s="7">
        <f>L21*VLOOKUP($A21,'EU Ref Sc 2020 Other industries'!$A$5:$AE$33,M$2)</f>
        <v>0.33545234716420003</v>
      </c>
      <c r="N21" s="7">
        <f>M21*VLOOKUP($A21,'EU Ref Sc 2020 Other industries'!$A$5:$AE$33,N$2)</f>
        <v>0.32987728273480527</v>
      </c>
      <c r="O21" s="7">
        <f>N21*VLOOKUP($A21,'EU Ref Sc 2020 Other industries'!$A$5:$AE$33,O$2)</f>
        <v>0.33261393320334232</v>
      </c>
      <c r="P21" s="7">
        <f>O21*VLOOKUP($A21,'EU Ref Sc 2020 Other industries'!$A$5:$AE$33,P$2)</f>
        <v>0.33535058367187937</v>
      </c>
      <c r="Q21" s="7">
        <f>P21*VLOOKUP($A21,'EU Ref Sc 2020 Other industries'!$A$5:$AE$33,Q$2)</f>
        <v>0.33808723414041641</v>
      </c>
      <c r="R21" s="7">
        <f>Q21*VLOOKUP($A21,'EU Ref Sc 2020 Other industries'!$A$5:$AE$33,R$2)</f>
        <v>0.34082388460895346</v>
      </c>
      <c r="S21" s="7">
        <f>R21*VLOOKUP($A21,'EU Ref Sc 2020 Other industries'!$A$5:$AE$33,S$2)</f>
        <v>0.34356053507749057</v>
      </c>
      <c r="T21" s="7">
        <f>S21*VLOOKUP($A21,'EU Ref Sc 2020 Other industries'!$A$5:$AE$33,T$2)</f>
        <v>0.3401779545443796</v>
      </c>
      <c r="U21" s="7">
        <f>T21*VLOOKUP($A21,'EU Ref Sc 2020 Other industries'!$A$5:$AE$33,U$2)</f>
        <v>0.33679537401126863</v>
      </c>
      <c r="V21" s="7">
        <f>U21*VLOOKUP($A21,'EU Ref Sc 2020 Other industries'!$A$5:$AE$33,V$2)</f>
        <v>0.33341279347815767</v>
      </c>
      <c r="W21" s="7">
        <f>V21*VLOOKUP($A21,'EU Ref Sc 2020 Other industries'!$A$5:$AE$33,W$2)</f>
        <v>0.3300302129450467</v>
      </c>
      <c r="X21" s="7">
        <f>W21*VLOOKUP($A21,'EU Ref Sc 2020 Other industries'!$A$5:$AE$33,X$2)</f>
        <v>0.32664763241193567</v>
      </c>
      <c r="Y21" s="7">
        <f>X21*VLOOKUP($A21,'EU Ref Sc 2020 Other industries'!$A$5:$AE$33,Y$2)</f>
        <v>0.33777688717920901</v>
      </c>
      <c r="Z21" s="7">
        <f>Y21*VLOOKUP($A21,'EU Ref Sc 2020 Other industries'!$A$5:$AE$33,Z$2)</f>
        <v>0.34890614194648234</v>
      </c>
      <c r="AA21" s="7">
        <f>Z21*VLOOKUP($A21,'EU Ref Sc 2020 Other industries'!$A$5:$AE$33,AA$2)</f>
        <v>0.36003539671375578</v>
      </c>
      <c r="AB21" s="7">
        <f>AA21*VLOOKUP($A21,'EU Ref Sc 2020 Other industries'!$A$5:$AE$33,AB$2)</f>
        <v>0.37116465148102912</v>
      </c>
      <c r="AC21" s="7">
        <f>AB21*VLOOKUP($A21,'EU Ref Sc 2020 Other industries'!$A$5:$AE$33,AC$2)</f>
        <v>0.3822939062483024</v>
      </c>
      <c r="AD21" s="7">
        <f>AC21*VLOOKUP($A21,'EU Ref Sc 2020 Other industries'!$A$5:$AE$33,AD$2)</f>
        <v>0.37565815091770816</v>
      </c>
      <c r="AE21" s="7">
        <f>AD21*VLOOKUP($A21,'EU Ref Sc 2020 Other industries'!$A$5:$AE$33,AE$2)</f>
        <v>0.36902239558711397</v>
      </c>
      <c r="AF21" s="7">
        <f>AE21*VLOOKUP($A21,'EU Ref Sc 2020 Other industries'!$A$5:$AE$33,AF$2)</f>
        <v>0.36238664025651979</v>
      </c>
      <c r="AG21" s="7">
        <f>AF21*VLOOKUP($A21,'EU Ref Sc 2020 Other industries'!$A$5:$AE$33,AG$2)</f>
        <v>0.3557508849259256</v>
      </c>
      <c r="AH21" s="7">
        <f>AG21*VLOOKUP($A21,'EU Ref Sc 2020 Other industries'!$A$5:$AE$33,AH$2)</f>
        <v>0.34911512959533159</v>
      </c>
      <c r="AI21" s="13">
        <f t="shared" ref="AI21:AR21" si="18">AH21</f>
        <v>0.34911512959533159</v>
      </c>
      <c r="AJ21" s="13">
        <f t="shared" si="18"/>
        <v>0.34911512959533159</v>
      </c>
      <c r="AK21" s="13">
        <f t="shared" si="18"/>
        <v>0.34911512959533159</v>
      </c>
      <c r="AL21" s="13">
        <f t="shared" si="18"/>
        <v>0.34911512959533159</v>
      </c>
      <c r="AM21" s="13">
        <f t="shared" si="18"/>
        <v>0.34911512959533159</v>
      </c>
      <c r="AN21" s="13">
        <f t="shared" si="18"/>
        <v>0.34911512959533159</v>
      </c>
      <c r="AO21" s="13">
        <f t="shared" si="18"/>
        <v>0.34911512959533159</v>
      </c>
      <c r="AP21" s="13">
        <f t="shared" si="18"/>
        <v>0.34911512959533159</v>
      </c>
      <c r="AQ21" s="13">
        <f t="shared" si="18"/>
        <v>0.34911512959533159</v>
      </c>
      <c r="AR21" s="13">
        <f t="shared" si="18"/>
        <v>0.34911512959533159</v>
      </c>
    </row>
    <row r="22" spans="1:44" x14ac:dyDescent="0.3">
      <c r="A22" t="s">
        <v>1401</v>
      </c>
      <c r="B22" t="s">
        <v>1395</v>
      </c>
      <c r="C22" t="s">
        <v>250</v>
      </c>
      <c r="D22" t="str">
        <f t="shared" si="0"/>
        <v>CZIMEO</v>
      </c>
      <c r="E22" s="2">
        <v>16.877500000000001</v>
      </c>
      <c r="F22" s="7">
        <f>E22*VLOOKUP($A22,'EU Ref Sc 2020 Other industries'!$A$5:$AE$33,F$2)</f>
        <v>17.435174698204364</v>
      </c>
      <c r="G22" s="7">
        <f>F22*VLOOKUP($A22,'EU Ref Sc 2020 Other industries'!$A$5:$AE$33,G$2)</f>
        <v>17.992849396408726</v>
      </c>
      <c r="H22" s="7">
        <f>G22*VLOOKUP($A22,'EU Ref Sc 2020 Other industries'!$A$5:$AE$33,H$2)</f>
        <v>18.550524094613088</v>
      </c>
      <c r="I22" s="7">
        <f>H22*VLOOKUP($A22,'EU Ref Sc 2020 Other industries'!$A$5:$AE$33,I$2)</f>
        <v>19.108198792817454</v>
      </c>
      <c r="J22" s="7">
        <f>I22*VLOOKUP($A22,'EU Ref Sc 2020 Other industries'!$A$5:$AE$33,J$2)</f>
        <v>19.281007633320332</v>
      </c>
      <c r="K22" s="7">
        <f>J22*VLOOKUP($A22,'EU Ref Sc 2020 Other industries'!$A$5:$AE$33,K$2)</f>
        <v>19.45381647382321</v>
      </c>
      <c r="L22" s="7">
        <f>K22*VLOOKUP($A22,'EU Ref Sc 2020 Other industries'!$A$5:$AE$33,L$2)</f>
        <v>19.626625314326084</v>
      </c>
      <c r="M22" s="7">
        <f>L22*VLOOKUP($A22,'EU Ref Sc 2020 Other industries'!$A$5:$AE$33,M$2)</f>
        <v>19.799434154828958</v>
      </c>
      <c r="N22" s="7">
        <f>M22*VLOOKUP($A22,'EU Ref Sc 2020 Other industries'!$A$5:$AE$33,N$2)</f>
        <v>19.972242995331829</v>
      </c>
      <c r="O22" s="7">
        <f>N22*VLOOKUP($A22,'EU Ref Sc 2020 Other industries'!$A$5:$AE$33,O$2)</f>
        <v>20.026427563729229</v>
      </c>
      <c r="P22" s="7">
        <f>O22*VLOOKUP($A22,'EU Ref Sc 2020 Other industries'!$A$5:$AE$33,P$2)</f>
        <v>20.080612132126632</v>
      </c>
      <c r="Q22" s="7">
        <f>P22*VLOOKUP($A22,'EU Ref Sc 2020 Other industries'!$A$5:$AE$33,Q$2)</f>
        <v>20.134796700524031</v>
      </c>
      <c r="R22" s="7">
        <f>Q22*VLOOKUP($A22,'EU Ref Sc 2020 Other industries'!$A$5:$AE$33,R$2)</f>
        <v>20.188981268921435</v>
      </c>
      <c r="S22" s="7">
        <f>R22*VLOOKUP($A22,'EU Ref Sc 2020 Other industries'!$A$5:$AE$33,S$2)</f>
        <v>20.243165837318831</v>
      </c>
      <c r="T22" s="7">
        <f>S22*VLOOKUP($A22,'EU Ref Sc 2020 Other industries'!$A$5:$AE$33,T$2)</f>
        <v>20.361209778071128</v>
      </c>
      <c r="U22" s="7">
        <f>T22*VLOOKUP($A22,'EU Ref Sc 2020 Other industries'!$A$5:$AE$33,U$2)</f>
        <v>20.479253718823426</v>
      </c>
      <c r="V22" s="7">
        <f>U22*VLOOKUP($A22,'EU Ref Sc 2020 Other industries'!$A$5:$AE$33,V$2)</f>
        <v>20.597297659575723</v>
      </c>
      <c r="W22" s="7">
        <f>V22*VLOOKUP($A22,'EU Ref Sc 2020 Other industries'!$A$5:$AE$33,W$2)</f>
        <v>20.715341600328024</v>
      </c>
      <c r="X22" s="7">
        <f>W22*VLOOKUP($A22,'EU Ref Sc 2020 Other industries'!$A$5:$AE$33,X$2)</f>
        <v>20.833385541080329</v>
      </c>
      <c r="Y22" s="7">
        <f>X22*VLOOKUP($A22,'EU Ref Sc 2020 Other industries'!$A$5:$AE$33,Y$2)</f>
        <v>20.964782173656847</v>
      </c>
      <c r="Z22" s="7">
        <f>Y22*VLOOKUP($A22,'EU Ref Sc 2020 Other industries'!$A$5:$AE$33,Z$2)</f>
        <v>21.096178806233365</v>
      </c>
      <c r="AA22" s="7">
        <f>Z22*VLOOKUP($A22,'EU Ref Sc 2020 Other industries'!$A$5:$AE$33,AA$2)</f>
        <v>21.227575438809886</v>
      </c>
      <c r="AB22" s="7">
        <f>AA22*VLOOKUP($A22,'EU Ref Sc 2020 Other industries'!$A$5:$AE$33,AB$2)</f>
        <v>21.358972071386408</v>
      </c>
      <c r="AC22" s="7">
        <f>AB22*VLOOKUP($A22,'EU Ref Sc 2020 Other industries'!$A$5:$AE$33,AC$2)</f>
        <v>21.490368703962925</v>
      </c>
      <c r="AD22" s="7">
        <f>AC22*VLOOKUP($A22,'EU Ref Sc 2020 Other industries'!$A$5:$AE$33,AD$2)</f>
        <v>21.658232357899724</v>
      </c>
      <c r="AE22" s="7">
        <f>AD22*VLOOKUP($A22,'EU Ref Sc 2020 Other industries'!$A$5:$AE$33,AE$2)</f>
        <v>21.826096011836523</v>
      </c>
      <c r="AF22" s="7">
        <f>AE22*VLOOKUP($A22,'EU Ref Sc 2020 Other industries'!$A$5:$AE$33,AF$2)</f>
        <v>21.993959665773321</v>
      </c>
      <c r="AG22" s="7">
        <f>AF22*VLOOKUP($A22,'EU Ref Sc 2020 Other industries'!$A$5:$AE$33,AG$2)</f>
        <v>22.161823319710116</v>
      </c>
      <c r="AH22" s="7">
        <f>AG22*VLOOKUP($A22,'EU Ref Sc 2020 Other industries'!$A$5:$AE$33,AH$2)</f>
        <v>22.329686973646918</v>
      </c>
      <c r="AI22" s="13">
        <f t="shared" ref="AI22:AR22" si="19">AH22</f>
        <v>22.329686973646918</v>
      </c>
      <c r="AJ22" s="13">
        <f t="shared" si="19"/>
        <v>22.329686973646918</v>
      </c>
      <c r="AK22" s="13">
        <f t="shared" si="19"/>
        <v>22.329686973646918</v>
      </c>
      <c r="AL22" s="13">
        <f t="shared" si="19"/>
        <v>22.329686973646918</v>
      </c>
      <c r="AM22" s="13">
        <f t="shared" si="19"/>
        <v>22.329686973646918</v>
      </c>
      <c r="AN22" s="13">
        <f t="shared" si="19"/>
        <v>22.329686973646918</v>
      </c>
      <c r="AO22" s="13">
        <f t="shared" si="19"/>
        <v>22.329686973646918</v>
      </c>
      <c r="AP22" s="13">
        <f t="shared" si="19"/>
        <v>22.329686973646918</v>
      </c>
      <c r="AQ22" s="13">
        <f t="shared" si="19"/>
        <v>22.329686973646918</v>
      </c>
      <c r="AR22" s="13">
        <f t="shared" si="19"/>
        <v>22.329686973646918</v>
      </c>
    </row>
    <row r="23" spans="1:44" x14ac:dyDescent="0.3">
      <c r="A23" t="s">
        <v>1402</v>
      </c>
      <c r="B23" t="s">
        <v>1395</v>
      </c>
      <c r="C23" t="s">
        <v>305</v>
      </c>
      <c r="D23" t="str">
        <f t="shared" si="0"/>
        <v>DEIMEO</v>
      </c>
      <c r="E23" s="2">
        <v>121.40389999999999</v>
      </c>
      <c r="F23" s="7">
        <f>E23*VLOOKUP($A23,'EU Ref Sc 2020 Other industries'!$A$5:$AE$33,F$2)</f>
        <v>122.10904954191456</v>
      </c>
      <c r="G23" s="7">
        <f>F23*VLOOKUP($A23,'EU Ref Sc 2020 Other industries'!$A$5:$AE$33,G$2)</f>
        <v>122.81419908382911</v>
      </c>
      <c r="H23" s="7">
        <f>G23*VLOOKUP($A23,'EU Ref Sc 2020 Other industries'!$A$5:$AE$33,H$2)</f>
        <v>123.51934862574367</v>
      </c>
      <c r="I23" s="7">
        <f>H23*VLOOKUP($A23,'EU Ref Sc 2020 Other industries'!$A$5:$AE$33,I$2)</f>
        <v>124.22449816765823</v>
      </c>
      <c r="J23" s="7">
        <f>I23*VLOOKUP($A23,'EU Ref Sc 2020 Other industries'!$A$5:$AE$33,J$2)</f>
        <v>122.78730267528194</v>
      </c>
      <c r="K23" s="7">
        <f>J23*VLOOKUP($A23,'EU Ref Sc 2020 Other industries'!$A$5:$AE$33,K$2)</f>
        <v>121.35010718290565</v>
      </c>
      <c r="L23" s="7">
        <f>K23*VLOOKUP($A23,'EU Ref Sc 2020 Other industries'!$A$5:$AE$33,L$2)</f>
        <v>119.91291169052934</v>
      </c>
      <c r="M23" s="7">
        <f>L23*VLOOKUP($A23,'EU Ref Sc 2020 Other industries'!$A$5:$AE$33,M$2)</f>
        <v>118.47571619815304</v>
      </c>
      <c r="N23" s="7">
        <f>M23*VLOOKUP($A23,'EU Ref Sc 2020 Other industries'!$A$5:$AE$33,N$2)</f>
        <v>117.03852070577676</v>
      </c>
      <c r="O23" s="7">
        <f>N23*VLOOKUP($A23,'EU Ref Sc 2020 Other industries'!$A$5:$AE$33,O$2)</f>
        <v>116.56318399968701</v>
      </c>
      <c r="P23" s="7">
        <f>O23*VLOOKUP($A23,'EU Ref Sc 2020 Other industries'!$A$5:$AE$33,P$2)</f>
        <v>116.08784729359726</v>
      </c>
      <c r="Q23" s="7">
        <f>P23*VLOOKUP($A23,'EU Ref Sc 2020 Other industries'!$A$5:$AE$33,Q$2)</f>
        <v>115.61251058750751</v>
      </c>
      <c r="R23" s="7">
        <f>Q23*VLOOKUP($A23,'EU Ref Sc 2020 Other industries'!$A$5:$AE$33,R$2)</f>
        <v>115.13717388141777</v>
      </c>
      <c r="S23" s="7">
        <f>R23*VLOOKUP($A23,'EU Ref Sc 2020 Other industries'!$A$5:$AE$33,S$2)</f>
        <v>114.66183717532802</v>
      </c>
      <c r="T23" s="7">
        <f>S23*VLOOKUP($A23,'EU Ref Sc 2020 Other industries'!$A$5:$AE$33,T$2)</f>
        <v>114.27301812281462</v>
      </c>
      <c r="U23" s="7">
        <f>T23*VLOOKUP($A23,'EU Ref Sc 2020 Other industries'!$A$5:$AE$33,U$2)</f>
        <v>113.88419907030121</v>
      </c>
      <c r="V23" s="7">
        <f>U23*VLOOKUP($A23,'EU Ref Sc 2020 Other industries'!$A$5:$AE$33,V$2)</f>
        <v>113.4953800177878</v>
      </c>
      <c r="W23" s="7">
        <f>V23*VLOOKUP($A23,'EU Ref Sc 2020 Other industries'!$A$5:$AE$33,W$2)</f>
        <v>113.1065609652744</v>
      </c>
      <c r="X23" s="7">
        <f>W23*VLOOKUP($A23,'EU Ref Sc 2020 Other industries'!$A$5:$AE$33,X$2)</f>
        <v>112.71774191276099</v>
      </c>
      <c r="Y23" s="7">
        <f>X23*VLOOKUP($A23,'EU Ref Sc 2020 Other industries'!$A$5:$AE$33,Y$2)</f>
        <v>112.67442640296855</v>
      </c>
      <c r="Z23" s="7">
        <f>Y23*VLOOKUP($A23,'EU Ref Sc 2020 Other industries'!$A$5:$AE$33,Z$2)</f>
        <v>112.63111089317611</v>
      </c>
      <c r="AA23" s="7">
        <f>Z23*VLOOKUP($A23,'EU Ref Sc 2020 Other industries'!$A$5:$AE$33,AA$2)</f>
        <v>112.58779538338366</v>
      </c>
      <c r="AB23" s="7">
        <f>AA23*VLOOKUP($A23,'EU Ref Sc 2020 Other industries'!$A$5:$AE$33,AB$2)</f>
        <v>112.54447987359123</v>
      </c>
      <c r="AC23" s="7">
        <f>AB23*VLOOKUP($A23,'EU Ref Sc 2020 Other industries'!$A$5:$AE$33,AC$2)</f>
        <v>112.50116436379878</v>
      </c>
      <c r="AD23" s="7">
        <f>AC23*VLOOKUP($A23,'EU Ref Sc 2020 Other industries'!$A$5:$AE$33,AD$2)</f>
        <v>112.74394490402088</v>
      </c>
      <c r="AE23" s="7">
        <f>AD23*VLOOKUP($A23,'EU Ref Sc 2020 Other industries'!$A$5:$AE$33,AE$2)</f>
        <v>112.98672544424298</v>
      </c>
      <c r="AF23" s="7">
        <f>AE23*VLOOKUP($A23,'EU Ref Sc 2020 Other industries'!$A$5:$AE$33,AF$2)</f>
        <v>113.22950598446508</v>
      </c>
      <c r="AG23" s="7">
        <f>AF23*VLOOKUP($A23,'EU Ref Sc 2020 Other industries'!$A$5:$AE$33,AG$2)</f>
        <v>113.47228652468719</v>
      </c>
      <c r="AH23" s="7">
        <f>AG23*VLOOKUP($A23,'EU Ref Sc 2020 Other industries'!$A$5:$AE$33,AH$2)</f>
        <v>113.71506706490929</v>
      </c>
      <c r="AI23" s="13">
        <f t="shared" ref="AI23:AR23" si="20">AH23</f>
        <v>113.71506706490929</v>
      </c>
      <c r="AJ23" s="13">
        <f t="shared" si="20"/>
        <v>113.71506706490929</v>
      </c>
      <c r="AK23" s="13">
        <f t="shared" si="20"/>
        <v>113.71506706490929</v>
      </c>
      <c r="AL23" s="13">
        <f t="shared" si="20"/>
        <v>113.71506706490929</v>
      </c>
      <c r="AM23" s="13">
        <f t="shared" si="20"/>
        <v>113.71506706490929</v>
      </c>
      <c r="AN23" s="13">
        <f t="shared" si="20"/>
        <v>113.71506706490929</v>
      </c>
      <c r="AO23" s="13">
        <f t="shared" si="20"/>
        <v>113.71506706490929</v>
      </c>
      <c r="AP23" s="13">
        <f t="shared" si="20"/>
        <v>113.71506706490929</v>
      </c>
      <c r="AQ23" s="13">
        <f t="shared" si="20"/>
        <v>113.71506706490929</v>
      </c>
      <c r="AR23" s="13">
        <f t="shared" si="20"/>
        <v>113.71506706490929</v>
      </c>
    </row>
    <row r="24" spans="1:44" x14ac:dyDescent="0.3">
      <c r="A24" t="s">
        <v>1403</v>
      </c>
      <c r="B24" t="s">
        <v>1395</v>
      </c>
      <c r="C24" t="s">
        <v>360</v>
      </c>
      <c r="D24" t="str">
        <f t="shared" si="0"/>
        <v>DKIMEO</v>
      </c>
      <c r="E24" s="2">
        <v>3.0503</v>
      </c>
      <c r="F24" s="7">
        <f>E24*VLOOKUP($A24,'EU Ref Sc 2020 Other industries'!$A$5:$AE$33,F$2)</f>
        <v>3.0905729148603402</v>
      </c>
      <c r="G24" s="7">
        <f>F24*VLOOKUP($A24,'EU Ref Sc 2020 Other industries'!$A$5:$AE$33,G$2)</f>
        <v>3.1308458297206805</v>
      </c>
      <c r="H24" s="7">
        <f>G24*VLOOKUP($A24,'EU Ref Sc 2020 Other industries'!$A$5:$AE$33,H$2)</f>
        <v>3.1711187445810207</v>
      </c>
      <c r="I24" s="7">
        <f>H24*VLOOKUP($A24,'EU Ref Sc 2020 Other industries'!$A$5:$AE$33,I$2)</f>
        <v>3.2113916594413601</v>
      </c>
      <c r="J24" s="7">
        <f>I24*VLOOKUP($A24,'EU Ref Sc 2020 Other industries'!$A$5:$AE$33,J$2)</f>
        <v>3.3249756027254338</v>
      </c>
      <c r="K24" s="7">
        <f>J24*VLOOKUP($A24,'EU Ref Sc 2020 Other industries'!$A$5:$AE$33,K$2)</f>
        <v>3.438559546009508</v>
      </c>
      <c r="L24" s="7">
        <f>K24*VLOOKUP($A24,'EU Ref Sc 2020 Other industries'!$A$5:$AE$33,L$2)</f>
        <v>3.5521434892935821</v>
      </c>
      <c r="M24" s="7">
        <f>L24*VLOOKUP($A24,'EU Ref Sc 2020 Other industries'!$A$5:$AE$33,M$2)</f>
        <v>3.6657274325776563</v>
      </c>
      <c r="N24" s="7">
        <f>M24*VLOOKUP($A24,'EU Ref Sc 2020 Other industries'!$A$5:$AE$33,N$2)</f>
        <v>3.7793113758617318</v>
      </c>
      <c r="O24" s="7">
        <f>N24*VLOOKUP($A24,'EU Ref Sc 2020 Other industries'!$A$5:$AE$33,O$2)</f>
        <v>3.7867264866476762</v>
      </c>
      <c r="P24" s="7">
        <f>O24*VLOOKUP($A24,'EU Ref Sc 2020 Other industries'!$A$5:$AE$33,P$2)</f>
        <v>3.7941415974336201</v>
      </c>
      <c r="Q24" s="7">
        <f>P24*VLOOKUP($A24,'EU Ref Sc 2020 Other industries'!$A$5:$AE$33,Q$2)</f>
        <v>3.801556708219564</v>
      </c>
      <c r="R24" s="7">
        <f>Q24*VLOOKUP($A24,'EU Ref Sc 2020 Other industries'!$A$5:$AE$33,R$2)</f>
        <v>3.8089718190055089</v>
      </c>
      <c r="S24" s="7">
        <f>R24*VLOOKUP($A24,'EU Ref Sc 2020 Other industries'!$A$5:$AE$33,S$2)</f>
        <v>3.8163869297914523</v>
      </c>
      <c r="T24" s="7">
        <f>S24*VLOOKUP($A24,'EU Ref Sc 2020 Other industries'!$A$5:$AE$33,T$2)</f>
        <v>3.852026593686281</v>
      </c>
      <c r="U24" s="7">
        <f>T24*VLOOKUP($A24,'EU Ref Sc 2020 Other industries'!$A$5:$AE$33,U$2)</f>
        <v>3.8876662575811101</v>
      </c>
      <c r="V24" s="7">
        <f>U24*VLOOKUP($A24,'EU Ref Sc 2020 Other industries'!$A$5:$AE$33,V$2)</f>
        <v>3.9233059214759387</v>
      </c>
      <c r="W24" s="7">
        <f>V24*VLOOKUP($A24,'EU Ref Sc 2020 Other industries'!$A$5:$AE$33,W$2)</f>
        <v>3.9589455853707674</v>
      </c>
      <c r="X24" s="7">
        <f>W24*VLOOKUP($A24,'EU Ref Sc 2020 Other industries'!$A$5:$AE$33,X$2)</f>
        <v>3.9945852492655956</v>
      </c>
      <c r="Y24" s="7">
        <f>X24*VLOOKUP($A24,'EU Ref Sc 2020 Other industries'!$A$5:$AE$33,Y$2)</f>
        <v>4.0443214477444629</v>
      </c>
      <c r="Z24" s="7">
        <f>Y24*VLOOKUP($A24,'EU Ref Sc 2020 Other industries'!$A$5:$AE$33,Z$2)</f>
        <v>4.0940576462233311</v>
      </c>
      <c r="AA24" s="7">
        <f>Z24*VLOOKUP($A24,'EU Ref Sc 2020 Other industries'!$A$5:$AE$33,AA$2)</f>
        <v>4.1437938447021985</v>
      </c>
      <c r="AB24" s="7">
        <f>AA24*VLOOKUP($A24,'EU Ref Sc 2020 Other industries'!$A$5:$AE$33,AB$2)</f>
        <v>4.1935300431810658</v>
      </c>
      <c r="AC24" s="7">
        <f>AB24*VLOOKUP($A24,'EU Ref Sc 2020 Other industries'!$A$5:$AE$33,AC$2)</f>
        <v>4.2432662416599332</v>
      </c>
      <c r="AD24" s="7">
        <f>AC24*VLOOKUP($A24,'EU Ref Sc 2020 Other industries'!$A$5:$AE$33,AD$2)</f>
        <v>4.2904847106738631</v>
      </c>
      <c r="AE24" s="7">
        <f>AD24*VLOOKUP($A24,'EU Ref Sc 2020 Other industries'!$A$5:$AE$33,AE$2)</f>
        <v>4.337703179687793</v>
      </c>
      <c r="AF24" s="7">
        <f>AE24*VLOOKUP($A24,'EU Ref Sc 2020 Other industries'!$A$5:$AE$33,AF$2)</f>
        <v>4.3849216487017229</v>
      </c>
      <c r="AG24" s="7">
        <f>AF24*VLOOKUP($A24,'EU Ref Sc 2020 Other industries'!$A$5:$AE$33,AG$2)</f>
        <v>4.4321401177156527</v>
      </c>
      <c r="AH24" s="7">
        <f>AG24*VLOOKUP($A24,'EU Ref Sc 2020 Other industries'!$A$5:$AE$33,AH$2)</f>
        <v>4.4793585867295826</v>
      </c>
      <c r="AI24" s="13">
        <f t="shared" ref="AI24:AR24" si="21">AH24</f>
        <v>4.4793585867295826</v>
      </c>
      <c r="AJ24" s="13">
        <f t="shared" si="21"/>
        <v>4.4793585867295826</v>
      </c>
      <c r="AK24" s="13">
        <f t="shared" si="21"/>
        <v>4.4793585867295826</v>
      </c>
      <c r="AL24" s="13">
        <f t="shared" si="21"/>
        <v>4.4793585867295826</v>
      </c>
      <c r="AM24" s="13">
        <f t="shared" si="21"/>
        <v>4.4793585867295826</v>
      </c>
      <c r="AN24" s="13">
        <f t="shared" si="21"/>
        <v>4.4793585867295826</v>
      </c>
      <c r="AO24" s="13">
        <f t="shared" si="21"/>
        <v>4.4793585867295826</v>
      </c>
      <c r="AP24" s="13">
        <f t="shared" si="21"/>
        <v>4.4793585867295826</v>
      </c>
      <c r="AQ24" s="13">
        <f t="shared" si="21"/>
        <v>4.4793585867295826</v>
      </c>
      <c r="AR24" s="13">
        <f t="shared" si="21"/>
        <v>4.4793585867295826</v>
      </c>
    </row>
    <row r="25" spans="1:44" x14ac:dyDescent="0.3">
      <c r="A25" t="s">
        <v>1405</v>
      </c>
      <c r="B25" t="s">
        <v>1395</v>
      </c>
      <c r="C25" t="s">
        <v>415</v>
      </c>
      <c r="D25" t="str">
        <f t="shared" si="0"/>
        <v>EEIMEO</v>
      </c>
      <c r="E25" s="2">
        <v>0.95199999999999996</v>
      </c>
      <c r="F25" s="7">
        <f>E25*VLOOKUP($A25,'EU Ref Sc 2020 Other industries'!$A$5:$AE$33,F$2)</f>
        <v>0.99188687907083406</v>
      </c>
      <c r="G25" s="7">
        <f>F25*VLOOKUP($A25,'EU Ref Sc 2020 Other industries'!$A$5:$AE$33,G$2)</f>
        <v>1.0317737581416682</v>
      </c>
      <c r="H25" s="7">
        <f>G25*VLOOKUP($A25,'EU Ref Sc 2020 Other industries'!$A$5:$AE$33,H$2)</f>
        <v>1.0716606372125024</v>
      </c>
      <c r="I25" s="7">
        <f>H25*VLOOKUP($A25,'EU Ref Sc 2020 Other industries'!$A$5:$AE$33,I$2)</f>
        <v>1.1115475162833368</v>
      </c>
      <c r="J25" s="7">
        <f>I25*VLOOKUP($A25,'EU Ref Sc 2020 Other industries'!$A$5:$AE$33,J$2)</f>
        <v>1.1511763017826631</v>
      </c>
      <c r="K25" s="7">
        <f>J25*VLOOKUP($A25,'EU Ref Sc 2020 Other industries'!$A$5:$AE$33,K$2)</f>
        <v>1.1908050872819893</v>
      </c>
      <c r="L25" s="7">
        <f>K25*VLOOKUP($A25,'EU Ref Sc 2020 Other industries'!$A$5:$AE$33,L$2)</f>
        <v>1.2304338727813158</v>
      </c>
      <c r="M25" s="7">
        <f>L25*VLOOKUP($A25,'EU Ref Sc 2020 Other industries'!$A$5:$AE$33,M$2)</f>
        <v>1.270062658280642</v>
      </c>
      <c r="N25" s="7">
        <f>M25*VLOOKUP($A25,'EU Ref Sc 2020 Other industries'!$A$5:$AE$33,N$2)</f>
        <v>1.3096914437799687</v>
      </c>
      <c r="O25" s="7">
        <f>N25*VLOOKUP($A25,'EU Ref Sc 2020 Other industries'!$A$5:$AE$33,O$2)</f>
        <v>1.3106229195741661</v>
      </c>
      <c r="P25" s="7">
        <f>O25*VLOOKUP($A25,'EU Ref Sc 2020 Other industries'!$A$5:$AE$33,P$2)</f>
        <v>1.3115543953683635</v>
      </c>
      <c r="Q25" s="7">
        <f>P25*VLOOKUP($A25,'EU Ref Sc 2020 Other industries'!$A$5:$AE$33,Q$2)</f>
        <v>1.3124858711625611</v>
      </c>
      <c r="R25" s="7">
        <f>Q25*VLOOKUP($A25,'EU Ref Sc 2020 Other industries'!$A$5:$AE$33,R$2)</f>
        <v>1.3134173469567585</v>
      </c>
      <c r="S25" s="7">
        <f>R25*VLOOKUP($A25,'EU Ref Sc 2020 Other industries'!$A$5:$AE$33,S$2)</f>
        <v>1.3143488227509559</v>
      </c>
      <c r="T25" s="7">
        <f>S25*VLOOKUP($A25,'EU Ref Sc 2020 Other industries'!$A$5:$AE$33,T$2)</f>
        <v>1.3084012266043512</v>
      </c>
      <c r="U25" s="7">
        <f>T25*VLOOKUP($A25,'EU Ref Sc 2020 Other industries'!$A$5:$AE$33,U$2)</f>
        <v>1.3024536304577465</v>
      </c>
      <c r="V25" s="7">
        <f>U25*VLOOKUP($A25,'EU Ref Sc 2020 Other industries'!$A$5:$AE$33,V$2)</f>
        <v>1.2965060343111419</v>
      </c>
      <c r="W25" s="7">
        <f>V25*VLOOKUP($A25,'EU Ref Sc 2020 Other industries'!$A$5:$AE$33,W$2)</f>
        <v>1.2905584381645372</v>
      </c>
      <c r="X25" s="7">
        <f>W25*VLOOKUP($A25,'EU Ref Sc 2020 Other industries'!$A$5:$AE$33,X$2)</f>
        <v>1.284610842017933</v>
      </c>
      <c r="Y25" s="7">
        <f>X25*VLOOKUP($A25,'EU Ref Sc 2020 Other industries'!$A$5:$AE$33,Y$2)</f>
        <v>1.2846473736486135</v>
      </c>
      <c r="Z25" s="7">
        <f>Y25*VLOOKUP($A25,'EU Ref Sc 2020 Other industries'!$A$5:$AE$33,Z$2)</f>
        <v>1.2846839052792938</v>
      </c>
      <c r="AA25" s="7">
        <f>Z25*VLOOKUP($A25,'EU Ref Sc 2020 Other industries'!$A$5:$AE$33,AA$2)</f>
        <v>1.2847204369099741</v>
      </c>
      <c r="AB25" s="7">
        <f>AA25*VLOOKUP($A25,'EU Ref Sc 2020 Other industries'!$A$5:$AE$33,AB$2)</f>
        <v>1.2847569685406546</v>
      </c>
      <c r="AC25" s="7">
        <f>AB25*VLOOKUP($A25,'EU Ref Sc 2020 Other industries'!$A$5:$AE$33,AC$2)</f>
        <v>1.2847935001713353</v>
      </c>
      <c r="AD25" s="7">
        <f>AC25*VLOOKUP($A25,'EU Ref Sc 2020 Other industries'!$A$5:$AE$33,AD$2)</f>
        <v>1.2819049556106028</v>
      </c>
      <c r="AE25" s="7">
        <f>AD25*VLOOKUP($A25,'EU Ref Sc 2020 Other industries'!$A$5:$AE$33,AE$2)</f>
        <v>1.2790164110498705</v>
      </c>
      <c r="AF25" s="7">
        <f>AE25*VLOOKUP($A25,'EU Ref Sc 2020 Other industries'!$A$5:$AE$33,AF$2)</f>
        <v>1.2761278664891382</v>
      </c>
      <c r="AG25" s="7">
        <f>AF25*VLOOKUP($A25,'EU Ref Sc 2020 Other industries'!$A$5:$AE$33,AG$2)</f>
        <v>1.2732393219284057</v>
      </c>
      <c r="AH25" s="7">
        <f>AG25*VLOOKUP($A25,'EU Ref Sc 2020 Other industries'!$A$5:$AE$33,AH$2)</f>
        <v>1.270350777367673</v>
      </c>
      <c r="AI25" s="13">
        <f t="shared" ref="AI25:AR25" si="22">AH25</f>
        <v>1.270350777367673</v>
      </c>
      <c r="AJ25" s="13">
        <f t="shared" si="22"/>
        <v>1.270350777367673</v>
      </c>
      <c r="AK25" s="13">
        <f t="shared" si="22"/>
        <v>1.270350777367673</v>
      </c>
      <c r="AL25" s="13">
        <f t="shared" si="22"/>
        <v>1.270350777367673</v>
      </c>
      <c r="AM25" s="13">
        <f t="shared" si="22"/>
        <v>1.270350777367673</v>
      </c>
      <c r="AN25" s="13">
        <f t="shared" si="22"/>
        <v>1.270350777367673</v>
      </c>
      <c r="AO25" s="13">
        <f t="shared" si="22"/>
        <v>1.270350777367673</v>
      </c>
      <c r="AP25" s="13">
        <f t="shared" si="22"/>
        <v>1.270350777367673</v>
      </c>
      <c r="AQ25" s="13">
        <f t="shared" si="22"/>
        <v>1.270350777367673</v>
      </c>
      <c r="AR25" s="13">
        <f t="shared" si="22"/>
        <v>1.270350777367673</v>
      </c>
    </row>
    <row r="26" spans="1:44" x14ac:dyDescent="0.3">
      <c r="A26" t="s">
        <v>1407</v>
      </c>
      <c r="B26" t="s">
        <v>1395</v>
      </c>
      <c r="C26" t="s">
        <v>470</v>
      </c>
      <c r="D26" t="str">
        <f t="shared" si="0"/>
        <v>GRIMEO</v>
      </c>
      <c r="E26" s="2">
        <v>5.6874000000000002</v>
      </c>
      <c r="F26" s="7">
        <f>E26*VLOOKUP($A26,'EU Ref Sc 2020 Other industries'!$A$5:$AE$33,F$2)</f>
        <v>5.8167629386364981</v>
      </c>
      <c r="G26" s="7">
        <f>F26*VLOOKUP($A26,'EU Ref Sc 2020 Other industries'!$A$5:$AE$33,G$2)</f>
        <v>5.9461258772729959</v>
      </c>
      <c r="H26" s="7">
        <f>G26*VLOOKUP($A26,'EU Ref Sc 2020 Other industries'!$A$5:$AE$33,H$2)</f>
        <v>6.0754888159094946</v>
      </c>
      <c r="I26" s="7">
        <f>H26*VLOOKUP($A26,'EU Ref Sc 2020 Other industries'!$A$5:$AE$33,I$2)</f>
        <v>6.2048517545459951</v>
      </c>
      <c r="J26" s="7">
        <f>I26*VLOOKUP($A26,'EU Ref Sc 2020 Other industries'!$A$5:$AE$33,J$2)</f>
        <v>6.0259571164533066</v>
      </c>
      <c r="K26" s="7">
        <f>J26*VLOOKUP($A26,'EU Ref Sc 2020 Other industries'!$A$5:$AE$33,K$2)</f>
        <v>5.847062478360618</v>
      </c>
      <c r="L26" s="7">
        <f>K26*VLOOKUP($A26,'EU Ref Sc 2020 Other industries'!$A$5:$AE$33,L$2)</f>
        <v>5.6681678402679294</v>
      </c>
      <c r="M26" s="7">
        <f>L26*VLOOKUP($A26,'EU Ref Sc 2020 Other industries'!$A$5:$AE$33,M$2)</f>
        <v>5.4892732021752408</v>
      </c>
      <c r="N26" s="7">
        <f>M26*VLOOKUP($A26,'EU Ref Sc 2020 Other industries'!$A$5:$AE$33,N$2)</f>
        <v>5.3103785640825523</v>
      </c>
      <c r="O26" s="7">
        <f>N26*VLOOKUP($A26,'EU Ref Sc 2020 Other industries'!$A$5:$AE$33,O$2)</f>
        <v>5.4000324972205522</v>
      </c>
      <c r="P26" s="7">
        <f>O26*VLOOKUP($A26,'EU Ref Sc 2020 Other industries'!$A$5:$AE$33,P$2)</f>
        <v>5.4896864303585522</v>
      </c>
      <c r="Q26" s="7">
        <f>P26*VLOOKUP($A26,'EU Ref Sc 2020 Other industries'!$A$5:$AE$33,Q$2)</f>
        <v>5.5793403634965522</v>
      </c>
      <c r="R26" s="7">
        <f>Q26*VLOOKUP($A26,'EU Ref Sc 2020 Other industries'!$A$5:$AE$33,R$2)</f>
        <v>5.6689942966345521</v>
      </c>
      <c r="S26" s="7">
        <f>R26*VLOOKUP($A26,'EU Ref Sc 2020 Other industries'!$A$5:$AE$33,S$2)</f>
        <v>5.7586482297725539</v>
      </c>
      <c r="T26" s="7">
        <f>S26*VLOOKUP($A26,'EU Ref Sc 2020 Other industries'!$A$5:$AE$33,T$2)</f>
        <v>5.7681208336962522</v>
      </c>
      <c r="U26" s="7">
        <f>T26*VLOOKUP($A26,'EU Ref Sc 2020 Other industries'!$A$5:$AE$33,U$2)</f>
        <v>5.7775934376199505</v>
      </c>
      <c r="V26" s="7">
        <f>U26*VLOOKUP($A26,'EU Ref Sc 2020 Other industries'!$A$5:$AE$33,V$2)</f>
        <v>5.7870660415436488</v>
      </c>
      <c r="W26" s="7">
        <f>V26*VLOOKUP($A26,'EU Ref Sc 2020 Other industries'!$A$5:$AE$33,W$2)</f>
        <v>5.7965386454673471</v>
      </c>
      <c r="X26" s="7">
        <f>W26*VLOOKUP($A26,'EU Ref Sc 2020 Other industries'!$A$5:$AE$33,X$2)</f>
        <v>5.8060112493910436</v>
      </c>
      <c r="Y26" s="7">
        <f>X26*VLOOKUP($A26,'EU Ref Sc 2020 Other industries'!$A$5:$AE$33,Y$2)</f>
        <v>5.8342109823739845</v>
      </c>
      <c r="Z26" s="7">
        <f>Y26*VLOOKUP($A26,'EU Ref Sc 2020 Other industries'!$A$5:$AE$33,Z$2)</f>
        <v>5.8624107153569254</v>
      </c>
      <c r="AA26" s="7">
        <f>Z26*VLOOKUP($A26,'EU Ref Sc 2020 Other industries'!$A$5:$AE$33,AA$2)</f>
        <v>5.8906104483398662</v>
      </c>
      <c r="AB26" s="7">
        <f>AA26*VLOOKUP($A26,'EU Ref Sc 2020 Other industries'!$A$5:$AE$33,AB$2)</f>
        <v>5.9188101813228071</v>
      </c>
      <c r="AC26" s="7">
        <f>AB26*VLOOKUP($A26,'EU Ref Sc 2020 Other industries'!$A$5:$AE$33,AC$2)</f>
        <v>5.9470099143057471</v>
      </c>
      <c r="AD26" s="7">
        <f>AC26*VLOOKUP($A26,'EU Ref Sc 2020 Other industries'!$A$5:$AE$33,AD$2)</f>
        <v>5.9659189672139279</v>
      </c>
      <c r="AE26" s="7">
        <f>AD26*VLOOKUP($A26,'EU Ref Sc 2020 Other industries'!$A$5:$AE$33,AE$2)</f>
        <v>5.9848280201221096</v>
      </c>
      <c r="AF26" s="7">
        <f>AE26*VLOOKUP($A26,'EU Ref Sc 2020 Other industries'!$A$5:$AE$33,AF$2)</f>
        <v>6.0037370730302912</v>
      </c>
      <c r="AG26" s="7">
        <f>AF26*VLOOKUP($A26,'EU Ref Sc 2020 Other industries'!$A$5:$AE$33,AG$2)</f>
        <v>6.022646125938472</v>
      </c>
      <c r="AH26" s="7">
        <f>AG26*VLOOKUP($A26,'EU Ref Sc 2020 Other industries'!$A$5:$AE$33,AH$2)</f>
        <v>6.0415551788466546</v>
      </c>
      <c r="AI26" s="13">
        <f t="shared" ref="AI26:AR26" si="23">AH26</f>
        <v>6.0415551788466546</v>
      </c>
      <c r="AJ26" s="13">
        <f t="shared" si="23"/>
        <v>6.0415551788466546</v>
      </c>
      <c r="AK26" s="13">
        <f t="shared" si="23"/>
        <v>6.0415551788466546</v>
      </c>
      <c r="AL26" s="13">
        <f t="shared" si="23"/>
        <v>6.0415551788466546</v>
      </c>
      <c r="AM26" s="13">
        <f t="shared" si="23"/>
        <v>6.0415551788466546</v>
      </c>
      <c r="AN26" s="13">
        <f t="shared" si="23"/>
        <v>6.0415551788466546</v>
      </c>
      <c r="AO26" s="13">
        <f t="shared" si="23"/>
        <v>6.0415551788466546</v>
      </c>
      <c r="AP26" s="13">
        <f t="shared" si="23"/>
        <v>6.0415551788466546</v>
      </c>
      <c r="AQ26" s="13">
        <f t="shared" si="23"/>
        <v>6.0415551788466546</v>
      </c>
      <c r="AR26" s="13">
        <f t="shared" si="23"/>
        <v>6.0415551788466546</v>
      </c>
    </row>
    <row r="27" spans="1:44" x14ac:dyDescent="0.3">
      <c r="A27" t="s">
        <v>1408</v>
      </c>
      <c r="B27" t="s">
        <v>1395</v>
      </c>
      <c r="C27" t="s">
        <v>525</v>
      </c>
      <c r="D27" t="str">
        <f t="shared" si="0"/>
        <v>ESIMEO</v>
      </c>
      <c r="E27" s="2">
        <v>37.4711</v>
      </c>
      <c r="F27" s="7">
        <f>E27*VLOOKUP($A27,'EU Ref Sc 2020 Other industries'!$A$5:$AE$33,F$2)</f>
        <v>39.041063481461272</v>
      </c>
      <c r="G27" s="7">
        <f>F27*VLOOKUP($A27,'EU Ref Sc 2020 Other industries'!$A$5:$AE$33,G$2)</f>
        <v>40.611026962922544</v>
      </c>
      <c r="H27" s="7">
        <f>G27*VLOOKUP($A27,'EU Ref Sc 2020 Other industries'!$A$5:$AE$33,H$2)</f>
        <v>42.180990444383816</v>
      </c>
      <c r="I27" s="7">
        <f>H27*VLOOKUP($A27,'EU Ref Sc 2020 Other industries'!$A$5:$AE$33,I$2)</f>
        <v>43.750953925845103</v>
      </c>
      <c r="J27" s="7">
        <f>I27*VLOOKUP($A27,'EU Ref Sc 2020 Other industries'!$A$5:$AE$33,J$2)</f>
        <v>45.310758741311282</v>
      </c>
      <c r="K27" s="7">
        <f>J27*VLOOKUP($A27,'EU Ref Sc 2020 Other industries'!$A$5:$AE$33,K$2)</f>
        <v>46.870563556777469</v>
      </c>
      <c r="L27" s="7">
        <f>K27*VLOOKUP($A27,'EU Ref Sc 2020 Other industries'!$A$5:$AE$33,L$2)</f>
        <v>48.430368372243656</v>
      </c>
      <c r="M27" s="7">
        <f>L27*VLOOKUP($A27,'EU Ref Sc 2020 Other industries'!$A$5:$AE$33,M$2)</f>
        <v>49.990173187709836</v>
      </c>
      <c r="N27" s="7">
        <f>M27*VLOOKUP($A27,'EU Ref Sc 2020 Other industries'!$A$5:$AE$33,N$2)</f>
        <v>51.54997800317603</v>
      </c>
      <c r="O27" s="7">
        <f>N27*VLOOKUP($A27,'EU Ref Sc 2020 Other industries'!$A$5:$AE$33,O$2)</f>
        <v>51.586641262243205</v>
      </c>
      <c r="P27" s="7">
        <f>O27*VLOOKUP($A27,'EU Ref Sc 2020 Other industries'!$A$5:$AE$33,P$2)</f>
        <v>51.623304521310381</v>
      </c>
      <c r="Q27" s="7">
        <f>P27*VLOOKUP($A27,'EU Ref Sc 2020 Other industries'!$A$5:$AE$33,Q$2)</f>
        <v>51.659967780377563</v>
      </c>
      <c r="R27" s="7">
        <f>Q27*VLOOKUP($A27,'EU Ref Sc 2020 Other industries'!$A$5:$AE$33,R$2)</f>
        <v>51.696631039444739</v>
      </c>
      <c r="S27" s="7">
        <f>R27*VLOOKUP($A27,'EU Ref Sc 2020 Other industries'!$A$5:$AE$33,S$2)</f>
        <v>51.733294298511908</v>
      </c>
      <c r="T27" s="7">
        <f>S27*VLOOKUP($A27,'EU Ref Sc 2020 Other industries'!$A$5:$AE$33,T$2)</f>
        <v>51.499194540141069</v>
      </c>
      <c r="U27" s="7">
        <f>T27*VLOOKUP($A27,'EU Ref Sc 2020 Other industries'!$A$5:$AE$33,U$2)</f>
        <v>51.26509478177023</v>
      </c>
      <c r="V27" s="7">
        <f>U27*VLOOKUP($A27,'EU Ref Sc 2020 Other industries'!$A$5:$AE$33,V$2)</f>
        <v>51.030995023399392</v>
      </c>
      <c r="W27" s="7">
        <f>V27*VLOOKUP($A27,'EU Ref Sc 2020 Other industries'!$A$5:$AE$33,W$2)</f>
        <v>50.796895265028553</v>
      </c>
      <c r="X27" s="7">
        <f>W27*VLOOKUP($A27,'EU Ref Sc 2020 Other industries'!$A$5:$AE$33,X$2)</f>
        <v>50.562795506657729</v>
      </c>
      <c r="Y27" s="7">
        <f>X27*VLOOKUP($A27,'EU Ref Sc 2020 Other industries'!$A$5:$AE$33,Y$2)</f>
        <v>50.564233406223266</v>
      </c>
      <c r="Z27" s="7">
        <f>Y27*VLOOKUP($A27,'EU Ref Sc 2020 Other industries'!$A$5:$AE$33,Z$2)</f>
        <v>50.565671305788797</v>
      </c>
      <c r="AA27" s="7">
        <f>Z27*VLOOKUP($A27,'EU Ref Sc 2020 Other industries'!$A$5:$AE$33,AA$2)</f>
        <v>50.567109205354328</v>
      </c>
      <c r="AB27" s="7">
        <f>AA27*VLOOKUP($A27,'EU Ref Sc 2020 Other industries'!$A$5:$AE$33,AB$2)</f>
        <v>50.568547104919865</v>
      </c>
      <c r="AC27" s="7">
        <f>AB27*VLOOKUP($A27,'EU Ref Sc 2020 Other industries'!$A$5:$AE$33,AC$2)</f>
        <v>50.56998500448541</v>
      </c>
      <c r="AD27" s="7">
        <f>AC27*VLOOKUP($A27,'EU Ref Sc 2020 Other industries'!$A$5:$AE$33,AD$2)</f>
        <v>50.456290737584503</v>
      </c>
      <c r="AE27" s="7">
        <f>AD27*VLOOKUP($A27,'EU Ref Sc 2020 Other industries'!$A$5:$AE$33,AE$2)</f>
        <v>50.342596470683603</v>
      </c>
      <c r="AF27" s="7">
        <f>AE27*VLOOKUP($A27,'EU Ref Sc 2020 Other industries'!$A$5:$AE$33,AF$2)</f>
        <v>50.228902203782702</v>
      </c>
      <c r="AG27" s="7">
        <f>AF27*VLOOKUP($A27,'EU Ref Sc 2020 Other industries'!$A$5:$AE$33,AG$2)</f>
        <v>50.115207936881802</v>
      </c>
      <c r="AH27" s="7">
        <f>AG27*VLOOKUP($A27,'EU Ref Sc 2020 Other industries'!$A$5:$AE$33,AH$2)</f>
        <v>50.001513669980881</v>
      </c>
      <c r="AI27" s="13">
        <f t="shared" ref="AI27:AR27" si="24">AH27</f>
        <v>50.001513669980881</v>
      </c>
      <c r="AJ27" s="13">
        <f t="shared" si="24"/>
        <v>50.001513669980881</v>
      </c>
      <c r="AK27" s="13">
        <f t="shared" si="24"/>
        <v>50.001513669980881</v>
      </c>
      <c r="AL27" s="13">
        <f t="shared" si="24"/>
        <v>50.001513669980881</v>
      </c>
      <c r="AM27" s="13">
        <f t="shared" si="24"/>
        <v>50.001513669980881</v>
      </c>
      <c r="AN27" s="13">
        <f t="shared" si="24"/>
        <v>50.001513669980881</v>
      </c>
      <c r="AO27" s="13">
        <f t="shared" si="24"/>
        <v>50.001513669980881</v>
      </c>
      <c r="AP27" s="13">
        <f t="shared" si="24"/>
        <v>50.001513669980881</v>
      </c>
      <c r="AQ27" s="13">
        <f t="shared" si="24"/>
        <v>50.001513669980881</v>
      </c>
      <c r="AR27" s="13">
        <f t="shared" si="24"/>
        <v>50.001513669980881</v>
      </c>
    </row>
    <row r="28" spans="1:44" x14ac:dyDescent="0.3">
      <c r="A28" t="s">
        <v>1409</v>
      </c>
      <c r="B28" t="s">
        <v>1395</v>
      </c>
      <c r="C28" t="s">
        <v>580</v>
      </c>
      <c r="D28" t="str">
        <f t="shared" si="0"/>
        <v>FIIMEO</v>
      </c>
      <c r="E28" s="2">
        <v>10.012</v>
      </c>
      <c r="F28" s="7">
        <f>E28*VLOOKUP($A28,'EU Ref Sc 2020 Other industries'!$A$5:$AE$33,F$2)</f>
        <v>10.431482597959235</v>
      </c>
      <c r="G28" s="7">
        <f>F28*VLOOKUP($A28,'EU Ref Sc 2020 Other industries'!$A$5:$AE$33,G$2)</f>
        <v>10.850965195918469</v>
      </c>
      <c r="H28" s="7">
        <f>G28*VLOOKUP($A28,'EU Ref Sc 2020 Other industries'!$A$5:$AE$33,H$2)</f>
        <v>11.270447793877704</v>
      </c>
      <c r="I28" s="7">
        <f>H28*VLOOKUP($A28,'EU Ref Sc 2020 Other industries'!$A$5:$AE$33,I$2)</f>
        <v>11.689930391836942</v>
      </c>
      <c r="J28" s="7">
        <f>I28*VLOOKUP($A28,'EU Ref Sc 2020 Other industries'!$A$5:$AE$33,J$2)</f>
        <v>12.10669866958826</v>
      </c>
      <c r="K28" s="7">
        <f>J28*VLOOKUP($A28,'EU Ref Sc 2020 Other industries'!$A$5:$AE$33,K$2)</f>
        <v>12.523466947339578</v>
      </c>
      <c r="L28" s="7">
        <f>K28*VLOOKUP($A28,'EU Ref Sc 2020 Other industries'!$A$5:$AE$33,L$2)</f>
        <v>12.940235225090897</v>
      </c>
      <c r="M28" s="7">
        <f>L28*VLOOKUP($A28,'EU Ref Sc 2020 Other industries'!$A$5:$AE$33,M$2)</f>
        <v>13.357003502842215</v>
      </c>
      <c r="N28" s="7">
        <f>M28*VLOOKUP($A28,'EU Ref Sc 2020 Other industries'!$A$5:$AE$33,N$2)</f>
        <v>13.773771780593536</v>
      </c>
      <c r="O28" s="7">
        <f>N28*VLOOKUP($A28,'EU Ref Sc 2020 Other industries'!$A$5:$AE$33,O$2)</f>
        <v>13.783567931487974</v>
      </c>
      <c r="P28" s="7">
        <f>O28*VLOOKUP($A28,'EU Ref Sc 2020 Other industries'!$A$5:$AE$33,P$2)</f>
        <v>13.793364082382412</v>
      </c>
      <c r="Q28" s="7">
        <f>P28*VLOOKUP($A28,'EU Ref Sc 2020 Other industries'!$A$5:$AE$33,Q$2)</f>
        <v>13.803160233276852</v>
      </c>
      <c r="R28" s="7">
        <f>Q28*VLOOKUP($A28,'EU Ref Sc 2020 Other industries'!$A$5:$AE$33,R$2)</f>
        <v>13.81295638417129</v>
      </c>
      <c r="S28" s="7">
        <f>R28*VLOOKUP($A28,'EU Ref Sc 2020 Other industries'!$A$5:$AE$33,S$2)</f>
        <v>13.822752535065726</v>
      </c>
      <c r="T28" s="7">
        <f>S28*VLOOKUP($A28,'EU Ref Sc 2020 Other industries'!$A$5:$AE$33,T$2)</f>
        <v>13.760202815927276</v>
      </c>
      <c r="U28" s="7">
        <f>T28*VLOOKUP($A28,'EU Ref Sc 2020 Other industries'!$A$5:$AE$33,U$2)</f>
        <v>13.697653096788823</v>
      </c>
      <c r="V28" s="7">
        <f>U28*VLOOKUP($A28,'EU Ref Sc 2020 Other industries'!$A$5:$AE$33,V$2)</f>
        <v>13.635103377650371</v>
      </c>
      <c r="W28" s="7">
        <f>V28*VLOOKUP($A28,'EU Ref Sc 2020 Other industries'!$A$5:$AE$33,W$2)</f>
        <v>13.57255365851192</v>
      </c>
      <c r="X28" s="7">
        <f>W28*VLOOKUP($A28,'EU Ref Sc 2020 Other industries'!$A$5:$AE$33,X$2)</f>
        <v>13.510003939373473</v>
      </c>
      <c r="Y28" s="7">
        <f>X28*VLOOKUP($A28,'EU Ref Sc 2020 Other industries'!$A$5:$AE$33,Y$2)</f>
        <v>13.510388135472605</v>
      </c>
      <c r="Z28" s="7">
        <f>Y28*VLOOKUP($A28,'EU Ref Sc 2020 Other industries'!$A$5:$AE$33,Z$2)</f>
        <v>13.510772331571735</v>
      </c>
      <c r="AA28" s="7">
        <f>Z28*VLOOKUP($A28,'EU Ref Sc 2020 Other industries'!$A$5:$AE$33,AA$2)</f>
        <v>13.511156527670865</v>
      </c>
      <c r="AB28" s="7">
        <f>AA28*VLOOKUP($A28,'EU Ref Sc 2020 Other industries'!$A$5:$AE$33,AB$2)</f>
        <v>13.511540723769995</v>
      </c>
      <c r="AC28" s="7">
        <f>AB28*VLOOKUP($A28,'EU Ref Sc 2020 Other industries'!$A$5:$AE$33,AC$2)</f>
        <v>13.511924919869129</v>
      </c>
      <c r="AD28" s="7">
        <f>AC28*VLOOKUP($A28,'EU Ref Sc 2020 Other industries'!$A$5:$AE$33,AD$2)</f>
        <v>13.48154665501403</v>
      </c>
      <c r="AE28" s="7">
        <f>AD28*VLOOKUP($A28,'EU Ref Sc 2020 Other industries'!$A$5:$AE$33,AE$2)</f>
        <v>13.451168390158934</v>
      </c>
      <c r="AF28" s="7">
        <f>AE28*VLOOKUP($A28,'EU Ref Sc 2020 Other industries'!$A$5:$AE$33,AF$2)</f>
        <v>13.420790125303837</v>
      </c>
      <c r="AG28" s="7">
        <f>AF28*VLOOKUP($A28,'EU Ref Sc 2020 Other industries'!$A$5:$AE$33,AG$2)</f>
        <v>13.39041186044874</v>
      </c>
      <c r="AH28" s="7">
        <f>AG28*VLOOKUP($A28,'EU Ref Sc 2020 Other industries'!$A$5:$AE$33,AH$2)</f>
        <v>13.360033595593638</v>
      </c>
      <c r="AI28" s="13">
        <f t="shared" ref="AI28:AR28" si="25">AH28</f>
        <v>13.360033595593638</v>
      </c>
      <c r="AJ28" s="13">
        <f t="shared" si="25"/>
        <v>13.360033595593638</v>
      </c>
      <c r="AK28" s="13">
        <f t="shared" si="25"/>
        <v>13.360033595593638</v>
      </c>
      <c r="AL28" s="13">
        <f t="shared" si="25"/>
        <v>13.360033595593638</v>
      </c>
      <c r="AM28" s="13">
        <f t="shared" si="25"/>
        <v>13.360033595593638</v>
      </c>
      <c r="AN28" s="13">
        <f t="shared" si="25"/>
        <v>13.360033595593638</v>
      </c>
      <c r="AO28" s="13">
        <f t="shared" si="25"/>
        <v>13.360033595593638</v>
      </c>
      <c r="AP28" s="13">
        <f t="shared" si="25"/>
        <v>13.360033595593638</v>
      </c>
      <c r="AQ28" s="13">
        <f t="shared" si="25"/>
        <v>13.360033595593638</v>
      </c>
      <c r="AR28" s="13">
        <f t="shared" si="25"/>
        <v>13.360033595593638</v>
      </c>
    </row>
    <row r="29" spans="1:44" x14ac:dyDescent="0.3">
      <c r="A29" t="s">
        <v>1410</v>
      </c>
      <c r="B29" t="s">
        <v>1395</v>
      </c>
      <c r="C29" t="s">
        <v>635</v>
      </c>
      <c r="D29" t="str">
        <f t="shared" si="0"/>
        <v>FRIMEO</v>
      </c>
      <c r="E29" s="2">
        <v>48.7149</v>
      </c>
      <c r="F29" s="7">
        <f>E29*VLOOKUP($A29,'EU Ref Sc 2020 Other industries'!$A$5:$AE$33,F$2)</f>
        <v>50.755956013915728</v>
      </c>
      <c r="G29" s="7">
        <f>F29*VLOOKUP($A29,'EU Ref Sc 2020 Other industries'!$A$5:$AE$33,G$2)</f>
        <v>52.797012027831464</v>
      </c>
      <c r="H29" s="7">
        <f>G29*VLOOKUP($A29,'EU Ref Sc 2020 Other industries'!$A$5:$AE$33,H$2)</f>
        <v>54.838068041747199</v>
      </c>
      <c r="I29" s="7">
        <f>H29*VLOOKUP($A29,'EU Ref Sc 2020 Other industries'!$A$5:$AE$33,I$2)</f>
        <v>56.879124055662949</v>
      </c>
      <c r="J29" s="7">
        <f>I29*VLOOKUP($A29,'EU Ref Sc 2020 Other industries'!$A$5:$AE$33,J$2)</f>
        <v>58.906973134151528</v>
      </c>
      <c r="K29" s="7">
        <f>J29*VLOOKUP($A29,'EU Ref Sc 2020 Other industries'!$A$5:$AE$33,K$2)</f>
        <v>60.934822212640114</v>
      </c>
      <c r="L29" s="7">
        <f>K29*VLOOKUP($A29,'EU Ref Sc 2020 Other industries'!$A$5:$AE$33,L$2)</f>
        <v>62.9626712911287</v>
      </c>
      <c r="M29" s="7">
        <f>L29*VLOOKUP($A29,'EU Ref Sc 2020 Other industries'!$A$5:$AE$33,M$2)</f>
        <v>64.990520369617286</v>
      </c>
      <c r="N29" s="7">
        <f>M29*VLOOKUP($A29,'EU Ref Sc 2020 Other industries'!$A$5:$AE$33,N$2)</f>
        <v>67.018369448105886</v>
      </c>
      <c r="O29" s="7">
        <f>N29*VLOOKUP($A29,'EU Ref Sc 2020 Other industries'!$A$5:$AE$33,O$2)</f>
        <v>67.066034101642387</v>
      </c>
      <c r="P29" s="7">
        <f>O29*VLOOKUP($A29,'EU Ref Sc 2020 Other industries'!$A$5:$AE$33,P$2)</f>
        <v>67.113698755178888</v>
      </c>
      <c r="Q29" s="7">
        <f>P29*VLOOKUP($A29,'EU Ref Sc 2020 Other industries'!$A$5:$AE$33,Q$2)</f>
        <v>67.161363408715388</v>
      </c>
      <c r="R29" s="7">
        <f>Q29*VLOOKUP($A29,'EU Ref Sc 2020 Other industries'!$A$5:$AE$33,R$2)</f>
        <v>67.209028062251889</v>
      </c>
      <c r="S29" s="7">
        <f>R29*VLOOKUP($A29,'EU Ref Sc 2020 Other industries'!$A$5:$AE$33,S$2)</f>
        <v>67.25669271578839</v>
      </c>
      <c r="T29" s="7">
        <f>S29*VLOOKUP($A29,'EU Ref Sc 2020 Other industries'!$A$5:$AE$33,T$2)</f>
        <v>66.952347598643186</v>
      </c>
      <c r="U29" s="7">
        <f>T29*VLOOKUP($A29,'EU Ref Sc 2020 Other industries'!$A$5:$AE$33,U$2)</f>
        <v>66.648002481497983</v>
      </c>
      <c r="V29" s="7">
        <f>U29*VLOOKUP($A29,'EU Ref Sc 2020 Other industries'!$A$5:$AE$33,V$2)</f>
        <v>66.343657364352779</v>
      </c>
      <c r="W29" s="7">
        <f>V29*VLOOKUP($A29,'EU Ref Sc 2020 Other industries'!$A$5:$AE$33,W$2)</f>
        <v>66.039312247207576</v>
      </c>
      <c r="X29" s="7">
        <f>W29*VLOOKUP($A29,'EU Ref Sc 2020 Other industries'!$A$5:$AE$33,X$2)</f>
        <v>65.734967130062401</v>
      </c>
      <c r="Y29" s="7">
        <f>X29*VLOOKUP($A29,'EU Ref Sc 2020 Other industries'!$A$5:$AE$33,Y$2)</f>
        <v>65.736836494280297</v>
      </c>
      <c r="Z29" s="7">
        <f>Y29*VLOOKUP($A29,'EU Ref Sc 2020 Other industries'!$A$5:$AE$33,Z$2)</f>
        <v>65.738705858498179</v>
      </c>
      <c r="AA29" s="7">
        <f>Z29*VLOOKUP($A29,'EU Ref Sc 2020 Other industries'!$A$5:$AE$33,AA$2)</f>
        <v>65.740575222716075</v>
      </c>
      <c r="AB29" s="7">
        <f>AA29*VLOOKUP($A29,'EU Ref Sc 2020 Other industries'!$A$5:$AE$33,AB$2)</f>
        <v>65.742444586933971</v>
      </c>
      <c r="AC29" s="7">
        <f>AB29*VLOOKUP($A29,'EU Ref Sc 2020 Other industries'!$A$5:$AE$33,AC$2)</f>
        <v>65.744313951151881</v>
      </c>
      <c r="AD29" s="7">
        <f>AC29*VLOOKUP($A29,'EU Ref Sc 2020 Other industries'!$A$5:$AE$33,AD$2)</f>
        <v>65.596503909742609</v>
      </c>
      <c r="AE29" s="7">
        <f>AD29*VLOOKUP($A29,'EU Ref Sc 2020 Other industries'!$A$5:$AE$33,AE$2)</f>
        <v>65.448693868333336</v>
      </c>
      <c r="AF29" s="7">
        <f>AE29*VLOOKUP($A29,'EU Ref Sc 2020 Other industries'!$A$5:$AE$33,AF$2)</f>
        <v>65.300883826924064</v>
      </c>
      <c r="AG29" s="7">
        <f>AF29*VLOOKUP($A29,'EU Ref Sc 2020 Other industries'!$A$5:$AE$33,AG$2)</f>
        <v>65.153073785514792</v>
      </c>
      <c r="AH29" s="7">
        <f>AG29*VLOOKUP($A29,'EU Ref Sc 2020 Other industries'!$A$5:$AE$33,AH$2)</f>
        <v>65.005263744105505</v>
      </c>
      <c r="AI29" s="13">
        <f t="shared" ref="AI29:AR29" si="26">AH29</f>
        <v>65.005263744105505</v>
      </c>
      <c r="AJ29" s="13">
        <f t="shared" si="26"/>
        <v>65.005263744105505</v>
      </c>
      <c r="AK29" s="13">
        <f t="shared" si="26"/>
        <v>65.005263744105505</v>
      </c>
      <c r="AL29" s="13">
        <f t="shared" si="26"/>
        <v>65.005263744105505</v>
      </c>
      <c r="AM29" s="13">
        <f t="shared" si="26"/>
        <v>65.005263744105505</v>
      </c>
      <c r="AN29" s="13">
        <f t="shared" si="26"/>
        <v>65.005263744105505</v>
      </c>
      <c r="AO29" s="13">
        <f t="shared" si="26"/>
        <v>65.005263744105505</v>
      </c>
      <c r="AP29" s="13">
        <f t="shared" si="26"/>
        <v>65.005263744105505</v>
      </c>
      <c r="AQ29" s="13">
        <f t="shared" si="26"/>
        <v>65.005263744105505</v>
      </c>
      <c r="AR29" s="13">
        <f t="shared" si="26"/>
        <v>65.005263744105505</v>
      </c>
    </row>
    <row r="30" spans="1:44" x14ac:dyDescent="0.3">
      <c r="A30" t="s">
        <v>1411</v>
      </c>
      <c r="B30" t="s">
        <v>1395</v>
      </c>
      <c r="C30" t="s">
        <v>690</v>
      </c>
      <c r="D30" t="str">
        <f t="shared" si="0"/>
        <v>HRIMEO</v>
      </c>
      <c r="E30" s="2">
        <v>1.9152</v>
      </c>
      <c r="F30" s="7">
        <f>E30*VLOOKUP($A30,'EU Ref Sc 2020 Other industries'!$A$5:$AE$33,F$2)</f>
        <v>1.923330211056629</v>
      </c>
      <c r="G30" s="7">
        <f>F30*VLOOKUP($A30,'EU Ref Sc 2020 Other industries'!$A$5:$AE$33,G$2)</f>
        <v>1.9314604221132581</v>
      </c>
      <c r="H30" s="7">
        <f>G30*VLOOKUP($A30,'EU Ref Sc 2020 Other industries'!$A$5:$AE$33,H$2)</f>
        <v>1.9395906331698873</v>
      </c>
      <c r="I30" s="7">
        <f>H30*VLOOKUP($A30,'EU Ref Sc 2020 Other industries'!$A$5:$AE$33,I$2)</f>
        <v>1.9477208442265157</v>
      </c>
      <c r="J30" s="7">
        <f>I30*VLOOKUP($A30,'EU Ref Sc 2020 Other industries'!$A$5:$AE$33,J$2)</f>
        <v>1.9339724314290749</v>
      </c>
      <c r="K30" s="7">
        <f>J30*VLOOKUP($A30,'EU Ref Sc 2020 Other industries'!$A$5:$AE$33,K$2)</f>
        <v>1.9202240186316339</v>
      </c>
      <c r="L30" s="7">
        <f>K30*VLOOKUP($A30,'EU Ref Sc 2020 Other industries'!$A$5:$AE$33,L$2)</f>
        <v>1.9064756058341932</v>
      </c>
      <c r="M30" s="7">
        <f>L30*VLOOKUP($A30,'EU Ref Sc 2020 Other industries'!$A$5:$AE$33,M$2)</f>
        <v>1.8927271930367522</v>
      </c>
      <c r="N30" s="7">
        <f>M30*VLOOKUP($A30,'EU Ref Sc 2020 Other industries'!$A$5:$AE$33,N$2)</f>
        <v>1.8789787802393112</v>
      </c>
      <c r="O30" s="7">
        <f>N30*VLOOKUP($A30,'EU Ref Sc 2020 Other industries'!$A$5:$AE$33,O$2)</f>
        <v>1.8659944207128945</v>
      </c>
      <c r="P30" s="7">
        <f>O30*VLOOKUP($A30,'EU Ref Sc 2020 Other industries'!$A$5:$AE$33,P$2)</f>
        <v>1.8530100611864779</v>
      </c>
      <c r="Q30" s="7">
        <f>P30*VLOOKUP($A30,'EU Ref Sc 2020 Other industries'!$A$5:$AE$33,Q$2)</f>
        <v>1.8400257016600614</v>
      </c>
      <c r="R30" s="7">
        <f>Q30*VLOOKUP($A30,'EU Ref Sc 2020 Other industries'!$A$5:$AE$33,R$2)</f>
        <v>1.8270413421336449</v>
      </c>
      <c r="S30" s="7">
        <f>R30*VLOOKUP($A30,'EU Ref Sc 2020 Other industries'!$A$5:$AE$33,S$2)</f>
        <v>1.8140569826072284</v>
      </c>
      <c r="T30" s="7">
        <f>S30*VLOOKUP($A30,'EU Ref Sc 2020 Other industries'!$A$5:$AE$33,T$2)</f>
        <v>1.8212015983741872</v>
      </c>
      <c r="U30" s="7">
        <f>T30*VLOOKUP($A30,'EU Ref Sc 2020 Other industries'!$A$5:$AE$33,U$2)</f>
        <v>1.8283462141411462</v>
      </c>
      <c r="V30" s="7">
        <f>U30*VLOOKUP($A30,'EU Ref Sc 2020 Other industries'!$A$5:$AE$33,V$2)</f>
        <v>1.835490829908105</v>
      </c>
      <c r="W30" s="7">
        <f>V30*VLOOKUP($A30,'EU Ref Sc 2020 Other industries'!$A$5:$AE$33,W$2)</f>
        <v>1.8426354456750638</v>
      </c>
      <c r="X30" s="7">
        <f>W30*VLOOKUP($A30,'EU Ref Sc 2020 Other industries'!$A$5:$AE$33,X$2)</f>
        <v>1.8497800614420223</v>
      </c>
      <c r="Y30" s="7">
        <f>X30*VLOOKUP($A30,'EU Ref Sc 2020 Other industries'!$A$5:$AE$33,Y$2)</f>
        <v>1.8476636216762394</v>
      </c>
      <c r="Z30" s="7">
        <f>Y30*VLOOKUP($A30,'EU Ref Sc 2020 Other industries'!$A$5:$AE$33,Z$2)</f>
        <v>1.8455471819104567</v>
      </c>
      <c r="AA30" s="7">
        <f>Z30*VLOOKUP($A30,'EU Ref Sc 2020 Other industries'!$A$5:$AE$33,AA$2)</f>
        <v>1.8434307421446741</v>
      </c>
      <c r="AB30" s="7">
        <f>AA30*VLOOKUP($A30,'EU Ref Sc 2020 Other industries'!$A$5:$AE$33,AB$2)</f>
        <v>1.8413143023788914</v>
      </c>
      <c r="AC30" s="7">
        <f>AB30*VLOOKUP($A30,'EU Ref Sc 2020 Other industries'!$A$5:$AE$33,AC$2)</f>
        <v>1.8391978626131087</v>
      </c>
      <c r="AD30" s="7">
        <f>AC30*VLOOKUP($A30,'EU Ref Sc 2020 Other industries'!$A$5:$AE$33,AD$2)</f>
        <v>1.8487283786165654</v>
      </c>
      <c r="AE30" s="7">
        <f>AD30*VLOOKUP($A30,'EU Ref Sc 2020 Other industries'!$A$5:$AE$33,AE$2)</f>
        <v>1.8582588946200218</v>
      </c>
      <c r="AF30" s="7">
        <f>AE30*VLOOKUP($A30,'EU Ref Sc 2020 Other industries'!$A$5:$AE$33,AF$2)</f>
        <v>1.8677894106234785</v>
      </c>
      <c r="AG30" s="7">
        <f>AF30*VLOOKUP($A30,'EU Ref Sc 2020 Other industries'!$A$5:$AE$33,AG$2)</f>
        <v>1.8773199266269351</v>
      </c>
      <c r="AH30" s="7">
        <f>AG30*VLOOKUP($A30,'EU Ref Sc 2020 Other industries'!$A$5:$AE$33,AH$2)</f>
        <v>1.8868504426303916</v>
      </c>
      <c r="AI30" s="13">
        <f t="shared" ref="AI30:AR30" si="27">AH30</f>
        <v>1.8868504426303916</v>
      </c>
      <c r="AJ30" s="13">
        <f t="shared" si="27"/>
        <v>1.8868504426303916</v>
      </c>
      <c r="AK30" s="13">
        <f t="shared" si="27"/>
        <v>1.8868504426303916</v>
      </c>
      <c r="AL30" s="13">
        <f t="shared" si="27"/>
        <v>1.8868504426303916</v>
      </c>
      <c r="AM30" s="13">
        <f t="shared" si="27"/>
        <v>1.8868504426303916</v>
      </c>
      <c r="AN30" s="13">
        <f t="shared" si="27"/>
        <v>1.8868504426303916</v>
      </c>
      <c r="AO30" s="13">
        <f t="shared" si="27"/>
        <v>1.8868504426303916</v>
      </c>
      <c r="AP30" s="13">
        <f t="shared" si="27"/>
        <v>1.8868504426303916</v>
      </c>
      <c r="AQ30" s="13">
        <f t="shared" si="27"/>
        <v>1.8868504426303916</v>
      </c>
      <c r="AR30" s="13">
        <f t="shared" si="27"/>
        <v>1.8868504426303916</v>
      </c>
    </row>
    <row r="31" spans="1:44" x14ac:dyDescent="0.3">
      <c r="A31" t="s">
        <v>1412</v>
      </c>
      <c r="B31" t="s">
        <v>1395</v>
      </c>
      <c r="C31" t="s">
        <v>745</v>
      </c>
      <c r="D31" t="str">
        <f t="shared" si="0"/>
        <v>HUIMEO</v>
      </c>
      <c r="E31" s="2">
        <v>8.4657999999999998</v>
      </c>
      <c r="F31" s="7">
        <f>E31*VLOOKUP($A31,'EU Ref Sc 2020 Other industries'!$A$5:$AE$33,F$2)</f>
        <v>8.5940573430085276</v>
      </c>
      <c r="G31" s="7">
        <f>F31*VLOOKUP($A31,'EU Ref Sc 2020 Other industries'!$A$5:$AE$33,G$2)</f>
        <v>8.7223146860170555</v>
      </c>
      <c r="H31" s="7">
        <f>G31*VLOOKUP($A31,'EU Ref Sc 2020 Other industries'!$A$5:$AE$33,H$2)</f>
        <v>8.8505720290255834</v>
      </c>
      <c r="I31" s="7">
        <f>H31*VLOOKUP($A31,'EU Ref Sc 2020 Other industries'!$A$5:$AE$33,I$2)</f>
        <v>8.978829372034113</v>
      </c>
      <c r="J31" s="7">
        <f>I31*VLOOKUP($A31,'EU Ref Sc 2020 Other industries'!$A$5:$AE$33,J$2)</f>
        <v>9.3845606809031814</v>
      </c>
      <c r="K31" s="7">
        <f>J31*VLOOKUP($A31,'EU Ref Sc 2020 Other industries'!$A$5:$AE$33,K$2)</f>
        <v>9.7902919897722498</v>
      </c>
      <c r="L31" s="7">
        <f>K31*VLOOKUP($A31,'EU Ref Sc 2020 Other industries'!$A$5:$AE$33,L$2)</f>
        <v>10.196023298641318</v>
      </c>
      <c r="M31" s="7">
        <f>L31*VLOOKUP($A31,'EU Ref Sc 2020 Other industries'!$A$5:$AE$33,M$2)</f>
        <v>10.601754607510387</v>
      </c>
      <c r="N31" s="7">
        <f>M31*VLOOKUP($A31,'EU Ref Sc 2020 Other industries'!$A$5:$AE$33,N$2)</f>
        <v>11.007485916379457</v>
      </c>
      <c r="O31" s="7">
        <f>N31*VLOOKUP($A31,'EU Ref Sc 2020 Other industries'!$A$5:$AE$33,O$2)</f>
        <v>11.050566209984098</v>
      </c>
      <c r="P31" s="7">
        <f>O31*VLOOKUP($A31,'EU Ref Sc 2020 Other industries'!$A$5:$AE$33,P$2)</f>
        <v>11.093646503588738</v>
      </c>
      <c r="Q31" s="7">
        <f>P31*VLOOKUP($A31,'EU Ref Sc 2020 Other industries'!$A$5:$AE$33,Q$2)</f>
        <v>11.136726797193377</v>
      </c>
      <c r="R31" s="7">
        <f>Q31*VLOOKUP($A31,'EU Ref Sc 2020 Other industries'!$A$5:$AE$33,R$2)</f>
        <v>11.179807090798018</v>
      </c>
      <c r="S31" s="7">
        <f>R31*VLOOKUP($A31,'EU Ref Sc 2020 Other industries'!$A$5:$AE$33,S$2)</f>
        <v>11.222887384402656</v>
      </c>
      <c r="T31" s="7">
        <f>S31*VLOOKUP($A31,'EU Ref Sc 2020 Other industries'!$A$5:$AE$33,T$2)</f>
        <v>11.16628660625739</v>
      </c>
      <c r="U31" s="7">
        <f>T31*VLOOKUP($A31,'EU Ref Sc 2020 Other industries'!$A$5:$AE$33,U$2)</f>
        <v>11.109685828112125</v>
      </c>
      <c r="V31" s="7">
        <f>U31*VLOOKUP($A31,'EU Ref Sc 2020 Other industries'!$A$5:$AE$33,V$2)</f>
        <v>11.05308504996686</v>
      </c>
      <c r="W31" s="7">
        <f>V31*VLOOKUP($A31,'EU Ref Sc 2020 Other industries'!$A$5:$AE$33,W$2)</f>
        <v>10.996484271821595</v>
      </c>
      <c r="X31" s="7">
        <f>W31*VLOOKUP($A31,'EU Ref Sc 2020 Other industries'!$A$5:$AE$33,X$2)</f>
        <v>10.939883493676335</v>
      </c>
      <c r="Y31" s="7">
        <f>X31*VLOOKUP($A31,'EU Ref Sc 2020 Other industries'!$A$5:$AE$33,Y$2)</f>
        <v>10.866323219181998</v>
      </c>
      <c r="Z31" s="7">
        <f>Y31*VLOOKUP($A31,'EU Ref Sc 2020 Other industries'!$A$5:$AE$33,Z$2)</f>
        <v>10.792762944687661</v>
      </c>
      <c r="AA31" s="7">
        <f>Z31*VLOOKUP($A31,'EU Ref Sc 2020 Other industries'!$A$5:$AE$33,AA$2)</f>
        <v>10.719202670193324</v>
      </c>
      <c r="AB31" s="7">
        <f>AA31*VLOOKUP($A31,'EU Ref Sc 2020 Other industries'!$A$5:$AE$33,AB$2)</f>
        <v>10.645642395698987</v>
      </c>
      <c r="AC31" s="7">
        <f>AB31*VLOOKUP($A31,'EU Ref Sc 2020 Other industries'!$A$5:$AE$33,AC$2)</f>
        <v>10.572082121204646</v>
      </c>
      <c r="AD31" s="7">
        <f>AC31*VLOOKUP($A31,'EU Ref Sc 2020 Other industries'!$A$5:$AE$33,AD$2)</f>
        <v>10.691129405619773</v>
      </c>
      <c r="AE31" s="7">
        <f>AD31*VLOOKUP($A31,'EU Ref Sc 2020 Other industries'!$A$5:$AE$33,AE$2)</f>
        <v>10.810176690034897</v>
      </c>
      <c r="AF31" s="7">
        <f>AE31*VLOOKUP($A31,'EU Ref Sc 2020 Other industries'!$A$5:$AE$33,AF$2)</f>
        <v>10.92922397445002</v>
      </c>
      <c r="AG31" s="7">
        <f>AF31*VLOOKUP($A31,'EU Ref Sc 2020 Other industries'!$A$5:$AE$33,AG$2)</f>
        <v>11.048271258865144</v>
      </c>
      <c r="AH31" s="7">
        <f>AG31*VLOOKUP($A31,'EU Ref Sc 2020 Other industries'!$A$5:$AE$33,AH$2)</f>
        <v>11.167318543280269</v>
      </c>
      <c r="AI31" s="13">
        <f t="shared" ref="AI31:AR31" si="28">AH31</f>
        <v>11.167318543280269</v>
      </c>
      <c r="AJ31" s="13">
        <f t="shared" si="28"/>
        <v>11.167318543280269</v>
      </c>
      <c r="AK31" s="13">
        <f t="shared" si="28"/>
        <v>11.167318543280269</v>
      </c>
      <c r="AL31" s="13">
        <f t="shared" si="28"/>
        <v>11.167318543280269</v>
      </c>
      <c r="AM31" s="13">
        <f t="shared" si="28"/>
        <v>11.167318543280269</v>
      </c>
      <c r="AN31" s="13">
        <f t="shared" si="28"/>
        <v>11.167318543280269</v>
      </c>
      <c r="AO31" s="13">
        <f t="shared" si="28"/>
        <v>11.167318543280269</v>
      </c>
      <c r="AP31" s="13">
        <f t="shared" si="28"/>
        <v>11.167318543280269</v>
      </c>
      <c r="AQ31" s="13">
        <f t="shared" si="28"/>
        <v>11.167318543280269</v>
      </c>
      <c r="AR31" s="13">
        <f t="shared" si="28"/>
        <v>11.167318543280269</v>
      </c>
    </row>
    <row r="32" spans="1:44" x14ac:dyDescent="0.3">
      <c r="A32" t="s">
        <v>1413</v>
      </c>
      <c r="B32" t="s">
        <v>1395</v>
      </c>
      <c r="C32" t="s">
        <v>800</v>
      </c>
      <c r="D32" t="str">
        <f t="shared" si="0"/>
        <v>IEIMEO</v>
      </c>
      <c r="E32" s="2">
        <v>3.9973999999999998</v>
      </c>
      <c r="F32" s="7">
        <f>E32*VLOOKUP($A32,'EU Ref Sc 2020 Other industries'!$A$5:$AE$33,F$2)</f>
        <v>4.108308034651909</v>
      </c>
      <c r="G32" s="7">
        <f>F32*VLOOKUP($A32,'EU Ref Sc 2020 Other industries'!$A$5:$AE$33,G$2)</f>
        <v>4.2192160693038181</v>
      </c>
      <c r="H32" s="7">
        <f>G32*VLOOKUP($A32,'EU Ref Sc 2020 Other industries'!$A$5:$AE$33,H$2)</f>
        <v>4.3301241039557263</v>
      </c>
      <c r="I32" s="7">
        <f>H32*VLOOKUP($A32,'EU Ref Sc 2020 Other industries'!$A$5:$AE$33,I$2)</f>
        <v>4.4410321386076346</v>
      </c>
      <c r="J32" s="7">
        <f>I32*VLOOKUP($A32,'EU Ref Sc 2020 Other industries'!$A$5:$AE$33,J$2)</f>
        <v>4.5255174096243618</v>
      </c>
      <c r="K32" s="7">
        <f>J32*VLOOKUP($A32,'EU Ref Sc 2020 Other industries'!$A$5:$AE$33,K$2)</f>
        <v>4.610002680641089</v>
      </c>
      <c r="L32" s="7">
        <f>K32*VLOOKUP($A32,'EU Ref Sc 2020 Other industries'!$A$5:$AE$33,L$2)</f>
        <v>4.6944879516578162</v>
      </c>
      <c r="M32" s="7">
        <f>L32*VLOOKUP($A32,'EU Ref Sc 2020 Other industries'!$A$5:$AE$33,M$2)</f>
        <v>4.7789732226745434</v>
      </c>
      <c r="N32" s="7">
        <f>M32*VLOOKUP($A32,'EU Ref Sc 2020 Other industries'!$A$5:$AE$33,N$2)</f>
        <v>4.8634584936912697</v>
      </c>
      <c r="O32" s="7">
        <f>N32*VLOOKUP($A32,'EU Ref Sc 2020 Other industries'!$A$5:$AE$33,O$2)</f>
        <v>4.8292511431457079</v>
      </c>
      <c r="P32" s="7">
        <f>O32*VLOOKUP($A32,'EU Ref Sc 2020 Other industries'!$A$5:$AE$33,P$2)</f>
        <v>4.7950437926001461</v>
      </c>
      <c r="Q32" s="7">
        <f>P32*VLOOKUP($A32,'EU Ref Sc 2020 Other industries'!$A$5:$AE$33,Q$2)</f>
        <v>4.7608364420545852</v>
      </c>
      <c r="R32" s="7">
        <f>Q32*VLOOKUP($A32,'EU Ref Sc 2020 Other industries'!$A$5:$AE$33,R$2)</f>
        <v>4.7266290915090234</v>
      </c>
      <c r="S32" s="7">
        <f>R32*VLOOKUP($A32,'EU Ref Sc 2020 Other industries'!$A$5:$AE$33,S$2)</f>
        <v>4.6924217409634608</v>
      </c>
      <c r="T32" s="7">
        <f>S32*VLOOKUP($A32,'EU Ref Sc 2020 Other industries'!$A$5:$AE$33,T$2)</f>
        <v>4.6904198263742867</v>
      </c>
      <c r="U32" s="7">
        <f>T32*VLOOKUP($A32,'EU Ref Sc 2020 Other industries'!$A$5:$AE$33,U$2)</f>
        <v>4.6884179117851126</v>
      </c>
      <c r="V32" s="7">
        <f>U32*VLOOKUP($A32,'EU Ref Sc 2020 Other industries'!$A$5:$AE$33,V$2)</f>
        <v>4.6864159971959385</v>
      </c>
      <c r="W32" s="7">
        <f>V32*VLOOKUP($A32,'EU Ref Sc 2020 Other industries'!$A$5:$AE$33,W$2)</f>
        <v>4.6844140826067644</v>
      </c>
      <c r="X32" s="7">
        <f>W32*VLOOKUP($A32,'EU Ref Sc 2020 Other industries'!$A$5:$AE$33,X$2)</f>
        <v>4.6824121680175912</v>
      </c>
      <c r="Y32" s="7">
        <f>X32*VLOOKUP($A32,'EU Ref Sc 2020 Other industries'!$A$5:$AE$33,Y$2)</f>
        <v>4.6906826134267758</v>
      </c>
      <c r="Z32" s="7">
        <f>Y32*VLOOKUP($A32,'EU Ref Sc 2020 Other industries'!$A$5:$AE$33,Z$2)</f>
        <v>4.6989530588359605</v>
      </c>
      <c r="AA32" s="7">
        <f>Z32*VLOOKUP($A32,'EU Ref Sc 2020 Other industries'!$A$5:$AE$33,AA$2)</f>
        <v>4.7072235042451451</v>
      </c>
      <c r="AB32" s="7">
        <f>AA32*VLOOKUP($A32,'EU Ref Sc 2020 Other industries'!$A$5:$AE$33,AB$2)</f>
        <v>4.7154939496543298</v>
      </c>
      <c r="AC32" s="7">
        <f>AB32*VLOOKUP($A32,'EU Ref Sc 2020 Other industries'!$A$5:$AE$33,AC$2)</f>
        <v>4.7237643950635135</v>
      </c>
      <c r="AD32" s="7">
        <f>AC32*VLOOKUP($A32,'EU Ref Sc 2020 Other industries'!$A$5:$AE$33,AD$2)</f>
        <v>4.7329833092985307</v>
      </c>
      <c r="AE32" s="7">
        <f>AD32*VLOOKUP($A32,'EU Ref Sc 2020 Other industries'!$A$5:$AE$33,AE$2)</f>
        <v>4.7422022235335479</v>
      </c>
      <c r="AF32" s="7">
        <f>AE32*VLOOKUP($A32,'EU Ref Sc 2020 Other industries'!$A$5:$AE$33,AF$2)</f>
        <v>4.751421137768566</v>
      </c>
      <c r="AG32" s="7">
        <f>AF32*VLOOKUP($A32,'EU Ref Sc 2020 Other industries'!$A$5:$AE$33,AG$2)</f>
        <v>4.7606400520035841</v>
      </c>
      <c r="AH32" s="7">
        <f>AG32*VLOOKUP($A32,'EU Ref Sc 2020 Other industries'!$A$5:$AE$33,AH$2)</f>
        <v>4.7698589662386031</v>
      </c>
      <c r="AI32" s="13">
        <f t="shared" ref="AI32:AR32" si="29">AH32</f>
        <v>4.7698589662386031</v>
      </c>
      <c r="AJ32" s="13">
        <f t="shared" si="29"/>
        <v>4.7698589662386031</v>
      </c>
      <c r="AK32" s="13">
        <f t="shared" si="29"/>
        <v>4.7698589662386031</v>
      </c>
      <c r="AL32" s="13">
        <f t="shared" si="29"/>
        <v>4.7698589662386031</v>
      </c>
      <c r="AM32" s="13">
        <f t="shared" si="29"/>
        <v>4.7698589662386031</v>
      </c>
      <c r="AN32" s="13">
        <f t="shared" si="29"/>
        <v>4.7698589662386031</v>
      </c>
      <c r="AO32" s="13">
        <f t="shared" si="29"/>
        <v>4.7698589662386031</v>
      </c>
      <c r="AP32" s="13">
        <f t="shared" si="29"/>
        <v>4.7698589662386031</v>
      </c>
      <c r="AQ32" s="13">
        <f t="shared" si="29"/>
        <v>4.7698589662386031</v>
      </c>
      <c r="AR32" s="13">
        <f t="shared" si="29"/>
        <v>4.7698589662386031</v>
      </c>
    </row>
    <row r="33" spans="1:44" x14ac:dyDescent="0.3">
      <c r="A33" t="s">
        <v>1414</v>
      </c>
      <c r="B33" t="s">
        <v>1395</v>
      </c>
      <c r="C33" t="s">
        <v>855</v>
      </c>
      <c r="D33" t="str">
        <f t="shared" si="0"/>
        <v>ITIMEO</v>
      </c>
      <c r="E33" s="2">
        <v>72.183700000000002</v>
      </c>
      <c r="F33" s="7">
        <f>E33*VLOOKUP($A33,'EU Ref Sc 2020 Other industries'!$A$5:$AE$33,F$2)</f>
        <v>73.045286211728524</v>
      </c>
      <c r="G33" s="7">
        <f>F33*VLOOKUP($A33,'EU Ref Sc 2020 Other industries'!$A$5:$AE$33,G$2)</f>
        <v>73.906872423457045</v>
      </c>
      <c r="H33" s="7">
        <f>G33*VLOOKUP($A33,'EU Ref Sc 2020 Other industries'!$A$5:$AE$33,H$2)</f>
        <v>74.768458635185567</v>
      </c>
      <c r="I33" s="7">
        <f>H33*VLOOKUP($A33,'EU Ref Sc 2020 Other industries'!$A$5:$AE$33,I$2)</f>
        <v>75.630044846914089</v>
      </c>
      <c r="J33" s="7">
        <f>I33*VLOOKUP($A33,'EU Ref Sc 2020 Other industries'!$A$5:$AE$33,J$2)</f>
        <v>74.961399531897214</v>
      </c>
      <c r="K33" s="7">
        <f>J33*VLOOKUP($A33,'EU Ref Sc 2020 Other industries'!$A$5:$AE$33,K$2)</f>
        <v>74.29275421688034</v>
      </c>
      <c r="L33" s="7">
        <f>K33*VLOOKUP($A33,'EU Ref Sc 2020 Other industries'!$A$5:$AE$33,L$2)</f>
        <v>73.624108901863465</v>
      </c>
      <c r="M33" s="7">
        <f>L33*VLOOKUP($A33,'EU Ref Sc 2020 Other industries'!$A$5:$AE$33,M$2)</f>
        <v>72.955463586846591</v>
      </c>
      <c r="N33" s="7">
        <f>M33*VLOOKUP($A33,'EU Ref Sc 2020 Other industries'!$A$5:$AE$33,N$2)</f>
        <v>72.286818271829702</v>
      </c>
      <c r="O33" s="7">
        <f>N33*VLOOKUP($A33,'EU Ref Sc 2020 Other industries'!$A$5:$AE$33,O$2)</f>
        <v>71.601618925253405</v>
      </c>
      <c r="P33" s="7">
        <f>O33*VLOOKUP($A33,'EU Ref Sc 2020 Other industries'!$A$5:$AE$33,P$2)</f>
        <v>70.916419578677107</v>
      </c>
      <c r="Q33" s="7">
        <f>P33*VLOOKUP($A33,'EU Ref Sc 2020 Other industries'!$A$5:$AE$33,Q$2)</f>
        <v>70.23122023210081</v>
      </c>
      <c r="R33" s="7">
        <f>Q33*VLOOKUP($A33,'EU Ref Sc 2020 Other industries'!$A$5:$AE$33,R$2)</f>
        <v>69.546020885524513</v>
      </c>
      <c r="S33" s="7">
        <f>R33*VLOOKUP($A33,'EU Ref Sc 2020 Other industries'!$A$5:$AE$33,S$2)</f>
        <v>68.860821538948215</v>
      </c>
      <c r="T33" s="7">
        <f>S33*VLOOKUP($A33,'EU Ref Sc 2020 Other industries'!$A$5:$AE$33,T$2)</f>
        <v>68.850748145518978</v>
      </c>
      <c r="U33" s="7">
        <f>T33*VLOOKUP($A33,'EU Ref Sc 2020 Other industries'!$A$5:$AE$33,U$2)</f>
        <v>68.84067475208974</v>
      </c>
      <c r="V33" s="7">
        <f>U33*VLOOKUP($A33,'EU Ref Sc 2020 Other industries'!$A$5:$AE$33,V$2)</f>
        <v>68.830601358660502</v>
      </c>
      <c r="W33" s="7">
        <f>V33*VLOOKUP($A33,'EU Ref Sc 2020 Other industries'!$A$5:$AE$33,W$2)</f>
        <v>68.820527965231264</v>
      </c>
      <c r="X33" s="7">
        <f>W33*VLOOKUP($A33,'EU Ref Sc 2020 Other industries'!$A$5:$AE$33,X$2)</f>
        <v>68.810454571802055</v>
      </c>
      <c r="Y33" s="7">
        <f>X33*VLOOKUP($A33,'EU Ref Sc 2020 Other industries'!$A$5:$AE$33,Y$2)</f>
        <v>68.793898542269403</v>
      </c>
      <c r="Z33" s="7">
        <f>Y33*VLOOKUP($A33,'EU Ref Sc 2020 Other industries'!$A$5:$AE$33,Z$2)</f>
        <v>68.777342512736752</v>
      </c>
      <c r="AA33" s="7">
        <f>Z33*VLOOKUP($A33,'EU Ref Sc 2020 Other industries'!$A$5:$AE$33,AA$2)</f>
        <v>68.7607864832041</v>
      </c>
      <c r="AB33" s="7">
        <f>AA33*VLOOKUP($A33,'EU Ref Sc 2020 Other industries'!$A$5:$AE$33,AB$2)</f>
        <v>68.744230453671449</v>
      </c>
      <c r="AC33" s="7">
        <f>AB33*VLOOKUP($A33,'EU Ref Sc 2020 Other industries'!$A$5:$AE$33,AC$2)</f>
        <v>68.727674424138826</v>
      </c>
      <c r="AD33" s="7">
        <f>AC33*VLOOKUP($A33,'EU Ref Sc 2020 Other industries'!$A$5:$AE$33,AD$2)</f>
        <v>68.988421105426468</v>
      </c>
      <c r="AE33" s="7">
        <f>AD33*VLOOKUP($A33,'EU Ref Sc 2020 Other industries'!$A$5:$AE$33,AE$2)</f>
        <v>69.249167786714096</v>
      </c>
      <c r="AF33" s="7">
        <f>AE33*VLOOKUP($A33,'EU Ref Sc 2020 Other industries'!$A$5:$AE$33,AF$2)</f>
        <v>69.509914468001739</v>
      </c>
      <c r="AG33" s="7">
        <f>AF33*VLOOKUP($A33,'EU Ref Sc 2020 Other industries'!$A$5:$AE$33,AG$2)</f>
        <v>69.770661149289381</v>
      </c>
      <c r="AH33" s="7">
        <f>AG33*VLOOKUP($A33,'EU Ref Sc 2020 Other industries'!$A$5:$AE$33,AH$2)</f>
        <v>70.031407830576995</v>
      </c>
      <c r="AI33" s="13">
        <f t="shared" ref="AI33:AR33" si="30">AH33</f>
        <v>70.031407830576995</v>
      </c>
      <c r="AJ33" s="13">
        <f t="shared" si="30"/>
        <v>70.031407830576995</v>
      </c>
      <c r="AK33" s="13">
        <f t="shared" si="30"/>
        <v>70.031407830576995</v>
      </c>
      <c r="AL33" s="13">
        <f t="shared" si="30"/>
        <v>70.031407830576995</v>
      </c>
      <c r="AM33" s="13">
        <f t="shared" si="30"/>
        <v>70.031407830576995</v>
      </c>
      <c r="AN33" s="13">
        <f t="shared" si="30"/>
        <v>70.031407830576995</v>
      </c>
      <c r="AO33" s="13">
        <f t="shared" si="30"/>
        <v>70.031407830576995</v>
      </c>
      <c r="AP33" s="13">
        <f t="shared" si="30"/>
        <v>70.031407830576995</v>
      </c>
      <c r="AQ33" s="13">
        <f t="shared" si="30"/>
        <v>70.031407830576995</v>
      </c>
      <c r="AR33" s="13">
        <f t="shared" si="30"/>
        <v>70.031407830576995</v>
      </c>
    </row>
    <row r="34" spans="1:44" x14ac:dyDescent="0.3">
      <c r="A34" t="s">
        <v>1415</v>
      </c>
      <c r="B34" t="s">
        <v>1395</v>
      </c>
      <c r="C34" t="s">
        <v>910</v>
      </c>
      <c r="D34" t="str">
        <f t="shared" si="0"/>
        <v>LTIMEO</v>
      </c>
      <c r="E34" s="2">
        <v>1.9697</v>
      </c>
      <c r="F34" s="7">
        <f>E34*VLOOKUP($A34,'EU Ref Sc 2020 Other industries'!$A$5:$AE$33,F$2)</f>
        <v>2.0195446214686346</v>
      </c>
      <c r="G34" s="7">
        <f>F34*VLOOKUP($A34,'EU Ref Sc 2020 Other industries'!$A$5:$AE$33,G$2)</f>
        <v>2.0693892429372691</v>
      </c>
      <c r="H34" s="7">
        <f>G34*VLOOKUP($A34,'EU Ref Sc 2020 Other industries'!$A$5:$AE$33,H$2)</f>
        <v>2.1192338644059037</v>
      </c>
      <c r="I34" s="7">
        <f>H34*VLOOKUP($A34,'EU Ref Sc 2020 Other industries'!$A$5:$AE$33,I$2)</f>
        <v>2.1690784858745391</v>
      </c>
      <c r="J34" s="7">
        <f>I34*VLOOKUP($A34,'EU Ref Sc 2020 Other industries'!$A$5:$AE$33,J$2)</f>
        <v>2.1671645994178457</v>
      </c>
      <c r="K34" s="7">
        <f>J34*VLOOKUP($A34,'EU Ref Sc 2020 Other industries'!$A$5:$AE$33,K$2)</f>
        <v>2.1652507129611518</v>
      </c>
      <c r="L34" s="7">
        <f>K34*VLOOKUP($A34,'EU Ref Sc 2020 Other industries'!$A$5:$AE$33,L$2)</f>
        <v>2.1633368265044579</v>
      </c>
      <c r="M34" s="7">
        <f>L34*VLOOKUP($A34,'EU Ref Sc 2020 Other industries'!$A$5:$AE$33,M$2)</f>
        <v>2.1614229400477645</v>
      </c>
      <c r="N34" s="7">
        <f>M34*VLOOKUP($A34,'EU Ref Sc 2020 Other industries'!$A$5:$AE$33,N$2)</f>
        <v>2.159509053591071</v>
      </c>
      <c r="O34" s="7">
        <f>N34*VLOOKUP($A34,'EU Ref Sc 2020 Other industries'!$A$5:$AE$33,O$2)</f>
        <v>2.1296092712563817</v>
      </c>
      <c r="P34" s="7">
        <f>O34*VLOOKUP($A34,'EU Ref Sc 2020 Other industries'!$A$5:$AE$33,P$2)</f>
        <v>2.0997094889216923</v>
      </c>
      <c r="Q34" s="7">
        <f>P34*VLOOKUP($A34,'EU Ref Sc 2020 Other industries'!$A$5:$AE$33,Q$2)</f>
        <v>2.0698097065870029</v>
      </c>
      <c r="R34" s="7">
        <f>Q34*VLOOKUP($A34,'EU Ref Sc 2020 Other industries'!$A$5:$AE$33,R$2)</f>
        <v>2.0399099242523135</v>
      </c>
      <c r="S34" s="7">
        <f>R34*VLOOKUP($A34,'EU Ref Sc 2020 Other industries'!$A$5:$AE$33,S$2)</f>
        <v>2.0100101419176242</v>
      </c>
      <c r="T34" s="7">
        <f>S34*VLOOKUP($A34,'EU Ref Sc 2020 Other industries'!$A$5:$AE$33,T$2)</f>
        <v>2.0137320479256067</v>
      </c>
      <c r="U34" s="7">
        <f>T34*VLOOKUP($A34,'EU Ref Sc 2020 Other industries'!$A$5:$AE$33,U$2)</f>
        <v>2.0174539539335892</v>
      </c>
      <c r="V34" s="7">
        <f>U34*VLOOKUP($A34,'EU Ref Sc 2020 Other industries'!$A$5:$AE$33,V$2)</f>
        <v>2.0211758599415717</v>
      </c>
      <c r="W34" s="7">
        <f>V34*VLOOKUP($A34,'EU Ref Sc 2020 Other industries'!$A$5:$AE$33,W$2)</f>
        <v>2.0248977659495542</v>
      </c>
      <c r="X34" s="7">
        <f>W34*VLOOKUP($A34,'EU Ref Sc 2020 Other industries'!$A$5:$AE$33,X$2)</f>
        <v>2.0286196719575371</v>
      </c>
      <c r="Y34" s="7">
        <f>X34*VLOOKUP($A34,'EU Ref Sc 2020 Other industries'!$A$5:$AE$33,Y$2)</f>
        <v>2.0603147341423389</v>
      </c>
      <c r="Z34" s="7">
        <f>Y34*VLOOKUP($A34,'EU Ref Sc 2020 Other industries'!$A$5:$AE$33,Z$2)</f>
        <v>2.0920097963271402</v>
      </c>
      <c r="AA34" s="7">
        <f>Z34*VLOOKUP($A34,'EU Ref Sc 2020 Other industries'!$A$5:$AE$33,AA$2)</f>
        <v>2.1237048585119416</v>
      </c>
      <c r="AB34" s="7">
        <f>AA34*VLOOKUP($A34,'EU Ref Sc 2020 Other industries'!$A$5:$AE$33,AB$2)</f>
        <v>2.1553999206967434</v>
      </c>
      <c r="AC34" s="7">
        <f>AB34*VLOOKUP($A34,'EU Ref Sc 2020 Other industries'!$A$5:$AE$33,AC$2)</f>
        <v>2.1870949828815456</v>
      </c>
      <c r="AD34" s="7">
        <f>AC34*VLOOKUP($A34,'EU Ref Sc 2020 Other industries'!$A$5:$AE$33,AD$2)</f>
        <v>2.1907663829688224</v>
      </c>
      <c r="AE34" s="7">
        <f>AD34*VLOOKUP($A34,'EU Ref Sc 2020 Other industries'!$A$5:$AE$33,AE$2)</f>
        <v>2.1944377830560993</v>
      </c>
      <c r="AF34" s="7">
        <f>AE34*VLOOKUP($A34,'EU Ref Sc 2020 Other industries'!$A$5:$AE$33,AF$2)</f>
        <v>2.1981091831433761</v>
      </c>
      <c r="AG34" s="7">
        <f>AF34*VLOOKUP($A34,'EU Ref Sc 2020 Other industries'!$A$5:$AE$33,AG$2)</f>
        <v>2.201780583230653</v>
      </c>
      <c r="AH34" s="7">
        <f>AG34*VLOOKUP($A34,'EU Ref Sc 2020 Other industries'!$A$5:$AE$33,AH$2)</f>
        <v>2.2054519833179302</v>
      </c>
      <c r="AI34" s="13">
        <f t="shared" ref="AI34:AR34" si="31">AH34</f>
        <v>2.2054519833179302</v>
      </c>
      <c r="AJ34" s="13">
        <f t="shared" si="31"/>
        <v>2.2054519833179302</v>
      </c>
      <c r="AK34" s="13">
        <f t="shared" si="31"/>
        <v>2.2054519833179302</v>
      </c>
      <c r="AL34" s="13">
        <f t="shared" si="31"/>
        <v>2.2054519833179302</v>
      </c>
      <c r="AM34" s="13">
        <f t="shared" si="31"/>
        <v>2.2054519833179302</v>
      </c>
      <c r="AN34" s="13">
        <f t="shared" si="31"/>
        <v>2.2054519833179302</v>
      </c>
      <c r="AO34" s="13">
        <f t="shared" si="31"/>
        <v>2.2054519833179302</v>
      </c>
      <c r="AP34" s="13">
        <f t="shared" si="31"/>
        <v>2.2054519833179302</v>
      </c>
      <c r="AQ34" s="13">
        <f t="shared" si="31"/>
        <v>2.2054519833179302</v>
      </c>
      <c r="AR34" s="13">
        <f t="shared" si="31"/>
        <v>2.2054519833179302</v>
      </c>
    </row>
    <row r="35" spans="1:44" x14ac:dyDescent="0.3">
      <c r="A35" t="s">
        <v>1416</v>
      </c>
      <c r="B35" t="s">
        <v>1395</v>
      </c>
      <c r="C35" t="s">
        <v>943</v>
      </c>
      <c r="D35" t="str">
        <f t="shared" si="0"/>
        <v>LUIMEO</v>
      </c>
      <c r="E35" s="2">
        <v>1.8776999999999999</v>
      </c>
      <c r="F35" s="7">
        <f>E35*VLOOKUP($A35,'EU Ref Sc 2020 Other industries'!$A$5:$AE$33,F$2)</f>
        <v>1.9106521496915256</v>
      </c>
      <c r="G35" s="7">
        <f>F35*VLOOKUP($A35,'EU Ref Sc 2020 Other industries'!$A$5:$AE$33,G$2)</f>
        <v>1.9436042993830513</v>
      </c>
      <c r="H35" s="7">
        <f>G35*VLOOKUP($A35,'EU Ref Sc 2020 Other industries'!$A$5:$AE$33,H$2)</f>
        <v>1.9765564490745773</v>
      </c>
      <c r="I35" s="7">
        <f>H35*VLOOKUP($A35,'EU Ref Sc 2020 Other industries'!$A$5:$AE$33,I$2)</f>
        <v>2.0095085987661037</v>
      </c>
      <c r="J35" s="7">
        <f>I35*VLOOKUP($A35,'EU Ref Sc 2020 Other industries'!$A$5:$AE$33,J$2)</f>
        <v>2.0100875213237663</v>
      </c>
      <c r="K35" s="7">
        <f>J35*VLOOKUP($A35,'EU Ref Sc 2020 Other industries'!$A$5:$AE$33,K$2)</f>
        <v>2.0106664438814286</v>
      </c>
      <c r="L35" s="7">
        <f>K35*VLOOKUP($A35,'EU Ref Sc 2020 Other industries'!$A$5:$AE$33,L$2)</f>
        <v>2.0112453664390912</v>
      </c>
      <c r="M35" s="7">
        <f>L35*VLOOKUP($A35,'EU Ref Sc 2020 Other industries'!$A$5:$AE$33,M$2)</f>
        <v>2.0118242889967535</v>
      </c>
      <c r="N35" s="7">
        <f>M35*VLOOKUP($A35,'EU Ref Sc 2020 Other industries'!$A$5:$AE$33,N$2)</f>
        <v>2.0124032115544161</v>
      </c>
      <c r="O35" s="7">
        <f>N35*VLOOKUP($A35,'EU Ref Sc 2020 Other industries'!$A$5:$AE$33,O$2)</f>
        <v>2.0030593334595115</v>
      </c>
      <c r="P35" s="7">
        <f>O35*VLOOKUP($A35,'EU Ref Sc 2020 Other industries'!$A$5:$AE$33,P$2)</f>
        <v>1.9937154553646066</v>
      </c>
      <c r="Q35" s="7">
        <f>P35*VLOOKUP($A35,'EU Ref Sc 2020 Other industries'!$A$5:$AE$33,Q$2)</f>
        <v>1.9843715772697017</v>
      </c>
      <c r="R35" s="7">
        <f>Q35*VLOOKUP($A35,'EU Ref Sc 2020 Other industries'!$A$5:$AE$33,R$2)</f>
        <v>1.9750276991747968</v>
      </c>
      <c r="S35" s="7">
        <f>R35*VLOOKUP($A35,'EU Ref Sc 2020 Other industries'!$A$5:$AE$33,S$2)</f>
        <v>1.9656838210798928</v>
      </c>
      <c r="T35" s="7">
        <f>S35*VLOOKUP($A35,'EU Ref Sc 2020 Other industries'!$A$5:$AE$33,T$2)</f>
        <v>1.9640401038586708</v>
      </c>
      <c r="U35" s="7">
        <f>T35*VLOOKUP($A35,'EU Ref Sc 2020 Other industries'!$A$5:$AE$33,U$2)</f>
        <v>1.962396386637449</v>
      </c>
      <c r="V35" s="7">
        <f>U35*VLOOKUP($A35,'EU Ref Sc 2020 Other industries'!$A$5:$AE$33,V$2)</f>
        <v>1.9607526694162272</v>
      </c>
      <c r="W35" s="7">
        <f>V35*VLOOKUP($A35,'EU Ref Sc 2020 Other industries'!$A$5:$AE$33,W$2)</f>
        <v>1.9591089521950051</v>
      </c>
      <c r="X35" s="7">
        <f>W35*VLOOKUP($A35,'EU Ref Sc 2020 Other industries'!$A$5:$AE$33,X$2)</f>
        <v>1.9574652349737824</v>
      </c>
      <c r="Y35" s="7">
        <f>X35*VLOOKUP($A35,'EU Ref Sc 2020 Other industries'!$A$5:$AE$33,Y$2)</f>
        <v>1.9603700748527786</v>
      </c>
      <c r="Z35" s="7">
        <f>Y35*VLOOKUP($A35,'EU Ref Sc 2020 Other industries'!$A$5:$AE$33,Z$2)</f>
        <v>1.9632749147317745</v>
      </c>
      <c r="AA35" s="7">
        <f>Z35*VLOOKUP($A35,'EU Ref Sc 2020 Other industries'!$A$5:$AE$33,AA$2)</f>
        <v>1.9661797546107704</v>
      </c>
      <c r="AB35" s="7">
        <f>AA35*VLOOKUP($A35,'EU Ref Sc 2020 Other industries'!$A$5:$AE$33,AB$2)</f>
        <v>1.9690845944897664</v>
      </c>
      <c r="AC35" s="7">
        <f>AB35*VLOOKUP($A35,'EU Ref Sc 2020 Other industries'!$A$5:$AE$33,AC$2)</f>
        <v>1.9719894343687618</v>
      </c>
      <c r="AD35" s="7">
        <f>AC35*VLOOKUP($A35,'EU Ref Sc 2020 Other industries'!$A$5:$AE$33,AD$2)</f>
        <v>1.9761323008912663</v>
      </c>
      <c r="AE35" s="7">
        <f>AD35*VLOOKUP($A35,'EU Ref Sc 2020 Other industries'!$A$5:$AE$33,AE$2)</f>
        <v>1.9802751674137709</v>
      </c>
      <c r="AF35" s="7">
        <f>AE35*VLOOKUP($A35,'EU Ref Sc 2020 Other industries'!$A$5:$AE$33,AF$2)</f>
        <v>1.9844180339362751</v>
      </c>
      <c r="AG35" s="7">
        <f>AF35*VLOOKUP($A35,'EU Ref Sc 2020 Other industries'!$A$5:$AE$33,AG$2)</f>
        <v>1.9885609004587799</v>
      </c>
      <c r="AH35" s="7">
        <f>AG35*VLOOKUP($A35,'EU Ref Sc 2020 Other industries'!$A$5:$AE$33,AH$2)</f>
        <v>1.992703766981285</v>
      </c>
      <c r="AI35" s="13">
        <f t="shared" ref="AI35:AR35" si="32">AH35</f>
        <v>1.992703766981285</v>
      </c>
      <c r="AJ35" s="13">
        <f t="shared" si="32"/>
        <v>1.992703766981285</v>
      </c>
      <c r="AK35" s="13">
        <f t="shared" si="32"/>
        <v>1.992703766981285</v>
      </c>
      <c r="AL35" s="13">
        <f t="shared" si="32"/>
        <v>1.992703766981285</v>
      </c>
      <c r="AM35" s="13">
        <f t="shared" si="32"/>
        <v>1.992703766981285</v>
      </c>
      <c r="AN35" s="13">
        <f t="shared" si="32"/>
        <v>1.992703766981285</v>
      </c>
      <c r="AO35" s="13">
        <f t="shared" si="32"/>
        <v>1.992703766981285</v>
      </c>
      <c r="AP35" s="13">
        <f t="shared" si="32"/>
        <v>1.992703766981285</v>
      </c>
      <c r="AQ35" s="13">
        <f t="shared" si="32"/>
        <v>1.992703766981285</v>
      </c>
      <c r="AR35" s="13">
        <f t="shared" si="32"/>
        <v>1.992703766981285</v>
      </c>
    </row>
    <row r="36" spans="1:44" x14ac:dyDescent="0.3">
      <c r="A36" t="s">
        <v>1417</v>
      </c>
      <c r="B36" t="s">
        <v>1395</v>
      </c>
      <c r="C36" t="s">
        <v>987</v>
      </c>
      <c r="D36" t="str">
        <f t="shared" ref="D36:D67" si="33">A36&amp;"IME"&amp;B36</f>
        <v>LVIMEO</v>
      </c>
      <c r="E36" s="2">
        <v>0.63770000000000004</v>
      </c>
      <c r="F36" s="7">
        <f>E36*VLOOKUP($A36,'EU Ref Sc 2020 Other industries'!$A$5:$AE$33,F$2)</f>
        <v>0.64616466968378572</v>
      </c>
      <c r="G36" s="7">
        <f>F36*VLOOKUP($A36,'EU Ref Sc 2020 Other industries'!$A$5:$AE$33,G$2)</f>
        <v>0.65462933936757139</v>
      </c>
      <c r="H36" s="7">
        <f>G36*VLOOKUP($A36,'EU Ref Sc 2020 Other industries'!$A$5:$AE$33,H$2)</f>
        <v>0.66309400905135718</v>
      </c>
      <c r="I36" s="7">
        <f>H36*VLOOKUP($A36,'EU Ref Sc 2020 Other industries'!$A$5:$AE$33,I$2)</f>
        <v>0.67155867873514274</v>
      </c>
      <c r="J36" s="7">
        <f>I36*VLOOKUP($A36,'EU Ref Sc 2020 Other industries'!$A$5:$AE$33,J$2)</f>
        <v>0.67199029721230263</v>
      </c>
      <c r="K36" s="7">
        <f>J36*VLOOKUP($A36,'EU Ref Sc 2020 Other industries'!$A$5:$AE$33,K$2)</f>
        <v>0.67242191568946241</v>
      </c>
      <c r="L36" s="7">
        <f>K36*VLOOKUP($A36,'EU Ref Sc 2020 Other industries'!$A$5:$AE$33,L$2)</f>
        <v>0.67285353416662219</v>
      </c>
      <c r="M36" s="7">
        <f>L36*VLOOKUP($A36,'EU Ref Sc 2020 Other industries'!$A$5:$AE$33,M$2)</f>
        <v>0.67328515264378197</v>
      </c>
      <c r="N36" s="7">
        <f>M36*VLOOKUP($A36,'EU Ref Sc 2020 Other industries'!$A$5:$AE$33,N$2)</f>
        <v>0.67371677112094153</v>
      </c>
      <c r="O36" s="7">
        <f>N36*VLOOKUP($A36,'EU Ref Sc 2020 Other industries'!$A$5:$AE$33,O$2)</f>
        <v>0.67483992154274963</v>
      </c>
      <c r="P36" s="7">
        <f>O36*VLOOKUP($A36,'EU Ref Sc 2020 Other industries'!$A$5:$AE$33,P$2)</f>
        <v>0.67596307196455774</v>
      </c>
      <c r="Q36" s="7">
        <f>P36*VLOOKUP($A36,'EU Ref Sc 2020 Other industries'!$A$5:$AE$33,Q$2)</f>
        <v>0.67708622238636573</v>
      </c>
      <c r="R36" s="7">
        <f>Q36*VLOOKUP($A36,'EU Ref Sc 2020 Other industries'!$A$5:$AE$33,R$2)</f>
        <v>0.67820937280817373</v>
      </c>
      <c r="S36" s="7">
        <f>R36*VLOOKUP($A36,'EU Ref Sc 2020 Other industries'!$A$5:$AE$33,S$2)</f>
        <v>0.67933252322998205</v>
      </c>
      <c r="T36" s="7">
        <f>S36*VLOOKUP($A36,'EU Ref Sc 2020 Other industries'!$A$5:$AE$33,T$2)</f>
        <v>0.67050438811297342</v>
      </c>
      <c r="U36" s="7">
        <f>T36*VLOOKUP($A36,'EU Ref Sc 2020 Other industries'!$A$5:$AE$33,U$2)</f>
        <v>0.66167625299596478</v>
      </c>
      <c r="V36" s="7">
        <f>U36*VLOOKUP($A36,'EU Ref Sc 2020 Other industries'!$A$5:$AE$33,V$2)</f>
        <v>0.65284811787895614</v>
      </c>
      <c r="W36" s="7">
        <f>V36*VLOOKUP($A36,'EU Ref Sc 2020 Other industries'!$A$5:$AE$33,W$2)</f>
        <v>0.6440199827619475</v>
      </c>
      <c r="X36" s="7">
        <f>W36*VLOOKUP($A36,'EU Ref Sc 2020 Other industries'!$A$5:$AE$33,X$2)</f>
        <v>0.63519184764493886</v>
      </c>
      <c r="Y36" s="7">
        <f>X36*VLOOKUP($A36,'EU Ref Sc 2020 Other industries'!$A$5:$AE$33,Y$2)</f>
        <v>0.62774971303732352</v>
      </c>
      <c r="Z36" s="7">
        <f>Y36*VLOOKUP($A36,'EU Ref Sc 2020 Other industries'!$A$5:$AE$33,Z$2)</f>
        <v>0.62030757842970818</v>
      </c>
      <c r="AA36" s="7">
        <f>Z36*VLOOKUP($A36,'EU Ref Sc 2020 Other industries'!$A$5:$AE$33,AA$2)</f>
        <v>0.61286544382209285</v>
      </c>
      <c r="AB36" s="7">
        <f>AA36*VLOOKUP($A36,'EU Ref Sc 2020 Other industries'!$A$5:$AE$33,AB$2)</f>
        <v>0.60542330921447751</v>
      </c>
      <c r="AC36" s="7">
        <f>AB36*VLOOKUP($A36,'EU Ref Sc 2020 Other industries'!$A$5:$AE$33,AC$2)</f>
        <v>0.5979811746068624</v>
      </c>
      <c r="AD36" s="7">
        <f>AC36*VLOOKUP($A36,'EU Ref Sc 2020 Other industries'!$A$5:$AE$33,AD$2)</f>
        <v>0.59168619863731686</v>
      </c>
      <c r="AE36" s="7">
        <f>AD36*VLOOKUP($A36,'EU Ref Sc 2020 Other industries'!$A$5:$AE$33,AE$2)</f>
        <v>0.58539122266777133</v>
      </c>
      <c r="AF36" s="7">
        <f>AE36*VLOOKUP($A36,'EU Ref Sc 2020 Other industries'!$A$5:$AE$33,AF$2)</f>
        <v>0.57909624669822579</v>
      </c>
      <c r="AG36" s="7">
        <f>AF36*VLOOKUP($A36,'EU Ref Sc 2020 Other industries'!$A$5:$AE$33,AG$2)</f>
        <v>0.57280127072868026</v>
      </c>
      <c r="AH36" s="7">
        <f>AG36*VLOOKUP($A36,'EU Ref Sc 2020 Other industries'!$A$5:$AE$33,AH$2)</f>
        <v>0.56650629475913461</v>
      </c>
      <c r="AI36" s="13">
        <f t="shared" ref="AI36:AR36" si="34">AH36</f>
        <v>0.56650629475913461</v>
      </c>
      <c r="AJ36" s="13">
        <f t="shared" si="34"/>
        <v>0.56650629475913461</v>
      </c>
      <c r="AK36" s="13">
        <f t="shared" si="34"/>
        <v>0.56650629475913461</v>
      </c>
      <c r="AL36" s="13">
        <f t="shared" si="34"/>
        <v>0.56650629475913461</v>
      </c>
      <c r="AM36" s="13">
        <f t="shared" si="34"/>
        <v>0.56650629475913461</v>
      </c>
      <c r="AN36" s="13">
        <f t="shared" si="34"/>
        <v>0.56650629475913461</v>
      </c>
      <c r="AO36" s="13">
        <f t="shared" si="34"/>
        <v>0.56650629475913461</v>
      </c>
      <c r="AP36" s="13">
        <f t="shared" si="34"/>
        <v>0.56650629475913461</v>
      </c>
      <c r="AQ36" s="13">
        <f t="shared" si="34"/>
        <v>0.56650629475913461</v>
      </c>
      <c r="AR36" s="13">
        <f t="shared" si="34"/>
        <v>0.56650629475913461</v>
      </c>
    </row>
    <row r="37" spans="1:44" x14ac:dyDescent="0.3">
      <c r="A37" t="s">
        <v>1418</v>
      </c>
      <c r="B37" t="s">
        <v>1395</v>
      </c>
      <c r="C37" t="s">
        <v>998</v>
      </c>
      <c r="D37" t="str">
        <f t="shared" si="33"/>
        <v>MTIMEO</v>
      </c>
      <c r="E37" s="2">
        <v>0.61470000000000002</v>
      </c>
      <c r="F37" s="7">
        <f>E37*VLOOKUP($A37,'EU Ref Sc 2020 Other industries'!$A$5:$AE$33,F$2)</f>
        <v>0.64550126989954415</v>
      </c>
      <c r="G37" s="7">
        <f>F37*VLOOKUP($A37,'EU Ref Sc 2020 Other industries'!$A$5:$AE$33,G$2)</f>
        <v>0.67630253979908828</v>
      </c>
      <c r="H37" s="7">
        <f>G37*VLOOKUP($A37,'EU Ref Sc 2020 Other industries'!$A$5:$AE$33,H$2)</f>
        <v>0.70710380969863251</v>
      </c>
      <c r="I37" s="7">
        <f>H37*VLOOKUP($A37,'EU Ref Sc 2020 Other industries'!$A$5:$AE$33,I$2)</f>
        <v>0.73790507959817697</v>
      </c>
      <c r="J37" s="7">
        <f>I37*VLOOKUP($A37,'EU Ref Sc 2020 Other industries'!$A$5:$AE$33,J$2)</f>
        <v>0.77189390330701491</v>
      </c>
      <c r="K37" s="7">
        <f>J37*VLOOKUP($A37,'EU Ref Sc 2020 Other industries'!$A$5:$AE$33,K$2)</f>
        <v>0.80588272701585284</v>
      </c>
      <c r="L37" s="7">
        <f>K37*VLOOKUP($A37,'EU Ref Sc 2020 Other industries'!$A$5:$AE$33,L$2)</f>
        <v>0.83987155072469089</v>
      </c>
      <c r="M37" s="7">
        <f>L37*VLOOKUP($A37,'EU Ref Sc 2020 Other industries'!$A$5:$AE$33,M$2)</f>
        <v>0.87386037443352893</v>
      </c>
      <c r="N37" s="7">
        <f>M37*VLOOKUP($A37,'EU Ref Sc 2020 Other industries'!$A$5:$AE$33,N$2)</f>
        <v>0.90784919814236709</v>
      </c>
      <c r="O37" s="7">
        <f>N37*VLOOKUP($A37,'EU Ref Sc 2020 Other industries'!$A$5:$AE$33,O$2)</f>
        <v>0.91061087119198247</v>
      </c>
      <c r="P37" s="7">
        <f>O37*VLOOKUP($A37,'EU Ref Sc 2020 Other industries'!$A$5:$AE$33,P$2)</f>
        <v>0.91337254424159775</v>
      </c>
      <c r="Q37" s="7">
        <f>P37*VLOOKUP($A37,'EU Ref Sc 2020 Other industries'!$A$5:$AE$33,Q$2)</f>
        <v>0.91613421729121303</v>
      </c>
      <c r="R37" s="7">
        <f>Q37*VLOOKUP($A37,'EU Ref Sc 2020 Other industries'!$A$5:$AE$33,R$2)</f>
        <v>0.91889589034082841</v>
      </c>
      <c r="S37" s="7">
        <f>R37*VLOOKUP($A37,'EU Ref Sc 2020 Other industries'!$A$5:$AE$33,S$2)</f>
        <v>0.92165756339044402</v>
      </c>
      <c r="T37" s="7">
        <f>S37*VLOOKUP($A37,'EU Ref Sc 2020 Other industries'!$A$5:$AE$33,T$2)</f>
        <v>0.93177688979756768</v>
      </c>
      <c r="U37" s="7">
        <f>T37*VLOOKUP($A37,'EU Ref Sc 2020 Other industries'!$A$5:$AE$33,U$2)</f>
        <v>0.94189621620469122</v>
      </c>
      <c r="V37" s="7">
        <f>U37*VLOOKUP($A37,'EU Ref Sc 2020 Other industries'!$A$5:$AE$33,V$2)</f>
        <v>0.95201554261181476</v>
      </c>
      <c r="W37" s="7">
        <f>V37*VLOOKUP($A37,'EU Ref Sc 2020 Other industries'!$A$5:$AE$33,W$2)</f>
        <v>0.96213486901893819</v>
      </c>
      <c r="X37" s="7">
        <f>W37*VLOOKUP($A37,'EU Ref Sc 2020 Other industries'!$A$5:$AE$33,X$2)</f>
        <v>0.97225419542606162</v>
      </c>
      <c r="Y37" s="7">
        <f>X37*VLOOKUP($A37,'EU Ref Sc 2020 Other industries'!$A$5:$AE$33,Y$2)</f>
        <v>0.98504484818088212</v>
      </c>
      <c r="Z37" s="7">
        <f>Y37*VLOOKUP($A37,'EU Ref Sc 2020 Other industries'!$A$5:$AE$33,Z$2)</f>
        <v>0.99783550093570261</v>
      </c>
      <c r="AA37" s="7">
        <f>Z37*VLOOKUP($A37,'EU Ref Sc 2020 Other industries'!$A$5:$AE$33,AA$2)</f>
        <v>1.010626153690523</v>
      </c>
      <c r="AB37" s="7">
        <f>AA37*VLOOKUP($A37,'EU Ref Sc 2020 Other industries'!$A$5:$AE$33,AB$2)</f>
        <v>1.0234168064453435</v>
      </c>
      <c r="AC37" s="7">
        <f>AB37*VLOOKUP($A37,'EU Ref Sc 2020 Other industries'!$A$5:$AE$33,AC$2)</f>
        <v>1.0362074592001635</v>
      </c>
      <c r="AD37" s="7">
        <f>AC37*VLOOKUP($A37,'EU Ref Sc 2020 Other industries'!$A$5:$AE$33,AD$2)</f>
        <v>1.0387527286532634</v>
      </c>
      <c r="AE37" s="7">
        <f>AD37*VLOOKUP($A37,'EU Ref Sc 2020 Other industries'!$A$5:$AE$33,AE$2)</f>
        <v>1.041297998106363</v>
      </c>
      <c r="AF37" s="7">
        <f>AE37*VLOOKUP($A37,'EU Ref Sc 2020 Other industries'!$A$5:$AE$33,AF$2)</f>
        <v>1.0438432675594629</v>
      </c>
      <c r="AG37" s="7">
        <f>AF37*VLOOKUP($A37,'EU Ref Sc 2020 Other industries'!$A$5:$AE$33,AG$2)</f>
        <v>1.0463885370125625</v>
      </c>
      <c r="AH37" s="7">
        <f>AG37*VLOOKUP($A37,'EU Ref Sc 2020 Other industries'!$A$5:$AE$33,AH$2)</f>
        <v>1.0489338064656621</v>
      </c>
      <c r="AI37" s="13">
        <f t="shared" ref="AI37:AR37" si="35">AH37</f>
        <v>1.0489338064656621</v>
      </c>
      <c r="AJ37" s="13">
        <f t="shared" si="35"/>
        <v>1.0489338064656621</v>
      </c>
      <c r="AK37" s="13">
        <f t="shared" si="35"/>
        <v>1.0489338064656621</v>
      </c>
      <c r="AL37" s="13">
        <f t="shared" si="35"/>
        <v>1.0489338064656621</v>
      </c>
      <c r="AM37" s="13">
        <f t="shared" si="35"/>
        <v>1.0489338064656621</v>
      </c>
      <c r="AN37" s="13">
        <f t="shared" si="35"/>
        <v>1.0489338064656621</v>
      </c>
      <c r="AO37" s="13">
        <f t="shared" si="35"/>
        <v>1.0489338064656621</v>
      </c>
      <c r="AP37" s="13">
        <f t="shared" si="35"/>
        <v>1.0489338064656621</v>
      </c>
      <c r="AQ37" s="13">
        <f t="shared" si="35"/>
        <v>1.0489338064656621</v>
      </c>
      <c r="AR37" s="13">
        <f t="shared" si="35"/>
        <v>1.0489338064656621</v>
      </c>
    </row>
    <row r="38" spans="1:44" x14ac:dyDescent="0.3">
      <c r="A38" t="s">
        <v>1419</v>
      </c>
      <c r="B38" t="s">
        <v>1395</v>
      </c>
      <c r="C38" t="s">
        <v>1053</v>
      </c>
      <c r="D38" t="str">
        <f t="shared" si="33"/>
        <v>NLIMEO</v>
      </c>
      <c r="E38" s="2">
        <v>13.2165</v>
      </c>
      <c r="F38" s="7">
        <f>E38*VLOOKUP($A38,'EU Ref Sc 2020 Other industries'!$A$5:$AE$33,F$2)</f>
        <v>13.443029012969076</v>
      </c>
      <c r="G38" s="7">
        <f>F38*VLOOKUP($A38,'EU Ref Sc 2020 Other industries'!$A$5:$AE$33,G$2)</f>
        <v>13.669558025938152</v>
      </c>
      <c r="H38" s="7">
        <f>G38*VLOOKUP($A38,'EU Ref Sc 2020 Other industries'!$A$5:$AE$33,H$2)</f>
        <v>13.896087038907226</v>
      </c>
      <c r="I38" s="7">
        <f>H38*VLOOKUP($A38,'EU Ref Sc 2020 Other industries'!$A$5:$AE$33,I$2)</f>
        <v>14.122616051876298</v>
      </c>
      <c r="J38" s="7">
        <f>I38*VLOOKUP($A38,'EU Ref Sc 2020 Other industries'!$A$5:$AE$33,J$2)</f>
        <v>13.981355990111</v>
      </c>
      <c r="K38" s="7">
        <f>J38*VLOOKUP($A38,'EU Ref Sc 2020 Other industries'!$A$5:$AE$33,K$2)</f>
        <v>13.840095928345701</v>
      </c>
      <c r="L38" s="7">
        <f>K38*VLOOKUP($A38,'EU Ref Sc 2020 Other industries'!$A$5:$AE$33,L$2)</f>
        <v>13.698835866580403</v>
      </c>
      <c r="M38" s="7">
        <f>L38*VLOOKUP($A38,'EU Ref Sc 2020 Other industries'!$A$5:$AE$33,M$2)</f>
        <v>13.557575804815105</v>
      </c>
      <c r="N38" s="7">
        <f>M38*VLOOKUP($A38,'EU Ref Sc 2020 Other industries'!$A$5:$AE$33,N$2)</f>
        <v>13.416315743049809</v>
      </c>
      <c r="O38" s="7">
        <f>N38*VLOOKUP($A38,'EU Ref Sc 2020 Other industries'!$A$5:$AE$33,O$2)</f>
        <v>13.226055585885137</v>
      </c>
      <c r="P38" s="7">
        <f>O38*VLOOKUP($A38,'EU Ref Sc 2020 Other industries'!$A$5:$AE$33,P$2)</f>
        <v>13.035795428720464</v>
      </c>
      <c r="Q38" s="7">
        <f>P38*VLOOKUP($A38,'EU Ref Sc 2020 Other industries'!$A$5:$AE$33,Q$2)</f>
        <v>12.845535271555791</v>
      </c>
      <c r="R38" s="7">
        <f>Q38*VLOOKUP($A38,'EU Ref Sc 2020 Other industries'!$A$5:$AE$33,R$2)</f>
        <v>12.655275114391117</v>
      </c>
      <c r="S38" s="7">
        <f>R38*VLOOKUP($A38,'EU Ref Sc 2020 Other industries'!$A$5:$AE$33,S$2)</f>
        <v>12.465014957226444</v>
      </c>
      <c r="T38" s="7">
        <f>S38*VLOOKUP($A38,'EU Ref Sc 2020 Other industries'!$A$5:$AE$33,T$2)</f>
        <v>12.508508898973753</v>
      </c>
      <c r="U38" s="7">
        <f>T38*VLOOKUP($A38,'EU Ref Sc 2020 Other industries'!$A$5:$AE$33,U$2)</f>
        <v>12.552002840721062</v>
      </c>
      <c r="V38" s="7">
        <f>U38*VLOOKUP($A38,'EU Ref Sc 2020 Other industries'!$A$5:$AE$33,V$2)</f>
        <v>12.595496782468372</v>
      </c>
      <c r="W38" s="7">
        <f>V38*VLOOKUP($A38,'EU Ref Sc 2020 Other industries'!$A$5:$AE$33,W$2)</f>
        <v>12.638990724215679</v>
      </c>
      <c r="X38" s="7">
        <f>W38*VLOOKUP($A38,'EU Ref Sc 2020 Other industries'!$A$5:$AE$33,X$2)</f>
        <v>12.68248466596299</v>
      </c>
      <c r="Y38" s="7">
        <f>X38*VLOOKUP($A38,'EU Ref Sc 2020 Other industries'!$A$5:$AE$33,Y$2)</f>
        <v>12.78923269148407</v>
      </c>
      <c r="Z38" s="7">
        <f>Y38*VLOOKUP($A38,'EU Ref Sc 2020 Other industries'!$A$5:$AE$33,Z$2)</f>
        <v>12.89598071700515</v>
      </c>
      <c r="AA38" s="7">
        <f>Z38*VLOOKUP($A38,'EU Ref Sc 2020 Other industries'!$A$5:$AE$33,AA$2)</f>
        <v>13.002728742526232</v>
      </c>
      <c r="AB38" s="7">
        <f>AA38*VLOOKUP($A38,'EU Ref Sc 2020 Other industries'!$A$5:$AE$33,AB$2)</f>
        <v>13.109476768047312</v>
      </c>
      <c r="AC38" s="7">
        <f>AB38*VLOOKUP($A38,'EU Ref Sc 2020 Other industries'!$A$5:$AE$33,AC$2)</f>
        <v>13.216224793568397</v>
      </c>
      <c r="AD38" s="7">
        <f>AC38*VLOOKUP($A38,'EU Ref Sc 2020 Other industries'!$A$5:$AE$33,AD$2)</f>
        <v>13.363722103810927</v>
      </c>
      <c r="AE38" s="7">
        <f>AD38*VLOOKUP($A38,'EU Ref Sc 2020 Other industries'!$A$5:$AE$33,AE$2)</f>
        <v>13.511219414053457</v>
      </c>
      <c r="AF38" s="7">
        <f>AE38*VLOOKUP($A38,'EU Ref Sc 2020 Other industries'!$A$5:$AE$33,AF$2)</f>
        <v>13.658716724295987</v>
      </c>
      <c r="AG38" s="7">
        <f>AF38*VLOOKUP($A38,'EU Ref Sc 2020 Other industries'!$A$5:$AE$33,AG$2)</f>
        <v>13.806214034538515</v>
      </c>
      <c r="AH38" s="7">
        <f>AG38*VLOOKUP($A38,'EU Ref Sc 2020 Other industries'!$A$5:$AE$33,AH$2)</f>
        <v>13.953711344781045</v>
      </c>
      <c r="AI38" s="13">
        <f t="shared" ref="AI38:AR38" si="36">AH38</f>
        <v>13.953711344781045</v>
      </c>
      <c r="AJ38" s="13">
        <f t="shared" si="36"/>
        <v>13.953711344781045</v>
      </c>
      <c r="AK38" s="13">
        <f t="shared" si="36"/>
        <v>13.953711344781045</v>
      </c>
      <c r="AL38" s="13">
        <f t="shared" si="36"/>
        <v>13.953711344781045</v>
      </c>
      <c r="AM38" s="13">
        <f t="shared" si="36"/>
        <v>13.953711344781045</v>
      </c>
      <c r="AN38" s="13">
        <f t="shared" si="36"/>
        <v>13.953711344781045</v>
      </c>
      <c r="AO38" s="13">
        <f t="shared" si="36"/>
        <v>13.953711344781045</v>
      </c>
      <c r="AP38" s="13">
        <f t="shared" si="36"/>
        <v>13.953711344781045</v>
      </c>
      <c r="AQ38" s="13">
        <f t="shared" si="36"/>
        <v>13.953711344781045</v>
      </c>
      <c r="AR38" s="13">
        <f t="shared" si="36"/>
        <v>13.953711344781045</v>
      </c>
    </row>
    <row r="39" spans="1:44" x14ac:dyDescent="0.3">
      <c r="A39" t="s">
        <v>1420</v>
      </c>
      <c r="B39" t="s">
        <v>1395</v>
      </c>
      <c r="C39" t="s">
        <v>1108</v>
      </c>
      <c r="D39" t="str">
        <f t="shared" si="33"/>
        <v>PLIMEO</v>
      </c>
      <c r="E39" s="2">
        <v>31.258800000000001</v>
      </c>
      <c r="F39" s="7">
        <f>E39*VLOOKUP($A39,'EU Ref Sc 2020 Other industries'!$A$5:$AE$33,F$2)</f>
        <v>31.302179173639214</v>
      </c>
      <c r="G39" s="7">
        <f>F39*VLOOKUP($A39,'EU Ref Sc 2020 Other industries'!$A$5:$AE$33,G$2)</f>
        <v>31.34555834727843</v>
      </c>
      <c r="H39" s="7">
        <f>G39*VLOOKUP($A39,'EU Ref Sc 2020 Other industries'!$A$5:$AE$33,H$2)</f>
        <v>31.388937520917644</v>
      </c>
      <c r="I39" s="7">
        <f>H39*VLOOKUP($A39,'EU Ref Sc 2020 Other industries'!$A$5:$AE$33,I$2)</f>
        <v>31.43231669455686</v>
      </c>
      <c r="J39" s="7">
        <f>I39*VLOOKUP($A39,'EU Ref Sc 2020 Other industries'!$A$5:$AE$33,J$2)</f>
        <v>32.227900100228958</v>
      </c>
      <c r="K39" s="7">
        <f>J39*VLOOKUP($A39,'EU Ref Sc 2020 Other industries'!$A$5:$AE$33,K$2)</f>
        <v>33.023483505901048</v>
      </c>
      <c r="L39" s="7">
        <f>K39*VLOOKUP($A39,'EU Ref Sc 2020 Other industries'!$A$5:$AE$33,L$2)</f>
        <v>33.819066911573145</v>
      </c>
      <c r="M39" s="7">
        <f>L39*VLOOKUP($A39,'EU Ref Sc 2020 Other industries'!$A$5:$AE$33,M$2)</f>
        <v>34.614650317245243</v>
      </c>
      <c r="N39" s="7">
        <f>M39*VLOOKUP($A39,'EU Ref Sc 2020 Other industries'!$A$5:$AE$33,N$2)</f>
        <v>35.410233722917347</v>
      </c>
      <c r="O39" s="7">
        <f>N39*VLOOKUP($A39,'EU Ref Sc 2020 Other industries'!$A$5:$AE$33,O$2)</f>
        <v>35.579762510143297</v>
      </c>
      <c r="P39" s="7">
        <f>O39*VLOOKUP($A39,'EU Ref Sc 2020 Other industries'!$A$5:$AE$33,P$2)</f>
        <v>35.749291297369247</v>
      </c>
      <c r="Q39" s="7">
        <f>P39*VLOOKUP($A39,'EU Ref Sc 2020 Other industries'!$A$5:$AE$33,Q$2)</f>
        <v>35.918820084595197</v>
      </c>
      <c r="R39" s="7">
        <f>Q39*VLOOKUP($A39,'EU Ref Sc 2020 Other industries'!$A$5:$AE$33,R$2)</f>
        <v>36.088348871821147</v>
      </c>
      <c r="S39" s="7">
        <f>R39*VLOOKUP($A39,'EU Ref Sc 2020 Other industries'!$A$5:$AE$33,S$2)</f>
        <v>36.257877659047089</v>
      </c>
      <c r="T39" s="7">
        <f>S39*VLOOKUP($A39,'EU Ref Sc 2020 Other industries'!$A$5:$AE$33,T$2)</f>
        <v>36.488179876139867</v>
      </c>
      <c r="U39" s="7">
        <f>T39*VLOOKUP($A39,'EU Ref Sc 2020 Other industries'!$A$5:$AE$33,U$2)</f>
        <v>36.718482093232645</v>
      </c>
      <c r="V39" s="7">
        <f>U39*VLOOKUP($A39,'EU Ref Sc 2020 Other industries'!$A$5:$AE$33,V$2)</f>
        <v>36.948784310325422</v>
      </c>
      <c r="W39" s="7">
        <f>V39*VLOOKUP($A39,'EU Ref Sc 2020 Other industries'!$A$5:$AE$33,W$2)</f>
        <v>37.179086527418207</v>
      </c>
      <c r="X39" s="7">
        <f>W39*VLOOKUP($A39,'EU Ref Sc 2020 Other industries'!$A$5:$AE$33,X$2)</f>
        <v>37.409388744510984</v>
      </c>
      <c r="Y39" s="7">
        <f>X39*VLOOKUP($A39,'EU Ref Sc 2020 Other industries'!$A$5:$AE$33,Y$2)</f>
        <v>37.47315999810148</v>
      </c>
      <c r="Z39" s="7">
        <f>Y39*VLOOKUP($A39,'EU Ref Sc 2020 Other industries'!$A$5:$AE$33,Z$2)</f>
        <v>37.536931251691975</v>
      </c>
      <c r="AA39" s="7">
        <f>Z39*VLOOKUP($A39,'EU Ref Sc 2020 Other industries'!$A$5:$AE$33,AA$2)</f>
        <v>37.600702505282463</v>
      </c>
      <c r="AB39" s="7">
        <f>AA39*VLOOKUP($A39,'EU Ref Sc 2020 Other industries'!$A$5:$AE$33,AB$2)</f>
        <v>37.664473758872951</v>
      </c>
      <c r="AC39" s="7">
        <f>AB39*VLOOKUP($A39,'EU Ref Sc 2020 Other industries'!$A$5:$AE$33,AC$2)</f>
        <v>37.728245012463439</v>
      </c>
      <c r="AD39" s="7">
        <f>AC39*VLOOKUP($A39,'EU Ref Sc 2020 Other industries'!$A$5:$AE$33,AD$2)</f>
        <v>37.804266324873375</v>
      </c>
      <c r="AE39" s="7">
        <f>AD39*VLOOKUP($A39,'EU Ref Sc 2020 Other industries'!$A$5:$AE$33,AE$2)</f>
        <v>37.880287637283303</v>
      </c>
      <c r="AF39" s="7">
        <f>AE39*VLOOKUP($A39,'EU Ref Sc 2020 Other industries'!$A$5:$AE$33,AF$2)</f>
        <v>37.956308949693231</v>
      </c>
      <c r="AG39" s="7">
        <f>AF39*VLOOKUP($A39,'EU Ref Sc 2020 Other industries'!$A$5:$AE$33,AG$2)</f>
        <v>38.032330262103166</v>
      </c>
      <c r="AH39" s="7">
        <f>AG39*VLOOKUP($A39,'EU Ref Sc 2020 Other industries'!$A$5:$AE$33,AH$2)</f>
        <v>38.108351574513101</v>
      </c>
      <c r="AI39" s="13">
        <f t="shared" ref="AI39:AR39" si="37">AH39</f>
        <v>38.108351574513101</v>
      </c>
      <c r="AJ39" s="13">
        <f t="shared" si="37"/>
        <v>38.108351574513101</v>
      </c>
      <c r="AK39" s="13">
        <f t="shared" si="37"/>
        <v>38.108351574513101</v>
      </c>
      <c r="AL39" s="13">
        <f t="shared" si="37"/>
        <v>38.108351574513101</v>
      </c>
      <c r="AM39" s="13">
        <f t="shared" si="37"/>
        <v>38.108351574513101</v>
      </c>
      <c r="AN39" s="13">
        <f t="shared" si="37"/>
        <v>38.108351574513101</v>
      </c>
      <c r="AO39" s="13">
        <f t="shared" si="37"/>
        <v>38.108351574513101</v>
      </c>
      <c r="AP39" s="13">
        <f t="shared" si="37"/>
        <v>38.108351574513101</v>
      </c>
      <c r="AQ39" s="13">
        <f t="shared" si="37"/>
        <v>38.108351574513101</v>
      </c>
      <c r="AR39" s="13">
        <f t="shared" si="37"/>
        <v>38.108351574513101</v>
      </c>
    </row>
    <row r="40" spans="1:44" x14ac:dyDescent="0.3">
      <c r="A40" t="s">
        <v>1421</v>
      </c>
      <c r="B40" t="s">
        <v>1395</v>
      </c>
      <c r="C40" t="s">
        <v>1163</v>
      </c>
      <c r="D40" t="str">
        <f t="shared" si="33"/>
        <v>PTIMEO</v>
      </c>
      <c r="E40" s="2">
        <v>6.5031999999999996</v>
      </c>
      <c r="F40" s="7">
        <f>E40*VLOOKUP($A40,'EU Ref Sc 2020 Other industries'!$A$5:$AE$33,F$2)</f>
        <v>6.533934435494805</v>
      </c>
      <c r="G40" s="7">
        <f>F40*VLOOKUP($A40,'EU Ref Sc 2020 Other industries'!$A$5:$AE$33,G$2)</f>
        <v>6.5646688709896113</v>
      </c>
      <c r="H40" s="7">
        <f>G40*VLOOKUP($A40,'EU Ref Sc 2020 Other industries'!$A$5:$AE$33,H$2)</f>
        <v>6.5954033064844166</v>
      </c>
      <c r="I40" s="7">
        <f>H40*VLOOKUP($A40,'EU Ref Sc 2020 Other industries'!$A$5:$AE$33,I$2)</f>
        <v>6.6261377419792211</v>
      </c>
      <c r="J40" s="7">
        <f>I40*VLOOKUP($A40,'EU Ref Sc 2020 Other industries'!$A$5:$AE$33,J$2)</f>
        <v>6.5697179174236346</v>
      </c>
      <c r="K40" s="7">
        <f>J40*VLOOKUP($A40,'EU Ref Sc 2020 Other industries'!$A$5:$AE$33,K$2)</f>
        <v>6.5132980928680473</v>
      </c>
      <c r="L40" s="7">
        <f>K40*VLOOKUP($A40,'EU Ref Sc 2020 Other industries'!$A$5:$AE$33,L$2)</f>
        <v>6.4568782683124608</v>
      </c>
      <c r="M40" s="7">
        <f>L40*VLOOKUP($A40,'EU Ref Sc 2020 Other industries'!$A$5:$AE$33,M$2)</f>
        <v>6.4004584437568735</v>
      </c>
      <c r="N40" s="7">
        <f>M40*VLOOKUP($A40,'EU Ref Sc 2020 Other industries'!$A$5:$AE$33,N$2)</f>
        <v>6.3440386192012879</v>
      </c>
      <c r="O40" s="7">
        <f>N40*VLOOKUP($A40,'EU Ref Sc 2020 Other industries'!$A$5:$AE$33,O$2)</f>
        <v>6.2755955623699808</v>
      </c>
      <c r="P40" s="7">
        <f>O40*VLOOKUP($A40,'EU Ref Sc 2020 Other industries'!$A$5:$AE$33,P$2)</f>
        <v>6.2071525055386738</v>
      </c>
      <c r="Q40" s="7">
        <f>P40*VLOOKUP($A40,'EU Ref Sc 2020 Other industries'!$A$5:$AE$33,Q$2)</f>
        <v>6.1387094487073668</v>
      </c>
      <c r="R40" s="7">
        <f>Q40*VLOOKUP($A40,'EU Ref Sc 2020 Other industries'!$A$5:$AE$33,R$2)</f>
        <v>6.0702663918760598</v>
      </c>
      <c r="S40" s="7">
        <f>R40*VLOOKUP($A40,'EU Ref Sc 2020 Other industries'!$A$5:$AE$33,S$2)</f>
        <v>6.0018233350447545</v>
      </c>
      <c r="T40" s="7">
        <f>S40*VLOOKUP($A40,'EU Ref Sc 2020 Other industries'!$A$5:$AE$33,T$2)</f>
        <v>6.0024845655428356</v>
      </c>
      <c r="U40" s="7">
        <f>T40*VLOOKUP($A40,'EU Ref Sc 2020 Other industries'!$A$5:$AE$33,U$2)</f>
        <v>6.0031457960409167</v>
      </c>
      <c r="V40" s="7">
        <f>U40*VLOOKUP($A40,'EU Ref Sc 2020 Other industries'!$A$5:$AE$33,V$2)</f>
        <v>6.0038070265389978</v>
      </c>
      <c r="W40" s="7">
        <f>V40*VLOOKUP($A40,'EU Ref Sc 2020 Other industries'!$A$5:$AE$33,W$2)</f>
        <v>6.0044682570370798</v>
      </c>
      <c r="X40" s="7">
        <f>W40*VLOOKUP($A40,'EU Ref Sc 2020 Other industries'!$A$5:$AE$33,X$2)</f>
        <v>6.0051294875351582</v>
      </c>
      <c r="Y40" s="7">
        <f>X40*VLOOKUP($A40,'EU Ref Sc 2020 Other industries'!$A$5:$AE$33,Y$2)</f>
        <v>5.9790648661601642</v>
      </c>
      <c r="Z40" s="7">
        <f>Y40*VLOOKUP($A40,'EU Ref Sc 2020 Other industries'!$A$5:$AE$33,Z$2)</f>
        <v>5.9530002447851711</v>
      </c>
      <c r="AA40" s="7">
        <f>Z40*VLOOKUP($A40,'EU Ref Sc 2020 Other industries'!$A$5:$AE$33,AA$2)</f>
        <v>5.9269356234101771</v>
      </c>
      <c r="AB40" s="7">
        <f>AA40*VLOOKUP($A40,'EU Ref Sc 2020 Other industries'!$A$5:$AE$33,AB$2)</f>
        <v>5.9008710020351831</v>
      </c>
      <c r="AC40" s="7">
        <f>AB40*VLOOKUP($A40,'EU Ref Sc 2020 Other industries'!$A$5:$AE$33,AC$2)</f>
        <v>5.87480638066019</v>
      </c>
      <c r="AD40" s="7">
        <f>AC40*VLOOKUP($A40,'EU Ref Sc 2020 Other industries'!$A$5:$AE$33,AD$2)</f>
        <v>5.8577853366641985</v>
      </c>
      <c r="AE40" s="7">
        <f>AD40*VLOOKUP($A40,'EU Ref Sc 2020 Other industries'!$A$5:$AE$33,AE$2)</f>
        <v>5.8407642926682071</v>
      </c>
      <c r="AF40" s="7">
        <f>AE40*VLOOKUP($A40,'EU Ref Sc 2020 Other industries'!$A$5:$AE$33,AF$2)</f>
        <v>5.8237432486722156</v>
      </c>
      <c r="AG40" s="7">
        <f>AF40*VLOOKUP($A40,'EU Ref Sc 2020 Other industries'!$A$5:$AE$33,AG$2)</f>
        <v>5.8067222046762241</v>
      </c>
      <c r="AH40" s="7">
        <f>AG40*VLOOKUP($A40,'EU Ref Sc 2020 Other industries'!$A$5:$AE$33,AH$2)</f>
        <v>5.7897011606802335</v>
      </c>
      <c r="AI40" s="13">
        <f t="shared" ref="AI40:AR40" si="38">AH40</f>
        <v>5.7897011606802335</v>
      </c>
      <c r="AJ40" s="13">
        <f t="shared" si="38"/>
        <v>5.7897011606802335</v>
      </c>
      <c r="AK40" s="13">
        <f t="shared" si="38"/>
        <v>5.7897011606802335</v>
      </c>
      <c r="AL40" s="13">
        <f t="shared" si="38"/>
        <v>5.7897011606802335</v>
      </c>
      <c r="AM40" s="13">
        <f t="shared" si="38"/>
        <v>5.7897011606802335</v>
      </c>
      <c r="AN40" s="13">
        <f t="shared" si="38"/>
        <v>5.7897011606802335</v>
      </c>
      <c r="AO40" s="13">
        <f t="shared" si="38"/>
        <v>5.7897011606802335</v>
      </c>
      <c r="AP40" s="13">
        <f t="shared" si="38"/>
        <v>5.7897011606802335</v>
      </c>
      <c r="AQ40" s="13">
        <f t="shared" si="38"/>
        <v>5.7897011606802335</v>
      </c>
      <c r="AR40" s="13">
        <f t="shared" si="38"/>
        <v>5.7897011606802335</v>
      </c>
    </row>
    <row r="41" spans="1:44" x14ac:dyDescent="0.3">
      <c r="A41" t="s">
        <v>1422</v>
      </c>
      <c r="B41" t="s">
        <v>1395</v>
      </c>
      <c r="C41" t="s">
        <v>1218</v>
      </c>
      <c r="D41" t="str">
        <f t="shared" si="33"/>
        <v>ROIMEO</v>
      </c>
      <c r="E41" s="2">
        <v>12.385</v>
      </c>
      <c r="F41" s="7">
        <f>E41*VLOOKUP($A41,'EU Ref Sc 2020 Other industries'!$A$5:$AE$33,F$2)</f>
        <v>13.061362953389299</v>
      </c>
      <c r="G41" s="7">
        <f>F41*VLOOKUP($A41,'EU Ref Sc 2020 Other industries'!$A$5:$AE$33,G$2)</f>
        <v>13.7377259067786</v>
      </c>
      <c r="H41" s="7">
        <f>G41*VLOOKUP($A41,'EU Ref Sc 2020 Other industries'!$A$5:$AE$33,H$2)</f>
        <v>14.414088860167901</v>
      </c>
      <c r="I41" s="7">
        <f>H41*VLOOKUP($A41,'EU Ref Sc 2020 Other industries'!$A$5:$AE$33,I$2)</f>
        <v>15.090451813557205</v>
      </c>
      <c r="J41" s="7">
        <f>I41*VLOOKUP($A41,'EU Ref Sc 2020 Other industries'!$A$5:$AE$33,J$2)</f>
        <v>15.411114701988563</v>
      </c>
      <c r="K41" s="7">
        <f>J41*VLOOKUP($A41,'EU Ref Sc 2020 Other industries'!$A$5:$AE$33,K$2)</f>
        <v>15.731777590419917</v>
      </c>
      <c r="L41" s="7">
        <f>K41*VLOOKUP($A41,'EU Ref Sc 2020 Other industries'!$A$5:$AE$33,L$2)</f>
        <v>16.052440478851274</v>
      </c>
      <c r="M41" s="7">
        <f>L41*VLOOKUP($A41,'EU Ref Sc 2020 Other industries'!$A$5:$AE$33,M$2)</f>
        <v>16.373103367282631</v>
      </c>
      <c r="N41" s="7">
        <f>M41*VLOOKUP($A41,'EU Ref Sc 2020 Other industries'!$A$5:$AE$33,N$2)</f>
        <v>16.693766255713992</v>
      </c>
      <c r="O41" s="7">
        <f>N41*VLOOKUP($A41,'EU Ref Sc 2020 Other industries'!$A$5:$AE$33,O$2)</f>
        <v>16.752568476214183</v>
      </c>
      <c r="P41" s="7">
        <f>O41*VLOOKUP($A41,'EU Ref Sc 2020 Other industries'!$A$5:$AE$33,P$2)</f>
        <v>16.811370696714373</v>
      </c>
      <c r="Q41" s="7">
        <f>P41*VLOOKUP($A41,'EU Ref Sc 2020 Other industries'!$A$5:$AE$33,Q$2)</f>
        <v>16.870172917214564</v>
      </c>
      <c r="R41" s="7">
        <f>Q41*VLOOKUP($A41,'EU Ref Sc 2020 Other industries'!$A$5:$AE$33,R$2)</f>
        <v>16.928975137714755</v>
      </c>
      <c r="S41" s="7">
        <f>R41*VLOOKUP($A41,'EU Ref Sc 2020 Other industries'!$A$5:$AE$33,S$2)</f>
        <v>16.987777358214945</v>
      </c>
      <c r="T41" s="7">
        <f>S41*VLOOKUP($A41,'EU Ref Sc 2020 Other industries'!$A$5:$AE$33,T$2)</f>
        <v>16.970353737504514</v>
      </c>
      <c r="U41" s="7">
        <f>T41*VLOOKUP($A41,'EU Ref Sc 2020 Other industries'!$A$5:$AE$33,U$2)</f>
        <v>16.952930116794082</v>
      </c>
      <c r="V41" s="7">
        <f>U41*VLOOKUP($A41,'EU Ref Sc 2020 Other industries'!$A$5:$AE$33,V$2)</f>
        <v>16.935506496083651</v>
      </c>
      <c r="W41" s="7">
        <f>V41*VLOOKUP($A41,'EU Ref Sc 2020 Other industries'!$A$5:$AE$33,W$2)</f>
        <v>16.918082875373219</v>
      </c>
      <c r="X41" s="7">
        <f>W41*VLOOKUP($A41,'EU Ref Sc 2020 Other industries'!$A$5:$AE$33,X$2)</f>
        <v>16.900659254662788</v>
      </c>
      <c r="Y41" s="7">
        <f>X41*VLOOKUP($A41,'EU Ref Sc 2020 Other industries'!$A$5:$AE$33,Y$2)</f>
        <v>16.888735931610682</v>
      </c>
      <c r="Z41" s="7">
        <f>Y41*VLOOKUP($A41,'EU Ref Sc 2020 Other industries'!$A$5:$AE$33,Z$2)</f>
        <v>16.876812608558577</v>
      </c>
      <c r="AA41" s="7">
        <f>Z41*VLOOKUP($A41,'EU Ref Sc 2020 Other industries'!$A$5:$AE$33,AA$2)</f>
        <v>16.864889285506468</v>
      </c>
      <c r="AB41" s="7">
        <f>AA41*VLOOKUP($A41,'EU Ref Sc 2020 Other industries'!$A$5:$AE$33,AB$2)</f>
        <v>16.852965962454363</v>
      </c>
      <c r="AC41" s="7">
        <f>AB41*VLOOKUP($A41,'EU Ref Sc 2020 Other industries'!$A$5:$AE$33,AC$2)</f>
        <v>16.841042639402261</v>
      </c>
      <c r="AD41" s="7">
        <f>AC41*VLOOKUP($A41,'EU Ref Sc 2020 Other industries'!$A$5:$AE$33,AD$2)</f>
        <v>16.79677674959871</v>
      </c>
      <c r="AE41" s="7">
        <f>AD41*VLOOKUP($A41,'EU Ref Sc 2020 Other industries'!$A$5:$AE$33,AE$2)</f>
        <v>16.752510859795159</v>
      </c>
      <c r="AF41" s="7">
        <f>AE41*VLOOKUP($A41,'EU Ref Sc 2020 Other industries'!$A$5:$AE$33,AF$2)</f>
        <v>16.708244969991608</v>
      </c>
      <c r="AG41" s="7">
        <f>AF41*VLOOKUP($A41,'EU Ref Sc 2020 Other industries'!$A$5:$AE$33,AG$2)</f>
        <v>16.663979080188057</v>
      </c>
      <c r="AH41" s="7">
        <f>AG41*VLOOKUP($A41,'EU Ref Sc 2020 Other industries'!$A$5:$AE$33,AH$2)</f>
        <v>16.619713190384505</v>
      </c>
      <c r="AI41" s="13">
        <f t="shared" ref="AI41:AR41" si="39">AH41</f>
        <v>16.619713190384505</v>
      </c>
      <c r="AJ41" s="13">
        <f t="shared" si="39"/>
        <v>16.619713190384505</v>
      </c>
      <c r="AK41" s="13">
        <f t="shared" si="39"/>
        <v>16.619713190384505</v>
      </c>
      <c r="AL41" s="13">
        <f t="shared" si="39"/>
        <v>16.619713190384505</v>
      </c>
      <c r="AM41" s="13">
        <f t="shared" si="39"/>
        <v>16.619713190384505</v>
      </c>
      <c r="AN41" s="13">
        <f t="shared" si="39"/>
        <v>16.619713190384505</v>
      </c>
      <c r="AO41" s="13">
        <f t="shared" si="39"/>
        <v>16.619713190384505</v>
      </c>
      <c r="AP41" s="13">
        <f t="shared" si="39"/>
        <v>16.619713190384505</v>
      </c>
      <c r="AQ41" s="13">
        <f t="shared" si="39"/>
        <v>16.619713190384505</v>
      </c>
      <c r="AR41" s="13">
        <f t="shared" si="39"/>
        <v>16.619713190384505</v>
      </c>
    </row>
    <row r="42" spans="1:44" x14ac:dyDescent="0.3">
      <c r="A42" t="s">
        <v>1423</v>
      </c>
      <c r="B42" t="s">
        <v>1395</v>
      </c>
      <c r="C42" t="s">
        <v>1273</v>
      </c>
      <c r="D42" t="str">
        <f t="shared" si="33"/>
        <v>SEIMEO</v>
      </c>
      <c r="E42" s="2">
        <v>20.544499999999999</v>
      </c>
      <c r="F42" s="7">
        <f>E42*VLOOKUP($A42,'EU Ref Sc 2020 Other industries'!$A$5:$AE$33,F$2)</f>
        <v>20.624561203090714</v>
      </c>
      <c r="G42" s="7">
        <f>F42*VLOOKUP($A42,'EU Ref Sc 2020 Other industries'!$A$5:$AE$33,G$2)</f>
        <v>20.704622406181429</v>
      </c>
      <c r="H42" s="7">
        <f>G42*VLOOKUP($A42,'EU Ref Sc 2020 Other industries'!$A$5:$AE$33,H$2)</f>
        <v>20.784683609272143</v>
      </c>
      <c r="I42" s="7">
        <f>H42*VLOOKUP($A42,'EU Ref Sc 2020 Other industries'!$A$5:$AE$33,I$2)</f>
        <v>20.864744812362858</v>
      </c>
      <c r="J42" s="7">
        <f>I42*VLOOKUP($A42,'EU Ref Sc 2020 Other industries'!$A$5:$AE$33,J$2)</f>
        <v>21.176094369315717</v>
      </c>
      <c r="K42" s="7">
        <f>J42*VLOOKUP($A42,'EU Ref Sc 2020 Other industries'!$A$5:$AE$33,K$2)</f>
        <v>21.487443926268579</v>
      </c>
      <c r="L42" s="7">
        <f>K42*VLOOKUP($A42,'EU Ref Sc 2020 Other industries'!$A$5:$AE$33,L$2)</f>
        <v>21.798793483221438</v>
      </c>
      <c r="M42" s="7">
        <f>L42*VLOOKUP($A42,'EU Ref Sc 2020 Other industries'!$A$5:$AE$33,M$2)</f>
        <v>22.1101430401743</v>
      </c>
      <c r="N42" s="7">
        <f>M42*VLOOKUP($A42,'EU Ref Sc 2020 Other industries'!$A$5:$AE$33,N$2)</f>
        <v>22.421492597127166</v>
      </c>
      <c r="O42" s="7">
        <f>N42*VLOOKUP($A42,'EU Ref Sc 2020 Other industries'!$A$5:$AE$33,O$2)</f>
        <v>22.428116382605392</v>
      </c>
      <c r="P42" s="7">
        <f>O42*VLOOKUP($A42,'EU Ref Sc 2020 Other industries'!$A$5:$AE$33,P$2)</f>
        <v>22.434740168083618</v>
      </c>
      <c r="Q42" s="7">
        <f>P42*VLOOKUP($A42,'EU Ref Sc 2020 Other industries'!$A$5:$AE$33,Q$2)</f>
        <v>22.441363953561844</v>
      </c>
      <c r="R42" s="7">
        <f>Q42*VLOOKUP($A42,'EU Ref Sc 2020 Other industries'!$A$5:$AE$33,R$2)</f>
        <v>22.447987739040073</v>
      </c>
      <c r="S42" s="7">
        <f>R42*VLOOKUP($A42,'EU Ref Sc 2020 Other industries'!$A$5:$AE$33,S$2)</f>
        <v>22.454611524518299</v>
      </c>
      <c r="T42" s="7">
        <f>S42*VLOOKUP($A42,'EU Ref Sc 2020 Other industries'!$A$5:$AE$33,T$2)</f>
        <v>22.5232973741739</v>
      </c>
      <c r="U42" s="7">
        <f>T42*VLOOKUP($A42,'EU Ref Sc 2020 Other industries'!$A$5:$AE$33,U$2)</f>
        <v>22.591983223829498</v>
      </c>
      <c r="V42" s="7">
        <f>U42*VLOOKUP($A42,'EU Ref Sc 2020 Other industries'!$A$5:$AE$33,V$2)</f>
        <v>22.660669073485096</v>
      </c>
      <c r="W42" s="7">
        <f>V42*VLOOKUP($A42,'EU Ref Sc 2020 Other industries'!$A$5:$AE$33,W$2)</f>
        <v>22.729354923140697</v>
      </c>
      <c r="X42" s="7">
        <f>W42*VLOOKUP($A42,'EU Ref Sc 2020 Other industries'!$A$5:$AE$33,X$2)</f>
        <v>22.798040772796288</v>
      </c>
      <c r="Y42" s="7">
        <f>X42*VLOOKUP($A42,'EU Ref Sc 2020 Other industries'!$A$5:$AE$33,Y$2)</f>
        <v>23.035839654224137</v>
      </c>
      <c r="Z42" s="7">
        <f>Y42*VLOOKUP($A42,'EU Ref Sc 2020 Other industries'!$A$5:$AE$33,Z$2)</f>
        <v>23.273638535651987</v>
      </c>
      <c r="AA42" s="7">
        <f>Z42*VLOOKUP($A42,'EU Ref Sc 2020 Other industries'!$A$5:$AE$33,AA$2)</f>
        <v>23.51143741707984</v>
      </c>
      <c r="AB42" s="7">
        <f>AA42*VLOOKUP($A42,'EU Ref Sc 2020 Other industries'!$A$5:$AE$33,AB$2)</f>
        <v>23.749236298507689</v>
      </c>
      <c r="AC42" s="7">
        <f>AB42*VLOOKUP($A42,'EU Ref Sc 2020 Other industries'!$A$5:$AE$33,AC$2)</f>
        <v>23.987035179935546</v>
      </c>
      <c r="AD42" s="7">
        <f>AC42*VLOOKUP($A42,'EU Ref Sc 2020 Other industries'!$A$5:$AE$33,AD$2)</f>
        <v>24.209441209163057</v>
      </c>
      <c r="AE42" s="7">
        <f>AD42*VLOOKUP($A42,'EU Ref Sc 2020 Other industries'!$A$5:$AE$33,AE$2)</f>
        <v>24.431847238390571</v>
      </c>
      <c r="AF42" s="7">
        <f>AE42*VLOOKUP($A42,'EU Ref Sc 2020 Other industries'!$A$5:$AE$33,AF$2)</f>
        <v>24.654253267618081</v>
      </c>
      <c r="AG42" s="7">
        <f>AF42*VLOOKUP($A42,'EU Ref Sc 2020 Other industries'!$A$5:$AE$33,AG$2)</f>
        <v>24.876659296845592</v>
      </c>
      <c r="AH42" s="7">
        <f>AG42*VLOOKUP($A42,'EU Ref Sc 2020 Other industries'!$A$5:$AE$33,AH$2)</f>
        <v>25.099065326073099</v>
      </c>
      <c r="AI42" s="13">
        <f t="shared" ref="AI42:AR42" si="40">AH42</f>
        <v>25.099065326073099</v>
      </c>
      <c r="AJ42" s="13">
        <f t="shared" si="40"/>
        <v>25.099065326073099</v>
      </c>
      <c r="AK42" s="13">
        <f t="shared" si="40"/>
        <v>25.099065326073099</v>
      </c>
      <c r="AL42" s="13">
        <f t="shared" si="40"/>
        <v>25.099065326073099</v>
      </c>
      <c r="AM42" s="13">
        <f t="shared" si="40"/>
        <v>25.099065326073099</v>
      </c>
      <c r="AN42" s="13">
        <f t="shared" si="40"/>
        <v>25.099065326073099</v>
      </c>
      <c r="AO42" s="13">
        <f t="shared" si="40"/>
        <v>25.099065326073099</v>
      </c>
      <c r="AP42" s="13">
        <f t="shared" si="40"/>
        <v>25.099065326073099</v>
      </c>
      <c r="AQ42" s="13">
        <f t="shared" si="40"/>
        <v>25.099065326073099</v>
      </c>
      <c r="AR42" s="13">
        <f t="shared" si="40"/>
        <v>25.099065326073099</v>
      </c>
    </row>
    <row r="43" spans="1:44" x14ac:dyDescent="0.3">
      <c r="A43" t="s">
        <v>1424</v>
      </c>
      <c r="B43" t="s">
        <v>1395</v>
      </c>
      <c r="C43" t="s">
        <v>1328</v>
      </c>
      <c r="D43" t="str">
        <f t="shared" si="33"/>
        <v>SIIMEO</v>
      </c>
      <c r="E43" s="2">
        <v>2.3645</v>
      </c>
      <c r="F43" s="7">
        <f>E43*VLOOKUP($A43,'EU Ref Sc 2020 Other industries'!$A$5:$AE$33,F$2)</f>
        <v>2.4426621353878231</v>
      </c>
      <c r="G43" s="7">
        <f>F43*VLOOKUP($A43,'EU Ref Sc 2020 Other industries'!$A$5:$AE$33,G$2)</f>
        <v>2.5208242707756456</v>
      </c>
      <c r="H43" s="7">
        <f>G43*VLOOKUP($A43,'EU Ref Sc 2020 Other industries'!$A$5:$AE$33,H$2)</f>
        <v>2.5989864061634682</v>
      </c>
      <c r="I43" s="7">
        <f>H43*VLOOKUP($A43,'EU Ref Sc 2020 Other industries'!$A$5:$AE$33,I$2)</f>
        <v>2.6771485415512903</v>
      </c>
      <c r="J43" s="7">
        <f>I43*VLOOKUP($A43,'EU Ref Sc 2020 Other industries'!$A$5:$AE$33,J$2)</f>
        <v>2.7241306975443993</v>
      </c>
      <c r="K43" s="7">
        <f>J43*VLOOKUP($A43,'EU Ref Sc 2020 Other industries'!$A$5:$AE$33,K$2)</f>
        <v>2.7711128535375082</v>
      </c>
      <c r="L43" s="7">
        <f>K43*VLOOKUP($A43,'EU Ref Sc 2020 Other industries'!$A$5:$AE$33,L$2)</f>
        <v>2.8180950095306176</v>
      </c>
      <c r="M43" s="7">
        <f>L43*VLOOKUP($A43,'EU Ref Sc 2020 Other industries'!$A$5:$AE$33,M$2)</f>
        <v>2.865077165523727</v>
      </c>
      <c r="N43" s="7">
        <f>M43*VLOOKUP($A43,'EU Ref Sc 2020 Other industries'!$A$5:$AE$33,N$2)</f>
        <v>2.9120593215168356</v>
      </c>
      <c r="O43" s="7">
        <f>N43*VLOOKUP($A43,'EU Ref Sc 2020 Other industries'!$A$5:$AE$33,O$2)</f>
        <v>2.9459798394078791</v>
      </c>
      <c r="P43" s="7">
        <f>O43*VLOOKUP($A43,'EU Ref Sc 2020 Other industries'!$A$5:$AE$33,P$2)</f>
        <v>2.9799003572989231</v>
      </c>
      <c r="Q43" s="7">
        <f>P43*VLOOKUP($A43,'EU Ref Sc 2020 Other industries'!$A$5:$AE$33,Q$2)</f>
        <v>3.0138208751899671</v>
      </c>
      <c r="R43" s="7">
        <f>Q43*VLOOKUP($A43,'EU Ref Sc 2020 Other industries'!$A$5:$AE$33,R$2)</f>
        <v>3.0477413930810107</v>
      </c>
      <c r="S43" s="7">
        <f>R43*VLOOKUP($A43,'EU Ref Sc 2020 Other industries'!$A$5:$AE$33,S$2)</f>
        <v>3.0816619109720551</v>
      </c>
      <c r="T43" s="7">
        <f>S43*VLOOKUP($A43,'EU Ref Sc 2020 Other industries'!$A$5:$AE$33,T$2)</f>
        <v>3.1022300530491371</v>
      </c>
      <c r="U43" s="7">
        <f>T43*VLOOKUP($A43,'EU Ref Sc 2020 Other industries'!$A$5:$AE$33,U$2)</f>
        <v>3.1227981951262196</v>
      </c>
      <c r="V43" s="7">
        <f>U43*VLOOKUP($A43,'EU Ref Sc 2020 Other industries'!$A$5:$AE$33,V$2)</f>
        <v>3.1433663372033016</v>
      </c>
      <c r="W43" s="7">
        <f>V43*VLOOKUP($A43,'EU Ref Sc 2020 Other industries'!$A$5:$AE$33,W$2)</f>
        <v>3.1639344792803836</v>
      </c>
      <c r="X43" s="7">
        <f>W43*VLOOKUP($A43,'EU Ref Sc 2020 Other industries'!$A$5:$AE$33,X$2)</f>
        <v>3.1845026213574652</v>
      </c>
      <c r="Y43" s="7">
        <f>X43*VLOOKUP($A43,'EU Ref Sc 2020 Other industries'!$A$5:$AE$33,Y$2)</f>
        <v>3.2035714375728581</v>
      </c>
      <c r="Z43" s="7">
        <f>Y43*VLOOKUP($A43,'EU Ref Sc 2020 Other industries'!$A$5:$AE$33,Z$2)</f>
        <v>3.222640253788251</v>
      </c>
      <c r="AA43" s="7">
        <f>Z43*VLOOKUP($A43,'EU Ref Sc 2020 Other industries'!$A$5:$AE$33,AA$2)</f>
        <v>3.2417090700036439</v>
      </c>
      <c r="AB43" s="7">
        <f>AA43*VLOOKUP($A43,'EU Ref Sc 2020 Other industries'!$A$5:$AE$33,AB$2)</f>
        <v>3.2607778862190369</v>
      </c>
      <c r="AC43" s="7">
        <f>AB43*VLOOKUP($A43,'EU Ref Sc 2020 Other industries'!$A$5:$AE$33,AC$2)</f>
        <v>3.2798467024344298</v>
      </c>
      <c r="AD43" s="7">
        <f>AC43*VLOOKUP($A43,'EU Ref Sc 2020 Other industries'!$A$5:$AE$33,AD$2)</f>
        <v>3.3070883677753646</v>
      </c>
      <c r="AE43" s="7">
        <f>AD43*VLOOKUP($A43,'EU Ref Sc 2020 Other industries'!$A$5:$AE$33,AE$2)</f>
        <v>3.3343300331162995</v>
      </c>
      <c r="AF43" s="7">
        <f>AE43*VLOOKUP($A43,'EU Ref Sc 2020 Other industries'!$A$5:$AE$33,AF$2)</f>
        <v>3.3615716984572344</v>
      </c>
      <c r="AG43" s="7">
        <f>AF43*VLOOKUP($A43,'EU Ref Sc 2020 Other industries'!$A$5:$AE$33,AG$2)</f>
        <v>3.3888133637981697</v>
      </c>
      <c r="AH43" s="7">
        <f>AG43*VLOOKUP($A43,'EU Ref Sc 2020 Other industries'!$A$5:$AE$33,AH$2)</f>
        <v>3.4160550291391036</v>
      </c>
      <c r="AI43" s="13">
        <f t="shared" ref="AI43:AR43" si="41">AH43</f>
        <v>3.4160550291391036</v>
      </c>
      <c r="AJ43" s="13">
        <f t="shared" si="41"/>
        <v>3.4160550291391036</v>
      </c>
      <c r="AK43" s="13">
        <f t="shared" si="41"/>
        <v>3.4160550291391036</v>
      </c>
      <c r="AL43" s="13">
        <f t="shared" si="41"/>
        <v>3.4160550291391036</v>
      </c>
      <c r="AM43" s="13">
        <f t="shared" si="41"/>
        <v>3.4160550291391036</v>
      </c>
      <c r="AN43" s="13">
        <f t="shared" si="41"/>
        <v>3.4160550291391036</v>
      </c>
      <c r="AO43" s="13">
        <f t="shared" si="41"/>
        <v>3.4160550291391036</v>
      </c>
      <c r="AP43" s="13">
        <f t="shared" si="41"/>
        <v>3.4160550291391036</v>
      </c>
      <c r="AQ43" s="13">
        <f t="shared" si="41"/>
        <v>3.4160550291391036</v>
      </c>
      <c r="AR43" s="13">
        <f t="shared" si="41"/>
        <v>3.4160550291391036</v>
      </c>
    </row>
    <row r="44" spans="1:44" x14ac:dyDescent="0.3">
      <c r="A44" t="s">
        <v>1425</v>
      </c>
      <c r="B44" t="s">
        <v>1395</v>
      </c>
      <c r="C44" t="s">
        <v>1383</v>
      </c>
      <c r="D44" t="str">
        <f t="shared" si="33"/>
        <v>SKIMEO</v>
      </c>
      <c r="E44" s="2">
        <v>5.6192000000000002</v>
      </c>
      <c r="F44" s="7">
        <f>E44*VLOOKUP($A44,'EU Ref Sc 2020 Other industries'!$A$5:$AE$33,F$2)</f>
        <v>5.6486941538064555</v>
      </c>
      <c r="G44" s="7">
        <f>F44*VLOOKUP($A44,'EU Ref Sc 2020 Other industries'!$A$5:$AE$33,G$2)</f>
        <v>5.6781883076129107</v>
      </c>
      <c r="H44" s="7">
        <f>G44*VLOOKUP($A44,'EU Ref Sc 2020 Other industries'!$A$5:$AE$33,H$2)</f>
        <v>5.707682461419366</v>
      </c>
      <c r="I44" s="7">
        <f>H44*VLOOKUP($A44,'EU Ref Sc 2020 Other industries'!$A$5:$AE$33,I$2)</f>
        <v>5.7371766152258212</v>
      </c>
      <c r="J44" s="7">
        <f>I44*VLOOKUP($A44,'EU Ref Sc 2020 Other industries'!$A$5:$AE$33,J$2)</f>
        <v>5.7400514216343632</v>
      </c>
      <c r="K44" s="7">
        <f>J44*VLOOKUP($A44,'EU Ref Sc 2020 Other industries'!$A$5:$AE$33,K$2)</f>
        <v>5.7429262280429052</v>
      </c>
      <c r="L44" s="7">
        <f>K44*VLOOKUP($A44,'EU Ref Sc 2020 Other industries'!$A$5:$AE$33,L$2)</f>
        <v>5.7458010344514481</v>
      </c>
      <c r="M44" s="7">
        <f>L44*VLOOKUP($A44,'EU Ref Sc 2020 Other industries'!$A$5:$AE$33,M$2)</f>
        <v>5.7486758408599909</v>
      </c>
      <c r="N44" s="7">
        <f>M44*VLOOKUP($A44,'EU Ref Sc 2020 Other industries'!$A$5:$AE$33,N$2)</f>
        <v>5.7515506472685338</v>
      </c>
      <c r="O44" s="7">
        <f>N44*VLOOKUP($A44,'EU Ref Sc 2020 Other industries'!$A$5:$AE$33,O$2)</f>
        <v>5.8107289803975926</v>
      </c>
      <c r="P44" s="7">
        <f>O44*VLOOKUP($A44,'EU Ref Sc 2020 Other industries'!$A$5:$AE$33,P$2)</f>
        <v>5.8699073135266522</v>
      </c>
      <c r="Q44" s="7">
        <f>P44*VLOOKUP($A44,'EU Ref Sc 2020 Other industries'!$A$5:$AE$33,Q$2)</f>
        <v>5.9290856466557118</v>
      </c>
      <c r="R44" s="7">
        <f>Q44*VLOOKUP($A44,'EU Ref Sc 2020 Other industries'!$A$5:$AE$33,R$2)</f>
        <v>5.9882639797847714</v>
      </c>
      <c r="S44" s="7">
        <f>R44*VLOOKUP($A44,'EU Ref Sc 2020 Other industries'!$A$5:$AE$33,S$2)</f>
        <v>6.0474423129138302</v>
      </c>
      <c r="T44" s="7">
        <f>S44*VLOOKUP($A44,'EU Ref Sc 2020 Other industries'!$A$5:$AE$33,T$2)</f>
        <v>6.0472423712784567</v>
      </c>
      <c r="U44" s="7">
        <f>T44*VLOOKUP($A44,'EU Ref Sc 2020 Other industries'!$A$5:$AE$33,U$2)</f>
        <v>6.0470424296430831</v>
      </c>
      <c r="V44" s="7">
        <f>U44*VLOOKUP($A44,'EU Ref Sc 2020 Other industries'!$A$5:$AE$33,V$2)</f>
        <v>6.0468424880077096</v>
      </c>
      <c r="W44" s="7">
        <f>V44*VLOOKUP($A44,'EU Ref Sc 2020 Other industries'!$A$5:$AE$33,W$2)</f>
        <v>6.0466425463723361</v>
      </c>
      <c r="X44" s="7">
        <f>W44*VLOOKUP($A44,'EU Ref Sc 2020 Other industries'!$A$5:$AE$33,X$2)</f>
        <v>6.0464426047369653</v>
      </c>
      <c r="Y44" s="7">
        <f>X44*VLOOKUP($A44,'EU Ref Sc 2020 Other industries'!$A$5:$AE$33,Y$2)</f>
        <v>6.0357290510015629</v>
      </c>
      <c r="Z44" s="7">
        <f>Y44*VLOOKUP($A44,'EU Ref Sc 2020 Other industries'!$A$5:$AE$33,Z$2)</f>
        <v>6.0250154972661596</v>
      </c>
      <c r="AA44" s="7">
        <f>Z44*VLOOKUP($A44,'EU Ref Sc 2020 Other industries'!$A$5:$AE$33,AA$2)</f>
        <v>6.0143019435307563</v>
      </c>
      <c r="AB44" s="7">
        <f>AA44*VLOOKUP($A44,'EU Ref Sc 2020 Other industries'!$A$5:$AE$33,AB$2)</f>
        <v>6.003588389795353</v>
      </c>
      <c r="AC44" s="7">
        <f>AB44*VLOOKUP($A44,'EU Ref Sc 2020 Other industries'!$A$5:$AE$33,AC$2)</f>
        <v>5.9928748360599489</v>
      </c>
      <c r="AD44" s="7">
        <f>AC44*VLOOKUP($A44,'EU Ref Sc 2020 Other industries'!$A$5:$AE$33,AD$2)</f>
        <v>5.9964649514456854</v>
      </c>
      <c r="AE44" s="7">
        <f>AD44*VLOOKUP($A44,'EU Ref Sc 2020 Other industries'!$A$5:$AE$33,AE$2)</f>
        <v>6.000055066831421</v>
      </c>
      <c r="AF44" s="7">
        <f>AE44*VLOOKUP($A44,'EU Ref Sc 2020 Other industries'!$A$5:$AE$33,AF$2)</f>
        <v>6.0036451822171566</v>
      </c>
      <c r="AG44" s="7">
        <f>AF44*VLOOKUP($A44,'EU Ref Sc 2020 Other industries'!$A$5:$AE$33,AG$2)</f>
        <v>6.0072352976028913</v>
      </c>
      <c r="AH44" s="7">
        <f>AG44*VLOOKUP($A44,'EU Ref Sc 2020 Other industries'!$A$5:$AE$33,AH$2)</f>
        <v>6.0108254129886278</v>
      </c>
      <c r="AI44" s="13">
        <f t="shared" ref="AI44:AR44" si="42">AH44</f>
        <v>6.0108254129886278</v>
      </c>
      <c r="AJ44" s="13">
        <f t="shared" si="42"/>
        <v>6.0108254129886278</v>
      </c>
      <c r="AK44" s="13">
        <f t="shared" si="42"/>
        <v>6.0108254129886278</v>
      </c>
      <c r="AL44" s="13">
        <f t="shared" si="42"/>
        <v>6.0108254129886278</v>
      </c>
      <c r="AM44" s="13">
        <f t="shared" si="42"/>
        <v>6.0108254129886278</v>
      </c>
      <c r="AN44" s="13">
        <f t="shared" si="42"/>
        <v>6.0108254129886278</v>
      </c>
      <c r="AO44" s="13">
        <f t="shared" si="42"/>
        <v>6.0108254129886278</v>
      </c>
      <c r="AP44" s="13">
        <f t="shared" si="42"/>
        <v>6.0108254129886278</v>
      </c>
      <c r="AQ44" s="13">
        <f t="shared" si="42"/>
        <v>6.0108254129886278</v>
      </c>
      <c r="AR44" s="13">
        <f t="shared" si="42"/>
        <v>6.0108254129886278</v>
      </c>
    </row>
    <row r="45" spans="1:44" x14ac:dyDescent="0.3">
      <c r="A45" t="s">
        <v>1390</v>
      </c>
      <c r="B45" t="s">
        <v>1393</v>
      </c>
      <c r="C45" t="s">
        <v>30</v>
      </c>
      <c r="D45" t="str">
        <f t="shared" si="33"/>
        <v>ATIMEN</v>
      </c>
      <c r="E45" s="2">
        <v>2.7271999999999998</v>
      </c>
      <c r="F45" s="12">
        <f>E45*VLOOKUP($A45,'EU Ref Sc 2020 Energy intensive'!$A$5:$AE$33,F$2)</f>
        <v>2.747699153503008</v>
      </c>
      <c r="G45" s="12">
        <f>F45*VLOOKUP($A45,'EU Ref Sc 2020 Energy intensive'!$A$5:$AE$33,G$2)</f>
        <v>2.7681983070060161</v>
      </c>
      <c r="H45" s="12">
        <f>G45*VLOOKUP($A45,'EU Ref Sc 2020 Energy intensive'!$A$5:$AE$33,H$2)</f>
        <v>2.7886974605090238</v>
      </c>
      <c r="I45" s="12">
        <f>H45*VLOOKUP($A45,'EU Ref Sc 2020 Energy intensive'!$A$5:$AE$33,I$2)</f>
        <v>2.809196614012031</v>
      </c>
      <c r="J45" s="12">
        <f>I45*VLOOKUP($A45,'EU Ref Sc 2020 Energy intensive'!$A$5:$AE$33,J$2)</f>
        <v>2.7872768365689162</v>
      </c>
      <c r="K45" s="12">
        <f>J45*VLOOKUP($A45,'EU Ref Sc 2020 Energy intensive'!$A$5:$AE$33,K$2)</f>
        <v>2.7653570591258014</v>
      </c>
      <c r="L45" s="12">
        <f>K45*VLOOKUP($A45,'EU Ref Sc 2020 Energy intensive'!$A$5:$AE$33,L$2)</f>
        <v>2.7434372816826862</v>
      </c>
      <c r="M45" s="12">
        <f>L45*VLOOKUP($A45,'EU Ref Sc 2020 Energy intensive'!$A$5:$AE$33,M$2)</f>
        <v>2.7215175042395714</v>
      </c>
      <c r="N45" s="12">
        <f>M45*VLOOKUP($A45,'EU Ref Sc 2020 Energy intensive'!$A$5:$AE$33,N$2)</f>
        <v>2.6995977267964566</v>
      </c>
      <c r="O45" s="12">
        <f>N45*VLOOKUP($A45,'EU Ref Sc 2020 Energy intensive'!$A$5:$AE$33,O$2)</f>
        <v>2.6690063555480807</v>
      </c>
      <c r="P45" s="12">
        <f>O45*VLOOKUP($A45,'EU Ref Sc 2020 Energy intensive'!$A$5:$AE$33,P$2)</f>
        <v>2.6384149842997049</v>
      </c>
      <c r="Q45" s="12">
        <f>P45*VLOOKUP($A45,'EU Ref Sc 2020 Energy intensive'!$A$5:$AE$33,Q$2)</f>
        <v>2.607823613051329</v>
      </c>
      <c r="R45" s="12">
        <f>Q45*VLOOKUP($A45,'EU Ref Sc 2020 Energy intensive'!$A$5:$AE$33,R$2)</f>
        <v>2.5772322418029532</v>
      </c>
      <c r="S45" s="12">
        <f>R45*VLOOKUP($A45,'EU Ref Sc 2020 Energy intensive'!$A$5:$AE$33,S$2)</f>
        <v>2.5466408705545782</v>
      </c>
      <c r="T45" s="12">
        <f>S45*VLOOKUP($A45,'EU Ref Sc 2020 Energy intensive'!$A$5:$AE$33,T$2)</f>
        <v>2.5223872270846348</v>
      </c>
      <c r="U45" s="12">
        <f>T45*VLOOKUP($A45,'EU Ref Sc 2020 Energy intensive'!$A$5:$AE$33,U$2)</f>
        <v>2.498133583614691</v>
      </c>
      <c r="V45" s="12">
        <f>U45*VLOOKUP($A45,'EU Ref Sc 2020 Energy intensive'!$A$5:$AE$33,V$2)</f>
        <v>2.4738799401447475</v>
      </c>
      <c r="W45" s="12">
        <f>V45*VLOOKUP($A45,'EU Ref Sc 2020 Energy intensive'!$A$5:$AE$33,W$2)</f>
        <v>2.4496262966748037</v>
      </c>
      <c r="X45" s="12">
        <f>W45*VLOOKUP($A45,'EU Ref Sc 2020 Energy intensive'!$A$5:$AE$33,X$2)</f>
        <v>2.4253726532048612</v>
      </c>
      <c r="Y45" s="12">
        <f>X45*VLOOKUP($A45,'EU Ref Sc 2020 Energy intensive'!$A$5:$AE$33,Y$2)</f>
        <v>2.4141163566528641</v>
      </c>
      <c r="Z45" s="12">
        <f>Y45*VLOOKUP($A45,'EU Ref Sc 2020 Energy intensive'!$A$5:$AE$33,Z$2)</f>
        <v>2.4028600601008669</v>
      </c>
      <c r="AA45" s="12">
        <f>Z45*VLOOKUP($A45,'EU Ref Sc 2020 Energy intensive'!$A$5:$AE$33,AA$2)</f>
        <v>2.3916037635488698</v>
      </c>
      <c r="AB45" s="12">
        <f>AA45*VLOOKUP($A45,'EU Ref Sc 2020 Energy intensive'!$A$5:$AE$33,AB$2)</f>
        <v>2.3803474669968727</v>
      </c>
      <c r="AC45" s="12">
        <f>AB45*VLOOKUP($A45,'EU Ref Sc 2020 Energy intensive'!$A$5:$AE$33,AC$2)</f>
        <v>2.369091170444876</v>
      </c>
      <c r="AD45" s="12">
        <f>AC45*VLOOKUP($A45,'EU Ref Sc 2020 Energy intensive'!$A$5:$AE$33,AD$2)</f>
        <v>2.3632585832933937</v>
      </c>
      <c r="AE45" s="12">
        <f>AD45*VLOOKUP($A45,'EU Ref Sc 2020 Energy intensive'!$A$5:$AE$33,AE$2)</f>
        <v>2.3574259961419113</v>
      </c>
      <c r="AF45" s="12">
        <f>AE45*VLOOKUP($A45,'EU Ref Sc 2020 Energy intensive'!$A$5:$AE$33,AF$2)</f>
        <v>2.3515934089904289</v>
      </c>
      <c r="AG45" s="12">
        <f>AF45*VLOOKUP($A45,'EU Ref Sc 2020 Energy intensive'!$A$5:$AE$33,AG$2)</f>
        <v>2.3457608218389461</v>
      </c>
      <c r="AH45" s="12">
        <f>AG45*VLOOKUP($A45,'EU Ref Sc 2020 Energy intensive'!$A$5:$AE$33,AH$2)</f>
        <v>2.3399282346874637</v>
      </c>
      <c r="AI45" s="13">
        <f t="shared" ref="AI45:AR45" si="43">AH45</f>
        <v>2.3399282346874637</v>
      </c>
      <c r="AJ45" s="13">
        <f t="shared" si="43"/>
        <v>2.3399282346874637</v>
      </c>
      <c r="AK45" s="13">
        <f t="shared" si="43"/>
        <v>2.3399282346874637</v>
      </c>
      <c r="AL45" s="13">
        <f t="shared" si="43"/>
        <v>2.3399282346874637</v>
      </c>
      <c r="AM45" s="13">
        <f t="shared" si="43"/>
        <v>2.3399282346874637</v>
      </c>
      <c r="AN45" s="13">
        <f t="shared" si="43"/>
        <v>2.3399282346874637</v>
      </c>
      <c r="AO45" s="13">
        <f t="shared" si="43"/>
        <v>2.3399282346874637</v>
      </c>
      <c r="AP45" s="13">
        <f t="shared" si="43"/>
        <v>2.3399282346874637</v>
      </c>
      <c r="AQ45" s="13">
        <f t="shared" si="43"/>
        <v>2.3399282346874637</v>
      </c>
      <c r="AR45" s="13">
        <f t="shared" si="43"/>
        <v>2.3399282346874637</v>
      </c>
    </row>
    <row r="46" spans="1:44" x14ac:dyDescent="0.3">
      <c r="A46" t="s">
        <v>1396</v>
      </c>
      <c r="B46" t="s">
        <v>1393</v>
      </c>
      <c r="C46" t="s">
        <v>85</v>
      </c>
      <c r="D46" t="str">
        <f t="shared" si="33"/>
        <v>BEIMEN</v>
      </c>
      <c r="E46" s="2">
        <v>2.6334</v>
      </c>
      <c r="F46" s="12">
        <f>E46*VLOOKUP($A46,'EU Ref Sc 2020 Energy intensive'!$A$5:$AE$33,F$2)</f>
        <v>2.7181001945354621</v>
      </c>
      <c r="G46" s="12">
        <f>F46*VLOOKUP($A46,'EU Ref Sc 2020 Energy intensive'!$A$5:$AE$33,G$2)</f>
        <v>2.8028003890709243</v>
      </c>
      <c r="H46" s="12">
        <f>G46*VLOOKUP($A46,'EU Ref Sc 2020 Energy intensive'!$A$5:$AE$33,H$2)</f>
        <v>2.8875005836063865</v>
      </c>
      <c r="I46" s="12">
        <f>H46*VLOOKUP($A46,'EU Ref Sc 2020 Energy intensive'!$A$5:$AE$33,I$2)</f>
        <v>2.9722007781418487</v>
      </c>
      <c r="J46" s="12">
        <f>I46*VLOOKUP($A46,'EU Ref Sc 2020 Energy intensive'!$A$5:$AE$33,J$2)</f>
        <v>3.0621308984480491</v>
      </c>
      <c r="K46" s="12">
        <f>J46*VLOOKUP($A46,'EU Ref Sc 2020 Energy intensive'!$A$5:$AE$33,K$2)</f>
        <v>3.152061018754249</v>
      </c>
      <c r="L46" s="12">
        <f>K46*VLOOKUP($A46,'EU Ref Sc 2020 Energy intensive'!$A$5:$AE$33,L$2)</f>
        <v>3.2419911390604494</v>
      </c>
      <c r="M46" s="12">
        <f>L46*VLOOKUP($A46,'EU Ref Sc 2020 Energy intensive'!$A$5:$AE$33,M$2)</f>
        <v>3.3319212593666498</v>
      </c>
      <c r="N46" s="12">
        <f>M46*VLOOKUP($A46,'EU Ref Sc 2020 Energy intensive'!$A$5:$AE$33,N$2)</f>
        <v>3.4218513796728516</v>
      </c>
      <c r="O46" s="12">
        <f>N46*VLOOKUP($A46,'EU Ref Sc 2020 Energy intensive'!$A$5:$AE$33,O$2)</f>
        <v>3.4005486669904776</v>
      </c>
      <c r="P46" s="12">
        <f>O46*VLOOKUP($A46,'EU Ref Sc 2020 Energy intensive'!$A$5:$AE$33,P$2)</f>
        <v>3.3792459543081037</v>
      </c>
      <c r="Q46" s="12">
        <f>P46*VLOOKUP($A46,'EU Ref Sc 2020 Energy intensive'!$A$5:$AE$33,Q$2)</f>
        <v>3.3579432416257298</v>
      </c>
      <c r="R46" s="12">
        <f>Q46*VLOOKUP($A46,'EU Ref Sc 2020 Energy intensive'!$A$5:$AE$33,R$2)</f>
        <v>3.3366405289433558</v>
      </c>
      <c r="S46" s="12">
        <f>R46*VLOOKUP($A46,'EU Ref Sc 2020 Energy intensive'!$A$5:$AE$33,S$2)</f>
        <v>3.3153378162609823</v>
      </c>
      <c r="T46" s="12">
        <f>S46*VLOOKUP($A46,'EU Ref Sc 2020 Energy intensive'!$A$5:$AE$33,T$2)</f>
        <v>3.2980114949416284</v>
      </c>
      <c r="U46" s="12">
        <f>T46*VLOOKUP($A46,'EU Ref Sc 2020 Energy intensive'!$A$5:$AE$33,U$2)</f>
        <v>3.2806851736222744</v>
      </c>
      <c r="V46" s="12">
        <f>U46*VLOOKUP($A46,'EU Ref Sc 2020 Energy intensive'!$A$5:$AE$33,V$2)</f>
        <v>3.2633588523029204</v>
      </c>
      <c r="W46" s="12">
        <f>V46*VLOOKUP($A46,'EU Ref Sc 2020 Energy intensive'!$A$5:$AE$33,W$2)</f>
        <v>3.2460325309835665</v>
      </c>
      <c r="X46" s="12">
        <f>W46*VLOOKUP($A46,'EU Ref Sc 2020 Energy intensive'!$A$5:$AE$33,X$2)</f>
        <v>3.2287062096642125</v>
      </c>
      <c r="Y46" s="12">
        <f>X46*VLOOKUP($A46,'EU Ref Sc 2020 Energy intensive'!$A$5:$AE$33,Y$2)</f>
        <v>3.2281753834140856</v>
      </c>
      <c r="Z46" s="12">
        <f>Y46*VLOOKUP($A46,'EU Ref Sc 2020 Energy intensive'!$A$5:$AE$33,Z$2)</f>
        <v>3.2276445571639587</v>
      </c>
      <c r="AA46" s="12">
        <f>Z46*VLOOKUP($A46,'EU Ref Sc 2020 Energy intensive'!$A$5:$AE$33,AA$2)</f>
        <v>3.2271137309138318</v>
      </c>
      <c r="AB46" s="12">
        <f>AA46*VLOOKUP($A46,'EU Ref Sc 2020 Energy intensive'!$A$5:$AE$33,AB$2)</f>
        <v>3.2265829046637049</v>
      </c>
      <c r="AC46" s="12">
        <f>AB46*VLOOKUP($A46,'EU Ref Sc 2020 Energy intensive'!$A$5:$AE$33,AC$2)</f>
        <v>3.2260520784135793</v>
      </c>
      <c r="AD46" s="12">
        <f>AC46*VLOOKUP($A46,'EU Ref Sc 2020 Energy intensive'!$A$5:$AE$33,AD$2)</f>
        <v>3.2243427566872254</v>
      </c>
      <c r="AE46" s="12">
        <f>AD46*VLOOKUP($A46,'EU Ref Sc 2020 Energy intensive'!$A$5:$AE$33,AE$2)</f>
        <v>3.2226334349608714</v>
      </c>
      <c r="AF46" s="12">
        <f>AE46*VLOOKUP($A46,'EU Ref Sc 2020 Energy intensive'!$A$5:$AE$33,AF$2)</f>
        <v>3.2209241132345174</v>
      </c>
      <c r="AG46" s="12">
        <f>AF46*VLOOKUP($A46,'EU Ref Sc 2020 Energy intensive'!$A$5:$AE$33,AG$2)</f>
        <v>3.2192147915081635</v>
      </c>
      <c r="AH46" s="12">
        <f>AG46*VLOOKUP($A46,'EU Ref Sc 2020 Energy intensive'!$A$5:$AE$33,AH$2)</f>
        <v>3.2175054697818108</v>
      </c>
      <c r="AI46" s="13">
        <f t="shared" ref="AI46:AR46" si="44">AH46</f>
        <v>3.2175054697818108</v>
      </c>
      <c r="AJ46" s="13">
        <f t="shared" si="44"/>
        <v>3.2175054697818108</v>
      </c>
      <c r="AK46" s="13">
        <f t="shared" si="44"/>
        <v>3.2175054697818108</v>
      </c>
      <c r="AL46" s="13">
        <f t="shared" si="44"/>
        <v>3.2175054697818108</v>
      </c>
      <c r="AM46" s="13">
        <f t="shared" si="44"/>
        <v>3.2175054697818108</v>
      </c>
      <c r="AN46" s="13">
        <f t="shared" si="44"/>
        <v>3.2175054697818108</v>
      </c>
      <c r="AO46" s="13">
        <f t="shared" si="44"/>
        <v>3.2175054697818108</v>
      </c>
      <c r="AP46" s="13">
        <f t="shared" si="44"/>
        <v>3.2175054697818108</v>
      </c>
      <c r="AQ46" s="13">
        <f t="shared" si="44"/>
        <v>3.2175054697818108</v>
      </c>
      <c r="AR46" s="13">
        <f t="shared" si="44"/>
        <v>3.2175054697818108</v>
      </c>
    </row>
    <row r="47" spans="1:44" x14ac:dyDescent="0.3">
      <c r="A47" t="s">
        <v>1398</v>
      </c>
      <c r="B47" t="s">
        <v>1393</v>
      </c>
      <c r="C47" t="s">
        <v>140</v>
      </c>
      <c r="D47" t="str">
        <f t="shared" si="33"/>
        <v>BGIMEN</v>
      </c>
      <c r="E47" s="2">
        <v>1.1172</v>
      </c>
      <c r="F47" s="12">
        <f>E47*VLOOKUP($A47,'EU Ref Sc 2020 Energy intensive'!$A$5:$AE$33,F$2)</f>
        <v>1.1328994949009397</v>
      </c>
      <c r="G47" s="12">
        <f>F47*VLOOKUP($A47,'EU Ref Sc 2020 Energy intensive'!$A$5:$AE$33,G$2)</f>
        <v>1.1485989898018794</v>
      </c>
      <c r="H47" s="12">
        <f>G47*VLOOKUP($A47,'EU Ref Sc 2020 Energy intensive'!$A$5:$AE$33,H$2)</f>
        <v>1.164298484702819</v>
      </c>
      <c r="I47" s="12">
        <f>H47*VLOOKUP($A47,'EU Ref Sc 2020 Energy intensive'!$A$5:$AE$33,I$2)</f>
        <v>1.1799979796037587</v>
      </c>
      <c r="J47" s="12">
        <f>I47*VLOOKUP($A47,'EU Ref Sc 2020 Energy intensive'!$A$5:$AE$33,J$2)</f>
        <v>1.1747791888284613</v>
      </c>
      <c r="K47" s="12">
        <f>J47*VLOOKUP($A47,'EU Ref Sc 2020 Energy intensive'!$A$5:$AE$33,K$2)</f>
        <v>1.1695603980531639</v>
      </c>
      <c r="L47" s="12">
        <f>K47*VLOOKUP($A47,'EU Ref Sc 2020 Energy intensive'!$A$5:$AE$33,L$2)</f>
        <v>1.1643416072778665</v>
      </c>
      <c r="M47" s="12">
        <f>L47*VLOOKUP($A47,'EU Ref Sc 2020 Energy intensive'!$A$5:$AE$33,M$2)</f>
        <v>1.1591228165025691</v>
      </c>
      <c r="N47" s="12">
        <f>M47*VLOOKUP($A47,'EU Ref Sc 2020 Energy intensive'!$A$5:$AE$33,N$2)</f>
        <v>1.1539040257272719</v>
      </c>
      <c r="O47" s="12">
        <f>N47*VLOOKUP($A47,'EU Ref Sc 2020 Energy intensive'!$A$5:$AE$33,O$2)</f>
        <v>1.1308162269456588</v>
      </c>
      <c r="P47" s="12">
        <f>O47*VLOOKUP($A47,'EU Ref Sc 2020 Energy intensive'!$A$5:$AE$33,P$2)</f>
        <v>1.1077284281640456</v>
      </c>
      <c r="Q47" s="12">
        <f>P47*VLOOKUP($A47,'EU Ref Sc 2020 Energy intensive'!$A$5:$AE$33,Q$2)</f>
        <v>1.0846406293824324</v>
      </c>
      <c r="R47" s="12">
        <f>Q47*VLOOKUP($A47,'EU Ref Sc 2020 Energy intensive'!$A$5:$AE$33,R$2)</f>
        <v>1.0615528306008193</v>
      </c>
      <c r="S47" s="12">
        <f>R47*VLOOKUP($A47,'EU Ref Sc 2020 Energy intensive'!$A$5:$AE$33,S$2)</f>
        <v>1.0384650318192064</v>
      </c>
      <c r="T47" s="12">
        <f>S47*VLOOKUP($A47,'EU Ref Sc 2020 Energy intensive'!$A$5:$AE$33,T$2)</f>
        <v>1.0316084771159886</v>
      </c>
      <c r="U47" s="12">
        <f>T47*VLOOKUP($A47,'EU Ref Sc 2020 Energy intensive'!$A$5:$AE$33,U$2)</f>
        <v>1.0247519224127708</v>
      </c>
      <c r="V47" s="12">
        <f>U47*VLOOKUP($A47,'EU Ref Sc 2020 Energy intensive'!$A$5:$AE$33,V$2)</f>
        <v>1.017895367709553</v>
      </c>
      <c r="W47" s="12">
        <f>V47*VLOOKUP($A47,'EU Ref Sc 2020 Energy intensive'!$A$5:$AE$33,W$2)</f>
        <v>1.0110388130063352</v>
      </c>
      <c r="X47" s="12">
        <f>W47*VLOOKUP($A47,'EU Ref Sc 2020 Energy intensive'!$A$5:$AE$33,X$2)</f>
        <v>1.0041822583031172</v>
      </c>
      <c r="Y47" s="12">
        <f>X47*VLOOKUP($A47,'EU Ref Sc 2020 Energy intensive'!$A$5:$AE$33,Y$2)</f>
        <v>1.0022623107123623</v>
      </c>
      <c r="Z47" s="12">
        <f>Y47*VLOOKUP($A47,'EU Ref Sc 2020 Energy intensive'!$A$5:$AE$33,Z$2)</f>
        <v>1.0003423631216075</v>
      </c>
      <c r="AA47" s="12">
        <f>Z47*VLOOKUP($A47,'EU Ref Sc 2020 Energy intensive'!$A$5:$AE$33,AA$2)</f>
        <v>0.99842241553085265</v>
      </c>
      <c r="AB47" s="12">
        <f>AA47*VLOOKUP($A47,'EU Ref Sc 2020 Energy intensive'!$A$5:$AE$33,AB$2)</f>
        <v>0.99650246794009778</v>
      </c>
      <c r="AC47" s="12">
        <f>AB47*VLOOKUP($A47,'EU Ref Sc 2020 Energy intensive'!$A$5:$AE$33,AC$2)</f>
        <v>0.99458252034934302</v>
      </c>
      <c r="AD47" s="12">
        <f>AC47*VLOOKUP($A47,'EU Ref Sc 2020 Energy intensive'!$A$5:$AE$33,AD$2)</f>
        <v>0.9914463760489115</v>
      </c>
      <c r="AE47" s="12">
        <f>AD47*VLOOKUP($A47,'EU Ref Sc 2020 Energy intensive'!$A$5:$AE$33,AE$2)</f>
        <v>0.98831023174847998</v>
      </c>
      <c r="AF47" s="12">
        <f>AE47*VLOOKUP($A47,'EU Ref Sc 2020 Energy intensive'!$A$5:$AE$33,AF$2)</f>
        <v>0.98517408744804835</v>
      </c>
      <c r="AG47" s="12">
        <f>AF47*VLOOKUP($A47,'EU Ref Sc 2020 Energy intensive'!$A$5:$AE$33,AG$2)</f>
        <v>0.98203794314761683</v>
      </c>
      <c r="AH47" s="12">
        <f>AG47*VLOOKUP($A47,'EU Ref Sc 2020 Energy intensive'!$A$5:$AE$33,AH$2)</f>
        <v>0.97890179884718498</v>
      </c>
      <c r="AI47" s="13">
        <f t="shared" ref="AI47:AR47" si="45">AH47</f>
        <v>0.97890179884718498</v>
      </c>
      <c r="AJ47" s="13">
        <f t="shared" si="45"/>
        <v>0.97890179884718498</v>
      </c>
      <c r="AK47" s="13">
        <f t="shared" si="45"/>
        <v>0.97890179884718498</v>
      </c>
      <c r="AL47" s="13">
        <f t="shared" si="45"/>
        <v>0.97890179884718498</v>
      </c>
      <c r="AM47" s="13">
        <f t="shared" si="45"/>
        <v>0.97890179884718498</v>
      </c>
      <c r="AN47" s="13">
        <f t="shared" si="45"/>
        <v>0.97890179884718498</v>
      </c>
      <c r="AO47" s="13">
        <f t="shared" si="45"/>
        <v>0.97890179884718498</v>
      </c>
      <c r="AP47" s="13">
        <f t="shared" si="45"/>
        <v>0.97890179884718498</v>
      </c>
      <c r="AQ47" s="13">
        <f t="shared" si="45"/>
        <v>0.97890179884718498</v>
      </c>
      <c r="AR47" s="13">
        <f t="shared" si="45"/>
        <v>0.97890179884718498</v>
      </c>
    </row>
    <row r="48" spans="1:44" x14ac:dyDescent="0.3">
      <c r="A48" t="s">
        <v>1400</v>
      </c>
      <c r="B48" t="s">
        <v>1393</v>
      </c>
      <c r="C48" t="s">
        <v>173</v>
      </c>
      <c r="D48" t="str">
        <f t="shared" si="33"/>
        <v>CYIMEN</v>
      </c>
      <c r="E48" s="2">
        <v>0.27439999999999998</v>
      </c>
      <c r="F48" s="12">
        <f>E48*VLOOKUP($A48,'EU Ref Sc 2020 Energy intensive'!$A$5:$AE$33,F$2)</f>
        <v>0.277652338134601</v>
      </c>
      <c r="G48" s="12">
        <f>F48*VLOOKUP($A48,'EU Ref Sc 2020 Energy intensive'!$A$5:$AE$33,G$2)</f>
        <v>0.28090467626920201</v>
      </c>
      <c r="H48" s="12">
        <f>G48*VLOOKUP($A48,'EU Ref Sc 2020 Energy intensive'!$A$5:$AE$33,H$2)</f>
        <v>0.28415701440380303</v>
      </c>
      <c r="I48" s="12">
        <f>H48*VLOOKUP($A48,'EU Ref Sc 2020 Energy intensive'!$A$5:$AE$33,I$2)</f>
        <v>0.28740935253840411</v>
      </c>
      <c r="J48" s="12">
        <f>I48*VLOOKUP($A48,'EU Ref Sc 2020 Energy intensive'!$A$5:$AE$33,J$2)</f>
        <v>0.28251563017281989</v>
      </c>
      <c r="K48" s="12">
        <f>J48*VLOOKUP($A48,'EU Ref Sc 2020 Energy intensive'!$A$5:$AE$33,K$2)</f>
        <v>0.27762190780723567</v>
      </c>
      <c r="L48" s="12">
        <f>K48*VLOOKUP($A48,'EU Ref Sc 2020 Energy intensive'!$A$5:$AE$33,L$2)</f>
        <v>0.27272818544165145</v>
      </c>
      <c r="M48" s="12">
        <f>L48*VLOOKUP($A48,'EU Ref Sc 2020 Energy intensive'!$A$5:$AE$33,M$2)</f>
        <v>0.26783446307606723</v>
      </c>
      <c r="N48" s="12">
        <f>M48*VLOOKUP($A48,'EU Ref Sc 2020 Energy intensive'!$A$5:$AE$33,N$2)</f>
        <v>0.2629407407104829</v>
      </c>
      <c r="O48" s="12">
        <f>N48*VLOOKUP($A48,'EU Ref Sc 2020 Energy intensive'!$A$5:$AE$33,O$2)</f>
        <v>0.26259436506380535</v>
      </c>
      <c r="P48" s="12">
        <f>O48*VLOOKUP($A48,'EU Ref Sc 2020 Energy intensive'!$A$5:$AE$33,P$2)</f>
        <v>0.26224798941712779</v>
      </c>
      <c r="Q48" s="12">
        <f>P48*VLOOKUP($A48,'EU Ref Sc 2020 Energy intensive'!$A$5:$AE$33,Q$2)</f>
        <v>0.26190161377045024</v>
      </c>
      <c r="R48" s="12">
        <f>Q48*VLOOKUP($A48,'EU Ref Sc 2020 Energy intensive'!$A$5:$AE$33,R$2)</f>
        <v>0.26155523812377268</v>
      </c>
      <c r="S48" s="12">
        <f>R48*VLOOKUP($A48,'EU Ref Sc 2020 Energy intensive'!$A$5:$AE$33,S$2)</f>
        <v>0.26120886247709518</v>
      </c>
      <c r="T48" s="12">
        <f>S48*VLOOKUP($A48,'EU Ref Sc 2020 Energy intensive'!$A$5:$AE$33,T$2)</f>
        <v>0.26344744121967234</v>
      </c>
      <c r="U48" s="12">
        <f>T48*VLOOKUP($A48,'EU Ref Sc 2020 Energy intensive'!$A$5:$AE$33,U$2)</f>
        <v>0.26568601996224944</v>
      </c>
      <c r="V48" s="12">
        <f>U48*VLOOKUP($A48,'EU Ref Sc 2020 Energy intensive'!$A$5:$AE$33,V$2)</f>
        <v>0.2679245987048266</v>
      </c>
      <c r="W48" s="12">
        <f>V48*VLOOKUP($A48,'EU Ref Sc 2020 Energy intensive'!$A$5:$AE$33,W$2)</f>
        <v>0.27016317744740376</v>
      </c>
      <c r="X48" s="12">
        <f>W48*VLOOKUP($A48,'EU Ref Sc 2020 Energy intensive'!$A$5:$AE$33,X$2)</f>
        <v>0.2724017561899808</v>
      </c>
      <c r="Y48" s="12">
        <f>X48*VLOOKUP($A48,'EU Ref Sc 2020 Energy intensive'!$A$5:$AE$33,Y$2)</f>
        <v>0.27292795737321929</v>
      </c>
      <c r="Z48" s="12">
        <f>Y48*VLOOKUP($A48,'EU Ref Sc 2020 Energy intensive'!$A$5:$AE$33,Z$2)</f>
        <v>0.27345415855645777</v>
      </c>
      <c r="AA48" s="12">
        <f>Z48*VLOOKUP($A48,'EU Ref Sc 2020 Energy intensive'!$A$5:$AE$33,AA$2)</f>
        <v>0.27398035973969626</v>
      </c>
      <c r="AB48" s="12">
        <f>AA48*VLOOKUP($A48,'EU Ref Sc 2020 Energy intensive'!$A$5:$AE$33,AB$2)</f>
        <v>0.27450656092293479</v>
      </c>
      <c r="AC48" s="12">
        <f>AB48*VLOOKUP($A48,'EU Ref Sc 2020 Energy intensive'!$A$5:$AE$33,AC$2)</f>
        <v>0.27503276210617328</v>
      </c>
      <c r="AD48" s="12">
        <f>AC48*VLOOKUP($A48,'EU Ref Sc 2020 Energy intensive'!$A$5:$AE$33,AD$2)</f>
        <v>0.27602898698660661</v>
      </c>
      <c r="AE48" s="12">
        <f>AD48*VLOOKUP($A48,'EU Ref Sc 2020 Energy intensive'!$A$5:$AE$33,AE$2)</f>
        <v>0.27702521186703999</v>
      </c>
      <c r="AF48" s="12">
        <f>AE48*VLOOKUP($A48,'EU Ref Sc 2020 Energy intensive'!$A$5:$AE$33,AF$2)</f>
        <v>0.27802143674747337</v>
      </c>
      <c r="AG48" s="12">
        <f>AF48*VLOOKUP($A48,'EU Ref Sc 2020 Energy intensive'!$A$5:$AE$33,AG$2)</f>
        <v>0.27901766162790675</v>
      </c>
      <c r="AH48" s="12">
        <f>AG48*VLOOKUP($A48,'EU Ref Sc 2020 Energy intensive'!$A$5:$AE$33,AH$2)</f>
        <v>0.28001388650834003</v>
      </c>
      <c r="AI48" s="13">
        <f t="shared" ref="AI48:AR48" si="46">AH48</f>
        <v>0.28001388650834003</v>
      </c>
      <c r="AJ48" s="13">
        <f t="shared" si="46"/>
        <v>0.28001388650834003</v>
      </c>
      <c r="AK48" s="13">
        <f t="shared" si="46"/>
        <v>0.28001388650834003</v>
      </c>
      <c r="AL48" s="13">
        <f t="shared" si="46"/>
        <v>0.28001388650834003</v>
      </c>
      <c r="AM48" s="13">
        <f t="shared" si="46"/>
        <v>0.28001388650834003</v>
      </c>
      <c r="AN48" s="13">
        <f t="shared" si="46"/>
        <v>0.28001388650834003</v>
      </c>
      <c r="AO48" s="13">
        <f t="shared" si="46"/>
        <v>0.28001388650834003</v>
      </c>
      <c r="AP48" s="13">
        <f t="shared" si="46"/>
        <v>0.28001388650834003</v>
      </c>
      <c r="AQ48" s="13">
        <f t="shared" si="46"/>
        <v>0.28001388650834003</v>
      </c>
      <c r="AR48" s="13">
        <f t="shared" si="46"/>
        <v>0.28001388650834003</v>
      </c>
    </row>
    <row r="49" spans="1:44" x14ac:dyDescent="0.3">
      <c r="A49" t="s">
        <v>1401</v>
      </c>
      <c r="B49" t="s">
        <v>1393</v>
      </c>
      <c r="C49" t="s">
        <v>228</v>
      </c>
      <c r="D49" t="str">
        <f t="shared" si="33"/>
        <v>CZIMEN</v>
      </c>
      <c r="E49" s="2">
        <v>2.7543000000000002</v>
      </c>
      <c r="F49" s="12">
        <f>E49*VLOOKUP($A49,'EU Ref Sc 2020 Energy intensive'!$A$5:$AE$33,F$2)</f>
        <v>2.7610663140641671</v>
      </c>
      <c r="G49" s="12">
        <f>F49*VLOOKUP($A49,'EU Ref Sc 2020 Energy intensive'!$A$5:$AE$33,G$2)</f>
        <v>2.7678326281283341</v>
      </c>
      <c r="H49" s="12">
        <f>G49*VLOOKUP($A49,'EU Ref Sc 2020 Energy intensive'!$A$5:$AE$33,H$2)</f>
        <v>2.774598942192501</v>
      </c>
      <c r="I49" s="12">
        <f>H49*VLOOKUP($A49,'EU Ref Sc 2020 Energy intensive'!$A$5:$AE$33,I$2)</f>
        <v>2.781365256256668</v>
      </c>
      <c r="J49" s="12">
        <f>I49*VLOOKUP($A49,'EU Ref Sc 2020 Energy intensive'!$A$5:$AE$33,J$2)</f>
        <v>2.7291912801732328</v>
      </c>
      <c r="K49" s="12">
        <f>J49*VLOOKUP($A49,'EU Ref Sc 2020 Energy intensive'!$A$5:$AE$33,K$2)</f>
        <v>2.6770173040897975</v>
      </c>
      <c r="L49" s="12">
        <f>K49*VLOOKUP($A49,'EU Ref Sc 2020 Energy intensive'!$A$5:$AE$33,L$2)</f>
        <v>2.6248433280063628</v>
      </c>
      <c r="M49" s="12">
        <f>L49*VLOOKUP($A49,'EU Ref Sc 2020 Energy intensive'!$A$5:$AE$33,M$2)</f>
        <v>2.572669351922928</v>
      </c>
      <c r="N49" s="12">
        <f>M49*VLOOKUP($A49,'EU Ref Sc 2020 Energy intensive'!$A$5:$AE$33,N$2)</f>
        <v>2.5204953758394937</v>
      </c>
      <c r="O49" s="12">
        <f>N49*VLOOKUP($A49,'EU Ref Sc 2020 Energy intensive'!$A$5:$AE$33,O$2)</f>
        <v>2.49603565000095</v>
      </c>
      <c r="P49" s="12">
        <f>O49*VLOOKUP($A49,'EU Ref Sc 2020 Energy intensive'!$A$5:$AE$33,P$2)</f>
        <v>2.4715759241624062</v>
      </c>
      <c r="Q49" s="12">
        <f>P49*VLOOKUP($A49,'EU Ref Sc 2020 Energy intensive'!$A$5:$AE$33,Q$2)</f>
        <v>2.4471161983238625</v>
      </c>
      <c r="R49" s="12">
        <f>Q49*VLOOKUP($A49,'EU Ref Sc 2020 Energy intensive'!$A$5:$AE$33,R$2)</f>
        <v>2.4226564724853188</v>
      </c>
      <c r="S49" s="12">
        <f>R49*VLOOKUP($A49,'EU Ref Sc 2020 Energy intensive'!$A$5:$AE$33,S$2)</f>
        <v>2.398196746646776</v>
      </c>
      <c r="T49" s="12">
        <f>S49*VLOOKUP($A49,'EU Ref Sc 2020 Energy intensive'!$A$5:$AE$33,T$2)</f>
        <v>2.3829062326349284</v>
      </c>
      <c r="U49" s="12">
        <f>T49*VLOOKUP($A49,'EU Ref Sc 2020 Energy intensive'!$A$5:$AE$33,U$2)</f>
        <v>2.3676157186230813</v>
      </c>
      <c r="V49" s="12">
        <f>U49*VLOOKUP($A49,'EU Ref Sc 2020 Energy intensive'!$A$5:$AE$33,V$2)</f>
        <v>2.3523252046112337</v>
      </c>
      <c r="W49" s="12">
        <f>V49*VLOOKUP($A49,'EU Ref Sc 2020 Energy intensive'!$A$5:$AE$33,W$2)</f>
        <v>2.3370346905993862</v>
      </c>
      <c r="X49" s="12">
        <f>W49*VLOOKUP($A49,'EU Ref Sc 2020 Energy intensive'!$A$5:$AE$33,X$2)</f>
        <v>2.3217441765875391</v>
      </c>
      <c r="Y49" s="12">
        <f>X49*VLOOKUP($A49,'EU Ref Sc 2020 Energy intensive'!$A$5:$AE$33,Y$2)</f>
        <v>2.3027808034667565</v>
      </c>
      <c r="Z49" s="12">
        <f>Y49*VLOOKUP($A49,'EU Ref Sc 2020 Energy intensive'!$A$5:$AE$33,Z$2)</f>
        <v>2.283817430345974</v>
      </c>
      <c r="AA49" s="12">
        <f>Z49*VLOOKUP($A49,'EU Ref Sc 2020 Energy intensive'!$A$5:$AE$33,AA$2)</f>
        <v>2.2648540572251914</v>
      </c>
      <c r="AB49" s="12">
        <f>AA49*VLOOKUP($A49,'EU Ref Sc 2020 Energy intensive'!$A$5:$AE$33,AB$2)</f>
        <v>2.2458906841044088</v>
      </c>
      <c r="AC49" s="12">
        <f>AB49*VLOOKUP($A49,'EU Ref Sc 2020 Energy intensive'!$A$5:$AE$33,AC$2)</f>
        <v>2.2269273109836258</v>
      </c>
      <c r="AD49" s="12">
        <f>AC49*VLOOKUP($A49,'EU Ref Sc 2020 Energy intensive'!$A$5:$AE$33,AD$2)</f>
        <v>2.2158257092234313</v>
      </c>
      <c r="AE49" s="12">
        <f>AD49*VLOOKUP($A49,'EU Ref Sc 2020 Energy intensive'!$A$5:$AE$33,AE$2)</f>
        <v>2.2047241074632367</v>
      </c>
      <c r="AF49" s="12">
        <f>AE49*VLOOKUP($A49,'EU Ref Sc 2020 Energy intensive'!$A$5:$AE$33,AF$2)</f>
        <v>2.1936225057030421</v>
      </c>
      <c r="AG49" s="12">
        <f>AF49*VLOOKUP($A49,'EU Ref Sc 2020 Energy intensive'!$A$5:$AE$33,AG$2)</f>
        <v>2.182520903942847</v>
      </c>
      <c r="AH49" s="12">
        <f>AG49*VLOOKUP($A49,'EU Ref Sc 2020 Energy intensive'!$A$5:$AE$33,AH$2)</f>
        <v>2.1714193021826524</v>
      </c>
      <c r="AI49" s="13">
        <f t="shared" ref="AI49:AR49" si="47">AH49</f>
        <v>2.1714193021826524</v>
      </c>
      <c r="AJ49" s="13">
        <f t="shared" si="47"/>
        <v>2.1714193021826524</v>
      </c>
      <c r="AK49" s="13">
        <f t="shared" si="47"/>
        <v>2.1714193021826524</v>
      </c>
      <c r="AL49" s="13">
        <f t="shared" si="47"/>
        <v>2.1714193021826524</v>
      </c>
      <c r="AM49" s="13">
        <f t="shared" si="47"/>
        <v>2.1714193021826524</v>
      </c>
      <c r="AN49" s="13">
        <f t="shared" si="47"/>
        <v>2.1714193021826524</v>
      </c>
      <c r="AO49" s="13">
        <f t="shared" si="47"/>
        <v>2.1714193021826524</v>
      </c>
      <c r="AP49" s="13">
        <f t="shared" si="47"/>
        <v>2.1714193021826524</v>
      </c>
      <c r="AQ49" s="13">
        <f t="shared" si="47"/>
        <v>2.1714193021826524</v>
      </c>
      <c r="AR49" s="13">
        <f t="shared" si="47"/>
        <v>2.1714193021826524</v>
      </c>
    </row>
    <row r="50" spans="1:44" x14ac:dyDescent="0.3">
      <c r="A50" t="s">
        <v>1402</v>
      </c>
      <c r="B50" t="s">
        <v>1393</v>
      </c>
      <c r="C50" t="s">
        <v>283</v>
      </c>
      <c r="D50" t="str">
        <f t="shared" si="33"/>
        <v>DEIMEN</v>
      </c>
      <c r="E50" s="2">
        <v>16.9558</v>
      </c>
      <c r="F50" s="12">
        <f>E50*VLOOKUP($A50,'EU Ref Sc 2020 Energy intensive'!$A$5:$AE$33,F$2)</f>
        <v>17.063046062728091</v>
      </c>
      <c r="G50" s="12">
        <f>F50*VLOOKUP($A50,'EU Ref Sc 2020 Energy intensive'!$A$5:$AE$33,G$2)</f>
        <v>17.170292125456182</v>
      </c>
      <c r="H50" s="12">
        <f>G50*VLOOKUP($A50,'EU Ref Sc 2020 Energy intensive'!$A$5:$AE$33,H$2)</f>
        <v>17.277538188184273</v>
      </c>
      <c r="I50" s="12">
        <f>H50*VLOOKUP($A50,'EU Ref Sc 2020 Energy intensive'!$A$5:$AE$33,I$2)</f>
        <v>17.384784250912361</v>
      </c>
      <c r="J50" s="12">
        <f>I50*VLOOKUP($A50,'EU Ref Sc 2020 Energy intensive'!$A$5:$AE$33,J$2)</f>
        <v>17.171401062012105</v>
      </c>
      <c r="K50" s="12">
        <f>J50*VLOOKUP($A50,'EU Ref Sc 2020 Energy intensive'!$A$5:$AE$33,K$2)</f>
        <v>16.958017873111853</v>
      </c>
      <c r="L50" s="12">
        <f>K50*VLOOKUP($A50,'EU Ref Sc 2020 Energy intensive'!$A$5:$AE$33,L$2)</f>
        <v>16.744634684211601</v>
      </c>
      <c r="M50" s="12">
        <f>L50*VLOOKUP($A50,'EU Ref Sc 2020 Energy intensive'!$A$5:$AE$33,M$2)</f>
        <v>16.531251495311345</v>
      </c>
      <c r="N50" s="12">
        <f>M50*VLOOKUP($A50,'EU Ref Sc 2020 Energy intensive'!$A$5:$AE$33,N$2)</f>
        <v>16.317868306411086</v>
      </c>
      <c r="O50" s="12">
        <f>N50*VLOOKUP($A50,'EU Ref Sc 2020 Energy intensive'!$A$5:$AE$33,O$2)</f>
        <v>16.024136891958694</v>
      </c>
      <c r="P50" s="12">
        <f>O50*VLOOKUP($A50,'EU Ref Sc 2020 Energy intensive'!$A$5:$AE$33,P$2)</f>
        <v>15.730405477506302</v>
      </c>
      <c r="Q50" s="12">
        <f>P50*VLOOKUP($A50,'EU Ref Sc 2020 Energy intensive'!$A$5:$AE$33,Q$2)</f>
        <v>15.436674063053912</v>
      </c>
      <c r="R50" s="12">
        <f>Q50*VLOOKUP($A50,'EU Ref Sc 2020 Energy intensive'!$A$5:$AE$33,R$2)</f>
        <v>15.142942648601521</v>
      </c>
      <c r="S50" s="12">
        <f>R50*VLOOKUP($A50,'EU Ref Sc 2020 Energy intensive'!$A$5:$AE$33,S$2)</f>
        <v>14.849211234149131</v>
      </c>
      <c r="T50" s="12">
        <f>S50*VLOOKUP($A50,'EU Ref Sc 2020 Energy intensive'!$A$5:$AE$33,T$2)</f>
        <v>14.704892972010679</v>
      </c>
      <c r="U50" s="12">
        <f>T50*VLOOKUP($A50,'EU Ref Sc 2020 Energy intensive'!$A$5:$AE$33,U$2)</f>
        <v>14.560574709872228</v>
      </c>
      <c r="V50" s="12">
        <f>U50*VLOOKUP($A50,'EU Ref Sc 2020 Energy intensive'!$A$5:$AE$33,V$2)</f>
        <v>14.416256447733778</v>
      </c>
      <c r="W50" s="12">
        <f>V50*VLOOKUP($A50,'EU Ref Sc 2020 Energy intensive'!$A$5:$AE$33,W$2)</f>
        <v>14.271938185595326</v>
      </c>
      <c r="X50" s="12">
        <f>W50*VLOOKUP($A50,'EU Ref Sc 2020 Energy intensive'!$A$5:$AE$33,X$2)</f>
        <v>14.127619923456873</v>
      </c>
      <c r="Y50" s="12">
        <f>X50*VLOOKUP($A50,'EU Ref Sc 2020 Energy intensive'!$A$5:$AE$33,Y$2)</f>
        <v>14.0515194624658</v>
      </c>
      <c r="Z50" s="12">
        <f>Y50*VLOOKUP($A50,'EU Ref Sc 2020 Energy intensive'!$A$5:$AE$33,Z$2)</f>
        <v>13.975419001474727</v>
      </c>
      <c r="AA50" s="12">
        <f>Z50*VLOOKUP($A50,'EU Ref Sc 2020 Energy intensive'!$A$5:$AE$33,AA$2)</f>
        <v>13.899318540483655</v>
      </c>
      <c r="AB50" s="12">
        <f>AA50*VLOOKUP($A50,'EU Ref Sc 2020 Energy intensive'!$A$5:$AE$33,AB$2)</f>
        <v>13.823218079492582</v>
      </c>
      <c r="AC50" s="12">
        <f>AB50*VLOOKUP($A50,'EU Ref Sc 2020 Energy intensive'!$A$5:$AE$33,AC$2)</f>
        <v>13.747117618501505</v>
      </c>
      <c r="AD50" s="12">
        <f>AC50*VLOOKUP($A50,'EU Ref Sc 2020 Energy intensive'!$A$5:$AE$33,AD$2)</f>
        <v>13.691974567305682</v>
      </c>
      <c r="AE50" s="12">
        <f>AD50*VLOOKUP($A50,'EU Ref Sc 2020 Energy intensive'!$A$5:$AE$33,AE$2)</f>
        <v>13.636831516109858</v>
      </c>
      <c r="AF50" s="12">
        <f>AE50*VLOOKUP($A50,'EU Ref Sc 2020 Energy intensive'!$A$5:$AE$33,AF$2)</f>
        <v>13.581688464914034</v>
      </c>
      <c r="AG50" s="12">
        <f>AF50*VLOOKUP($A50,'EU Ref Sc 2020 Energy intensive'!$A$5:$AE$33,AG$2)</f>
        <v>13.52654541371821</v>
      </c>
      <c r="AH50" s="12">
        <f>AG50*VLOOKUP($A50,'EU Ref Sc 2020 Energy intensive'!$A$5:$AE$33,AH$2)</f>
        <v>13.471402362522385</v>
      </c>
      <c r="AI50" s="13">
        <f t="shared" ref="AI50:AR50" si="48">AH50</f>
        <v>13.471402362522385</v>
      </c>
      <c r="AJ50" s="13">
        <f t="shared" si="48"/>
        <v>13.471402362522385</v>
      </c>
      <c r="AK50" s="13">
        <f t="shared" si="48"/>
        <v>13.471402362522385</v>
      </c>
      <c r="AL50" s="13">
        <f t="shared" si="48"/>
        <v>13.471402362522385</v>
      </c>
      <c r="AM50" s="13">
        <f t="shared" si="48"/>
        <v>13.471402362522385</v>
      </c>
      <c r="AN50" s="13">
        <f t="shared" si="48"/>
        <v>13.471402362522385</v>
      </c>
      <c r="AO50" s="13">
        <f t="shared" si="48"/>
        <v>13.471402362522385</v>
      </c>
      <c r="AP50" s="13">
        <f t="shared" si="48"/>
        <v>13.471402362522385</v>
      </c>
      <c r="AQ50" s="13">
        <f t="shared" si="48"/>
        <v>13.471402362522385</v>
      </c>
      <c r="AR50" s="13">
        <f t="shared" si="48"/>
        <v>13.471402362522385</v>
      </c>
    </row>
    <row r="51" spans="1:44" x14ac:dyDescent="0.3">
      <c r="A51" t="s">
        <v>1403</v>
      </c>
      <c r="B51" t="s">
        <v>1393</v>
      </c>
      <c r="C51" t="s">
        <v>338</v>
      </c>
      <c r="D51" t="str">
        <f t="shared" si="33"/>
        <v>DKIMEN</v>
      </c>
      <c r="E51" s="2">
        <v>1.0752999999999999</v>
      </c>
      <c r="F51" s="12">
        <f>E51*VLOOKUP($A51,'EU Ref Sc 2020 Energy intensive'!$A$5:$AE$33,F$2)</f>
        <v>1.0943962629979023</v>
      </c>
      <c r="G51" s="12">
        <f>F51*VLOOKUP($A51,'EU Ref Sc 2020 Energy intensive'!$A$5:$AE$33,G$2)</f>
        <v>1.1134925259958044</v>
      </c>
      <c r="H51" s="12">
        <f>G51*VLOOKUP($A51,'EU Ref Sc 2020 Energy intensive'!$A$5:$AE$33,H$2)</f>
        <v>1.1325887889937065</v>
      </c>
      <c r="I51" s="12">
        <f>H51*VLOOKUP($A51,'EU Ref Sc 2020 Energy intensive'!$A$5:$AE$33,I$2)</f>
        <v>1.1516850519916089</v>
      </c>
      <c r="J51" s="12">
        <f>I51*VLOOKUP($A51,'EU Ref Sc 2020 Energy intensive'!$A$5:$AE$33,J$2)</f>
        <v>1.156347305957657</v>
      </c>
      <c r="K51" s="12">
        <f>J51*VLOOKUP($A51,'EU Ref Sc 2020 Energy intensive'!$A$5:$AE$33,K$2)</f>
        <v>1.1610095599237054</v>
      </c>
      <c r="L51" s="12">
        <f>K51*VLOOKUP($A51,'EU Ref Sc 2020 Energy intensive'!$A$5:$AE$33,L$2)</f>
        <v>1.1656718138897537</v>
      </c>
      <c r="M51" s="12">
        <f>L51*VLOOKUP($A51,'EU Ref Sc 2020 Energy intensive'!$A$5:$AE$33,M$2)</f>
        <v>1.1703340678558019</v>
      </c>
      <c r="N51" s="12">
        <f>M51*VLOOKUP($A51,'EU Ref Sc 2020 Energy intensive'!$A$5:$AE$33,N$2)</f>
        <v>1.1749963218218498</v>
      </c>
      <c r="O51" s="12">
        <f>N51*VLOOKUP($A51,'EU Ref Sc 2020 Energy intensive'!$A$5:$AE$33,O$2)</f>
        <v>1.1511603570291147</v>
      </c>
      <c r="P51" s="12">
        <f>O51*VLOOKUP($A51,'EU Ref Sc 2020 Energy intensive'!$A$5:$AE$33,P$2)</f>
        <v>1.1273243922363796</v>
      </c>
      <c r="Q51" s="12">
        <f>P51*VLOOKUP($A51,'EU Ref Sc 2020 Energy intensive'!$A$5:$AE$33,Q$2)</f>
        <v>1.1034884274436445</v>
      </c>
      <c r="R51" s="12">
        <f>Q51*VLOOKUP($A51,'EU Ref Sc 2020 Energy intensive'!$A$5:$AE$33,R$2)</f>
        <v>1.0796524626509094</v>
      </c>
      <c r="S51" s="12">
        <f>R51*VLOOKUP($A51,'EU Ref Sc 2020 Energy intensive'!$A$5:$AE$33,S$2)</f>
        <v>1.0558164978581741</v>
      </c>
      <c r="T51" s="12">
        <f>S51*VLOOKUP($A51,'EU Ref Sc 2020 Energy intensive'!$A$5:$AE$33,T$2)</f>
        <v>1.0765190576070376</v>
      </c>
      <c r="U51" s="12">
        <f>T51*VLOOKUP($A51,'EU Ref Sc 2020 Energy intensive'!$A$5:$AE$33,U$2)</f>
        <v>1.0972216173559008</v>
      </c>
      <c r="V51" s="12">
        <f>U51*VLOOKUP($A51,'EU Ref Sc 2020 Energy intensive'!$A$5:$AE$33,V$2)</f>
        <v>1.1179241771047641</v>
      </c>
      <c r="W51" s="12">
        <f>V51*VLOOKUP($A51,'EU Ref Sc 2020 Energy intensive'!$A$5:$AE$33,W$2)</f>
        <v>1.1386267368536276</v>
      </c>
      <c r="X51" s="12">
        <f>W51*VLOOKUP($A51,'EU Ref Sc 2020 Energy intensive'!$A$5:$AE$33,X$2)</f>
        <v>1.1593292966024906</v>
      </c>
      <c r="Y51" s="12">
        <f>X51*VLOOKUP($A51,'EU Ref Sc 2020 Energy intensive'!$A$5:$AE$33,Y$2)</f>
        <v>1.1510518109602146</v>
      </c>
      <c r="Z51" s="12">
        <f>Y51*VLOOKUP($A51,'EU Ref Sc 2020 Energy intensive'!$A$5:$AE$33,Z$2)</f>
        <v>1.1427743253179383</v>
      </c>
      <c r="AA51" s="12">
        <f>Z51*VLOOKUP($A51,'EU Ref Sc 2020 Energy intensive'!$A$5:$AE$33,AA$2)</f>
        <v>1.1344968396756621</v>
      </c>
      <c r="AB51" s="12">
        <f>AA51*VLOOKUP($A51,'EU Ref Sc 2020 Energy intensive'!$A$5:$AE$33,AB$2)</f>
        <v>1.1262193540333858</v>
      </c>
      <c r="AC51" s="12">
        <f>AB51*VLOOKUP($A51,'EU Ref Sc 2020 Energy intensive'!$A$5:$AE$33,AC$2)</f>
        <v>1.1179418683911098</v>
      </c>
      <c r="AD51" s="12">
        <f>AC51*VLOOKUP($A51,'EU Ref Sc 2020 Energy intensive'!$A$5:$AE$33,AD$2)</f>
        <v>1.1211819144443105</v>
      </c>
      <c r="AE51" s="12">
        <f>AD51*VLOOKUP($A51,'EU Ref Sc 2020 Energy intensive'!$A$5:$AE$33,AE$2)</f>
        <v>1.1244219604975112</v>
      </c>
      <c r="AF51" s="12">
        <f>AE51*VLOOKUP($A51,'EU Ref Sc 2020 Energy intensive'!$A$5:$AE$33,AF$2)</f>
        <v>1.1276620065507121</v>
      </c>
      <c r="AG51" s="12">
        <f>AF51*VLOOKUP($A51,'EU Ref Sc 2020 Energy intensive'!$A$5:$AE$33,AG$2)</f>
        <v>1.1309020526039129</v>
      </c>
      <c r="AH51" s="12">
        <f>AG51*VLOOKUP($A51,'EU Ref Sc 2020 Energy intensive'!$A$5:$AE$33,AH$2)</f>
        <v>1.1341420986571138</v>
      </c>
      <c r="AI51" s="13">
        <f t="shared" ref="AI51:AR51" si="49">AH51</f>
        <v>1.1341420986571138</v>
      </c>
      <c r="AJ51" s="13">
        <f t="shared" si="49"/>
        <v>1.1341420986571138</v>
      </c>
      <c r="AK51" s="13">
        <f t="shared" si="49"/>
        <v>1.1341420986571138</v>
      </c>
      <c r="AL51" s="13">
        <f t="shared" si="49"/>
        <v>1.1341420986571138</v>
      </c>
      <c r="AM51" s="13">
        <f t="shared" si="49"/>
        <v>1.1341420986571138</v>
      </c>
      <c r="AN51" s="13">
        <f t="shared" si="49"/>
        <v>1.1341420986571138</v>
      </c>
      <c r="AO51" s="13">
        <f t="shared" si="49"/>
        <v>1.1341420986571138</v>
      </c>
      <c r="AP51" s="13">
        <f t="shared" si="49"/>
        <v>1.1341420986571138</v>
      </c>
      <c r="AQ51" s="13">
        <f t="shared" si="49"/>
        <v>1.1341420986571138</v>
      </c>
      <c r="AR51" s="13">
        <f t="shared" si="49"/>
        <v>1.1341420986571138</v>
      </c>
    </row>
    <row r="52" spans="1:44" x14ac:dyDescent="0.3">
      <c r="A52" t="s">
        <v>1407</v>
      </c>
      <c r="B52" t="s">
        <v>1393</v>
      </c>
      <c r="C52" t="s">
        <v>448</v>
      </c>
      <c r="D52" t="str">
        <f t="shared" si="33"/>
        <v>GRIMEN</v>
      </c>
      <c r="E52" s="2">
        <v>2.2292000000000001</v>
      </c>
      <c r="F52" s="12">
        <f>E52*VLOOKUP($A52,'EU Ref Sc 2020 Energy intensive'!$A$5:$AE$33,F$2)</f>
        <v>2.3094153191688633</v>
      </c>
      <c r="G52" s="12">
        <f>F52*VLOOKUP($A52,'EU Ref Sc 2020 Energy intensive'!$A$5:$AE$33,G$2)</f>
        <v>2.3896306383377266</v>
      </c>
      <c r="H52" s="12">
        <f>G52*VLOOKUP($A52,'EU Ref Sc 2020 Energy intensive'!$A$5:$AE$33,H$2)</f>
        <v>2.4698459575065903</v>
      </c>
      <c r="I52" s="12">
        <f>H52*VLOOKUP($A52,'EU Ref Sc 2020 Energy intensive'!$A$5:$AE$33,I$2)</f>
        <v>2.5500612766754536</v>
      </c>
      <c r="J52" s="12">
        <f>I52*VLOOKUP($A52,'EU Ref Sc 2020 Energy intensive'!$A$5:$AE$33,J$2)</f>
        <v>2.5329113548426267</v>
      </c>
      <c r="K52" s="12">
        <f>J52*VLOOKUP($A52,'EU Ref Sc 2020 Energy intensive'!$A$5:$AE$33,K$2)</f>
        <v>2.5157614330097995</v>
      </c>
      <c r="L52" s="12">
        <f>K52*VLOOKUP($A52,'EU Ref Sc 2020 Energy intensive'!$A$5:$AE$33,L$2)</f>
        <v>2.4986115111769722</v>
      </c>
      <c r="M52" s="12">
        <f>L52*VLOOKUP($A52,'EU Ref Sc 2020 Energy intensive'!$A$5:$AE$33,M$2)</f>
        <v>2.4814615893441454</v>
      </c>
      <c r="N52" s="12">
        <f>M52*VLOOKUP($A52,'EU Ref Sc 2020 Energy intensive'!$A$5:$AE$33,N$2)</f>
        <v>2.4643116675113181</v>
      </c>
      <c r="O52" s="12">
        <f>N52*VLOOKUP($A52,'EU Ref Sc 2020 Energy intensive'!$A$5:$AE$33,O$2)</f>
        <v>2.4480912889667574</v>
      </c>
      <c r="P52" s="12">
        <f>O52*VLOOKUP($A52,'EU Ref Sc 2020 Energy intensive'!$A$5:$AE$33,P$2)</f>
        <v>2.4318709104221967</v>
      </c>
      <c r="Q52" s="12">
        <f>P52*VLOOKUP($A52,'EU Ref Sc 2020 Energy intensive'!$A$5:$AE$33,Q$2)</f>
        <v>2.415650531877636</v>
      </c>
      <c r="R52" s="12">
        <f>Q52*VLOOKUP($A52,'EU Ref Sc 2020 Energy intensive'!$A$5:$AE$33,R$2)</f>
        <v>2.3994301533330753</v>
      </c>
      <c r="S52" s="12">
        <f>R52*VLOOKUP($A52,'EU Ref Sc 2020 Energy intensive'!$A$5:$AE$33,S$2)</f>
        <v>2.3832097747885141</v>
      </c>
      <c r="T52" s="12">
        <f>S52*VLOOKUP($A52,'EU Ref Sc 2020 Energy intensive'!$A$5:$AE$33,T$2)</f>
        <v>2.373550934711484</v>
      </c>
      <c r="U52" s="12">
        <f>T52*VLOOKUP($A52,'EU Ref Sc 2020 Energy intensive'!$A$5:$AE$33,U$2)</f>
        <v>2.3638920946344539</v>
      </c>
      <c r="V52" s="12">
        <f>U52*VLOOKUP($A52,'EU Ref Sc 2020 Energy intensive'!$A$5:$AE$33,V$2)</f>
        <v>2.3542332545574238</v>
      </c>
      <c r="W52" s="12">
        <f>V52*VLOOKUP($A52,'EU Ref Sc 2020 Energy intensive'!$A$5:$AE$33,W$2)</f>
        <v>2.3445744144803937</v>
      </c>
      <c r="X52" s="12">
        <f>W52*VLOOKUP($A52,'EU Ref Sc 2020 Energy intensive'!$A$5:$AE$33,X$2)</f>
        <v>2.3349155744033632</v>
      </c>
      <c r="Y52" s="12">
        <f>X52*VLOOKUP($A52,'EU Ref Sc 2020 Energy intensive'!$A$5:$AE$33,Y$2)</f>
        <v>2.3399070349697304</v>
      </c>
      <c r="Z52" s="12">
        <f>Y52*VLOOKUP($A52,'EU Ref Sc 2020 Energy intensive'!$A$5:$AE$33,Z$2)</f>
        <v>2.3448984955360972</v>
      </c>
      <c r="AA52" s="12">
        <f>Z52*VLOOKUP($A52,'EU Ref Sc 2020 Energy intensive'!$A$5:$AE$33,AA$2)</f>
        <v>2.3498899561024644</v>
      </c>
      <c r="AB52" s="12">
        <f>AA52*VLOOKUP($A52,'EU Ref Sc 2020 Energy intensive'!$A$5:$AE$33,AB$2)</f>
        <v>2.3548814166688317</v>
      </c>
      <c r="AC52" s="12">
        <f>AB52*VLOOKUP($A52,'EU Ref Sc 2020 Energy intensive'!$A$5:$AE$33,AC$2)</f>
        <v>2.359872877235198</v>
      </c>
      <c r="AD52" s="12">
        <f>AC52*VLOOKUP($A52,'EU Ref Sc 2020 Energy intensive'!$A$5:$AE$33,AD$2)</f>
        <v>2.3499858287602833</v>
      </c>
      <c r="AE52" s="12">
        <f>AD52*VLOOKUP($A52,'EU Ref Sc 2020 Energy intensive'!$A$5:$AE$33,AE$2)</f>
        <v>2.3400987802853686</v>
      </c>
      <c r="AF52" s="12">
        <f>AE52*VLOOKUP($A52,'EU Ref Sc 2020 Energy intensive'!$A$5:$AE$33,AF$2)</f>
        <v>2.3302117318104538</v>
      </c>
      <c r="AG52" s="12">
        <f>AF52*VLOOKUP($A52,'EU Ref Sc 2020 Energy intensive'!$A$5:$AE$33,AG$2)</f>
        <v>2.3203246833355391</v>
      </c>
      <c r="AH52" s="12">
        <f>AG52*VLOOKUP($A52,'EU Ref Sc 2020 Energy intensive'!$A$5:$AE$33,AH$2)</f>
        <v>2.3104376348606248</v>
      </c>
      <c r="AI52" s="13">
        <f t="shared" ref="AI52:AR52" si="50">AH52</f>
        <v>2.3104376348606248</v>
      </c>
      <c r="AJ52" s="13">
        <f t="shared" si="50"/>
        <v>2.3104376348606248</v>
      </c>
      <c r="AK52" s="13">
        <f t="shared" si="50"/>
        <v>2.3104376348606248</v>
      </c>
      <c r="AL52" s="13">
        <f t="shared" si="50"/>
        <v>2.3104376348606248</v>
      </c>
      <c r="AM52" s="13">
        <f t="shared" si="50"/>
        <v>2.3104376348606248</v>
      </c>
      <c r="AN52" s="13">
        <f t="shared" si="50"/>
        <v>2.3104376348606248</v>
      </c>
      <c r="AO52" s="13">
        <f t="shared" si="50"/>
        <v>2.3104376348606248</v>
      </c>
      <c r="AP52" s="13">
        <f t="shared" si="50"/>
        <v>2.3104376348606248</v>
      </c>
      <c r="AQ52" s="13">
        <f t="shared" si="50"/>
        <v>2.3104376348606248</v>
      </c>
      <c r="AR52" s="13">
        <f t="shared" si="50"/>
        <v>2.3104376348606248</v>
      </c>
    </row>
    <row r="53" spans="1:44" x14ac:dyDescent="0.3">
      <c r="A53" t="s">
        <v>1408</v>
      </c>
      <c r="B53" t="s">
        <v>1393</v>
      </c>
      <c r="C53" t="s">
        <v>503</v>
      </c>
      <c r="D53" t="str">
        <f t="shared" si="33"/>
        <v>ESIMEN</v>
      </c>
      <c r="E53" s="2">
        <v>8.6193000000000008</v>
      </c>
      <c r="F53" s="12">
        <f>E53*VLOOKUP($A53,'EU Ref Sc 2020 Energy intensive'!$A$5:$AE$33,F$2)</f>
        <v>9.0156638633777071</v>
      </c>
      <c r="G53" s="12">
        <f>F53*VLOOKUP($A53,'EU Ref Sc 2020 Energy intensive'!$A$5:$AE$33,G$2)</f>
        <v>9.4120277267554151</v>
      </c>
      <c r="H53" s="12">
        <f>G53*VLOOKUP($A53,'EU Ref Sc 2020 Energy intensive'!$A$5:$AE$33,H$2)</f>
        <v>9.8083915901331213</v>
      </c>
      <c r="I53" s="12">
        <f>H53*VLOOKUP($A53,'EU Ref Sc 2020 Energy intensive'!$A$5:$AE$33,I$2)</f>
        <v>10.204755453510828</v>
      </c>
      <c r="J53" s="12">
        <f>I53*VLOOKUP($A53,'EU Ref Sc 2020 Energy intensive'!$A$5:$AE$33,J$2)</f>
        <v>10.255524861165956</v>
      </c>
      <c r="K53" s="12">
        <f>J53*VLOOKUP($A53,'EU Ref Sc 2020 Energy intensive'!$A$5:$AE$33,K$2)</f>
        <v>10.306294268821084</v>
      </c>
      <c r="L53" s="12">
        <f>K53*VLOOKUP($A53,'EU Ref Sc 2020 Energy intensive'!$A$5:$AE$33,L$2)</f>
        <v>10.357063676476212</v>
      </c>
      <c r="M53" s="12">
        <f>L53*VLOOKUP($A53,'EU Ref Sc 2020 Energy intensive'!$A$5:$AE$33,M$2)</f>
        <v>10.40783308413134</v>
      </c>
      <c r="N53" s="12">
        <f>M53*VLOOKUP($A53,'EU Ref Sc 2020 Energy intensive'!$A$5:$AE$33,N$2)</f>
        <v>10.45860249178647</v>
      </c>
      <c r="O53" s="12">
        <f>N53*VLOOKUP($A53,'EU Ref Sc 2020 Energy intensive'!$A$5:$AE$33,O$2)</f>
        <v>10.236659121115995</v>
      </c>
      <c r="P53" s="12">
        <f>O53*VLOOKUP($A53,'EU Ref Sc 2020 Energy intensive'!$A$5:$AE$33,P$2)</f>
        <v>10.014715750445522</v>
      </c>
      <c r="Q53" s="12">
        <f>P53*VLOOKUP($A53,'EU Ref Sc 2020 Energy intensive'!$A$5:$AE$33,Q$2)</f>
        <v>9.7927723797750463</v>
      </c>
      <c r="R53" s="12">
        <f>Q53*VLOOKUP($A53,'EU Ref Sc 2020 Energy intensive'!$A$5:$AE$33,R$2)</f>
        <v>9.5708290091045729</v>
      </c>
      <c r="S53" s="12">
        <f>R53*VLOOKUP($A53,'EU Ref Sc 2020 Energy intensive'!$A$5:$AE$33,S$2)</f>
        <v>9.3488856384340977</v>
      </c>
      <c r="T53" s="12">
        <f>S53*VLOOKUP($A53,'EU Ref Sc 2020 Energy intensive'!$A$5:$AE$33,T$2)</f>
        <v>9.2737741621551457</v>
      </c>
      <c r="U53" s="12">
        <f>T53*VLOOKUP($A53,'EU Ref Sc 2020 Energy intensive'!$A$5:$AE$33,U$2)</f>
        <v>9.1986626858761937</v>
      </c>
      <c r="V53" s="12">
        <f>U53*VLOOKUP($A53,'EU Ref Sc 2020 Energy intensive'!$A$5:$AE$33,V$2)</f>
        <v>9.1235512095972418</v>
      </c>
      <c r="W53" s="12">
        <f>V53*VLOOKUP($A53,'EU Ref Sc 2020 Energy intensive'!$A$5:$AE$33,W$2)</f>
        <v>9.0484397333182898</v>
      </c>
      <c r="X53" s="12">
        <f>W53*VLOOKUP($A53,'EU Ref Sc 2020 Energy intensive'!$A$5:$AE$33,X$2)</f>
        <v>8.9733282570393378</v>
      </c>
      <c r="Y53" s="12">
        <f>X53*VLOOKUP($A53,'EU Ref Sc 2020 Energy intensive'!$A$5:$AE$33,Y$2)</f>
        <v>8.9086730423594496</v>
      </c>
      <c r="Z53" s="12">
        <f>Y53*VLOOKUP($A53,'EU Ref Sc 2020 Energy intensive'!$A$5:$AE$33,Z$2)</f>
        <v>8.8440178276795613</v>
      </c>
      <c r="AA53" s="12">
        <f>Z53*VLOOKUP($A53,'EU Ref Sc 2020 Energy intensive'!$A$5:$AE$33,AA$2)</f>
        <v>8.7793626129996731</v>
      </c>
      <c r="AB53" s="12">
        <f>AA53*VLOOKUP($A53,'EU Ref Sc 2020 Energy intensive'!$A$5:$AE$33,AB$2)</f>
        <v>8.7147073983197849</v>
      </c>
      <c r="AC53" s="12">
        <f>AB53*VLOOKUP($A53,'EU Ref Sc 2020 Energy intensive'!$A$5:$AE$33,AC$2)</f>
        <v>8.6500521836398985</v>
      </c>
      <c r="AD53" s="12">
        <f>AC53*VLOOKUP($A53,'EU Ref Sc 2020 Energy intensive'!$A$5:$AE$33,AD$2)</f>
        <v>8.6313233799254814</v>
      </c>
      <c r="AE53" s="12">
        <f>AD53*VLOOKUP($A53,'EU Ref Sc 2020 Energy intensive'!$A$5:$AE$33,AE$2)</f>
        <v>8.6125945762110643</v>
      </c>
      <c r="AF53" s="12">
        <f>AE53*VLOOKUP($A53,'EU Ref Sc 2020 Energy intensive'!$A$5:$AE$33,AF$2)</f>
        <v>8.593865772496649</v>
      </c>
      <c r="AG53" s="12">
        <f>AF53*VLOOKUP($A53,'EU Ref Sc 2020 Energy intensive'!$A$5:$AE$33,AG$2)</f>
        <v>8.5751369687822319</v>
      </c>
      <c r="AH53" s="12">
        <f>AG53*VLOOKUP($A53,'EU Ref Sc 2020 Energy intensive'!$A$5:$AE$33,AH$2)</f>
        <v>8.5564081650678183</v>
      </c>
      <c r="AI53" s="13">
        <f t="shared" ref="AI53:AR53" si="51">AH53</f>
        <v>8.5564081650678183</v>
      </c>
      <c r="AJ53" s="13">
        <f t="shared" si="51"/>
        <v>8.5564081650678183</v>
      </c>
      <c r="AK53" s="13">
        <f t="shared" si="51"/>
        <v>8.5564081650678183</v>
      </c>
      <c r="AL53" s="13">
        <f t="shared" si="51"/>
        <v>8.5564081650678183</v>
      </c>
      <c r="AM53" s="13">
        <f t="shared" si="51"/>
        <v>8.5564081650678183</v>
      </c>
      <c r="AN53" s="13">
        <f t="shared" si="51"/>
        <v>8.5564081650678183</v>
      </c>
      <c r="AO53" s="13">
        <f t="shared" si="51"/>
        <v>8.5564081650678183</v>
      </c>
      <c r="AP53" s="13">
        <f t="shared" si="51"/>
        <v>8.5564081650678183</v>
      </c>
      <c r="AQ53" s="13">
        <f t="shared" si="51"/>
        <v>8.5564081650678183</v>
      </c>
      <c r="AR53" s="13">
        <f t="shared" si="51"/>
        <v>8.5564081650678183</v>
      </c>
    </row>
    <row r="54" spans="1:44" x14ac:dyDescent="0.3">
      <c r="A54" t="s">
        <v>1410</v>
      </c>
      <c r="B54" t="s">
        <v>1393</v>
      </c>
      <c r="C54" t="s">
        <v>613</v>
      </c>
      <c r="D54" t="str">
        <f t="shared" si="33"/>
        <v>FRIMEN</v>
      </c>
      <c r="E54" s="2">
        <v>11.0428</v>
      </c>
      <c r="F54" s="12">
        <f>E54*VLOOKUP($A54,'EU Ref Sc 2020 Energy intensive'!$A$5:$AE$33,F$2)</f>
        <v>11.550610015953422</v>
      </c>
      <c r="G54" s="12">
        <f>F54*VLOOKUP($A54,'EU Ref Sc 2020 Energy intensive'!$A$5:$AE$33,G$2)</f>
        <v>12.058420031906847</v>
      </c>
      <c r="H54" s="12">
        <f>G54*VLOOKUP($A54,'EU Ref Sc 2020 Energy intensive'!$A$5:$AE$33,H$2)</f>
        <v>12.56623004786027</v>
      </c>
      <c r="I54" s="12">
        <f>H54*VLOOKUP($A54,'EU Ref Sc 2020 Energy intensive'!$A$5:$AE$33,I$2)</f>
        <v>13.074040063813692</v>
      </c>
      <c r="J54" s="12">
        <f>I54*VLOOKUP($A54,'EU Ref Sc 2020 Energy intensive'!$A$5:$AE$33,J$2)</f>
        <v>13.139084373079415</v>
      </c>
      <c r="K54" s="12">
        <f>J54*VLOOKUP($A54,'EU Ref Sc 2020 Energy intensive'!$A$5:$AE$33,K$2)</f>
        <v>13.204128682345139</v>
      </c>
      <c r="L54" s="12">
        <f>K54*VLOOKUP($A54,'EU Ref Sc 2020 Energy intensive'!$A$5:$AE$33,L$2)</f>
        <v>13.269172991610864</v>
      </c>
      <c r="M54" s="12">
        <f>L54*VLOOKUP($A54,'EU Ref Sc 2020 Energy intensive'!$A$5:$AE$33,M$2)</f>
        <v>13.334217300876587</v>
      </c>
      <c r="N54" s="12">
        <f>M54*VLOOKUP($A54,'EU Ref Sc 2020 Energy intensive'!$A$5:$AE$33,N$2)</f>
        <v>13.399261610142313</v>
      </c>
      <c r="O54" s="12">
        <f>N54*VLOOKUP($A54,'EU Ref Sc 2020 Energy intensive'!$A$5:$AE$33,O$2)</f>
        <v>13.114914127905946</v>
      </c>
      <c r="P54" s="12">
        <f>O54*VLOOKUP($A54,'EU Ref Sc 2020 Energy intensive'!$A$5:$AE$33,P$2)</f>
        <v>12.830566645669579</v>
      </c>
      <c r="Q54" s="12">
        <f>P54*VLOOKUP($A54,'EU Ref Sc 2020 Energy intensive'!$A$5:$AE$33,Q$2)</f>
        <v>12.546219163433213</v>
      </c>
      <c r="R54" s="12">
        <f>Q54*VLOOKUP($A54,'EU Ref Sc 2020 Energy intensive'!$A$5:$AE$33,R$2)</f>
        <v>12.261871681196846</v>
      </c>
      <c r="S54" s="12">
        <f>R54*VLOOKUP($A54,'EU Ref Sc 2020 Energy intensive'!$A$5:$AE$33,S$2)</f>
        <v>11.977524198960477</v>
      </c>
      <c r="T54" s="12">
        <f>S54*VLOOKUP($A54,'EU Ref Sc 2020 Energy intensive'!$A$5:$AE$33,T$2)</f>
        <v>11.881293529387168</v>
      </c>
      <c r="U54" s="12">
        <f>T54*VLOOKUP($A54,'EU Ref Sc 2020 Energy intensive'!$A$5:$AE$33,U$2)</f>
        <v>11.785062859813861</v>
      </c>
      <c r="V54" s="12">
        <f>U54*VLOOKUP($A54,'EU Ref Sc 2020 Energy intensive'!$A$5:$AE$33,V$2)</f>
        <v>11.688832190240554</v>
      </c>
      <c r="W54" s="12">
        <f>V54*VLOOKUP($A54,'EU Ref Sc 2020 Energy intensive'!$A$5:$AE$33,W$2)</f>
        <v>11.592601520667245</v>
      </c>
      <c r="X54" s="12">
        <f>W54*VLOOKUP($A54,'EU Ref Sc 2020 Energy intensive'!$A$5:$AE$33,X$2)</f>
        <v>11.496370851093936</v>
      </c>
      <c r="Y54" s="12">
        <f>X54*VLOOKUP($A54,'EU Ref Sc 2020 Energy intensive'!$A$5:$AE$33,Y$2)</f>
        <v>11.413536444046141</v>
      </c>
      <c r="Z54" s="12">
        <f>Y54*VLOOKUP($A54,'EU Ref Sc 2020 Energy intensive'!$A$5:$AE$33,Z$2)</f>
        <v>11.330702036998346</v>
      </c>
      <c r="AA54" s="12">
        <f>Z54*VLOOKUP($A54,'EU Ref Sc 2020 Energy intensive'!$A$5:$AE$33,AA$2)</f>
        <v>11.247867629950552</v>
      </c>
      <c r="AB54" s="12">
        <f>AA54*VLOOKUP($A54,'EU Ref Sc 2020 Energy intensive'!$A$5:$AE$33,AB$2)</f>
        <v>11.165033222902755</v>
      </c>
      <c r="AC54" s="12">
        <f>AB54*VLOOKUP($A54,'EU Ref Sc 2020 Energy intensive'!$A$5:$AE$33,AC$2)</f>
        <v>11.08219881585496</v>
      </c>
      <c r="AD54" s="12">
        <f>AC54*VLOOKUP($A54,'EU Ref Sc 2020 Energy intensive'!$A$5:$AE$33,AD$2)</f>
        <v>11.058204009587913</v>
      </c>
      <c r="AE54" s="12">
        <f>AD54*VLOOKUP($A54,'EU Ref Sc 2020 Energy intensive'!$A$5:$AE$33,AE$2)</f>
        <v>11.034209203320865</v>
      </c>
      <c r="AF54" s="12">
        <f>AE54*VLOOKUP($A54,'EU Ref Sc 2020 Energy intensive'!$A$5:$AE$33,AF$2)</f>
        <v>11.010214397053819</v>
      </c>
      <c r="AG54" s="12">
        <f>AF54*VLOOKUP($A54,'EU Ref Sc 2020 Energy intensive'!$A$5:$AE$33,AG$2)</f>
        <v>10.986219590786773</v>
      </c>
      <c r="AH54" s="12">
        <f>AG54*VLOOKUP($A54,'EU Ref Sc 2020 Energy intensive'!$A$5:$AE$33,AH$2)</f>
        <v>10.962224784519728</v>
      </c>
      <c r="AI54" s="13">
        <f t="shared" ref="AI54:AR54" si="52">AH54</f>
        <v>10.962224784519728</v>
      </c>
      <c r="AJ54" s="13">
        <f t="shared" si="52"/>
        <v>10.962224784519728</v>
      </c>
      <c r="AK54" s="13">
        <f t="shared" si="52"/>
        <v>10.962224784519728</v>
      </c>
      <c r="AL54" s="13">
        <f t="shared" si="52"/>
        <v>10.962224784519728</v>
      </c>
      <c r="AM54" s="13">
        <f t="shared" si="52"/>
        <v>10.962224784519728</v>
      </c>
      <c r="AN54" s="13">
        <f t="shared" si="52"/>
        <v>10.962224784519728</v>
      </c>
      <c r="AO54" s="13">
        <f t="shared" si="52"/>
        <v>10.962224784519728</v>
      </c>
      <c r="AP54" s="13">
        <f t="shared" si="52"/>
        <v>10.962224784519728</v>
      </c>
      <c r="AQ54" s="13">
        <f t="shared" si="52"/>
        <v>10.962224784519728</v>
      </c>
      <c r="AR54" s="13">
        <f t="shared" si="52"/>
        <v>10.962224784519728</v>
      </c>
    </row>
    <row r="55" spans="1:44" x14ac:dyDescent="0.3">
      <c r="A55" t="s">
        <v>1411</v>
      </c>
      <c r="B55" t="s">
        <v>1393</v>
      </c>
      <c r="C55" t="s">
        <v>668</v>
      </c>
      <c r="D55" t="str">
        <f t="shared" si="33"/>
        <v>HRIMEN</v>
      </c>
      <c r="E55" s="2">
        <v>1.0056</v>
      </c>
      <c r="F55" s="12">
        <f>E55*VLOOKUP($A55,'EU Ref Sc 2020 Energy intensive'!$A$5:$AE$33,F$2)</f>
        <v>1.0168095053615975</v>
      </c>
      <c r="G55" s="12">
        <f>F55*VLOOKUP($A55,'EU Ref Sc 2020 Energy intensive'!$A$5:$AE$33,G$2)</f>
        <v>1.0280190107231952</v>
      </c>
      <c r="H55" s="12">
        <f>G55*VLOOKUP($A55,'EU Ref Sc 2020 Energy intensive'!$A$5:$AE$33,H$2)</f>
        <v>1.0392285160847929</v>
      </c>
      <c r="I55" s="12">
        <f>H55*VLOOKUP($A55,'EU Ref Sc 2020 Energy intensive'!$A$5:$AE$33,I$2)</f>
        <v>1.0504380214463902</v>
      </c>
      <c r="J55" s="12">
        <f>I55*VLOOKUP($A55,'EU Ref Sc 2020 Energy intensive'!$A$5:$AE$33,J$2)</f>
        <v>1.032283711508021</v>
      </c>
      <c r="K55" s="12">
        <f>J55*VLOOKUP($A55,'EU Ref Sc 2020 Energy intensive'!$A$5:$AE$33,K$2)</f>
        <v>1.0141294015696518</v>
      </c>
      <c r="L55" s="12">
        <f>K55*VLOOKUP($A55,'EU Ref Sc 2020 Energy intensive'!$A$5:$AE$33,L$2)</f>
        <v>0.99597509163128262</v>
      </c>
      <c r="M55" s="12">
        <f>L55*VLOOKUP($A55,'EU Ref Sc 2020 Energy intensive'!$A$5:$AE$33,M$2)</f>
        <v>0.97782078169291353</v>
      </c>
      <c r="N55" s="12">
        <f>M55*VLOOKUP($A55,'EU Ref Sc 2020 Energy intensive'!$A$5:$AE$33,N$2)</f>
        <v>0.95966647175454434</v>
      </c>
      <c r="O55" s="12">
        <f>N55*VLOOKUP($A55,'EU Ref Sc 2020 Energy intensive'!$A$5:$AE$33,O$2)</f>
        <v>0.95115671682217173</v>
      </c>
      <c r="P55" s="12">
        <f>O55*VLOOKUP($A55,'EU Ref Sc 2020 Energy intensive'!$A$5:$AE$33,P$2)</f>
        <v>0.94264696188979902</v>
      </c>
      <c r="Q55" s="12">
        <f>P55*VLOOKUP($A55,'EU Ref Sc 2020 Energy intensive'!$A$5:$AE$33,Q$2)</f>
        <v>0.93413720695742641</v>
      </c>
      <c r="R55" s="12">
        <f>Q55*VLOOKUP($A55,'EU Ref Sc 2020 Energy intensive'!$A$5:$AE$33,R$2)</f>
        <v>0.9256274520250537</v>
      </c>
      <c r="S55" s="12">
        <f>R55*VLOOKUP($A55,'EU Ref Sc 2020 Energy intensive'!$A$5:$AE$33,S$2)</f>
        <v>0.91711769709268109</v>
      </c>
      <c r="T55" s="12">
        <f>S55*VLOOKUP($A55,'EU Ref Sc 2020 Energy intensive'!$A$5:$AE$33,T$2)</f>
        <v>0.92126762602195078</v>
      </c>
      <c r="U55" s="12">
        <f>T55*VLOOKUP($A55,'EU Ref Sc 2020 Energy intensive'!$A$5:$AE$33,U$2)</f>
        <v>0.92541755495122047</v>
      </c>
      <c r="V55" s="12">
        <f>U55*VLOOKUP($A55,'EU Ref Sc 2020 Energy intensive'!$A$5:$AE$33,V$2)</f>
        <v>0.92956748388049015</v>
      </c>
      <c r="W55" s="12">
        <f>V55*VLOOKUP($A55,'EU Ref Sc 2020 Energy intensive'!$A$5:$AE$33,W$2)</f>
        <v>0.93371741280975984</v>
      </c>
      <c r="X55" s="12">
        <f>W55*VLOOKUP($A55,'EU Ref Sc 2020 Energy intensive'!$A$5:$AE$33,X$2)</f>
        <v>0.93786734173902964</v>
      </c>
      <c r="Y55" s="12">
        <f>X55*VLOOKUP($A55,'EU Ref Sc 2020 Energy intensive'!$A$5:$AE$33,Y$2)</f>
        <v>0.94216346265427775</v>
      </c>
      <c r="Z55" s="12">
        <f>Y55*VLOOKUP($A55,'EU Ref Sc 2020 Energy intensive'!$A$5:$AE$33,Z$2)</f>
        <v>0.94645958356952575</v>
      </c>
      <c r="AA55" s="12">
        <f>Z55*VLOOKUP($A55,'EU Ref Sc 2020 Energy intensive'!$A$5:$AE$33,AA$2)</f>
        <v>0.95075570448477387</v>
      </c>
      <c r="AB55" s="12">
        <f>AA55*VLOOKUP($A55,'EU Ref Sc 2020 Energy intensive'!$A$5:$AE$33,AB$2)</f>
        <v>0.95505182540002187</v>
      </c>
      <c r="AC55" s="12">
        <f>AB55*VLOOKUP($A55,'EU Ref Sc 2020 Energy intensive'!$A$5:$AE$33,AC$2)</f>
        <v>0.95934794631526976</v>
      </c>
      <c r="AD55" s="12">
        <f>AC55*VLOOKUP($A55,'EU Ref Sc 2020 Energy intensive'!$A$5:$AE$33,AD$2)</f>
        <v>0.96215779143621893</v>
      </c>
      <c r="AE55" s="12">
        <f>AD55*VLOOKUP($A55,'EU Ref Sc 2020 Energy intensive'!$A$5:$AE$33,AE$2)</f>
        <v>0.96496763655716822</v>
      </c>
      <c r="AF55" s="12">
        <f>AE55*VLOOKUP($A55,'EU Ref Sc 2020 Energy intensive'!$A$5:$AE$33,AF$2)</f>
        <v>0.9677774816781175</v>
      </c>
      <c r="AG55" s="12">
        <f>AF55*VLOOKUP($A55,'EU Ref Sc 2020 Energy intensive'!$A$5:$AE$33,AG$2)</f>
        <v>0.97058732679906679</v>
      </c>
      <c r="AH55" s="12">
        <f>AG55*VLOOKUP($A55,'EU Ref Sc 2020 Energy intensive'!$A$5:$AE$33,AH$2)</f>
        <v>0.97339717192001607</v>
      </c>
      <c r="AI55" s="13">
        <f t="shared" ref="AI55:AR55" si="53">AH55</f>
        <v>0.97339717192001607</v>
      </c>
      <c r="AJ55" s="13">
        <f t="shared" si="53"/>
        <v>0.97339717192001607</v>
      </c>
      <c r="AK55" s="13">
        <f t="shared" si="53"/>
        <v>0.97339717192001607</v>
      </c>
      <c r="AL55" s="13">
        <f t="shared" si="53"/>
        <v>0.97339717192001607</v>
      </c>
      <c r="AM55" s="13">
        <f t="shared" si="53"/>
        <v>0.97339717192001607</v>
      </c>
      <c r="AN55" s="13">
        <f t="shared" si="53"/>
        <v>0.97339717192001607</v>
      </c>
      <c r="AO55" s="13">
        <f t="shared" si="53"/>
        <v>0.97339717192001607</v>
      </c>
      <c r="AP55" s="13">
        <f t="shared" si="53"/>
        <v>0.97339717192001607</v>
      </c>
      <c r="AQ55" s="13">
        <f t="shared" si="53"/>
        <v>0.97339717192001607</v>
      </c>
      <c r="AR55" s="13">
        <f t="shared" si="53"/>
        <v>0.97339717192001607</v>
      </c>
    </row>
    <row r="56" spans="1:44" x14ac:dyDescent="0.3">
      <c r="A56" t="s">
        <v>1412</v>
      </c>
      <c r="B56" t="s">
        <v>1393</v>
      </c>
      <c r="C56" t="s">
        <v>723</v>
      </c>
      <c r="D56" t="str">
        <f t="shared" si="33"/>
        <v>HUIMEN</v>
      </c>
      <c r="E56" s="2">
        <v>1.8063</v>
      </c>
      <c r="F56" s="12">
        <f>E56*VLOOKUP($A56,'EU Ref Sc 2020 Energy intensive'!$A$5:$AE$33,F$2)</f>
        <v>1.8556496782771312</v>
      </c>
      <c r="G56" s="12">
        <f>F56*VLOOKUP($A56,'EU Ref Sc 2020 Energy intensive'!$A$5:$AE$33,G$2)</f>
        <v>1.9049993565542627</v>
      </c>
      <c r="H56" s="12">
        <f>G56*VLOOKUP($A56,'EU Ref Sc 2020 Energy intensive'!$A$5:$AE$33,H$2)</f>
        <v>1.9543490348313941</v>
      </c>
      <c r="I56" s="12">
        <f>H56*VLOOKUP($A56,'EU Ref Sc 2020 Energy intensive'!$A$5:$AE$33,I$2)</f>
        <v>2.0036987131085255</v>
      </c>
      <c r="J56" s="12">
        <f>I56*VLOOKUP($A56,'EU Ref Sc 2020 Energy intensive'!$A$5:$AE$33,J$2)</f>
        <v>2.0371976377635055</v>
      </c>
      <c r="K56" s="12">
        <f>J56*VLOOKUP($A56,'EU Ref Sc 2020 Energy intensive'!$A$5:$AE$33,K$2)</f>
        <v>2.0706965624184854</v>
      </c>
      <c r="L56" s="12">
        <f>K56*VLOOKUP($A56,'EU Ref Sc 2020 Energy intensive'!$A$5:$AE$33,L$2)</f>
        <v>2.1041954870734654</v>
      </c>
      <c r="M56" s="12">
        <f>L56*VLOOKUP($A56,'EU Ref Sc 2020 Energy intensive'!$A$5:$AE$33,M$2)</f>
        <v>2.1376944117284453</v>
      </c>
      <c r="N56" s="12">
        <f>M56*VLOOKUP($A56,'EU Ref Sc 2020 Energy intensive'!$A$5:$AE$33,N$2)</f>
        <v>2.1711933363834244</v>
      </c>
      <c r="O56" s="12">
        <f>N56*VLOOKUP($A56,'EU Ref Sc 2020 Energy intensive'!$A$5:$AE$33,O$2)</f>
        <v>2.0961870372690039</v>
      </c>
      <c r="P56" s="12">
        <f>O56*VLOOKUP($A56,'EU Ref Sc 2020 Energy intensive'!$A$5:$AE$33,P$2)</f>
        <v>2.0211807381545834</v>
      </c>
      <c r="Q56" s="12">
        <f>P56*VLOOKUP($A56,'EU Ref Sc 2020 Energy intensive'!$A$5:$AE$33,Q$2)</f>
        <v>1.946174439040163</v>
      </c>
      <c r="R56" s="12">
        <f>Q56*VLOOKUP($A56,'EU Ref Sc 2020 Energy intensive'!$A$5:$AE$33,R$2)</f>
        <v>1.8711681399257425</v>
      </c>
      <c r="S56" s="12">
        <f>R56*VLOOKUP($A56,'EU Ref Sc 2020 Energy intensive'!$A$5:$AE$33,S$2)</f>
        <v>1.7961618408113229</v>
      </c>
      <c r="T56" s="12">
        <f>S56*VLOOKUP($A56,'EU Ref Sc 2020 Energy intensive'!$A$5:$AE$33,T$2)</f>
        <v>1.7825944031918328</v>
      </c>
      <c r="U56" s="12">
        <f>T56*VLOOKUP($A56,'EU Ref Sc 2020 Energy intensive'!$A$5:$AE$33,U$2)</f>
        <v>1.7690269655723425</v>
      </c>
      <c r="V56" s="12">
        <f>U56*VLOOKUP($A56,'EU Ref Sc 2020 Energy intensive'!$A$5:$AE$33,V$2)</f>
        <v>1.7554595279528522</v>
      </c>
      <c r="W56" s="12">
        <f>V56*VLOOKUP($A56,'EU Ref Sc 2020 Energy intensive'!$A$5:$AE$33,W$2)</f>
        <v>1.7418920903333619</v>
      </c>
      <c r="X56" s="12">
        <f>W56*VLOOKUP($A56,'EU Ref Sc 2020 Energy intensive'!$A$5:$AE$33,X$2)</f>
        <v>1.728324652713872</v>
      </c>
      <c r="Y56" s="12">
        <f>X56*VLOOKUP($A56,'EU Ref Sc 2020 Energy intensive'!$A$5:$AE$33,Y$2)</f>
        <v>1.7215427826962597</v>
      </c>
      <c r="Z56" s="12">
        <f>Y56*VLOOKUP($A56,'EU Ref Sc 2020 Energy intensive'!$A$5:$AE$33,Z$2)</f>
        <v>1.7147609126786474</v>
      </c>
      <c r="AA56" s="12">
        <f>Z56*VLOOKUP($A56,'EU Ref Sc 2020 Energy intensive'!$A$5:$AE$33,AA$2)</f>
        <v>1.7079790426610351</v>
      </c>
      <c r="AB56" s="12">
        <f>AA56*VLOOKUP($A56,'EU Ref Sc 2020 Energy intensive'!$A$5:$AE$33,AB$2)</f>
        <v>1.7011971726434227</v>
      </c>
      <c r="AC56" s="12">
        <f>AB56*VLOOKUP($A56,'EU Ref Sc 2020 Energy intensive'!$A$5:$AE$33,AC$2)</f>
        <v>1.6944153026258104</v>
      </c>
      <c r="AD56" s="12">
        <f>AC56*VLOOKUP($A56,'EU Ref Sc 2020 Energy intensive'!$A$5:$AE$33,AD$2)</f>
        <v>1.695519032441567</v>
      </c>
      <c r="AE56" s="12">
        <f>AD56*VLOOKUP($A56,'EU Ref Sc 2020 Energy intensive'!$A$5:$AE$33,AE$2)</f>
        <v>1.696622762257324</v>
      </c>
      <c r="AF56" s="12">
        <f>AE56*VLOOKUP($A56,'EU Ref Sc 2020 Energy intensive'!$A$5:$AE$33,AF$2)</f>
        <v>1.6977264920730806</v>
      </c>
      <c r="AG56" s="12">
        <f>AF56*VLOOKUP($A56,'EU Ref Sc 2020 Energy intensive'!$A$5:$AE$33,AG$2)</f>
        <v>1.6988302218888374</v>
      </c>
      <c r="AH56" s="12">
        <f>AG56*VLOOKUP($A56,'EU Ref Sc 2020 Energy intensive'!$A$5:$AE$33,AH$2)</f>
        <v>1.6999339517045939</v>
      </c>
      <c r="AI56" s="13">
        <f t="shared" ref="AI56:AR56" si="54">AH56</f>
        <v>1.6999339517045939</v>
      </c>
      <c r="AJ56" s="13">
        <f t="shared" si="54"/>
        <v>1.6999339517045939</v>
      </c>
      <c r="AK56" s="13">
        <f t="shared" si="54"/>
        <v>1.6999339517045939</v>
      </c>
      <c r="AL56" s="13">
        <f t="shared" si="54"/>
        <v>1.6999339517045939</v>
      </c>
      <c r="AM56" s="13">
        <f t="shared" si="54"/>
        <v>1.6999339517045939</v>
      </c>
      <c r="AN56" s="13">
        <f t="shared" si="54"/>
        <v>1.6999339517045939</v>
      </c>
      <c r="AO56" s="13">
        <f t="shared" si="54"/>
        <v>1.6999339517045939</v>
      </c>
      <c r="AP56" s="13">
        <f t="shared" si="54"/>
        <v>1.6999339517045939</v>
      </c>
      <c r="AQ56" s="13">
        <f t="shared" si="54"/>
        <v>1.6999339517045939</v>
      </c>
      <c r="AR56" s="13">
        <f t="shared" si="54"/>
        <v>1.6999339517045939</v>
      </c>
    </row>
    <row r="57" spans="1:44" x14ac:dyDescent="0.3">
      <c r="A57" t="s">
        <v>1413</v>
      </c>
      <c r="B57" t="s">
        <v>1393</v>
      </c>
      <c r="C57" t="s">
        <v>778</v>
      </c>
      <c r="D57" t="str">
        <f t="shared" si="33"/>
        <v>IEIMEN</v>
      </c>
      <c r="E57" s="2">
        <v>1.2441</v>
      </c>
      <c r="F57" s="12">
        <f>E57*VLOOKUP($A57,'EU Ref Sc 2020 Energy intensive'!$A$5:$AE$33,F$2)</f>
        <v>1.2420328384385495</v>
      </c>
      <c r="G57" s="12">
        <f>F57*VLOOKUP($A57,'EU Ref Sc 2020 Energy intensive'!$A$5:$AE$33,G$2)</f>
        <v>1.239965676877099</v>
      </c>
      <c r="H57" s="12">
        <f>G57*VLOOKUP($A57,'EU Ref Sc 2020 Energy intensive'!$A$5:$AE$33,H$2)</f>
        <v>1.2378985153156485</v>
      </c>
      <c r="I57" s="12">
        <f>H57*VLOOKUP($A57,'EU Ref Sc 2020 Energy intensive'!$A$5:$AE$33,I$2)</f>
        <v>1.2358313537541985</v>
      </c>
      <c r="J57" s="12">
        <f>I57*VLOOKUP($A57,'EU Ref Sc 2020 Energy intensive'!$A$5:$AE$33,J$2)</f>
        <v>1.2421411028218594</v>
      </c>
      <c r="K57" s="12">
        <f>J57*VLOOKUP($A57,'EU Ref Sc 2020 Energy intensive'!$A$5:$AE$33,K$2)</f>
        <v>1.2484508518895203</v>
      </c>
      <c r="L57" s="12">
        <f>K57*VLOOKUP($A57,'EU Ref Sc 2020 Energy intensive'!$A$5:$AE$33,L$2)</f>
        <v>1.254760600957181</v>
      </c>
      <c r="M57" s="12">
        <f>L57*VLOOKUP($A57,'EU Ref Sc 2020 Energy intensive'!$A$5:$AE$33,M$2)</f>
        <v>1.2610703500248419</v>
      </c>
      <c r="N57" s="12">
        <f>M57*VLOOKUP($A57,'EU Ref Sc 2020 Energy intensive'!$A$5:$AE$33,N$2)</f>
        <v>1.2673800990925035</v>
      </c>
      <c r="O57" s="12">
        <f>N57*VLOOKUP($A57,'EU Ref Sc 2020 Energy intensive'!$A$5:$AE$33,O$2)</f>
        <v>1.2324447924699591</v>
      </c>
      <c r="P57" s="12">
        <f>O57*VLOOKUP($A57,'EU Ref Sc 2020 Energy intensive'!$A$5:$AE$33,P$2)</f>
        <v>1.1975094858474147</v>
      </c>
      <c r="Q57" s="12">
        <f>P57*VLOOKUP($A57,'EU Ref Sc 2020 Energy intensive'!$A$5:$AE$33,Q$2)</f>
        <v>1.1625741792248701</v>
      </c>
      <c r="R57" s="12">
        <f>Q57*VLOOKUP($A57,'EU Ref Sc 2020 Energy intensive'!$A$5:$AE$33,R$2)</f>
        <v>1.1276388726023256</v>
      </c>
      <c r="S57" s="12">
        <f>R57*VLOOKUP($A57,'EU Ref Sc 2020 Energy intensive'!$A$5:$AE$33,S$2)</f>
        <v>1.092703565979781</v>
      </c>
      <c r="T57" s="12">
        <f>S57*VLOOKUP($A57,'EU Ref Sc 2020 Energy intensive'!$A$5:$AE$33,T$2)</f>
        <v>1.092184852641267</v>
      </c>
      <c r="U57" s="12">
        <f>T57*VLOOKUP($A57,'EU Ref Sc 2020 Energy intensive'!$A$5:$AE$33,U$2)</f>
        <v>1.0916661393027529</v>
      </c>
      <c r="V57" s="12">
        <f>U57*VLOOKUP($A57,'EU Ref Sc 2020 Energy intensive'!$A$5:$AE$33,V$2)</f>
        <v>1.0911474259642389</v>
      </c>
      <c r="W57" s="12">
        <f>V57*VLOOKUP($A57,'EU Ref Sc 2020 Energy intensive'!$A$5:$AE$33,W$2)</f>
        <v>1.0906287126257248</v>
      </c>
      <c r="X57" s="12">
        <f>W57*VLOOKUP($A57,'EU Ref Sc 2020 Energy intensive'!$A$5:$AE$33,X$2)</f>
        <v>1.0901099992872103</v>
      </c>
      <c r="Y57" s="12">
        <f>X57*VLOOKUP($A57,'EU Ref Sc 2020 Energy intensive'!$A$5:$AE$33,Y$2)</f>
        <v>1.0869011526034469</v>
      </c>
      <c r="Z57" s="12">
        <f>Y57*VLOOKUP($A57,'EU Ref Sc 2020 Energy intensive'!$A$5:$AE$33,Z$2)</f>
        <v>1.0836923059196835</v>
      </c>
      <c r="AA57" s="12">
        <f>Z57*VLOOKUP($A57,'EU Ref Sc 2020 Energy intensive'!$A$5:$AE$33,AA$2)</f>
        <v>1.08048345923592</v>
      </c>
      <c r="AB57" s="12">
        <f>AA57*VLOOKUP($A57,'EU Ref Sc 2020 Energy intensive'!$A$5:$AE$33,AB$2)</f>
        <v>1.0772746125521568</v>
      </c>
      <c r="AC57" s="12">
        <f>AB57*VLOOKUP($A57,'EU Ref Sc 2020 Energy intensive'!$A$5:$AE$33,AC$2)</f>
        <v>1.0740657658683932</v>
      </c>
      <c r="AD57" s="12">
        <f>AC57*VLOOKUP($A57,'EU Ref Sc 2020 Energy intensive'!$A$5:$AE$33,AD$2)</f>
        <v>1.0717369912721062</v>
      </c>
      <c r="AE57" s="12">
        <f>AD57*VLOOKUP($A57,'EU Ref Sc 2020 Energy intensive'!$A$5:$AE$33,AE$2)</f>
        <v>1.0694082166758192</v>
      </c>
      <c r="AF57" s="12">
        <f>AE57*VLOOKUP($A57,'EU Ref Sc 2020 Energy intensive'!$A$5:$AE$33,AF$2)</f>
        <v>1.0670794420795322</v>
      </c>
      <c r="AG57" s="12">
        <f>AF57*VLOOKUP($A57,'EU Ref Sc 2020 Energy intensive'!$A$5:$AE$33,AG$2)</f>
        <v>1.0647506674832452</v>
      </c>
      <c r="AH57" s="12">
        <f>AG57*VLOOKUP($A57,'EU Ref Sc 2020 Energy intensive'!$A$5:$AE$33,AH$2)</f>
        <v>1.0624218928869587</v>
      </c>
      <c r="AI57" s="13">
        <f t="shared" ref="AI57:AR57" si="55">AH57</f>
        <v>1.0624218928869587</v>
      </c>
      <c r="AJ57" s="13">
        <f t="shared" si="55"/>
        <v>1.0624218928869587</v>
      </c>
      <c r="AK57" s="13">
        <f t="shared" si="55"/>
        <v>1.0624218928869587</v>
      </c>
      <c r="AL57" s="13">
        <f t="shared" si="55"/>
        <v>1.0624218928869587</v>
      </c>
      <c r="AM57" s="13">
        <f t="shared" si="55"/>
        <v>1.0624218928869587</v>
      </c>
      <c r="AN57" s="13">
        <f t="shared" si="55"/>
        <v>1.0624218928869587</v>
      </c>
      <c r="AO57" s="13">
        <f t="shared" si="55"/>
        <v>1.0624218928869587</v>
      </c>
      <c r="AP57" s="13">
        <f t="shared" si="55"/>
        <v>1.0624218928869587</v>
      </c>
      <c r="AQ57" s="13">
        <f t="shared" si="55"/>
        <v>1.0624218928869587</v>
      </c>
      <c r="AR57" s="13">
        <f t="shared" si="55"/>
        <v>1.0624218928869587</v>
      </c>
    </row>
    <row r="58" spans="1:44" x14ac:dyDescent="0.3">
      <c r="A58" t="s">
        <v>1414</v>
      </c>
      <c r="B58" t="s">
        <v>1393</v>
      </c>
      <c r="C58" t="s">
        <v>833</v>
      </c>
      <c r="D58" t="str">
        <f t="shared" si="33"/>
        <v>ITIMEN</v>
      </c>
      <c r="E58" s="2">
        <v>13.0608</v>
      </c>
      <c r="F58" s="12">
        <f>E58*VLOOKUP($A58,'EU Ref Sc 2020 Energy intensive'!$A$5:$AE$33,F$2)</f>
        <v>13.149723846999676</v>
      </c>
      <c r="G58" s="12">
        <f>F58*VLOOKUP($A58,'EU Ref Sc 2020 Energy intensive'!$A$5:$AE$33,G$2)</f>
        <v>13.238647693999351</v>
      </c>
      <c r="H58" s="12">
        <f>G58*VLOOKUP($A58,'EU Ref Sc 2020 Energy intensive'!$A$5:$AE$33,H$2)</f>
        <v>13.327571540999028</v>
      </c>
      <c r="I58" s="12">
        <f>H58*VLOOKUP($A58,'EU Ref Sc 2020 Energy intensive'!$A$5:$AE$33,I$2)</f>
        <v>13.416495387998705</v>
      </c>
      <c r="J58" s="12">
        <f>I58*VLOOKUP($A58,'EU Ref Sc 2020 Energy intensive'!$A$5:$AE$33,J$2)</f>
        <v>13.331186221149347</v>
      </c>
      <c r="K58" s="12">
        <f>J58*VLOOKUP($A58,'EU Ref Sc 2020 Energy intensive'!$A$5:$AE$33,K$2)</f>
        <v>13.245877054299989</v>
      </c>
      <c r="L58" s="12">
        <f>K58*VLOOKUP($A58,'EU Ref Sc 2020 Energy intensive'!$A$5:$AE$33,L$2)</f>
        <v>13.160567887450629</v>
      </c>
      <c r="M58" s="12">
        <f>L58*VLOOKUP($A58,'EU Ref Sc 2020 Energy intensive'!$A$5:$AE$33,M$2)</f>
        <v>13.075258720601271</v>
      </c>
      <c r="N58" s="12">
        <f>M58*VLOOKUP($A58,'EU Ref Sc 2020 Energy intensive'!$A$5:$AE$33,N$2)</f>
        <v>12.989949553751915</v>
      </c>
      <c r="O58" s="12">
        <f>N58*VLOOKUP($A58,'EU Ref Sc 2020 Energy intensive'!$A$5:$AE$33,O$2)</f>
        <v>12.808541208852599</v>
      </c>
      <c r="P58" s="12">
        <f>O58*VLOOKUP($A58,'EU Ref Sc 2020 Energy intensive'!$A$5:$AE$33,P$2)</f>
        <v>12.627132863953284</v>
      </c>
      <c r="Q58" s="12">
        <f>P58*VLOOKUP($A58,'EU Ref Sc 2020 Energy intensive'!$A$5:$AE$33,Q$2)</f>
        <v>12.445724519053968</v>
      </c>
      <c r="R58" s="12">
        <f>Q58*VLOOKUP($A58,'EU Ref Sc 2020 Energy intensive'!$A$5:$AE$33,R$2)</f>
        <v>12.264316174154652</v>
      </c>
      <c r="S58" s="12">
        <f>R58*VLOOKUP($A58,'EU Ref Sc 2020 Energy intensive'!$A$5:$AE$33,S$2)</f>
        <v>12.082907829255337</v>
      </c>
      <c r="T58" s="12">
        <f>S58*VLOOKUP($A58,'EU Ref Sc 2020 Energy intensive'!$A$5:$AE$33,T$2)</f>
        <v>11.888480245980704</v>
      </c>
      <c r="U58" s="12">
        <f>T58*VLOOKUP($A58,'EU Ref Sc 2020 Energy intensive'!$A$5:$AE$33,U$2)</f>
        <v>11.694052662706071</v>
      </c>
      <c r="V58" s="12">
        <f>U58*VLOOKUP($A58,'EU Ref Sc 2020 Energy intensive'!$A$5:$AE$33,V$2)</f>
        <v>11.499625079431437</v>
      </c>
      <c r="W58" s="12">
        <f>V58*VLOOKUP($A58,'EU Ref Sc 2020 Energy intensive'!$A$5:$AE$33,W$2)</f>
        <v>11.305197496156804</v>
      </c>
      <c r="X58" s="12">
        <f>W58*VLOOKUP($A58,'EU Ref Sc 2020 Energy intensive'!$A$5:$AE$33,X$2)</f>
        <v>11.110769912882169</v>
      </c>
      <c r="Y58" s="12">
        <f>X58*VLOOKUP($A58,'EU Ref Sc 2020 Energy intensive'!$A$5:$AE$33,Y$2)</f>
        <v>10.975584189629547</v>
      </c>
      <c r="Z58" s="12">
        <f>Y58*VLOOKUP($A58,'EU Ref Sc 2020 Energy intensive'!$A$5:$AE$33,Z$2)</f>
        <v>10.840398466376925</v>
      </c>
      <c r="AA58" s="12">
        <f>Z58*VLOOKUP($A58,'EU Ref Sc 2020 Energy intensive'!$A$5:$AE$33,AA$2)</f>
        <v>10.705212743124303</v>
      </c>
      <c r="AB58" s="12">
        <f>AA58*VLOOKUP($A58,'EU Ref Sc 2020 Energy intensive'!$A$5:$AE$33,AB$2)</f>
        <v>10.570027019871681</v>
      </c>
      <c r="AC58" s="12">
        <f>AB58*VLOOKUP($A58,'EU Ref Sc 2020 Energy intensive'!$A$5:$AE$33,AC$2)</f>
        <v>10.434841296619057</v>
      </c>
      <c r="AD58" s="12">
        <f>AC58*VLOOKUP($A58,'EU Ref Sc 2020 Energy intensive'!$A$5:$AE$33,AD$2)</f>
        <v>10.575859593895315</v>
      </c>
      <c r="AE58" s="12">
        <f>AD58*VLOOKUP($A58,'EU Ref Sc 2020 Energy intensive'!$A$5:$AE$33,AE$2)</f>
        <v>10.716877891171572</v>
      </c>
      <c r="AF58" s="12">
        <f>AE58*VLOOKUP($A58,'EU Ref Sc 2020 Energy intensive'!$A$5:$AE$33,AF$2)</f>
        <v>10.85789618844783</v>
      </c>
      <c r="AG58" s="12">
        <f>AF58*VLOOKUP($A58,'EU Ref Sc 2020 Energy intensive'!$A$5:$AE$33,AG$2)</f>
        <v>10.998914485724088</v>
      </c>
      <c r="AH58" s="12">
        <f>AG58*VLOOKUP($A58,'EU Ref Sc 2020 Energy intensive'!$A$5:$AE$33,AH$2)</f>
        <v>11.139932783000349</v>
      </c>
      <c r="AI58" s="13">
        <f t="shared" ref="AI58:AR58" si="56">AH58</f>
        <v>11.139932783000349</v>
      </c>
      <c r="AJ58" s="13">
        <f t="shared" si="56"/>
        <v>11.139932783000349</v>
      </c>
      <c r="AK58" s="13">
        <f t="shared" si="56"/>
        <v>11.139932783000349</v>
      </c>
      <c r="AL58" s="13">
        <f t="shared" si="56"/>
        <v>11.139932783000349</v>
      </c>
      <c r="AM58" s="13">
        <f t="shared" si="56"/>
        <v>11.139932783000349</v>
      </c>
      <c r="AN58" s="13">
        <f t="shared" si="56"/>
        <v>11.139932783000349</v>
      </c>
      <c r="AO58" s="13">
        <f t="shared" si="56"/>
        <v>11.139932783000349</v>
      </c>
      <c r="AP58" s="13">
        <f t="shared" si="56"/>
        <v>11.139932783000349</v>
      </c>
      <c r="AQ58" s="13">
        <f t="shared" si="56"/>
        <v>11.139932783000349</v>
      </c>
      <c r="AR58" s="13">
        <f t="shared" si="56"/>
        <v>11.139932783000349</v>
      </c>
    </row>
    <row r="59" spans="1:44" x14ac:dyDescent="0.3">
      <c r="A59" t="s">
        <v>1415</v>
      </c>
      <c r="B59" t="s">
        <v>1393</v>
      </c>
      <c r="C59" t="s">
        <v>888</v>
      </c>
      <c r="D59" t="str">
        <f t="shared" si="33"/>
        <v>LTIMEN</v>
      </c>
      <c r="E59" s="2">
        <v>0.4073</v>
      </c>
      <c r="F59" s="12">
        <f>E59*VLOOKUP($A59,'EU Ref Sc 2020 Energy intensive'!$A$5:$AE$33,F$2)</f>
        <v>0.41038037914839615</v>
      </c>
      <c r="G59" s="12">
        <f>F59*VLOOKUP($A59,'EU Ref Sc 2020 Energy intensive'!$A$5:$AE$33,G$2)</f>
        <v>0.41346075829679235</v>
      </c>
      <c r="H59" s="12">
        <f>G59*VLOOKUP($A59,'EU Ref Sc 2020 Energy intensive'!$A$5:$AE$33,H$2)</f>
        <v>0.41654113744518856</v>
      </c>
      <c r="I59" s="12">
        <f>H59*VLOOKUP($A59,'EU Ref Sc 2020 Energy intensive'!$A$5:$AE$33,I$2)</f>
        <v>0.41962151659358482</v>
      </c>
      <c r="J59" s="12">
        <f>I59*VLOOKUP($A59,'EU Ref Sc 2020 Energy intensive'!$A$5:$AE$33,J$2)</f>
        <v>0.41595353797548124</v>
      </c>
      <c r="K59" s="12">
        <f>J59*VLOOKUP($A59,'EU Ref Sc 2020 Energy intensive'!$A$5:$AE$33,K$2)</f>
        <v>0.41228555935737765</v>
      </c>
      <c r="L59" s="12">
        <f>K59*VLOOKUP($A59,'EU Ref Sc 2020 Energy intensive'!$A$5:$AE$33,L$2)</f>
        <v>0.40861758073927407</v>
      </c>
      <c r="M59" s="12">
        <f>L59*VLOOKUP($A59,'EU Ref Sc 2020 Energy intensive'!$A$5:$AE$33,M$2)</f>
        <v>0.40494960212117048</v>
      </c>
      <c r="N59" s="12">
        <f>M59*VLOOKUP($A59,'EU Ref Sc 2020 Energy intensive'!$A$5:$AE$33,N$2)</f>
        <v>0.40128162350306679</v>
      </c>
      <c r="O59" s="12">
        <f>N59*VLOOKUP($A59,'EU Ref Sc 2020 Energy intensive'!$A$5:$AE$33,O$2)</f>
        <v>0.39347015770304483</v>
      </c>
      <c r="P59" s="12">
        <f>O59*VLOOKUP($A59,'EU Ref Sc 2020 Energy intensive'!$A$5:$AE$33,P$2)</f>
        <v>0.38565869190302288</v>
      </c>
      <c r="Q59" s="12">
        <f>P59*VLOOKUP($A59,'EU Ref Sc 2020 Energy intensive'!$A$5:$AE$33,Q$2)</f>
        <v>0.37784722610300098</v>
      </c>
      <c r="R59" s="12">
        <f>Q59*VLOOKUP($A59,'EU Ref Sc 2020 Energy intensive'!$A$5:$AE$33,R$2)</f>
        <v>0.37003576030297908</v>
      </c>
      <c r="S59" s="12">
        <f>R59*VLOOKUP($A59,'EU Ref Sc 2020 Energy intensive'!$A$5:$AE$33,S$2)</f>
        <v>0.36222429450295718</v>
      </c>
      <c r="T59" s="12">
        <f>S59*VLOOKUP($A59,'EU Ref Sc 2020 Energy intensive'!$A$5:$AE$33,T$2)</f>
        <v>0.3559209976910247</v>
      </c>
      <c r="U59" s="12">
        <f>T59*VLOOKUP($A59,'EU Ref Sc 2020 Energy intensive'!$A$5:$AE$33,U$2)</f>
        <v>0.34961770087909222</v>
      </c>
      <c r="V59" s="12">
        <f>U59*VLOOKUP($A59,'EU Ref Sc 2020 Energy intensive'!$A$5:$AE$33,V$2)</f>
        <v>0.34331440406715974</v>
      </c>
      <c r="W59" s="12">
        <f>V59*VLOOKUP($A59,'EU Ref Sc 2020 Energy intensive'!$A$5:$AE$33,W$2)</f>
        <v>0.33701110725522726</v>
      </c>
      <c r="X59" s="12">
        <f>W59*VLOOKUP($A59,'EU Ref Sc 2020 Energy intensive'!$A$5:$AE$33,X$2)</f>
        <v>0.33070781044329473</v>
      </c>
      <c r="Y59" s="12">
        <f>X59*VLOOKUP($A59,'EU Ref Sc 2020 Energy intensive'!$A$5:$AE$33,Y$2)</f>
        <v>0.32554938224899255</v>
      </c>
      <c r="Z59" s="12">
        <f>Y59*VLOOKUP($A59,'EU Ref Sc 2020 Energy intensive'!$A$5:$AE$33,Z$2)</f>
        <v>0.32039095405469037</v>
      </c>
      <c r="AA59" s="12">
        <f>Z59*VLOOKUP($A59,'EU Ref Sc 2020 Energy intensive'!$A$5:$AE$33,AA$2)</f>
        <v>0.31523252586038819</v>
      </c>
      <c r="AB59" s="12">
        <f>AA59*VLOOKUP($A59,'EU Ref Sc 2020 Energy intensive'!$A$5:$AE$33,AB$2)</f>
        <v>0.31007409766608596</v>
      </c>
      <c r="AC59" s="12">
        <f>AB59*VLOOKUP($A59,'EU Ref Sc 2020 Energy intensive'!$A$5:$AE$33,AC$2)</f>
        <v>0.30491566947178367</v>
      </c>
      <c r="AD59" s="12">
        <f>AC59*VLOOKUP($A59,'EU Ref Sc 2020 Energy intensive'!$A$5:$AE$33,AD$2)</f>
        <v>0.30796582016223722</v>
      </c>
      <c r="AE59" s="12">
        <f>AD59*VLOOKUP($A59,'EU Ref Sc 2020 Energy intensive'!$A$5:$AE$33,AE$2)</f>
        <v>0.31101597085269078</v>
      </c>
      <c r="AF59" s="12">
        <f>AE59*VLOOKUP($A59,'EU Ref Sc 2020 Energy intensive'!$A$5:$AE$33,AF$2)</f>
        <v>0.31406612154314434</v>
      </c>
      <c r="AG59" s="12">
        <f>AF59*VLOOKUP($A59,'EU Ref Sc 2020 Energy intensive'!$A$5:$AE$33,AG$2)</f>
        <v>0.31711627223359795</v>
      </c>
      <c r="AH59" s="12">
        <f>AG59*VLOOKUP($A59,'EU Ref Sc 2020 Energy intensive'!$A$5:$AE$33,AH$2)</f>
        <v>0.32016642292405151</v>
      </c>
      <c r="AI59" s="13">
        <f t="shared" ref="AI59:AR59" si="57">AH59</f>
        <v>0.32016642292405151</v>
      </c>
      <c r="AJ59" s="13">
        <f t="shared" si="57"/>
        <v>0.32016642292405151</v>
      </c>
      <c r="AK59" s="13">
        <f t="shared" si="57"/>
        <v>0.32016642292405151</v>
      </c>
      <c r="AL59" s="13">
        <f t="shared" si="57"/>
        <v>0.32016642292405151</v>
      </c>
      <c r="AM59" s="13">
        <f t="shared" si="57"/>
        <v>0.32016642292405151</v>
      </c>
      <c r="AN59" s="13">
        <f t="shared" si="57"/>
        <v>0.32016642292405151</v>
      </c>
      <c r="AO59" s="13">
        <f t="shared" si="57"/>
        <v>0.32016642292405151</v>
      </c>
      <c r="AP59" s="13">
        <f t="shared" si="57"/>
        <v>0.32016642292405151</v>
      </c>
      <c r="AQ59" s="13">
        <f t="shared" si="57"/>
        <v>0.32016642292405151</v>
      </c>
      <c r="AR59" s="13">
        <f t="shared" si="57"/>
        <v>0.32016642292405151</v>
      </c>
    </row>
    <row r="60" spans="1:44" x14ac:dyDescent="0.3">
      <c r="A60" t="s">
        <v>1416</v>
      </c>
      <c r="B60" t="s">
        <v>1393</v>
      </c>
      <c r="C60" t="s">
        <v>921</v>
      </c>
      <c r="D60" t="str">
        <f t="shared" si="33"/>
        <v>LUIMEN</v>
      </c>
      <c r="E60" s="2">
        <v>0.124</v>
      </c>
      <c r="F60" s="12">
        <f>E60*VLOOKUP($A60,'EU Ref Sc 2020 Energy intensive'!$A$5:$AE$33,F$2)</f>
        <v>0.12378571802671062</v>
      </c>
      <c r="G60" s="12">
        <f>F60*VLOOKUP($A60,'EU Ref Sc 2020 Energy intensive'!$A$5:$AE$33,G$2)</f>
        <v>0.12357143605342126</v>
      </c>
      <c r="H60" s="12">
        <f>G60*VLOOKUP($A60,'EU Ref Sc 2020 Energy intensive'!$A$5:$AE$33,H$2)</f>
        <v>0.12335715408013188</v>
      </c>
      <c r="I60" s="12">
        <f>H60*VLOOKUP($A60,'EU Ref Sc 2020 Energy intensive'!$A$5:$AE$33,I$2)</f>
        <v>0.12314287210684251</v>
      </c>
      <c r="J60" s="12">
        <f>I60*VLOOKUP($A60,'EU Ref Sc 2020 Energy intensive'!$A$5:$AE$33,J$2)</f>
        <v>0.121872959598205</v>
      </c>
      <c r="K60" s="12">
        <f>J60*VLOOKUP($A60,'EU Ref Sc 2020 Energy intensive'!$A$5:$AE$33,K$2)</f>
        <v>0.1206030470895675</v>
      </c>
      <c r="L60" s="12">
        <f>K60*VLOOKUP($A60,'EU Ref Sc 2020 Energy intensive'!$A$5:$AE$33,L$2)</f>
        <v>0.11933313458092999</v>
      </c>
      <c r="M60" s="12">
        <f>L60*VLOOKUP($A60,'EU Ref Sc 2020 Energy intensive'!$A$5:$AE$33,M$2)</f>
        <v>0.11806322207229249</v>
      </c>
      <c r="N60" s="12">
        <f>M60*VLOOKUP($A60,'EU Ref Sc 2020 Energy intensive'!$A$5:$AE$33,N$2)</f>
        <v>0.11679330956365501</v>
      </c>
      <c r="O60" s="12">
        <f>N60*VLOOKUP($A60,'EU Ref Sc 2020 Energy intensive'!$A$5:$AE$33,O$2)</f>
        <v>0.11536041460006202</v>
      </c>
      <c r="P60" s="12">
        <f>O60*VLOOKUP($A60,'EU Ref Sc 2020 Energy intensive'!$A$5:$AE$33,P$2)</f>
        <v>0.11392751963646905</v>
      </c>
      <c r="Q60" s="12">
        <f>P60*VLOOKUP($A60,'EU Ref Sc 2020 Energy intensive'!$A$5:$AE$33,Q$2)</f>
        <v>0.11249462467287606</v>
      </c>
      <c r="R60" s="12">
        <f>Q60*VLOOKUP($A60,'EU Ref Sc 2020 Energy intensive'!$A$5:$AE$33,R$2)</f>
        <v>0.11106172970928307</v>
      </c>
      <c r="S60" s="12">
        <f>R60*VLOOKUP($A60,'EU Ref Sc 2020 Energy intensive'!$A$5:$AE$33,S$2)</f>
        <v>0.10962883474569007</v>
      </c>
      <c r="T60" s="12">
        <f>S60*VLOOKUP($A60,'EU Ref Sc 2020 Energy intensive'!$A$5:$AE$33,T$2)</f>
        <v>0.10835344528766501</v>
      </c>
      <c r="U60" s="12">
        <f>T60*VLOOKUP($A60,'EU Ref Sc 2020 Energy intensive'!$A$5:$AE$33,U$2)</f>
        <v>0.10707805582963993</v>
      </c>
      <c r="V60" s="12">
        <f>U60*VLOOKUP($A60,'EU Ref Sc 2020 Energy intensive'!$A$5:$AE$33,V$2)</f>
        <v>0.10580266637161485</v>
      </c>
      <c r="W60" s="12">
        <f>V60*VLOOKUP($A60,'EU Ref Sc 2020 Energy intensive'!$A$5:$AE$33,W$2)</f>
        <v>0.10452727691358979</v>
      </c>
      <c r="X60" s="12">
        <f>W60*VLOOKUP($A60,'EU Ref Sc 2020 Energy intensive'!$A$5:$AE$33,X$2)</f>
        <v>0.1032518874555647</v>
      </c>
      <c r="Y60" s="12">
        <f>X60*VLOOKUP($A60,'EU Ref Sc 2020 Energy intensive'!$A$5:$AE$33,Y$2)</f>
        <v>0.10233667440969357</v>
      </c>
      <c r="Z60" s="12">
        <f>Y60*VLOOKUP($A60,'EU Ref Sc 2020 Energy intensive'!$A$5:$AE$33,Z$2)</f>
        <v>0.10142146136382245</v>
      </c>
      <c r="AA60" s="12">
        <f>Z60*VLOOKUP($A60,'EU Ref Sc 2020 Energy intensive'!$A$5:$AE$33,AA$2)</f>
        <v>0.10050624831795132</v>
      </c>
      <c r="AB60" s="12">
        <f>AA60*VLOOKUP($A60,'EU Ref Sc 2020 Energy intensive'!$A$5:$AE$33,AB$2)</f>
        <v>9.95910352720802E-2</v>
      </c>
      <c r="AC60" s="12">
        <f>AB60*VLOOKUP($A60,'EU Ref Sc 2020 Energy intensive'!$A$5:$AE$33,AC$2)</f>
        <v>9.8675822226209089E-2</v>
      </c>
      <c r="AD60" s="12">
        <f>AC60*VLOOKUP($A60,'EU Ref Sc 2020 Energy intensive'!$A$5:$AE$33,AD$2)</f>
        <v>9.7478822136603513E-2</v>
      </c>
      <c r="AE60" s="12">
        <f>AD60*VLOOKUP($A60,'EU Ref Sc 2020 Energy intensive'!$A$5:$AE$33,AE$2)</f>
        <v>9.6281822046997922E-2</v>
      </c>
      <c r="AF60" s="12">
        <f>AE60*VLOOKUP($A60,'EU Ref Sc 2020 Energy intensive'!$A$5:$AE$33,AF$2)</f>
        <v>9.5084821957392332E-2</v>
      </c>
      <c r="AG60" s="12">
        <f>AF60*VLOOKUP($A60,'EU Ref Sc 2020 Energy intensive'!$A$5:$AE$33,AG$2)</f>
        <v>9.3887821867786755E-2</v>
      </c>
      <c r="AH60" s="12">
        <f>AG60*VLOOKUP($A60,'EU Ref Sc 2020 Energy intensive'!$A$5:$AE$33,AH$2)</f>
        <v>9.2690821778181165E-2</v>
      </c>
      <c r="AI60" s="13">
        <f t="shared" ref="AI60:AR60" si="58">AH60</f>
        <v>9.2690821778181165E-2</v>
      </c>
      <c r="AJ60" s="13">
        <f t="shared" si="58"/>
        <v>9.2690821778181165E-2</v>
      </c>
      <c r="AK60" s="13">
        <f t="shared" si="58"/>
        <v>9.2690821778181165E-2</v>
      </c>
      <c r="AL60" s="13">
        <f t="shared" si="58"/>
        <v>9.2690821778181165E-2</v>
      </c>
      <c r="AM60" s="13">
        <f t="shared" si="58"/>
        <v>9.2690821778181165E-2</v>
      </c>
      <c r="AN60" s="13">
        <f t="shared" si="58"/>
        <v>9.2690821778181165E-2</v>
      </c>
      <c r="AO60" s="13">
        <f t="shared" si="58"/>
        <v>9.2690821778181165E-2</v>
      </c>
      <c r="AP60" s="13">
        <f t="shared" si="58"/>
        <v>9.2690821778181165E-2</v>
      </c>
      <c r="AQ60" s="13">
        <f t="shared" si="58"/>
        <v>9.2690821778181165E-2</v>
      </c>
      <c r="AR60" s="13">
        <f t="shared" si="58"/>
        <v>9.2690821778181165E-2</v>
      </c>
    </row>
    <row r="61" spans="1:44" x14ac:dyDescent="0.3">
      <c r="A61" t="s">
        <v>1417</v>
      </c>
      <c r="B61" t="s">
        <v>1393</v>
      </c>
      <c r="C61" t="s">
        <v>965</v>
      </c>
      <c r="D61" t="str">
        <f t="shared" si="33"/>
        <v>LVIMEN</v>
      </c>
      <c r="E61" s="2">
        <v>0.35420000000000001</v>
      </c>
      <c r="F61" s="12">
        <f>E61*VLOOKUP($A61,'EU Ref Sc 2020 Energy intensive'!$A$5:$AE$33,F$2)</f>
        <v>0.35526677134982704</v>
      </c>
      <c r="G61" s="12">
        <f>F61*VLOOKUP($A61,'EU Ref Sc 2020 Energy intensive'!$A$5:$AE$33,G$2)</f>
        <v>0.35633354269965406</v>
      </c>
      <c r="H61" s="12">
        <f>G61*VLOOKUP($A61,'EU Ref Sc 2020 Energy intensive'!$A$5:$AE$33,H$2)</f>
        <v>0.35740031404948103</v>
      </c>
      <c r="I61" s="12">
        <f>H61*VLOOKUP($A61,'EU Ref Sc 2020 Energy intensive'!$A$5:$AE$33,I$2)</f>
        <v>0.35846708539930816</v>
      </c>
      <c r="J61" s="12">
        <f>I61*VLOOKUP($A61,'EU Ref Sc 2020 Energy intensive'!$A$5:$AE$33,J$2)</f>
        <v>0.34916829173057923</v>
      </c>
      <c r="K61" s="12">
        <f>J61*VLOOKUP($A61,'EU Ref Sc 2020 Energy intensive'!$A$5:$AE$33,K$2)</f>
        <v>0.33986949806185029</v>
      </c>
      <c r="L61" s="12">
        <f>K61*VLOOKUP($A61,'EU Ref Sc 2020 Energy intensive'!$A$5:$AE$33,L$2)</f>
        <v>0.33057070439312136</v>
      </c>
      <c r="M61" s="12">
        <f>L61*VLOOKUP($A61,'EU Ref Sc 2020 Energy intensive'!$A$5:$AE$33,M$2)</f>
        <v>0.32127191072439243</v>
      </c>
      <c r="N61" s="12">
        <f>M61*VLOOKUP($A61,'EU Ref Sc 2020 Energy intensive'!$A$5:$AE$33,N$2)</f>
        <v>0.31197311705566361</v>
      </c>
      <c r="O61" s="12">
        <f>N61*VLOOKUP($A61,'EU Ref Sc 2020 Energy intensive'!$A$5:$AE$33,O$2)</f>
        <v>0.31071315392388621</v>
      </c>
      <c r="P61" s="12">
        <f>O61*VLOOKUP($A61,'EU Ref Sc 2020 Energy intensive'!$A$5:$AE$33,P$2)</f>
        <v>0.30945319079210881</v>
      </c>
      <c r="Q61" s="12">
        <f>P61*VLOOKUP($A61,'EU Ref Sc 2020 Energy intensive'!$A$5:$AE$33,Q$2)</f>
        <v>0.30819322766033141</v>
      </c>
      <c r="R61" s="12">
        <f>Q61*VLOOKUP($A61,'EU Ref Sc 2020 Energy intensive'!$A$5:$AE$33,R$2)</f>
        <v>0.30693326452855402</v>
      </c>
      <c r="S61" s="12">
        <f>R61*VLOOKUP($A61,'EU Ref Sc 2020 Energy intensive'!$A$5:$AE$33,S$2)</f>
        <v>0.30567330139677668</v>
      </c>
      <c r="T61" s="12">
        <f>S61*VLOOKUP($A61,'EU Ref Sc 2020 Energy intensive'!$A$5:$AE$33,T$2)</f>
        <v>0.2991848244778732</v>
      </c>
      <c r="U61" s="12">
        <f>T61*VLOOKUP($A61,'EU Ref Sc 2020 Energy intensive'!$A$5:$AE$33,U$2)</f>
        <v>0.29269634755896973</v>
      </c>
      <c r="V61" s="12">
        <f>U61*VLOOKUP($A61,'EU Ref Sc 2020 Energy intensive'!$A$5:$AE$33,V$2)</f>
        <v>0.28620787064006625</v>
      </c>
      <c r="W61" s="12">
        <f>V61*VLOOKUP($A61,'EU Ref Sc 2020 Energy intensive'!$A$5:$AE$33,W$2)</f>
        <v>0.27971939372116283</v>
      </c>
      <c r="X61" s="12">
        <f>W61*VLOOKUP($A61,'EU Ref Sc 2020 Energy intensive'!$A$5:$AE$33,X$2)</f>
        <v>0.27323091680225942</v>
      </c>
      <c r="Y61" s="12">
        <f>X61*VLOOKUP($A61,'EU Ref Sc 2020 Energy intensive'!$A$5:$AE$33,Y$2)</f>
        <v>0.26884061207969512</v>
      </c>
      <c r="Z61" s="12">
        <f>Y61*VLOOKUP($A61,'EU Ref Sc 2020 Energy intensive'!$A$5:$AE$33,Z$2)</f>
        <v>0.26445030735713082</v>
      </c>
      <c r="AA61" s="12">
        <f>Z61*VLOOKUP($A61,'EU Ref Sc 2020 Energy intensive'!$A$5:$AE$33,AA$2)</f>
        <v>0.26006000263456652</v>
      </c>
      <c r="AB61" s="12">
        <f>AA61*VLOOKUP($A61,'EU Ref Sc 2020 Energy intensive'!$A$5:$AE$33,AB$2)</f>
        <v>0.25566969791200223</v>
      </c>
      <c r="AC61" s="12">
        <f>AB61*VLOOKUP($A61,'EU Ref Sc 2020 Energy intensive'!$A$5:$AE$33,AC$2)</f>
        <v>0.25127939318943787</v>
      </c>
      <c r="AD61" s="12">
        <f>AC61*VLOOKUP($A61,'EU Ref Sc 2020 Energy intensive'!$A$5:$AE$33,AD$2)</f>
        <v>0.24912537477911642</v>
      </c>
      <c r="AE61" s="12">
        <f>AD61*VLOOKUP($A61,'EU Ref Sc 2020 Energy intensive'!$A$5:$AE$33,AE$2)</f>
        <v>0.24697135636879497</v>
      </c>
      <c r="AF61" s="12">
        <f>AE61*VLOOKUP($A61,'EU Ref Sc 2020 Energy intensive'!$A$5:$AE$33,AF$2)</f>
        <v>0.24481733795847352</v>
      </c>
      <c r="AG61" s="12">
        <f>AF61*VLOOKUP($A61,'EU Ref Sc 2020 Energy intensive'!$A$5:$AE$33,AG$2)</f>
        <v>0.24266331954815204</v>
      </c>
      <c r="AH61" s="12">
        <f>AG61*VLOOKUP($A61,'EU Ref Sc 2020 Energy intensive'!$A$5:$AE$33,AH$2)</f>
        <v>0.24050930113783062</v>
      </c>
      <c r="AI61" s="13">
        <f t="shared" ref="AI61:AR61" si="59">AH61</f>
        <v>0.24050930113783062</v>
      </c>
      <c r="AJ61" s="13">
        <f t="shared" si="59"/>
        <v>0.24050930113783062</v>
      </c>
      <c r="AK61" s="13">
        <f t="shared" si="59"/>
        <v>0.24050930113783062</v>
      </c>
      <c r="AL61" s="13">
        <f t="shared" si="59"/>
        <v>0.24050930113783062</v>
      </c>
      <c r="AM61" s="13">
        <f t="shared" si="59"/>
        <v>0.24050930113783062</v>
      </c>
      <c r="AN61" s="13">
        <f t="shared" si="59"/>
        <v>0.24050930113783062</v>
      </c>
      <c r="AO61" s="13">
        <f t="shared" si="59"/>
        <v>0.24050930113783062</v>
      </c>
      <c r="AP61" s="13">
        <f t="shared" si="59"/>
        <v>0.24050930113783062</v>
      </c>
      <c r="AQ61" s="13">
        <f t="shared" si="59"/>
        <v>0.24050930113783062</v>
      </c>
      <c r="AR61" s="13">
        <f t="shared" si="59"/>
        <v>0.24050930113783062</v>
      </c>
    </row>
    <row r="62" spans="1:44" x14ac:dyDescent="0.3">
      <c r="A62" t="s">
        <v>1419</v>
      </c>
      <c r="B62" t="s">
        <v>1393</v>
      </c>
      <c r="C62" t="s">
        <v>1031</v>
      </c>
      <c r="D62" t="str">
        <f t="shared" si="33"/>
        <v>NLIMEN</v>
      </c>
      <c r="E62" s="2">
        <v>1.5125</v>
      </c>
      <c r="F62" s="12">
        <f>E62*VLOOKUP($A62,'EU Ref Sc 2020 Energy intensive'!$A$5:$AE$33,F$2)</f>
        <v>1.519553282997498</v>
      </c>
      <c r="G62" s="12">
        <f>F62*VLOOKUP($A62,'EU Ref Sc 2020 Energy intensive'!$A$5:$AE$33,G$2)</f>
        <v>1.5266065659949961</v>
      </c>
      <c r="H62" s="12">
        <f>G62*VLOOKUP($A62,'EU Ref Sc 2020 Energy intensive'!$A$5:$AE$33,H$2)</f>
        <v>1.5336598489924942</v>
      </c>
      <c r="I62" s="12">
        <f>H62*VLOOKUP($A62,'EU Ref Sc 2020 Energy intensive'!$A$5:$AE$33,I$2)</f>
        <v>1.5407131319899927</v>
      </c>
      <c r="J62" s="12">
        <f>I62*VLOOKUP($A62,'EU Ref Sc 2020 Energy intensive'!$A$5:$AE$33,J$2)</f>
        <v>1.5097734367004216</v>
      </c>
      <c r="K62" s="12">
        <f>J62*VLOOKUP($A62,'EU Ref Sc 2020 Energy intensive'!$A$5:$AE$33,K$2)</f>
        <v>1.4788337414108506</v>
      </c>
      <c r="L62" s="12">
        <f>K62*VLOOKUP($A62,'EU Ref Sc 2020 Energy intensive'!$A$5:$AE$33,L$2)</f>
        <v>1.4478940461212795</v>
      </c>
      <c r="M62" s="12">
        <f>L62*VLOOKUP($A62,'EU Ref Sc 2020 Energy intensive'!$A$5:$AE$33,M$2)</f>
        <v>1.4169543508317084</v>
      </c>
      <c r="N62" s="12">
        <f>M62*VLOOKUP($A62,'EU Ref Sc 2020 Energy intensive'!$A$5:$AE$33,N$2)</f>
        <v>1.3860146555421371</v>
      </c>
      <c r="O62" s="12">
        <f>N62*VLOOKUP($A62,'EU Ref Sc 2020 Energy intensive'!$A$5:$AE$33,O$2)</f>
        <v>1.3721250847723443</v>
      </c>
      <c r="P62" s="12">
        <f>O62*VLOOKUP($A62,'EU Ref Sc 2020 Energy intensive'!$A$5:$AE$33,P$2)</f>
        <v>1.3582355140025515</v>
      </c>
      <c r="Q62" s="12">
        <f>P62*VLOOKUP($A62,'EU Ref Sc 2020 Energy intensive'!$A$5:$AE$33,Q$2)</f>
        <v>1.3443459432327587</v>
      </c>
      <c r="R62" s="12">
        <f>Q62*VLOOKUP($A62,'EU Ref Sc 2020 Energy intensive'!$A$5:$AE$33,R$2)</f>
        <v>1.3304563724629659</v>
      </c>
      <c r="S62" s="12">
        <f>R62*VLOOKUP($A62,'EU Ref Sc 2020 Energy intensive'!$A$5:$AE$33,S$2)</f>
        <v>1.3165668016931731</v>
      </c>
      <c r="T62" s="12">
        <f>S62*VLOOKUP($A62,'EU Ref Sc 2020 Energy intensive'!$A$5:$AE$33,T$2)</f>
        <v>1.2773681846625438</v>
      </c>
      <c r="U62" s="12">
        <f>T62*VLOOKUP($A62,'EU Ref Sc 2020 Energy intensive'!$A$5:$AE$33,U$2)</f>
        <v>1.2381695676319144</v>
      </c>
      <c r="V62" s="12">
        <f>U62*VLOOKUP($A62,'EU Ref Sc 2020 Energy intensive'!$A$5:$AE$33,V$2)</f>
        <v>1.1989709506012851</v>
      </c>
      <c r="W62" s="12">
        <f>V62*VLOOKUP($A62,'EU Ref Sc 2020 Energy intensive'!$A$5:$AE$33,W$2)</f>
        <v>1.1597723335706556</v>
      </c>
      <c r="X62" s="12">
        <f>W62*VLOOKUP($A62,'EU Ref Sc 2020 Energy intensive'!$A$5:$AE$33,X$2)</f>
        <v>1.120573716540026</v>
      </c>
      <c r="Y62" s="12">
        <f>X62*VLOOKUP($A62,'EU Ref Sc 2020 Energy intensive'!$A$5:$AE$33,Y$2)</f>
        <v>1.1215095389749041</v>
      </c>
      <c r="Z62" s="12">
        <f>Y62*VLOOKUP($A62,'EU Ref Sc 2020 Energy intensive'!$A$5:$AE$33,Z$2)</f>
        <v>1.1224453614097822</v>
      </c>
      <c r="AA62" s="12">
        <f>Z62*VLOOKUP($A62,'EU Ref Sc 2020 Energy intensive'!$A$5:$AE$33,AA$2)</f>
        <v>1.1233811838446603</v>
      </c>
      <c r="AB62" s="12">
        <f>AA62*VLOOKUP($A62,'EU Ref Sc 2020 Energy intensive'!$A$5:$AE$33,AB$2)</f>
        <v>1.1243170062795385</v>
      </c>
      <c r="AC62" s="12">
        <f>AB62*VLOOKUP($A62,'EU Ref Sc 2020 Energy intensive'!$A$5:$AE$33,AC$2)</f>
        <v>1.1252528287144168</v>
      </c>
      <c r="AD62" s="12">
        <f>AC62*VLOOKUP($A62,'EU Ref Sc 2020 Energy intensive'!$A$5:$AE$33,AD$2)</f>
        <v>1.1313170889656534</v>
      </c>
      <c r="AE62" s="12">
        <f>AD62*VLOOKUP($A62,'EU Ref Sc 2020 Energy intensive'!$A$5:$AE$33,AE$2)</f>
        <v>1.13738134921689</v>
      </c>
      <c r="AF62" s="12">
        <f>AE62*VLOOKUP($A62,'EU Ref Sc 2020 Energy intensive'!$A$5:$AE$33,AF$2)</f>
        <v>1.1434456094681267</v>
      </c>
      <c r="AG62" s="12">
        <f>AF62*VLOOKUP($A62,'EU Ref Sc 2020 Energy intensive'!$A$5:$AE$33,AG$2)</f>
        <v>1.1495098697193633</v>
      </c>
      <c r="AH62" s="12">
        <f>AG62*VLOOKUP($A62,'EU Ref Sc 2020 Energy intensive'!$A$5:$AE$33,AH$2)</f>
        <v>1.1555741299705999</v>
      </c>
      <c r="AI62" s="13">
        <f t="shared" ref="AI62:AR62" si="60">AH62</f>
        <v>1.1555741299705999</v>
      </c>
      <c r="AJ62" s="13">
        <f t="shared" si="60"/>
        <v>1.1555741299705999</v>
      </c>
      <c r="AK62" s="13">
        <f t="shared" si="60"/>
        <v>1.1555741299705999</v>
      </c>
      <c r="AL62" s="13">
        <f t="shared" si="60"/>
        <v>1.1555741299705999</v>
      </c>
      <c r="AM62" s="13">
        <f t="shared" si="60"/>
        <v>1.1555741299705999</v>
      </c>
      <c r="AN62" s="13">
        <f t="shared" si="60"/>
        <v>1.1555741299705999</v>
      </c>
      <c r="AO62" s="13">
        <f t="shared" si="60"/>
        <v>1.1555741299705999</v>
      </c>
      <c r="AP62" s="13">
        <f t="shared" si="60"/>
        <v>1.1555741299705999</v>
      </c>
      <c r="AQ62" s="13">
        <f t="shared" si="60"/>
        <v>1.1555741299705999</v>
      </c>
      <c r="AR62" s="13">
        <f t="shared" si="60"/>
        <v>1.1555741299705999</v>
      </c>
    </row>
    <row r="63" spans="1:44" x14ac:dyDescent="0.3">
      <c r="A63" t="s">
        <v>1420</v>
      </c>
      <c r="B63" t="s">
        <v>1393</v>
      </c>
      <c r="C63" t="s">
        <v>1086</v>
      </c>
      <c r="D63" t="str">
        <f t="shared" si="33"/>
        <v>PLIMEN</v>
      </c>
      <c r="E63" s="2">
        <v>7.8776999999999999</v>
      </c>
      <c r="F63" s="12">
        <f>E63*VLOOKUP($A63,'EU Ref Sc 2020 Energy intensive'!$A$5:$AE$33,F$2)</f>
        <v>7.8881254143401156</v>
      </c>
      <c r="G63" s="12">
        <f>F63*VLOOKUP($A63,'EU Ref Sc 2020 Energy intensive'!$A$5:$AE$33,G$2)</f>
        <v>7.8985508286802313</v>
      </c>
      <c r="H63" s="12">
        <f>G63*VLOOKUP($A63,'EU Ref Sc 2020 Energy intensive'!$A$5:$AE$33,H$2)</f>
        <v>7.908976243020347</v>
      </c>
      <c r="I63" s="12">
        <f>H63*VLOOKUP($A63,'EU Ref Sc 2020 Energy intensive'!$A$5:$AE$33,I$2)</f>
        <v>7.9194016573604618</v>
      </c>
      <c r="J63" s="12">
        <f>I63*VLOOKUP($A63,'EU Ref Sc 2020 Energy intensive'!$A$5:$AE$33,J$2)</f>
        <v>7.93139839421102</v>
      </c>
      <c r="K63" s="12">
        <f>J63*VLOOKUP($A63,'EU Ref Sc 2020 Energy intensive'!$A$5:$AE$33,K$2)</f>
        <v>7.9433951310615782</v>
      </c>
      <c r="L63" s="12">
        <f>K63*VLOOKUP($A63,'EU Ref Sc 2020 Energy intensive'!$A$5:$AE$33,L$2)</f>
        <v>7.9553918679121365</v>
      </c>
      <c r="M63" s="12">
        <f>L63*VLOOKUP($A63,'EU Ref Sc 2020 Energy intensive'!$A$5:$AE$33,M$2)</f>
        <v>7.9673886047626938</v>
      </c>
      <c r="N63" s="12">
        <f>M63*VLOOKUP($A63,'EU Ref Sc 2020 Energy intensive'!$A$5:$AE$33,N$2)</f>
        <v>7.9793853416132556</v>
      </c>
      <c r="O63" s="12">
        <f>N63*VLOOKUP($A63,'EU Ref Sc 2020 Energy intensive'!$A$5:$AE$33,O$2)</f>
        <v>7.8124064709111991</v>
      </c>
      <c r="P63" s="12">
        <f>O63*VLOOKUP($A63,'EU Ref Sc 2020 Energy intensive'!$A$5:$AE$33,P$2)</f>
        <v>7.6454276002091435</v>
      </c>
      <c r="Q63" s="12">
        <f>P63*VLOOKUP($A63,'EU Ref Sc 2020 Energy intensive'!$A$5:$AE$33,Q$2)</f>
        <v>7.4784487295070878</v>
      </c>
      <c r="R63" s="12">
        <f>Q63*VLOOKUP($A63,'EU Ref Sc 2020 Energy intensive'!$A$5:$AE$33,R$2)</f>
        <v>7.3114698588050322</v>
      </c>
      <c r="S63" s="12">
        <f>R63*VLOOKUP($A63,'EU Ref Sc 2020 Energy intensive'!$A$5:$AE$33,S$2)</f>
        <v>7.144490988102973</v>
      </c>
      <c r="T63" s="12">
        <f>S63*VLOOKUP($A63,'EU Ref Sc 2020 Energy intensive'!$A$5:$AE$33,T$2)</f>
        <v>7.1169958776311528</v>
      </c>
      <c r="U63" s="12">
        <f>T63*VLOOKUP($A63,'EU Ref Sc 2020 Energy intensive'!$A$5:$AE$33,U$2)</f>
        <v>7.0895007671593326</v>
      </c>
      <c r="V63" s="12">
        <f>U63*VLOOKUP($A63,'EU Ref Sc 2020 Energy intensive'!$A$5:$AE$33,V$2)</f>
        <v>7.0620056566875125</v>
      </c>
      <c r="W63" s="12">
        <f>V63*VLOOKUP($A63,'EU Ref Sc 2020 Energy intensive'!$A$5:$AE$33,W$2)</f>
        <v>7.0345105462156923</v>
      </c>
      <c r="X63" s="12">
        <f>W63*VLOOKUP($A63,'EU Ref Sc 2020 Energy intensive'!$A$5:$AE$33,X$2)</f>
        <v>7.0070154357438712</v>
      </c>
      <c r="Y63" s="12">
        <f>X63*VLOOKUP($A63,'EU Ref Sc 2020 Energy intensive'!$A$5:$AE$33,Y$2)</f>
        <v>6.9989817457550183</v>
      </c>
      <c r="Z63" s="12">
        <f>Y63*VLOOKUP($A63,'EU Ref Sc 2020 Energy intensive'!$A$5:$AE$33,Z$2)</f>
        <v>6.9909480557661663</v>
      </c>
      <c r="AA63" s="12">
        <f>Z63*VLOOKUP($A63,'EU Ref Sc 2020 Energy intensive'!$A$5:$AE$33,AA$2)</f>
        <v>6.9829143657773134</v>
      </c>
      <c r="AB63" s="12">
        <f>AA63*VLOOKUP($A63,'EU Ref Sc 2020 Energy intensive'!$A$5:$AE$33,AB$2)</f>
        <v>6.9748806757884605</v>
      </c>
      <c r="AC63" s="12">
        <f>AB63*VLOOKUP($A63,'EU Ref Sc 2020 Energy intensive'!$A$5:$AE$33,AC$2)</f>
        <v>6.9668469857996076</v>
      </c>
      <c r="AD63" s="12">
        <f>AC63*VLOOKUP($A63,'EU Ref Sc 2020 Energy intensive'!$A$5:$AE$33,AD$2)</f>
        <v>6.9500615480414432</v>
      </c>
      <c r="AE63" s="12">
        <f>AD63*VLOOKUP($A63,'EU Ref Sc 2020 Energy intensive'!$A$5:$AE$33,AE$2)</f>
        <v>6.9332761102832778</v>
      </c>
      <c r="AF63" s="12">
        <f>AE63*VLOOKUP($A63,'EU Ref Sc 2020 Energy intensive'!$A$5:$AE$33,AF$2)</f>
        <v>6.9164906725251125</v>
      </c>
      <c r="AG63" s="12">
        <f>AF63*VLOOKUP($A63,'EU Ref Sc 2020 Energy intensive'!$A$5:$AE$33,AG$2)</f>
        <v>6.8997052347669481</v>
      </c>
      <c r="AH63" s="12">
        <f>AG63*VLOOKUP($A63,'EU Ref Sc 2020 Energy intensive'!$A$5:$AE$33,AH$2)</f>
        <v>6.882919797008781</v>
      </c>
      <c r="AI63" s="13">
        <f t="shared" ref="AI63:AR63" si="61">AH63</f>
        <v>6.882919797008781</v>
      </c>
      <c r="AJ63" s="13">
        <f t="shared" si="61"/>
        <v>6.882919797008781</v>
      </c>
      <c r="AK63" s="13">
        <f t="shared" si="61"/>
        <v>6.882919797008781</v>
      </c>
      <c r="AL63" s="13">
        <f t="shared" si="61"/>
        <v>6.882919797008781</v>
      </c>
      <c r="AM63" s="13">
        <f t="shared" si="61"/>
        <v>6.882919797008781</v>
      </c>
      <c r="AN63" s="13">
        <f t="shared" si="61"/>
        <v>6.882919797008781</v>
      </c>
      <c r="AO63" s="13">
        <f t="shared" si="61"/>
        <v>6.882919797008781</v>
      </c>
      <c r="AP63" s="13">
        <f t="shared" si="61"/>
        <v>6.882919797008781</v>
      </c>
      <c r="AQ63" s="13">
        <f t="shared" si="61"/>
        <v>6.882919797008781</v>
      </c>
      <c r="AR63" s="13">
        <f t="shared" si="61"/>
        <v>6.882919797008781</v>
      </c>
    </row>
    <row r="64" spans="1:44" x14ac:dyDescent="0.3">
      <c r="A64" t="s">
        <v>1421</v>
      </c>
      <c r="B64" t="s">
        <v>1393</v>
      </c>
      <c r="C64" t="s">
        <v>1141</v>
      </c>
      <c r="D64" t="str">
        <f t="shared" si="33"/>
        <v>PTIMEN</v>
      </c>
      <c r="E64" s="2">
        <v>2.2587000000000002</v>
      </c>
      <c r="F64" s="12">
        <f>E64*VLOOKUP($A64,'EU Ref Sc 2020 Energy intensive'!$A$5:$AE$33,F$2)</f>
        <v>2.2584775019945682</v>
      </c>
      <c r="G64" s="12">
        <f>F64*VLOOKUP($A64,'EU Ref Sc 2020 Energy intensive'!$A$5:$AE$33,G$2)</f>
        <v>2.2582550039891363</v>
      </c>
      <c r="H64" s="12">
        <f>G64*VLOOKUP($A64,'EU Ref Sc 2020 Energy intensive'!$A$5:$AE$33,H$2)</f>
        <v>2.2580325059837043</v>
      </c>
      <c r="I64" s="12">
        <f>H64*VLOOKUP($A64,'EU Ref Sc 2020 Energy intensive'!$A$5:$AE$33,I$2)</f>
        <v>2.2578100079782724</v>
      </c>
      <c r="J64" s="12">
        <f>I64*VLOOKUP($A64,'EU Ref Sc 2020 Energy intensive'!$A$5:$AE$33,J$2)</f>
        <v>2.2396619086948251</v>
      </c>
      <c r="K64" s="12">
        <f>J64*VLOOKUP($A64,'EU Ref Sc 2020 Energy intensive'!$A$5:$AE$33,K$2)</f>
        <v>2.2215138094113778</v>
      </c>
      <c r="L64" s="12">
        <f>K64*VLOOKUP($A64,'EU Ref Sc 2020 Energy intensive'!$A$5:$AE$33,L$2)</f>
        <v>2.2033657101279305</v>
      </c>
      <c r="M64" s="12">
        <f>L64*VLOOKUP($A64,'EU Ref Sc 2020 Energy intensive'!$A$5:$AE$33,M$2)</f>
        <v>2.1852176108444836</v>
      </c>
      <c r="N64" s="12">
        <f>M64*VLOOKUP($A64,'EU Ref Sc 2020 Energy intensive'!$A$5:$AE$33,N$2)</f>
        <v>2.1670695115610372</v>
      </c>
      <c r="O64" s="12">
        <f>N64*VLOOKUP($A64,'EU Ref Sc 2020 Energy intensive'!$A$5:$AE$33,O$2)</f>
        <v>2.1374356590348444</v>
      </c>
      <c r="P64" s="12">
        <f>O64*VLOOKUP($A64,'EU Ref Sc 2020 Energy intensive'!$A$5:$AE$33,P$2)</f>
        <v>2.1078018065086517</v>
      </c>
      <c r="Q64" s="12">
        <f>P64*VLOOKUP($A64,'EU Ref Sc 2020 Energy intensive'!$A$5:$AE$33,Q$2)</f>
        <v>2.0781679539824589</v>
      </c>
      <c r="R64" s="12">
        <f>Q64*VLOOKUP($A64,'EU Ref Sc 2020 Energy intensive'!$A$5:$AE$33,R$2)</f>
        <v>2.0485341014562661</v>
      </c>
      <c r="S64" s="12">
        <f>R64*VLOOKUP($A64,'EU Ref Sc 2020 Energy intensive'!$A$5:$AE$33,S$2)</f>
        <v>2.0189002489300734</v>
      </c>
      <c r="T64" s="12">
        <f>S64*VLOOKUP($A64,'EU Ref Sc 2020 Energy intensive'!$A$5:$AE$33,T$2)</f>
        <v>1.9788433731523327</v>
      </c>
      <c r="U64" s="12">
        <f>T64*VLOOKUP($A64,'EU Ref Sc 2020 Energy intensive'!$A$5:$AE$33,U$2)</f>
        <v>1.9387864973745919</v>
      </c>
      <c r="V64" s="12">
        <f>U64*VLOOKUP($A64,'EU Ref Sc 2020 Energy intensive'!$A$5:$AE$33,V$2)</f>
        <v>1.898729621596851</v>
      </c>
      <c r="W64" s="12">
        <f>V64*VLOOKUP($A64,'EU Ref Sc 2020 Energy intensive'!$A$5:$AE$33,W$2)</f>
        <v>1.8586727458191101</v>
      </c>
      <c r="X64" s="12">
        <f>W64*VLOOKUP($A64,'EU Ref Sc 2020 Energy intensive'!$A$5:$AE$33,X$2)</f>
        <v>1.8186158700413697</v>
      </c>
      <c r="Y64" s="12">
        <f>X64*VLOOKUP($A64,'EU Ref Sc 2020 Energy intensive'!$A$5:$AE$33,Y$2)</f>
        <v>1.7983254616406543</v>
      </c>
      <c r="Z64" s="12">
        <f>Y64*VLOOKUP($A64,'EU Ref Sc 2020 Energy intensive'!$A$5:$AE$33,Z$2)</f>
        <v>1.7780350532399389</v>
      </c>
      <c r="AA64" s="12">
        <f>Z64*VLOOKUP($A64,'EU Ref Sc 2020 Energy intensive'!$A$5:$AE$33,AA$2)</f>
        <v>1.7577446448392235</v>
      </c>
      <c r="AB64" s="12">
        <f>AA64*VLOOKUP($A64,'EU Ref Sc 2020 Energy intensive'!$A$5:$AE$33,AB$2)</f>
        <v>1.7374542364385082</v>
      </c>
      <c r="AC64" s="12">
        <f>AB64*VLOOKUP($A64,'EU Ref Sc 2020 Energy intensive'!$A$5:$AE$33,AC$2)</f>
        <v>1.7171638280377923</v>
      </c>
      <c r="AD64" s="12">
        <f>AC64*VLOOKUP($A64,'EU Ref Sc 2020 Energy intensive'!$A$5:$AE$33,AD$2)</f>
        <v>1.7004310390326265</v>
      </c>
      <c r="AE64" s="12">
        <f>AD64*VLOOKUP($A64,'EU Ref Sc 2020 Energy intensive'!$A$5:$AE$33,AE$2)</f>
        <v>1.6836982500274604</v>
      </c>
      <c r="AF64" s="12">
        <f>AE64*VLOOKUP($A64,'EU Ref Sc 2020 Energy intensive'!$A$5:$AE$33,AF$2)</f>
        <v>1.6669654610222944</v>
      </c>
      <c r="AG64" s="12">
        <f>AF64*VLOOKUP($A64,'EU Ref Sc 2020 Energy intensive'!$A$5:$AE$33,AG$2)</f>
        <v>1.6502326720171283</v>
      </c>
      <c r="AH64" s="12">
        <f>AG64*VLOOKUP($A64,'EU Ref Sc 2020 Energy intensive'!$A$5:$AE$33,AH$2)</f>
        <v>1.6334998830119629</v>
      </c>
      <c r="AI64" s="13">
        <f t="shared" ref="AI64:AR64" si="62">AH64</f>
        <v>1.6334998830119629</v>
      </c>
      <c r="AJ64" s="13">
        <f t="shared" si="62"/>
        <v>1.6334998830119629</v>
      </c>
      <c r="AK64" s="13">
        <f t="shared" si="62"/>
        <v>1.6334998830119629</v>
      </c>
      <c r="AL64" s="13">
        <f t="shared" si="62"/>
        <v>1.6334998830119629</v>
      </c>
      <c r="AM64" s="13">
        <f t="shared" si="62"/>
        <v>1.6334998830119629</v>
      </c>
      <c r="AN64" s="13">
        <f t="shared" si="62"/>
        <v>1.6334998830119629</v>
      </c>
      <c r="AO64" s="13">
        <f t="shared" si="62"/>
        <v>1.6334998830119629</v>
      </c>
      <c r="AP64" s="13">
        <f t="shared" si="62"/>
        <v>1.6334998830119629</v>
      </c>
      <c r="AQ64" s="13">
        <f t="shared" si="62"/>
        <v>1.6334998830119629</v>
      </c>
      <c r="AR64" s="13">
        <f t="shared" si="62"/>
        <v>1.6334998830119629</v>
      </c>
    </row>
    <row r="65" spans="1:44" x14ac:dyDescent="0.3">
      <c r="A65" t="s">
        <v>1422</v>
      </c>
      <c r="B65" t="s">
        <v>1393</v>
      </c>
      <c r="C65" t="s">
        <v>1196</v>
      </c>
      <c r="D65" t="str">
        <f t="shared" si="33"/>
        <v>ROIMEN</v>
      </c>
      <c r="E65" s="2">
        <v>3.8645</v>
      </c>
      <c r="F65" s="12">
        <f>E65*VLOOKUP($A65,'EU Ref Sc 2020 Energy intensive'!$A$5:$AE$33,F$2)</f>
        <v>3.955739906067294</v>
      </c>
      <c r="G65" s="12">
        <f>F65*VLOOKUP($A65,'EU Ref Sc 2020 Energy intensive'!$A$5:$AE$33,G$2)</f>
        <v>4.0469798121345875</v>
      </c>
      <c r="H65" s="12">
        <f>G65*VLOOKUP($A65,'EU Ref Sc 2020 Energy intensive'!$A$5:$AE$33,H$2)</f>
        <v>4.1382197182018823</v>
      </c>
      <c r="I65" s="12">
        <f>H65*VLOOKUP($A65,'EU Ref Sc 2020 Energy intensive'!$A$5:$AE$33,I$2)</f>
        <v>4.2294596242691762</v>
      </c>
      <c r="J65" s="12">
        <f>I65*VLOOKUP($A65,'EU Ref Sc 2020 Energy intensive'!$A$5:$AE$33,J$2)</f>
        <v>4.2194590045321405</v>
      </c>
      <c r="K65" s="12">
        <f>J65*VLOOKUP($A65,'EU Ref Sc 2020 Energy intensive'!$A$5:$AE$33,K$2)</f>
        <v>4.2094583847951057</v>
      </c>
      <c r="L65" s="12">
        <f>K65*VLOOKUP($A65,'EU Ref Sc 2020 Energy intensive'!$A$5:$AE$33,L$2)</f>
        <v>4.1994577650580709</v>
      </c>
      <c r="M65" s="12">
        <f>L65*VLOOKUP($A65,'EU Ref Sc 2020 Energy intensive'!$A$5:$AE$33,M$2)</f>
        <v>4.1894571453210352</v>
      </c>
      <c r="N65" s="12">
        <f>M65*VLOOKUP($A65,'EU Ref Sc 2020 Energy intensive'!$A$5:$AE$33,N$2)</f>
        <v>4.1794565255839986</v>
      </c>
      <c r="O65" s="12">
        <f>N65*VLOOKUP($A65,'EU Ref Sc 2020 Energy intensive'!$A$5:$AE$33,O$2)</f>
        <v>4.1422321158215158</v>
      </c>
      <c r="P65" s="12">
        <f>O65*VLOOKUP($A65,'EU Ref Sc 2020 Energy intensive'!$A$5:$AE$33,P$2)</f>
        <v>4.1050077060590331</v>
      </c>
      <c r="Q65" s="12">
        <f>P65*VLOOKUP($A65,'EU Ref Sc 2020 Energy intensive'!$A$5:$AE$33,Q$2)</f>
        <v>4.0677832962965503</v>
      </c>
      <c r="R65" s="12">
        <f>Q65*VLOOKUP($A65,'EU Ref Sc 2020 Energy intensive'!$A$5:$AE$33,R$2)</f>
        <v>4.0305588865340685</v>
      </c>
      <c r="S65" s="12">
        <f>R65*VLOOKUP($A65,'EU Ref Sc 2020 Energy intensive'!$A$5:$AE$33,S$2)</f>
        <v>3.9933344767715866</v>
      </c>
      <c r="T65" s="12">
        <f>S65*VLOOKUP($A65,'EU Ref Sc 2020 Energy intensive'!$A$5:$AE$33,T$2)</f>
        <v>3.9410389216322774</v>
      </c>
      <c r="U65" s="12">
        <f>T65*VLOOKUP($A65,'EU Ref Sc 2020 Energy intensive'!$A$5:$AE$33,U$2)</f>
        <v>3.8887433664929683</v>
      </c>
      <c r="V65" s="12">
        <f>U65*VLOOKUP($A65,'EU Ref Sc 2020 Energy intensive'!$A$5:$AE$33,V$2)</f>
        <v>3.8364478113536595</v>
      </c>
      <c r="W65" s="12">
        <f>V65*VLOOKUP($A65,'EU Ref Sc 2020 Energy intensive'!$A$5:$AE$33,W$2)</f>
        <v>3.7841522562143504</v>
      </c>
      <c r="X65" s="12">
        <f>W65*VLOOKUP($A65,'EU Ref Sc 2020 Energy intensive'!$A$5:$AE$33,X$2)</f>
        <v>3.7318567010750412</v>
      </c>
      <c r="Y65" s="12">
        <f>X65*VLOOKUP($A65,'EU Ref Sc 2020 Energy intensive'!$A$5:$AE$33,Y$2)</f>
        <v>3.6948806570059838</v>
      </c>
      <c r="Z65" s="12">
        <f>Y65*VLOOKUP($A65,'EU Ref Sc 2020 Energy intensive'!$A$5:$AE$33,Z$2)</f>
        <v>3.6579046129369264</v>
      </c>
      <c r="AA65" s="12">
        <f>Z65*VLOOKUP($A65,'EU Ref Sc 2020 Energy intensive'!$A$5:$AE$33,AA$2)</f>
        <v>3.620928568867869</v>
      </c>
      <c r="AB65" s="12">
        <f>AA65*VLOOKUP($A65,'EU Ref Sc 2020 Energy intensive'!$A$5:$AE$33,AB$2)</f>
        <v>3.5839525247988115</v>
      </c>
      <c r="AC65" s="12">
        <f>AB65*VLOOKUP($A65,'EU Ref Sc 2020 Energy intensive'!$A$5:$AE$33,AC$2)</f>
        <v>3.546976480729755</v>
      </c>
      <c r="AD65" s="12">
        <f>AC65*VLOOKUP($A65,'EU Ref Sc 2020 Energy intensive'!$A$5:$AE$33,AD$2)</f>
        <v>3.5274352836159921</v>
      </c>
      <c r="AE65" s="12">
        <f>AD65*VLOOKUP($A65,'EU Ref Sc 2020 Energy intensive'!$A$5:$AE$33,AE$2)</f>
        <v>3.5078940865022292</v>
      </c>
      <c r="AF65" s="12">
        <f>AE65*VLOOKUP($A65,'EU Ref Sc 2020 Energy intensive'!$A$5:$AE$33,AF$2)</f>
        <v>3.4883528893884663</v>
      </c>
      <c r="AG65" s="12">
        <f>AF65*VLOOKUP($A65,'EU Ref Sc 2020 Energy intensive'!$A$5:$AE$33,AG$2)</f>
        <v>3.4688116922747034</v>
      </c>
      <c r="AH65" s="12">
        <f>AG65*VLOOKUP($A65,'EU Ref Sc 2020 Energy intensive'!$A$5:$AE$33,AH$2)</f>
        <v>3.449270495160941</v>
      </c>
      <c r="AI65" s="13">
        <f t="shared" ref="AI65:AR65" si="63">AH65</f>
        <v>3.449270495160941</v>
      </c>
      <c r="AJ65" s="13">
        <f t="shared" si="63"/>
        <v>3.449270495160941</v>
      </c>
      <c r="AK65" s="13">
        <f t="shared" si="63"/>
        <v>3.449270495160941</v>
      </c>
      <c r="AL65" s="13">
        <f t="shared" si="63"/>
        <v>3.449270495160941</v>
      </c>
      <c r="AM65" s="13">
        <f t="shared" si="63"/>
        <v>3.449270495160941</v>
      </c>
      <c r="AN65" s="13">
        <f t="shared" si="63"/>
        <v>3.449270495160941</v>
      </c>
      <c r="AO65" s="13">
        <f t="shared" si="63"/>
        <v>3.449270495160941</v>
      </c>
      <c r="AP65" s="13">
        <f t="shared" si="63"/>
        <v>3.449270495160941</v>
      </c>
      <c r="AQ65" s="13">
        <f t="shared" si="63"/>
        <v>3.449270495160941</v>
      </c>
      <c r="AR65" s="13">
        <f t="shared" si="63"/>
        <v>3.449270495160941</v>
      </c>
    </row>
    <row r="66" spans="1:44" x14ac:dyDescent="0.3">
      <c r="A66" t="s">
        <v>1424</v>
      </c>
      <c r="B66" t="s">
        <v>1393</v>
      </c>
      <c r="C66" t="s">
        <v>1306</v>
      </c>
      <c r="D66" t="str">
        <f t="shared" si="33"/>
        <v>SIIMEN</v>
      </c>
      <c r="E66" s="2">
        <v>0.45879999999999999</v>
      </c>
      <c r="F66" s="12">
        <f>E66*VLOOKUP($A66,'EU Ref Sc 2020 Energy intensive'!$A$5:$AE$33,F$2)</f>
        <v>0.4670311931573512</v>
      </c>
      <c r="G66" s="12">
        <f>F66*VLOOKUP($A66,'EU Ref Sc 2020 Energy intensive'!$A$5:$AE$33,G$2)</f>
        <v>0.47526238631470241</v>
      </c>
      <c r="H66" s="12">
        <f>G66*VLOOKUP($A66,'EU Ref Sc 2020 Energy intensive'!$A$5:$AE$33,H$2)</f>
        <v>0.48349357947205357</v>
      </c>
      <c r="I66" s="12">
        <f>H66*VLOOKUP($A66,'EU Ref Sc 2020 Energy intensive'!$A$5:$AE$33,I$2)</f>
        <v>0.49172477262940489</v>
      </c>
      <c r="J66" s="12">
        <f>I66*VLOOKUP($A66,'EU Ref Sc 2020 Energy intensive'!$A$5:$AE$33,J$2)</f>
        <v>0.50067645521280657</v>
      </c>
      <c r="K66" s="12">
        <f>J66*VLOOKUP($A66,'EU Ref Sc 2020 Energy intensive'!$A$5:$AE$33,K$2)</f>
        <v>0.5096281377962083</v>
      </c>
      <c r="L66" s="12">
        <f>K66*VLOOKUP($A66,'EU Ref Sc 2020 Energy intensive'!$A$5:$AE$33,L$2)</f>
        <v>0.51857982037961003</v>
      </c>
      <c r="M66" s="12">
        <f>L66*VLOOKUP($A66,'EU Ref Sc 2020 Energy intensive'!$A$5:$AE$33,M$2)</f>
        <v>0.52753150296301177</v>
      </c>
      <c r="N66" s="12">
        <f>M66*VLOOKUP($A66,'EU Ref Sc 2020 Energy intensive'!$A$5:$AE$33,N$2)</f>
        <v>0.5364831855464135</v>
      </c>
      <c r="O66" s="12">
        <f>N66*VLOOKUP($A66,'EU Ref Sc 2020 Energy intensive'!$A$5:$AE$33,O$2)</f>
        <v>0.52885670308340227</v>
      </c>
      <c r="P66" s="12">
        <f>O66*VLOOKUP($A66,'EU Ref Sc 2020 Energy intensive'!$A$5:$AE$33,P$2)</f>
        <v>0.52123022062039104</v>
      </c>
      <c r="Q66" s="12">
        <f>P66*VLOOKUP($A66,'EU Ref Sc 2020 Energy intensive'!$A$5:$AE$33,Q$2)</f>
        <v>0.51360373815737992</v>
      </c>
      <c r="R66" s="12">
        <f>Q66*VLOOKUP($A66,'EU Ref Sc 2020 Energy intensive'!$A$5:$AE$33,R$2)</f>
        <v>0.5059772556943688</v>
      </c>
      <c r="S66" s="12">
        <f>R66*VLOOKUP($A66,'EU Ref Sc 2020 Energy intensive'!$A$5:$AE$33,S$2)</f>
        <v>0.49835077323135757</v>
      </c>
      <c r="T66" s="12">
        <f>S66*VLOOKUP($A66,'EU Ref Sc 2020 Energy intensive'!$A$5:$AE$33,T$2)</f>
        <v>0.49984464629567632</v>
      </c>
      <c r="U66" s="12">
        <f>T66*VLOOKUP($A66,'EU Ref Sc 2020 Energy intensive'!$A$5:$AE$33,U$2)</f>
        <v>0.50133851935999507</v>
      </c>
      <c r="V66" s="12">
        <f>U66*VLOOKUP($A66,'EU Ref Sc 2020 Energy intensive'!$A$5:$AE$33,V$2)</f>
        <v>0.50283239242431388</v>
      </c>
      <c r="W66" s="12">
        <f>V66*VLOOKUP($A66,'EU Ref Sc 2020 Energy intensive'!$A$5:$AE$33,W$2)</f>
        <v>0.50432626548863269</v>
      </c>
      <c r="X66" s="12">
        <f>W66*VLOOKUP($A66,'EU Ref Sc 2020 Energy intensive'!$A$5:$AE$33,X$2)</f>
        <v>0.50582013855295149</v>
      </c>
      <c r="Y66" s="12">
        <f>X66*VLOOKUP($A66,'EU Ref Sc 2020 Energy intensive'!$A$5:$AE$33,Y$2)</f>
        <v>0.50468385118860781</v>
      </c>
      <c r="Z66" s="12">
        <f>Y66*VLOOKUP($A66,'EU Ref Sc 2020 Energy intensive'!$A$5:$AE$33,Z$2)</f>
        <v>0.50354756382426413</v>
      </c>
      <c r="AA66" s="12">
        <f>Z66*VLOOKUP($A66,'EU Ref Sc 2020 Energy intensive'!$A$5:$AE$33,AA$2)</f>
        <v>0.50241127645992045</v>
      </c>
      <c r="AB66" s="12">
        <f>AA66*VLOOKUP($A66,'EU Ref Sc 2020 Energy intensive'!$A$5:$AE$33,AB$2)</f>
        <v>0.50127498909557677</v>
      </c>
      <c r="AC66" s="12">
        <f>AB66*VLOOKUP($A66,'EU Ref Sc 2020 Energy intensive'!$A$5:$AE$33,AC$2)</f>
        <v>0.50013870173123298</v>
      </c>
      <c r="AD66" s="12">
        <f>AC66*VLOOKUP($A66,'EU Ref Sc 2020 Energy intensive'!$A$5:$AE$33,AD$2)</f>
        <v>0.49901023916123943</v>
      </c>
      <c r="AE66" s="12">
        <f>AD66*VLOOKUP($A66,'EU Ref Sc 2020 Energy intensive'!$A$5:$AE$33,AE$2)</f>
        <v>0.49788177659124588</v>
      </c>
      <c r="AF66" s="12">
        <f>AE66*VLOOKUP($A66,'EU Ref Sc 2020 Energy intensive'!$A$5:$AE$33,AF$2)</f>
        <v>0.49675331402125233</v>
      </c>
      <c r="AG66" s="12">
        <f>AF66*VLOOKUP($A66,'EU Ref Sc 2020 Energy intensive'!$A$5:$AE$33,AG$2)</f>
        <v>0.49562485145125879</v>
      </c>
      <c r="AH66" s="12">
        <f>AG66*VLOOKUP($A66,'EU Ref Sc 2020 Energy intensive'!$A$5:$AE$33,AH$2)</f>
        <v>0.49449638888126535</v>
      </c>
      <c r="AI66" s="13">
        <f t="shared" ref="AI66:AR66" si="64">AH66</f>
        <v>0.49449638888126535</v>
      </c>
      <c r="AJ66" s="13">
        <f t="shared" si="64"/>
        <v>0.49449638888126535</v>
      </c>
      <c r="AK66" s="13">
        <f t="shared" si="64"/>
        <v>0.49449638888126535</v>
      </c>
      <c r="AL66" s="13">
        <f t="shared" si="64"/>
        <v>0.49449638888126535</v>
      </c>
      <c r="AM66" s="13">
        <f t="shared" si="64"/>
        <v>0.49449638888126535</v>
      </c>
      <c r="AN66" s="13">
        <f t="shared" si="64"/>
        <v>0.49449638888126535</v>
      </c>
      <c r="AO66" s="13">
        <f t="shared" si="64"/>
        <v>0.49449638888126535</v>
      </c>
      <c r="AP66" s="13">
        <f t="shared" si="64"/>
        <v>0.49449638888126535</v>
      </c>
      <c r="AQ66" s="13">
        <f t="shared" si="64"/>
        <v>0.49449638888126535</v>
      </c>
      <c r="AR66" s="13">
        <f t="shared" si="64"/>
        <v>0.49449638888126535</v>
      </c>
    </row>
    <row r="67" spans="1:44" x14ac:dyDescent="0.3">
      <c r="A67" t="s">
        <v>1425</v>
      </c>
      <c r="B67" t="s">
        <v>1393</v>
      </c>
      <c r="C67" t="s">
        <v>1361</v>
      </c>
      <c r="D67" t="str">
        <f t="shared" si="33"/>
        <v>SKIMEN</v>
      </c>
      <c r="E67" s="2">
        <v>1.3362000000000001</v>
      </c>
      <c r="F67" s="12">
        <f>E67*VLOOKUP($A67,'EU Ref Sc 2020 Energy intensive'!$A$5:$AE$33,F$2)</f>
        <v>1.3413216748423804</v>
      </c>
      <c r="G67" s="12">
        <f>F67*VLOOKUP($A67,'EU Ref Sc 2020 Energy intensive'!$A$5:$AE$33,G$2)</f>
        <v>1.3464433496847608</v>
      </c>
      <c r="H67" s="12">
        <f>G67*VLOOKUP($A67,'EU Ref Sc 2020 Energy intensive'!$A$5:$AE$33,H$2)</f>
        <v>1.3515650245271411</v>
      </c>
      <c r="I67" s="12">
        <f>H67*VLOOKUP($A67,'EU Ref Sc 2020 Energy intensive'!$A$5:$AE$33,I$2)</f>
        <v>1.3566866993695215</v>
      </c>
      <c r="J67" s="12">
        <f>I67*VLOOKUP($A67,'EU Ref Sc 2020 Energy intensive'!$A$5:$AE$33,J$2)</f>
        <v>1.3424879704421167</v>
      </c>
      <c r="K67" s="12">
        <f>J67*VLOOKUP($A67,'EU Ref Sc 2020 Energy intensive'!$A$5:$AE$33,K$2)</f>
        <v>1.3282892415147118</v>
      </c>
      <c r="L67" s="12">
        <f>K67*VLOOKUP($A67,'EU Ref Sc 2020 Energy intensive'!$A$5:$AE$33,L$2)</f>
        <v>1.314090512587307</v>
      </c>
      <c r="M67" s="12">
        <f>L67*VLOOKUP($A67,'EU Ref Sc 2020 Energy intensive'!$A$5:$AE$33,M$2)</f>
        <v>1.2998917836599022</v>
      </c>
      <c r="N67" s="12">
        <f>M67*VLOOKUP($A67,'EU Ref Sc 2020 Energy intensive'!$A$5:$AE$33,N$2)</f>
        <v>1.2856930547324976</v>
      </c>
      <c r="O67" s="12">
        <f>N67*VLOOKUP($A67,'EU Ref Sc 2020 Energy intensive'!$A$5:$AE$33,O$2)</f>
        <v>1.2769833563422548</v>
      </c>
      <c r="P67" s="12">
        <f>O67*VLOOKUP($A67,'EU Ref Sc 2020 Energy intensive'!$A$5:$AE$33,P$2)</f>
        <v>1.268273657952012</v>
      </c>
      <c r="Q67" s="12">
        <f>P67*VLOOKUP($A67,'EU Ref Sc 2020 Energy intensive'!$A$5:$AE$33,Q$2)</f>
        <v>1.2595639595617689</v>
      </c>
      <c r="R67" s="12">
        <f>Q67*VLOOKUP($A67,'EU Ref Sc 2020 Energy intensive'!$A$5:$AE$33,R$2)</f>
        <v>1.2508542611715259</v>
      </c>
      <c r="S67" s="12">
        <f>R67*VLOOKUP($A67,'EU Ref Sc 2020 Energy intensive'!$A$5:$AE$33,S$2)</f>
        <v>1.2421445627812824</v>
      </c>
      <c r="T67" s="12">
        <f>S67*VLOOKUP($A67,'EU Ref Sc 2020 Energy intensive'!$A$5:$AE$33,T$2)</f>
        <v>1.2198379876353711</v>
      </c>
      <c r="U67" s="12">
        <f>T67*VLOOKUP($A67,'EU Ref Sc 2020 Energy intensive'!$A$5:$AE$33,U$2)</f>
        <v>1.1975314124894598</v>
      </c>
      <c r="V67" s="12">
        <f>U67*VLOOKUP($A67,'EU Ref Sc 2020 Energy intensive'!$A$5:$AE$33,V$2)</f>
        <v>1.1752248373435485</v>
      </c>
      <c r="W67" s="12">
        <f>V67*VLOOKUP($A67,'EU Ref Sc 2020 Energy intensive'!$A$5:$AE$33,W$2)</f>
        <v>1.1529182621976373</v>
      </c>
      <c r="X67" s="12">
        <f>W67*VLOOKUP($A67,'EU Ref Sc 2020 Energy intensive'!$A$5:$AE$33,X$2)</f>
        <v>1.1306116870517255</v>
      </c>
      <c r="Y67" s="12">
        <f>X67*VLOOKUP($A67,'EU Ref Sc 2020 Energy intensive'!$A$5:$AE$33,Y$2)</f>
        <v>1.1134391922569307</v>
      </c>
      <c r="Z67" s="12">
        <f>Y67*VLOOKUP($A67,'EU Ref Sc 2020 Energy intensive'!$A$5:$AE$33,Z$2)</f>
        <v>1.0962666974621356</v>
      </c>
      <c r="AA67" s="12">
        <f>Z67*VLOOKUP($A67,'EU Ref Sc 2020 Energy intensive'!$A$5:$AE$33,AA$2)</f>
        <v>1.0790942026673405</v>
      </c>
      <c r="AB67" s="12">
        <f>AA67*VLOOKUP($A67,'EU Ref Sc 2020 Energy intensive'!$A$5:$AE$33,AB$2)</f>
        <v>1.0619217078725456</v>
      </c>
      <c r="AC67" s="12">
        <f>AB67*VLOOKUP($A67,'EU Ref Sc 2020 Energy intensive'!$A$5:$AE$33,AC$2)</f>
        <v>1.0447492130777507</v>
      </c>
      <c r="AD67" s="12">
        <f>AC67*VLOOKUP($A67,'EU Ref Sc 2020 Energy intensive'!$A$5:$AE$33,AD$2)</f>
        <v>1.0278940137831762</v>
      </c>
      <c r="AE67" s="12">
        <f>AD67*VLOOKUP($A67,'EU Ref Sc 2020 Energy intensive'!$A$5:$AE$33,AE$2)</f>
        <v>1.0110388144886018</v>
      </c>
      <c r="AF67" s="12">
        <f>AE67*VLOOKUP($A67,'EU Ref Sc 2020 Energy intensive'!$A$5:$AE$33,AF$2)</f>
        <v>0.99418361519402731</v>
      </c>
      <c r="AG67" s="12">
        <f>AF67*VLOOKUP($A67,'EU Ref Sc 2020 Energy intensive'!$A$5:$AE$33,AG$2)</f>
        <v>0.97732841589945285</v>
      </c>
      <c r="AH67" s="12">
        <f>AG67*VLOOKUP($A67,'EU Ref Sc 2020 Energy intensive'!$A$5:$AE$33,AH$2)</f>
        <v>0.96047321660487817</v>
      </c>
      <c r="AI67" s="13">
        <f t="shared" ref="AI67:AR67" si="65">AH67</f>
        <v>0.96047321660487817</v>
      </c>
      <c r="AJ67" s="13">
        <f t="shared" si="65"/>
        <v>0.96047321660487817</v>
      </c>
      <c r="AK67" s="13">
        <f t="shared" si="65"/>
        <v>0.96047321660487817</v>
      </c>
      <c r="AL67" s="13">
        <f t="shared" si="65"/>
        <v>0.96047321660487817</v>
      </c>
      <c r="AM67" s="13">
        <f t="shared" si="65"/>
        <v>0.96047321660487817</v>
      </c>
      <c r="AN67" s="13">
        <f t="shared" si="65"/>
        <v>0.96047321660487817</v>
      </c>
      <c r="AO67" s="13">
        <f t="shared" si="65"/>
        <v>0.96047321660487817</v>
      </c>
      <c r="AP67" s="13">
        <f t="shared" si="65"/>
        <v>0.96047321660487817</v>
      </c>
      <c r="AQ67" s="13">
        <f t="shared" si="65"/>
        <v>0.96047321660487817</v>
      </c>
      <c r="AR67" s="13">
        <f t="shared" si="65"/>
        <v>0.96047321660487817</v>
      </c>
    </row>
    <row r="68" spans="1:44" x14ac:dyDescent="0.3">
      <c r="A68" t="s">
        <v>1398</v>
      </c>
      <c r="B68" t="s">
        <v>1399</v>
      </c>
      <c r="C68" t="s">
        <v>118</v>
      </c>
      <c r="D68" t="str">
        <f t="shared" ref="D68:D99" si="66">A68&amp;"IME"&amp;B68</f>
        <v>BGIMEM</v>
      </c>
      <c r="E68" s="2">
        <v>0.1067</v>
      </c>
      <c r="F68" s="12">
        <f>E68*VLOOKUP($A68,'EU Ref Sc 2020 Energy intensive'!$A$5:$AE$33,F$2)</f>
        <v>0.10819940575181729</v>
      </c>
      <c r="G68" s="12">
        <f>F68*VLOOKUP($A68,'EU Ref Sc 2020 Energy intensive'!$A$5:$AE$33,G$2)</f>
        <v>0.10969881150363456</v>
      </c>
      <c r="H68" s="12">
        <f>G68*VLOOKUP($A68,'EU Ref Sc 2020 Energy intensive'!$A$5:$AE$33,H$2)</f>
        <v>0.11119821725545184</v>
      </c>
      <c r="I68" s="12">
        <f>H68*VLOOKUP($A68,'EU Ref Sc 2020 Energy intensive'!$A$5:$AE$33,I$2)</f>
        <v>0.11269762300726911</v>
      </c>
      <c r="J68" s="12">
        <f>I68*VLOOKUP($A68,'EU Ref Sc 2020 Energy intensive'!$A$5:$AE$33,J$2)</f>
        <v>0.11219919392051272</v>
      </c>
      <c r="K68" s="12">
        <f>J68*VLOOKUP($A68,'EU Ref Sc 2020 Energy intensive'!$A$5:$AE$33,K$2)</f>
        <v>0.11170076483375634</v>
      </c>
      <c r="L68" s="12">
        <f>K68*VLOOKUP($A68,'EU Ref Sc 2020 Energy intensive'!$A$5:$AE$33,L$2)</f>
        <v>0.11120233574699995</v>
      </c>
      <c r="M68" s="12">
        <f>L68*VLOOKUP($A68,'EU Ref Sc 2020 Energy intensive'!$A$5:$AE$33,M$2)</f>
        <v>0.11070390666024356</v>
      </c>
      <c r="N68" s="12">
        <f>M68*VLOOKUP($A68,'EU Ref Sc 2020 Energy intensive'!$A$5:$AE$33,N$2)</f>
        <v>0.1102054775734872</v>
      </c>
      <c r="O68" s="12">
        <f>N68*VLOOKUP($A68,'EU Ref Sc 2020 Energy intensive'!$A$5:$AE$33,O$2)</f>
        <v>0.10800043986314158</v>
      </c>
      <c r="P68" s="12">
        <f>O68*VLOOKUP($A68,'EU Ref Sc 2020 Energy intensive'!$A$5:$AE$33,P$2)</f>
        <v>0.10579540215279597</v>
      </c>
      <c r="Q68" s="12">
        <f>P68*VLOOKUP($A68,'EU Ref Sc 2020 Energy intensive'!$A$5:$AE$33,Q$2)</f>
        <v>0.10359036444245036</v>
      </c>
      <c r="R68" s="12">
        <f>Q68*VLOOKUP($A68,'EU Ref Sc 2020 Energy intensive'!$A$5:$AE$33,R$2)</f>
        <v>0.10138532673210475</v>
      </c>
      <c r="S68" s="12">
        <f>R68*VLOOKUP($A68,'EU Ref Sc 2020 Energy intensive'!$A$5:$AE$33,S$2)</f>
        <v>9.9180289021759155E-2</v>
      </c>
      <c r="T68" s="12">
        <f>S68*VLOOKUP($A68,'EU Ref Sc 2020 Energy intensive'!$A$5:$AE$33,T$2)</f>
        <v>9.8525442631825985E-2</v>
      </c>
      <c r="U68" s="12">
        <f>T68*VLOOKUP($A68,'EU Ref Sc 2020 Energy intensive'!$A$5:$AE$33,U$2)</f>
        <v>9.7870596241892815E-2</v>
      </c>
      <c r="V68" s="12">
        <f>U68*VLOOKUP($A68,'EU Ref Sc 2020 Energy intensive'!$A$5:$AE$33,V$2)</f>
        <v>9.7215749851959646E-2</v>
      </c>
      <c r="W68" s="12">
        <f>V68*VLOOKUP($A68,'EU Ref Sc 2020 Energy intensive'!$A$5:$AE$33,W$2)</f>
        <v>9.6560903462026476E-2</v>
      </c>
      <c r="X68" s="12">
        <f>W68*VLOOKUP($A68,'EU Ref Sc 2020 Energy intensive'!$A$5:$AE$33,X$2)</f>
        <v>9.5906057072093293E-2</v>
      </c>
      <c r="Y68" s="12">
        <f>X68*VLOOKUP($A68,'EU Ref Sc 2020 Energy intensive'!$A$5:$AE$33,Y$2)</f>
        <v>9.5722689360015281E-2</v>
      </c>
      <c r="Z68" s="12">
        <f>Y68*VLOOKUP($A68,'EU Ref Sc 2020 Energy intensive'!$A$5:$AE$33,Z$2)</f>
        <v>9.5539321647937284E-2</v>
      </c>
      <c r="AA68" s="12">
        <f>Z68*VLOOKUP($A68,'EU Ref Sc 2020 Energy intensive'!$A$5:$AE$33,AA$2)</f>
        <v>9.5355953935859286E-2</v>
      </c>
      <c r="AB68" s="12">
        <f>AA68*VLOOKUP($A68,'EU Ref Sc 2020 Energy intensive'!$A$5:$AE$33,AB$2)</f>
        <v>9.5172586223781275E-2</v>
      </c>
      <c r="AC68" s="12">
        <f>AB68*VLOOKUP($A68,'EU Ref Sc 2020 Energy intensive'!$A$5:$AE$33,AC$2)</f>
        <v>9.4989218511703291E-2</v>
      </c>
      <c r="AD68" s="12">
        <f>AC68*VLOOKUP($A68,'EU Ref Sc 2020 Energy intensive'!$A$5:$AE$33,AD$2)</f>
        <v>9.4689695958126444E-2</v>
      </c>
      <c r="AE68" s="12">
        <f>AD68*VLOOKUP($A68,'EU Ref Sc 2020 Energy intensive'!$A$5:$AE$33,AE$2)</f>
        <v>9.4390173404549596E-2</v>
      </c>
      <c r="AF68" s="12">
        <f>AE68*VLOOKUP($A68,'EU Ref Sc 2020 Energy intensive'!$A$5:$AE$33,AF$2)</f>
        <v>9.4090650850972748E-2</v>
      </c>
      <c r="AG68" s="12">
        <f>AF68*VLOOKUP($A68,'EU Ref Sc 2020 Energy intensive'!$A$5:$AE$33,AG$2)</f>
        <v>9.3791128297395901E-2</v>
      </c>
      <c r="AH68" s="12">
        <f>AG68*VLOOKUP($A68,'EU Ref Sc 2020 Energy intensive'!$A$5:$AE$33,AH$2)</f>
        <v>9.3491605743819026E-2</v>
      </c>
      <c r="AI68" s="13">
        <f t="shared" ref="AI68:AR68" si="67">AH68</f>
        <v>9.3491605743819026E-2</v>
      </c>
      <c r="AJ68" s="13">
        <f t="shared" si="67"/>
        <v>9.3491605743819026E-2</v>
      </c>
      <c r="AK68" s="13">
        <f t="shared" si="67"/>
        <v>9.3491605743819026E-2</v>
      </c>
      <c r="AL68" s="13">
        <f t="shared" si="67"/>
        <v>9.3491605743819026E-2</v>
      </c>
      <c r="AM68" s="13">
        <f t="shared" si="67"/>
        <v>9.3491605743819026E-2</v>
      </c>
      <c r="AN68" s="13">
        <f t="shared" si="67"/>
        <v>9.3491605743819026E-2</v>
      </c>
      <c r="AO68" s="13">
        <f t="shared" si="67"/>
        <v>9.3491605743819026E-2</v>
      </c>
      <c r="AP68" s="13">
        <f t="shared" si="67"/>
        <v>9.3491605743819026E-2</v>
      </c>
      <c r="AQ68" s="13">
        <f t="shared" si="67"/>
        <v>9.3491605743819026E-2</v>
      </c>
      <c r="AR68" s="13">
        <f t="shared" si="67"/>
        <v>9.3491605743819026E-2</v>
      </c>
    </row>
    <row r="69" spans="1:44" x14ac:dyDescent="0.3">
      <c r="A69" t="s">
        <v>1407</v>
      </c>
      <c r="B69" t="s">
        <v>1399</v>
      </c>
      <c r="C69" t="s">
        <v>437</v>
      </c>
      <c r="D69" t="str">
        <f t="shared" si="66"/>
        <v>GRIMEM</v>
      </c>
      <c r="E69" s="2">
        <v>0.29709999999999998</v>
      </c>
      <c r="F69" s="12">
        <f>E69*VLOOKUP($A69,'EU Ref Sc 2020 Energy intensive'!$A$5:$AE$33,F$2)</f>
        <v>0.30779081792798724</v>
      </c>
      <c r="G69" s="12">
        <f>F69*VLOOKUP($A69,'EU Ref Sc 2020 Energy intensive'!$A$5:$AE$33,G$2)</f>
        <v>0.3184816358559745</v>
      </c>
      <c r="H69" s="12">
        <f>G69*VLOOKUP($A69,'EU Ref Sc 2020 Energy intensive'!$A$5:$AE$33,H$2)</f>
        <v>0.32917245378396182</v>
      </c>
      <c r="I69" s="12">
        <f>H69*VLOOKUP($A69,'EU Ref Sc 2020 Energy intensive'!$A$5:$AE$33,I$2)</f>
        <v>0.33986327171194908</v>
      </c>
      <c r="J69" s="12">
        <f>I69*VLOOKUP($A69,'EU Ref Sc 2020 Energy intensive'!$A$5:$AE$33,J$2)</f>
        <v>0.33757758995323167</v>
      </c>
      <c r="K69" s="12">
        <f>J69*VLOOKUP($A69,'EU Ref Sc 2020 Energy intensive'!$A$5:$AE$33,K$2)</f>
        <v>0.33529190819451421</v>
      </c>
      <c r="L69" s="12">
        <f>K69*VLOOKUP($A69,'EU Ref Sc 2020 Energy intensive'!$A$5:$AE$33,L$2)</f>
        <v>0.33300622643579675</v>
      </c>
      <c r="M69" s="12">
        <f>L69*VLOOKUP($A69,'EU Ref Sc 2020 Energy intensive'!$A$5:$AE$33,M$2)</f>
        <v>0.33072054467707934</v>
      </c>
      <c r="N69" s="12">
        <f>M69*VLOOKUP($A69,'EU Ref Sc 2020 Energy intensive'!$A$5:$AE$33,N$2)</f>
        <v>0.32843486291836188</v>
      </c>
      <c r="O69" s="12">
        <f>N69*VLOOKUP($A69,'EU Ref Sc 2020 Energy intensive'!$A$5:$AE$33,O$2)</f>
        <v>0.3262730674466281</v>
      </c>
      <c r="P69" s="12">
        <f>O69*VLOOKUP($A69,'EU Ref Sc 2020 Energy intensive'!$A$5:$AE$33,P$2)</f>
        <v>0.32411127197489431</v>
      </c>
      <c r="Q69" s="12">
        <f>P69*VLOOKUP($A69,'EU Ref Sc 2020 Energy intensive'!$A$5:$AE$33,Q$2)</f>
        <v>0.32194947650316053</v>
      </c>
      <c r="R69" s="12">
        <f>Q69*VLOOKUP($A69,'EU Ref Sc 2020 Energy intensive'!$A$5:$AE$33,R$2)</f>
        <v>0.31978768103142674</v>
      </c>
      <c r="S69" s="12">
        <f>R69*VLOOKUP($A69,'EU Ref Sc 2020 Energy intensive'!$A$5:$AE$33,S$2)</f>
        <v>0.31762588555969284</v>
      </c>
      <c r="T69" s="12">
        <f>S69*VLOOKUP($A69,'EU Ref Sc 2020 Energy intensive'!$A$5:$AE$33,T$2)</f>
        <v>0.31633858904664525</v>
      </c>
      <c r="U69" s="12">
        <f>T69*VLOOKUP($A69,'EU Ref Sc 2020 Energy intensive'!$A$5:$AE$33,U$2)</f>
        <v>0.31505129253359765</v>
      </c>
      <c r="V69" s="12">
        <f>U69*VLOOKUP($A69,'EU Ref Sc 2020 Energy intensive'!$A$5:$AE$33,V$2)</f>
        <v>0.31376399602055005</v>
      </c>
      <c r="W69" s="12">
        <f>V69*VLOOKUP($A69,'EU Ref Sc 2020 Energy intensive'!$A$5:$AE$33,W$2)</f>
        <v>0.31247669950750245</v>
      </c>
      <c r="X69" s="12">
        <f>W69*VLOOKUP($A69,'EU Ref Sc 2020 Energy intensive'!$A$5:$AE$33,X$2)</f>
        <v>0.31118940299445486</v>
      </c>
      <c r="Y69" s="12">
        <f>X69*VLOOKUP($A69,'EU Ref Sc 2020 Energy intensive'!$A$5:$AE$33,Y$2)</f>
        <v>0.31185464744729341</v>
      </c>
      <c r="Z69" s="12">
        <f>Y69*VLOOKUP($A69,'EU Ref Sc 2020 Energy intensive'!$A$5:$AE$33,Z$2)</f>
        <v>0.31251989190013191</v>
      </c>
      <c r="AA69" s="12">
        <f>Z69*VLOOKUP($A69,'EU Ref Sc 2020 Energy intensive'!$A$5:$AE$33,AA$2)</f>
        <v>0.31318513635297046</v>
      </c>
      <c r="AB69" s="12">
        <f>AA69*VLOOKUP($A69,'EU Ref Sc 2020 Energy intensive'!$A$5:$AE$33,AB$2)</f>
        <v>0.31385038080580901</v>
      </c>
      <c r="AC69" s="12">
        <f>AB69*VLOOKUP($A69,'EU Ref Sc 2020 Energy intensive'!$A$5:$AE$33,AC$2)</f>
        <v>0.31451562525864746</v>
      </c>
      <c r="AD69" s="12">
        <f>AC69*VLOOKUP($A69,'EU Ref Sc 2020 Energy intensive'!$A$5:$AE$33,AD$2)</f>
        <v>0.31319791392637708</v>
      </c>
      <c r="AE69" s="12">
        <f>AD69*VLOOKUP($A69,'EU Ref Sc 2020 Energy intensive'!$A$5:$AE$33,AE$2)</f>
        <v>0.3118802025941067</v>
      </c>
      <c r="AF69" s="12">
        <f>AE69*VLOOKUP($A69,'EU Ref Sc 2020 Energy intensive'!$A$5:$AE$33,AF$2)</f>
        <v>0.31056249126183633</v>
      </c>
      <c r="AG69" s="12">
        <f>AF69*VLOOKUP($A69,'EU Ref Sc 2020 Energy intensive'!$A$5:$AE$33,AG$2)</f>
        <v>0.30924477992956595</v>
      </c>
      <c r="AH69" s="12">
        <f>AG69*VLOOKUP($A69,'EU Ref Sc 2020 Energy intensive'!$A$5:$AE$33,AH$2)</f>
        <v>0.30792706859729563</v>
      </c>
      <c r="AI69" s="13">
        <f t="shared" ref="AI69:AR69" si="68">AH69</f>
        <v>0.30792706859729563</v>
      </c>
      <c r="AJ69" s="13">
        <f t="shared" si="68"/>
        <v>0.30792706859729563</v>
      </c>
      <c r="AK69" s="13">
        <f t="shared" si="68"/>
        <v>0.30792706859729563</v>
      </c>
      <c r="AL69" s="13">
        <f t="shared" si="68"/>
        <v>0.30792706859729563</v>
      </c>
      <c r="AM69" s="13">
        <f t="shared" si="68"/>
        <v>0.30792706859729563</v>
      </c>
      <c r="AN69" s="13">
        <f t="shared" si="68"/>
        <v>0.30792706859729563</v>
      </c>
      <c r="AO69" s="13">
        <f t="shared" si="68"/>
        <v>0.30792706859729563</v>
      </c>
      <c r="AP69" s="13">
        <f t="shared" si="68"/>
        <v>0.30792706859729563</v>
      </c>
      <c r="AQ69" s="13">
        <f t="shared" si="68"/>
        <v>0.30792706859729563</v>
      </c>
      <c r="AR69" s="13">
        <f t="shared" si="68"/>
        <v>0.30792706859729563</v>
      </c>
    </row>
    <row r="70" spans="1:44" x14ac:dyDescent="0.3">
      <c r="A70" t="s">
        <v>1413</v>
      </c>
      <c r="B70" t="s">
        <v>1399</v>
      </c>
      <c r="C70" t="s">
        <v>756</v>
      </c>
      <c r="D70" t="str">
        <f t="shared" si="66"/>
        <v>IEIMEM</v>
      </c>
      <c r="E70" s="2">
        <v>0.28299999999999997</v>
      </c>
      <c r="F70" s="12">
        <f>E70*VLOOKUP($A70,'EU Ref Sc 2020 Energy intensive'!$A$5:$AE$33,F$2)</f>
        <v>0.28252977516124866</v>
      </c>
      <c r="G70" s="12">
        <f>F70*VLOOKUP($A70,'EU Ref Sc 2020 Energy intensive'!$A$5:$AE$33,G$2)</f>
        <v>0.28205955032249735</v>
      </c>
      <c r="H70" s="12">
        <f>G70*VLOOKUP($A70,'EU Ref Sc 2020 Energy intensive'!$A$5:$AE$33,H$2)</f>
        <v>0.28158932548374604</v>
      </c>
      <c r="I70" s="12">
        <f>H70*VLOOKUP($A70,'EU Ref Sc 2020 Energy intensive'!$A$5:$AE$33,I$2)</f>
        <v>0.28111910064499485</v>
      </c>
      <c r="J70" s="12">
        <f>I70*VLOOKUP($A70,'EU Ref Sc 2020 Energy intensive'!$A$5:$AE$33,J$2)</f>
        <v>0.28255440245847291</v>
      </c>
      <c r="K70" s="12">
        <f>J70*VLOOKUP($A70,'EU Ref Sc 2020 Energy intensive'!$A$5:$AE$33,K$2)</f>
        <v>0.28398970427195097</v>
      </c>
      <c r="L70" s="12">
        <f>K70*VLOOKUP($A70,'EU Ref Sc 2020 Energy intensive'!$A$5:$AE$33,L$2)</f>
        <v>0.28542500608542898</v>
      </c>
      <c r="M70" s="12">
        <f>L70*VLOOKUP($A70,'EU Ref Sc 2020 Energy intensive'!$A$5:$AE$33,M$2)</f>
        <v>0.28686030789890704</v>
      </c>
      <c r="N70" s="12">
        <f>M70*VLOOKUP($A70,'EU Ref Sc 2020 Energy intensive'!$A$5:$AE$33,N$2)</f>
        <v>0.28829560971238521</v>
      </c>
      <c r="O70" s="12">
        <f>N70*VLOOKUP($A70,'EU Ref Sc 2020 Energy intensive'!$A$5:$AE$33,O$2)</f>
        <v>0.28034874710151786</v>
      </c>
      <c r="P70" s="12">
        <f>O70*VLOOKUP($A70,'EU Ref Sc 2020 Energy intensive'!$A$5:$AE$33,P$2)</f>
        <v>0.2724018844906505</v>
      </c>
      <c r="Q70" s="12">
        <f>P70*VLOOKUP($A70,'EU Ref Sc 2020 Energy intensive'!$A$5:$AE$33,Q$2)</f>
        <v>0.26445502187978309</v>
      </c>
      <c r="R70" s="12">
        <f>Q70*VLOOKUP($A70,'EU Ref Sc 2020 Energy intensive'!$A$5:$AE$33,R$2)</f>
        <v>0.25650815926891574</v>
      </c>
      <c r="S70" s="12">
        <f>R70*VLOOKUP($A70,'EU Ref Sc 2020 Energy intensive'!$A$5:$AE$33,S$2)</f>
        <v>0.24856129665804835</v>
      </c>
      <c r="T70" s="12">
        <f>S70*VLOOKUP($A70,'EU Ref Sc 2020 Energy intensive'!$A$5:$AE$33,T$2)</f>
        <v>0.24844330302827625</v>
      </c>
      <c r="U70" s="12">
        <f>T70*VLOOKUP($A70,'EU Ref Sc 2020 Energy intensive'!$A$5:$AE$33,U$2)</f>
        <v>0.24832530939850417</v>
      </c>
      <c r="V70" s="12">
        <f>U70*VLOOKUP($A70,'EU Ref Sc 2020 Energy intensive'!$A$5:$AE$33,V$2)</f>
        <v>0.24820731576873206</v>
      </c>
      <c r="W70" s="12">
        <f>V70*VLOOKUP($A70,'EU Ref Sc 2020 Energy intensive'!$A$5:$AE$33,W$2)</f>
        <v>0.24808932213895998</v>
      </c>
      <c r="X70" s="12">
        <f>W70*VLOOKUP($A70,'EU Ref Sc 2020 Energy intensive'!$A$5:$AE$33,X$2)</f>
        <v>0.24797132850918779</v>
      </c>
      <c r="Y70" s="12">
        <f>X70*VLOOKUP($A70,'EU Ref Sc 2020 Energy intensive'!$A$5:$AE$33,Y$2)</f>
        <v>0.24724140035911543</v>
      </c>
      <c r="Z70" s="12">
        <f>Y70*VLOOKUP($A70,'EU Ref Sc 2020 Energy intensive'!$A$5:$AE$33,Z$2)</f>
        <v>0.24651147220904307</v>
      </c>
      <c r="AA70" s="12">
        <f>Z70*VLOOKUP($A70,'EU Ref Sc 2020 Energy intensive'!$A$5:$AE$33,AA$2)</f>
        <v>0.24578154405897071</v>
      </c>
      <c r="AB70" s="12">
        <f>AA70*VLOOKUP($A70,'EU Ref Sc 2020 Energy intensive'!$A$5:$AE$33,AB$2)</f>
        <v>0.24505161590889835</v>
      </c>
      <c r="AC70" s="12">
        <f>AB70*VLOOKUP($A70,'EU Ref Sc 2020 Energy intensive'!$A$5:$AE$33,AC$2)</f>
        <v>0.24432168775882593</v>
      </c>
      <c r="AD70" s="12">
        <f>AC70*VLOOKUP($A70,'EU Ref Sc 2020 Energy intensive'!$A$5:$AE$33,AD$2)</f>
        <v>0.24379195284141636</v>
      </c>
      <c r="AE70" s="12">
        <f>AD70*VLOOKUP($A70,'EU Ref Sc 2020 Energy intensive'!$A$5:$AE$33,AE$2)</f>
        <v>0.24326221792400679</v>
      </c>
      <c r="AF70" s="12">
        <f>AE70*VLOOKUP($A70,'EU Ref Sc 2020 Energy intensive'!$A$5:$AE$33,AF$2)</f>
        <v>0.24273248300659725</v>
      </c>
      <c r="AG70" s="12">
        <f>AF70*VLOOKUP($A70,'EU Ref Sc 2020 Energy intensive'!$A$5:$AE$33,AG$2)</f>
        <v>0.24220274808918768</v>
      </c>
      <c r="AH70" s="12">
        <f>AG70*VLOOKUP($A70,'EU Ref Sc 2020 Energy intensive'!$A$5:$AE$33,AH$2)</f>
        <v>0.24167301317177822</v>
      </c>
      <c r="AI70" s="13">
        <f t="shared" ref="AI70:AR70" si="69">AH70</f>
        <v>0.24167301317177822</v>
      </c>
      <c r="AJ70" s="13">
        <f t="shared" si="69"/>
        <v>0.24167301317177822</v>
      </c>
      <c r="AK70" s="13">
        <f t="shared" si="69"/>
        <v>0.24167301317177822</v>
      </c>
      <c r="AL70" s="13">
        <f t="shared" si="69"/>
        <v>0.24167301317177822</v>
      </c>
      <c r="AM70" s="13">
        <f t="shared" si="69"/>
        <v>0.24167301317177822</v>
      </c>
      <c r="AN70" s="13">
        <f t="shared" si="69"/>
        <v>0.24167301317177822</v>
      </c>
      <c r="AO70" s="13">
        <f t="shared" si="69"/>
        <v>0.24167301317177822</v>
      </c>
      <c r="AP70" s="13">
        <f t="shared" si="69"/>
        <v>0.24167301317177822</v>
      </c>
      <c r="AQ70" s="13">
        <f t="shared" si="69"/>
        <v>0.24167301317177822</v>
      </c>
      <c r="AR70" s="13">
        <f t="shared" si="69"/>
        <v>0.24167301317177822</v>
      </c>
    </row>
    <row r="71" spans="1:44" x14ac:dyDescent="0.3">
      <c r="A71" t="s">
        <v>1422</v>
      </c>
      <c r="B71" t="s">
        <v>1399</v>
      </c>
      <c r="C71" t="s">
        <v>1207</v>
      </c>
      <c r="D71" t="str">
        <f t="shared" si="66"/>
        <v>ROIMEM</v>
      </c>
      <c r="E71" s="2">
        <v>0.30649999999999999</v>
      </c>
      <c r="F71" s="12">
        <f>E71*VLOOKUP($A71,'EU Ref Sc 2020 Energy intensive'!$A$5:$AE$33,F$2)</f>
        <v>0.31373639053166658</v>
      </c>
      <c r="G71" s="12">
        <f>F71*VLOOKUP($A71,'EU Ref Sc 2020 Energy intensive'!$A$5:$AE$33,G$2)</f>
        <v>0.32097278106333316</v>
      </c>
      <c r="H71" s="12">
        <f>G71*VLOOKUP($A71,'EU Ref Sc 2020 Energy intensive'!$A$5:$AE$33,H$2)</f>
        <v>0.32820917159499979</v>
      </c>
      <c r="I71" s="12">
        <f>H71*VLOOKUP($A71,'EU Ref Sc 2020 Energy intensive'!$A$5:$AE$33,I$2)</f>
        <v>0.33544556212666637</v>
      </c>
      <c r="J71" s="12">
        <f>I71*VLOOKUP($A71,'EU Ref Sc 2020 Energy intensive'!$A$5:$AE$33,J$2)</f>
        <v>0.33465239614157094</v>
      </c>
      <c r="K71" s="12">
        <f>J71*VLOOKUP($A71,'EU Ref Sc 2020 Energy intensive'!$A$5:$AE$33,K$2)</f>
        <v>0.33385923015647551</v>
      </c>
      <c r="L71" s="12">
        <f>K71*VLOOKUP($A71,'EU Ref Sc 2020 Energy intensive'!$A$5:$AE$33,L$2)</f>
        <v>0.33306606417138007</v>
      </c>
      <c r="M71" s="12">
        <f>L71*VLOOKUP($A71,'EU Ref Sc 2020 Energy intensive'!$A$5:$AE$33,M$2)</f>
        <v>0.33227289818628464</v>
      </c>
      <c r="N71" s="12">
        <f>M71*VLOOKUP($A71,'EU Ref Sc 2020 Energy intensive'!$A$5:$AE$33,N$2)</f>
        <v>0.33147973220118909</v>
      </c>
      <c r="O71" s="12">
        <f>N71*VLOOKUP($A71,'EU Ref Sc 2020 Energy intensive'!$A$5:$AE$33,O$2)</f>
        <v>0.32852740160416466</v>
      </c>
      <c r="P71" s="12">
        <f>O71*VLOOKUP($A71,'EU Ref Sc 2020 Energy intensive'!$A$5:$AE$33,P$2)</f>
        <v>0.32557507100714023</v>
      </c>
      <c r="Q71" s="12">
        <f>P71*VLOOKUP($A71,'EU Ref Sc 2020 Energy intensive'!$A$5:$AE$33,Q$2)</f>
        <v>0.32262274041011579</v>
      </c>
      <c r="R71" s="12">
        <f>Q71*VLOOKUP($A71,'EU Ref Sc 2020 Energy intensive'!$A$5:$AE$33,R$2)</f>
        <v>0.31967040981309142</v>
      </c>
      <c r="S71" s="12">
        <f>R71*VLOOKUP($A71,'EU Ref Sc 2020 Energy intensive'!$A$5:$AE$33,S$2)</f>
        <v>0.31671807921606704</v>
      </c>
      <c r="T71" s="12">
        <f>S71*VLOOKUP($A71,'EU Ref Sc 2020 Energy intensive'!$A$5:$AE$33,T$2)</f>
        <v>0.31257043071038759</v>
      </c>
      <c r="U71" s="12">
        <f>T71*VLOOKUP($A71,'EU Ref Sc 2020 Energy intensive'!$A$5:$AE$33,U$2)</f>
        <v>0.30842278220470815</v>
      </c>
      <c r="V71" s="12">
        <f>U71*VLOOKUP($A71,'EU Ref Sc 2020 Energy intensive'!$A$5:$AE$33,V$2)</f>
        <v>0.3042751336990287</v>
      </c>
      <c r="W71" s="12">
        <f>V71*VLOOKUP($A71,'EU Ref Sc 2020 Energy intensive'!$A$5:$AE$33,W$2)</f>
        <v>0.30012748519334925</v>
      </c>
      <c r="X71" s="12">
        <f>W71*VLOOKUP($A71,'EU Ref Sc 2020 Energy intensive'!$A$5:$AE$33,X$2)</f>
        <v>0.29597983668766981</v>
      </c>
      <c r="Y71" s="12">
        <f>X71*VLOOKUP($A71,'EU Ref Sc 2020 Energy intensive'!$A$5:$AE$33,Y$2)</f>
        <v>0.29304720439185766</v>
      </c>
      <c r="Z71" s="12">
        <f>Y71*VLOOKUP($A71,'EU Ref Sc 2020 Energy intensive'!$A$5:$AE$33,Z$2)</f>
        <v>0.29011457209604552</v>
      </c>
      <c r="AA71" s="12">
        <f>Z71*VLOOKUP($A71,'EU Ref Sc 2020 Energy intensive'!$A$5:$AE$33,AA$2)</f>
        <v>0.28718193980023338</v>
      </c>
      <c r="AB71" s="12">
        <f>AA71*VLOOKUP($A71,'EU Ref Sc 2020 Energy intensive'!$A$5:$AE$33,AB$2)</f>
        <v>0.28424930750442123</v>
      </c>
      <c r="AC71" s="12">
        <f>AB71*VLOOKUP($A71,'EU Ref Sc 2020 Energy intensive'!$A$5:$AE$33,AC$2)</f>
        <v>0.28131667520860915</v>
      </c>
      <c r="AD71" s="12">
        <f>AC71*VLOOKUP($A71,'EU Ref Sc 2020 Energy intensive'!$A$5:$AE$33,AD$2)</f>
        <v>0.27976682997239016</v>
      </c>
      <c r="AE71" s="12">
        <f>AD71*VLOOKUP($A71,'EU Ref Sc 2020 Energy intensive'!$A$5:$AE$33,AE$2)</f>
        <v>0.27821698473617118</v>
      </c>
      <c r="AF71" s="12">
        <f>AE71*VLOOKUP($A71,'EU Ref Sc 2020 Energy intensive'!$A$5:$AE$33,AF$2)</f>
        <v>0.2766671394999522</v>
      </c>
      <c r="AG71" s="12">
        <f>AF71*VLOOKUP($A71,'EU Ref Sc 2020 Energy intensive'!$A$5:$AE$33,AG$2)</f>
        <v>0.27511729426373316</v>
      </c>
      <c r="AH71" s="12">
        <f>AG71*VLOOKUP($A71,'EU Ref Sc 2020 Energy intensive'!$A$5:$AE$33,AH$2)</f>
        <v>0.27356744902751418</v>
      </c>
      <c r="AI71" s="13">
        <f t="shared" ref="AI71:AR71" si="70">AH71</f>
        <v>0.27356744902751418</v>
      </c>
      <c r="AJ71" s="13">
        <f t="shared" si="70"/>
        <v>0.27356744902751418</v>
      </c>
      <c r="AK71" s="13">
        <f t="shared" si="70"/>
        <v>0.27356744902751418</v>
      </c>
      <c r="AL71" s="13">
        <f t="shared" si="70"/>
        <v>0.27356744902751418</v>
      </c>
      <c r="AM71" s="13">
        <f t="shared" si="70"/>
        <v>0.27356744902751418</v>
      </c>
      <c r="AN71" s="13">
        <f t="shared" si="70"/>
        <v>0.27356744902751418</v>
      </c>
      <c r="AO71" s="13">
        <f t="shared" si="70"/>
        <v>0.27356744902751418</v>
      </c>
      <c r="AP71" s="13">
        <f t="shared" si="70"/>
        <v>0.27356744902751418</v>
      </c>
      <c r="AQ71" s="13">
        <f t="shared" si="70"/>
        <v>0.27356744902751418</v>
      </c>
      <c r="AR71" s="13">
        <f t="shared" si="70"/>
        <v>0.27356744902751418</v>
      </c>
    </row>
    <row r="72" spans="1:44" x14ac:dyDescent="0.3">
      <c r="A72" t="s">
        <v>1390</v>
      </c>
      <c r="B72" t="s">
        <v>1391</v>
      </c>
      <c r="C72" t="s">
        <v>8</v>
      </c>
      <c r="D72" t="str">
        <f t="shared" si="66"/>
        <v>ATIMEI</v>
      </c>
      <c r="E72" s="2">
        <v>0.94089999999999996</v>
      </c>
      <c r="F72" s="12">
        <f>E72*VLOOKUP($A72,'EU Ref Sc 2020 Energy intensive'!$A$5:$AE$33,F$2)</f>
        <v>0.94797232822344535</v>
      </c>
      <c r="G72" s="12">
        <f>F72*VLOOKUP($A72,'EU Ref Sc 2020 Energy intensive'!$A$5:$AE$33,G$2)</f>
        <v>0.95504465644689074</v>
      </c>
      <c r="H72" s="12">
        <f>G72*VLOOKUP($A72,'EU Ref Sc 2020 Energy intensive'!$A$5:$AE$33,H$2)</f>
        <v>0.96211698467033613</v>
      </c>
      <c r="I72" s="12">
        <f>H72*VLOOKUP($A72,'EU Ref Sc 2020 Energy intensive'!$A$5:$AE$33,I$2)</f>
        <v>0.9691893128937813</v>
      </c>
      <c r="J72" s="12">
        <f>I72*VLOOKUP($A72,'EU Ref Sc 2020 Energy intensive'!$A$5:$AE$33,J$2)</f>
        <v>0.96162686107644968</v>
      </c>
      <c r="K72" s="12">
        <f>J72*VLOOKUP($A72,'EU Ref Sc 2020 Energy intensive'!$A$5:$AE$33,K$2)</f>
        <v>0.95406440925911806</v>
      </c>
      <c r="L72" s="12">
        <f>K72*VLOOKUP($A72,'EU Ref Sc 2020 Energy intensive'!$A$5:$AE$33,L$2)</f>
        <v>0.94650195744178645</v>
      </c>
      <c r="M72" s="12">
        <f>L72*VLOOKUP($A72,'EU Ref Sc 2020 Energy intensive'!$A$5:$AE$33,M$2)</f>
        <v>0.93893950562445483</v>
      </c>
      <c r="N72" s="12">
        <f>M72*VLOOKUP($A72,'EU Ref Sc 2020 Energy intensive'!$A$5:$AE$33,N$2)</f>
        <v>0.93137705380712321</v>
      </c>
      <c r="O72" s="12">
        <f>N72*VLOOKUP($A72,'EU Ref Sc 2020 Energy intensive'!$A$5:$AE$33,O$2)</f>
        <v>0.92082285125226959</v>
      </c>
      <c r="P72" s="12">
        <f>O72*VLOOKUP($A72,'EU Ref Sc 2020 Energy intensive'!$A$5:$AE$33,P$2)</f>
        <v>0.91026864869741597</v>
      </c>
      <c r="Q72" s="12">
        <f>P72*VLOOKUP($A72,'EU Ref Sc 2020 Energy intensive'!$A$5:$AE$33,Q$2)</f>
        <v>0.89971444614256235</v>
      </c>
      <c r="R72" s="12">
        <f>Q72*VLOOKUP($A72,'EU Ref Sc 2020 Energy intensive'!$A$5:$AE$33,R$2)</f>
        <v>0.88916024358770873</v>
      </c>
      <c r="S72" s="12">
        <f>R72*VLOOKUP($A72,'EU Ref Sc 2020 Energy intensive'!$A$5:$AE$33,S$2)</f>
        <v>0.87860604103285544</v>
      </c>
      <c r="T72" s="12">
        <f>S72*VLOOKUP($A72,'EU Ref Sc 2020 Energy intensive'!$A$5:$AE$33,T$2)</f>
        <v>0.87023839174388884</v>
      </c>
      <c r="U72" s="12">
        <f>T72*VLOOKUP($A72,'EU Ref Sc 2020 Energy intensive'!$A$5:$AE$33,U$2)</f>
        <v>0.86187074245492212</v>
      </c>
      <c r="V72" s="12">
        <f>U72*VLOOKUP($A72,'EU Ref Sc 2020 Energy intensive'!$A$5:$AE$33,V$2)</f>
        <v>0.85350309316595541</v>
      </c>
      <c r="W72" s="12">
        <f>V72*VLOOKUP($A72,'EU Ref Sc 2020 Energy intensive'!$A$5:$AE$33,W$2)</f>
        <v>0.84513544387698869</v>
      </c>
      <c r="X72" s="12">
        <f>W72*VLOOKUP($A72,'EU Ref Sc 2020 Energy intensive'!$A$5:$AE$33,X$2)</f>
        <v>0.83676779458802242</v>
      </c>
      <c r="Y72" s="12">
        <f>X72*VLOOKUP($A72,'EU Ref Sc 2020 Energy intensive'!$A$5:$AE$33,Y$2)</f>
        <v>0.83288430623888265</v>
      </c>
      <c r="Z72" s="12">
        <f>Y72*VLOOKUP($A72,'EU Ref Sc 2020 Energy intensive'!$A$5:$AE$33,Z$2)</f>
        <v>0.82900081788974278</v>
      </c>
      <c r="AA72" s="12">
        <f>Z72*VLOOKUP($A72,'EU Ref Sc 2020 Energy intensive'!$A$5:$AE$33,AA$2)</f>
        <v>0.82511732954060302</v>
      </c>
      <c r="AB72" s="12">
        <f>AA72*VLOOKUP($A72,'EU Ref Sc 2020 Energy intensive'!$A$5:$AE$33,AB$2)</f>
        <v>0.82123384119146325</v>
      </c>
      <c r="AC72" s="12">
        <f>AB72*VLOOKUP($A72,'EU Ref Sc 2020 Energy intensive'!$A$5:$AE$33,AC$2)</f>
        <v>0.8173503528423236</v>
      </c>
      <c r="AD72" s="12">
        <f>AC72*VLOOKUP($A72,'EU Ref Sc 2020 Energy intensive'!$A$5:$AE$33,AD$2)</f>
        <v>0.81533807605630504</v>
      </c>
      <c r="AE72" s="12">
        <f>AD72*VLOOKUP($A72,'EU Ref Sc 2020 Energy intensive'!$A$5:$AE$33,AE$2)</f>
        <v>0.81332579927028648</v>
      </c>
      <c r="AF72" s="12">
        <f>AE72*VLOOKUP($A72,'EU Ref Sc 2020 Energy intensive'!$A$5:$AE$33,AF$2)</f>
        <v>0.81131352248426791</v>
      </c>
      <c r="AG72" s="12">
        <f>AF72*VLOOKUP($A72,'EU Ref Sc 2020 Energy intensive'!$A$5:$AE$33,AG$2)</f>
        <v>0.80930124569824924</v>
      </c>
      <c r="AH72" s="12">
        <f>AG72*VLOOKUP($A72,'EU Ref Sc 2020 Energy intensive'!$A$5:$AE$33,AH$2)</f>
        <v>0.80728896891223068</v>
      </c>
      <c r="AI72" s="13">
        <f t="shared" ref="AI72:AR72" si="71">AH72</f>
        <v>0.80728896891223068</v>
      </c>
      <c r="AJ72" s="13">
        <f t="shared" si="71"/>
        <v>0.80728896891223068</v>
      </c>
      <c r="AK72" s="13">
        <f t="shared" si="71"/>
        <v>0.80728896891223068</v>
      </c>
      <c r="AL72" s="13">
        <f t="shared" si="71"/>
        <v>0.80728896891223068</v>
      </c>
      <c r="AM72" s="13">
        <f t="shared" si="71"/>
        <v>0.80728896891223068</v>
      </c>
      <c r="AN72" s="13">
        <f t="shared" si="71"/>
        <v>0.80728896891223068</v>
      </c>
      <c r="AO72" s="13">
        <f t="shared" si="71"/>
        <v>0.80728896891223068</v>
      </c>
      <c r="AP72" s="13">
        <f t="shared" si="71"/>
        <v>0.80728896891223068</v>
      </c>
      <c r="AQ72" s="13">
        <f t="shared" si="71"/>
        <v>0.80728896891223068</v>
      </c>
      <c r="AR72" s="13">
        <f t="shared" si="71"/>
        <v>0.80728896891223068</v>
      </c>
    </row>
    <row r="73" spans="1:44" x14ac:dyDescent="0.3">
      <c r="A73" t="s">
        <v>1396</v>
      </c>
      <c r="B73" t="s">
        <v>1391</v>
      </c>
      <c r="C73" t="s">
        <v>63</v>
      </c>
      <c r="D73" t="str">
        <f t="shared" si="66"/>
        <v>BEIMEI</v>
      </c>
      <c r="E73" s="2">
        <v>1.3190999999999999</v>
      </c>
      <c r="F73" s="12">
        <f>E73*VLOOKUP($A73,'EU Ref Sc 2020 Energy intensive'!$A$5:$AE$33,F$2)</f>
        <v>1.3615272904274809</v>
      </c>
      <c r="G73" s="12">
        <f>F73*VLOOKUP($A73,'EU Ref Sc 2020 Energy intensive'!$A$5:$AE$33,G$2)</f>
        <v>1.4039545808549618</v>
      </c>
      <c r="H73" s="12">
        <f>G73*VLOOKUP($A73,'EU Ref Sc 2020 Energy intensive'!$A$5:$AE$33,H$2)</f>
        <v>1.4463818712824428</v>
      </c>
      <c r="I73" s="12">
        <f>H73*VLOOKUP($A73,'EU Ref Sc 2020 Energy intensive'!$A$5:$AE$33,I$2)</f>
        <v>1.4888091617099237</v>
      </c>
      <c r="J73" s="12">
        <f>I73*VLOOKUP($A73,'EU Ref Sc 2020 Energy intensive'!$A$5:$AE$33,J$2)</f>
        <v>1.533856181416732</v>
      </c>
      <c r="K73" s="12">
        <f>J73*VLOOKUP($A73,'EU Ref Sc 2020 Energy intensive'!$A$5:$AE$33,K$2)</f>
        <v>1.57890320112354</v>
      </c>
      <c r="L73" s="12">
        <f>K73*VLOOKUP($A73,'EU Ref Sc 2020 Energy intensive'!$A$5:$AE$33,L$2)</f>
        <v>1.6239502208303482</v>
      </c>
      <c r="M73" s="12">
        <f>L73*VLOOKUP($A73,'EU Ref Sc 2020 Energy intensive'!$A$5:$AE$33,M$2)</f>
        <v>1.6689972405371565</v>
      </c>
      <c r="N73" s="12">
        <f>M73*VLOOKUP($A73,'EU Ref Sc 2020 Energy intensive'!$A$5:$AE$33,N$2)</f>
        <v>1.7140442602439654</v>
      </c>
      <c r="O73" s="12">
        <f>N73*VLOOKUP($A73,'EU Ref Sc 2020 Energy intensive'!$A$5:$AE$33,O$2)</f>
        <v>1.7033734892637424</v>
      </c>
      <c r="P73" s="12">
        <f>O73*VLOOKUP($A73,'EU Ref Sc 2020 Energy intensive'!$A$5:$AE$33,P$2)</f>
        <v>1.6927027182835195</v>
      </c>
      <c r="Q73" s="12">
        <f>P73*VLOOKUP($A73,'EU Ref Sc 2020 Energy intensive'!$A$5:$AE$33,Q$2)</f>
        <v>1.6820319473032963</v>
      </c>
      <c r="R73" s="12">
        <f>Q73*VLOOKUP($A73,'EU Ref Sc 2020 Energy intensive'!$A$5:$AE$33,R$2)</f>
        <v>1.6713611763230733</v>
      </c>
      <c r="S73" s="12">
        <f>R73*VLOOKUP($A73,'EU Ref Sc 2020 Energy intensive'!$A$5:$AE$33,S$2)</f>
        <v>1.6606904053428504</v>
      </c>
      <c r="T73" s="12">
        <f>S73*VLOOKUP($A73,'EU Ref Sc 2020 Energy intensive'!$A$5:$AE$33,T$2)</f>
        <v>1.6520114540052793</v>
      </c>
      <c r="U73" s="12">
        <f>T73*VLOOKUP($A73,'EU Ref Sc 2020 Energy intensive'!$A$5:$AE$33,U$2)</f>
        <v>1.6433325026677081</v>
      </c>
      <c r="V73" s="12">
        <f>U73*VLOOKUP($A73,'EU Ref Sc 2020 Energy intensive'!$A$5:$AE$33,V$2)</f>
        <v>1.634653551330137</v>
      </c>
      <c r="W73" s="12">
        <f>V73*VLOOKUP($A73,'EU Ref Sc 2020 Energy intensive'!$A$5:$AE$33,W$2)</f>
        <v>1.6259745999925657</v>
      </c>
      <c r="X73" s="12">
        <f>W73*VLOOKUP($A73,'EU Ref Sc 2020 Energy intensive'!$A$5:$AE$33,X$2)</f>
        <v>1.6172956486549945</v>
      </c>
      <c r="Y73" s="12">
        <f>X73*VLOOKUP($A73,'EU Ref Sc 2020 Energy intensive'!$A$5:$AE$33,Y$2)</f>
        <v>1.6170297517511658</v>
      </c>
      <c r="Z73" s="12">
        <f>Y73*VLOOKUP($A73,'EU Ref Sc 2020 Energy intensive'!$A$5:$AE$33,Z$2)</f>
        <v>1.6167638548473373</v>
      </c>
      <c r="AA73" s="12">
        <f>Z73*VLOOKUP($A73,'EU Ref Sc 2020 Energy intensive'!$A$5:$AE$33,AA$2)</f>
        <v>1.6164979579435086</v>
      </c>
      <c r="AB73" s="12">
        <f>AA73*VLOOKUP($A73,'EU Ref Sc 2020 Energy intensive'!$A$5:$AE$33,AB$2)</f>
        <v>1.6162320610396799</v>
      </c>
      <c r="AC73" s="12">
        <f>AB73*VLOOKUP($A73,'EU Ref Sc 2020 Energy intensive'!$A$5:$AE$33,AC$2)</f>
        <v>1.6159661641358518</v>
      </c>
      <c r="AD73" s="12">
        <f>AC73*VLOOKUP($A73,'EU Ref Sc 2020 Energy intensive'!$A$5:$AE$33,AD$2)</f>
        <v>1.6151099454492743</v>
      </c>
      <c r="AE73" s="12">
        <f>AD73*VLOOKUP($A73,'EU Ref Sc 2020 Energy intensive'!$A$5:$AE$33,AE$2)</f>
        <v>1.6142537267626966</v>
      </c>
      <c r="AF73" s="12">
        <f>AE73*VLOOKUP($A73,'EU Ref Sc 2020 Energy intensive'!$A$5:$AE$33,AF$2)</f>
        <v>1.6133975080761189</v>
      </c>
      <c r="AG73" s="12">
        <f>AF73*VLOOKUP($A73,'EU Ref Sc 2020 Energy intensive'!$A$5:$AE$33,AG$2)</f>
        <v>1.6125412893895412</v>
      </c>
      <c r="AH73" s="12">
        <f>AG73*VLOOKUP($A73,'EU Ref Sc 2020 Energy intensive'!$A$5:$AE$33,AH$2)</f>
        <v>1.6116850707029642</v>
      </c>
      <c r="AI73" s="13">
        <f t="shared" ref="AI73:AR73" si="72">AH73</f>
        <v>1.6116850707029642</v>
      </c>
      <c r="AJ73" s="13">
        <f t="shared" si="72"/>
        <v>1.6116850707029642</v>
      </c>
      <c r="AK73" s="13">
        <f t="shared" si="72"/>
        <v>1.6116850707029642</v>
      </c>
      <c r="AL73" s="13">
        <f t="shared" si="72"/>
        <v>1.6116850707029642</v>
      </c>
      <c r="AM73" s="13">
        <f t="shared" si="72"/>
        <v>1.6116850707029642</v>
      </c>
      <c r="AN73" s="13">
        <f t="shared" si="72"/>
        <v>1.6116850707029642</v>
      </c>
      <c r="AO73" s="13">
        <f t="shared" si="72"/>
        <v>1.6116850707029642</v>
      </c>
      <c r="AP73" s="13">
        <f t="shared" si="72"/>
        <v>1.6116850707029642</v>
      </c>
      <c r="AQ73" s="13">
        <f t="shared" si="72"/>
        <v>1.6116850707029642</v>
      </c>
      <c r="AR73" s="13">
        <f t="shared" si="72"/>
        <v>1.6116850707029642</v>
      </c>
    </row>
    <row r="74" spans="1:44" x14ac:dyDescent="0.3">
      <c r="A74" t="s">
        <v>1401</v>
      </c>
      <c r="B74" t="s">
        <v>1391</v>
      </c>
      <c r="C74" t="s">
        <v>206</v>
      </c>
      <c r="D74" t="str">
        <f t="shared" si="66"/>
        <v>CZIMEI</v>
      </c>
      <c r="E74" s="2">
        <v>0.83520000000000005</v>
      </c>
      <c r="F74" s="12">
        <f>E74*VLOOKUP($A74,'EU Ref Sc 2020 Energy intensive'!$A$5:$AE$33,F$2)</f>
        <v>0.83725178285095758</v>
      </c>
      <c r="G74" s="12">
        <f>F74*VLOOKUP($A74,'EU Ref Sc 2020 Energy intensive'!$A$5:$AE$33,G$2)</f>
        <v>0.83930356570191511</v>
      </c>
      <c r="H74" s="12">
        <f>G74*VLOOKUP($A74,'EU Ref Sc 2020 Energy intensive'!$A$5:$AE$33,H$2)</f>
        <v>0.84135534855287253</v>
      </c>
      <c r="I74" s="12">
        <f>H74*VLOOKUP($A74,'EU Ref Sc 2020 Energy intensive'!$A$5:$AE$33,I$2)</f>
        <v>0.84340713140382995</v>
      </c>
      <c r="J74" s="12">
        <f>I74*VLOOKUP($A74,'EU Ref Sc 2020 Energy intensive'!$A$5:$AE$33,J$2)</f>
        <v>0.82758615880647857</v>
      </c>
      <c r="K74" s="12">
        <f>J74*VLOOKUP($A74,'EU Ref Sc 2020 Energy intensive'!$A$5:$AE$33,K$2)</f>
        <v>0.81176518620912719</v>
      </c>
      <c r="L74" s="12">
        <f>K74*VLOOKUP($A74,'EU Ref Sc 2020 Energy intensive'!$A$5:$AE$33,L$2)</f>
        <v>0.79594421361177581</v>
      </c>
      <c r="M74" s="12">
        <f>L74*VLOOKUP($A74,'EU Ref Sc 2020 Energy intensive'!$A$5:$AE$33,M$2)</f>
        <v>0.78012324101442443</v>
      </c>
      <c r="N74" s="12">
        <f>M74*VLOOKUP($A74,'EU Ref Sc 2020 Energy intensive'!$A$5:$AE$33,N$2)</f>
        <v>0.76430226841707327</v>
      </c>
      <c r="O74" s="12">
        <f>N74*VLOOKUP($A74,'EU Ref Sc 2020 Energy intensive'!$A$5:$AE$33,O$2)</f>
        <v>0.75688522487775234</v>
      </c>
      <c r="P74" s="12">
        <f>O74*VLOOKUP($A74,'EU Ref Sc 2020 Energy intensive'!$A$5:$AE$33,P$2)</f>
        <v>0.74946818133843141</v>
      </c>
      <c r="Q74" s="12">
        <f>P74*VLOOKUP($A74,'EU Ref Sc 2020 Energy intensive'!$A$5:$AE$33,Q$2)</f>
        <v>0.74205113779911047</v>
      </c>
      <c r="R74" s="12">
        <f>Q74*VLOOKUP($A74,'EU Ref Sc 2020 Energy intensive'!$A$5:$AE$33,R$2)</f>
        <v>0.73463409425978954</v>
      </c>
      <c r="S74" s="12">
        <f>R74*VLOOKUP($A74,'EU Ref Sc 2020 Energy intensive'!$A$5:$AE$33,S$2)</f>
        <v>0.72721705072046883</v>
      </c>
      <c r="T74" s="12">
        <f>S74*VLOOKUP($A74,'EU Ref Sc 2020 Energy intensive'!$A$5:$AE$33,T$2)</f>
        <v>0.72258043259510307</v>
      </c>
      <c r="U74" s="12">
        <f>T74*VLOOKUP($A74,'EU Ref Sc 2020 Energy intensive'!$A$5:$AE$33,U$2)</f>
        <v>0.71794381446973732</v>
      </c>
      <c r="V74" s="12">
        <f>U74*VLOOKUP($A74,'EU Ref Sc 2020 Energy intensive'!$A$5:$AE$33,V$2)</f>
        <v>0.71330719634437156</v>
      </c>
      <c r="W74" s="12">
        <f>V74*VLOOKUP($A74,'EU Ref Sc 2020 Energy intensive'!$A$5:$AE$33,W$2)</f>
        <v>0.70867057821900581</v>
      </c>
      <c r="X74" s="12">
        <f>W74*VLOOKUP($A74,'EU Ref Sc 2020 Energy intensive'!$A$5:$AE$33,X$2)</f>
        <v>0.70403396009364017</v>
      </c>
      <c r="Y74" s="12">
        <f>X74*VLOOKUP($A74,'EU Ref Sc 2020 Energy intensive'!$A$5:$AE$33,Y$2)</f>
        <v>0.69828360275040313</v>
      </c>
      <c r="Z74" s="12">
        <f>Y74*VLOOKUP($A74,'EU Ref Sc 2020 Energy intensive'!$A$5:$AE$33,Z$2)</f>
        <v>0.6925332454071661</v>
      </c>
      <c r="AA74" s="12">
        <f>Z74*VLOOKUP($A74,'EU Ref Sc 2020 Energy intensive'!$A$5:$AE$33,AA$2)</f>
        <v>0.68678288806392918</v>
      </c>
      <c r="AB74" s="12">
        <f>AA74*VLOOKUP($A74,'EU Ref Sc 2020 Energy intensive'!$A$5:$AE$33,AB$2)</f>
        <v>0.68103253072069214</v>
      </c>
      <c r="AC74" s="12">
        <f>AB74*VLOOKUP($A74,'EU Ref Sc 2020 Energy intensive'!$A$5:$AE$33,AC$2)</f>
        <v>0.675282173377455</v>
      </c>
      <c r="AD74" s="12">
        <f>AC74*VLOOKUP($A74,'EU Ref Sc 2020 Energy intensive'!$A$5:$AE$33,AD$2)</f>
        <v>0.6719157798146207</v>
      </c>
      <c r="AE74" s="12">
        <f>AD74*VLOOKUP($A74,'EU Ref Sc 2020 Energy intensive'!$A$5:$AE$33,AE$2)</f>
        <v>0.66854938625178639</v>
      </c>
      <c r="AF74" s="12">
        <f>AE74*VLOOKUP($A74,'EU Ref Sc 2020 Energy intensive'!$A$5:$AE$33,AF$2)</f>
        <v>0.66518299268895209</v>
      </c>
      <c r="AG74" s="12">
        <f>AF74*VLOOKUP($A74,'EU Ref Sc 2020 Energy intensive'!$A$5:$AE$33,AG$2)</f>
        <v>0.66181659912611768</v>
      </c>
      <c r="AH74" s="12">
        <f>AG74*VLOOKUP($A74,'EU Ref Sc 2020 Energy intensive'!$A$5:$AE$33,AH$2)</f>
        <v>0.65845020556328338</v>
      </c>
      <c r="AI74" s="13">
        <f t="shared" ref="AI74:AR74" si="73">AH74</f>
        <v>0.65845020556328338</v>
      </c>
      <c r="AJ74" s="13">
        <f t="shared" si="73"/>
        <v>0.65845020556328338</v>
      </c>
      <c r="AK74" s="13">
        <f t="shared" si="73"/>
        <v>0.65845020556328338</v>
      </c>
      <c r="AL74" s="13">
        <f t="shared" si="73"/>
        <v>0.65845020556328338</v>
      </c>
      <c r="AM74" s="13">
        <f t="shared" si="73"/>
        <v>0.65845020556328338</v>
      </c>
      <c r="AN74" s="13">
        <f t="shared" si="73"/>
        <v>0.65845020556328338</v>
      </c>
      <c r="AO74" s="13">
        <f t="shared" si="73"/>
        <v>0.65845020556328338</v>
      </c>
      <c r="AP74" s="13">
        <f t="shared" si="73"/>
        <v>0.65845020556328338</v>
      </c>
      <c r="AQ74" s="13">
        <f t="shared" si="73"/>
        <v>0.65845020556328338</v>
      </c>
      <c r="AR74" s="13">
        <f t="shared" si="73"/>
        <v>0.65845020556328338</v>
      </c>
    </row>
    <row r="75" spans="1:44" x14ac:dyDescent="0.3">
      <c r="A75" t="s">
        <v>1402</v>
      </c>
      <c r="B75" t="s">
        <v>1391</v>
      </c>
      <c r="C75" t="s">
        <v>261</v>
      </c>
      <c r="D75" t="str">
        <f t="shared" si="66"/>
        <v>DEIMEI</v>
      </c>
      <c r="E75" s="2">
        <v>8.2881999999999998</v>
      </c>
      <c r="F75" s="12">
        <f>E75*VLOOKUP($A75,'EU Ref Sc 2020 Energy intensive'!$A$5:$AE$33,F$2)</f>
        <v>8.340623171841079</v>
      </c>
      <c r="G75" s="12">
        <f>F75*VLOOKUP($A75,'EU Ref Sc 2020 Energy intensive'!$A$5:$AE$33,G$2)</f>
        <v>8.3930463436821583</v>
      </c>
      <c r="H75" s="12">
        <f>G75*VLOOKUP($A75,'EU Ref Sc 2020 Energy intensive'!$A$5:$AE$33,H$2)</f>
        <v>8.4454695155232375</v>
      </c>
      <c r="I75" s="12">
        <f>H75*VLOOKUP($A75,'EU Ref Sc 2020 Energy intensive'!$A$5:$AE$33,I$2)</f>
        <v>8.497892687364315</v>
      </c>
      <c r="J75" s="12">
        <f>I75*VLOOKUP($A75,'EU Ref Sc 2020 Energy intensive'!$A$5:$AE$33,J$2)</f>
        <v>8.3935884052754073</v>
      </c>
      <c r="K75" s="12">
        <f>J75*VLOOKUP($A75,'EU Ref Sc 2020 Energy intensive'!$A$5:$AE$33,K$2)</f>
        <v>8.2892841231865013</v>
      </c>
      <c r="L75" s="12">
        <f>K75*VLOOKUP($A75,'EU Ref Sc 2020 Energy intensive'!$A$5:$AE$33,L$2)</f>
        <v>8.1849798410975954</v>
      </c>
      <c r="M75" s="12">
        <f>L75*VLOOKUP($A75,'EU Ref Sc 2020 Energy intensive'!$A$5:$AE$33,M$2)</f>
        <v>8.0806755590086876</v>
      </c>
      <c r="N75" s="12">
        <f>M75*VLOOKUP($A75,'EU Ref Sc 2020 Energy intensive'!$A$5:$AE$33,N$2)</f>
        <v>7.9763712769197781</v>
      </c>
      <c r="O75" s="12">
        <f>N75*VLOOKUP($A75,'EU Ref Sc 2020 Energy intensive'!$A$5:$AE$33,O$2)</f>
        <v>7.8327918109397405</v>
      </c>
      <c r="P75" s="12">
        <f>O75*VLOOKUP($A75,'EU Ref Sc 2020 Energy intensive'!$A$5:$AE$33,P$2)</f>
        <v>7.689212344959703</v>
      </c>
      <c r="Q75" s="12">
        <f>P75*VLOOKUP($A75,'EU Ref Sc 2020 Energy intensive'!$A$5:$AE$33,Q$2)</f>
        <v>7.5456328789796663</v>
      </c>
      <c r="R75" s="12">
        <f>Q75*VLOOKUP($A75,'EU Ref Sc 2020 Energy intensive'!$A$5:$AE$33,R$2)</f>
        <v>7.4020534129996296</v>
      </c>
      <c r="S75" s="12">
        <f>R75*VLOOKUP($A75,'EU Ref Sc 2020 Energy intensive'!$A$5:$AE$33,S$2)</f>
        <v>7.2584739470195938</v>
      </c>
      <c r="T75" s="12">
        <f>S75*VLOOKUP($A75,'EU Ref Sc 2020 Energy intensive'!$A$5:$AE$33,T$2)</f>
        <v>7.1879294359817241</v>
      </c>
      <c r="U75" s="12">
        <f>T75*VLOOKUP($A75,'EU Ref Sc 2020 Energy intensive'!$A$5:$AE$33,U$2)</f>
        <v>7.1173849249438543</v>
      </c>
      <c r="V75" s="12">
        <f>U75*VLOOKUP($A75,'EU Ref Sc 2020 Energy intensive'!$A$5:$AE$33,V$2)</f>
        <v>7.0468404139059855</v>
      </c>
      <c r="W75" s="12">
        <f>V75*VLOOKUP($A75,'EU Ref Sc 2020 Energy intensive'!$A$5:$AE$33,W$2)</f>
        <v>6.9762959028681157</v>
      </c>
      <c r="X75" s="12">
        <f>W75*VLOOKUP($A75,'EU Ref Sc 2020 Energy intensive'!$A$5:$AE$33,X$2)</f>
        <v>6.9057513918302442</v>
      </c>
      <c r="Y75" s="12">
        <f>X75*VLOOKUP($A75,'EU Ref Sc 2020 Energy intensive'!$A$5:$AE$33,Y$2)</f>
        <v>6.8685525666031122</v>
      </c>
      <c r="Z75" s="12">
        <f>Y75*VLOOKUP($A75,'EU Ref Sc 2020 Energy intensive'!$A$5:$AE$33,Z$2)</f>
        <v>6.8313537413759802</v>
      </c>
      <c r="AA75" s="12">
        <f>Z75*VLOOKUP($A75,'EU Ref Sc 2020 Energy intensive'!$A$5:$AE$33,AA$2)</f>
        <v>6.7941549161488481</v>
      </c>
      <c r="AB75" s="12">
        <f>AA75*VLOOKUP($A75,'EU Ref Sc 2020 Energy intensive'!$A$5:$AE$33,AB$2)</f>
        <v>6.7569560909217161</v>
      </c>
      <c r="AC75" s="12">
        <f>AB75*VLOOKUP($A75,'EU Ref Sc 2020 Energy intensive'!$A$5:$AE$33,AC$2)</f>
        <v>6.7197572656945823</v>
      </c>
      <c r="AD75" s="12">
        <f>AC75*VLOOKUP($A75,'EU Ref Sc 2020 Energy intensive'!$A$5:$AE$33,AD$2)</f>
        <v>6.6928026757064236</v>
      </c>
      <c r="AE75" s="12">
        <f>AD75*VLOOKUP($A75,'EU Ref Sc 2020 Energy intensive'!$A$5:$AE$33,AE$2)</f>
        <v>6.665848085718264</v>
      </c>
      <c r="AF75" s="12">
        <f>AE75*VLOOKUP($A75,'EU Ref Sc 2020 Energy intensive'!$A$5:$AE$33,AF$2)</f>
        <v>6.6388934957301053</v>
      </c>
      <c r="AG75" s="12">
        <f>AF75*VLOOKUP($A75,'EU Ref Sc 2020 Energy intensive'!$A$5:$AE$33,AG$2)</f>
        <v>6.6119389057419466</v>
      </c>
      <c r="AH75" s="12">
        <f>AG75*VLOOKUP($A75,'EU Ref Sc 2020 Energy intensive'!$A$5:$AE$33,AH$2)</f>
        <v>6.5849843157537871</v>
      </c>
      <c r="AI75" s="13">
        <f t="shared" ref="AI75:AR75" si="74">AH75</f>
        <v>6.5849843157537871</v>
      </c>
      <c r="AJ75" s="13">
        <f t="shared" si="74"/>
        <v>6.5849843157537871</v>
      </c>
      <c r="AK75" s="13">
        <f t="shared" si="74"/>
        <v>6.5849843157537871</v>
      </c>
      <c r="AL75" s="13">
        <f t="shared" si="74"/>
        <v>6.5849843157537871</v>
      </c>
      <c r="AM75" s="13">
        <f t="shared" si="74"/>
        <v>6.5849843157537871</v>
      </c>
      <c r="AN75" s="13">
        <f t="shared" si="74"/>
        <v>6.5849843157537871</v>
      </c>
      <c r="AO75" s="13">
        <f t="shared" si="74"/>
        <v>6.5849843157537871</v>
      </c>
      <c r="AP75" s="13">
        <f t="shared" si="74"/>
        <v>6.5849843157537871</v>
      </c>
      <c r="AQ75" s="13">
        <f t="shared" si="74"/>
        <v>6.5849843157537871</v>
      </c>
      <c r="AR75" s="13">
        <f t="shared" si="74"/>
        <v>6.5849843157537871</v>
      </c>
    </row>
    <row r="76" spans="1:44" x14ac:dyDescent="0.3">
      <c r="A76" t="s">
        <v>1407</v>
      </c>
      <c r="B76" t="s">
        <v>1391</v>
      </c>
      <c r="C76" t="s">
        <v>426</v>
      </c>
      <c r="D76" t="str">
        <f t="shared" si="66"/>
        <v>GRIMEI</v>
      </c>
      <c r="E76" s="2">
        <v>0.1956</v>
      </c>
      <c r="F76" s="12">
        <f>E76*VLOOKUP($A76,'EU Ref Sc 2020 Energy intensive'!$A$5:$AE$33,F$2)</f>
        <v>0.20263845165504649</v>
      </c>
      <c r="G76" s="12">
        <f>F76*VLOOKUP($A76,'EU Ref Sc 2020 Energy intensive'!$A$5:$AE$33,G$2)</f>
        <v>0.20967690331009298</v>
      </c>
      <c r="H76" s="12">
        <f>G76*VLOOKUP($A76,'EU Ref Sc 2020 Energy intensive'!$A$5:$AE$33,H$2)</f>
        <v>0.2167153549651395</v>
      </c>
      <c r="I76" s="12">
        <f>H76*VLOOKUP($A76,'EU Ref Sc 2020 Energy intensive'!$A$5:$AE$33,I$2)</f>
        <v>0.22375380662018599</v>
      </c>
      <c r="J76" s="12">
        <f>I76*VLOOKUP($A76,'EU Ref Sc 2020 Energy intensive'!$A$5:$AE$33,J$2)</f>
        <v>0.22224899560704184</v>
      </c>
      <c r="K76" s="12">
        <f>J76*VLOOKUP($A76,'EU Ref Sc 2020 Energy intensive'!$A$5:$AE$33,K$2)</f>
        <v>0.22074418459389766</v>
      </c>
      <c r="L76" s="12">
        <f>K76*VLOOKUP($A76,'EU Ref Sc 2020 Energy intensive'!$A$5:$AE$33,L$2)</f>
        <v>0.21923937358075349</v>
      </c>
      <c r="M76" s="12">
        <f>L76*VLOOKUP($A76,'EU Ref Sc 2020 Energy intensive'!$A$5:$AE$33,M$2)</f>
        <v>0.21773456256760934</v>
      </c>
      <c r="N76" s="12">
        <f>M76*VLOOKUP($A76,'EU Ref Sc 2020 Energy intensive'!$A$5:$AE$33,N$2)</f>
        <v>0.21622975155446517</v>
      </c>
      <c r="O76" s="12">
        <f>N76*VLOOKUP($A76,'EU Ref Sc 2020 Energy intensive'!$A$5:$AE$33,O$2)</f>
        <v>0.21480650283594907</v>
      </c>
      <c r="P76" s="12">
        <f>O76*VLOOKUP($A76,'EU Ref Sc 2020 Energy intensive'!$A$5:$AE$33,P$2)</f>
        <v>0.21338325411743297</v>
      </c>
      <c r="Q76" s="12">
        <f>P76*VLOOKUP($A76,'EU Ref Sc 2020 Energy intensive'!$A$5:$AE$33,Q$2)</f>
        <v>0.21196000539891688</v>
      </c>
      <c r="R76" s="12">
        <f>Q76*VLOOKUP($A76,'EU Ref Sc 2020 Energy intensive'!$A$5:$AE$33,R$2)</f>
        <v>0.21053675668040078</v>
      </c>
      <c r="S76" s="12">
        <f>R76*VLOOKUP($A76,'EU Ref Sc 2020 Energy intensive'!$A$5:$AE$33,S$2)</f>
        <v>0.20911350796188463</v>
      </c>
      <c r="T76" s="12">
        <f>S76*VLOOKUP($A76,'EU Ref Sc 2020 Energy intensive'!$A$5:$AE$33,T$2)</f>
        <v>0.20826599803946086</v>
      </c>
      <c r="U76" s="12">
        <f>T76*VLOOKUP($A76,'EU Ref Sc 2020 Energy intensive'!$A$5:$AE$33,U$2)</f>
        <v>0.20741848811703709</v>
      </c>
      <c r="V76" s="12">
        <f>U76*VLOOKUP($A76,'EU Ref Sc 2020 Energy intensive'!$A$5:$AE$33,V$2)</f>
        <v>0.20657097819461331</v>
      </c>
      <c r="W76" s="12">
        <f>V76*VLOOKUP($A76,'EU Ref Sc 2020 Energy intensive'!$A$5:$AE$33,W$2)</f>
        <v>0.20572346827218951</v>
      </c>
      <c r="X76" s="12">
        <f>W76*VLOOKUP($A76,'EU Ref Sc 2020 Energy intensive'!$A$5:$AE$33,X$2)</f>
        <v>0.20487595834976571</v>
      </c>
      <c r="Y76" s="12">
        <f>X76*VLOOKUP($A76,'EU Ref Sc 2020 Energy intensive'!$A$5:$AE$33,Y$2)</f>
        <v>0.20531393147320973</v>
      </c>
      <c r="Z76" s="12">
        <f>Y76*VLOOKUP($A76,'EU Ref Sc 2020 Energy intensive'!$A$5:$AE$33,Z$2)</f>
        <v>0.20575190459665371</v>
      </c>
      <c r="AA76" s="12">
        <f>Z76*VLOOKUP($A76,'EU Ref Sc 2020 Energy intensive'!$A$5:$AE$33,AA$2)</f>
        <v>0.20618987772009775</v>
      </c>
      <c r="AB76" s="12">
        <f>AA76*VLOOKUP($A76,'EU Ref Sc 2020 Energy intensive'!$A$5:$AE$33,AB$2)</f>
        <v>0.20662785084354177</v>
      </c>
      <c r="AC76" s="12">
        <f>AB76*VLOOKUP($A76,'EU Ref Sc 2020 Energy intensive'!$A$5:$AE$33,AC$2)</f>
        <v>0.20706582396698572</v>
      </c>
      <c r="AD76" s="12">
        <f>AC76*VLOOKUP($A76,'EU Ref Sc 2020 Energy intensive'!$A$5:$AE$33,AD$2)</f>
        <v>0.20619829001682724</v>
      </c>
      <c r="AE76" s="12">
        <f>AD76*VLOOKUP($A76,'EU Ref Sc 2020 Energy intensive'!$A$5:$AE$33,AE$2)</f>
        <v>0.20533075606666873</v>
      </c>
      <c r="AF76" s="12">
        <f>AE76*VLOOKUP($A76,'EU Ref Sc 2020 Energy intensive'!$A$5:$AE$33,AF$2)</f>
        <v>0.20446322211651025</v>
      </c>
      <c r="AG76" s="12">
        <f>AF76*VLOOKUP($A76,'EU Ref Sc 2020 Energy intensive'!$A$5:$AE$33,AG$2)</f>
        <v>0.20359568816635173</v>
      </c>
      <c r="AH76" s="12">
        <f>AG76*VLOOKUP($A76,'EU Ref Sc 2020 Energy intensive'!$A$5:$AE$33,AH$2)</f>
        <v>0.20272815421619328</v>
      </c>
      <c r="AI76" s="13">
        <f t="shared" ref="AI76:AR76" si="75">AH76</f>
        <v>0.20272815421619328</v>
      </c>
      <c r="AJ76" s="13">
        <f t="shared" si="75"/>
        <v>0.20272815421619328</v>
      </c>
      <c r="AK76" s="13">
        <f t="shared" si="75"/>
        <v>0.20272815421619328</v>
      </c>
      <c r="AL76" s="13">
        <f t="shared" si="75"/>
        <v>0.20272815421619328</v>
      </c>
      <c r="AM76" s="13">
        <f t="shared" si="75"/>
        <v>0.20272815421619328</v>
      </c>
      <c r="AN76" s="13">
        <f t="shared" si="75"/>
        <v>0.20272815421619328</v>
      </c>
      <c r="AO76" s="13">
        <f t="shared" si="75"/>
        <v>0.20272815421619328</v>
      </c>
      <c r="AP76" s="13">
        <f t="shared" si="75"/>
        <v>0.20272815421619328</v>
      </c>
      <c r="AQ76" s="13">
        <f t="shared" si="75"/>
        <v>0.20272815421619328</v>
      </c>
      <c r="AR76" s="13">
        <f t="shared" si="75"/>
        <v>0.20272815421619328</v>
      </c>
    </row>
    <row r="77" spans="1:44" x14ac:dyDescent="0.3">
      <c r="A77" t="s">
        <v>1408</v>
      </c>
      <c r="B77" t="s">
        <v>1391</v>
      </c>
      <c r="C77" t="s">
        <v>481</v>
      </c>
      <c r="D77" t="str">
        <f t="shared" si="66"/>
        <v>ESIMEI</v>
      </c>
      <c r="E77" s="2">
        <v>2.7978000000000001</v>
      </c>
      <c r="F77" s="12">
        <f>E77*VLOOKUP($A77,'EU Ref Sc 2020 Energy intensive'!$A$5:$AE$33,F$2)</f>
        <v>2.9264585705287147</v>
      </c>
      <c r="G77" s="12">
        <f>F77*VLOOKUP($A77,'EU Ref Sc 2020 Energy intensive'!$A$5:$AE$33,G$2)</f>
        <v>3.0551171410574294</v>
      </c>
      <c r="H77" s="12">
        <f>G77*VLOOKUP($A77,'EU Ref Sc 2020 Energy intensive'!$A$5:$AE$33,H$2)</f>
        <v>3.1837757115861436</v>
      </c>
      <c r="I77" s="12">
        <f>H77*VLOOKUP($A77,'EU Ref Sc 2020 Energy intensive'!$A$5:$AE$33,I$2)</f>
        <v>3.3124342821148582</v>
      </c>
      <c r="J77" s="12">
        <f>I77*VLOOKUP($A77,'EU Ref Sc 2020 Energy intensive'!$A$5:$AE$33,J$2)</f>
        <v>3.3289138858805374</v>
      </c>
      <c r="K77" s="12">
        <f>J77*VLOOKUP($A77,'EU Ref Sc 2020 Energy intensive'!$A$5:$AE$33,K$2)</f>
        <v>3.3453934896462165</v>
      </c>
      <c r="L77" s="12">
        <f>K77*VLOOKUP($A77,'EU Ref Sc 2020 Energy intensive'!$A$5:$AE$33,L$2)</f>
        <v>3.3618730934118957</v>
      </c>
      <c r="M77" s="12">
        <f>L77*VLOOKUP($A77,'EU Ref Sc 2020 Energy intensive'!$A$5:$AE$33,M$2)</f>
        <v>3.3783526971775748</v>
      </c>
      <c r="N77" s="12">
        <f>M77*VLOOKUP($A77,'EU Ref Sc 2020 Energy intensive'!$A$5:$AE$33,N$2)</f>
        <v>3.3948323009432548</v>
      </c>
      <c r="O77" s="12">
        <f>N77*VLOOKUP($A77,'EU Ref Sc 2020 Energy intensive'!$A$5:$AE$33,O$2)</f>
        <v>3.3227901208982566</v>
      </c>
      <c r="P77" s="12">
        <f>O77*VLOOKUP($A77,'EU Ref Sc 2020 Energy intensive'!$A$5:$AE$33,P$2)</f>
        <v>3.2507479408532585</v>
      </c>
      <c r="Q77" s="12">
        <f>P77*VLOOKUP($A77,'EU Ref Sc 2020 Energy intensive'!$A$5:$AE$33,Q$2)</f>
        <v>3.1787057608082603</v>
      </c>
      <c r="R77" s="12">
        <f>Q77*VLOOKUP($A77,'EU Ref Sc 2020 Energy intensive'!$A$5:$AE$33,R$2)</f>
        <v>3.1066635807632621</v>
      </c>
      <c r="S77" s="12">
        <f>R77*VLOOKUP($A77,'EU Ref Sc 2020 Energy intensive'!$A$5:$AE$33,S$2)</f>
        <v>3.0346214007182635</v>
      </c>
      <c r="T77" s="12">
        <f>S77*VLOOKUP($A77,'EU Ref Sc 2020 Energy intensive'!$A$5:$AE$33,T$2)</f>
        <v>3.0102404314593616</v>
      </c>
      <c r="U77" s="12">
        <f>T77*VLOOKUP($A77,'EU Ref Sc 2020 Energy intensive'!$A$5:$AE$33,U$2)</f>
        <v>2.9858594622004597</v>
      </c>
      <c r="V77" s="12">
        <f>U77*VLOOKUP($A77,'EU Ref Sc 2020 Energy intensive'!$A$5:$AE$33,V$2)</f>
        <v>2.9614784929415578</v>
      </c>
      <c r="W77" s="12">
        <f>V77*VLOOKUP($A77,'EU Ref Sc 2020 Energy intensive'!$A$5:$AE$33,W$2)</f>
        <v>2.937097523682656</v>
      </c>
      <c r="X77" s="12">
        <f>W77*VLOOKUP($A77,'EU Ref Sc 2020 Energy intensive'!$A$5:$AE$33,X$2)</f>
        <v>2.9127165544237541</v>
      </c>
      <c r="Y77" s="12">
        <f>X77*VLOOKUP($A77,'EU Ref Sc 2020 Energy intensive'!$A$5:$AE$33,Y$2)</f>
        <v>2.8917296576187481</v>
      </c>
      <c r="Z77" s="12">
        <f>Y77*VLOOKUP($A77,'EU Ref Sc 2020 Energy intensive'!$A$5:$AE$33,Z$2)</f>
        <v>2.8707427608137421</v>
      </c>
      <c r="AA77" s="12">
        <f>Z77*VLOOKUP($A77,'EU Ref Sc 2020 Energy intensive'!$A$5:$AE$33,AA$2)</f>
        <v>2.8497558640087362</v>
      </c>
      <c r="AB77" s="12">
        <f>AA77*VLOOKUP($A77,'EU Ref Sc 2020 Energy intensive'!$A$5:$AE$33,AB$2)</f>
        <v>2.8287689672037297</v>
      </c>
      <c r="AC77" s="12">
        <f>AB77*VLOOKUP($A77,'EU Ref Sc 2020 Energy intensive'!$A$5:$AE$33,AC$2)</f>
        <v>2.8077820703987237</v>
      </c>
      <c r="AD77" s="12">
        <f>AC77*VLOOKUP($A77,'EU Ref Sc 2020 Energy intensive'!$A$5:$AE$33,AD$2)</f>
        <v>2.8017027545572755</v>
      </c>
      <c r="AE77" s="12">
        <f>AD77*VLOOKUP($A77,'EU Ref Sc 2020 Energy intensive'!$A$5:$AE$33,AE$2)</f>
        <v>2.7956234387158272</v>
      </c>
      <c r="AF77" s="12">
        <f>AE77*VLOOKUP($A77,'EU Ref Sc 2020 Energy intensive'!$A$5:$AE$33,AF$2)</f>
        <v>2.7895441228743794</v>
      </c>
      <c r="AG77" s="12">
        <f>AF77*VLOOKUP($A77,'EU Ref Sc 2020 Energy intensive'!$A$5:$AE$33,AG$2)</f>
        <v>2.7834648070329311</v>
      </c>
      <c r="AH77" s="12">
        <f>AG77*VLOOKUP($A77,'EU Ref Sc 2020 Energy intensive'!$A$5:$AE$33,AH$2)</f>
        <v>2.7773854911914837</v>
      </c>
      <c r="AI77" s="13">
        <f t="shared" ref="AI77:AR77" si="76">AH77</f>
        <v>2.7773854911914837</v>
      </c>
      <c r="AJ77" s="13">
        <f t="shared" si="76"/>
        <v>2.7773854911914837</v>
      </c>
      <c r="AK77" s="13">
        <f t="shared" si="76"/>
        <v>2.7773854911914837</v>
      </c>
      <c r="AL77" s="13">
        <f t="shared" si="76"/>
        <v>2.7773854911914837</v>
      </c>
      <c r="AM77" s="13">
        <f t="shared" si="76"/>
        <v>2.7773854911914837</v>
      </c>
      <c r="AN77" s="13">
        <f t="shared" si="76"/>
        <v>2.7773854911914837</v>
      </c>
      <c r="AO77" s="13">
        <f t="shared" si="76"/>
        <v>2.7773854911914837</v>
      </c>
      <c r="AP77" s="13">
        <f t="shared" si="76"/>
        <v>2.7773854911914837</v>
      </c>
      <c r="AQ77" s="13">
        <f t="shared" si="76"/>
        <v>2.7773854911914837</v>
      </c>
      <c r="AR77" s="13">
        <f t="shared" si="76"/>
        <v>2.7773854911914837</v>
      </c>
    </row>
    <row r="78" spans="1:44" x14ac:dyDescent="0.3">
      <c r="A78" t="s">
        <v>1409</v>
      </c>
      <c r="B78" t="s">
        <v>1391</v>
      </c>
      <c r="C78" t="s">
        <v>536</v>
      </c>
      <c r="D78" t="str">
        <f t="shared" si="66"/>
        <v>FIIMEI</v>
      </c>
      <c r="E78" s="2">
        <v>1.2091000000000001</v>
      </c>
      <c r="F78" s="12">
        <f>E78*VLOOKUP($A78,'EU Ref Sc 2020 Energy intensive'!$A$5:$AE$33,F$2)</f>
        <v>1.2647012143921184</v>
      </c>
      <c r="G78" s="12">
        <f>F78*VLOOKUP($A78,'EU Ref Sc 2020 Energy intensive'!$A$5:$AE$33,G$2)</f>
        <v>1.3203024287842369</v>
      </c>
      <c r="H78" s="12">
        <f>G78*VLOOKUP($A78,'EU Ref Sc 2020 Energy intensive'!$A$5:$AE$33,H$2)</f>
        <v>1.3759036431763552</v>
      </c>
      <c r="I78" s="12">
        <f>H78*VLOOKUP($A78,'EU Ref Sc 2020 Energy intensive'!$A$5:$AE$33,I$2)</f>
        <v>1.4315048575684735</v>
      </c>
      <c r="J78" s="12">
        <f>I78*VLOOKUP($A78,'EU Ref Sc 2020 Energy intensive'!$A$5:$AE$33,J$2)</f>
        <v>1.4386266993416819</v>
      </c>
      <c r="K78" s="12">
        <f>J78*VLOOKUP($A78,'EU Ref Sc 2020 Energy intensive'!$A$5:$AE$33,K$2)</f>
        <v>1.4457485411148903</v>
      </c>
      <c r="L78" s="12">
        <f>K78*VLOOKUP($A78,'EU Ref Sc 2020 Energy intensive'!$A$5:$AE$33,L$2)</f>
        <v>1.4528703828880989</v>
      </c>
      <c r="M78" s="12">
        <f>L78*VLOOKUP($A78,'EU Ref Sc 2020 Energy intensive'!$A$5:$AE$33,M$2)</f>
        <v>1.4599922246613073</v>
      </c>
      <c r="N78" s="12">
        <f>M78*VLOOKUP($A78,'EU Ref Sc 2020 Energy intensive'!$A$5:$AE$33,N$2)</f>
        <v>1.4671140664345161</v>
      </c>
      <c r="O78" s="12">
        <f>N78*VLOOKUP($A78,'EU Ref Sc 2020 Energy intensive'!$A$5:$AE$33,O$2)</f>
        <v>1.4359802470434204</v>
      </c>
      <c r="P78" s="12">
        <f>O78*VLOOKUP($A78,'EU Ref Sc 2020 Energy intensive'!$A$5:$AE$33,P$2)</f>
        <v>1.4048464276523249</v>
      </c>
      <c r="Q78" s="12">
        <f>P78*VLOOKUP($A78,'EU Ref Sc 2020 Energy intensive'!$A$5:$AE$33,Q$2)</f>
        <v>1.3737126082612292</v>
      </c>
      <c r="R78" s="12">
        <f>Q78*VLOOKUP($A78,'EU Ref Sc 2020 Energy intensive'!$A$5:$AE$33,R$2)</f>
        <v>1.3425787888701335</v>
      </c>
      <c r="S78" s="12">
        <f>R78*VLOOKUP($A78,'EU Ref Sc 2020 Energy intensive'!$A$5:$AE$33,S$2)</f>
        <v>1.3114449694790375</v>
      </c>
      <c r="T78" s="12">
        <f>S78*VLOOKUP($A78,'EU Ref Sc 2020 Energy intensive'!$A$5:$AE$33,T$2)</f>
        <v>1.3009084658222578</v>
      </c>
      <c r="U78" s="12">
        <f>T78*VLOOKUP($A78,'EU Ref Sc 2020 Energy intensive'!$A$5:$AE$33,U$2)</f>
        <v>1.2903719621654781</v>
      </c>
      <c r="V78" s="12">
        <f>U78*VLOOKUP($A78,'EU Ref Sc 2020 Energy intensive'!$A$5:$AE$33,V$2)</f>
        <v>1.2798354585086984</v>
      </c>
      <c r="W78" s="12">
        <f>V78*VLOOKUP($A78,'EU Ref Sc 2020 Energy intensive'!$A$5:$AE$33,W$2)</f>
        <v>1.2692989548519187</v>
      </c>
      <c r="X78" s="12">
        <f>W78*VLOOKUP($A78,'EU Ref Sc 2020 Energy intensive'!$A$5:$AE$33,X$2)</f>
        <v>1.258762451195139</v>
      </c>
      <c r="Y78" s="12">
        <f>X78*VLOOKUP($A78,'EU Ref Sc 2020 Energy intensive'!$A$5:$AE$33,Y$2)</f>
        <v>1.2496927332285463</v>
      </c>
      <c r="Z78" s="12">
        <f>Y78*VLOOKUP($A78,'EU Ref Sc 2020 Energy intensive'!$A$5:$AE$33,Z$2)</f>
        <v>1.2406230152619537</v>
      </c>
      <c r="AA78" s="12">
        <f>Z78*VLOOKUP($A78,'EU Ref Sc 2020 Energy intensive'!$A$5:$AE$33,AA$2)</f>
        <v>1.2315532972953611</v>
      </c>
      <c r="AB78" s="12">
        <f>AA78*VLOOKUP($A78,'EU Ref Sc 2020 Energy intensive'!$A$5:$AE$33,AB$2)</f>
        <v>1.2224835793287685</v>
      </c>
      <c r="AC78" s="12">
        <f>AB78*VLOOKUP($A78,'EU Ref Sc 2020 Energy intensive'!$A$5:$AE$33,AC$2)</f>
        <v>1.2134138613621759</v>
      </c>
      <c r="AD78" s="12">
        <f>AC78*VLOOKUP($A78,'EU Ref Sc 2020 Energy intensive'!$A$5:$AE$33,AD$2)</f>
        <v>1.2107866182483382</v>
      </c>
      <c r="AE78" s="12">
        <f>AD78*VLOOKUP($A78,'EU Ref Sc 2020 Energy intensive'!$A$5:$AE$33,AE$2)</f>
        <v>1.2081593751345006</v>
      </c>
      <c r="AF78" s="12">
        <f>AE78*VLOOKUP($A78,'EU Ref Sc 2020 Energy intensive'!$A$5:$AE$33,AF$2)</f>
        <v>1.2055321320206629</v>
      </c>
      <c r="AG78" s="12">
        <f>AF78*VLOOKUP($A78,'EU Ref Sc 2020 Energy intensive'!$A$5:$AE$33,AG$2)</f>
        <v>1.2029048889068252</v>
      </c>
      <c r="AH78" s="12">
        <f>AG78*VLOOKUP($A78,'EU Ref Sc 2020 Energy intensive'!$A$5:$AE$33,AH$2)</f>
        <v>1.200277645792988</v>
      </c>
      <c r="AI78" s="13">
        <f t="shared" ref="AI78:AR78" si="77">AH78</f>
        <v>1.200277645792988</v>
      </c>
      <c r="AJ78" s="13">
        <f t="shared" si="77"/>
        <v>1.200277645792988</v>
      </c>
      <c r="AK78" s="13">
        <f t="shared" si="77"/>
        <v>1.200277645792988</v>
      </c>
      <c r="AL78" s="13">
        <f t="shared" si="77"/>
        <v>1.200277645792988</v>
      </c>
      <c r="AM78" s="13">
        <f t="shared" si="77"/>
        <v>1.200277645792988</v>
      </c>
      <c r="AN78" s="13">
        <f t="shared" si="77"/>
        <v>1.200277645792988</v>
      </c>
      <c r="AO78" s="13">
        <f t="shared" si="77"/>
        <v>1.200277645792988</v>
      </c>
      <c r="AP78" s="13">
        <f t="shared" si="77"/>
        <v>1.200277645792988</v>
      </c>
      <c r="AQ78" s="13">
        <f t="shared" si="77"/>
        <v>1.200277645792988</v>
      </c>
      <c r="AR78" s="13">
        <f t="shared" si="77"/>
        <v>1.200277645792988</v>
      </c>
    </row>
    <row r="79" spans="1:44" x14ac:dyDescent="0.3">
      <c r="A79" t="s">
        <v>1414</v>
      </c>
      <c r="B79" t="s">
        <v>1391</v>
      </c>
      <c r="C79" t="s">
        <v>844</v>
      </c>
      <c r="D79" t="str">
        <f t="shared" si="66"/>
        <v>ITIMEI</v>
      </c>
      <c r="E79" s="2">
        <v>4.8539000000000003</v>
      </c>
      <c r="F79" s="12">
        <f>E79*VLOOKUP($A79,'EU Ref Sc 2020 Energy intensive'!$A$5:$AE$33,F$2)</f>
        <v>4.8869475515245409</v>
      </c>
      <c r="G79" s="12">
        <f>F79*VLOOKUP($A79,'EU Ref Sc 2020 Energy intensive'!$A$5:$AE$33,G$2)</f>
        <v>4.9199951030490823</v>
      </c>
      <c r="H79" s="12">
        <f>G79*VLOOKUP($A79,'EU Ref Sc 2020 Energy intensive'!$A$5:$AE$33,H$2)</f>
        <v>4.9530426545736237</v>
      </c>
      <c r="I79" s="12">
        <f>H79*VLOOKUP($A79,'EU Ref Sc 2020 Energy intensive'!$A$5:$AE$33,I$2)</f>
        <v>4.9860902060981651</v>
      </c>
      <c r="J79" s="12">
        <f>I79*VLOOKUP($A79,'EU Ref Sc 2020 Energy intensive'!$A$5:$AE$33,J$2)</f>
        <v>4.9543860099562673</v>
      </c>
      <c r="K79" s="12">
        <f>J79*VLOOKUP($A79,'EU Ref Sc 2020 Energy intensive'!$A$5:$AE$33,K$2)</f>
        <v>4.9226818138143695</v>
      </c>
      <c r="L79" s="12">
        <f>K79*VLOOKUP($A79,'EU Ref Sc 2020 Energy intensive'!$A$5:$AE$33,L$2)</f>
        <v>4.8909776176724709</v>
      </c>
      <c r="M79" s="12">
        <f>L79*VLOOKUP($A79,'EU Ref Sc 2020 Energy intensive'!$A$5:$AE$33,M$2)</f>
        <v>4.8592734215305731</v>
      </c>
      <c r="N79" s="12">
        <f>M79*VLOOKUP($A79,'EU Ref Sc 2020 Energy intensive'!$A$5:$AE$33,N$2)</f>
        <v>4.8275692253886762</v>
      </c>
      <c r="O79" s="12">
        <f>N79*VLOOKUP($A79,'EU Ref Sc 2020 Energy intensive'!$A$5:$AE$33,O$2)</f>
        <v>4.7601508463225555</v>
      </c>
      <c r="P79" s="12">
        <f>O79*VLOOKUP($A79,'EU Ref Sc 2020 Energy intensive'!$A$5:$AE$33,P$2)</f>
        <v>4.6927324672564348</v>
      </c>
      <c r="Q79" s="12">
        <f>P79*VLOOKUP($A79,'EU Ref Sc 2020 Energy intensive'!$A$5:$AE$33,Q$2)</f>
        <v>4.6253140881903141</v>
      </c>
      <c r="R79" s="12">
        <f>Q79*VLOOKUP($A79,'EU Ref Sc 2020 Energy intensive'!$A$5:$AE$33,R$2)</f>
        <v>4.5578957091241934</v>
      </c>
      <c r="S79" s="12">
        <f>R79*VLOOKUP($A79,'EU Ref Sc 2020 Energy intensive'!$A$5:$AE$33,S$2)</f>
        <v>4.4904773300580727</v>
      </c>
      <c r="T79" s="12">
        <f>S79*VLOOKUP($A79,'EU Ref Sc 2020 Energy intensive'!$A$5:$AE$33,T$2)</f>
        <v>4.4182204969041505</v>
      </c>
      <c r="U79" s="12">
        <f>T79*VLOOKUP($A79,'EU Ref Sc 2020 Energy intensive'!$A$5:$AE$33,U$2)</f>
        <v>4.3459636637502292</v>
      </c>
      <c r="V79" s="12">
        <f>U79*VLOOKUP($A79,'EU Ref Sc 2020 Energy intensive'!$A$5:$AE$33,V$2)</f>
        <v>4.2737068305963071</v>
      </c>
      <c r="W79" s="12">
        <f>V79*VLOOKUP($A79,'EU Ref Sc 2020 Energy intensive'!$A$5:$AE$33,W$2)</f>
        <v>4.2014499974423858</v>
      </c>
      <c r="X79" s="12">
        <f>W79*VLOOKUP($A79,'EU Ref Sc 2020 Energy intensive'!$A$5:$AE$33,X$2)</f>
        <v>4.1291931642884636</v>
      </c>
      <c r="Y79" s="12">
        <f>X79*VLOOKUP($A79,'EU Ref Sc 2020 Energy intensive'!$A$5:$AE$33,Y$2)</f>
        <v>4.07895290472581</v>
      </c>
      <c r="Z79" s="12">
        <f>Y79*VLOOKUP($A79,'EU Ref Sc 2020 Energy intensive'!$A$5:$AE$33,Z$2)</f>
        <v>4.0287126451631572</v>
      </c>
      <c r="AA79" s="12">
        <f>Z79*VLOOKUP($A79,'EU Ref Sc 2020 Energy intensive'!$A$5:$AE$33,AA$2)</f>
        <v>3.978472385600504</v>
      </c>
      <c r="AB79" s="12">
        <f>AA79*VLOOKUP($A79,'EU Ref Sc 2020 Energy intensive'!$A$5:$AE$33,AB$2)</f>
        <v>3.9282321260378508</v>
      </c>
      <c r="AC79" s="12">
        <f>AB79*VLOOKUP($A79,'EU Ref Sc 2020 Energy intensive'!$A$5:$AE$33,AC$2)</f>
        <v>3.8779918664751967</v>
      </c>
      <c r="AD79" s="12">
        <f>AC79*VLOOKUP($A79,'EU Ref Sc 2020 Energy intensive'!$A$5:$AE$33,AD$2)</f>
        <v>3.9303997368314709</v>
      </c>
      <c r="AE79" s="12">
        <f>AD79*VLOOKUP($A79,'EU Ref Sc 2020 Energy intensive'!$A$5:$AE$33,AE$2)</f>
        <v>3.9828076071877452</v>
      </c>
      <c r="AF79" s="12">
        <f>AE79*VLOOKUP($A79,'EU Ref Sc 2020 Energy intensive'!$A$5:$AE$33,AF$2)</f>
        <v>4.0352154775440194</v>
      </c>
      <c r="AG79" s="12">
        <f>AF79*VLOOKUP($A79,'EU Ref Sc 2020 Energy intensive'!$A$5:$AE$33,AG$2)</f>
        <v>4.0876233479002932</v>
      </c>
      <c r="AH79" s="12">
        <f>AG79*VLOOKUP($A79,'EU Ref Sc 2020 Energy intensive'!$A$5:$AE$33,AH$2)</f>
        <v>4.1400312182565688</v>
      </c>
      <c r="AI79" s="13">
        <f t="shared" ref="AI79:AR79" si="78">AH79</f>
        <v>4.1400312182565688</v>
      </c>
      <c r="AJ79" s="13">
        <f t="shared" si="78"/>
        <v>4.1400312182565688</v>
      </c>
      <c r="AK79" s="13">
        <f t="shared" si="78"/>
        <v>4.1400312182565688</v>
      </c>
      <c r="AL79" s="13">
        <f t="shared" si="78"/>
        <v>4.1400312182565688</v>
      </c>
      <c r="AM79" s="13">
        <f t="shared" si="78"/>
        <v>4.1400312182565688</v>
      </c>
      <c r="AN79" s="13">
        <f t="shared" si="78"/>
        <v>4.1400312182565688</v>
      </c>
      <c r="AO79" s="13">
        <f t="shared" si="78"/>
        <v>4.1400312182565688</v>
      </c>
      <c r="AP79" s="13">
        <f t="shared" si="78"/>
        <v>4.1400312182565688</v>
      </c>
      <c r="AQ79" s="13">
        <f t="shared" si="78"/>
        <v>4.1400312182565688</v>
      </c>
      <c r="AR79" s="13">
        <f t="shared" si="78"/>
        <v>4.1400312182565688</v>
      </c>
    </row>
    <row r="80" spans="1:44" x14ac:dyDescent="0.3">
      <c r="A80" t="s">
        <v>1416</v>
      </c>
      <c r="B80" t="s">
        <v>1391</v>
      </c>
      <c r="C80" t="s">
        <v>932</v>
      </c>
      <c r="D80" t="str">
        <f t="shared" si="66"/>
        <v>LUIMEI</v>
      </c>
      <c r="E80" s="2">
        <v>0.45490000000000003</v>
      </c>
      <c r="F80" s="12">
        <f>E80*VLOOKUP($A80,'EU Ref Sc 2020 Energy intensive'!$A$5:$AE$33,F$2)</f>
        <v>0.45411389621250536</v>
      </c>
      <c r="G80" s="12">
        <f>F80*VLOOKUP($A80,'EU Ref Sc 2020 Energy intensive'!$A$5:$AE$33,G$2)</f>
        <v>0.45332779242501076</v>
      </c>
      <c r="H80" s="12">
        <f>G80*VLOOKUP($A80,'EU Ref Sc 2020 Energy intensive'!$A$5:$AE$33,H$2)</f>
        <v>0.45254168863751609</v>
      </c>
      <c r="I80" s="12">
        <f>H80*VLOOKUP($A80,'EU Ref Sc 2020 Energy intensive'!$A$5:$AE$33,I$2)</f>
        <v>0.45175558485002143</v>
      </c>
      <c r="J80" s="12">
        <f>I80*VLOOKUP($A80,'EU Ref Sc 2020 Energy intensive'!$A$5:$AE$33,J$2)</f>
        <v>0.44709684936470528</v>
      </c>
      <c r="K80" s="12">
        <f>J80*VLOOKUP($A80,'EU Ref Sc 2020 Energy intensive'!$A$5:$AE$33,K$2)</f>
        <v>0.44243811387938914</v>
      </c>
      <c r="L80" s="12">
        <f>K80*VLOOKUP($A80,'EU Ref Sc 2020 Energy intensive'!$A$5:$AE$33,L$2)</f>
        <v>0.43777937839407299</v>
      </c>
      <c r="M80" s="12">
        <f>L80*VLOOKUP($A80,'EU Ref Sc 2020 Energy intensive'!$A$5:$AE$33,M$2)</f>
        <v>0.43312064290875685</v>
      </c>
      <c r="N80" s="12">
        <f>M80*VLOOKUP($A80,'EU Ref Sc 2020 Energy intensive'!$A$5:$AE$33,N$2)</f>
        <v>0.42846190742344081</v>
      </c>
      <c r="O80" s="12">
        <f>N80*VLOOKUP($A80,'EU Ref Sc 2020 Energy intensive'!$A$5:$AE$33,O$2)</f>
        <v>0.42320526291587268</v>
      </c>
      <c r="P80" s="12">
        <f>O80*VLOOKUP($A80,'EU Ref Sc 2020 Energy intensive'!$A$5:$AE$33,P$2)</f>
        <v>0.41794861840830455</v>
      </c>
      <c r="Q80" s="12">
        <f>P80*VLOOKUP($A80,'EU Ref Sc 2020 Energy intensive'!$A$5:$AE$33,Q$2)</f>
        <v>0.41269197390073642</v>
      </c>
      <c r="R80" s="12">
        <f>Q80*VLOOKUP($A80,'EU Ref Sc 2020 Energy intensive'!$A$5:$AE$33,R$2)</f>
        <v>0.40743532939316829</v>
      </c>
      <c r="S80" s="12">
        <f>R80*VLOOKUP($A80,'EU Ref Sc 2020 Energy intensive'!$A$5:$AE$33,S$2)</f>
        <v>0.4021786848856001</v>
      </c>
      <c r="T80" s="12">
        <f>S80*VLOOKUP($A80,'EU Ref Sc 2020 Energy intensive'!$A$5:$AE$33,T$2)</f>
        <v>0.39749985694644202</v>
      </c>
      <c r="U80" s="12">
        <f>T80*VLOOKUP($A80,'EU Ref Sc 2020 Energy intensive'!$A$5:$AE$33,U$2)</f>
        <v>0.39282102900728394</v>
      </c>
      <c r="V80" s="12">
        <f>U80*VLOOKUP($A80,'EU Ref Sc 2020 Energy intensive'!$A$5:$AE$33,V$2)</f>
        <v>0.38814220106812586</v>
      </c>
      <c r="W80" s="12">
        <f>V80*VLOOKUP($A80,'EU Ref Sc 2020 Energy intensive'!$A$5:$AE$33,W$2)</f>
        <v>0.38346337312896778</v>
      </c>
      <c r="X80" s="12">
        <f>W80*VLOOKUP($A80,'EU Ref Sc 2020 Energy intensive'!$A$5:$AE$33,X$2)</f>
        <v>0.37878454518980964</v>
      </c>
      <c r="Y80" s="12">
        <f>X80*VLOOKUP($A80,'EU Ref Sc 2020 Energy intensive'!$A$5:$AE$33,Y$2)</f>
        <v>0.3754270418465292</v>
      </c>
      <c r="Z80" s="12">
        <f>Y80*VLOOKUP($A80,'EU Ref Sc 2020 Energy intensive'!$A$5:$AE$33,Z$2)</f>
        <v>0.37206953850324875</v>
      </c>
      <c r="AA80" s="12">
        <f>Z80*VLOOKUP($A80,'EU Ref Sc 2020 Energy intensive'!$A$5:$AE$33,AA$2)</f>
        <v>0.36871203515996831</v>
      </c>
      <c r="AB80" s="12">
        <f>AA80*VLOOKUP($A80,'EU Ref Sc 2020 Energy intensive'!$A$5:$AE$33,AB$2)</f>
        <v>0.36535453181668787</v>
      </c>
      <c r="AC80" s="12">
        <f>AB80*VLOOKUP($A80,'EU Ref Sc 2020 Energy intensive'!$A$5:$AE$33,AC$2)</f>
        <v>0.36199702847340748</v>
      </c>
      <c r="AD80" s="12">
        <f>AC80*VLOOKUP($A80,'EU Ref Sc 2020 Energy intensive'!$A$5:$AE$33,AD$2)</f>
        <v>0.3576057757253302</v>
      </c>
      <c r="AE80" s="12">
        <f>AD80*VLOOKUP($A80,'EU Ref Sc 2020 Energy intensive'!$A$5:$AE$33,AE$2)</f>
        <v>0.35321452297725292</v>
      </c>
      <c r="AF80" s="12">
        <f>AE80*VLOOKUP($A80,'EU Ref Sc 2020 Energy intensive'!$A$5:$AE$33,AF$2)</f>
        <v>0.34882327022917564</v>
      </c>
      <c r="AG80" s="12">
        <f>AF80*VLOOKUP($A80,'EU Ref Sc 2020 Energy intensive'!$A$5:$AE$33,AG$2)</f>
        <v>0.34443201748109836</v>
      </c>
      <c r="AH80" s="12">
        <f>AG80*VLOOKUP($A80,'EU Ref Sc 2020 Energy intensive'!$A$5:$AE$33,AH$2)</f>
        <v>0.34004076473302108</v>
      </c>
      <c r="AI80" s="13">
        <f t="shared" ref="AI80:AR80" si="79">AH80</f>
        <v>0.34004076473302108</v>
      </c>
      <c r="AJ80" s="13">
        <f t="shared" si="79"/>
        <v>0.34004076473302108</v>
      </c>
      <c r="AK80" s="13">
        <f t="shared" si="79"/>
        <v>0.34004076473302108</v>
      </c>
      <c r="AL80" s="13">
        <f t="shared" si="79"/>
        <v>0.34004076473302108</v>
      </c>
      <c r="AM80" s="13">
        <f t="shared" si="79"/>
        <v>0.34004076473302108</v>
      </c>
      <c r="AN80" s="13">
        <f t="shared" si="79"/>
        <v>0.34004076473302108</v>
      </c>
      <c r="AO80" s="13">
        <f t="shared" si="79"/>
        <v>0.34004076473302108</v>
      </c>
      <c r="AP80" s="13">
        <f t="shared" si="79"/>
        <v>0.34004076473302108</v>
      </c>
      <c r="AQ80" s="13">
        <f t="shared" si="79"/>
        <v>0.34004076473302108</v>
      </c>
      <c r="AR80" s="13">
        <f t="shared" si="79"/>
        <v>0.34004076473302108</v>
      </c>
    </row>
    <row r="81" spans="1:44" x14ac:dyDescent="0.3">
      <c r="A81" t="s">
        <v>1419</v>
      </c>
      <c r="B81" t="s">
        <v>1391</v>
      </c>
      <c r="C81" t="s">
        <v>1009</v>
      </c>
      <c r="D81" t="str">
        <f t="shared" si="66"/>
        <v>NLIMEI</v>
      </c>
      <c r="E81" s="2">
        <v>0.77559999999999996</v>
      </c>
      <c r="F81" s="12">
        <f>E81*VLOOKUP($A81,'EU Ref Sc 2020 Energy intensive'!$A$5:$AE$33,F$2)</f>
        <v>0.77921687688784103</v>
      </c>
      <c r="G81" s="12">
        <f>F81*VLOOKUP($A81,'EU Ref Sc 2020 Energy intensive'!$A$5:$AE$33,G$2)</f>
        <v>0.7828337537756821</v>
      </c>
      <c r="H81" s="12">
        <f>G81*VLOOKUP($A81,'EU Ref Sc 2020 Energy intensive'!$A$5:$AE$33,H$2)</f>
        <v>0.78645063066352316</v>
      </c>
      <c r="I81" s="12">
        <f>H81*VLOOKUP($A81,'EU Ref Sc 2020 Energy intensive'!$A$5:$AE$33,I$2)</f>
        <v>0.79006750755136435</v>
      </c>
      <c r="J81" s="12">
        <f>I81*VLOOKUP($A81,'EU Ref Sc 2020 Energy intensive'!$A$5:$AE$33,J$2)</f>
        <v>0.77420183636684115</v>
      </c>
      <c r="K81" s="12">
        <f>J81*VLOOKUP($A81,'EU Ref Sc 2020 Energy intensive'!$A$5:$AE$33,K$2)</f>
        <v>0.75833616518231795</v>
      </c>
      <c r="L81" s="12">
        <f>K81*VLOOKUP($A81,'EU Ref Sc 2020 Energy intensive'!$A$5:$AE$33,L$2)</f>
        <v>0.74247049399779474</v>
      </c>
      <c r="M81" s="12">
        <f>L81*VLOOKUP($A81,'EU Ref Sc 2020 Energy intensive'!$A$5:$AE$33,M$2)</f>
        <v>0.72660482281327154</v>
      </c>
      <c r="N81" s="12">
        <f>M81*VLOOKUP($A81,'EU Ref Sc 2020 Energy intensive'!$A$5:$AE$33,N$2)</f>
        <v>0.71073915162874823</v>
      </c>
      <c r="O81" s="12">
        <f>N81*VLOOKUP($A81,'EU Ref Sc 2020 Energy intensive'!$A$5:$AE$33,O$2)</f>
        <v>0.7036166715698714</v>
      </c>
      <c r="P81" s="12">
        <f>O81*VLOOKUP($A81,'EU Ref Sc 2020 Energy intensive'!$A$5:$AE$33,P$2)</f>
        <v>0.69649419151099456</v>
      </c>
      <c r="Q81" s="12">
        <f>P81*VLOOKUP($A81,'EU Ref Sc 2020 Energy intensive'!$A$5:$AE$33,Q$2)</f>
        <v>0.68937171145211773</v>
      </c>
      <c r="R81" s="12">
        <f>Q81*VLOOKUP($A81,'EU Ref Sc 2020 Energy intensive'!$A$5:$AE$33,R$2)</f>
        <v>0.6822492313932409</v>
      </c>
      <c r="S81" s="12">
        <f>R81*VLOOKUP($A81,'EU Ref Sc 2020 Energy intensive'!$A$5:$AE$33,S$2)</f>
        <v>0.67512675133436406</v>
      </c>
      <c r="T81" s="12">
        <f>S81*VLOOKUP($A81,'EU Ref Sc 2020 Energy intensive'!$A$5:$AE$33,T$2)</f>
        <v>0.6550259596854674</v>
      </c>
      <c r="U81" s="12">
        <f>T81*VLOOKUP($A81,'EU Ref Sc 2020 Energy intensive'!$A$5:$AE$33,U$2)</f>
        <v>0.63492516803657073</v>
      </c>
      <c r="V81" s="12">
        <f>U81*VLOOKUP($A81,'EU Ref Sc 2020 Energy intensive'!$A$5:$AE$33,V$2)</f>
        <v>0.61482437638767407</v>
      </c>
      <c r="W81" s="12">
        <f>V81*VLOOKUP($A81,'EU Ref Sc 2020 Energy intensive'!$A$5:$AE$33,W$2)</f>
        <v>0.5947235847387774</v>
      </c>
      <c r="X81" s="12">
        <f>W81*VLOOKUP($A81,'EU Ref Sc 2020 Energy intensive'!$A$5:$AE$33,X$2)</f>
        <v>0.57462279308988073</v>
      </c>
      <c r="Y81" s="12">
        <f>X81*VLOOKUP($A81,'EU Ref Sc 2020 Energy intensive'!$A$5:$AE$33,Y$2)</f>
        <v>0.57510267664723036</v>
      </c>
      <c r="Z81" s="12">
        <f>Y81*VLOOKUP($A81,'EU Ref Sc 2020 Energy intensive'!$A$5:$AE$33,Z$2)</f>
        <v>0.57558256020457998</v>
      </c>
      <c r="AA81" s="12">
        <f>Z81*VLOOKUP($A81,'EU Ref Sc 2020 Energy intensive'!$A$5:$AE$33,AA$2)</f>
        <v>0.57606244376192972</v>
      </c>
      <c r="AB81" s="12">
        <f>AA81*VLOOKUP($A81,'EU Ref Sc 2020 Energy intensive'!$A$5:$AE$33,AB$2)</f>
        <v>0.57654232731927946</v>
      </c>
      <c r="AC81" s="12">
        <f>AB81*VLOOKUP($A81,'EU Ref Sc 2020 Energy intensive'!$A$5:$AE$33,AC$2)</f>
        <v>0.5770222108766293</v>
      </c>
      <c r="AD81" s="12">
        <f>AC81*VLOOKUP($A81,'EU Ref Sc 2020 Energy intensive'!$A$5:$AE$33,AD$2)</f>
        <v>0.58013192343918085</v>
      </c>
      <c r="AE81" s="12">
        <f>AD81*VLOOKUP($A81,'EU Ref Sc 2020 Energy intensive'!$A$5:$AE$33,AE$2)</f>
        <v>0.5832416360017324</v>
      </c>
      <c r="AF81" s="12">
        <f>AE81*VLOOKUP($A81,'EU Ref Sc 2020 Energy intensive'!$A$5:$AE$33,AF$2)</f>
        <v>0.58635134856428395</v>
      </c>
      <c r="AG81" s="12">
        <f>AF81*VLOOKUP($A81,'EU Ref Sc 2020 Energy intensive'!$A$5:$AE$33,AG$2)</f>
        <v>0.58946106112683538</v>
      </c>
      <c r="AH81" s="12">
        <f>AG81*VLOOKUP($A81,'EU Ref Sc 2020 Energy intensive'!$A$5:$AE$33,AH$2)</f>
        <v>0.59257077368938682</v>
      </c>
      <c r="AI81" s="13">
        <f t="shared" ref="AI81:AR81" si="80">AH81</f>
        <v>0.59257077368938682</v>
      </c>
      <c r="AJ81" s="13">
        <f t="shared" si="80"/>
        <v>0.59257077368938682</v>
      </c>
      <c r="AK81" s="13">
        <f t="shared" si="80"/>
        <v>0.59257077368938682</v>
      </c>
      <c r="AL81" s="13">
        <f t="shared" si="80"/>
        <v>0.59257077368938682</v>
      </c>
      <c r="AM81" s="13">
        <f t="shared" si="80"/>
        <v>0.59257077368938682</v>
      </c>
      <c r="AN81" s="13">
        <f t="shared" si="80"/>
        <v>0.59257077368938682</v>
      </c>
      <c r="AO81" s="13">
        <f t="shared" si="80"/>
        <v>0.59257077368938682</v>
      </c>
      <c r="AP81" s="13">
        <f t="shared" si="80"/>
        <v>0.59257077368938682</v>
      </c>
      <c r="AQ81" s="13">
        <f t="shared" si="80"/>
        <v>0.59257077368938682</v>
      </c>
      <c r="AR81" s="13">
        <f t="shared" si="80"/>
        <v>0.59257077368938682</v>
      </c>
    </row>
    <row r="82" spans="1:44" x14ac:dyDescent="0.3">
      <c r="A82" t="s">
        <v>1420</v>
      </c>
      <c r="B82" t="s">
        <v>1391</v>
      </c>
      <c r="C82" t="s">
        <v>1064</v>
      </c>
      <c r="D82" t="str">
        <f t="shared" si="66"/>
        <v>PLIMEI</v>
      </c>
      <c r="E82" s="2">
        <v>1.9215</v>
      </c>
      <c r="F82" s="12">
        <f>E82*VLOOKUP($A82,'EU Ref Sc 2020 Energy intensive'!$A$5:$AE$33,F$2)</f>
        <v>1.9240429292375354</v>
      </c>
      <c r="G82" s="12">
        <f>F82*VLOOKUP($A82,'EU Ref Sc 2020 Energy intensive'!$A$5:$AE$33,G$2)</f>
        <v>1.9265858584750708</v>
      </c>
      <c r="H82" s="12">
        <f>G82*VLOOKUP($A82,'EU Ref Sc 2020 Energy intensive'!$A$5:$AE$33,H$2)</f>
        <v>1.9291287877126062</v>
      </c>
      <c r="I82" s="12">
        <f>H82*VLOOKUP($A82,'EU Ref Sc 2020 Energy intensive'!$A$5:$AE$33,I$2)</f>
        <v>1.9316717169501414</v>
      </c>
      <c r="J82" s="12">
        <f>I82*VLOOKUP($A82,'EU Ref Sc 2020 Energy intensive'!$A$5:$AE$33,J$2)</f>
        <v>1.9345979174729269</v>
      </c>
      <c r="K82" s="12">
        <f>J82*VLOOKUP($A82,'EU Ref Sc 2020 Energy intensive'!$A$5:$AE$33,K$2)</f>
        <v>1.9375241179957123</v>
      </c>
      <c r="L82" s="12">
        <f>K82*VLOOKUP($A82,'EU Ref Sc 2020 Energy intensive'!$A$5:$AE$33,L$2)</f>
        <v>1.9404503185184978</v>
      </c>
      <c r="M82" s="12">
        <f>L82*VLOOKUP($A82,'EU Ref Sc 2020 Energy intensive'!$A$5:$AE$33,M$2)</f>
        <v>1.9433765190412831</v>
      </c>
      <c r="N82" s="12">
        <f>M82*VLOOKUP($A82,'EU Ref Sc 2020 Energy intensive'!$A$5:$AE$33,N$2)</f>
        <v>1.9463027195640694</v>
      </c>
      <c r="O82" s="12">
        <f>N82*VLOOKUP($A82,'EU Ref Sc 2020 Energy intensive'!$A$5:$AE$33,O$2)</f>
        <v>1.9055738393002868</v>
      </c>
      <c r="P82" s="12">
        <f>O82*VLOOKUP($A82,'EU Ref Sc 2020 Energy intensive'!$A$5:$AE$33,P$2)</f>
        <v>1.8648449590365042</v>
      </c>
      <c r="Q82" s="12">
        <f>P82*VLOOKUP($A82,'EU Ref Sc 2020 Energy intensive'!$A$5:$AE$33,Q$2)</f>
        <v>1.8241160787727215</v>
      </c>
      <c r="R82" s="12">
        <f>Q82*VLOOKUP($A82,'EU Ref Sc 2020 Energy intensive'!$A$5:$AE$33,R$2)</f>
        <v>1.7833871985089389</v>
      </c>
      <c r="S82" s="12">
        <f>R82*VLOOKUP($A82,'EU Ref Sc 2020 Energy intensive'!$A$5:$AE$33,S$2)</f>
        <v>1.7426583182451556</v>
      </c>
      <c r="T82" s="12">
        <f>S82*VLOOKUP($A82,'EU Ref Sc 2020 Energy intensive'!$A$5:$AE$33,T$2)</f>
        <v>1.7359518106640592</v>
      </c>
      <c r="U82" s="12">
        <f>T82*VLOOKUP($A82,'EU Ref Sc 2020 Energy intensive'!$A$5:$AE$33,U$2)</f>
        <v>1.7292453030829629</v>
      </c>
      <c r="V82" s="12">
        <f>U82*VLOOKUP($A82,'EU Ref Sc 2020 Energy intensive'!$A$5:$AE$33,V$2)</f>
        <v>1.7225387955018665</v>
      </c>
      <c r="W82" s="12">
        <f>V82*VLOOKUP($A82,'EU Ref Sc 2020 Energy intensive'!$A$5:$AE$33,W$2)</f>
        <v>1.7158322879207701</v>
      </c>
      <c r="X82" s="12">
        <f>W82*VLOOKUP($A82,'EU Ref Sc 2020 Energy intensive'!$A$5:$AE$33,X$2)</f>
        <v>1.7091257803396736</v>
      </c>
      <c r="Y82" s="12">
        <f>X82*VLOOKUP($A82,'EU Ref Sc 2020 Energy intensive'!$A$5:$AE$33,Y$2)</f>
        <v>1.7071662318275977</v>
      </c>
      <c r="Z82" s="12">
        <f>Y82*VLOOKUP($A82,'EU Ref Sc 2020 Energy intensive'!$A$5:$AE$33,Z$2)</f>
        <v>1.7052066833155219</v>
      </c>
      <c r="AA82" s="12">
        <f>Z82*VLOOKUP($A82,'EU Ref Sc 2020 Energy intensive'!$A$5:$AE$33,AA$2)</f>
        <v>1.7032471348034461</v>
      </c>
      <c r="AB82" s="12">
        <f>AA82*VLOOKUP($A82,'EU Ref Sc 2020 Energy intensive'!$A$5:$AE$33,AB$2)</f>
        <v>1.7012875862913701</v>
      </c>
      <c r="AC82" s="12">
        <f>AB82*VLOOKUP($A82,'EU Ref Sc 2020 Energy intensive'!$A$5:$AE$33,AC$2)</f>
        <v>1.6993280377792941</v>
      </c>
      <c r="AD82" s="12">
        <f>AC82*VLOOKUP($A82,'EU Ref Sc 2020 Energy intensive'!$A$5:$AE$33,AD$2)</f>
        <v>1.6952337947067839</v>
      </c>
      <c r="AE82" s="12">
        <f>AD82*VLOOKUP($A82,'EU Ref Sc 2020 Energy intensive'!$A$5:$AE$33,AE$2)</f>
        <v>1.6911395516342735</v>
      </c>
      <c r="AF82" s="12">
        <f>AE82*VLOOKUP($A82,'EU Ref Sc 2020 Energy intensive'!$A$5:$AE$33,AF$2)</f>
        <v>1.6870453085617634</v>
      </c>
      <c r="AG82" s="12">
        <f>AF82*VLOOKUP($A82,'EU Ref Sc 2020 Energy intensive'!$A$5:$AE$33,AG$2)</f>
        <v>1.6829510654892532</v>
      </c>
      <c r="AH82" s="12">
        <f>AG82*VLOOKUP($A82,'EU Ref Sc 2020 Energy intensive'!$A$5:$AE$33,AH$2)</f>
        <v>1.6788568224167426</v>
      </c>
      <c r="AI82" s="13">
        <f t="shared" ref="AI82:AR82" si="81">AH82</f>
        <v>1.6788568224167426</v>
      </c>
      <c r="AJ82" s="13">
        <f t="shared" si="81"/>
        <v>1.6788568224167426</v>
      </c>
      <c r="AK82" s="13">
        <f t="shared" si="81"/>
        <v>1.6788568224167426</v>
      </c>
      <c r="AL82" s="13">
        <f t="shared" si="81"/>
        <v>1.6788568224167426</v>
      </c>
      <c r="AM82" s="13">
        <f t="shared" si="81"/>
        <v>1.6788568224167426</v>
      </c>
      <c r="AN82" s="13">
        <f t="shared" si="81"/>
        <v>1.6788568224167426</v>
      </c>
      <c r="AO82" s="13">
        <f t="shared" si="81"/>
        <v>1.6788568224167426</v>
      </c>
      <c r="AP82" s="13">
        <f t="shared" si="81"/>
        <v>1.6788568224167426</v>
      </c>
      <c r="AQ82" s="13">
        <f t="shared" si="81"/>
        <v>1.6788568224167426</v>
      </c>
      <c r="AR82" s="13">
        <f t="shared" si="81"/>
        <v>1.6788568224167426</v>
      </c>
    </row>
    <row r="83" spans="1:44" x14ac:dyDescent="0.3">
      <c r="A83" t="s">
        <v>1422</v>
      </c>
      <c r="B83" t="s">
        <v>1391</v>
      </c>
      <c r="C83" t="s">
        <v>1174</v>
      </c>
      <c r="D83" t="str">
        <f t="shared" si="66"/>
        <v>ROIMEI</v>
      </c>
      <c r="E83" s="2">
        <v>0.59050000000000002</v>
      </c>
      <c r="F83" s="12">
        <f>E83*VLOOKUP($A83,'EU Ref Sc 2020 Energy intensive'!$A$5:$AE$33,F$2)</f>
        <v>0.60444156153001349</v>
      </c>
      <c r="G83" s="12">
        <f>F83*VLOOKUP($A83,'EU Ref Sc 2020 Energy intensive'!$A$5:$AE$33,G$2)</f>
        <v>0.61838312306002696</v>
      </c>
      <c r="H83" s="12">
        <f>G83*VLOOKUP($A83,'EU Ref Sc 2020 Energy intensive'!$A$5:$AE$33,H$2)</f>
        <v>0.63232468459004054</v>
      </c>
      <c r="I83" s="12">
        <f>H83*VLOOKUP($A83,'EU Ref Sc 2020 Energy intensive'!$A$5:$AE$33,I$2)</f>
        <v>0.64626624612005401</v>
      </c>
      <c r="J83" s="12">
        <f>I83*VLOOKUP($A83,'EU Ref Sc 2020 Energy intensive'!$A$5:$AE$33,J$2)</f>
        <v>0.64473814003783914</v>
      </c>
      <c r="K83" s="12">
        <f>J83*VLOOKUP($A83,'EU Ref Sc 2020 Energy intensive'!$A$5:$AE$33,K$2)</f>
        <v>0.64321003395562426</v>
      </c>
      <c r="L83" s="12">
        <f>K83*VLOOKUP($A83,'EU Ref Sc 2020 Energy intensive'!$A$5:$AE$33,L$2)</f>
        <v>0.64168192787340939</v>
      </c>
      <c r="M83" s="12">
        <f>L83*VLOOKUP($A83,'EU Ref Sc 2020 Energy intensive'!$A$5:$AE$33,M$2)</f>
        <v>0.64015382179119451</v>
      </c>
      <c r="N83" s="12">
        <f>M83*VLOOKUP($A83,'EU Ref Sc 2020 Energy intensive'!$A$5:$AE$33,N$2)</f>
        <v>0.63862571570897952</v>
      </c>
      <c r="O83" s="12">
        <f>N83*VLOOKUP($A83,'EU Ref Sc 2020 Energy intensive'!$A$5:$AE$33,O$2)</f>
        <v>0.6329377835147123</v>
      </c>
      <c r="P83" s="12">
        <f>O83*VLOOKUP($A83,'EU Ref Sc 2020 Energy intensive'!$A$5:$AE$33,P$2)</f>
        <v>0.62724985132044497</v>
      </c>
      <c r="Q83" s="12">
        <f>P83*VLOOKUP($A83,'EU Ref Sc 2020 Energy intensive'!$A$5:$AE$33,Q$2)</f>
        <v>0.62156191912617775</v>
      </c>
      <c r="R83" s="12">
        <f>Q83*VLOOKUP($A83,'EU Ref Sc 2020 Energy intensive'!$A$5:$AE$33,R$2)</f>
        <v>0.61587398693191053</v>
      </c>
      <c r="S83" s="12">
        <f>R83*VLOOKUP($A83,'EU Ref Sc 2020 Energy intensive'!$A$5:$AE$33,S$2)</f>
        <v>0.61018605473764331</v>
      </c>
      <c r="T83" s="12">
        <f>S83*VLOOKUP($A83,'EU Ref Sc 2020 Energy intensive'!$A$5:$AE$33,T$2)</f>
        <v>0.60219523437025768</v>
      </c>
      <c r="U83" s="12">
        <f>T83*VLOOKUP($A83,'EU Ref Sc 2020 Energy intensive'!$A$5:$AE$33,U$2)</f>
        <v>0.59420441400287194</v>
      </c>
      <c r="V83" s="12">
        <f>U83*VLOOKUP($A83,'EU Ref Sc 2020 Energy intensive'!$A$5:$AE$33,V$2)</f>
        <v>0.58621359363548631</v>
      </c>
      <c r="W83" s="12">
        <f>V83*VLOOKUP($A83,'EU Ref Sc 2020 Energy intensive'!$A$5:$AE$33,W$2)</f>
        <v>0.57822277326810056</v>
      </c>
      <c r="X83" s="12">
        <f>W83*VLOOKUP($A83,'EU Ref Sc 2020 Energy intensive'!$A$5:$AE$33,X$2)</f>
        <v>0.57023195290071482</v>
      </c>
      <c r="Y83" s="12">
        <f>X83*VLOOKUP($A83,'EU Ref Sc 2020 Energy intensive'!$A$5:$AE$33,Y$2)</f>
        <v>0.56458197126718435</v>
      </c>
      <c r="Z83" s="12">
        <f>Y83*VLOOKUP($A83,'EU Ref Sc 2020 Energy intensive'!$A$5:$AE$33,Z$2)</f>
        <v>0.55893198963365387</v>
      </c>
      <c r="AA83" s="12">
        <f>Z83*VLOOKUP($A83,'EU Ref Sc 2020 Energy intensive'!$A$5:$AE$33,AA$2)</f>
        <v>0.55328200800012339</v>
      </c>
      <c r="AB83" s="12">
        <f>AA83*VLOOKUP($A83,'EU Ref Sc 2020 Energy intensive'!$A$5:$AE$33,AB$2)</f>
        <v>0.54763202636659292</v>
      </c>
      <c r="AC83" s="12">
        <f>AB83*VLOOKUP($A83,'EU Ref Sc 2020 Energy intensive'!$A$5:$AE$33,AC$2)</f>
        <v>0.54198204473306255</v>
      </c>
      <c r="AD83" s="12">
        <f>AC83*VLOOKUP($A83,'EU Ref Sc 2020 Energy intensive'!$A$5:$AE$33,AD$2)</f>
        <v>0.53899612756507786</v>
      </c>
      <c r="AE83" s="12">
        <f>AD83*VLOOKUP($A83,'EU Ref Sc 2020 Energy intensive'!$A$5:$AE$33,AE$2)</f>
        <v>0.53601021039709318</v>
      </c>
      <c r="AF83" s="12">
        <f>AE83*VLOOKUP($A83,'EU Ref Sc 2020 Energy intensive'!$A$5:$AE$33,AF$2)</f>
        <v>0.53302429322910849</v>
      </c>
      <c r="AG83" s="12">
        <f>AF83*VLOOKUP($A83,'EU Ref Sc 2020 Energy intensive'!$A$5:$AE$33,AG$2)</f>
        <v>0.53003837606112369</v>
      </c>
      <c r="AH83" s="12">
        <f>AG83*VLOOKUP($A83,'EU Ref Sc 2020 Energy intensive'!$A$5:$AE$33,AH$2)</f>
        <v>0.52705245889313901</v>
      </c>
      <c r="AI83" s="13">
        <f t="shared" ref="AI83:AR83" si="82">AH83</f>
        <v>0.52705245889313901</v>
      </c>
      <c r="AJ83" s="13">
        <f t="shared" si="82"/>
        <v>0.52705245889313901</v>
      </c>
      <c r="AK83" s="13">
        <f t="shared" si="82"/>
        <v>0.52705245889313901</v>
      </c>
      <c r="AL83" s="13">
        <f t="shared" si="82"/>
        <v>0.52705245889313901</v>
      </c>
      <c r="AM83" s="13">
        <f t="shared" si="82"/>
        <v>0.52705245889313901</v>
      </c>
      <c r="AN83" s="13">
        <f t="shared" si="82"/>
        <v>0.52705245889313901</v>
      </c>
      <c r="AO83" s="13">
        <f t="shared" si="82"/>
        <v>0.52705245889313901</v>
      </c>
      <c r="AP83" s="13">
        <f t="shared" si="82"/>
        <v>0.52705245889313901</v>
      </c>
      <c r="AQ83" s="13">
        <f t="shared" si="82"/>
        <v>0.52705245889313901</v>
      </c>
      <c r="AR83" s="13">
        <f t="shared" si="82"/>
        <v>0.52705245889313901</v>
      </c>
    </row>
    <row r="84" spans="1:44" x14ac:dyDescent="0.3">
      <c r="A84" t="s">
        <v>1423</v>
      </c>
      <c r="B84" t="s">
        <v>1391</v>
      </c>
      <c r="C84" t="s">
        <v>1251</v>
      </c>
      <c r="D84" t="str">
        <f t="shared" si="66"/>
        <v>SEIMEI</v>
      </c>
      <c r="E84" s="2">
        <v>1.4135</v>
      </c>
      <c r="F84" s="12">
        <f>E84*VLOOKUP($A84,'EU Ref Sc 2020 Energy intensive'!$A$5:$AE$33,F$2)</f>
        <v>1.4134017828771295</v>
      </c>
      <c r="G84" s="12">
        <f>F84*VLOOKUP($A84,'EU Ref Sc 2020 Energy intensive'!$A$5:$AE$33,G$2)</f>
        <v>1.413303565754259</v>
      </c>
      <c r="H84" s="12">
        <f>G84*VLOOKUP($A84,'EU Ref Sc 2020 Energy intensive'!$A$5:$AE$33,H$2)</f>
        <v>1.4132053486313885</v>
      </c>
      <c r="I84" s="12">
        <f>H84*VLOOKUP($A84,'EU Ref Sc 2020 Energy intensive'!$A$5:$AE$33,I$2)</f>
        <v>1.4131071315085175</v>
      </c>
      <c r="J84" s="12">
        <f>I84*VLOOKUP($A84,'EU Ref Sc 2020 Energy intensive'!$A$5:$AE$33,J$2)</f>
        <v>1.4112683821847911</v>
      </c>
      <c r="K84" s="12">
        <f>J84*VLOOKUP($A84,'EU Ref Sc 2020 Energy intensive'!$A$5:$AE$33,K$2)</f>
        <v>1.4094296328610647</v>
      </c>
      <c r="L84" s="12">
        <f>K84*VLOOKUP($A84,'EU Ref Sc 2020 Energy intensive'!$A$5:$AE$33,L$2)</f>
        <v>1.4075908835373383</v>
      </c>
      <c r="M84" s="12">
        <f>L84*VLOOKUP($A84,'EU Ref Sc 2020 Energy intensive'!$A$5:$AE$33,M$2)</f>
        <v>1.4057521342136119</v>
      </c>
      <c r="N84" s="12">
        <f>M84*VLOOKUP($A84,'EU Ref Sc 2020 Energy intensive'!$A$5:$AE$33,N$2)</f>
        <v>1.4039133848898853</v>
      </c>
      <c r="O84" s="12">
        <f>N84*VLOOKUP($A84,'EU Ref Sc 2020 Energy intensive'!$A$5:$AE$33,O$2)</f>
        <v>1.3796444726605652</v>
      </c>
      <c r="P84" s="12">
        <f>O84*VLOOKUP($A84,'EU Ref Sc 2020 Energy intensive'!$A$5:$AE$33,P$2)</f>
        <v>1.3553755604312454</v>
      </c>
      <c r="Q84" s="12">
        <f>P84*VLOOKUP($A84,'EU Ref Sc 2020 Energy intensive'!$A$5:$AE$33,Q$2)</f>
        <v>1.3311066482019256</v>
      </c>
      <c r="R84" s="12">
        <f>Q84*VLOOKUP($A84,'EU Ref Sc 2020 Energy intensive'!$A$5:$AE$33,R$2)</f>
        <v>1.3068377359726058</v>
      </c>
      <c r="S84" s="12">
        <f>R84*VLOOKUP($A84,'EU Ref Sc 2020 Energy intensive'!$A$5:$AE$33,S$2)</f>
        <v>1.2825688237432857</v>
      </c>
      <c r="T84" s="12">
        <f>S84*VLOOKUP($A84,'EU Ref Sc 2020 Energy intensive'!$A$5:$AE$33,T$2)</f>
        <v>1.2553870903454547</v>
      </c>
      <c r="U84" s="12">
        <f>T84*VLOOKUP($A84,'EU Ref Sc 2020 Energy intensive'!$A$5:$AE$33,U$2)</f>
        <v>1.2282053569476237</v>
      </c>
      <c r="V84" s="12">
        <f>U84*VLOOKUP($A84,'EU Ref Sc 2020 Energy intensive'!$A$5:$AE$33,V$2)</f>
        <v>1.2010236235497926</v>
      </c>
      <c r="W84" s="12">
        <f>V84*VLOOKUP($A84,'EU Ref Sc 2020 Energy intensive'!$A$5:$AE$33,W$2)</f>
        <v>1.1738418901519616</v>
      </c>
      <c r="X84" s="12">
        <f>W84*VLOOKUP($A84,'EU Ref Sc 2020 Energy intensive'!$A$5:$AE$33,X$2)</f>
        <v>1.1466601567541308</v>
      </c>
      <c r="Y84" s="12">
        <f>X84*VLOOKUP($A84,'EU Ref Sc 2020 Energy intensive'!$A$5:$AE$33,Y$2)</f>
        <v>1.1468671600347891</v>
      </c>
      <c r="Z84" s="12">
        <f>Y84*VLOOKUP($A84,'EU Ref Sc 2020 Energy intensive'!$A$5:$AE$33,Z$2)</f>
        <v>1.1470741633154475</v>
      </c>
      <c r="AA84" s="12">
        <f>Z84*VLOOKUP($A84,'EU Ref Sc 2020 Energy intensive'!$A$5:$AE$33,AA$2)</f>
        <v>1.1472811665961058</v>
      </c>
      <c r="AB84" s="12">
        <f>AA84*VLOOKUP($A84,'EU Ref Sc 2020 Energy intensive'!$A$5:$AE$33,AB$2)</f>
        <v>1.1474881698767643</v>
      </c>
      <c r="AC84" s="12">
        <f>AB84*VLOOKUP($A84,'EU Ref Sc 2020 Energy intensive'!$A$5:$AE$33,AC$2)</f>
        <v>1.1476951731574228</v>
      </c>
      <c r="AD84" s="12">
        <f>AC84*VLOOKUP($A84,'EU Ref Sc 2020 Energy intensive'!$A$5:$AE$33,AD$2)</f>
        <v>1.1467233687858438</v>
      </c>
      <c r="AE84" s="12">
        <f>AD84*VLOOKUP($A84,'EU Ref Sc 2020 Energy intensive'!$A$5:$AE$33,AE$2)</f>
        <v>1.1457515644142648</v>
      </c>
      <c r="AF84" s="12">
        <f>AE84*VLOOKUP($A84,'EU Ref Sc 2020 Energy intensive'!$A$5:$AE$33,AF$2)</f>
        <v>1.1447797600426859</v>
      </c>
      <c r="AG84" s="12">
        <f>AF84*VLOOKUP($A84,'EU Ref Sc 2020 Energy intensive'!$A$5:$AE$33,AG$2)</f>
        <v>1.1438079556711072</v>
      </c>
      <c r="AH84" s="12">
        <f>AG84*VLOOKUP($A84,'EU Ref Sc 2020 Energy intensive'!$A$5:$AE$33,AH$2)</f>
        <v>1.142836151299528</v>
      </c>
      <c r="AI84" s="13">
        <f t="shared" ref="AI84:AR84" si="83">AH84</f>
        <v>1.142836151299528</v>
      </c>
      <c r="AJ84" s="13">
        <f t="shared" si="83"/>
        <v>1.142836151299528</v>
      </c>
      <c r="AK84" s="13">
        <f t="shared" si="83"/>
        <v>1.142836151299528</v>
      </c>
      <c r="AL84" s="13">
        <f t="shared" si="83"/>
        <v>1.142836151299528</v>
      </c>
      <c r="AM84" s="13">
        <f t="shared" si="83"/>
        <v>1.142836151299528</v>
      </c>
      <c r="AN84" s="13">
        <f t="shared" si="83"/>
        <v>1.142836151299528</v>
      </c>
      <c r="AO84" s="13">
        <f t="shared" si="83"/>
        <v>1.142836151299528</v>
      </c>
      <c r="AP84" s="13">
        <f t="shared" si="83"/>
        <v>1.142836151299528</v>
      </c>
      <c r="AQ84" s="13">
        <f t="shared" si="83"/>
        <v>1.142836151299528</v>
      </c>
      <c r="AR84" s="13">
        <f t="shared" si="83"/>
        <v>1.142836151299528</v>
      </c>
    </row>
    <row r="85" spans="1:44" x14ac:dyDescent="0.3">
      <c r="A85" t="s">
        <v>1424</v>
      </c>
      <c r="B85" t="s">
        <v>1391</v>
      </c>
      <c r="C85" t="s">
        <v>1317</v>
      </c>
      <c r="D85" t="str">
        <f t="shared" si="66"/>
        <v>SIIMEI</v>
      </c>
      <c r="E85" s="2">
        <v>0.1867</v>
      </c>
      <c r="F85" s="12">
        <f>E85*VLOOKUP($A85,'EU Ref Sc 2020 Energy intensive'!$A$5:$AE$33,F$2)</f>
        <v>0.19004952868892211</v>
      </c>
      <c r="G85" s="12">
        <f>F85*VLOOKUP($A85,'EU Ref Sc 2020 Energy intensive'!$A$5:$AE$33,G$2)</f>
        <v>0.19339905737784421</v>
      </c>
      <c r="H85" s="12">
        <f>G85*VLOOKUP($A85,'EU Ref Sc 2020 Energy intensive'!$A$5:$AE$33,H$2)</f>
        <v>0.19674858606676632</v>
      </c>
      <c r="I85" s="12">
        <f>H85*VLOOKUP($A85,'EU Ref Sc 2020 Energy intensive'!$A$5:$AE$33,I$2)</f>
        <v>0.20009811475568851</v>
      </c>
      <c r="J85" s="12">
        <f>I85*VLOOKUP($A85,'EU Ref Sc 2020 Energy intensive'!$A$5:$AE$33,J$2)</f>
        <v>0.20374083301706841</v>
      </c>
      <c r="K85" s="12">
        <f>J85*VLOOKUP($A85,'EU Ref Sc 2020 Energy intensive'!$A$5:$AE$33,K$2)</f>
        <v>0.20738355127844835</v>
      </c>
      <c r="L85" s="12">
        <f>K85*VLOOKUP($A85,'EU Ref Sc 2020 Energy intensive'!$A$5:$AE$33,L$2)</f>
        <v>0.21102626953982823</v>
      </c>
      <c r="M85" s="12">
        <f>L85*VLOOKUP($A85,'EU Ref Sc 2020 Energy intensive'!$A$5:$AE$33,M$2)</f>
        <v>0.21466898780120813</v>
      </c>
      <c r="N85" s="12">
        <f>M85*VLOOKUP($A85,'EU Ref Sc 2020 Energy intensive'!$A$5:$AE$33,N$2)</f>
        <v>0.21831170606258804</v>
      </c>
      <c r="O85" s="12">
        <f>N85*VLOOKUP($A85,'EU Ref Sc 2020 Energy intensive'!$A$5:$AE$33,O$2)</f>
        <v>0.21520825297661553</v>
      </c>
      <c r="P85" s="12">
        <f>O85*VLOOKUP($A85,'EU Ref Sc 2020 Energy intensive'!$A$5:$AE$33,P$2)</f>
        <v>0.21210479989064301</v>
      </c>
      <c r="Q85" s="12">
        <f>P85*VLOOKUP($A85,'EU Ref Sc 2020 Energy intensive'!$A$5:$AE$33,Q$2)</f>
        <v>0.2090013468046705</v>
      </c>
      <c r="R85" s="12">
        <f>Q85*VLOOKUP($A85,'EU Ref Sc 2020 Energy intensive'!$A$5:$AE$33,R$2)</f>
        <v>0.20589789371869802</v>
      </c>
      <c r="S85" s="12">
        <f>R85*VLOOKUP($A85,'EU Ref Sc 2020 Energy intensive'!$A$5:$AE$33,S$2)</f>
        <v>0.2027944406327255</v>
      </c>
      <c r="T85" s="12">
        <f>S85*VLOOKUP($A85,'EU Ref Sc 2020 Energy intensive'!$A$5:$AE$33,T$2)</f>
        <v>0.20340234407890753</v>
      </c>
      <c r="U85" s="12">
        <f>T85*VLOOKUP($A85,'EU Ref Sc 2020 Energy intensive'!$A$5:$AE$33,U$2)</f>
        <v>0.20401024752508953</v>
      </c>
      <c r="V85" s="12">
        <f>U85*VLOOKUP($A85,'EU Ref Sc 2020 Energy intensive'!$A$5:$AE$33,V$2)</f>
        <v>0.20461815097127156</v>
      </c>
      <c r="W85" s="12">
        <f>V85*VLOOKUP($A85,'EU Ref Sc 2020 Energy intensive'!$A$5:$AE$33,W$2)</f>
        <v>0.20522605441745359</v>
      </c>
      <c r="X85" s="12">
        <f>W85*VLOOKUP($A85,'EU Ref Sc 2020 Energy intensive'!$A$5:$AE$33,X$2)</f>
        <v>0.20583395786363565</v>
      </c>
      <c r="Y85" s="12">
        <f>X85*VLOOKUP($A85,'EU Ref Sc 2020 Energy intensive'!$A$5:$AE$33,Y$2)</f>
        <v>0.20537156716851149</v>
      </c>
      <c r="Z85" s="12">
        <f>Y85*VLOOKUP($A85,'EU Ref Sc 2020 Energy intensive'!$A$5:$AE$33,Z$2)</f>
        <v>0.20490917647338736</v>
      </c>
      <c r="AA85" s="12">
        <f>Z85*VLOOKUP($A85,'EU Ref Sc 2020 Energy intensive'!$A$5:$AE$33,AA$2)</f>
        <v>0.2044467857782632</v>
      </c>
      <c r="AB85" s="12">
        <f>AA85*VLOOKUP($A85,'EU Ref Sc 2020 Energy intensive'!$A$5:$AE$33,AB$2)</f>
        <v>0.20398439508313904</v>
      </c>
      <c r="AC85" s="12">
        <f>AB85*VLOOKUP($A85,'EU Ref Sc 2020 Energy intensive'!$A$5:$AE$33,AC$2)</f>
        <v>0.20352200438801482</v>
      </c>
      <c r="AD85" s="12">
        <f>AC85*VLOOKUP($A85,'EU Ref Sc 2020 Energy intensive'!$A$5:$AE$33,AD$2)</f>
        <v>0.20306279784525591</v>
      </c>
      <c r="AE85" s="12">
        <f>AD85*VLOOKUP($A85,'EU Ref Sc 2020 Energy intensive'!$A$5:$AE$33,AE$2)</f>
        <v>0.20260359130249697</v>
      </c>
      <c r="AF85" s="12">
        <f>AE85*VLOOKUP($A85,'EU Ref Sc 2020 Energy intensive'!$A$5:$AE$33,AF$2)</f>
        <v>0.20214438475973806</v>
      </c>
      <c r="AG85" s="12">
        <f>AF85*VLOOKUP($A85,'EU Ref Sc 2020 Energy intensive'!$A$5:$AE$33,AG$2)</f>
        <v>0.20168517821697915</v>
      </c>
      <c r="AH85" s="12">
        <f>AG85*VLOOKUP($A85,'EU Ref Sc 2020 Energy intensive'!$A$5:$AE$33,AH$2)</f>
        <v>0.20122597167422027</v>
      </c>
      <c r="AI85" s="13">
        <f t="shared" ref="AI85:AR85" si="84">AH85</f>
        <v>0.20122597167422027</v>
      </c>
      <c r="AJ85" s="13">
        <f t="shared" si="84"/>
        <v>0.20122597167422027</v>
      </c>
      <c r="AK85" s="13">
        <f t="shared" si="84"/>
        <v>0.20122597167422027</v>
      </c>
      <c r="AL85" s="13">
        <f t="shared" si="84"/>
        <v>0.20122597167422027</v>
      </c>
      <c r="AM85" s="13">
        <f t="shared" si="84"/>
        <v>0.20122597167422027</v>
      </c>
      <c r="AN85" s="13">
        <f t="shared" si="84"/>
        <v>0.20122597167422027</v>
      </c>
      <c r="AO85" s="13">
        <f t="shared" si="84"/>
        <v>0.20122597167422027</v>
      </c>
      <c r="AP85" s="13">
        <f t="shared" si="84"/>
        <v>0.20122597167422027</v>
      </c>
      <c r="AQ85" s="13">
        <f t="shared" si="84"/>
        <v>0.20122597167422027</v>
      </c>
      <c r="AR85" s="13">
        <f t="shared" si="84"/>
        <v>0.20122597167422027</v>
      </c>
    </row>
    <row r="86" spans="1:44" x14ac:dyDescent="0.3">
      <c r="A86" t="s">
        <v>1425</v>
      </c>
      <c r="B86" t="s">
        <v>1391</v>
      </c>
      <c r="C86" t="s">
        <v>1339</v>
      </c>
      <c r="D86" t="str">
        <f t="shared" si="66"/>
        <v>SKIMEI</v>
      </c>
      <c r="E86" s="2">
        <v>0.70230000000000004</v>
      </c>
      <c r="F86" s="12">
        <f>E86*VLOOKUP($A86,'EU Ref Sc 2020 Energy intensive'!$A$5:$AE$33,F$2)</f>
        <v>0.70499192653929343</v>
      </c>
      <c r="G86" s="12">
        <f>F86*VLOOKUP($A86,'EU Ref Sc 2020 Energy intensive'!$A$5:$AE$33,G$2)</f>
        <v>0.70768385307858683</v>
      </c>
      <c r="H86" s="12">
        <f>G86*VLOOKUP($A86,'EU Ref Sc 2020 Energy intensive'!$A$5:$AE$33,H$2)</f>
        <v>0.71037577961788023</v>
      </c>
      <c r="I86" s="12">
        <f>H86*VLOOKUP($A86,'EU Ref Sc 2020 Energy intensive'!$A$5:$AE$33,I$2)</f>
        <v>0.71306770615717352</v>
      </c>
      <c r="J86" s="12">
        <f>I86*VLOOKUP($A86,'EU Ref Sc 2020 Energy intensive'!$A$5:$AE$33,J$2)</f>
        <v>0.70560492564099597</v>
      </c>
      <c r="K86" s="12">
        <f>J86*VLOOKUP($A86,'EU Ref Sc 2020 Energy intensive'!$A$5:$AE$33,K$2)</f>
        <v>0.69814214512481843</v>
      </c>
      <c r="L86" s="12">
        <f>K86*VLOOKUP($A86,'EU Ref Sc 2020 Energy intensive'!$A$5:$AE$33,L$2)</f>
        <v>0.69067936460864088</v>
      </c>
      <c r="M86" s="12">
        <f>L86*VLOOKUP($A86,'EU Ref Sc 2020 Energy intensive'!$A$5:$AE$33,M$2)</f>
        <v>0.68321658409246333</v>
      </c>
      <c r="N86" s="12">
        <f>M86*VLOOKUP($A86,'EU Ref Sc 2020 Energy intensive'!$A$5:$AE$33,N$2)</f>
        <v>0.67575380357628601</v>
      </c>
      <c r="O86" s="12">
        <f>N86*VLOOKUP($A86,'EU Ref Sc 2020 Energy intensive'!$A$5:$AE$33,O$2)</f>
        <v>0.67117602990507841</v>
      </c>
      <c r="P86" s="12">
        <f>O86*VLOOKUP($A86,'EU Ref Sc 2020 Energy intensive'!$A$5:$AE$33,P$2)</f>
        <v>0.66659825623387081</v>
      </c>
      <c r="Q86" s="12">
        <f>P86*VLOOKUP($A86,'EU Ref Sc 2020 Energy intensive'!$A$5:$AE$33,Q$2)</f>
        <v>0.66202048256266322</v>
      </c>
      <c r="R86" s="12">
        <f>Q86*VLOOKUP($A86,'EU Ref Sc 2020 Energy intensive'!$A$5:$AE$33,R$2)</f>
        <v>0.65744270889145562</v>
      </c>
      <c r="S86" s="12">
        <f>R86*VLOOKUP($A86,'EU Ref Sc 2020 Energy intensive'!$A$5:$AE$33,S$2)</f>
        <v>0.65286493522024769</v>
      </c>
      <c r="T86" s="12">
        <f>S86*VLOOKUP($A86,'EU Ref Sc 2020 Energy intensive'!$A$5:$AE$33,T$2)</f>
        <v>0.64114071150749996</v>
      </c>
      <c r="U86" s="12">
        <f>T86*VLOOKUP($A86,'EU Ref Sc 2020 Energy intensive'!$A$5:$AE$33,U$2)</f>
        <v>0.62941648779475223</v>
      </c>
      <c r="V86" s="12">
        <f>U86*VLOOKUP($A86,'EU Ref Sc 2020 Energy intensive'!$A$5:$AE$33,V$2)</f>
        <v>0.61769226408200451</v>
      </c>
      <c r="W86" s="12">
        <f>V86*VLOOKUP($A86,'EU Ref Sc 2020 Energy intensive'!$A$5:$AE$33,W$2)</f>
        <v>0.60596804036925678</v>
      </c>
      <c r="X86" s="12">
        <f>W86*VLOOKUP($A86,'EU Ref Sc 2020 Energy intensive'!$A$5:$AE$33,X$2)</f>
        <v>0.59424381665650883</v>
      </c>
      <c r="Y86" s="12">
        <f>X86*VLOOKUP($A86,'EU Ref Sc 2020 Energy intensive'!$A$5:$AE$33,Y$2)</f>
        <v>0.58521803975605646</v>
      </c>
      <c r="Z86" s="12">
        <f>Y86*VLOOKUP($A86,'EU Ref Sc 2020 Energy intensive'!$A$5:$AE$33,Z$2)</f>
        <v>0.57619226285560399</v>
      </c>
      <c r="AA86" s="12">
        <f>Z86*VLOOKUP($A86,'EU Ref Sc 2020 Energy intensive'!$A$5:$AE$33,AA$2)</f>
        <v>0.56716648595515151</v>
      </c>
      <c r="AB86" s="12">
        <f>AA86*VLOOKUP($A86,'EU Ref Sc 2020 Energy intensive'!$A$5:$AE$33,AB$2)</f>
        <v>0.55814070905469915</v>
      </c>
      <c r="AC86" s="12">
        <f>AB86*VLOOKUP($A86,'EU Ref Sc 2020 Energy intensive'!$A$5:$AE$33,AC$2)</f>
        <v>0.54911493215424678</v>
      </c>
      <c r="AD86" s="12">
        <f>AC86*VLOOKUP($A86,'EU Ref Sc 2020 Energy intensive'!$A$5:$AE$33,AD$2)</f>
        <v>0.54025592417297175</v>
      </c>
      <c r="AE86" s="12">
        <f>AD86*VLOOKUP($A86,'EU Ref Sc 2020 Energy intensive'!$A$5:$AE$33,AE$2)</f>
        <v>0.53139691619169671</v>
      </c>
      <c r="AF86" s="12">
        <f>AE86*VLOOKUP($A86,'EU Ref Sc 2020 Energy intensive'!$A$5:$AE$33,AF$2)</f>
        <v>0.52253790821042168</v>
      </c>
      <c r="AG86" s="12">
        <f>AF86*VLOOKUP($A86,'EU Ref Sc 2020 Energy intensive'!$A$5:$AE$33,AG$2)</f>
        <v>0.51367890022914664</v>
      </c>
      <c r="AH86" s="12">
        <f>AG86*VLOOKUP($A86,'EU Ref Sc 2020 Energy intensive'!$A$5:$AE$33,AH$2)</f>
        <v>0.50481989224787149</v>
      </c>
      <c r="AI86" s="13">
        <f t="shared" ref="AI86:AR86" si="85">AH86</f>
        <v>0.50481989224787149</v>
      </c>
      <c r="AJ86" s="13">
        <f t="shared" si="85"/>
        <v>0.50481989224787149</v>
      </c>
      <c r="AK86" s="13">
        <f t="shared" si="85"/>
        <v>0.50481989224787149</v>
      </c>
      <c r="AL86" s="13">
        <f t="shared" si="85"/>
        <v>0.50481989224787149</v>
      </c>
      <c r="AM86" s="13">
        <f t="shared" si="85"/>
        <v>0.50481989224787149</v>
      </c>
      <c r="AN86" s="13">
        <f t="shared" si="85"/>
        <v>0.50481989224787149</v>
      </c>
      <c r="AO86" s="13">
        <f t="shared" si="85"/>
        <v>0.50481989224787149</v>
      </c>
      <c r="AP86" s="13">
        <f t="shared" si="85"/>
        <v>0.50481989224787149</v>
      </c>
      <c r="AQ86" s="13">
        <f t="shared" si="85"/>
        <v>0.50481989224787149</v>
      </c>
      <c r="AR86" s="13">
        <f t="shared" si="85"/>
        <v>0.50481989224787149</v>
      </c>
    </row>
    <row r="87" spans="1:44" x14ac:dyDescent="0.3">
      <c r="A87" t="s">
        <v>1396</v>
      </c>
      <c r="B87" t="s">
        <v>1397</v>
      </c>
      <c r="C87" t="s">
        <v>96</v>
      </c>
      <c r="D87" t="str">
        <f t="shared" si="66"/>
        <v>BEIMEF</v>
      </c>
      <c r="E87" s="2">
        <v>6.5762</v>
      </c>
      <c r="F87" s="7">
        <f>E87*VLOOKUP($A87,'EU Ref Sc 2020 Other industries'!$A$5:$AE$33,F$2)</f>
        <v>6.7474386484749838</v>
      </c>
      <c r="G87" s="7">
        <f>F87*VLOOKUP($A87,'EU Ref Sc 2020 Other industries'!$A$5:$AE$33,G$2)</f>
        <v>6.9186772969499666</v>
      </c>
      <c r="H87" s="7">
        <f>G87*VLOOKUP($A87,'EU Ref Sc 2020 Other industries'!$A$5:$AE$33,H$2)</f>
        <v>7.0899159454249494</v>
      </c>
      <c r="I87" s="7">
        <f>H87*VLOOKUP($A87,'EU Ref Sc 2020 Other industries'!$A$5:$AE$33,I$2)</f>
        <v>7.2611545938999331</v>
      </c>
      <c r="J87" s="7">
        <f>I87*VLOOKUP($A87,'EU Ref Sc 2020 Other industries'!$A$5:$AE$33,J$2)</f>
        <v>7.2359019613353386</v>
      </c>
      <c r="K87" s="7">
        <f>J87*VLOOKUP($A87,'EU Ref Sc 2020 Other industries'!$A$5:$AE$33,K$2)</f>
        <v>7.210649328770744</v>
      </c>
      <c r="L87" s="7">
        <f>K87*VLOOKUP($A87,'EU Ref Sc 2020 Other industries'!$A$5:$AE$33,L$2)</f>
        <v>7.1853966962061495</v>
      </c>
      <c r="M87" s="7">
        <f>L87*VLOOKUP($A87,'EU Ref Sc 2020 Other industries'!$A$5:$AE$33,M$2)</f>
        <v>7.160144063641555</v>
      </c>
      <c r="N87" s="7">
        <f>M87*VLOOKUP($A87,'EU Ref Sc 2020 Other industries'!$A$5:$AE$33,N$2)</f>
        <v>7.1348914310769604</v>
      </c>
      <c r="O87" s="7">
        <f>N87*VLOOKUP($A87,'EU Ref Sc 2020 Other industries'!$A$5:$AE$33,O$2)</f>
        <v>7.0537963537863417</v>
      </c>
      <c r="P87" s="7">
        <f>O87*VLOOKUP($A87,'EU Ref Sc 2020 Other industries'!$A$5:$AE$33,P$2)</f>
        <v>6.9727012764957221</v>
      </c>
      <c r="Q87" s="7">
        <f>P87*VLOOKUP($A87,'EU Ref Sc 2020 Other industries'!$A$5:$AE$33,Q$2)</f>
        <v>6.8916061992051025</v>
      </c>
      <c r="R87" s="7">
        <f>Q87*VLOOKUP($A87,'EU Ref Sc 2020 Other industries'!$A$5:$AE$33,R$2)</f>
        <v>6.8105111219144838</v>
      </c>
      <c r="S87" s="7">
        <f>R87*VLOOKUP($A87,'EU Ref Sc 2020 Other industries'!$A$5:$AE$33,S$2)</f>
        <v>6.7294160446238651</v>
      </c>
      <c r="T87" s="7">
        <f>S87*VLOOKUP($A87,'EU Ref Sc 2020 Other industries'!$A$5:$AE$33,T$2)</f>
        <v>6.772709096472548</v>
      </c>
      <c r="U87" s="7">
        <f>T87*VLOOKUP($A87,'EU Ref Sc 2020 Other industries'!$A$5:$AE$33,U$2)</f>
        <v>6.8160021483212301</v>
      </c>
      <c r="V87" s="7">
        <f>U87*VLOOKUP($A87,'EU Ref Sc 2020 Other industries'!$A$5:$AE$33,V$2)</f>
        <v>6.8592952001699139</v>
      </c>
      <c r="W87" s="7">
        <f>V87*VLOOKUP($A87,'EU Ref Sc 2020 Other industries'!$A$5:$AE$33,W$2)</f>
        <v>6.9025882520185977</v>
      </c>
      <c r="X87" s="7">
        <f>W87*VLOOKUP($A87,'EU Ref Sc 2020 Other industries'!$A$5:$AE$33,X$2)</f>
        <v>6.9458813038672798</v>
      </c>
      <c r="Y87" s="7">
        <f>X87*VLOOKUP($A87,'EU Ref Sc 2020 Other industries'!$A$5:$AE$33,Y$2)</f>
        <v>7.0211961468904152</v>
      </c>
      <c r="Z87" s="7">
        <f>Y87*VLOOKUP($A87,'EU Ref Sc 2020 Other industries'!$A$5:$AE$33,Z$2)</f>
        <v>7.0965109899135514</v>
      </c>
      <c r="AA87" s="7">
        <f>Z87*VLOOKUP($A87,'EU Ref Sc 2020 Other industries'!$A$5:$AE$33,AA$2)</f>
        <v>7.1718258329366869</v>
      </c>
      <c r="AB87" s="7">
        <f>AA87*VLOOKUP($A87,'EU Ref Sc 2020 Other industries'!$A$5:$AE$33,AB$2)</f>
        <v>7.2471406759598223</v>
      </c>
      <c r="AC87" s="7">
        <f>AB87*VLOOKUP($A87,'EU Ref Sc 2020 Other industries'!$A$5:$AE$33,AC$2)</f>
        <v>7.3224555189829577</v>
      </c>
      <c r="AD87" s="7">
        <f>AC87*VLOOKUP($A87,'EU Ref Sc 2020 Other industries'!$A$5:$AE$33,AD$2)</f>
        <v>7.3990902942423915</v>
      </c>
      <c r="AE87" s="7">
        <f>AD87*VLOOKUP($A87,'EU Ref Sc 2020 Other industries'!$A$5:$AE$33,AE$2)</f>
        <v>7.4757250695018245</v>
      </c>
      <c r="AF87" s="7">
        <f>AE87*VLOOKUP($A87,'EU Ref Sc 2020 Other industries'!$A$5:$AE$33,AF$2)</f>
        <v>7.5523598447612565</v>
      </c>
      <c r="AG87" s="7">
        <f>AF87*VLOOKUP($A87,'EU Ref Sc 2020 Other industries'!$A$5:$AE$33,AG$2)</f>
        <v>7.6289946200206886</v>
      </c>
      <c r="AH87" s="7">
        <f>AG87*VLOOKUP($A87,'EU Ref Sc 2020 Other industries'!$A$5:$AE$33,AH$2)</f>
        <v>7.7056293952801225</v>
      </c>
      <c r="AI87" s="13">
        <f t="shared" ref="AI87:AR87" si="86">AH87</f>
        <v>7.7056293952801225</v>
      </c>
      <c r="AJ87" s="13">
        <f t="shared" si="86"/>
        <v>7.7056293952801225</v>
      </c>
      <c r="AK87" s="13">
        <f t="shared" si="86"/>
        <v>7.7056293952801225</v>
      </c>
      <c r="AL87" s="13">
        <f t="shared" si="86"/>
        <v>7.7056293952801225</v>
      </c>
      <c r="AM87" s="13">
        <f t="shared" si="86"/>
        <v>7.7056293952801225</v>
      </c>
      <c r="AN87" s="13">
        <f t="shared" si="86"/>
        <v>7.7056293952801225</v>
      </c>
      <c r="AO87" s="13">
        <f t="shared" si="86"/>
        <v>7.7056293952801225</v>
      </c>
      <c r="AP87" s="13">
        <f t="shared" si="86"/>
        <v>7.7056293952801225</v>
      </c>
      <c r="AQ87" s="13">
        <f t="shared" si="86"/>
        <v>7.7056293952801225</v>
      </c>
      <c r="AR87" s="13">
        <f t="shared" si="86"/>
        <v>7.7056293952801225</v>
      </c>
    </row>
    <row r="88" spans="1:44" x14ac:dyDescent="0.3">
      <c r="A88" t="s">
        <v>1398</v>
      </c>
      <c r="B88" t="s">
        <v>1397</v>
      </c>
      <c r="C88" t="s">
        <v>151</v>
      </c>
      <c r="D88" t="str">
        <f t="shared" si="66"/>
        <v>BGIMEF</v>
      </c>
      <c r="E88" s="2">
        <v>1.2101999999999999</v>
      </c>
      <c r="F88" s="7">
        <f>E88*VLOOKUP($A88,'EU Ref Sc 2020 Other industries'!$A$5:$AE$33,F$2)</f>
        <v>1.2528629719792872</v>
      </c>
      <c r="G88" s="7">
        <f>F88*VLOOKUP($A88,'EU Ref Sc 2020 Other industries'!$A$5:$AE$33,G$2)</f>
        <v>1.2955259439585747</v>
      </c>
      <c r="H88" s="7">
        <f>G88*VLOOKUP($A88,'EU Ref Sc 2020 Other industries'!$A$5:$AE$33,H$2)</f>
        <v>1.3381889159378619</v>
      </c>
      <c r="I88" s="7">
        <f>H88*VLOOKUP($A88,'EU Ref Sc 2020 Other industries'!$A$5:$AE$33,I$2)</f>
        <v>1.3808518879171494</v>
      </c>
      <c r="J88" s="7">
        <f>I88*VLOOKUP($A88,'EU Ref Sc 2020 Other industries'!$A$5:$AE$33,J$2)</f>
        <v>1.4218216089693989</v>
      </c>
      <c r="K88" s="7">
        <f>J88*VLOOKUP($A88,'EU Ref Sc 2020 Other industries'!$A$5:$AE$33,K$2)</f>
        <v>1.4627913300216484</v>
      </c>
      <c r="L88" s="7">
        <f>K88*VLOOKUP($A88,'EU Ref Sc 2020 Other industries'!$A$5:$AE$33,L$2)</f>
        <v>1.5037610510738979</v>
      </c>
      <c r="M88" s="7">
        <f>L88*VLOOKUP($A88,'EU Ref Sc 2020 Other industries'!$A$5:$AE$33,M$2)</f>
        <v>1.5447307721261476</v>
      </c>
      <c r="N88" s="7">
        <f>M88*VLOOKUP($A88,'EU Ref Sc 2020 Other industries'!$A$5:$AE$33,N$2)</f>
        <v>1.5857004931783973</v>
      </c>
      <c r="O88" s="7">
        <f>N88*VLOOKUP($A88,'EU Ref Sc 2020 Other industries'!$A$5:$AE$33,O$2)</f>
        <v>1.5748297865607044</v>
      </c>
      <c r="P88" s="7">
        <f>O88*VLOOKUP($A88,'EU Ref Sc 2020 Other industries'!$A$5:$AE$33,P$2)</f>
        <v>1.5639590799430114</v>
      </c>
      <c r="Q88" s="7">
        <f>P88*VLOOKUP($A88,'EU Ref Sc 2020 Other industries'!$A$5:$AE$33,Q$2)</f>
        <v>1.5530883733253185</v>
      </c>
      <c r="R88" s="7">
        <f>Q88*VLOOKUP($A88,'EU Ref Sc 2020 Other industries'!$A$5:$AE$33,R$2)</f>
        <v>1.5422176667076255</v>
      </c>
      <c r="S88" s="7">
        <f>R88*VLOOKUP($A88,'EU Ref Sc 2020 Other industries'!$A$5:$AE$33,S$2)</f>
        <v>1.5313469600899321</v>
      </c>
      <c r="T88" s="7">
        <f>S88*VLOOKUP($A88,'EU Ref Sc 2020 Other industries'!$A$5:$AE$33,T$2)</f>
        <v>1.5289754865295642</v>
      </c>
      <c r="U88" s="7">
        <f>T88*VLOOKUP($A88,'EU Ref Sc 2020 Other industries'!$A$5:$AE$33,U$2)</f>
        <v>1.5266040129691962</v>
      </c>
      <c r="V88" s="7">
        <f>U88*VLOOKUP($A88,'EU Ref Sc 2020 Other industries'!$A$5:$AE$33,V$2)</f>
        <v>1.5242325394088283</v>
      </c>
      <c r="W88" s="7">
        <f>V88*VLOOKUP($A88,'EU Ref Sc 2020 Other industries'!$A$5:$AE$33,W$2)</f>
        <v>1.5218610658484604</v>
      </c>
      <c r="X88" s="7">
        <f>W88*VLOOKUP($A88,'EU Ref Sc 2020 Other industries'!$A$5:$AE$33,X$2)</f>
        <v>1.5194895922880924</v>
      </c>
      <c r="Y88" s="7">
        <f>X88*VLOOKUP($A88,'EU Ref Sc 2020 Other industries'!$A$5:$AE$33,Y$2)</f>
        <v>1.5328304652705966</v>
      </c>
      <c r="Z88" s="7">
        <f>Y88*VLOOKUP($A88,'EU Ref Sc 2020 Other industries'!$A$5:$AE$33,Z$2)</f>
        <v>1.5461713382531008</v>
      </c>
      <c r="AA88" s="7">
        <f>Z88*VLOOKUP($A88,'EU Ref Sc 2020 Other industries'!$A$5:$AE$33,AA$2)</f>
        <v>1.5595122112356052</v>
      </c>
      <c r="AB88" s="7">
        <f>AA88*VLOOKUP($A88,'EU Ref Sc 2020 Other industries'!$A$5:$AE$33,AB$2)</f>
        <v>1.5728530842181094</v>
      </c>
      <c r="AC88" s="7">
        <f>AB88*VLOOKUP($A88,'EU Ref Sc 2020 Other industries'!$A$5:$AE$33,AC$2)</f>
        <v>1.5861939572006136</v>
      </c>
      <c r="AD88" s="7">
        <f>AC88*VLOOKUP($A88,'EU Ref Sc 2020 Other industries'!$A$5:$AE$33,AD$2)</f>
        <v>1.5838984212366223</v>
      </c>
      <c r="AE88" s="7">
        <f>AD88*VLOOKUP($A88,'EU Ref Sc 2020 Other industries'!$A$5:$AE$33,AE$2)</f>
        <v>1.5816028852726309</v>
      </c>
      <c r="AF88" s="7">
        <f>AE88*VLOOKUP($A88,'EU Ref Sc 2020 Other industries'!$A$5:$AE$33,AF$2)</f>
        <v>1.5793073493086396</v>
      </c>
      <c r="AG88" s="7">
        <f>AF88*VLOOKUP($A88,'EU Ref Sc 2020 Other industries'!$A$5:$AE$33,AG$2)</f>
        <v>1.5770118133446482</v>
      </c>
      <c r="AH88" s="7">
        <f>AG88*VLOOKUP($A88,'EU Ref Sc 2020 Other industries'!$A$5:$AE$33,AH$2)</f>
        <v>1.5747162773806569</v>
      </c>
      <c r="AI88" s="13">
        <f t="shared" ref="AI88:AR88" si="87">AH88</f>
        <v>1.5747162773806569</v>
      </c>
      <c r="AJ88" s="13">
        <f t="shared" si="87"/>
        <v>1.5747162773806569</v>
      </c>
      <c r="AK88" s="13">
        <f t="shared" si="87"/>
        <v>1.5747162773806569</v>
      </c>
      <c r="AL88" s="13">
        <f t="shared" si="87"/>
        <v>1.5747162773806569</v>
      </c>
      <c r="AM88" s="13">
        <f t="shared" si="87"/>
        <v>1.5747162773806569</v>
      </c>
      <c r="AN88" s="13">
        <f t="shared" si="87"/>
        <v>1.5747162773806569</v>
      </c>
      <c r="AO88" s="13">
        <f t="shared" si="87"/>
        <v>1.5747162773806569</v>
      </c>
      <c r="AP88" s="13">
        <f t="shared" si="87"/>
        <v>1.5747162773806569</v>
      </c>
      <c r="AQ88" s="13">
        <f t="shared" si="87"/>
        <v>1.5747162773806569</v>
      </c>
      <c r="AR88" s="13">
        <f t="shared" si="87"/>
        <v>1.5747162773806569</v>
      </c>
    </row>
    <row r="89" spans="1:44" x14ac:dyDescent="0.3">
      <c r="A89" t="s">
        <v>1400</v>
      </c>
      <c r="B89" t="s">
        <v>1397</v>
      </c>
      <c r="C89" t="s">
        <v>184</v>
      </c>
      <c r="D89" t="str">
        <f t="shared" si="66"/>
        <v>CYIMEF</v>
      </c>
      <c r="E89" s="2">
        <v>0.2</v>
      </c>
      <c r="F89" s="7">
        <f>E89*VLOOKUP($A89,'EU Ref Sc 2020 Other industries'!$A$5:$AE$33,F$2)</f>
        <v>0.20230301240961679</v>
      </c>
      <c r="G89" s="7">
        <f>F89*VLOOKUP($A89,'EU Ref Sc 2020 Other industries'!$A$5:$AE$33,G$2)</f>
        <v>0.2046060248192336</v>
      </c>
      <c r="H89" s="7">
        <f>G89*VLOOKUP($A89,'EU Ref Sc 2020 Other industries'!$A$5:$AE$33,H$2)</f>
        <v>0.20690903722885037</v>
      </c>
      <c r="I89" s="7">
        <f>H89*VLOOKUP($A89,'EU Ref Sc 2020 Other industries'!$A$5:$AE$33,I$2)</f>
        <v>0.20921204963846715</v>
      </c>
      <c r="J89" s="7">
        <f>I89*VLOOKUP($A89,'EU Ref Sc 2020 Other industries'!$A$5:$AE$33,J$2)</f>
        <v>0.20595177804232989</v>
      </c>
      <c r="K89" s="7">
        <f>J89*VLOOKUP($A89,'EU Ref Sc 2020 Other industries'!$A$5:$AE$33,K$2)</f>
        <v>0.20269150644619263</v>
      </c>
      <c r="L89" s="7">
        <f>K89*VLOOKUP($A89,'EU Ref Sc 2020 Other industries'!$A$5:$AE$33,L$2)</f>
        <v>0.19943123485005537</v>
      </c>
      <c r="M89" s="7">
        <f>L89*VLOOKUP($A89,'EU Ref Sc 2020 Other industries'!$A$5:$AE$33,M$2)</f>
        <v>0.19617096325391814</v>
      </c>
      <c r="N89" s="7">
        <f>M89*VLOOKUP($A89,'EU Ref Sc 2020 Other industries'!$A$5:$AE$33,N$2)</f>
        <v>0.19291069165778083</v>
      </c>
      <c r="O89" s="7">
        <f>N89*VLOOKUP($A89,'EU Ref Sc 2020 Other industries'!$A$5:$AE$33,O$2)</f>
        <v>0.19451107204873816</v>
      </c>
      <c r="P89" s="7">
        <f>O89*VLOOKUP($A89,'EU Ref Sc 2020 Other industries'!$A$5:$AE$33,P$2)</f>
        <v>0.19611145243969552</v>
      </c>
      <c r="Q89" s="7">
        <f>P89*VLOOKUP($A89,'EU Ref Sc 2020 Other industries'!$A$5:$AE$33,Q$2)</f>
        <v>0.19771183283065286</v>
      </c>
      <c r="R89" s="7">
        <f>Q89*VLOOKUP($A89,'EU Ref Sc 2020 Other industries'!$A$5:$AE$33,R$2)</f>
        <v>0.19931221322161019</v>
      </c>
      <c r="S89" s="7">
        <f>R89*VLOOKUP($A89,'EU Ref Sc 2020 Other industries'!$A$5:$AE$33,S$2)</f>
        <v>0.20091259361256758</v>
      </c>
      <c r="T89" s="7">
        <f>S89*VLOOKUP($A89,'EU Ref Sc 2020 Other industries'!$A$5:$AE$33,T$2)</f>
        <v>0.19893447634174247</v>
      </c>
      <c r="U89" s="7">
        <f>T89*VLOOKUP($A89,'EU Ref Sc 2020 Other industries'!$A$5:$AE$33,U$2)</f>
        <v>0.19695635907091735</v>
      </c>
      <c r="V89" s="7">
        <f>U89*VLOOKUP($A89,'EU Ref Sc 2020 Other industries'!$A$5:$AE$33,V$2)</f>
        <v>0.19497824180009224</v>
      </c>
      <c r="W89" s="7">
        <f>V89*VLOOKUP($A89,'EU Ref Sc 2020 Other industries'!$A$5:$AE$33,W$2)</f>
        <v>0.19300012452926713</v>
      </c>
      <c r="X89" s="7">
        <f>W89*VLOOKUP($A89,'EU Ref Sc 2020 Other industries'!$A$5:$AE$33,X$2)</f>
        <v>0.19102200725844196</v>
      </c>
      <c r="Y89" s="7">
        <f>X89*VLOOKUP($A89,'EU Ref Sc 2020 Other industries'!$A$5:$AE$33,Y$2)</f>
        <v>0.19753034337965442</v>
      </c>
      <c r="Z89" s="7">
        <f>Y89*VLOOKUP($A89,'EU Ref Sc 2020 Other industries'!$A$5:$AE$33,Z$2)</f>
        <v>0.20403867950086688</v>
      </c>
      <c r="AA89" s="7">
        <f>Z89*VLOOKUP($A89,'EU Ref Sc 2020 Other industries'!$A$5:$AE$33,AA$2)</f>
        <v>0.21054701562207939</v>
      </c>
      <c r="AB89" s="7">
        <f>AA89*VLOOKUP($A89,'EU Ref Sc 2020 Other industries'!$A$5:$AE$33,AB$2)</f>
        <v>0.21705535174329188</v>
      </c>
      <c r="AC89" s="7">
        <f>AB89*VLOOKUP($A89,'EU Ref Sc 2020 Other industries'!$A$5:$AE$33,AC$2)</f>
        <v>0.22356368786450431</v>
      </c>
      <c r="AD89" s="7">
        <f>AC89*VLOOKUP($A89,'EU Ref Sc 2020 Other industries'!$A$5:$AE$33,AD$2)</f>
        <v>0.21968312919164221</v>
      </c>
      <c r="AE89" s="7">
        <f>AD89*VLOOKUP($A89,'EU Ref Sc 2020 Other industries'!$A$5:$AE$33,AE$2)</f>
        <v>0.2158025705187801</v>
      </c>
      <c r="AF89" s="7">
        <f>AE89*VLOOKUP($A89,'EU Ref Sc 2020 Other industries'!$A$5:$AE$33,AF$2)</f>
        <v>0.211922011845918</v>
      </c>
      <c r="AG89" s="7">
        <f>AF89*VLOOKUP($A89,'EU Ref Sc 2020 Other industries'!$A$5:$AE$33,AG$2)</f>
        <v>0.20804145317305589</v>
      </c>
      <c r="AH89" s="7">
        <f>AG89*VLOOKUP($A89,'EU Ref Sc 2020 Other industries'!$A$5:$AE$33,AH$2)</f>
        <v>0.2041608945001939</v>
      </c>
      <c r="AI89" s="13">
        <f t="shared" ref="AI89:AR89" si="88">AH89</f>
        <v>0.2041608945001939</v>
      </c>
      <c r="AJ89" s="13">
        <f t="shared" si="88"/>
        <v>0.2041608945001939</v>
      </c>
      <c r="AK89" s="13">
        <f t="shared" si="88"/>
        <v>0.2041608945001939</v>
      </c>
      <c r="AL89" s="13">
        <f t="shared" si="88"/>
        <v>0.2041608945001939</v>
      </c>
      <c r="AM89" s="13">
        <f t="shared" si="88"/>
        <v>0.2041608945001939</v>
      </c>
      <c r="AN89" s="13">
        <f t="shared" si="88"/>
        <v>0.2041608945001939</v>
      </c>
      <c r="AO89" s="13">
        <f t="shared" si="88"/>
        <v>0.2041608945001939</v>
      </c>
      <c r="AP89" s="13">
        <f t="shared" si="88"/>
        <v>0.2041608945001939</v>
      </c>
      <c r="AQ89" s="13">
        <f t="shared" si="88"/>
        <v>0.2041608945001939</v>
      </c>
      <c r="AR89" s="13">
        <f t="shared" si="88"/>
        <v>0.2041608945001939</v>
      </c>
    </row>
    <row r="90" spans="1:44" x14ac:dyDescent="0.3">
      <c r="A90" t="s">
        <v>1403</v>
      </c>
      <c r="B90" t="s">
        <v>1397</v>
      </c>
      <c r="C90" t="s">
        <v>349</v>
      </c>
      <c r="D90" t="str">
        <f t="shared" si="66"/>
        <v>DKIMEF</v>
      </c>
      <c r="E90" s="2">
        <v>2.8008000000000002</v>
      </c>
      <c r="F90" s="7">
        <f>E90*VLOOKUP($A90,'EU Ref Sc 2020 Other industries'!$A$5:$AE$33,F$2)</f>
        <v>2.8377787823954503</v>
      </c>
      <c r="G90" s="7">
        <f>F90*VLOOKUP($A90,'EU Ref Sc 2020 Other industries'!$A$5:$AE$33,G$2)</f>
        <v>2.8747575647909005</v>
      </c>
      <c r="H90" s="7">
        <f>G90*VLOOKUP($A90,'EU Ref Sc 2020 Other industries'!$A$5:$AE$33,H$2)</f>
        <v>2.9117363471863507</v>
      </c>
      <c r="I90" s="7">
        <f>H90*VLOOKUP($A90,'EU Ref Sc 2020 Other industries'!$A$5:$AE$33,I$2)</f>
        <v>2.9487151295817995</v>
      </c>
      <c r="J90" s="7">
        <f>I90*VLOOKUP($A90,'EU Ref Sc 2020 Other industries'!$A$5:$AE$33,J$2)</f>
        <v>3.0530084477308455</v>
      </c>
      <c r="K90" s="7">
        <f>J90*VLOOKUP($A90,'EU Ref Sc 2020 Other industries'!$A$5:$AE$33,K$2)</f>
        <v>3.1573017658798914</v>
      </c>
      <c r="L90" s="7">
        <f>K90*VLOOKUP($A90,'EU Ref Sc 2020 Other industries'!$A$5:$AE$33,L$2)</f>
        <v>3.2615950840289374</v>
      </c>
      <c r="M90" s="7">
        <f>L90*VLOOKUP($A90,'EU Ref Sc 2020 Other industries'!$A$5:$AE$33,M$2)</f>
        <v>3.3658884021779834</v>
      </c>
      <c r="N90" s="7">
        <f>M90*VLOOKUP($A90,'EU Ref Sc 2020 Other industries'!$A$5:$AE$33,N$2)</f>
        <v>3.4701817203270306</v>
      </c>
      <c r="O90" s="7">
        <f>N90*VLOOKUP($A90,'EU Ref Sc 2020 Other industries'!$A$5:$AE$33,O$2)</f>
        <v>3.4769903103966215</v>
      </c>
      <c r="P90" s="7">
        <f>O90*VLOOKUP($A90,'EU Ref Sc 2020 Other industries'!$A$5:$AE$33,P$2)</f>
        <v>3.483798900466212</v>
      </c>
      <c r="Q90" s="7">
        <f>P90*VLOOKUP($A90,'EU Ref Sc 2020 Other industries'!$A$5:$AE$33,Q$2)</f>
        <v>3.4906074905358024</v>
      </c>
      <c r="R90" s="7">
        <f>Q90*VLOOKUP($A90,'EU Ref Sc 2020 Other industries'!$A$5:$AE$33,R$2)</f>
        <v>3.4974160806053933</v>
      </c>
      <c r="S90" s="7">
        <f>R90*VLOOKUP($A90,'EU Ref Sc 2020 Other industries'!$A$5:$AE$33,S$2)</f>
        <v>3.5042246706749833</v>
      </c>
      <c r="T90" s="7">
        <f>S90*VLOOKUP($A90,'EU Ref Sc 2020 Other industries'!$A$5:$AE$33,T$2)</f>
        <v>3.5369491799483783</v>
      </c>
      <c r="U90" s="7">
        <f>T90*VLOOKUP($A90,'EU Ref Sc 2020 Other industries'!$A$5:$AE$33,U$2)</f>
        <v>3.5696736892217733</v>
      </c>
      <c r="V90" s="7">
        <f>U90*VLOOKUP($A90,'EU Ref Sc 2020 Other industries'!$A$5:$AE$33,V$2)</f>
        <v>3.6023981984951683</v>
      </c>
      <c r="W90" s="7">
        <f>V90*VLOOKUP($A90,'EU Ref Sc 2020 Other industries'!$A$5:$AE$33,W$2)</f>
        <v>3.6351227077685633</v>
      </c>
      <c r="X90" s="7">
        <f>W90*VLOOKUP($A90,'EU Ref Sc 2020 Other industries'!$A$5:$AE$33,X$2)</f>
        <v>3.6678472170419578</v>
      </c>
      <c r="Y90" s="7">
        <f>X90*VLOOKUP($A90,'EU Ref Sc 2020 Other industries'!$A$5:$AE$33,Y$2)</f>
        <v>3.7135152315649926</v>
      </c>
      <c r="Z90" s="7">
        <f>Y90*VLOOKUP($A90,'EU Ref Sc 2020 Other industries'!$A$5:$AE$33,Z$2)</f>
        <v>3.7591832460880275</v>
      </c>
      <c r="AA90" s="7">
        <f>Z90*VLOOKUP($A90,'EU Ref Sc 2020 Other industries'!$A$5:$AE$33,AA$2)</f>
        <v>3.8048512606110618</v>
      </c>
      <c r="AB90" s="7">
        <f>AA90*VLOOKUP($A90,'EU Ref Sc 2020 Other industries'!$A$5:$AE$33,AB$2)</f>
        <v>3.8505192751340962</v>
      </c>
      <c r="AC90" s="7">
        <f>AB90*VLOOKUP($A90,'EU Ref Sc 2020 Other industries'!$A$5:$AE$33,AC$2)</f>
        <v>3.896187289657131</v>
      </c>
      <c r="AD90" s="7">
        <f>AC90*VLOOKUP($A90,'EU Ref Sc 2020 Other industries'!$A$5:$AE$33,AD$2)</f>
        <v>3.9395435129840872</v>
      </c>
      <c r="AE90" s="7">
        <f>AD90*VLOOKUP($A90,'EU Ref Sc 2020 Other industries'!$A$5:$AE$33,AE$2)</f>
        <v>3.9828997363110434</v>
      </c>
      <c r="AF90" s="7">
        <f>AE90*VLOOKUP($A90,'EU Ref Sc 2020 Other industries'!$A$5:$AE$33,AF$2)</f>
        <v>4.0262559596380001</v>
      </c>
      <c r="AG90" s="7">
        <f>AF90*VLOOKUP($A90,'EU Ref Sc 2020 Other industries'!$A$5:$AE$33,AG$2)</f>
        <v>4.0696121829649572</v>
      </c>
      <c r="AH90" s="7">
        <f>AG90*VLOOKUP($A90,'EU Ref Sc 2020 Other industries'!$A$5:$AE$33,AH$2)</f>
        <v>4.1129684062919134</v>
      </c>
      <c r="AI90" s="13">
        <f t="shared" ref="AI90:AR90" si="89">AH90</f>
        <v>4.1129684062919134</v>
      </c>
      <c r="AJ90" s="13">
        <f t="shared" si="89"/>
        <v>4.1129684062919134</v>
      </c>
      <c r="AK90" s="13">
        <f t="shared" si="89"/>
        <v>4.1129684062919134</v>
      </c>
      <c r="AL90" s="13">
        <f t="shared" si="89"/>
        <v>4.1129684062919134</v>
      </c>
      <c r="AM90" s="13">
        <f t="shared" si="89"/>
        <v>4.1129684062919134</v>
      </c>
      <c r="AN90" s="13">
        <f t="shared" si="89"/>
        <v>4.1129684062919134</v>
      </c>
      <c r="AO90" s="13">
        <f t="shared" si="89"/>
        <v>4.1129684062919134</v>
      </c>
      <c r="AP90" s="13">
        <f t="shared" si="89"/>
        <v>4.1129684062919134</v>
      </c>
      <c r="AQ90" s="13">
        <f t="shared" si="89"/>
        <v>4.1129684062919134</v>
      </c>
      <c r="AR90" s="13">
        <f t="shared" si="89"/>
        <v>4.1129684062919134</v>
      </c>
    </row>
    <row r="91" spans="1:44" x14ac:dyDescent="0.3">
      <c r="A91" t="s">
        <v>1405</v>
      </c>
      <c r="B91" t="s">
        <v>1397</v>
      </c>
      <c r="C91" t="s">
        <v>404</v>
      </c>
      <c r="D91" t="str">
        <f t="shared" si="66"/>
        <v>EEIMEF</v>
      </c>
      <c r="E91" s="2">
        <v>0.33400000000000002</v>
      </c>
      <c r="F91" s="7">
        <f>E91*VLOOKUP($A91,'EU Ref Sc 2020 Other industries'!$A$5:$AE$33,F$2)</f>
        <v>0.34799392606056578</v>
      </c>
      <c r="G91" s="7">
        <f>F91*VLOOKUP($A91,'EU Ref Sc 2020 Other industries'!$A$5:$AE$33,G$2)</f>
        <v>0.36198785212113155</v>
      </c>
      <c r="H91" s="7">
        <f>G91*VLOOKUP($A91,'EU Ref Sc 2020 Other industries'!$A$5:$AE$33,H$2)</f>
        <v>0.37598177818169731</v>
      </c>
      <c r="I91" s="7">
        <f>H91*VLOOKUP($A91,'EU Ref Sc 2020 Other industries'!$A$5:$AE$33,I$2)</f>
        <v>0.38997570424226319</v>
      </c>
      <c r="J91" s="7">
        <f>I91*VLOOKUP($A91,'EU Ref Sc 2020 Other industries'!$A$5:$AE$33,J$2)</f>
        <v>0.40387908066744699</v>
      </c>
      <c r="K91" s="7">
        <f>J91*VLOOKUP($A91,'EU Ref Sc 2020 Other industries'!$A$5:$AE$33,K$2)</f>
        <v>0.41778245709263079</v>
      </c>
      <c r="L91" s="7">
        <f>K91*VLOOKUP($A91,'EU Ref Sc 2020 Other industries'!$A$5:$AE$33,L$2)</f>
        <v>0.43168583351781464</v>
      </c>
      <c r="M91" s="7">
        <f>L91*VLOOKUP($A91,'EU Ref Sc 2020 Other industries'!$A$5:$AE$33,M$2)</f>
        <v>0.44558920994299844</v>
      </c>
      <c r="N91" s="7">
        <f>M91*VLOOKUP($A91,'EU Ref Sc 2020 Other industries'!$A$5:$AE$33,N$2)</f>
        <v>0.45949258636818235</v>
      </c>
      <c r="O91" s="7">
        <f>N91*VLOOKUP($A91,'EU Ref Sc 2020 Other industries'!$A$5:$AE$33,O$2)</f>
        <v>0.45981938564891972</v>
      </c>
      <c r="P91" s="7">
        <f>O91*VLOOKUP($A91,'EU Ref Sc 2020 Other industries'!$A$5:$AE$33,P$2)</f>
        <v>0.46014618492965703</v>
      </c>
      <c r="Q91" s="7">
        <f>P91*VLOOKUP($A91,'EU Ref Sc 2020 Other industries'!$A$5:$AE$33,Q$2)</f>
        <v>0.4604729842103944</v>
      </c>
      <c r="R91" s="7">
        <f>Q91*VLOOKUP($A91,'EU Ref Sc 2020 Other industries'!$A$5:$AE$33,R$2)</f>
        <v>0.46079978349113171</v>
      </c>
      <c r="S91" s="7">
        <f>R91*VLOOKUP($A91,'EU Ref Sc 2020 Other industries'!$A$5:$AE$33,S$2)</f>
        <v>0.46112658277186902</v>
      </c>
      <c r="T91" s="7">
        <f>S91*VLOOKUP($A91,'EU Ref Sc 2020 Other industries'!$A$5:$AE$33,T$2)</f>
        <v>0.45903992614060229</v>
      </c>
      <c r="U91" s="7">
        <f>T91*VLOOKUP($A91,'EU Ref Sc 2020 Other industries'!$A$5:$AE$33,U$2)</f>
        <v>0.45695326950933551</v>
      </c>
      <c r="V91" s="7">
        <f>U91*VLOOKUP($A91,'EU Ref Sc 2020 Other industries'!$A$5:$AE$33,V$2)</f>
        <v>0.45486661287806873</v>
      </c>
      <c r="W91" s="7">
        <f>V91*VLOOKUP($A91,'EU Ref Sc 2020 Other industries'!$A$5:$AE$33,W$2)</f>
        <v>0.45277995624680195</v>
      </c>
      <c r="X91" s="7">
        <f>W91*VLOOKUP($A91,'EU Ref Sc 2020 Other industries'!$A$5:$AE$33,X$2)</f>
        <v>0.45069329961553534</v>
      </c>
      <c r="Y91" s="7">
        <f>X91*VLOOKUP($A91,'EU Ref Sc 2020 Other industries'!$A$5:$AE$33,Y$2)</f>
        <v>0.45070611638512281</v>
      </c>
      <c r="Z91" s="7">
        <f>Y91*VLOOKUP($A91,'EU Ref Sc 2020 Other industries'!$A$5:$AE$33,Z$2)</f>
        <v>0.45071893315471023</v>
      </c>
      <c r="AA91" s="7">
        <f>Z91*VLOOKUP($A91,'EU Ref Sc 2020 Other industries'!$A$5:$AE$33,AA$2)</f>
        <v>0.45073174992429771</v>
      </c>
      <c r="AB91" s="7">
        <f>AA91*VLOOKUP($A91,'EU Ref Sc 2020 Other industries'!$A$5:$AE$33,AB$2)</f>
        <v>0.45074456669388518</v>
      </c>
      <c r="AC91" s="7">
        <f>AB91*VLOOKUP($A91,'EU Ref Sc 2020 Other industries'!$A$5:$AE$33,AC$2)</f>
        <v>0.45075738346347277</v>
      </c>
      <c r="AD91" s="7">
        <f>AC91*VLOOKUP($A91,'EU Ref Sc 2020 Other industries'!$A$5:$AE$33,AD$2)</f>
        <v>0.44974396551884605</v>
      </c>
      <c r="AE91" s="7">
        <f>AD91*VLOOKUP($A91,'EU Ref Sc 2020 Other industries'!$A$5:$AE$33,AE$2)</f>
        <v>0.44873054757421937</v>
      </c>
      <c r="AF91" s="7">
        <f>AE91*VLOOKUP($A91,'EU Ref Sc 2020 Other industries'!$A$5:$AE$33,AF$2)</f>
        <v>0.44771712962959265</v>
      </c>
      <c r="AG91" s="7">
        <f>AF91*VLOOKUP($A91,'EU Ref Sc 2020 Other industries'!$A$5:$AE$33,AG$2)</f>
        <v>0.44670371168496592</v>
      </c>
      <c r="AH91" s="7">
        <f>AG91*VLOOKUP($A91,'EU Ref Sc 2020 Other industries'!$A$5:$AE$33,AH$2)</f>
        <v>0.44569029374033908</v>
      </c>
      <c r="AI91" s="13">
        <f t="shared" ref="AI91:AR91" si="90">AH91</f>
        <v>0.44569029374033908</v>
      </c>
      <c r="AJ91" s="13">
        <f t="shared" si="90"/>
        <v>0.44569029374033908</v>
      </c>
      <c r="AK91" s="13">
        <f t="shared" si="90"/>
        <v>0.44569029374033908</v>
      </c>
      <c r="AL91" s="13">
        <f t="shared" si="90"/>
        <v>0.44569029374033908</v>
      </c>
      <c r="AM91" s="13">
        <f t="shared" si="90"/>
        <v>0.44569029374033908</v>
      </c>
      <c r="AN91" s="13">
        <f t="shared" si="90"/>
        <v>0.44569029374033908</v>
      </c>
      <c r="AO91" s="13">
        <f t="shared" si="90"/>
        <v>0.44569029374033908</v>
      </c>
      <c r="AP91" s="13">
        <f t="shared" si="90"/>
        <v>0.44569029374033908</v>
      </c>
      <c r="AQ91" s="13">
        <f t="shared" si="90"/>
        <v>0.44569029374033908</v>
      </c>
      <c r="AR91" s="13">
        <f t="shared" si="90"/>
        <v>0.44569029374033908</v>
      </c>
    </row>
    <row r="92" spans="1:44" x14ac:dyDescent="0.3">
      <c r="A92" t="s">
        <v>1407</v>
      </c>
      <c r="B92" t="s">
        <v>1397</v>
      </c>
      <c r="C92" t="s">
        <v>459</v>
      </c>
      <c r="D92" t="str">
        <f t="shared" si="66"/>
        <v>GRIMEF</v>
      </c>
      <c r="E92" s="2">
        <v>2.0093999999999999</v>
      </c>
      <c r="F92" s="7">
        <f>E92*VLOOKUP($A92,'EU Ref Sc 2020 Other industries'!$A$5:$AE$33,F$2)</f>
        <v>2.0551048719794944</v>
      </c>
      <c r="G92" s="7">
        <f>F92*VLOOKUP($A92,'EU Ref Sc 2020 Other industries'!$A$5:$AE$33,G$2)</f>
        <v>2.1008097439589895</v>
      </c>
      <c r="H92" s="7">
        <f>G92*VLOOKUP($A92,'EU Ref Sc 2020 Other industries'!$A$5:$AE$33,H$2)</f>
        <v>2.1465146159384845</v>
      </c>
      <c r="I92" s="7">
        <f>H92*VLOOKUP($A92,'EU Ref Sc 2020 Other industries'!$A$5:$AE$33,I$2)</f>
        <v>2.1922194879179799</v>
      </c>
      <c r="J92" s="7">
        <f>I92*VLOOKUP($A92,'EU Ref Sc 2020 Other industries'!$A$5:$AE$33,J$2)</f>
        <v>2.1290147043994216</v>
      </c>
      <c r="K92" s="7">
        <f>J92*VLOOKUP($A92,'EU Ref Sc 2020 Other industries'!$A$5:$AE$33,K$2)</f>
        <v>2.0658099208808633</v>
      </c>
      <c r="L92" s="7">
        <f>K92*VLOOKUP($A92,'EU Ref Sc 2020 Other industries'!$A$5:$AE$33,L$2)</f>
        <v>2.0026051373623051</v>
      </c>
      <c r="M92" s="7">
        <f>L92*VLOOKUP($A92,'EU Ref Sc 2020 Other industries'!$A$5:$AE$33,M$2)</f>
        <v>1.9394003538437468</v>
      </c>
      <c r="N92" s="7">
        <f>M92*VLOOKUP($A92,'EU Ref Sc 2020 Other industries'!$A$5:$AE$33,N$2)</f>
        <v>1.8761955703251885</v>
      </c>
      <c r="O92" s="7">
        <f>N92*VLOOKUP($A92,'EU Ref Sc 2020 Other industries'!$A$5:$AE$33,O$2)</f>
        <v>1.9078709603535842</v>
      </c>
      <c r="P92" s="7">
        <f>O92*VLOOKUP($A92,'EU Ref Sc 2020 Other industries'!$A$5:$AE$33,P$2)</f>
        <v>1.9395463503819796</v>
      </c>
      <c r="Q92" s="7">
        <f>P92*VLOOKUP($A92,'EU Ref Sc 2020 Other industries'!$A$5:$AE$33,Q$2)</f>
        <v>1.9712217404103751</v>
      </c>
      <c r="R92" s="7">
        <f>Q92*VLOOKUP($A92,'EU Ref Sc 2020 Other industries'!$A$5:$AE$33,R$2)</f>
        <v>2.0028971304387708</v>
      </c>
      <c r="S92" s="7">
        <f>R92*VLOOKUP($A92,'EU Ref Sc 2020 Other industries'!$A$5:$AE$33,S$2)</f>
        <v>2.034572520467167</v>
      </c>
      <c r="T92" s="7">
        <f>S92*VLOOKUP($A92,'EU Ref Sc 2020 Other industries'!$A$5:$AE$33,T$2)</f>
        <v>2.0379192606866483</v>
      </c>
      <c r="U92" s="7">
        <f>T92*VLOOKUP($A92,'EU Ref Sc 2020 Other industries'!$A$5:$AE$33,U$2)</f>
        <v>2.0412660009061301</v>
      </c>
      <c r="V92" s="7">
        <f>U92*VLOOKUP($A92,'EU Ref Sc 2020 Other industries'!$A$5:$AE$33,V$2)</f>
        <v>2.0446127411256114</v>
      </c>
      <c r="W92" s="7">
        <f>V92*VLOOKUP($A92,'EU Ref Sc 2020 Other industries'!$A$5:$AE$33,W$2)</f>
        <v>2.0479594813450932</v>
      </c>
      <c r="X92" s="7">
        <f>W92*VLOOKUP($A92,'EU Ref Sc 2020 Other industries'!$A$5:$AE$33,X$2)</f>
        <v>2.0513062215645741</v>
      </c>
      <c r="Y92" s="7">
        <f>X92*VLOOKUP($A92,'EU Ref Sc 2020 Other industries'!$A$5:$AE$33,Y$2)</f>
        <v>2.0612693933928119</v>
      </c>
      <c r="Z92" s="7">
        <f>Y92*VLOOKUP($A92,'EU Ref Sc 2020 Other industries'!$A$5:$AE$33,Z$2)</f>
        <v>2.0712325652210501</v>
      </c>
      <c r="AA92" s="7">
        <f>Z92*VLOOKUP($A92,'EU Ref Sc 2020 Other industries'!$A$5:$AE$33,AA$2)</f>
        <v>2.081195737049288</v>
      </c>
      <c r="AB92" s="7">
        <f>AA92*VLOOKUP($A92,'EU Ref Sc 2020 Other industries'!$A$5:$AE$33,AB$2)</f>
        <v>2.0911589088775262</v>
      </c>
      <c r="AC92" s="7">
        <f>AB92*VLOOKUP($A92,'EU Ref Sc 2020 Other industries'!$A$5:$AE$33,AC$2)</f>
        <v>2.101122080705764</v>
      </c>
      <c r="AD92" s="7">
        <f>AC92*VLOOKUP($A92,'EU Ref Sc 2020 Other industries'!$A$5:$AE$33,AD$2)</f>
        <v>2.1078027873403773</v>
      </c>
      <c r="AE92" s="7">
        <f>AD92*VLOOKUP($A92,'EU Ref Sc 2020 Other industries'!$A$5:$AE$33,AE$2)</f>
        <v>2.1144834939749906</v>
      </c>
      <c r="AF92" s="7">
        <f>AE92*VLOOKUP($A92,'EU Ref Sc 2020 Other industries'!$A$5:$AE$33,AF$2)</f>
        <v>2.1211642006096039</v>
      </c>
      <c r="AG92" s="7">
        <f>AF92*VLOOKUP($A92,'EU Ref Sc 2020 Other industries'!$A$5:$AE$33,AG$2)</f>
        <v>2.1278449072442172</v>
      </c>
      <c r="AH92" s="7">
        <f>AG92*VLOOKUP($A92,'EU Ref Sc 2020 Other industries'!$A$5:$AE$33,AH$2)</f>
        <v>2.1345256138788309</v>
      </c>
      <c r="AI92" s="13">
        <f t="shared" ref="AI92:AR92" si="91">AH92</f>
        <v>2.1345256138788309</v>
      </c>
      <c r="AJ92" s="13">
        <f t="shared" si="91"/>
        <v>2.1345256138788309</v>
      </c>
      <c r="AK92" s="13">
        <f t="shared" si="91"/>
        <v>2.1345256138788309</v>
      </c>
      <c r="AL92" s="13">
        <f t="shared" si="91"/>
        <v>2.1345256138788309</v>
      </c>
      <c r="AM92" s="13">
        <f t="shared" si="91"/>
        <v>2.1345256138788309</v>
      </c>
      <c r="AN92" s="13">
        <f t="shared" si="91"/>
        <v>2.1345256138788309</v>
      </c>
      <c r="AO92" s="13">
        <f t="shared" si="91"/>
        <v>2.1345256138788309</v>
      </c>
      <c r="AP92" s="13">
        <f t="shared" si="91"/>
        <v>2.1345256138788309</v>
      </c>
      <c r="AQ92" s="13">
        <f t="shared" si="91"/>
        <v>2.1345256138788309</v>
      </c>
      <c r="AR92" s="13">
        <f t="shared" si="91"/>
        <v>2.1345256138788309</v>
      </c>
    </row>
    <row r="93" spans="1:44" x14ac:dyDescent="0.3">
      <c r="A93" t="s">
        <v>1408</v>
      </c>
      <c r="B93" t="s">
        <v>1397</v>
      </c>
      <c r="C93" t="s">
        <v>514</v>
      </c>
      <c r="D93" t="str">
        <f t="shared" si="66"/>
        <v>ESIMEF</v>
      </c>
      <c r="E93" s="2">
        <v>11.873799999999999</v>
      </c>
      <c r="F93" s="7">
        <f>E93*VLOOKUP($A93,'EU Ref Sc 2020 Other industries'!$A$5:$AE$33,F$2)</f>
        <v>12.371288261251333</v>
      </c>
      <c r="G93" s="7">
        <f>F93*VLOOKUP($A93,'EU Ref Sc 2020 Other industries'!$A$5:$AE$33,G$2)</f>
        <v>12.868776522502667</v>
      </c>
      <c r="H93" s="7">
        <f>G93*VLOOKUP($A93,'EU Ref Sc 2020 Other industries'!$A$5:$AE$33,H$2)</f>
        <v>13.366264783754001</v>
      </c>
      <c r="I93" s="7">
        <f>H93*VLOOKUP($A93,'EU Ref Sc 2020 Other industries'!$A$5:$AE$33,I$2)</f>
        <v>13.863753045005339</v>
      </c>
      <c r="J93" s="7">
        <f>I93*VLOOKUP($A93,'EU Ref Sc 2020 Other industries'!$A$5:$AE$33,J$2)</f>
        <v>14.358022239608175</v>
      </c>
      <c r="K93" s="7">
        <f>J93*VLOOKUP($A93,'EU Ref Sc 2020 Other industries'!$A$5:$AE$33,K$2)</f>
        <v>14.852291434211013</v>
      </c>
      <c r="L93" s="7">
        <f>K93*VLOOKUP($A93,'EU Ref Sc 2020 Other industries'!$A$5:$AE$33,L$2)</f>
        <v>15.346560628813851</v>
      </c>
      <c r="M93" s="7">
        <f>L93*VLOOKUP($A93,'EU Ref Sc 2020 Other industries'!$A$5:$AE$33,M$2)</f>
        <v>15.840829823416687</v>
      </c>
      <c r="N93" s="7">
        <f>M93*VLOOKUP($A93,'EU Ref Sc 2020 Other industries'!$A$5:$AE$33,N$2)</f>
        <v>16.335099018019527</v>
      </c>
      <c r="O93" s="7">
        <f>N93*VLOOKUP($A93,'EU Ref Sc 2020 Other industries'!$A$5:$AE$33,O$2)</f>
        <v>16.346716830293836</v>
      </c>
      <c r="P93" s="7">
        <f>O93*VLOOKUP($A93,'EU Ref Sc 2020 Other industries'!$A$5:$AE$33,P$2)</f>
        <v>16.358334642568146</v>
      </c>
      <c r="Q93" s="7">
        <f>P93*VLOOKUP($A93,'EU Ref Sc 2020 Other industries'!$A$5:$AE$33,Q$2)</f>
        <v>16.369952454842455</v>
      </c>
      <c r="R93" s="7">
        <f>Q93*VLOOKUP($A93,'EU Ref Sc 2020 Other industries'!$A$5:$AE$33,R$2)</f>
        <v>16.381570267116764</v>
      </c>
      <c r="S93" s="7">
        <f>R93*VLOOKUP($A93,'EU Ref Sc 2020 Other industries'!$A$5:$AE$33,S$2)</f>
        <v>16.39318807939107</v>
      </c>
      <c r="T93" s="7">
        <f>S93*VLOOKUP($A93,'EU Ref Sc 2020 Other industries'!$A$5:$AE$33,T$2)</f>
        <v>16.319006811402044</v>
      </c>
      <c r="U93" s="7">
        <f>T93*VLOOKUP($A93,'EU Ref Sc 2020 Other industries'!$A$5:$AE$33,U$2)</f>
        <v>16.244825543413015</v>
      </c>
      <c r="V93" s="7">
        <f>U93*VLOOKUP($A93,'EU Ref Sc 2020 Other industries'!$A$5:$AE$33,V$2)</f>
        <v>16.170644275423985</v>
      </c>
      <c r="W93" s="7">
        <f>V93*VLOOKUP($A93,'EU Ref Sc 2020 Other industries'!$A$5:$AE$33,W$2)</f>
        <v>16.096463007434959</v>
      </c>
      <c r="X93" s="7">
        <f>W93*VLOOKUP($A93,'EU Ref Sc 2020 Other industries'!$A$5:$AE$33,X$2)</f>
        <v>16.022281739445937</v>
      </c>
      <c r="Y93" s="7">
        <f>X93*VLOOKUP($A93,'EU Ref Sc 2020 Other industries'!$A$5:$AE$33,Y$2)</f>
        <v>16.022737379442127</v>
      </c>
      <c r="Z93" s="7">
        <f>Y93*VLOOKUP($A93,'EU Ref Sc 2020 Other industries'!$A$5:$AE$33,Z$2)</f>
        <v>16.023193019438317</v>
      </c>
      <c r="AA93" s="7">
        <f>Z93*VLOOKUP($A93,'EU Ref Sc 2020 Other industries'!$A$5:$AE$33,AA$2)</f>
        <v>16.023648659434507</v>
      </c>
      <c r="AB93" s="7">
        <f>AA93*VLOOKUP($A93,'EU Ref Sc 2020 Other industries'!$A$5:$AE$33,AB$2)</f>
        <v>16.024104299430697</v>
      </c>
      <c r="AC93" s="7">
        <f>AB93*VLOOKUP($A93,'EU Ref Sc 2020 Other industries'!$A$5:$AE$33,AC$2)</f>
        <v>16.02455993942689</v>
      </c>
      <c r="AD93" s="7">
        <f>AC93*VLOOKUP($A93,'EU Ref Sc 2020 Other industries'!$A$5:$AE$33,AD$2)</f>
        <v>15.988532628076864</v>
      </c>
      <c r="AE93" s="7">
        <f>AD93*VLOOKUP($A93,'EU Ref Sc 2020 Other industries'!$A$5:$AE$33,AE$2)</f>
        <v>15.952505316726839</v>
      </c>
      <c r="AF93" s="7">
        <f>AE93*VLOOKUP($A93,'EU Ref Sc 2020 Other industries'!$A$5:$AE$33,AF$2)</f>
        <v>15.916478005376813</v>
      </c>
      <c r="AG93" s="7">
        <f>AF93*VLOOKUP($A93,'EU Ref Sc 2020 Other industries'!$A$5:$AE$33,AG$2)</f>
        <v>15.880450694026788</v>
      </c>
      <c r="AH93" s="7">
        <f>AG93*VLOOKUP($A93,'EU Ref Sc 2020 Other industries'!$A$5:$AE$33,AH$2)</f>
        <v>15.844423382676757</v>
      </c>
      <c r="AI93" s="13">
        <f t="shared" ref="AI93:AR93" si="92">AH93</f>
        <v>15.844423382676757</v>
      </c>
      <c r="AJ93" s="13">
        <f t="shared" si="92"/>
        <v>15.844423382676757</v>
      </c>
      <c r="AK93" s="13">
        <f t="shared" si="92"/>
        <v>15.844423382676757</v>
      </c>
      <c r="AL93" s="13">
        <f t="shared" si="92"/>
        <v>15.844423382676757</v>
      </c>
      <c r="AM93" s="13">
        <f t="shared" si="92"/>
        <v>15.844423382676757</v>
      </c>
      <c r="AN93" s="13">
        <f t="shared" si="92"/>
        <v>15.844423382676757</v>
      </c>
      <c r="AO93" s="13">
        <f t="shared" si="92"/>
        <v>15.844423382676757</v>
      </c>
      <c r="AP93" s="13">
        <f t="shared" si="92"/>
        <v>15.844423382676757</v>
      </c>
      <c r="AQ93" s="13">
        <f t="shared" si="92"/>
        <v>15.844423382676757</v>
      </c>
      <c r="AR93" s="13">
        <f t="shared" si="92"/>
        <v>15.844423382676757</v>
      </c>
    </row>
    <row r="94" spans="1:44" x14ac:dyDescent="0.3">
      <c r="A94" t="s">
        <v>1410</v>
      </c>
      <c r="B94" t="s">
        <v>1397</v>
      </c>
      <c r="C94" t="s">
        <v>624</v>
      </c>
      <c r="D94" t="str">
        <f t="shared" si="66"/>
        <v>FRIMEF</v>
      </c>
      <c r="E94" s="2">
        <v>23.233499999999999</v>
      </c>
      <c r="F94" s="7">
        <f>E94*VLOOKUP($A94,'EU Ref Sc 2020 Other industries'!$A$5:$AE$33,F$2)</f>
        <v>24.206936769844773</v>
      </c>
      <c r="G94" s="7">
        <f>F94*VLOOKUP($A94,'EU Ref Sc 2020 Other industries'!$A$5:$AE$33,G$2)</f>
        <v>25.180373539689548</v>
      </c>
      <c r="H94" s="7">
        <f>G94*VLOOKUP($A94,'EU Ref Sc 2020 Other industries'!$A$5:$AE$33,H$2)</f>
        <v>26.153810309534322</v>
      </c>
      <c r="I94" s="7">
        <f>H94*VLOOKUP($A94,'EU Ref Sc 2020 Other industries'!$A$5:$AE$33,I$2)</f>
        <v>27.127247079379103</v>
      </c>
      <c r="J94" s="7">
        <f>I94*VLOOKUP($A94,'EU Ref Sc 2020 Other industries'!$A$5:$AE$33,J$2)</f>
        <v>28.09438509187763</v>
      </c>
      <c r="K94" s="7">
        <f>J94*VLOOKUP($A94,'EU Ref Sc 2020 Other industries'!$A$5:$AE$33,K$2)</f>
        <v>29.061523104376157</v>
      </c>
      <c r="L94" s="7">
        <f>K94*VLOOKUP($A94,'EU Ref Sc 2020 Other industries'!$A$5:$AE$33,L$2)</f>
        <v>30.028661116874684</v>
      </c>
      <c r="M94" s="7">
        <f>L94*VLOOKUP($A94,'EU Ref Sc 2020 Other industries'!$A$5:$AE$33,M$2)</f>
        <v>30.995799129373211</v>
      </c>
      <c r="N94" s="7">
        <f>M94*VLOOKUP($A94,'EU Ref Sc 2020 Other industries'!$A$5:$AE$33,N$2)</f>
        <v>31.962937141871745</v>
      </c>
      <c r="O94" s="7">
        <f>N94*VLOOKUP($A94,'EU Ref Sc 2020 Other industries'!$A$5:$AE$33,O$2)</f>
        <v>31.985669749922675</v>
      </c>
      <c r="P94" s="7">
        <f>O94*VLOOKUP($A94,'EU Ref Sc 2020 Other industries'!$A$5:$AE$33,P$2)</f>
        <v>32.008402357973608</v>
      </c>
      <c r="Q94" s="7">
        <f>P94*VLOOKUP($A94,'EU Ref Sc 2020 Other industries'!$A$5:$AE$33,Q$2)</f>
        <v>32.031134966024545</v>
      </c>
      <c r="R94" s="7">
        <f>Q94*VLOOKUP($A94,'EU Ref Sc 2020 Other industries'!$A$5:$AE$33,R$2)</f>
        <v>32.053867574075475</v>
      </c>
      <c r="S94" s="7">
        <f>R94*VLOOKUP($A94,'EU Ref Sc 2020 Other industries'!$A$5:$AE$33,S$2)</f>
        <v>32.076600182126406</v>
      </c>
      <c r="T94" s="7">
        <f>S94*VLOOKUP($A94,'EU Ref Sc 2020 Other industries'!$A$5:$AE$33,T$2)</f>
        <v>31.931449473017018</v>
      </c>
      <c r="U94" s="7">
        <f>T94*VLOOKUP($A94,'EU Ref Sc 2020 Other industries'!$A$5:$AE$33,U$2)</f>
        <v>31.786298763907627</v>
      </c>
      <c r="V94" s="7">
        <f>U94*VLOOKUP($A94,'EU Ref Sc 2020 Other industries'!$A$5:$AE$33,V$2)</f>
        <v>31.641148054798236</v>
      </c>
      <c r="W94" s="7">
        <f>V94*VLOOKUP($A94,'EU Ref Sc 2020 Other industries'!$A$5:$AE$33,W$2)</f>
        <v>31.495997345688846</v>
      </c>
      <c r="X94" s="7">
        <f>W94*VLOOKUP($A94,'EU Ref Sc 2020 Other industries'!$A$5:$AE$33,X$2)</f>
        <v>31.350846636579465</v>
      </c>
      <c r="Y94" s="7">
        <f>X94*VLOOKUP($A94,'EU Ref Sc 2020 Other industries'!$A$5:$AE$33,Y$2)</f>
        <v>31.351738188723807</v>
      </c>
      <c r="Z94" s="7">
        <f>Y94*VLOOKUP($A94,'EU Ref Sc 2020 Other industries'!$A$5:$AE$33,Z$2)</f>
        <v>31.352629740868146</v>
      </c>
      <c r="AA94" s="7">
        <f>Z94*VLOOKUP($A94,'EU Ref Sc 2020 Other industries'!$A$5:$AE$33,AA$2)</f>
        <v>31.353521293012488</v>
      </c>
      <c r="AB94" s="7">
        <f>AA94*VLOOKUP($A94,'EU Ref Sc 2020 Other industries'!$A$5:$AE$33,AB$2)</f>
        <v>31.35441284515683</v>
      </c>
      <c r="AC94" s="7">
        <f>AB94*VLOOKUP($A94,'EU Ref Sc 2020 Other industries'!$A$5:$AE$33,AC$2)</f>
        <v>31.355304397301179</v>
      </c>
      <c r="AD94" s="7">
        <f>AC94*VLOOKUP($A94,'EU Ref Sc 2020 Other industries'!$A$5:$AE$33,AD$2)</f>
        <v>31.284809649347633</v>
      </c>
      <c r="AE94" s="7">
        <f>AD94*VLOOKUP($A94,'EU Ref Sc 2020 Other industries'!$A$5:$AE$33,AE$2)</f>
        <v>31.214314901394086</v>
      </c>
      <c r="AF94" s="7">
        <f>AE94*VLOOKUP($A94,'EU Ref Sc 2020 Other industries'!$A$5:$AE$33,AF$2)</f>
        <v>31.14382015344054</v>
      </c>
      <c r="AG94" s="7">
        <f>AF94*VLOOKUP($A94,'EU Ref Sc 2020 Other industries'!$A$5:$AE$33,AG$2)</f>
        <v>31.073325405486994</v>
      </c>
      <c r="AH94" s="7">
        <f>AG94*VLOOKUP($A94,'EU Ref Sc 2020 Other industries'!$A$5:$AE$33,AH$2)</f>
        <v>31.002830657533437</v>
      </c>
      <c r="AI94" s="13">
        <f t="shared" ref="AI94:AR94" si="93">AH94</f>
        <v>31.002830657533437</v>
      </c>
      <c r="AJ94" s="13">
        <f t="shared" si="93"/>
        <v>31.002830657533437</v>
      </c>
      <c r="AK94" s="13">
        <f t="shared" si="93"/>
        <v>31.002830657533437</v>
      </c>
      <c r="AL94" s="13">
        <f t="shared" si="93"/>
        <v>31.002830657533437</v>
      </c>
      <c r="AM94" s="13">
        <f t="shared" si="93"/>
        <v>31.002830657533437</v>
      </c>
      <c r="AN94" s="13">
        <f t="shared" si="93"/>
        <v>31.002830657533437</v>
      </c>
      <c r="AO94" s="13">
        <f t="shared" si="93"/>
        <v>31.002830657533437</v>
      </c>
      <c r="AP94" s="13">
        <f t="shared" si="93"/>
        <v>31.002830657533437</v>
      </c>
      <c r="AQ94" s="13">
        <f t="shared" si="93"/>
        <v>31.002830657533437</v>
      </c>
      <c r="AR94" s="13">
        <f t="shared" si="93"/>
        <v>31.002830657533437</v>
      </c>
    </row>
    <row r="95" spans="1:44" x14ac:dyDescent="0.3">
      <c r="A95" t="s">
        <v>1411</v>
      </c>
      <c r="B95" t="s">
        <v>1397</v>
      </c>
      <c r="C95" t="s">
        <v>679</v>
      </c>
      <c r="D95" t="str">
        <f t="shared" si="66"/>
        <v>HRIMEF</v>
      </c>
      <c r="E95" s="2">
        <v>0.72440000000000004</v>
      </c>
      <c r="F95" s="7">
        <f>E95*VLOOKUP($A95,'EU Ref Sc 2020 Other industries'!$A$5:$AE$33,F$2)</f>
        <v>0.72747514875178687</v>
      </c>
      <c r="G95" s="7">
        <f>F95*VLOOKUP($A95,'EU Ref Sc 2020 Other industries'!$A$5:$AE$33,G$2)</f>
        <v>0.73055029750357359</v>
      </c>
      <c r="H95" s="7">
        <f>G95*VLOOKUP($A95,'EU Ref Sc 2020 Other industries'!$A$5:$AE$33,H$2)</f>
        <v>0.73362544625536041</v>
      </c>
      <c r="I95" s="7">
        <f>H95*VLOOKUP($A95,'EU Ref Sc 2020 Other industries'!$A$5:$AE$33,I$2)</f>
        <v>0.73670059500714702</v>
      </c>
      <c r="J95" s="7">
        <f>I95*VLOOKUP($A95,'EU Ref Sc 2020 Other industries'!$A$5:$AE$33,J$2)</f>
        <v>0.73150043302382095</v>
      </c>
      <c r="K95" s="7">
        <f>J95*VLOOKUP($A95,'EU Ref Sc 2020 Other industries'!$A$5:$AE$33,K$2)</f>
        <v>0.72630027104049488</v>
      </c>
      <c r="L95" s="7">
        <f>K95*VLOOKUP($A95,'EU Ref Sc 2020 Other industries'!$A$5:$AE$33,L$2)</f>
        <v>0.72110010905716881</v>
      </c>
      <c r="M95" s="7">
        <f>L95*VLOOKUP($A95,'EU Ref Sc 2020 Other industries'!$A$5:$AE$33,M$2)</f>
        <v>0.71589994707384275</v>
      </c>
      <c r="N95" s="7">
        <f>M95*VLOOKUP($A95,'EU Ref Sc 2020 Other industries'!$A$5:$AE$33,N$2)</f>
        <v>0.71069978509051657</v>
      </c>
      <c r="O95" s="7">
        <f>N95*VLOOKUP($A95,'EU Ref Sc 2020 Other industries'!$A$5:$AE$33,O$2)</f>
        <v>0.70578861652277625</v>
      </c>
      <c r="P95" s="7">
        <f>O95*VLOOKUP($A95,'EU Ref Sc 2020 Other industries'!$A$5:$AE$33,P$2)</f>
        <v>0.70087744795503593</v>
      </c>
      <c r="Q95" s="7">
        <f>P95*VLOOKUP($A95,'EU Ref Sc 2020 Other industries'!$A$5:$AE$33,Q$2)</f>
        <v>0.69596627938729561</v>
      </c>
      <c r="R95" s="7">
        <f>Q95*VLOOKUP($A95,'EU Ref Sc 2020 Other industries'!$A$5:$AE$33,R$2)</f>
        <v>0.6910551108195554</v>
      </c>
      <c r="S95" s="7">
        <f>R95*VLOOKUP($A95,'EU Ref Sc 2020 Other industries'!$A$5:$AE$33,S$2)</f>
        <v>0.68614394225181508</v>
      </c>
      <c r="T95" s="7">
        <f>S95*VLOOKUP($A95,'EU Ref Sc 2020 Other industries'!$A$5:$AE$33,T$2)</f>
        <v>0.68884630214194931</v>
      </c>
      <c r="U95" s="7">
        <f>T95*VLOOKUP($A95,'EU Ref Sc 2020 Other industries'!$A$5:$AE$33,U$2)</f>
        <v>0.69154866203208354</v>
      </c>
      <c r="V95" s="7">
        <f>U95*VLOOKUP($A95,'EU Ref Sc 2020 Other industries'!$A$5:$AE$33,V$2)</f>
        <v>0.69425102192221766</v>
      </c>
      <c r="W95" s="7">
        <f>V95*VLOOKUP($A95,'EU Ref Sc 2020 Other industries'!$A$5:$AE$33,W$2)</f>
        <v>0.69695338181235178</v>
      </c>
      <c r="X95" s="7">
        <f>W95*VLOOKUP($A95,'EU Ref Sc 2020 Other industries'!$A$5:$AE$33,X$2)</f>
        <v>0.69965574170248579</v>
      </c>
      <c r="Y95" s="7">
        <f>X95*VLOOKUP($A95,'EU Ref Sc 2020 Other industries'!$A$5:$AE$33,Y$2)</f>
        <v>0.69885522532491007</v>
      </c>
      <c r="Z95" s="7">
        <f>Y95*VLOOKUP($A95,'EU Ref Sc 2020 Other industries'!$A$5:$AE$33,Z$2)</f>
        <v>0.69805470894733435</v>
      </c>
      <c r="AA95" s="7">
        <f>Z95*VLOOKUP($A95,'EU Ref Sc 2020 Other industries'!$A$5:$AE$33,AA$2)</f>
        <v>0.69725419256975862</v>
      </c>
      <c r="AB95" s="7">
        <f>AA95*VLOOKUP($A95,'EU Ref Sc 2020 Other industries'!$A$5:$AE$33,AB$2)</f>
        <v>0.6964536761921829</v>
      </c>
      <c r="AC95" s="7">
        <f>AB95*VLOOKUP($A95,'EU Ref Sc 2020 Other industries'!$A$5:$AE$33,AC$2)</f>
        <v>0.69565315981460718</v>
      </c>
      <c r="AD95" s="7">
        <f>AC95*VLOOKUP($A95,'EU Ref Sc 2020 Other industries'!$A$5:$AE$33,AD$2)</f>
        <v>0.69925795607238916</v>
      </c>
      <c r="AE95" s="7">
        <f>AD95*VLOOKUP($A95,'EU Ref Sc 2020 Other industries'!$A$5:$AE$33,AE$2)</f>
        <v>0.70286275233017104</v>
      </c>
      <c r="AF95" s="7">
        <f>AE95*VLOOKUP($A95,'EU Ref Sc 2020 Other industries'!$A$5:$AE$33,AF$2)</f>
        <v>0.70646754858795302</v>
      </c>
      <c r="AG95" s="7">
        <f>AF95*VLOOKUP($A95,'EU Ref Sc 2020 Other industries'!$A$5:$AE$33,AG$2)</f>
        <v>0.710072344845735</v>
      </c>
      <c r="AH95" s="7">
        <f>AG95*VLOOKUP($A95,'EU Ref Sc 2020 Other industries'!$A$5:$AE$33,AH$2)</f>
        <v>0.71367714110351688</v>
      </c>
      <c r="AI95" s="13">
        <f t="shared" ref="AI95:AR95" si="94">AH95</f>
        <v>0.71367714110351688</v>
      </c>
      <c r="AJ95" s="13">
        <f t="shared" si="94"/>
        <v>0.71367714110351688</v>
      </c>
      <c r="AK95" s="13">
        <f t="shared" si="94"/>
        <v>0.71367714110351688</v>
      </c>
      <c r="AL95" s="13">
        <f t="shared" si="94"/>
        <v>0.71367714110351688</v>
      </c>
      <c r="AM95" s="13">
        <f t="shared" si="94"/>
        <v>0.71367714110351688</v>
      </c>
      <c r="AN95" s="13">
        <f t="shared" si="94"/>
        <v>0.71367714110351688</v>
      </c>
      <c r="AO95" s="13">
        <f t="shared" si="94"/>
        <v>0.71367714110351688</v>
      </c>
      <c r="AP95" s="13">
        <f t="shared" si="94"/>
        <v>0.71367714110351688</v>
      </c>
      <c r="AQ95" s="13">
        <f t="shared" si="94"/>
        <v>0.71367714110351688</v>
      </c>
      <c r="AR95" s="13">
        <f t="shared" si="94"/>
        <v>0.71367714110351688</v>
      </c>
    </row>
    <row r="96" spans="1:44" x14ac:dyDescent="0.3">
      <c r="A96" t="s">
        <v>1412</v>
      </c>
      <c r="B96" t="s">
        <v>1397</v>
      </c>
      <c r="C96" t="s">
        <v>734</v>
      </c>
      <c r="D96" t="str">
        <f t="shared" si="66"/>
        <v>HUIMEF</v>
      </c>
      <c r="E96" s="2">
        <v>2.9666000000000001</v>
      </c>
      <c r="F96" s="7">
        <f>E96*VLOOKUP($A96,'EU Ref Sc 2020 Other industries'!$A$5:$AE$33,F$2)</f>
        <v>3.0115441557524512</v>
      </c>
      <c r="G96" s="7">
        <f>F96*VLOOKUP($A96,'EU Ref Sc 2020 Other industries'!$A$5:$AE$33,G$2)</f>
        <v>3.0564883115049022</v>
      </c>
      <c r="H96" s="7">
        <f>G96*VLOOKUP($A96,'EU Ref Sc 2020 Other industries'!$A$5:$AE$33,H$2)</f>
        <v>3.1014324672573532</v>
      </c>
      <c r="I96" s="7">
        <f>H96*VLOOKUP($A96,'EU Ref Sc 2020 Other industries'!$A$5:$AE$33,I$2)</f>
        <v>3.1463766230098047</v>
      </c>
      <c r="J96" s="7">
        <f>I96*VLOOKUP($A96,'EU Ref Sc 2020 Other industries'!$A$5:$AE$33,J$2)</f>
        <v>3.2885536766717123</v>
      </c>
      <c r="K96" s="7">
        <f>J96*VLOOKUP($A96,'EU Ref Sc 2020 Other industries'!$A$5:$AE$33,K$2)</f>
        <v>3.4307307303336199</v>
      </c>
      <c r="L96" s="7">
        <f>K96*VLOOKUP($A96,'EU Ref Sc 2020 Other industries'!$A$5:$AE$33,L$2)</f>
        <v>3.5729077839955274</v>
      </c>
      <c r="M96" s="7">
        <f>L96*VLOOKUP($A96,'EU Ref Sc 2020 Other industries'!$A$5:$AE$33,M$2)</f>
        <v>3.715084837657435</v>
      </c>
      <c r="N96" s="7">
        <f>M96*VLOOKUP($A96,'EU Ref Sc 2020 Other industries'!$A$5:$AE$33,N$2)</f>
        <v>3.8572618913193435</v>
      </c>
      <c r="O96" s="7">
        <f>N96*VLOOKUP($A96,'EU Ref Sc 2020 Other industries'!$A$5:$AE$33,O$2)</f>
        <v>3.8723581608990081</v>
      </c>
      <c r="P96" s="7">
        <f>O96*VLOOKUP($A96,'EU Ref Sc 2020 Other industries'!$A$5:$AE$33,P$2)</f>
        <v>3.8874544304786731</v>
      </c>
      <c r="Q96" s="7">
        <f>P96*VLOOKUP($A96,'EU Ref Sc 2020 Other industries'!$A$5:$AE$33,Q$2)</f>
        <v>3.9025507000583377</v>
      </c>
      <c r="R96" s="7">
        <f>Q96*VLOOKUP($A96,'EU Ref Sc 2020 Other industries'!$A$5:$AE$33,R$2)</f>
        <v>3.9176469696380027</v>
      </c>
      <c r="S96" s="7">
        <f>R96*VLOOKUP($A96,'EU Ref Sc 2020 Other industries'!$A$5:$AE$33,S$2)</f>
        <v>3.9327432392176664</v>
      </c>
      <c r="T96" s="7">
        <f>S96*VLOOKUP($A96,'EU Ref Sc 2020 Other industries'!$A$5:$AE$33,T$2)</f>
        <v>3.9129090985049468</v>
      </c>
      <c r="U96" s="7">
        <f>T96*VLOOKUP($A96,'EU Ref Sc 2020 Other industries'!$A$5:$AE$33,U$2)</f>
        <v>3.8930749577922272</v>
      </c>
      <c r="V96" s="7">
        <f>U96*VLOOKUP($A96,'EU Ref Sc 2020 Other industries'!$A$5:$AE$33,V$2)</f>
        <v>3.8732408170795076</v>
      </c>
      <c r="W96" s="7">
        <f>V96*VLOOKUP($A96,'EU Ref Sc 2020 Other industries'!$A$5:$AE$33,W$2)</f>
        <v>3.8534066763667876</v>
      </c>
      <c r="X96" s="7">
        <f>W96*VLOOKUP($A96,'EU Ref Sc 2020 Other industries'!$A$5:$AE$33,X$2)</f>
        <v>3.8335725356540693</v>
      </c>
      <c r="Y96" s="7">
        <f>X96*VLOOKUP($A96,'EU Ref Sc 2020 Other industries'!$A$5:$AE$33,Y$2)</f>
        <v>3.8077954194553754</v>
      </c>
      <c r="Z96" s="7">
        <f>Y96*VLOOKUP($A96,'EU Ref Sc 2020 Other industries'!$A$5:$AE$33,Z$2)</f>
        <v>3.7820183032566814</v>
      </c>
      <c r="AA96" s="7">
        <f>Z96*VLOOKUP($A96,'EU Ref Sc 2020 Other industries'!$A$5:$AE$33,AA$2)</f>
        <v>3.7562411870579879</v>
      </c>
      <c r="AB96" s="7">
        <f>AA96*VLOOKUP($A96,'EU Ref Sc 2020 Other industries'!$A$5:$AE$33,AB$2)</f>
        <v>3.7304640708592944</v>
      </c>
      <c r="AC96" s="7">
        <f>AB96*VLOOKUP($A96,'EU Ref Sc 2020 Other industries'!$A$5:$AE$33,AC$2)</f>
        <v>3.7046869546605996</v>
      </c>
      <c r="AD96" s="7">
        <f>AC96*VLOOKUP($A96,'EU Ref Sc 2020 Other industries'!$A$5:$AE$33,AD$2)</f>
        <v>3.7464037060539601</v>
      </c>
      <c r="AE96" s="7">
        <f>AD96*VLOOKUP($A96,'EU Ref Sc 2020 Other industries'!$A$5:$AE$33,AE$2)</f>
        <v>3.7881204574473202</v>
      </c>
      <c r="AF96" s="7">
        <f>AE96*VLOOKUP($A96,'EU Ref Sc 2020 Other industries'!$A$5:$AE$33,AF$2)</f>
        <v>3.8298372088406798</v>
      </c>
      <c r="AG96" s="7">
        <f>AF96*VLOOKUP($A96,'EU Ref Sc 2020 Other industries'!$A$5:$AE$33,AG$2)</f>
        <v>3.8715539602340399</v>
      </c>
      <c r="AH96" s="7">
        <f>AG96*VLOOKUP($A96,'EU Ref Sc 2020 Other industries'!$A$5:$AE$33,AH$2)</f>
        <v>3.9132707116274004</v>
      </c>
      <c r="AI96" s="13">
        <f t="shared" ref="AI96:AR96" si="95">AH96</f>
        <v>3.9132707116274004</v>
      </c>
      <c r="AJ96" s="13">
        <f t="shared" si="95"/>
        <v>3.9132707116274004</v>
      </c>
      <c r="AK96" s="13">
        <f t="shared" si="95"/>
        <v>3.9132707116274004</v>
      </c>
      <c r="AL96" s="13">
        <f t="shared" si="95"/>
        <v>3.9132707116274004</v>
      </c>
      <c r="AM96" s="13">
        <f t="shared" si="95"/>
        <v>3.9132707116274004</v>
      </c>
      <c r="AN96" s="13">
        <f t="shared" si="95"/>
        <v>3.9132707116274004</v>
      </c>
      <c r="AO96" s="13">
        <f t="shared" si="95"/>
        <v>3.9132707116274004</v>
      </c>
      <c r="AP96" s="13">
        <f t="shared" si="95"/>
        <v>3.9132707116274004</v>
      </c>
      <c r="AQ96" s="13">
        <f t="shared" si="95"/>
        <v>3.9132707116274004</v>
      </c>
      <c r="AR96" s="13">
        <f t="shared" si="95"/>
        <v>3.9132707116274004</v>
      </c>
    </row>
    <row r="97" spans="1:44" x14ac:dyDescent="0.3">
      <c r="A97" t="s">
        <v>1413</v>
      </c>
      <c r="B97" t="s">
        <v>1397</v>
      </c>
      <c r="C97" t="s">
        <v>789</v>
      </c>
      <c r="D97" t="str">
        <f t="shared" si="66"/>
        <v>IEIMEF</v>
      </c>
      <c r="E97" s="2">
        <v>1.4575</v>
      </c>
      <c r="F97" s="7">
        <f>E97*VLOOKUP($A97,'EU Ref Sc 2020 Other industries'!$A$5:$AE$33,F$2)</f>
        <v>1.4979384000863454</v>
      </c>
      <c r="G97" s="7">
        <f>F97*VLOOKUP($A97,'EU Ref Sc 2020 Other industries'!$A$5:$AE$33,G$2)</f>
        <v>1.5383768001726907</v>
      </c>
      <c r="H97" s="7">
        <f>G97*VLOOKUP($A97,'EU Ref Sc 2020 Other industries'!$A$5:$AE$33,H$2)</f>
        <v>1.5788152002590361</v>
      </c>
      <c r="I97" s="7">
        <f>H97*VLOOKUP($A97,'EU Ref Sc 2020 Other industries'!$A$5:$AE$33,I$2)</f>
        <v>1.6192536003453812</v>
      </c>
      <c r="J97" s="7">
        <f>I97*VLOOKUP($A97,'EU Ref Sc 2020 Other industries'!$A$5:$AE$33,J$2)</f>
        <v>1.6500579437953438</v>
      </c>
      <c r="K97" s="7">
        <f>J97*VLOOKUP($A97,'EU Ref Sc 2020 Other industries'!$A$5:$AE$33,K$2)</f>
        <v>1.6808622872453063</v>
      </c>
      <c r="L97" s="7">
        <f>K97*VLOOKUP($A97,'EU Ref Sc 2020 Other industries'!$A$5:$AE$33,L$2)</f>
        <v>1.7116666306952688</v>
      </c>
      <c r="M97" s="7">
        <f>L97*VLOOKUP($A97,'EU Ref Sc 2020 Other industries'!$A$5:$AE$33,M$2)</f>
        <v>1.7424709741452313</v>
      </c>
      <c r="N97" s="7">
        <f>M97*VLOOKUP($A97,'EU Ref Sc 2020 Other industries'!$A$5:$AE$33,N$2)</f>
        <v>1.7732753175951936</v>
      </c>
      <c r="O97" s="7">
        <f>N97*VLOOKUP($A97,'EU Ref Sc 2020 Other industries'!$A$5:$AE$33,O$2)</f>
        <v>1.7608029071733804</v>
      </c>
      <c r="P97" s="7">
        <f>O97*VLOOKUP($A97,'EU Ref Sc 2020 Other industries'!$A$5:$AE$33,P$2)</f>
        <v>1.7483304967515674</v>
      </c>
      <c r="Q97" s="7">
        <f>P97*VLOOKUP($A97,'EU Ref Sc 2020 Other industries'!$A$5:$AE$33,Q$2)</f>
        <v>1.7358580863297544</v>
      </c>
      <c r="R97" s="7">
        <f>Q97*VLOOKUP($A97,'EU Ref Sc 2020 Other industries'!$A$5:$AE$33,R$2)</f>
        <v>1.7233856759079411</v>
      </c>
      <c r="S97" s="7">
        <f>R97*VLOOKUP($A97,'EU Ref Sc 2020 Other industries'!$A$5:$AE$33,S$2)</f>
        <v>1.7109132654861274</v>
      </c>
      <c r="T97" s="7">
        <f>S97*VLOOKUP($A97,'EU Ref Sc 2020 Other industries'!$A$5:$AE$33,T$2)</f>
        <v>1.7101833434083464</v>
      </c>
      <c r="U97" s="7">
        <f>T97*VLOOKUP($A97,'EU Ref Sc 2020 Other industries'!$A$5:$AE$33,U$2)</f>
        <v>1.7094534213305654</v>
      </c>
      <c r="V97" s="7">
        <f>U97*VLOOKUP($A97,'EU Ref Sc 2020 Other industries'!$A$5:$AE$33,V$2)</f>
        <v>1.7087234992527844</v>
      </c>
      <c r="W97" s="7">
        <f>V97*VLOOKUP($A97,'EU Ref Sc 2020 Other industries'!$A$5:$AE$33,W$2)</f>
        <v>1.7079935771750037</v>
      </c>
      <c r="X97" s="7">
        <f>W97*VLOOKUP($A97,'EU Ref Sc 2020 Other industries'!$A$5:$AE$33,X$2)</f>
        <v>1.7072636550972231</v>
      </c>
      <c r="Y97" s="7">
        <f>X97*VLOOKUP($A97,'EU Ref Sc 2020 Other industries'!$A$5:$AE$33,Y$2)</f>
        <v>1.7102791587205499</v>
      </c>
      <c r="Z97" s="7">
        <f>Y97*VLOOKUP($A97,'EU Ref Sc 2020 Other industries'!$A$5:$AE$33,Z$2)</f>
        <v>1.7132946623438767</v>
      </c>
      <c r="AA97" s="7">
        <f>Z97*VLOOKUP($A97,'EU Ref Sc 2020 Other industries'!$A$5:$AE$33,AA$2)</f>
        <v>1.7163101659672033</v>
      </c>
      <c r="AB97" s="7">
        <f>AA97*VLOOKUP($A97,'EU Ref Sc 2020 Other industries'!$A$5:$AE$33,AB$2)</f>
        <v>1.7193256695905301</v>
      </c>
      <c r="AC97" s="7">
        <f>AB97*VLOOKUP($A97,'EU Ref Sc 2020 Other industries'!$A$5:$AE$33,AC$2)</f>
        <v>1.7223411732138567</v>
      </c>
      <c r="AD97" s="7">
        <f>AC97*VLOOKUP($A97,'EU Ref Sc 2020 Other industries'!$A$5:$AE$33,AD$2)</f>
        <v>1.7257024999506201</v>
      </c>
      <c r="AE97" s="7">
        <f>AD97*VLOOKUP($A97,'EU Ref Sc 2020 Other industries'!$A$5:$AE$33,AE$2)</f>
        <v>1.7290638266873835</v>
      </c>
      <c r="AF97" s="7">
        <f>AE97*VLOOKUP($A97,'EU Ref Sc 2020 Other industries'!$A$5:$AE$33,AF$2)</f>
        <v>1.7324251534241468</v>
      </c>
      <c r="AG97" s="7">
        <f>AF97*VLOOKUP($A97,'EU Ref Sc 2020 Other industries'!$A$5:$AE$33,AG$2)</f>
        <v>1.7357864801609104</v>
      </c>
      <c r="AH97" s="7">
        <f>AG97*VLOOKUP($A97,'EU Ref Sc 2020 Other industries'!$A$5:$AE$33,AH$2)</f>
        <v>1.7391478068976742</v>
      </c>
      <c r="AI97" s="13">
        <f t="shared" ref="AI97:AR97" si="96">AH97</f>
        <v>1.7391478068976742</v>
      </c>
      <c r="AJ97" s="13">
        <f t="shared" si="96"/>
        <v>1.7391478068976742</v>
      </c>
      <c r="AK97" s="13">
        <f t="shared" si="96"/>
        <v>1.7391478068976742</v>
      </c>
      <c r="AL97" s="13">
        <f t="shared" si="96"/>
        <v>1.7391478068976742</v>
      </c>
      <c r="AM97" s="13">
        <f t="shared" si="96"/>
        <v>1.7391478068976742</v>
      </c>
      <c r="AN97" s="13">
        <f t="shared" si="96"/>
        <v>1.7391478068976742</v>
      </c>
      <c r="AO97" s="13">
        <f t="shared" si="96"/>
        <v>1.7391478068976742</v>
      </c>
      <c r="AP97" s="13">
        <f t="shared" si="96"/>
        <v>1.7391478068976742</v>
      </c>
      <c r="AQ97" s="13">
        <f t="shared" si="96"/>
        <v>1.7391478068976742</v>
      </c>
      <c r="AR97" s="13">
        <f t="shared" si="96"/>
        <v>1.7391478068976742</v>
      </c>
    </row>
    <row r="98" spans="1:44" x14ac:dyDescent="0.3">
      <c r="A98" t="s">
        <v>1415</v>
      </c>
      <c r="B98" t="s">
        <v>1397</v>
      </c>
      <c r="C98" t="s">
        <v>899</v>
      </c>
      <c r="D98" t="str">
        <f t="shared" si="66"/>
        <v>LTIMEF</v>
      </c>
      <c r="E98" s="2">
        <v>0.85499999999999998</v>
      </c>
      <c r="F98" s="7">
        <f>E98*VLOOKUP($A98,'EU Ref Sc 2020 Other industries'!$A$5:$AE$33,F$2)</f>
        <v>0.87663636663232092</v>
      </c>
      <c r="G98" s="7">
        <f>F98*VLOOKUP($A98,'EU Ref Sc 2020 Other industries'!$A$5:$AE$33,G$2)</f>
        <v>0.89827273326464185</v>
      </c>
      <c r="H98" s="7">
        <f>G98*VLOOKUP($A98,'EU Ref Sc 2020 Other industries'!$A$5:$AE$33,H$2)</f>
        <v>0.91990909989696279</v>
      </c>
      <c r="I98" s="7">
        <f>H98*VLOOKUP($A98,'EU Ref Sc 2020 Other industries'!$A$5:$AE$33,I$2)</f>
        <v>0.94154546652928406</v>
      </c>
      <c r="J98" s="7">
        <f>I98*VLOOKUP($A98,'EU Ref Sc 2020 Other industries'!$A$5:$AE$33,J$2)</f>
        <v>0.94071469386315576</v>
      </c>
      <c r="K98" s="7">
        <f>J98*VLOOKUP($A98,'EU Ref Sc 2020 Other industries'!$A$5:$AE$33,K$2)</f>
        <v>0.93988392119702735</v>
      </c>
      <c r="L98" s="7">
        <f>K98*VLOOKUP($A98,'EU Ref Sc 2020 Other industries'!$A$5:$AE$33,L$2)</f>
        <v>0.93905314853089894</v>
      </c>
      <c r="M98" s="7">
        <f>L98*VLOOKUP($A98,'EU Ref Sc 2020 Other industries'!$A$5:$AE$33,M$2)</f>
        <v>0.93822237586477064</v>
      </c>
      <c r="N98" s="7">
        <f>M98*VLOOKUP($A98,'EU Ref Sc 2020 Other industries'!$A$5:$AE$33,N$2)</f>
        <v>0.93739160319864234</v>
      </c>
      <c r="O98" s="7">
        <f>N98*VLOOKUP($A98,'EU Ref Sc 2020 Other industries'!$A$5:$AE$33,O$2)</f>
        <v>0.92441281764949301</v>
      </c>
      <c r="P98" s="7">
        <f>O98*VLOOKUP($A98,'EU Ref Sc 2020 Other industries'!$A$5:$AE$33,P$2)</f>
        <v>0.91143403210034368</v>
      </c>
      <c r="Q98" s="7">
        <f>P98*VLOOKUP($A98,'EU Ref Sc 2020 Other industries'!$A$5:$AE$33,Q$2)</f>
        <v>0.89845524655119435</v>
      </c>
      <c r="R98" s="7">
        <f>Q98*VLOOKUP($A98,'EU Ref Sc 2020 Other industries'!$A$5:$AE$33,R$2)</f>
        <v>0.88547646100204502</v>
      </c>
      <c r="S98" s="7">
        <f>R98*VLOOKUP($A98,'EU Ref Sc 2020 Other industries'!$A$5:$AE$33,S$2)</f>
        <v>0.87249767545289558</v>
      </c>
      <c r="T98" s="7">
        <f>S98*VLOOKUP($A98,'EU Ref Sc 2020 Other industries'!$A$5:$AE$33,T$2)</f>
        <v>0.87411326647529752</v>
      </c>
      <c r="U98" s="7">
        <f>T98*VLOOKUP($A98,'EU Ref Sc 2020 Other industries'!$A$5:$AE$33,U$2)</f>
        <v>0.87572885749769946</v>
      </c>
      <c r="V98" s="7">
        <f>U98*VLOOKUP($A98,'EU Ref Sc 2020 Other industries'!$A$5:$AE$33,V$2)</f>
        <v>0.87734444852010141</v>
      </c>
      <c r="W98" s="7">
        <f>V98*VLOOKUP($A98,'EU Ref Sc 2020 Other industries'!$A$5:$AE$33,W$2)</f>
        <v>0.87896003954250335</v>
      </c>
      <c r="X98" s="7">
        <f>W98*VLOOKUP($A98,'EU Ref Sc 2020 Other industries'!$A$5:$AE$33,X$2)</f>
        <v>0.8805756305649054</v>
      </c>
      <c r="Y98" s="7">
        <f>X98*VLOOKUP($A98,'EU Ref Sc 2020 Other industries'!$A$5:$AE$33,Y$2)</f>
        <v>0.89433370446854832</v>
      </c>
      <c r="Z98" s="7">
        <f>Y98*VLOOKUP($A98,'EU Ref Sc 2020 Other industries'!$A$5:$AE$33,Z$2)</f>
        <v>0.90809177837219113</v>
      </c>
      <c r="AA98" s="7">
        <f>Z98*VLOOKUP($A98,'EU Ref Sc 2020 Other industries'!$A$5:$AE$33,AA$2)</f>
        <v>0.92184985227583383</v>
      </c>
      <c r="AB98" s="7">
        <f>AA98*VLOOKUP($A98,'EU Ref Sc 2020 Other industries'!$A$5:$AE$33,AB$2)</f>
        <v>0.93560792617947675</v>
      </c>
      <c r="AC98" s="7">
        <f>AB98*VLOOKUP($A98,'EU Ref Sc 2020 Other industries'!$A$5:$AE$33,AC$2)</f>
        <v>0.94936600008311978</v>
      </c>
      <c r="AD98" s="7">
        <f>AC98*VLOOKUP($A98,'EU Ref Sc 2020 Other industries'!$A$5:$AE$33,AD$2)</f>
        <v>0.95095966768459295</v>
      </c>
      <c r="AE98" s="7">
        <f>AD98*VLOOKUP($A98,'EU Ref Sc 2020 Other industries'!$A$5:$AE$33,AE$2)</f>
        <v>0.95255333528606623</v>
      </c>
      <c r="AF98" s="7">
        <f>AE98*VLOOKUP($A98,'EU Ref Sc 2020 Other industries'!$A$5:$AE$33,AF$2)</f>
        <v>0.95414700288753951</v>
      </c>
      <c r="AG98" s="7">
        <f>AF98*VLOOKUP($A98,'EU Ref Sc 2020 Other industries'!$A$5:$AE$33,AG$2)</f>
        <v>0.95574067048901268</v>
      </c>
      <c r="AH98" s="7">
        <f>AG98*VLOOKUP($A98,'EU Ref Sc 2020 Other industries'!$A$5:$AE$33,AH$2)</f>
        <v>0.95733433809048607</v>
      </c>
      <c r="AI98" s="13">
        <f t="shared" ref="AI98:AR98" si="97">AH98</f>
        <v>0.95733433809048607</v>
      </c>
      <c r="AJ98" s="13">
        <f t="shared" si="97"/>
        <v>0.95733433809048607</v>
      </c>
      <c r="AK98" s="13">
        <f t="shared" si="97"/>
        <v>0.95733433809048607</v>
      </c>
      <c r="AL98" s="13">
        <f t="shared" si="97"/>
        <v>0.95733433809048607</v>
      </c>
      <c r="AM98" s="13">
        <f t="shared" si="97"/>
        <v>0.95733433809048607</v>
      </c>
      <c r="AN98" s="13">
        <f t="shared" si="97"/>
        <v>0.95733433809048607</v>
      </c>
      <c r="AO98" s="13">
        <f t="shared" si="97"/>
        <v>0.95733433809048607</v>
      </c>
      <c r="AP98" s="13">
        <f t="shared" si="97"/>
        <v>0.95733433809048607</v>
      </c>
      <c r="AQ98" s="13">
        <f t="shared" si="97"/>
        <v>0.95733433809048607</v>
      </c>
      <c r="AR98" s="13">
        <f t="shared" si="97"/>
        <v>0.95733433809048607</v>
      </c>
    </row>
    <row r="99" spans="1:44" x14ac:dyDescent="0.3">
      <c r="A99" t="s">
        <v>1417</v>
      </c>
      <c r="B99" t="s">
        <v>1397</v>
      </c>
      <c r="C99" t="s">
        <v>976</v>
      </c>
      <c r="D99" t="str">
        <f t="shared" si="66"/>
        <v>LVIMEF</v>
      </c>
      <c r="E99" s="2">
        <v>0.32690000000000002</v>
      </c>
      <c r="F99" s="7">
        <f>E99*VLOOKUP($A99,'EU Ref Sc 2020 Other industries'!$A$5:$AE$33,F$2)</f>
        <v>0.33123918852066736</v>
      </c>
      <c r="G99" s="7">
        <f>F99*VLOOKUP($A99,'EU Ref Sc 2020 Other industries'!$A$5:$AE$33,G$2)</f>
        <v>0.33557837704133464</v>
      </c>
      <c r="H99" s="7">
        <f>G99*VLOOKUP($A99,'EU Ref Sc 2020 Other industries'!$A$5:$AE$33,H$2)</f>
        <v>0.33991756556200198</v>
      </c>
      <c r="I99" s="7">
        <f>H99*VLOOKUP($A99,'EU Ref Sc 2020 Other industries'!$A$5:$AE$33,I$2)</f>
        <v>0.3442567540826692</v>
      </c>
      <c r="J99" s="7">
        <f>I99*VLOOKUP($A99,'EU Ref Sc 2020 Other industries'!$A$5:$AE$33,J$2)</f>
        <v>0.34447801185306842</v>
      </c>
      <c r="K99" s="7">
        <f>J99*VLOOKUP($A99,'EU Ref Sc 2020 Other industries'!$A$5:$AE$33,K$2)</f>
        <v>0.34469926962346759</v>
      </c>
      <c r="L99" s="7">
        <f>K99*VLOOKUP($A99,'EU Ref Sc 2020 Other industries'!$A$5:$AE$33,L$2)</f>
        <v>0.34492052739386675</v>
      </c>
      <c r="M99" s="7">
        <f>L99*VLOOKUP($A99,'EU Ref Sc 2020 Other industries'!$A$5:$AE$33,M$2)</f>
        <v>0.34514178516426591</v>
      </c>
      <c r="N99" s="7">
        <f>M99*VLOOKUP($A99,'EU Ref Sc 2020 Other industries'!$A$5:$AE$33,N$2)</f>
        <v>0.34536304293466491</v>
      </c>
      <c r="O99" s="7">
        <f>N99*VLOOKUP($A99,'EU Ref Sc 2020 Other industries'!$A$5:$AE$33,O$2)</f>
        <v>0.34593879622443918</v>
      </c>
      <c r="P99" s="7">
        <f>O99*VLOOKUP($A99,'EU Ref Sc 2020 Other industries'!$A$5:$AE$33,P$2)</f>
        <v>0.34651454951421345</v>
      </c>
      <c r="Q99" s="7">
        <f>P99*VLOOKUP($A99,'EU Ref Sc 2020 Other industries'!$A$5:$AE$33,Q$2)</f>
        <v>0.34709030280398773</v>
      </c>
      <c r="R99" s="7">
        <f>Q99*VLOOKUP($A99,'EU Ref Sc 2020 Other industries'!$A$5:$AE$33,R$2)</f>
        <v>0.347666056093762</v>
      </c>
      <c r="S99" s="7">
        <f>R99*VLOOKUP($A99,'EU Ref Sc 2020 Other industries'!$A$5:$AE$33,S$2)</f>
        <v>0.34824180938353638</v>
      </c>
      <c r="T99" s="7">
        <f>S99*VLOOKUP($A99,'EU Ref Sc 2020 Other industries'!$A$5:$AE$33,T$2)</f>
        <v>0.34371629994375258</v>
      </c>
      <c r="U99" s="7">
        <f>T99*VLOOKUP($A99,'EU Ref Sc 2020 Other industries'!$A$5:$AE$33,U$2)</f>
        <v>0.33919079050396878</v>
      </c>
      <c r="V99" s="7">
        <f>U99*VLOOKUP($A99,'EU Ref Sc 2020 Other industries'!$A$5:$AE$33,V$2)</f>
        <v>0.33466528106418497</v>
      </c>
      <c r="W99" s="7">
        <f>V99*VLOOKUP($A99,'EU Ref Sc 2020 Other industries'!$A$5:$AE$33,W$2)</f>
        <v>0.33013977162440117</v>
      </c>
      <c r="X99" s="7">
        <f>W99*VLOOKUP($A99,'EU Ref Sc 2020 Other industries'!$A$5:$AE$33,X$2)</f>
        <v>0.32561426218461736</v>
      </c>
      <c r="Y99" s="7">
        <f>X99*VLOOKUP($A99,'EU Ref Sc 2020 Other industries'!$A$5:$AE$33,Y$2)</f>
        <v>0.32179924916402858</v>
      </c>
      <c r="Z99" s="7">
        <f>Y99*VLOOKUP($A99,'EU Ref Sc 2020 Other industries'!$A$5:$AE$33,Z$2)</f>
        <v>0.31798423614343979</v>
      </c>
      <c r="AA99" s="7">
        <f>Z99*VLOOKUP($A99,'EU Ref Sc 2020 Other industries'!$A$5:$AE$33,AA$2)</f>
        <v>0.31416922312285106</v>
      </c>
      <c r="AB99" s="7">
        <f>AA99*VLOOKUP($A99,'EU Ref Sc 2020 Other industries'!$A$5:$AE$33,AB$2)</f>
        <v>0.31035421010226227</v>
      </c>
      <c r="AC99" s="7">
        <f>AB99*VLOOKUP($A99,'EU Ref Sc 2020 Other industries'!$A$5:$AE$33,AC$2)</f>
        <v>0.3065391970816736</v>
      </c>
      <c r="AD99" s="7">
        <f>AC99*VLOOKUP($A99,'EU Ref Sc 2020 Other industries'!$A$5:$AE$33,AD$2)</f>
        <v>0.30331224452648398</v>
      </c>
      <c r="AE99" s="7">
        <f>AD99*VLOOKUP($A99,'EU Ref Sc 2020 Other industries'!$A$5:$AE$33,AE$2)</f>
        <v>0.30008529197129435</v>
      </c>
      <c r="AF99" s="7">
        <f>AE99*VLOOKUP($A99,'EU Ref Sc 2020 Other industries'!$A$5:$AE$33,AF$2)</f>
        <v>0.29685833941610473</v>
      </c>
      <c r="AG99" s="7">
        <f>AF99*VLOOKUP($A99,'EU Ref Sc 2020 Other industries'!$A$5:$AE$33,AG$2)</f>
        <v>0.29363138686091511</v>
      </c>
      <c r="AH99" s="7">
        <f>AG99*VLOOKUP($A99,'EU Ref Sc 2020 Other industries'!$A$5:$AE$33,AH$2)</f>
        <v>0.29040443430572543</v>
      </c>
      <c r="AI99" s="13">
        <f t="shared" ref="AI99:AR99" si="98">AH99</f>
        <v>0.29040443430572543</v>
      </c>
      <c r="AJ99" s="13">
        <f t="shared" si="98"/>
        <v>0.29040443430572543</v>
      </c>
      <c r="AK99" s="13">
        <f t="shared" si="98"/>
        <v>0.29040443430572543</v>
      </c>
      <c r="AL99" s="13">
        <f t="shared" si="98"/>
        <v>0.29040443430572543</v>
      </c>
      <c r="AM99" s="13">
        <f t="shared" si="98"/>
        <v>0.29040443430572543</v>
      </c>
      <c r="AN99" s="13">
        <f t="shared" si="98"/>
        <v>0.29040443430572543</v>
      </c>
      <c r="AO99" s="13">
        <f t="shared" si="98"/>
        <v>0.29040443430572543</v>
      </c>
      <c r="AP99" s="13">
        <f t="shared" si="98"/>
        <v>0.29040443430572543</v>
      </c>
      <c r="AQ99" s="13">
        <f t="shared" si="98"/>
        <v>0.29040443430572543</v>
      </c>
      <c r="AR99" s="13">
        <f t="shared" si="98"/>
        <v>0.29040443430572543</v>
      </c>
    </row>
    <row r="100" spans="1:44" x14ac:dyDescent="0.3">
      <c r="A100" t="s">
        <v>1419</v>
      </c>
      <c r="B100" t="s">
        <v>1397</v>
      </c>
      <c r="C100" t="s">
        <v>1042</v>
      </c>
      <c r="D100" t="str">
        <f t="shared" ref="D100:D129" si="99">A100&amp;"IME"&amp;B100</f>
        <v>NLIMEF</v>
      </c>
      <c r="E100" s="2">
        <v>7.3105000000000002</v>
      </c>
      <c r="F100" s="7">
        <f>E100*VLOOKUP($A100,'EU Ref Sc 2020 Other industries'!$A$5:$AE$33,F$2)</f>
        <v>7.4358009760004871</v>
      </c>
      <c r="G100" s="7">
        <f>F100*VLOOKUP($A100,'EU Ref Sc 2020 Other industries'!$A$5:$AE$33,G$2)</f>
        <v>7.5611019520009739</v>
      </c>
      <c r="H100" s="7">
        <f>G100*VLOOKUP($A100,'EU Ref Sc 2020 Other industries'!$A$5:$AE$33,H$2)</f>
        <v>7.6864029280014599</v>
      </c>
      <c r="I100" s="7">
        <f>H100*VLOOKUP($A100,'EU Ref Sc 2020 Other industries'!$A$5:$AE$33,I$2)</f>
        <v>7.8117039040019449</v>
      </c>
      <c r="J100" s="7">
        <f>I100*VLOOKUP($A100,'EU Ref Sc 2020 Other industries'!$A$5:$AE$33,J$2)</f>
        <v>7.7335681130183103</v>
      </c>
      <c r="K100" s="7">
        <f>J100*VLOOKUP($A100,'EU Ref Sc 2020 Other industries'!$A$5:$AE$33,K$2)</f>
        <v>7.6554323220346747</v>
      </c>
      <c r="L100" s="7">
        <f>K100*VLOOKUP($A100,'EU Ref Sc 2020 Other industries'!$A$5:$AE$33,L$2)</f>
        <v>7.5772965310510401</v>
      </c>
      <c r="M100" s="7">
        <f>L100*VLOOKUP($A100,'EU Ref Sc 2020 Other industries'!$A$5:$AE$33,M$2)</f>
        <v>7.4991607400674054</v>
      </c>
      <c r="N100" s="7">
        <f>M100*VLOOKUP($A100,'EU Ref Sc 2020 Other industries'!$A$5:$AE$33,N$2)</f>
        <v>7.4210249490837716</v>
      </c>
      <c r="O100" s="7">
        <f>N100*VLOOKUP($A100,'EU Ref Sc 2020 Other industries'!$A$5:$AE$33,O$2)</f>
        <v>7.3157855226885573</v>
      </c>
      <c r="P100" s="7">
        <f>O100*VLOOKUP($A100,'EU Ref Sc 2020 Other industries'!$A$5:$AE$33,P$2)</f>
        <v>7.2105460962933439</v>
      </c>
      <c r="Q100" s="7">
        <f>P100*VLOOKUP($A100,'EU Ref Sc 2020 Other industries'!$A$5:$AE$33,Q$2)</f>
        <v>7.1053066698981295</v>
      </c>
      <c r="R100" s="7">
        <f>Q100*VLOOKUP($A100,'EU Ref Sc 2020 Other industries'!$A$5:$AE$33,R$2)</f>
        <v>7.0000672435029152</v>
      </c>
      <c r="S100" s="7">
        <f>R100*VLOOKUP($A100,'EU Ref Sc 2020 Other industries'!$A$5:$AE$33,S$2)</f>
        <v>6.8948278171077018</v>
      </c>
      <c r="T100" s="7">
        <f>S100*VLOOKUP($A100,'EU Ref Sc 2020 Other industries'!$A$5:$AE$33,T$2)</f>
        <v>6.9188858098549275</v>
      </c>
      <c r="U100" s="7">
        <f>T100*VLOOKUP($A100,'EU Ref Sc 2020 Other industries'!$A$5:$AE$33,U$2)</f>
        <v>6.9429438026021524</v>
      </c>
      <c r="V100" s="7">
        <f>U100*VLOOKUP($A100,'EU Ref Sc 2020 Other industries'!$A$5:$AE$33,V$2)</f>
        <v>6.9670017953493781</v>
      </c>
      <c r="W100" s="7">
        <f>V100*VLOOKUP($A100,'EU Ref Sc 2020 Other industries'!$A$5:$AE$33,W$2)</f>
        <v>6.991059788096603</v>
      </c>
      <c r="X100" s="7">
        <f>W100*VLOOKUP($A100,'EU Ref Sc 2020 Other industries'!$A$5:$AE$33,X$2)</f>
        <v>7.0151177808438288</v>
      </c>
      <c r="Y100" s="7">
        <f>X100*VLOOKUP($A100,'EU Ref Sc 2020 Other industries'!$A$5:$AE$33,Y$2)</f>
        <v>7.0741637794495</v>
      </c>
      <c r="Z100" s="7">
        <f>Y100*VLOOKUP($A100,'EU Ref Sc 2020 Other industries'!$A$5:$AE$33,Z$2)</f>
        <v>7.1332097780551722</v>
      </c>
      <c r="AA100" s="7">
        <f>Z100*VLOOKUP($A100,'EU Ref Sc 2020 Other industries'!$A$5:$AE$33,AA$2)</f>
        <v>7.1922557766608444</v>
      </c>
      <c r="AB100" s="7">
        <f>AA100*VLOOKUP($A100,'EU Ref Sc 2020 Other industries'!$A$5:$AE$33,AB$2)</f>
        <v>7.2513017752665165</v>
      </c>
      <c r="AC100" s="7">
        <f>AB100*VLOOKUP($A100,'EU Ref Sc 2020 Other industries'!$A$5:$AE$33,AC$2)</f>
        <v>7.3103477738721905</v>
      </c>
      <c r="AD100" s="7">
        <f>AC100*VLOOKUP($A100,'EU Ref Sc 2020 Other industries'!$A$5:$AE$33,AD$2)</f>
        <v>7.3919336011735197</v>
      </c>
      <c r="AE100" s="7">
        <f>AD100*VLOOKUP($A100,'EU Ref Sc 2020 Other industries'!$A$5:$AE$33,AE$2)</f>
        <v>7.473519428474849</v>
      </c>
      <c r="AF100" s="7">
        <f>AE100*VLOOKUP($A100,'EU Ref Sc 2020 Other industries'!$A$5:$AE$33,AF$2)</f>
        <v>7.5551052557761782</v>
      </c>
      <c r="AG100" s="7">
        <f>AF100*VLOOKUP($A100,'EU Ref Sc 2020 Other industries'!$A$5:$AE$33,AG$2)</f>
        <v>7.6366910830775065</v>
      </c>
      <c r="AH100" s="7">
        <f>AG100*VLOOKUP($A100,'EU Ref Sc 2020 Other industries'!$A$5:$AE$33,AH$2)</f>
        <v>7.7182769103788358</v>
      </c>
      <c r="AI100" s="13">
        <f t="shared" ref="AI100:AR100" si="100">AH100</f>
        <v>7.7182769103788358</v>
      </c>
      <c r="AJ100" s="13">
        <f t="shared" si="100"/>
        <v>7.7182769103788358</v>
      </c>
      <c r="AK100" s="13">
        <f t="shared" si="100"/>
        <v>7.7182769103788358</v>
      </c>
      <c r="AL100" s="13">
        <f t="shared" si="100"/>
        <v>7.7182769103788358</v>
      </c>
      <c r="AM100" s="13">
        <f t="shared" si="100"/>
        <v>7.7182769103788358</v>
      </c>
      <c r="AN100" s="13">
        <f t="shared" si="100"/>
        <v>7.7182769103788358</v>
      </c>
      <c r="AO100" s="13">
        <f t="shared" si="100"/>
        <v>7.7182769103788358</v>
      </c>
      <c r="AP100" s="13">
        <f t="shared" si="100"/>
        <v>7.7182769103788358</v>
      </c>
      <c r="AQ100" s="13">
        <f t="shared" si="100"/>
        <v>7.7182769103788358</v>
      </c>
      <c r="AR100" s="13">
        <f t="shared" si="100"/>
        <v>7.7182769103788358</v>
      </c>
    </row>
    <row r="101" spans="1:44" x14ac:dyDescent="0.3">
      <c r="A101" t="s">
        <v>1420</v>
      </c>
      <c r="B101" t="s">
        <v>1397</v>
      </c>
      <c r="C101" t="s">
        <v>1097</v>
      </c>
      <c r="D101" t="str">
        <f t="shared" si="99"/>
        <v>PLIMEF</v>
      </c>
      <c r="E101" s="2">
        <v>8.7058</v>
      </c>
      <c r="F101" s="7">
        <f>E101*VLOOKUP($A101,'EU Ref Sc 2020 Other industries'!$A$5:$AE$33,F$2)</f>
        <v>8.717881410990449</v>
      </c>
      <c r="G101" s="7">
        <f>F101*VLOOKUP($A101,'EU Ref Sc 2020 Other industries'!$A$5:$AE$33,G$2)</f>
        <v>8.7299628219808998</v>
      </c>
      <c r="H101" s="7">
        <f>G101*VLOOKUP($A101,'EU Ref Sc 2020 Other industries'!$A$5:$AE$33,H$2)</f>
        <v>8.7420442329713488</v>
      </c>
      <c r="I101" s="7">
        <f>H101*VLOOKUP($A101,'EU Ref Sc 2020 Other industries'!$A$5:$AE$33,I$2)</f>
        <v>8.7541256439617996</v>
      </c>
      <c r="J101" s="7">
        <f>I101*VLOOKUP($A101,'EU Ref Sc 2020 Other industries'!$A$5:$AE$33,J$2)</f>
        <v>8.9757013286681904</v>
      </c>
      <c r="K101" s="7">
        <f>J101*VLOOKUP($A101,'EU Ref Sc 2020 Other industries'!$A$5:$AE$33,K$2)</f>
        <v>9.1972770133745811</v>
      </c>
      <c r="L101" s="7">
        <f>K101*VLOOKUP($A101,'EU Ref Sc 2020 Other industries'!$A$5:$AE$33,L$2)</f>
        <v>9.4188526980809719</v>
      </c>
      <c r="M101" s="7">
        <f>L101*VLOOKUP($A101,'EU Ref Sc 2020 Other industries'!$A$5:$AE$33,M$2)</f>
        <v>9.6404283827873627</v>
      </c>
      <c r="N101" s="7">
        <f>M101*VLOOKUP($A101,'EU Ref Sc 2020 Other industries'!$A$5:$AE$33,N$2)</f>
        <v>9.8620040674937552</v>
      </c>
      <c r="O101" s="7">
        <f>N101*VLOOKUP($A101,'EU Ref Sc 2020 Other industries'!$A$5:$AE$33,O$2)</f>
        <v>9.9092190506611075</v>
      </c>
      <c r="P101" s="7">
        <f>O101*VLOOKUP($A101,'EU Ref Sc 2020 Other industries'!$A$5:$AE$33,P$2)</f>
        <v>9.9564340338284598</v>
      </c>
      <c r="Q101" s="7">
        <f>P101*VLOOKUP($A101,'EU Ref Sc 2020 Other industries'!$A$5:$AE$33,Q$2)</f>
        <v>10.003649016995814</v>
      </c>
      <c r="R101" s="7">
        <f>Q101*VLOOKUP($A101,'EU Ref Sc 2020 Other industries'!$A$5:$AE$33,R$2)</f>
        <v>10.050864000163166</v>
      </c>
      <c r="S101" s="7">
        <f>R101*VLOOKUP($A101,'EU Ref Sc 2020 Other industries'!$A$5:$AE$33,S$2)</f>
        <v>10.098078983330517</v>
      </c>
      <c r="T101" s="7">
        <f>S101*VLOOKUP($A101,'EU Ref Sc 2020 Other industries'!$A$5:$AE$33,T$2)</f>
        <v>10.16221980260593</v>
      </c>
      <c r="U101" s="7">
        <f>T101*VLOOKUP($A101,'EU Ref Sc 2020 Other industries'!$A$5:$AE$33,U$2)</f>
        <v>10.226360621881344</v>
      </c>
      <c r="V101" s="7">
        <f>U101*VLOOKUP($A101,'EU Ref Sc 2020 Other industries'!$A$5:$AE$33,V$2)</f>
        <v>10.290501441156758</v>
      </c>
      <c r="W101" s="7">
        <f>V101*VLOOKUP($A101,'EU Ref Sc 2020 Other industries'!$A$5:$AE$33,W$2)</f>
        <v>10.354642260432174</v>
      </c>
      <c r="X101" s="7">
        <f>W101*VLOOKUP($A101,'EU Ref Sc 2020 Other industries'!$A$5:$AE$33,X$2)</f>
        <v>10.418783079707588</v>
      </c>
      <c r="Y101" s="7">
        <f>X101*VLOOKUP($A101,'EU Ref Sc 2020 Other industries'!$A$5:$AE$33,Y$2)</f>
        <v>10.43654383122422</v>
      </c>
      <c r="Z101" s="7">
        <f>Y101*VLOOKUP($A101,'EU Ref Sc 2020 Other industries'!$A$5:$AE$33,Z$2)</f>
        <v>10.454304582740853</v>
      </c>
      <c r="AA101" s="7">
        <f>Z101*VLOOKUP($A101,'EU Ref Sc 2020 Other industries'!$A$5:$AE$33,AA$2)</f>
        <v>10.472065334257486</v>
      </c>
      <c r="AB101" s="7">
        <f>AA101*VLOOKUP($A101,'EU Ref Sc 2020 Other industries'!$A$5:$AE$33,AB$2)</f>
        <v>10.489826085774117</v>
      </c>
      <c r="AC101" s="7">
        <f>AB101*VLOOKUP($A101,'EU Ref Sc 2020 Other industries'!$A$5:$AE$33,AC$2)</f>
        <v>10.507586837290749</v>
      </c>
      <c r="AD101" s="7">
        <f>AC101*VLOOKUP($A101,'EU Ref Sc 2020 Other industries'!$A$5:$AE$33,AD$2)</f>
        <v>10.528759318050675</v>
      </c>
      <c r="AE101" s="7">
        <f>AD101*VLOOKUP($A101,'EU Ref Sc 2020 Other industries'!$A$5:$AE$33,AE$2)</f>
        <v>10.549931798810601</v>
      </c>
      <c r="AF101" s="7">
        <f>AE101*VLOOKUP($A101,'EU Ref Sc 2020 Other industries'!$A$5:$AE$33,AF$2)</f>
        <v>10.571104279570527</v>
      </c>
      <c r="AG101" s="7">
        <f>AF101*VLOOKUP($A101,'EU Ref Sc 2020 Other industries'!$A$5:$AE$33,AG$2)</f>
        <v>10.592276760330453</v>
      </c>
      <c r="AH101" s="7">
        <f>AG101*VLOOKUP($A101,'EU Ref Sc 2020 Other industries'!$A$5:$AE$33,AH$2)</f>
        <v>10.613449241090381</v>
      </c>
      <c r="AI101" s="13">
        <f t="shared" ref="AI101:AR101" si="101">AH101</f>
        <v>10.613449241090381</v>
      </c>
      <c r="AJ101" s="13">
        <f t="shared" si="101"/>
        <v>10.613449241090381</v>
      </c>
      <c r="AK101" s="13">
        <f t="shared" si="101"/>
        <v>10.613449241090381</v>
      </c>
      <c r="AL101" s="13">
        <f t="shared" si="101"/>
        <v>10.613449241090381</v>
      </c>
      <c r="AM101" s="13">
        <f t="shared" si="101"/>
        <v>10.613449241090381</v>
      </c>
      <c r="AN101" s="13">
        <f t="shared" si="101"/>
        <v>10.613449241090381</v>
      </c>
      <c r="AO101" s="13">
        <f t="shared" si="101"/>
        <v>10.613449241090381</v>
      </c>
      <c r="AP101" s="13">
        <f t="shared" si="101"/>
        <v>10.613449241090381</v>
      </c>
      <c r="AQ101" s="13">
        <f t="shared" si="101"/>
        <v>10.613449241090381</v>
      </c>
      <c r="AR101" s="13">
        <f t="shared" si="101"/>
        <v>10.613449241090381</v>
      </c>
    </row>
    <row r="102" spans="1:44" x14ac:dyDescent="0.3">
      <c r="A102" t="s">
        <v>1421</v>
      </c>
      <c r="B102" t="s">
        <v>1397</v>
      </c>
      <c r="C102" t="s">
        <v>1152</v>
      </c>
      <c r="D102" t="str">
        <f t="shared" si="99"/>
        <v>PTIMEF</v>
      </c>
      <c r="E102" s="2">
        <v>2.1901000000000002</v>
      </c>
      <c r="F102" s="7">
        <f>E102*VLOOKUP($A102,'EU Ref Sc 2020 Other industries'!$A$5:$AE$33,F$2)</f>
        <v>2.2004505177723543</v>
      </c>
      <c r="G102" s="7">
        <f>F102*VLOOKUP($A102,'EU Ref Sc 2020 Other industries'!$A$5:$AE$33,G$2)</f>
        <v>2.210801035544709</v>
      </c>
      <c r="H102" s="7">
        <f>G102*VLOOKUP($A102,'EU Ref Sc 2020 Other industries'!$A$5:$AE$33,H$2)</f>
        <v>2.2211515533170632</v>
      </c>
      <c r="I102" s="7">
        <f>H102*VLOOKUP($A102,'EU Ref Sc 2020 Other industries'!$A$5:$AE$33,I$2)</f>
        <v>2.2315020710894169</v>
      </c>
      <c r="J102" s="7">
        <f>I102*VLOOKUP($A102,'EU Ref Sc 2020 Other industries'!$A$5:$AE$33,J$2)</f>
        <v>2.2125014163718637</v>
      </c>
      <c r="K102" s="7">
        <f>J102*VLOOKUP($A102,'EU Ref Sc 2020 Other industries'!$A$5:$AE$33,K$2)</f>
        <v>2.1935007616543105</v>
      </c>
      <c r="L102" s="7">
        <f>K102*VLOOKUP($A102,'EU Ref Sc 2020 Other industries'!$A$5:$AE$33,L$2)</f>
        <v>2.1745001069367573</v>
      </c>
      <c r="M102" s="7">
        <f>L102*VLOOKUP($A102,'EU Ref Sc 2020 Other industries'!$A$5:$AE$33,M$2)</f>
        <v>2.1554994522192041</v>
      </c>
      <c r="N102" s="7">
        <f>M102*VLOOKUP($A102,'EU Ref Sc 2020 Other industries'!$A$5:$AE$33,N$2)</f>
        <v>2.1364987975016514</v>
      </c>
      <c r="O102" s="7">
        <f>N102*VLOOKUP($A102,'EU Ref Sc 2020 Other industries'!$A$5:$AE$33,O$2)</f>
        <v>2.1134490467994977</v>
      </c>
      <c r="P102" s="7">
        <f>O102*VLOOKUP($A102,'EU Ref Sc 2020 Other industries'!$A$5:$AE$33,P$2)</f>
        <v>2.0903992960973441</v>
      </c>
      <c r="Q102" s="7">
        <f>P102*VLOOKUP($A102,'EU Ref Sc 2020 Other industries'!$A$5:$AE$33,Q$2)</f>
        <v>2.0673495453951904</v>
      </c>
      <c r="R102" s="7">
        <f>Q102*VLOOKUP($A102,'EU Ref Sc 2020 Other industries'!$A$5:$AE$33,R$2)</f>
        <v>2.0442997946930368</v>
      </c>
      <c r="S102" s="7">
        <f>R102*VLOOKUP($A102,'EU Ref Sc 2020 Other industries'!$A$5:$AE$33,S$2)</f>
        <v>2.0212500439908836</v>
      </c>
      <c r="T102" s="7">
        <f>S102*VLOOKUP($A102,'EU Ref Sc 2020 Other industries'!$A$5:$AE$33,T$2)</f>
        <v>2.0214727283484071</v>
      </c>
      <c r="U102" s="7">
        <f>T102*VLOOKUP($A102,'EU Ref Sc 2020 Other industries'!$A$5:$AE$33,U$2)</f>
        <v>2.021695412705931</v>
      </c>
      <c r="V102" s="7">
        <f>U102*VLOOKUP($A102,'EU Ref Sc 2020 Other industries'!$A$5:$AE$33,V$2)</f>
        <v>2.0219180970634545</v>
      </c>
      <c r="W102" s="7">
        <f>V102*VLOOKUP($A102,'EU Ref Sc 2020 Other industries'!$A$5:$AE$33,W$2)</f>
        <v>2.0221407814209784</v>
      </c>
      <c r="X102" s="7">
        <f>W102*VLOOKUP($A102,'EU Ref Sc 2020 Other industries'!$A$5:$AE$33,X$2)</f>
        <v>2.0223634657785015</v>
      </c>
      <c r="Y102" s="7">
        <f>X102*VLOOKUP($A102,'EU Ref Sc 2020 Other industries'!$A$5:$AE$33,Y$2)</f>
        <v>2.0135856137559012</v>
      </c>
      <c r="Z102" s="7">
        <f>Y102*VLOOKUP($A102,'EU Ref Sc 2020 Other industries'!$A$5:$AE$33,Z$2)</f>
        <v>2.0048077617333009</v>
      </c>
      <c r="AA102" s="7">
        <f>Z102*VLOOKUP($A102,'EU Ref Sc 2020 Other industries'!$A$5:$AE$33,AA$2)</f>
        <v>1.9960299097107006</v>
      </c>
      <c r="AB102" s="7">
        <f>AA102*VLOOKUP($A102,'EU Ref Sc 2020 Other industries'!$A$5:$AE$33,AB$2)</f>
        <v>1.9872520576881003</v>
      </c>
      <c r="AC102" s="7">
        <f>AB102*VLOOKUP($A102,'EU Ref Sc 2020 Other industries'!$A$5:$AE$33,AC$2)</f>
        <v>1.9784742056655005</v>
      </c>
      <c r="AD102" s="7">
        <f>AC102*VLOOKUP($A102,'EU Ref Sc 2020 Other industries'!$A$5:$AE$33,AD$2)</f>
        <v>1.9727419833048749</v>
      </c>
      <c r="AE102" s="7">
        <f>AD102*VLOOKUP($A102,'EU Ref Sc 2020 Other industries'!$A$5:$AE$33,AE$2)</f>
        <v>1.9670097609442492</v>
      </c>
      <c r="AF102" s="7">
        <f>AE102*VLOOKUP($A102,'EU Ref Sc 2020 Other industries'!$A$5:$AE$33,AF$2)</f>
        <v>1.9612775385836234</v>
      </c>
      <c r="AG102" s="7">
        <f>AF102*VLOOKUP($A102,'EU Ref Sc 2020 Other industries'!$A$5:$AE$33,AG$2)</f>
        <v>1.9555453162229979</v>
      </c>
      <c r="AH102" s="7">
        <f>AG102*VLOOKUP($A102,'EU Ref Sc 2020 Other industries'!$A$5:$AE$33,AH$2)</f>
        <v>1.9498130938623726</v>
      </c>
      <c r="AI102" s="13">
        <f t="shared" ref="AI102:AR102" si="102">AH102</f>
        <v>1.9498130938623726</v>
      </c>
      <c r="AJ102" s="13">
        <f t="shared" si="102"/>
        <v>1.9498130938623726</v>
      </c>
      <c r="AK102" s="13">
        <f t="shared" si="102"/>
        <v>1.9498130938623726</v>
      </c>
      <c r="AL102" s="13">
        <f t="shared" si="102"/>
        <v>1.9498130938623726</v>
      </c>
      <c r="AM102" s="13">
        <f t="shared" si="102"/>
        <v>1.9498130938623726</v>
      </c>
      <c r="AN102" s="13">
        <f t="shared" si="102"/>
        <v>1.9498130938623726</v>
      </c>
      <c r="AO102" s="13">
        <f t="shared" si="102"/>
        <v>1.9498130938623726</v>
      </c>
      <c r="AP102" s="13">
        <f t="shared" si="102"/>
        <v>1.9498130938623726</v>
      </c>
      <c r="AQ102" s="13">
        <f t="shared" si="102"/>
        <v>1.9498130938623726</v>
      </c>
      <c r="AR102" s="13">
        <f t="shared" si="102"/>
        <v>1.9498130938623726</v>
      </c>
    </row>
    <row r="103" spans="1:44" x14ac:dyDescent="0.3">
      <c r="A103" t="s">
        <v>1423</v>
      </c>
      <c r="B103" t="s">
        <v>1397</v>
      </c>
      <c r="C103" t="s">
        <v>1262</v>
      </c>
      <c r="D103" t="str">
        <f t="shared" si="99"/>
        <v>SEIMEF</v>
      </c>
      <c r="E103" s="2">
        <v>2.0764999999999998</v>
      </c>
      <c r="F103" s="7">
        <f>E103*VLOOKUP($A103,'EU Ref Sc 2020 Other industries'!$A$5:$AE$33,F$2)</f>
        <v>2.0845920483933833</v>
      </c>
      <c r="G103" s="7">
        <f>F103*VLOOKUP($A103,'EU Ref Sc 2020 Other industries'!$A$5:$AE$33,G$2)</f>
        <v>2.0926840967867668</v>
      </c>
      <c r="H103" s="7">
        <f>G103*VLOOKUP($A103,'EU Ref Sc 2020 Other industries'!$A$5:$AE$33,H$2)</f>
        <v>2.1007761451801503</v>
      </c>
      <c r="I103" s="7">
        <f>H103*VLOOKUP($A103,'EU Ref Sc 2020 Other industries'!$A$5:$AE$33,I$2)</f>
        <v>2.1088681935735338</v>
      </c>
      <c r="J103" s="7">
        <f>I103*VLOOKUP($A103,'EU Ref Sc 2020 Other industries'!$A$5:$AE$33,J$2)</f>
        <v>2.1403373145067577</v>
      </c>
      <c r="K103" s="7">
        <f>J103*VLOOKUP($A103,'EU Ref Sc 2020 Other industries'!$A$5:$AE$33,K$2)</f>
        <v>2.1718064354399815</v>
      </c>
      <c r="L103" s="7">
        <f>K103*VLOOKUP($A103,'EU Ref Sc 2020 Other industries'!$A$5:$AE$33,L$2)</f>
        <v>2.2032755563732049</v>
      </c>
      <c r="M103" s="7">
        <f>L103*VLOOKUP($A103,'EU Ref Sc 2020 Other industries'!$A$5:$AE$33,M$2)</f>
        <v>2.2347446773064288</v>
      </c>
      <c r="N103" s="7">
        <f>M103*VLOOKUP($A103,'EU Ref Sc 2020 Other industries'!$A$5:$AE$33,N$2)</f>
        <v>2.2662137982396531</v>
      </c>
      <c r="O103" s="7">
        <f>N103*VLOOKUP($A103,'EU Ref Sc 2020 Other industries'!$A$5:$AE$33,O$2)</f>
        <v>2.2668832859636443</v>
      </c>
      <c r="P103" s="7">
        <f>O103*VLOOKUP($A103,'EU Ref Sc 2020 Other industries'!$A$5:$AE$33,P$2)</f>
        <v>2.2675527736876355</v>
      </c>
      <c r="Q103" s="7">
        <f>P103*VLOOKUP($A103,'EU Ref Sc 2020 Other industries'!$A$5:$AE$33,Q$2)</f>
        <v>2.2682222614116268</v>
      </c>
      <c r="R103" s="7">
        <f>Q103*VLOOKUP($A103,'EU Ref Sc 2020 Other industries'!$A$5:$AE$33,R$2)</f>
        <v>2.268891749135618</v>
      </c>
      <c r="S103" s="7">
        <f>R103*VLOOKUP($A103,'EU Ref Sc 2020 Other industries'!$A$5:$AE$33,S$2)</f>
        <v>2.2695612368596092</v>
      </c>
      <c r="T103" s="7">
        <f>S103*VLOOKUP($A103,'EU Ref Sc 2020 Other industries'!$A$5:$AE$33,T$2)</f>
        <v>2.276503540970678</v>
      </c>
      <c r="U103" s="7">
        <f>T103*VLOOKUP($A103,'EU Ref Sc 2020 Other industries'!$A$5:$AE$33,U$2)</f>
        <v>2.2834458450817468</v>
      </c>
      <c r="V103" s="7">
        <f>U103*VLOOKUP($A103,'EU Ref Sc 2020 Other industries'!$A$5:$AE$33,V$2)</f>
        <v>2.2903881491928155</v>
      </c>
      <c r="W103" s="7">
        <f>V103*VLOOKUP($A103,'EU Ref Sc 2020 Other industries'!$A$5:$AE$33,W$2)</f>
        <v>2.2973304533038843</v>
      </c>
      <c r="X103" s="7">
        <f>W103*VLOOKUP($A103,'EU Ref Sc 2020 Other industries'!$A$5:$AE$33,X$2)</f>
        <v>2.3042727574149522</v>
      </c>
      <c r="Y103" s="7">
        <f>X103*VLOOKUP($A103,'EU Ref Sc 2020 Other industries'!$A$5:$AE$33,Y$2)</f>
        <v>2.3283078703300841</v>
      </c>
      <c r="Z103" s="7">
        <f>Y103*VLOOKUP($A103,'EU Ref Sc 2020 Other industries'!$A$5:$AE$33,Z$2)</f>
        <v>2.3523429832452161</v>
      </c>
      <c r="AA103" s="7">
        <f>Z103*VLOOKUP($A103,'EU Ref Sc 2020 Other industries'!$A$5:$AE$33,AA$2)</f>
        <v>2.3763780961603485</v>
      </c>
      <c r="AB103" s="7">
        <f>AA103*VLOOKUP($A103,'EU Ref Sc 2020 Other industries'!$A$5:$AE$33,AB$2)</f>
        <v>2.4004132090754804</v>
      </c>
      <c r="AC103" s="7">
        <f>AB103*VLOOKUP($A103,'EU Ref Sc 2020 Other industries'!$A$5:$AE$33,AC$2)</f>
        <v>2.4244483219906132</v>
      </c>
      <c r="AD103" s="7">
        <f>AC103*VLOOKUP($A103,'EU Ref Sc 2020 Other industries'!$A$5:$AE$33,AD$2)</f>
        <v>2.4469276288460211</v>
      </c>
      <c r="AE103" s="7">
        <f>AD103*VLOOKUP($A103,'EU Ref Sc 2020 Other industries'!$A$5:$AE$33,AE$2)</f>
        <v>2.4694069357014294</v>
      </c>
      <c r="AF103" s="7">
        <f>AE103*VLOOKUP($A103,'EU Ref Sc 2020 Other industries'!$A$5:$AE$33,AF$2)</f>
        <v>2.4918862425568373</v>
      </c>
      <c r="AG103" s="7">
        <f>AF103*VLOOKUP($A103,'EU Ref Sc 2020 Other industries'!$A$5:$AE$33,AG$2)</f>
        <v>2.5143655494122452</v>
      </c>
      <c r="AH103" s="7">
        <f>AG103*VLOOKUP($A103,'EU Ref Sc 2020 Other industries'!$A$5:$AE$33,AH$2)</f>
        <v>2.5368448562676527</v>
      </c>
      <c r="AI103" s="13">
        <f t="shared" ref="AI103:AR103" si="103">AH103</f>
        <v>2.5368448562676527</v>
      </c>
      <c r="AJ103" s="13">
        <f t="shared" si="103"/>
        <v>2.5368448562676527</v>
      </c>
      <c r="AK103" s="13">
        <f t="shared" si="103"/>
        <v>2.5368448562676527</v>
      </c>
      <c r="AL103" s="13">
        <f t="shared" si="103"/>
        <v>2.5368448562676527</v>
      </c>
      <c r="AM103" s="13">
        <f t="shared" si="103"/>
        <v>2.5368448562676527</v>
      </c>
      <c r="AN103" s="13">
        <f t="shared" si="103"/>
        <v>2.5368448562676527</v>
      </c>
      <c r="AO103" s="13">
        <f t="shared" si="103"/>
        <v>2.5368448562676527</v>
      </c>
      <c r="AP103" s="13">
        <f t="shared" si="103"/>
        <v>2.5368448562676527</v>
      </c>
      <c r="AQ103" s="13">
        <f t="shared" si="103"/>
        <v>2.5368448562676527</v>
      </c>
      <c r="AR103" s="13">
        <f t="shared" si="103"/>
        <v>2.5368448562676527</v>
      </c>
    </row>
    <row r="104" spans="1:44" x14ac:dyDescent="0.3">
      <c r="A104" t="s">
        <v>1390</v>
      </c>
      <c r="B104" t="s">
        <v>1392</v>
      </c>
      <c r="C104" t="s">
        <v>19</v>
      </c>
      <c r="D104" t="str">
        <f t="shared" si="99"/>
        <v>ATIMEC</v>
      </c>
      <c r="E104" s="2">
        <v>8.1515000000000004</v>
      </c>
      <c r="F104" s="12">
        <f>E104*VLOOKUP($A104,'EU Ref Sc 2020 Energy intensive'!$A$5:$AE$33,F$2)</f>
        <v>8.2127712121515728</v>
      </c>
      <c r="G104" s="12">
        <f>F104*VLOOKUP($A104,'EU Ref Sc 2020 Energy intensive'!$A$5:$AE$33,G$2)</f>
        <v>8.274042424303147</v>
      </c>
      <c r="H104" s="12">
        <f>G104*VLOOKUP($A104,'EU Ref Sc 2020 Energy intensive'!$A$5:$AE$33,H$2)</f>
        <v>8.3353136364547193</v>
      </c>
      <c r="I104" s="12">
        <f>H104*VLOOKUP($A104,'EU Ref Sc 2020 Energy intensive'!$A$5:$AE$33,I$2)</f>
        <v>8.39658484860629</v>
      </c>
      <c r="J104" s="12">
        <f>I104*VLOOKUP($A104,'EU Ref Sc 2020 Energy intensive'!$A$5:$AE$33,J$2)</f>
        <v>8.3310674440053987</v>
      </c>
      <c r="K104" s="12">
        <f>J104*VLOOKUP($A104,'EU Ref Sc 2020 Energy intensive'!$A$5:$AE$33,K$2)</f>
        <v>8.2655500394045074</v>
      </c>
      <c r="L104" s="12">
        <f>K104*VLOOKUP($A104,'EU Ref Sc 2020 Energy intensive'!$A$5:$AE$33,L$2)</f>
        <v>8.2000326348036161</v>
      </c>
      <c r="M104" s="12">
        <f>L104*VLOOKUP($A104,'EU Ref Sc 2020 Energy intensive'!$A$5:$AE$33,M$2)</f>
        <v>8.1345152302027248</v>
      </c>
      <c r="N104" s="12">
        <f>M104*VLOOKUP($A104,'EU Ref Sc 2020 Energy intensive'!$A$5:$AE$33,N$2)</f>
        <v>8.0689978256018335</v>
      </c>
      <c r="O104" s="12">
        <f>N104*VLOOKUP($A104,'EU Ref Sc 2020 Energy intensive'!$A$5:$AE$33,O$2)</f>
        <v>7.9775613476276712</v>
      </c>
      <c r="P104" s="12">
        <f>O104*VLOOKUP($A104,'EU Ref Sc 2020 Energy intensive'!$A$5:$AE$33,P$2)</f>
        <v>7.8861248696535089</v>
      </c>
      <c r="Q104" s="12">
        <f>P104*VLOOKUP($A104,'EU Ref Sc 2020 Energy intensive'!$A$5:$AE$33,Q$2)</f>
        <v>7.7946883916793475</v>
      </c>
      <c r="R104" s="12">
        <f>Q104*VLOOKUP($A104,'EU Ref Sc 2020 Energy intensive'!$A$5:$AE$33,R$2)</f>
        <v>7.7032519137051851</v>
      </c>
      <c r="S104" s="12">
        <f>R104*VLOOKUP($A104,'EU Ref Sc 2020 Energy intensive'!$A$5:$AE$33,S$2)</f>
        <v>7.6118154357310255</v>
      </c>
      <c r="T104" s="12">
        <f>S104*VLOOKUP($A104,'EU Ref Sc 2020 Energy intensive'!$A$5:$AE$33,T$2)</f>
        <v>7.5393221918379316</v>
      </c>
      <c r="U104" s="12">
        <f>T104*VLOOKUP($A104,'EU Ref Sc 2020 Energy intensive'!$A$5:$AE$33,U$2)</f>
        <v>7.4668289479448378</v>
      </c>
      <c r="V104" s="12">
        <f>U104*VLOOKUP($A104,'EU Ref Sc 2020 Energy intensive'!$A$5:$AE$33,V$2)</f>
        <v>7.3943357040517439</v>
      </c>
      <c r="W104" s="12">
        <f>V104*VLOOKUP($A104,'EU Ref Sc 2020 Energy intensive'!$A$5:$AE$33,W$2)</f>
        <v>7.32184246015865</v>
      </c>
      <c r="X104" s="12">
        <f>W104*VLOOKUP($A104,'EU Ref Sc 2020 Energy intensive'!$A$5:$AE$33,X$2)</f>
        <v>7.2493492162655597</v>
      </c>
      <c r="Y104" s="12">
        <f>X104*VLOOKUP($A104,'EU Ref Sc 2020 Energy intensive'!$A$5:$AE$33,Y$2)</f>
        <v>7.2157045619154552</v>
      </c>
      <c r="Z104" s="12">
        <f>Y104*VLOOKUP($A104,'EU Ref Sc 2020 Energy intensive'!$A$5:$AE$33,Z$2)</f>
        <v>7.1820599075653506</v>
      </c>
      <c r="AA104" s="12">
        <f>Z104*VLOOKUP($A104,'EU Ref Sc 2020 Energy intensive'!$A$5:$AE$33,AA$2)</f>
        <v>7.1484152532152461</v>
      </c>
      <c r="AB104" s="12">
        <f>AA104*VLOOKUP($A104,'EU Ref Sc 2020 Energy intensive'!$A$5:$AE$33,AB$2)</f>
        <v>7.1147705988651424</v>
      </c>
      <c r="AC104" s="12">
        <f>AB104*VLOOKUP($A104,'EU Ref Sc 2020 Energy intensive'!$A$5:$AE$33,AC$2)</f>
        <v>7.0811259445150396</v>
      </c>
      <c r="AD104" s="12">
        <f>AC104*VLOOKUP($A104,'EU Ref Sc 2020 Energy intensive'!$A$5:$AE$33,AD$2)</f>
        <v>7.0636925570974283</v>
      </c>
      <c r="AE104" s="12">
        <f>AD104*VLOOKUP($A104,'EU Ref Sc 2020 Energy intensive'!$A$5:$AE$33,AE$2)</f>
        <v>7.0462591696798169</v>
      </c>
      <c r="AF104" s="12">
        <f>AE104*VLOOKUP($A104,'EU Ref Sc 2020 Energy intensive'!$A$5:$AE$33,AF$2)</f>
        <v>7.0288257822622056</v>
      </c>
      <c r="AG104" s="12">
        <f>AF104*VLOOKUP($A104,'EU Ref Sc 2020 Energy intensive'!$A$5:$AE$33,AG$2)</f>
        <v>7.0113923948445933</v>
      </c>
      <c r="AH104" s="12">
        <f>AG104*VLOOKUP($A104,'EU Ref Sc 2020 Energy intensive'!$A$5:$AE$33,AH$2)</f>
        <v>6.9939590074269828</v>
      </c>
      <c r="AI104" s="13">
        <f t="shared" ref="AI104:AR104" si="104">AH104</f>
        <v>6.9939590074269828</v>
      </c>
      <c r="AJ104" s="13">
        <f t="shared" si="104"/>
        <v>6.9939590074269828</v>
      </c>
      <c r="AK104" s="13">
        <f t="shared" si="104"/>
        <v>6.9939590074269828</v>
      </c>
      <c r="AL104" s="13">
        <f t="shared" si="104"/>
        <v>6.9939590074269828</v>
      </c>
      <c r="AM104" s="13">
        <f t="shared" si="104"/>
        <v>6.9939590074269828</v>
      </c>
      <c r="AN104" s="13">
        <f t="shared" si="104"/>
        <v>6.9939590074269828</v>
      </c>
      <c r="AO104" s="13">
        <f t="shared" si="104"/>
        <v>6.9939590074269828</v>
      </c>
      <c r="AP104" s="13">
        <f t="shared" si="104"/>
        <v>6.9939590074269828</v>
      </c>
      <c r="AQ104" s="13">
        <f t="shared" si="104"/>
        <v>6.9939590074269828</v>
      </c>
      <c r="AR104" s="13">
        <f t="shared" si="104"/>
        <v>6.9939590074269828</v>
      </c>
    </row>
    <row r="105" spans="1:44" x14ac:dyDescent="0.3">
      <c r="A105" t="s">
        <v>1396</v>
      </c>
      <c r="B105" t="s">
        <v>1392</v>
      </c>
      <c r="C105" t="s">
        <v>74</v>
      </c>
      <c r="D105" t="str">
        <f t="shared" si="99"/>
        <v>BEIMEC</v>
      </c>
      <c r="E105" s="2">
        <v>23.558</v>
      </c>
      <c r="F105" s="12">
        <f>E105*VLOOKUP($A105,'EU Ref Sc 2020 Energy intensive'!$A$5:$AE$33,F$2)</f>
        <v>24.315715190577361</v>
      </c>
      <c r="G105" s="12">
        <f>F105*VLOOKUP($A105,'EU Ref Sc 2020 Energy intensive'!$A$5:$AE$33,G$2)</f>
        <v>25.073430381154722</v>
      </c>
      <c r="H105" s="12">
        <f>G105*VLOOKUP($A105,'EU Ref Sc 2020 Energy intensive'!$A$5:$AE$33,H$2)</f>
        <v>25.831145571732083</v>
      </c>
      <c r="I105" s="12">
        <f>H105*VLOOKUP($A105,'EU Ref Sc 2020 Energy intensive'!$A$5:$AE$33,I$2)</f>
        <v>26.588860762309444</v>
      </c>
      <c r="J105" s="12">
        <f>I105*VLOOKUP($A105,'EU Ref Sc 2020 Energy intensive'!$A$5:$AE$33,J$2)</f>
        <v>27.393362081582424</v>
      </c>
      <c r="K105" s="12">
        <f>J105*VLOOKUP($A105,'EU Ref Sc 2020 Energy intensive'!$A$5:$AE$33,K$2)</f>
        <v>28.197863400855404</v>
      </c>
      <c r="L105" s="12">
        <f>K105*VLOOKUP($A105,'EU Ref Sc 2020 Energy intensive'!$A$5:$AE$33,L$2)</f>
        <v>29.002364720128387</v>
      </c>
      <c r="M105" s="12">
        <f>L105*VLOOKUP($A105,'EU Ref Sc 2020 Energy intensive'!$A$5:$AE$33,M$2)</f>
        <v>29.806866039401367</v>
      </c>
      <c r="N105" s="12">
        <f>M105*VLOOKUP($A105,'EU Ref Sc 2020 Energy intensive'!$A$5:$AE$33,N$2)</f>
        <v>30.611367358674361</v>
      </c>
      <c r="O105" s="12">
        <f>N105*VLOOKUP($A105,'EU Ref Sc 2020 Energy intensive'!$A$5:$AE$33,O$2)</f>
        <v>30.420796497669059</v>
      </c>
      <c r="P105" s="12">
        <f>O105*VLOOKUP($A105,'EU Ref Sc 2020 Energy intensive'!$A$5:$AE$33,P$2)</f>
        <v>30.230225636663757</v>
      </c>
      <c r="Q105" s="12">
        <f>P105*VLOOKUP($A105,'EU Ref Sc 2020 Energy intensive'!$A$5:$AE$33,Q$2)</f>
        <v>30.039654775658455</v>
      </c>
      <c r="R105" s="12">
        <f>Q105*VLOOKUP($A105,'EU Ref Sc 2020 Energy intensive'!$A$5:$AE$33,R$2)</f>
        <v>29.849083914653153</v>
      </c>
      <c r="S105" s="12">
        <f>R105*VLOOKUP($A105,'EU Ref Sc 2020 Energy intensive'!$A$5:$AE$33,S$2)</f>
        <v>29.658513053647852</v>
      </c>
      <c r="T105" s="12">
        <f>S105*VLOOKUP($A105,'EU Ref Sc 2020 Energy intensive'!$A$5:$AE$33,T$2)</f>
        <v>29.503514391218541</v>
      </c>
      <c r="U105" s="12">
        <f>T105*VLOOKUP($A105,'EU Ref Sc 2020 Energy intensive'!$A$5:$AE$33,U$2)</f>
        <v>29.348515728789231</v>
      </c>
      <c r="V105" s="12">
        <f>U105*VLOOKUP($A105,'EU Ref Sc 2020 Energy intensive'!$A$5:$AE$33,V$2)</f>
        <v>29.193517066359924</v>
      </c>
      <c r="W105" s="12">
        <f>V105*VLOOKUP($A105,'EU Ref Sc 2020 Energy intensive'!$A$5:$AE$33,W$2)</f>
        <v>29.038518403930613</v>
      </c>
      <c r="X105" s="12">
        <f>W105*VLOOKUP($A105,'EU Ref Sc 2020 Energy intensive'!$A$5:$AE$33,X$2)</f>
        <v>28.883519741501303</v>
      </c>
      <c r="Y105" s="12">
        <f>X105*VLOOKUP($A105,'EU Ref Sc 2020 Energy intensive'!$A$5:$AE$33,Y$2)</f>
        <v>28.878771049771792</v>
      </c>
      <c r="Z105" s="12">
        <f>Y105*VLOOKUP($A105,'EU Ref Sc 2020 Energy intensive'!$A$5:$AE$33,Z$2)</f>
        <v>28.874022358042286</v>
      </c>
      <c r="AA105" s="12">
        <f>Z105*VLOOKUP($A105,'EU Ref Sc 2020 Energy intensive'!$A$5:$AE$33,AA$2)</f>
        <v>28.869273666312775</v>
      </c>
      <c r="AB105" s="12">
        <f>AA105*VLOOKUP($A105,'EU Ref Sc 2020 Energy intensive'!$A$5:$AE$33,AB$2)</f>
        <v>28.864524974583265</v>
      </c>
      <c r="AC105" s="12">
        <f>AB105*VLOOKUP($A105,'EU Ref Sc 2020 Energy intensive'!$A$5:$AE$33,AC$2)</f>
        <v>28.859776282853769</v>
      </c>
      <c r="AD105" s="12">
        <f>AC105*VLOOKUP($A105,'EU Ref Sc 2020 Energy intensive'!$A$5:$AE$33,AD$2)</f>
        <v>28.844484947990306</v>
      </c>
      <c r="AE105" s="12">
        <f>AD105*VLOOKUP($A105,'EU Ref Sc 2020 Energy intensive'!$A$5:$AE$33,AE$2)</f>
        <v>28.829193613126844</v>
      </c>
      <c r="AF105" s="12">
        <f>AE105*VLOOKUP($A105,'EU Ref Sc 2020 Energy intensive'!$A$5:$AE$33,AF$2)</f>
        <v>28.813902278263377</v>
      </c>
      <c r="AG105" s="12">
        <f>AF105*VLOOKUP($A105,'EU Ref Sc 2020 Energy intensive'!$A$5:$AE$33,AG$2)</f>
        <v>28.798610943399911</v>
      </c>
      <c r="AH105" s="12">
        <f>AG105*VLOOKUP($A105,'EU Ref Sc 2020 Energy intensive'!$A$5:$AE$33,AH$2)</f>
        <v>28.783319608536459</v>
      </c>
      <c r="AI105" s="13">
        <f t="shared" ref="AI105:AR105" si="105">AH105</f>
        <v>28.783319608536459</v>
      </c>
      <c r="AJ105" s="13">
        <f t="shared" si="105"/>
        <v>28.783319608536459</v>
      </c>
      <c r="AK105" s="13">
        <f t="shared" si="105"/>
        <v>28.783319608536459</v>
      </c>
      <c r="AL105" s="13">
        <f t="shared" si="105"/>
        <v>28.783319608536459</v>
      </c>
      <c r="AM105" s="13">
        <f t="shared" si="105"/>
        <v>28.783319608536459</v>
      </c>
      <c r="AN105" s="13">
        <f t="shared" si="105"/>
        <v>28.783319608536459</v>
      </c>
      <c r="AO105" s="13">
        <f t="shared" si="105"/>
        <v>28.783319608536459</v>
      </c>
      <c r="AP105" s="13">
        <f t="shared" si="105"/>
        <v>28.783319608536459</v>
      </c>
      <c r="AQ105" s="13">
        <f t="shared" si="105"/>
        <v>28.783319608536459</v>
      </c>
      <c r="AR105" s="13">
        <f t="shared" si="105"/>
        <v>28.783319608536459</v>
      </c>
    </row>
    <row r="106" spans="1:44" x14ac:dyDescent="0.3">
      <c r="A106" t="s">
        <v>1398</v>
      </c>
      <c r="B106" t="s">
        <v>1392</v>
      </c>
      <c r="C106" t="s">
        <v>129</v>
      </c>
      <c r="D106" t="str">
        <f t="shared" si="99"/>
        <v>BGIMEC</v>
      </c>
      <c r="E106" s="2">
        <v>2.1084000000000001</v>
      </c>
      <c r="F106" s="12">
        <f>E106*VLOOKUP($A106,'EU Ref Sc 2020 Energy intensive'!$A$5:$AE$33,F$2)</f>
        <v>2.1380283700762095</v>
      </c>
      <c r="G106" s="12">
        <f>F106*VLOOKUP($A106,'EU Ref Sc 2020 Energy intensive'!$A$5:$AE$33,G$2)</f>
        <v>2.1676567401524189</v>
      </c>
      <c r="H106" s="12">
        <f>G106*VLOOKUP($A106,'EU Ref Sc 2020 Energy intensive'!$A$5:$AE$33,H$2)</f>
        <v>2.1972851102286284</v>
      </c>
      <c r="I106" s="12">
        <f>H106*VLOOKUP($A106,'EU Ref Sc 2020 Energy intensive'!$A$5:$AE$33,I$2)</f>
        <v>2.2269134803048378</v>
      </c>
      <c r="J106" s="12">
        <f>I106*VLOOKUP($A106,'EU Ref Sc 2020 Energy intensive'!$A$5:$AE$33,J$2)</f>
        <v>2.2170644841800282</v>
      </c>
      <c r="K106" s="12">
        <f>J106*VLOOKUP($A106,'EU Ref Sc 2020 Energy intensive'!$A$5:$AE$33,K$2)</f>
        <v>2.2072154880552186</v>
      </c>
      <c r="L106" s="12">
        <f>K106*VLOOKUP($A106,'EU Ref Sc 2020 Energy intensive'!$A$5:$AE$33,L$2)</f>
        <v>2.197366491930409</v>
      </c>
      <c r="M106" s="12">
        <f>L106*VLOOKUP($A106,'EU Ref Sc 2020 Energy intensive'!$A$5:$AE$33,M$2)</f>
        <v>2.1875174958055994</v>
      </c>
      <c r="N106" s="12">
        <f>M106*VLOOKUP($A106,'EU Ref Sc 2020 Energy intensive'!$A$5:$AE$33,N$2)</f>
        <v>2.1776684996807907</v>
      </c>
      <c r="O106" s="12">
        <f>N106*VLOOKUP($A106,'EU Ref Sc 2020 Energy intensive'!$A$5:$AE$33,O$2)</f>
        <v>2.1340967891981975</v>
      </c>
      <c r="P106" s="12">
        <f>O106*VLOOKUP($A106,'EU Ref Sc 2020 Energy intensive'!$A$5:$AE$33,P$2)</f>
        <v>2.0905250787156042</v>
      </c>
      <c r="Q106" s="12">
        <f>P106*VLOOKUP($A106,'EU Ref Sc 2020 Energy intensive'!$A$5:$AE$33,Q$2)</f>
        <v>2.046953368233011</v>
      </c>
      <c r="R106" s="12">
        <f>Q106*VLOOKUP($A106,'EU Ref Sc 2020 Energy intensive'!$A$5:$AE$33,R$2)</f>
        <v>2.0033816577504178</v>
      </c>
      <c r="S106" s="12">
        <f>R106*VLOOKUP($A106,'EU Ref Sc 2020 Energy intensive'!$A$5:$AE$33,S$2)</f>
        <v>1.959809947267825</v>
      </c>
      <c r="T106" s="12">
        <f>S106*VLOOKUP($A106,'EU Ref Sc 2020 Energy intensive'!$A$5:$AE$33,T$2)</f>
        <v>1.9468701335046095</v>
      </c>
      <c r="U106" s="12">
        <f>T106*VLOOKUP($A106,'EU Ref Sc 2020 Energy intensive'!$A$5:$AE$33,U$2)</f>
        <v>1.933930319741394</v>
      </c>
      <c r="V106" s="12">
        <f>U106*VLOOKUP($A106,'EU Ref Sc 2020 Energy intensive'!$A$5:$AE$33,V$2)</f>
        <v>1.9209905059781784</v>
      </c>
      <c r="W106" s="12">
        <f>V106*VLOOKUP($A106,'EU Ref Sc 2020 Energy intensive'!$A$5:$AE$33,W$2)</f>
        <v>1.9080506922149629</v>
      </c>
      <c r="X106" s="12">
        <f>W106*VLOOKUP($A106,'EU Ref Sc 2020 Energy intensive'!$A$5:$AE$33,X$2)</f>
        <v>1.895110878451747</v>
      </c>
      <c r="Y106" s="12">
        <f>X106*VLOOKUP($A106,'EU Ref Sc 2020 Energy intensive'!$A$5:$AE$33,Y$2)</f>
        <v>1.8914875187128035</v>
      </c>
      <c r="Z106" s="12">
        <f>Y106*VLOOKUP($A106,'EU Ref Sc 2020 Energy intensive'!$A$5:$AE$33,Z$2)</f>
        <v>1.8878641589738601</v>
      </c>
      <c r="AA106" s="12">
        <f>Z106*VLOOKUP($A106,'EU Ref Sc 2020 Energy intensive'!$A$5:$AE$33,AA$2)</f>
        <v>1.8842407992349166</v>
      </c>
      <c r="AB106" s="12">
        <f>AA106*VLOOKUP($A106,'EU Ref Sc 2020 Energy intensive'!$A$5:$AE$33,AB$2)</f>
        <v>1.8806174394959732</v>
      </c>
      <c r="AC106" s="12">
        <f>AB106*VLOOKUP($A106,'EU Ref Sc 2020 Energy intensive'!$A$5:$AE$33,AC$2)</f>
        <v>1.8769940797570299</v>
      </c>
      <c r="AD106" s="12">
        <f>AC106*VLOOKUP($A106,'EU Ref Sc 2020 Energy intensive'!$A$5:$AE$33,AD$2)</f>
        <v>1.8710754916411778</v>
      </c>
      <c r="AE106" s="12">
        <f>AD106*VLOOKUP($A106,'EU Ref Sc 2020 Energy intensive'!$A$5:$AE$33,AE$2)</f>
        <v>1.8651569035253257</v>
      </c>
      <c r="AF106" s="12">
        <f>AE106*VLOOKUP($A106,'EU Ref Sc 2020 Energy intensive'!$A$5:$AE$33,AF$2)</f>
        <v>1.8592383154094736</v>
      </c>
      <c r="AG106" s="12">
        <f>AF106*VLOOKUP($A106,'EU Ref Sc 2020 Energy intensive'!$A$5:$AE$33,AG$2)</f>
        <v>1.8533197272936215</v>
      </c>
      <c r="AH106" s="12">
        <f>AG106*VLOOKUP($A106,'EU Ref Sc 2020 Energy intensive'!$A$5:$AE$33,AH$2)</f>
        <v>1.8474011391777689</v>
      </c>
      <c r="AI106" s="13">
        <f t="shared" ref="AI106:AR106" si="106">AH106</f>
        <v>1.8474011391777689</v>
      </c>
      <c r="AJ106" s="13">
        <f t="shared" si="106"/>
        <v>1.8474011391777689</v>
      </c>
      <c r="AK106" s="13">
        <f t="shared" si="106"/>
        <v>1.8474011391777689</v>
      </c>
      <c r="AL106" s="13">
        <f t="shared" si="106"/>
        <v>1.8474011391777689</v>
      </c>
      <c r="AM106" s="13">
        <f t="shared" si="106"/>
        <v>1.8474011391777689</v>
      </c>
      <c r="AN106" s="13">
        <f t="shared" si="106"/>
        <v>1.8474011391777689</v>
      </c>
      <c r="AO106" s="13">
        <f t="shared" si="106"/>
        <v>1.8474011391777689</v>
      </c>
      <c r="AP106" s="13">
        <f t="shared" si="106"/>
        <v>1.8474011391777689</v>
      </c>
      <c r="AQ106" s="13">
        <f t="shared" si="106"/>
        <v>1.8474011391777689</v>
      </c>
      <c r="AR106" s="13">
        <f t="shared" si="106"/>
        <v>1.8474011391777689</v>
      </c>
    </row>
    <row r="107" spans="1:44" x14ac:dyDescent="0.3">
      <c r="A107" t="s">
        <v>1401</v>
      </c>
      <c r="B107" t="s">
        <v>1392</v>
      </c>
      <c r="C107" t="s">
        <v>217</v>
      </c>
      <c r="D107" t="str">
        <f t="shared" si="99"/>
        <v>CZIMEC</v>
      </c>
      <c r="E107" s="2">
        <v>4.8606999999999996</v>
      </c>
      <c r="F107" s="12">
        <f>E107*VLOOKUP($A107,'EU Ref Sc 2020 Energy intensive'!$A$5:$AE$33,F$2)</f>
        <v>4.8726409733041773</v>
      </c>
      <c r="G107" s="12">
        <f>F107*VLOOKUP($A107,'EU Ref Sc 2020 Energy intensive'!$A$5:$AE$33,G$2)</f>
        <v>4.8845819466083551</v>
      </c>
      <c r="H107" s="12">
        <f>G107*VLOOKUP($A107,'EU Ref Sc 2020 Energy intensive'!$A$5:$AE$33,H$2)</f>
        <v>4.896522919912532</v>
      </c>
      <c r="I107" s="12">
        <f>H107*VLOOKUP($A107,'EU Ref Sc 2020 Energy intensive'!$A$5:$AE$33,I$2)</f>
        <v>4.9084638932167088</v>
      </c>
      <c r="J107" s="12">
        <f>I107*VLOOKUP($A107,'EU Ref Sc 2020 Energy intensive'!$A$5:$AE$33,J$2)</f>
        <v>4.8163889393087276</v>
      </c>
      <c r="K107" s="12">
        <f>J107*VLOOKUP($A107,'EU Ref Sc 2020 Energy intensive'!$A$5:$AE$33,K$2)</f>
        <v>4.7243139854007463</v>
      </c>
      <c r="L107" s="12">
        <f>K107*VLOOKUP($A107,'EU Ref Sc 2020 Energy intensive'!$A$5:$AE$33,L$2)</f>
        <v>4.6322390314927651</v>
      </c>
      <c r="M107" s="12">
        <f>L107*VLOOKUP($A107,'EU Ref Sc 2020 Energy intensive'!$A$5:$AE$33,M$2)</f>
        <v>4.5401640775847838</v>
      </c>
      <c r="N107" s="12">
        <f>M107*VLOOKUP($A107,'EU Ref Sc 2020 Energy intensive'!$A$5:$AE$33,N$2)</f>
        <v>4.4480891236768043</v>
      </c>
      <c r="O107" s="12">
        <f>N107*VLOOKUP($A107,'EU Ref Sc 2020 Energy intensive'!$A$5:$AE$33,O$2)</f>
        <v>4.404923386689763</v>
      </c>
      <c r="P107" s="12">
        <f>O107*VLOOKUP($A107,'EU Ref Sc 2020 Energy intensive'!$A$5:$AE$33,P$2)</f>
        <v>4.3617576497027217</v>
      </c>
      <c r="Q107" s="12">
        <f>P107*VLOOKUP($A107,'EU Ref Sc 2020 Energy intensive'!$A$5:$AE$33,Q$2)</f>
        <v>4.3185919127156804</v>
      </c>
      <c r="R107" s="12">
        <f>Q107*VLOOKUP($A107,'EU Ref Sc 2020 Energy intensive'!$A$5:$AE$33,R$2)</f>
        <v>4.2754261757286391</v>
      </c>
      <c r="S107" s="12">
        <f>R107*VLOOKUP($A107,'EU Ref Sc 2020 Energy intensive'!$A$5:$AE$33,S$2)</f>
        <v>4.2322604387415987</v>
      </c>
      <c r="T107" s="12">
        <f>S107*VLOOKUP($A107,'EU Ref Sc 2020 Energy intensive'!$A$5:$AE$33,T$2)</f>
        <v>4.2052762316990151</v>
      </c>
      <c r="U107" s="12">
        <f>T107*VLOOKUP($A107,'EU Ref Sc 2020 Energy intensive'!$A$5:$AE$33,U$2)</f>
        <v>4.1782920246564323</v>
      </c>
      <c r="V107" s="12">
        <f>U107*VLOOKUP($A107,'EU Ref Sc 2020 Energy intensive'!$A$5:$AE$33,V$2)</f>
        <v>4.1513078176138496</v>
      </c>
      <c r="W107" s="12">
        <f>V107*VLOOKUP($A107,'EU Ref Sc 2020 Energy intensive'!$A$5:$AE$33,W$2)</f>
        <v>4.1243236105712668</v>
      </c>
      <c r="X107" s="12">
        <f>W107*VLOOKUP($A107,'EU Ref Sc 2020 Energy intensive'!$A$5:$AE$33,X$2)</f>
        <v>4.0973394035286841</v>
      </c>
      <c r="Y107" s="12">
        <f>X107*VLOOKUP($A107,'EU Ref Sc 2020 Energy intensive'!$A$5:$AE$33,Y$2)</f>
        <v>4.0638734529320937</v>
      </c>
      <c r="Z107" s="12">
        <f>Y107*VLOOKUP($A107,'EU Ref Sc 2020 Energy intensive'!$A$5:$AE$33,Z$2)</f>
        <v>4.0304075023355033</v>
      </c>
      <c r="AA107" s="12">
        <f>Z107*VLOOKUP($A107,'EU Ref Sc 2020 Energy intensive'!$A$5:$AE$33,AA$2)</f>
        <v>3.9969415517389133</v>
      </c>
      <c r="AB107" s="12">
        <f>AA107*VLOOKUP($A107,'EU Ref Sc 2020 Energy intensive'!$A$5:$AE$33,AB$2)</f>
        <v>3.9634756011423233</v>
      </c>
      <c r="AC107" s="12">
        <f>AB107*VLOOKUP($A107,'EU Ref Sc 2020 Energy intensive'!$A$5:$AE$33,AC$2)</f>
        <v>3.9300096505457325</v>
      </c>
      <c r="AD107" s="12">
        <f>AC107*VLOOKUP($A107,'EU Ref Sc 2020 Energy intensive'!$A$5:$AE$33,AD$2)</f>
        <v>3.9104179010355926</v>
      </c>
      <c r="AE107" s="12">
        <f>AD107*VLOOKUP($A107,'EU Ref Sc 2020 Energy intensive'!$A$5:$AE$33,AE$2)</f>
        <v>3.8908261515254527</v>
      </c>
      <c r="AF107" s="12">
        <f>AE107*VLOOKUP($A107,'EU Ref Sc 2020 Energy intensive'!$A$5:$AE$33,AF$2)</f>
        <v>3.8712344020153129</v>
      </c>
      <c r="AG107" s="12">
        <f>AF107*VLOOKUP($A107,'EU Ref Sc 2020 Energy intensive'!$A$5:$AE$33,AG$2)</f>
        <v>3.8516426525051726</v>
      </c>
      <c r="AH107" s="12">
        <f>AG107*VLOOKUP($A107,'EU Ref Sc 2020 Energy intensive'!$A$5:$AE$33,AH$2)</f>
        <v>3.8320509029950327</v>
      </c>
      <c r="AI107" s="13">
        <f t="shared" ref="AI107:AR107" si="107">AH107</f>
        <v>3.8320509029950327</v>
      </c>
      <c r="AJ107" s="13">
        <f t="shared" si="107"/>
        <v>3.8320509029950327</v>
      </c>
      <c r="AK107" s="13">
        <f t="shared" si="107"/>
        <v>3.8320509029950327</v>
      </c>
      <c r="AL107" s="13">
        <f t="shared" si="107"/>
        <v>3.8320509029950327</v>
      </c>
      <c r="AM107" s="13">
        <f t="shared" si="107"/>
        <v>3.8320509029950327</v>
      </c>
      <c r="AN107" s="13">
        <f t="shared" si="107"/>
        <v>3.8320509029950327</v>
      </c>
      <c r="AO107" s="13">
        <f t="shared" si="107"/>
        <v>3.8320509029950327</v>
      </c>
      <c r="AP107" s="13">
        <f t="shared" si="107"/>
        <v>3.8320509029950327</v>
      </c>
      <c r="AQ107" s="13">
        <f t="shared" si="107"/>
        <v>3.8320509029950327</v>
      </c>
      <c r="AR107" s="13">
        <f t="shared" si="107"/>
        <v>3.8320509029950327</v>
      </c>
    </row>
    <row r="108" spans="1:44" x14ac:dyDescent="0.3">
      <c r="A108" t="s">
        <v>1402</v>
      </c>
      <c r="B108" t="s">
        <v>1392</v>
      </c>
      <c r="C108" t="s">
        <v>272</v>
      </c>
      <c r="D108" t="str">
        <f t="shared" si="99"/>
        <v>DEIMEC</v>
      </c>
      <c r="E108" s="2">
        <v>95.2102</v>
      </c>
      <c r="F108" s="12">
        <f>E108*VLOOKUP($A108,'EU Ref Sc 2020 Energy intensive'!$A$5:$AE$33,F$2)</f>
        <v>95.812408039818479</v>
      </c>
      <c r="G108" s="12">
        <f>F108*VLOOKUP($A108,'EU Ref Sc 2020 Energy intensive'!$A$5:$AE$33,G$2)</f>
        <v>96.414616079636957</v>
      </c>
      <c r="H108" s="12">
        <f>G108*VLOOKUP($A108,'EU Ref Sc 2020 Energy intensive'!$A$5:$AE$33,H$2)</f>
        <v>97.016824119455435</v>
      </c>
      <c r="I108" s="12">
        <f>H108*VLOOKUP($A108,'EU Ref Sc 2020 Energy intensive'!$A$5:$AE$33,I$2)</f>
        <v>97.6190321592739</v>
      </c>
      <c r="J108" s="12">
        <f>I108*VLOOKUP($A108,'EU Ref Sc 2020 Energy intensive'!$A$5:$AE$33,J$2)</f>
        <v>96.420842979652122</v>
      </c>
      <c r="K108" s="12">
        <f>J108*VLOOKUP($A108,'EU Ref Sc 2020 Energy intensive'!$A$5:$AE$33,K$2)</f>
        <v>95.222653800030344</v>
      </c>
      <c r="L108" s="12">
        <f>K108*VLOOKUP($A108,'EU Ref Sc 2020 Energy intensive'!$A$5:$AE$33,L$2)</f>
        <v>94.024464620408565</v>
      </c>
      <c r="M108" s="12">
        <f>L108*VLOOKUP($A108,'EU Ref Sc 2020 Energy intensive'!$A$5:$AE$33,M$2)</f>
        <v>92.826275440786787</v>
      </c>
      <c r="N108" s="12">
        <f>M108*VLOOKUP($A108,'EU Ref Sc 2020 Energy intensive'!$A$5:$AE$33,N$2)</f>
        <v>91.628086261164981</v>
      </c>
      <c r="O108" s="12">
        <f>N108*VLOOKUP($A108,'EU Ref Sc 2020 Energy intensive'!$A$5:$AE$33,O$2)</f>
        <v>89.978725764090527</v>
      </c>
      <c r="P108" s="12">
        <f>O108*VLOOKUP($A108,'EU Ref Sc 2020 Energy intensive'!$A$5:$AE$33,P$2)</f>
        <v>88.329365267016058</v>
      </c>
      <c r="Q108" s="12">
        <f>P108*VLOOKUP($A108,'EU Ref Sc 2020 Energy intensive'!$A$5:$AE$33,Q$2)</f>
        <v>86.680004769941604</v>
      </c>
      <c r="R108" s="12">
        <f>Q108*VLOOKUP($A108,'EU Ref Sc 2020 Energy intensive'!$A$5:$AE$33,R$2)</f>
        <v>85.03064427286715</v>
      </c>
      <c r="S108" s="12">
        <f>R108*VLOOKUP($A108,'EU Ref Sc 2020 Energy intensive'!$A$5:$AE$33,S$2)</f>
        <v>83.381283775792696</v>
      </c>
      <c r="T108" s="12">
        <f>S108*VLOOKUP($A108,'EU Ref Sc 2020 Energy intensive'!$A$5:$AE$33,T$2)</f>
        <v>82.570907939686208</v>
      </c>
      <c r="U108" s="12">
        <f>T108*VLOOKUP($A108,'EU Ref Sc 2020 Energy intensive'!$A$5:$AE$33,U$2)</f>
        <v>81.76053210357972</v>
      </c>
      <c r="V108" s="12">
        <f>U108*VLOOKUP($A108,'EU Ref Sc 2020 Energy intensive'!$A$5:$AE$33,V$2)</f>
        <v>80.950156267473247</v>
      </c>
      <c r="W108" s="12">
        <f>V108*VLOOKUP($A108,'EU Ref Sc 2020 Energy intensive'!$A$5:$AE$33,W$2)</f>
        <v>80.139780431366759</v>
      </c>
      <c r="X108" s="12">
        <f>W108*VLOOKUP($A108,'EU Ref Sc 2020 Energy intensive'!$A$5:$AE$33,X$2)</f>
        <v>79.329404595260257</v>
      </c>
      <c r="Y108" s="12">
        <f>X108*VLOOKUP($A108,'EU Ref Sc 2020 Energy intensive'!$A$5:$AE$33,Y$2)</f>
        <v>78.902085323326631</v>
      </c>
      <c r="Z108" s="12">
        <f>Y108*VLOOKUP($A108,'EU Ref Sc 2020 Energy intensive'!$A$5:$AE$33,Z$2)</f>
        <v>78.474766051393004</v>
      </c>
      <c r="AA108" s="12">
        <f>Z108*VLOOKUP($A108,'EU Ref Sc 2020 Energy intensive'!$A$5:$AE$33,AA$2)</f>
        <v>78.047446779459378</v>
      </c>
      <c r="AB108" s="12">
        <f>AA108*VLOOKUP($A108,'EU Ref Sc 2020 Energy intensive'!$A$5:$AE$33,AB$2)</f>
        <v>77.620127507525751</v>
      </c>
      <c r="AC108" s="12">
        <f>AB108*VLOOKUP($A108,'EU Ref Sc 2020 Energy intensive'!$A$5:$AE$33,AC$2)</f>
        <v>77.192808235592096</v>
      </c>
      <c r="AD108" s="12">
        <f>AC108*VLOOKUP($A108,'EU Ref Sc 2020 Energy intensive'!$A$5:$AE$33,AD$2)</f>
        <v>76.883169001054966</v>
      </c>
      <c r="AE108" s="12">
        <f>AD108*VLOOKUP($A108,'EU Ref Sc 2020 Energy intensive'!$A$5:$AE$33,AE$2)</f>
        <v>76.573529766517836</v>
      </c>
      <c r="AF108" s="12">
        <f>AE108*VLOOKUP($A108,'EU Ref Sc 2020 Energy intensive'!$A$5:$AE$33,AF$2)</f>
        <v>76.263890531980707</v>
      </c>
      <c r="AG108" s="12">
        <f>AF108*VLOOKUP($A108,'EU Ref Sc 2020 Energy intensive'!$A$5:$AE$33,AG$2)</f>
        <v>75.954251297443577</v>
      </c>
      <c r="AH108" s="12">
        <f>AG108*VLOOKUP($A108,'EU Ref Sc 2020 Energy intensive'!$A$5:$AE$33,AH$2)</f>
        <v>75.644612062906447</v>
      </c>
      <c r="AI108" s="13">
        <f t="shared" ref="AI108:AR108" si="108">AH108</f>
        <v>75.644612062906447</v>
      </c>
      <c r="AJ108" s="13">
        <f t="shared" si="108"/>
        <v>75.644612062906447</v>
      </c>
      <c r="AK108" s="13">
        <f t="shared" si="108"/>
        <v>75.644612062906447</v>
      </c>
      <c r="AL108" s="13">
        <f t="shared" si="108"/>
        <v>75.644612062906447</v>
      </c>
      <c r="AM108" s="13">
        <f t="shared" si="108"/>
        <v>75.644612062906447</v>
      </c>
      <c r="AN108" s="13">
        <f t="shared" si="108"/>
        <v>75.644612062906447</v>
      </c>
      <c r="AO108" s="13">
        <f t="shared" si="108"/>
        <v>75.644612062906447</v>
      </c>
      <c r="AP108" s="13">
        <f t="shared" si="108"/>
        <v>75.644612062906447</v>
      </c>
      <c r="AQ108" s="13">
        <f t="shared" si="108"/>
        <v>75.644612062906447</v>
      </c>
      <c r="AR108" s="13">
        <f t="shared" si="108"/>
        <v>75.644612062906447</v>
      </c>
    </row>
    <row r="109" spans="1:44" x14ac:dyDescent="0.3">
      <c r="A109" t="s">
        <v>1403</v>
      </c>
      <c r="B109" t="s">
        <v>1392</v>
      </c>
      <c r="C109" t="s">
        <v>327</v>
      </c>
      <c r="D109" t="str">
        <f t="shared" si="99"/>
        <v>DKIMEC</v>
      </c>
      <c r="E109" s="2">
        <v>2.6686000000000001</v>
      </c>
      <c r="F109" s="12">
        <f>E109*VLOOKUP($A109,'EU Ref Sc 2020 Energy intensive'!$A$5:$AE$33,F$2)</f>
        <v>2.7159916929565724</v>
      </c>
      <c r="G109" s="12">
        <f>F109*VLOOKUP($A109,'EU Ref Sc 2020 Energy intensive'!$A$5:$AE$33,G$2)</f>
        <v>2.7633833859131443</v>
      </c>
      <c r="H109" s="12">
        <f>G109*VLOOKUP($A109,'EU Ref Sc 2020 Energy intensive'!$A$5:$AE$33,H$2)</f>
        <v>2.8107750788697161</v>
      </c>
      <c r="I109" s="12">
        <f>H109*VLOOKUP($A109,'EU Ref Sc 2020 Energy intensive'!$A$5:$AE$33,I$2)</f>
        <v>2.8581667718262889</v>
      </c>
      <c r="J109" s="12">
        <f>I109*VLOOKUP($A109,'EU Ref Sc 2020 Energy intensive'!$A$5:$AE$33,J$2)</f>
        <v>2.8697372088520456</v>
      </c>
      <c r="K109" s="12">
        <f>J109*VLOOKUP($A109,'EU Ref Sc 2020 Energy intensive'!$A$5:$AE$33,K$2)</f>
        <v>2.8813076458778029</v>
      </c>
      <c r="L109" s="12">
        <f>K109*VLOOKUP($A109,'EU Ref Sc 2020 Energy intensive'!$A$5:$AE$33,L$2)</f>
        <v>2.8928780829035601</v>
      </c>
      <c r="M109" s="12">
        <f>L109*VLOOKUP($A109,'EU Ref Sc 2020 Energy intensive'!$A$5:$AE$33,M$2)</f>
        <v>2.9044485199293169</v>
      </c>
      <c r="N109" s="12">
        <f>M109*VLOOKUP($A109,'EU Ref Sc 2020 Energy intensive'!$A$5:$AE$33,N$2)</f>
        <v>2.9160189569550732</v>
      </c>
      <c r="O109" s="12">
        <f>N109*VLOOKUP($A109,'EU Ref Sc 2020 Energy intensive'!$A$5:$AE$33,O$2)</f>
        <v>2.8568646226800869</v>
      </c>
      <c r="P109" s="12">
        <f>O109*VLOOKUP($A109,'EU Ref Sc 2020 Energy intensive'!$A$5:$AE$33,P$2)</f>
        <v>2.7977102884051006</v>
      </c>
      <c r="Q109" s="12">
        <f>P109*VLOOKUP($A109,'EU Ref Sc 2020 Energy intensive'!$A$5:$AE$33,Q$2)</f>
        <v>2.7385559541301139</v>
      </c>
      <c r="R109" s="12">
        <f>Q109*VLOOKUP($A109,'EU Ref Sc 2020 Energy intensive'!$A$5:$AE$33,R$2)</f>
        <v>2.6794016198551276</v>
      </c>
      <c r="S109" s="12">
        <f>R109*VLOOKUP($A109,'EU Ref Sc 2020 Energy intensive'!$A$5:$AE$33,S$2)</f>
        <v>2.6202472855801404</v>
      </c>
      <c r="T109" s="12">
        <f>S109*VLOOKUP($A109,'EU Ref Sc 2020 Energy intensive'!$A$5:$AE$33,T$2)</f>
        <v>2.6716253669953889</v>
      </c>
      <c r="U109" s="12">
        <f>T109*VLOOKUP($A109,'EU Ref Sc 2020 Energy intensive'!$A$5:$AE$33,U$2)</f>
        <v>2.7230034484106374</v>
      </c>
      <c r="V109" s="12">
        <f>U109*VLOOKUP($A109,'EU Ref Sc 2020 Energy intensive'!$A$5:$AE$33,V$2)</f>
        <v>2.7743815298258854</v>
      </c>
      <c r="W109" s="12">
        <f>V109*VLOOKUP($A109,'EU Ref Sc 2020 Energy intensive'!$A$5:$AE$33,W$2)</f>
        <v>2.8257596112411338</v>
      </c>
      <c r="X109" s="12">
        <f>W109*VLOOKUP($A109,'EU Ref Sc 2020 Energy intensive'!$A$5:$AE$33,X$2)</f>
        <v>2.8771376926563819</v>
      </c>
      <c r="Y109" s="12">
        <f>X109*VLOOKUP($A109,'EU Ref Sc 2020 Energy intensive'!$A$5:$AE$33,Y$2)</f>
        <v>2.856595241075448</v>
      </c>
      <c r="Z109" s="12">
        <f>Y109*VLOOKUP($A109,'EU Ref Sc 2020 Energy intensive'!$A$5:$AE$33,Z$2)</f>
        <v>2.8360527894945142</v>
      </c>
      <c r="AA109" s="12">
        <f>Z109*VLOOKUP($A109,'EU Ref Sc 2020 Energy intensive'!$A$5:$AE$33,AA$2)</f>
        <v>2.8155103379135804</v>
      </c>
      <c r="AB109" s="12">
        <f>AA109*VLOOKUP($A109,'EU Ref Sc 2020 Energy intensive'!$A$5:$AE$33,AB$2)</f>
        <v>2.7949678863326466</v>
      </c>
      <c r="AC109" s="12">
        <f>AB109*VLOOKUP($A109,'EU Ref Sc 2020 Energy intensive'!$A$5:$AE$33,AC$2)</f>
        <v>2.7744254347517128</v>
      </c>
      <c r="AD109" s="12">
        <f>AC109*VLOOKUP($A109,'EU Ref Sc 2020 Energy intensive'!$A$5:$AE$33,AD$2)</f>
        <v>2.7824663413801618</v>
      </c>
      <c r="AE109" s="12">
        <f>AD109*VLOOKUP($A109,'EU Ref Sc 2020 Energy intensive'!$A$5:$AE$33,AE$2)</f>
        <v>2.7905072480086113</v>
      </c>
      <c r="AF109" s="12">
        <f>AE109*VLOOKUP($A109,'EU Ref Sc 2020 Energy intensive'!$A$5:$AE$33,AF$2)</f>
        <v>2.7985481546370607</v>
      </c>
      <c r="AG109" s="12">
        <f>AF109*VLOOKUP($A109,'EU Ref Sc 2020 Energy intensive'!$A$5:$AE$33,AG$2)</f>
        <v>2.8065890612655098</v>
      </c>
      <c r="AH109" s="12">
        <f>AG109*VLOOKUP($A109,'EU Ref Sc 2020 Energy intensive'!$A$5:$AE$33,AH$2)</f>
        <v>2.8146299678939597</v>
      </c>
      <c r="AI109" s="13">
        <f t="shared" ref="AI109:AR109" si="109">AH109</f>
        <v>2.8146299678939597</v>
      </c>
      <c r="AJ109" s="13">
        <f t="shared" si="109"/>
        <v>2.8146299678939597</v>
      </c>
      <c r="AK109" s="13">
        <f t="shared" si="109"/>
        <v>2.8146299678939597</v>
      </c>
      <c r="AL109" s="13">
        <f t="shared" si="109"/>
        <v>2.8146299678939597</v>
      </c>
      <c r="AM109" s="13">
        <f t="shared" si="109"/>
        <v>2.8146299678939597</v>
      </c>
      <c r="AN109" s="13">
        <f t="shared" si="109"/>
        <v>2.8146299678939597</v>
      </c>
      <c r="AO109" s="13">
        <f t="shared" si="109"/>
        <v>2.8146299678939597</v>
      </c>
      <c r="AP109" s="13">
        <f t="shared" si="109"/>
        <v>2.8146299678939597</v>
      </c>
      <c r="AQ109" s="13">
        <f t="shared" si="109"/>
        <v>2.8146299678939597</v>
      </c>
      <c r="AR109" s="13">
        <f t="shared" si="109"/>
        <v>2.8146299678939597</v>
      </c>
    </row>
    <row r="110" spans="1:44" x14ac:dyDescent="0.3">
      <c r="A110" t="s">
        <v>1408</v>
      </c>
      <c r="B110" t="s">
        <v>1392</v>
      </c>
      <c r="C110" t="s">
        <v>492</v>
      </c>
      <c r="D110" t="str">
        <f t="shared" si="99"/>
        <v>ESIMEC</v>
      </c>
      <c r="E110" s="2">
        <v>16.8796</v>
      </c>
      <c r="F110" s="12">
        <f>E110*VLOOKUP($A110,'EU Ref Sc 2020 Energy intensive'!$A$5:$AE$33,F$2)</f>
        <v>17.655818888804234</v>
      </c>
      <c r="G110" s="12">
        <f>F110*VLOOKUP($A110,'EU Ref Sc 2020 Energy intensive'!$A$5:$AE$33,G$2)</f>
        <v>18.432037777608471</v>
      </c>
      <c r="H110" s="12">
        <f>G110*VLOOKUP($A110,'EU Ref Sc 2020 Energy intensive'!$A$5:$AE$33,H$2)</f>
        <v>19.208256666412705</v>
      </c>
      <c r="I110" s="12">
        <f>H110*VLOOKUP($A110,'EU Ref Sc 2020 Energy intensive'!$A$5:$AE$33,I$2)</f>
        <v>19.984475555216939</v>
      </c>
      <c r="J110" s="12">
        <f>I110*VLOOKUP($A110,'EU Ref Sc 2020 Energy intensive'!$A$5:$AE$33,J$2)</f>
        <v>20.083899788444175</v>
      </c>
      <c r="K110" s="12">
        <f>J110*VLOOKUP($A110,'EU Ref Sc 2020 Energy intensive'!$A$5:$AE$33,K$2)</f>
        <v>20.18332402167141</v>
      </c>
      <c r="L110" s="12">
        <f>K110*VLOOKUP($A110,'EU Ref Sc 2020 Energy intensive'!$A$5:$AE$33,L$2)</f>
        <v>20.282748254898646</v>
      </c>
      <c r="M110" s="12">
        <f>L110*VLOOKUP($A110,'EU Ref Sc 2020 Energy intensive'!$A$5:$AE$33,M$2)</f>
        <v>20.382172488125878</v>
      </c>
      <c r="N110" s="12">
        <f>M110*VLOOKUP($A110,'EU Ref Sc 2020 Energy intensive'!$A$5:$AE$33,N$2)</f>
        <v>20.481596721353117</v>
      </c>
      <c r="O110" s="12">
        <f>N110*VLOOKUP($A110,'EU Ref Sc 2020 Energy intensive'!$A$5:$AE$33,O$2)</f>
        <v>20.046954079889268</v>
      </c>
      <c r="P110" s="12">
        <f>O110*VLOOKUP($A110,'EU Ref Sc 2020 Energy intensive'!$A$5:$AE$33,P$2)</f>
        <v>19.612311438425422</v>
      </c>
      <c r="Q110" s="12">
        <f>P110*VLOOKUP($A110,'EU Ref Sc 2020 Energy intensive'!$A$5:$AE$33,Q$2)</f>
        <v>19.177668796961573</v>
      </c>
      <c r="R110" s="12">
        <f>Q110*VLOOKUP($A110,'EU Ref Sc 2020 Energy intensive'!$A$5:$AE$33,R$2)</f>
        <v>18.743026155497727</v>
      </c>
      <c r="S110" s="12">
        <f>R110*VLOOKUP($A110,'EU Ref Sc 2020 Energy intensive'!$A$5:$AE$33,S$2)</f>
        <v>18.308383514033878</v>
      </c>
      <c r="T110" s="12">
        <f>S110*VLOOKUP($A110,'EU Ref Sc 2020 Energy intensive'!$A$5:$AE$33,T$2)</f>
        <v>18.161289008099729</v>
      </c>
      <c r="U110" s="12">
        <f>T110*VLOOKUP($A110,'EU Ref Sc 2020 Energy intensive'!$A$5:$AE$33,U$2)</f>
        <v>18.01419450216558</v>
      </c>
      <c r="V110" s="12">
        <f>U110*VLOOKUP($A110,'EU Ref Sc 2020 Energy intensive'!$A$5:$AE$33,V$2)</f>
        <v>17.867099996231431</v>
      </c>
      <c r="W110" s="12">
        <f>V110*VLOOKUP($A110,'EU Ref Sc 2020 Energy intensive'!$A$5:$AE$33,W$2)</f>
        <v>17.720005490297282</v>
      </c>
      <c r="X110" s="12">
        <f>W110*VLOOKUP($A110,'EU Ref Sc 2020 Energy intensive'!$A$5:$AE$33,X$2)</f>
        <v>17.572910984363133</v>
      </c>
      <c r="Y110" s="12">
        <f>X110*VLOOKUP($A110,'EU Ref Sc 2020 Energy intensive'!$A$5:$AE$33,Y$2)</f>
        <v>17.446293490864747</v>
      </c>
      <c r="Z110" s="12">
        <f>Y110*VLOOKUP($A110,'EU Ref Sc 2020 Energy intensive'!$A$5:$AE$33,Z$2)</f>
        <v>17.31967599736636</v>
      </c>
      <c r="AA110" s="12">
        <f>Z110*VLOOKUP($A110,'EU Ref Sc 2020 Energy intensive'!$A$5:$AE$33,AA$2)</f>
        <v>17.193058503867977</v>
      </c>
      <c r="AB110" s="12">
        <f>AA110*VLOOKUP($A110,'EU Ref Sc 2020 Energy intensive'!$A$5:$AE$33,AB$2)</f>
        <v>17.066441010369591</v>
      </c>
      <c r="AC110" s="12">
        <f>AB110*VLOOKUP($A110,'EU Ref Sc 2020 Energy intensive'!$A$5:$AE$33,AC$2)</f>
        <v>16.939823516871208</v>
      </c>
      <c r="AD110" s="12">
        <f>AC110*VLOOKUP($A110,'EU Ref Sc 2020 Energy intensive'!$A$5:$AE$33,AD$2)</f>
        <v>16.903145977491228</v>
      </c>
      <c r="AE110" s="12">
        <f>AD110*VLOOKUP($A110,'EU Ref Sc 2020 Energy intensive'!$A$5:$AE$33,AE$2)</f>
        <v>16.866468438111248</v>
      </c>
      <c r="AF110" s="12">
        <f>AE110*VLOOKUP($A110,'EU Ref Sc 2020 Energy intensive'!$A$5:$AE$33,AF$2)</f>
        <v>16.829790898731268</v>
      </c>
      <c r="AG110" s="12">
        <f>AF110*VLOOKUP($A110,'EU Ref Sc 2020 Energy intensive'!$A$5:$AE$33,AG$2)</f>
        <v>16.793113359351288</v>
      </c>
      <c r="AH110" s="12">
        <f>AG110*VLOOKUP($A110,'EU Ref Sc 2020 Energy intensive'!$A$5:$AE$33,AH$2)</f>
        <v>16.756435819971312</v>
      </c>
      <c r="AI110" s="13">
        <f t="shared" ref="AI110:AR110" si="110">AH110</f>
        <v>16.756435819971312</v>
      </c>
      <c r="AJ110" s="13">
        <f t="shared" si="110"/>
        <v>16.756435819971312</v>
      </c>
      <c r="AK110" s="13">
        <f t="shared" si="110"/>
        <v>16.756435819971312</v>
      </c>
      <c r="AL110" s="13">
        <f t="shared" si="110"/>
        <v>16.756435819971312</v>
      </c>
      <c r="AM110" s="13">
        <f t="shared" si="110"/>
        <v>16.756435819971312</v>
      </c>
      <c r="AN110" s="13">
        <f t="shared" si="110"/>
        <v>16.756435819971312</v>
      </c>
      <c r="AO110" s="13">
        <f t="shared" si="110"/>
        <v>16.756435819971312</v>
      </c>
      <c r="AP110" s="13">
        <f t="shared" si="110"/>
        <v>16.756435819971312</v>
      </c>
      <c r="AQ110" s="13">
        <f t="shared" si="110"/>
        <v>16.756435819971312</v>
      </c>
      <c r="AR110" s="13">
        <f t="shared" si="110"/>
        <v>16.756435819971312</v>
      </c>
    </row>
    <row r="111" spans="1:44" x14ac:dyDescent="0.3">
      <c r="A111" t="s">
        <v>1409</v>
      </c>
      <c r="B111" t="s">
        <v>1392</v>
      </c>
      <c r="C111" t="s">
        <v>547</v>
      </c>
      <c r="D111" t="str">
        <f t="shared" si="99"/>
        <v>FIIMEC</v>
      </c>
      <c r="E111" s="2">
        <v>6.9612999999999996</v>
      </c>
      <c r="F111" s="12">
        <f>E111*VLOOKUP($A111,'EU Ref Sc 2020 Energy intensive'!$A$5:$AE$33,F$2)</f>
        <v>7.2814197037034596</v>
      </c>
      <c r="G111" s="12">
        <f>F111*VLOOKUP($A111,'EU Ref Sc 2020 Energy intensive'!$A$5:$AE$33,G$2)</f>
        <v>7.6015394074069196</v>
      </c>
      <c r="H111" s="12">
        <f>G111*VLOOKUP($A111,'EU Ref Sc 2020 Energy intensive'!$A$5:$AE$33,H$2)</f>
        <v>7.9216591111103787</v>
      </c>
      <c r="I111" s="12">
        <f>H111*VLOOKUP($A111,'EU Ref Sc 2020 Energy intensive'!$A$5:$AE$33,I$2)</f>
        <v>8.2417788148138378</v>
      </c>
      <c r="J111" s="12">
        <f>I111*VLOOKUP($A111,'EU Ref Sc 2020 Energy intensive'!$A$5:$AE$33,J$2)</f>
        <v>8.2827822695618618</v>
      </c>
      <c r="K111" s="12">
        <f>J111*VLOOKUP($A111,'EU Ref Sc 2020 Energy intensive'!$A$5:$AE$33,K$2)</f>
        <v>8.3237857243098858</v>
      </c>
      <c r="L111" s="12">
        <f>K111*VLOOKUP($A111,'EU Ref Sc 2020 Energy intensive'!$A$5:$AE$33,L$2)</f>
        <v>8.3647891790579099</v>
      </c>
      <c r="M111" s="12">
        <f>L111*VLOOKUP($A111,'EU Ref Sc 2020 Energy intensive'!$A$5:$AE$33,M$2)</f>
        <v>8.4057926338059339</v>
      </c>
      <c r="N111" s="12">
        <f>M111*VLOOKUP($A111,'EU Ref Sc 2020 Energy intensive'!$A$5:$AE$33,N$2)</f>
        <v>8.4467960885539597</v>
      </c>
      <c r="O111" s="12">
        <f>N111*VLOOKUP($A111,'EU Ref Sc 2020 Energy intensive'!$A$5:$AE$33,O$2)</f>
        <v>8.2675455245582317</v>
      </c>
      <c r="P111" s="12">
        <f>O111*VLOOKUP($A111,'EU Ref Sc 2020 Energy intensive'!$A$5:$AE$33,P$2)</f>
        <v>8.0882949605625054</v>
      </c>
      <c r="Q111" s="12">
        <f>P111*VLOOKUP($A111,'EU Ref Sc 2020 Energy intensive'!$A$5:$AE$33,Q$2)</f>
        <v>7.9090443965667783</v>
      </c>
      <c r="R111" s="12">
        <f>Q111*VLOOKUP($A111,'EU Ref Sc 2020 Energy intensive'!$A$5:$AE$33,R$2)</f>
        <v>7.7297938325710511</v>
      </c>
      <c r="S111" s="12">
        <f>R111*VLOOKUP($A111,'EU Ref Sc 2020 Energy intensive'!$A$5:$AE$33,S$2)</f>
        <v>7.5505432685753222</v>
      </c>
      <c r="T111" s="12">
        <f>S111*VLOOKUP($A111,'EU Ref Sc 2020 Energy intensive'!$A$5:$AE$33,T$2)</f>
        <v>7.4898801613832449</v>
      </c>
      <c r="U111" s="12">
        <f>T111*VLOOKUP($A111,'EU Ref Sc 2020 Energy intensive'!$A$5:$AE$33,U$2)</f>
        <v>7.4292170541911684</v>
      </c>
      <c r="V111" s="12">
        <f>U111*VLOOKUP($A111,'EU Ref Sc 2020 Energy intensive'!$A$5:$AE$33,V$2)</f>
        <v>7.3685539469990911</v>
      </c>
      <c r="W111" s="12">
        <f>V111*VLOOKUP($A111,'EU Ref Sc 2020 Energy intensive'!$A$5:$AE$33,W$2)</f>
        <v>7.3078908398070137</v>
      </c>
      <c r="X111" s="12">
        <f>W111*VLOOKUP($A111,'EU Ref Sc 2020 Energy intensive'!$A$5:$AE$33,X$2)</f>
        <v>7.2472277326149364</v>
      </c>
      <c r="Y111" s="12">
        <f>X111*VLOOKUP($A111,'EU Ref Sc 2020 Energy intensive'!$A$5:$AE$33,Y$2)</f>
        <v>7.195009530910494</v>
      </c>
      <c r="Z111" s="12">
        <f>Y111*VLOOKUP($A111,'EU Ref Sc 2020 Energy intensive'!$A$5:$AE$33,Z$2)</f>
        <v>7.1427913292060516</v>
      </c>
      <c r="AA111" s="12">
        <f>Z111*VLOOKUP($A111,'EU Ref Sc 2020 Energy intensive'!$A$5:$AE$33,AA$2)</f>
        <v>7.0905731275016093</v>
      </c>
      <c r="AB111" s="12">
        <f>AA111*VLOOKUP($A111,'EU Ref Sc 2020 Energy intensive'!$A$5:$AE$33,AB$2)</f>
        <v>7.038354925797166</v>
      </c>
      <c r="AC111" s="12">
        <f>AB111*VLOOKUP($A111,'EU Ref Sc 2020 Energy intensive'!$A$5:$AE$33,AC$2)</f>
        <v>6.9861367240927237</v>
      </c>
      <c r="AD111" s="12">
        <f>AC111*VLOOKUP($A111,'EU Ref Sc 2020 Energy intensive'!$A$5:$AE$33,AD$2)</f>
        <v>6.971010574486936</v>
      </c>
      <c r="AE111" s="12">
        <f>AD111*VLOOKUP($A111,'EU Ref Sc 2020 Energy intensive'!$A$5:$AE$33,AE$2)</f>
        <v>6.9558844248811482</v>
      </c>
      <c r="AF111" s="12">
        <f>AE111*VLOOKUP($A111,'EU Ref Sc 2020 Energy intensive'!$A$5:$AE$33,AF$2)</f>
        <v>6.9407582752753605</v>
      </c>
      <c r="AG111" s="12">
        <f>AF111*VLOOKUP($A111,'EU Ref Sc 2020 Energy intensive'!$A$5:$AE$33,AG$2)</f>
        <v>6.9256321256695728</v>
      </c>
      <c r="AH111" s="12">
        <f>AG111*VLOOKUP($A111,'EU Ref Sc 2020 Energy intensive'!$A$5:$AE$33,AH$2)</f>
        <v>6.9105059760637868</v>
      </c>
      <c r="AI111" s="13">
        <f t="shared" ref="AI111:AR111" si="111">AH111</f>
        <v>6.9105059760637868</v>
      </c>
      <c r="AJ111" s="13">
        <f t="shared" si="111"/>
        <v>6.9105059760637868</v>
      </c>
      <c r="AK111" s="13">
        <f t="shared" si="111"/>
        <v>6.9105059760637868</v>
      </c>
      <c r="AL111" s="13">
        <f t="shared" si="111"/>
        <v>6.9105059760637868</v>
      </c>
      <c r="AM111" s="13">
        <f t="shared" si="111"/>
        <v>6.9105059760637868</v>
      </c>
      <c r="AN111" s="13">
        <f t="shared" si="111"/>
        <v>6.9105059760637868</v>
      </c>
      <c r="AO111" s="13">
        <f t="shared" si="111"/>
        <v>6.9105059760637868</v>
      </c>
      <c r="AP111" s="13">
        <f t="shared" si="111"/>
        <v>6.9105059760637868</v>
      </c>
      <c r="AQ111" s="13">
        <f t="shared" si="111"/>
        <v>6.9105059760637868</v>
      </c>
      <c r="AR111" s="13">
        <f t="shared" si="111"/>
        <v>6.9105059760637868</v>
      </c>
    </row>
    <row r="112" spans="1:44" x14ac:dyDescent="0.3">
      <c r="A112" t="s">
        <v>1410</v>
      </c>
      <c r="B112" t="s">
        <v>1392</v>
      </c>
      <c r="C112" t="s">
        <v>602</v>
      </c>
      <c r="D112" t="str">
        <f t="shared" si="99"/>
        <v>FRIMEC</v>
      </c>
      <c r="E112" s="2">
        <v>33.501800000000003</v>
      </c>
      <c r="F112" s="12">
        <f>E112*VLOOKUP($A112,'EU Ref Sc 2020 Energy intensive'!$A$5:$AE$33,F$2)</f>
        <v>35.042401078754338</v>
      </c>
      <c r="G112" s="12">
        <f>F112*VLOOKUP($A112,'EU Ref Sc 2020 Energy intensive'!$A$5:$AE$33,G$2)</f>
        <v>36.58300215750868</v>
      </c>
      <c r="H112" s="12">
        <f>G112*VLOOKUP($A112,'EU Ref Sc 2020 Energy intensive'!$A$5:$AE$33,H$2)</f>
        <v>38.123603236263016</v>
      </c>
      <c r="I112" s="12">
        <f>H112*VLOOKUP($A112,'EU Ref Sc 2020 Energy intensive'!$A$5:$AE$33,I$2)</f>
        <v>39.664204315017351</v>
      </c>
      <c r="J112" s="12">
        <f>I112*VLOOKUP($A112,'EU Ref Sc 2020 Energy intensive'!$A$5:$AE$33,J$2)</f>
        <v>39.861536643788895</v>
      </c>
      <c r="K112" s="12">
        <f>J112*VLOOKUP($A112,'EU Ref Sc 2020 Energy intensive'!$A$5:$AE$33,K$2)</f>
        <v>40.05886897256044</v>
      </c>
      <c r="L112" s="12">
        <f>K112*VLOOKUP($A112,'EU Ref Sc 2020 Energy intensive'!$A$5:$AE$33,L$2)</f>
        <v>40.256201301331984</v>
      </c>
      <c r="M112" s="12">
        <f>L112*VLOOKUP($A112,'EU Ref Sc 2020 Energy intensive'!$A$5:$AE$33,M$2)</f>
        <v>40.453533630103529</v>
      </c>
      <c r="N112" s="12">
        <f>M112*VLOOKUP($A112,'EU Ref Sc 2020 Energy intensive'!$A$5:$AE$33,N$2)</f>
        <v>40.65086595887508</v>
      </c>
      <c r="O112" s="12">
        <f>N112*VLOOKUP($A112,'EU Ref Sc 2020 Energy intensive'!$A$5:$AE$33,O$2)</f>
        <v>39.78820861831052</v>
      </c>
      <c r="P112" s="12">
        <f>O112*VLOOKUP($A112,'EU Ref Sc 2020 Energy intensive'!$A$5:$AE$33,P$2)</f>
        <v>38.92555127774596</v>
      </c>
      <c r="Q112" s="12">
        <f>P112*VLOOKUP($A112,'EU Ref Sc 2020 Energy intensive'!$A$5:$AE$33,Q$2)</f>
        <v>38.0628939371814</v>
      </c>
      <c r="R112" s="12">
        <f>Q112*VLOOKUP($A112,'EU Ref Sc 2020 Energy intensive'!$A$5:$AE$33,R$2)</f>
        <v>37.20023659661684</v>
      </c>
      <c r="S112" s="12">
        <f>R112*VLOOKUP($A112,'EU Ref Sc 2020 Energy intensive'!$A$5:$AE$33,S$2)</f>
        <v>36.337579256052273</v>
      </c>
      <c r="T112" s="12">
        <f>S112*VLOOKUP($A112,'EU Ref Sc 2020 Energy intensive'!$A$5:$AE$33,T$2)</f>
        <v>36.045633314270198</v>
      </c>
      <c r="U112" s="12">
        <f>T112*VLOOKUP($A112,'EU Ref Sc 2020 Energy intensive'!$A$5:$AE$33,U$2)</f>
        <v>35.75368737248813</v>
      </c>
      <c r="V112" s="12">
        <f>U112*VLOOKUP($A112,'EU Ref Sc 2020 Energy intensive'!$A$5:$AE$33,V$2)</f>
        <v>35.461741430706063</v>
      </c>
      <c r="W112" s="12">
        <f>V112*VLOOKUP($A112,'EU Ref Sc 2020 Energy intensive'!$A$5:$AE$33,W$2)</f>
        <v>35.169795488923988</v>
      </c>
      <c r="X112" s="12">
        <f>W112*VLOOKUP($A112,'EU Ref Sc 2020 Energy intensive'!$A$5:$AE$33,X$2)</f>
        <v>34.877849547141913</v>
      </c>
      <c r="Y112" s="12">
        <f>X112*VLOOKUP($A112,'EU Ref Sc 2020 Energy intensive'!$A$5:$AE$33,Y$2)</f>
        <v>34.626545372654121</v>
      </c>
      <c r="Z112" s="12">
        <f>Y112*VLOOKUP($A112,'EU Ref Sc 2020 Energy intensive'!$A$5:$AE$33,Z$2)</f>
        <v>34.375241198166329</v>
      </c>
      <c r="AA112" s="12">
        <f>Z112*VLOOKUP($A112,'EU Ref Sc 2020 Energy intensive'!$A$5:$AE$33,AA$2)</f>
        <v>34.123937023678536</v>
      </c>
      <c r="AB112" s="12">
        <f>AA112*VLOOKUP($A112,'EU Ref Sc 2020 Energy intensive'!$A$5:$AE$33,AB$2)</f>
        <v>33.872632849190737</v>
      </c>
      <c r="AC112" s="12">
        <f>AB112*VLOOKUP($A112,'EU Ref Sc 2020 Energy intensive'!$A$5:$AE$33,AC$2)</f>
        <v>33.621328674702944</v>
      </c>
      <c r="AD112" s="12">
        <f>AC112*VLOOKUP($A112,'EU Ref Sc 2020 Energy intensive'!$A$5:$AE$33,AD$2)</f>
        <v>33.548532898215335</v>
      </c>
      <c r="AE112" s="12">
        <f>AD112*VLOOKUP($A112,'EU Ref Sc 2020 Energy intensive'!$A$5:$AE$33,AE$2)</f>
        <v>33.475737121727725</v>
      </c>
      <c r="AF112" s="12">
        <f>AE112*VLOOKUP($A112,'EU Ref Sc 2020 Energy intensive'!$A$5:$AE$33,AF$2)</f>
        <v>33.402941345240123</v>
      </c>
      <c r="AG112" s="12">
        <f>AF112*VLOOKUP($A112,'EU Ref Sc 2020 Energy intensive'!$A$5:$AE$33,AG$2)</f>
        <v>33.330145568752513</v>
      </c>
      <c r="AH112" s="12">
        <f>AG112*VLOOKUP($A112,'EU Ref Sc 2020 Energy intensive'!$A$5:$AE$33,AH$2)</f>
        <v>33.257349792264918</v>
      </c>
      <c r="AI112" s="13">
        <f t="shared" ref="AI112:AR112" si="112">AH112</f>
        <v>33.257349792264918</v>
      </c>
      <c r="AJ112" s="13">
        <f t="shared" si="112"/>
        <v>33.257349792264918</v>
      </c>
      <c r="AK112" s="13">
        <f t="shared" si="112"/>
        <v>33.257349792264918</v>
      </c>
      <c r="AL112" s="13">
        <f t="shared" si="112"/>
        <v>33.257349792264918</v>
      </c>
      <c r="AM112" s="13">
        <f t="shared" si="112"/>
        <v>33.257349792264918</v>
      </c>
      <c r="AN112" s="13">
        <f t="shared" si="112"/>
        <v>33.257349792264918</v>
      </c>
      <c r="AO112" s="13">
        <f t="shared" si="112"/>
        <v>33.257349792264918</v>
      </c>
      <c r="AP112" s="13">
        <f t="shared" si="112"/>
        <v>33.257349792264918</v>
      </c>
      <c r="AQ112" s="13">
        <f t="shared" si="112"/>
        <v>33.257349792264918</v>
      </c>
      <c r="AR112" s="13">
        <f t="shared" si="112"/>
        <v>33.257349792264918</v>
      </c>
    </row>
    <row r="113" spans="1:44" x14ac:dyDescent="0.3">
      <c r="A113" t="s">
        <v>1411</v>
      </c>
      <c r="B113" t="s">
        <v>1392</v>
      </c>
      <c r="C113" t="s">
        <v>657</v>
      </c>
      <c r="D113" t="str">
        <f t="shared" si="99"/>
        <v>HRIMEC</v>
      </c>
      <c r="E113" s="2">
        <v>0.48480000000000001</v>
      </c>
      <c r="F113" s="12">
        <f>E113*VLOOKUP($A113,'EU Ref Sc 2020 Energy intensive'!$A$5:$AE$33,F$2)</f>
        <v>0.49020410521012581</v>
      </c>
      <c r="G113" s="12">
        <f>F113*VLOOKUP($A113,'EU Ref Sc 2020 Energy intensive'!$A$5:$AE$33,G$2)</f>
        <v>0.4956082104202516</v>
      </c>
      <c r="H113" s="12">
        <f>G113*VLOOKUP($A113,'EU Ref Sc 2020 Energy intensive'!$A$5:$AE$33,H$2)</f>
        <v>0.50101231563037751</v>
      </c>
      <c r="I113" s="12">
        <f>H113*VLOOKUP($A113,'EU Ref Sc 2020 Energy intensive'!$A$5:$AE$33,I$2)</f>
        <v>0.5064164208405032</v>
      </c>
      <c r="J113" s="12">
        <f>I113*VLOOKUP($A113,'EU Ref Sc 2020 Energy intensive'!$A$5:$AE$33,J$2)</f>
        <v>0.49766422368644453</v>
      </c>
      <c r="K113" s="12">
        <f>J113*VLOOKUP($A113,'EU Ref Sc 2020 Energy intensive'!$A$5:$AE$33,K$2)</f>
        <v>0.48891202653238586</v>
      </c>
      <c r="L113" s="12">
        <f>K113*VLOOKUP($A113,'EU Ref Sc 2020 Energy intensive'!$A$5:$AE$33,L$2)</f>
        <v>0.48015982937832724</v>
      </c>
      <c r="M113" s="12">
        <f>L113*VLOOKUP($A113,'EU Ref Sc 2020 Energy intensive'!$A$5:$AE$33,M$2)</f>
        <v>0.47140763222426862</v>
      </c>
      <c r="N113" s="12">
        <f>M113*VLOOKUP($A113,'EU Ref Sc 2020 Energy intensive'!$A$5:$AE$33,N$2)</f>
        <v>0.46265543507020995</v>
      </c>
      <c r="O113" s="12">
        <f>N113*VLOOKUP($A113,'EU Ref Sc 2020 Energy intensive'!$A$5:$AE$33,O$2)</f>
        <v>0.45855288018634532</v>
      </c>
      <c r="P113" s="12">
        <f>O113*VLOOKUP($A113,'EU Ref Sc 2020 Energy intensive'!$A$5:$AE$33,P$2)</f>
        <v>0.4544503253024807</v>
      </c>
      <c r="Q113" s="12">
        <f>P113*VLOOKUP($A113,'EU Ref Sc 2020 Energy intensive'!$A$5:$AE$33,Q$2)</f>
        <v>0.45034777041861607</v>
      </c>
      <c r="R113" s="12">
        <f>Q113*VLOOKUP($A113,'EU Ref Sc 2020 Energy intensive'!$A$5:$AE$33,R$2)</f>
        <v>0.44624521553475144</v>
      </c>
      <c r="S113" s="12">
        <f>R113*VLOOKUP($A113,'EU Ref Sc 2020 Energy intensive'!$A$5:$AE$33,S$2)</f>
        <v>0.44214266065088681</v>
      </c>
      <c r="T113" s="12">
        <f>S113*VLOOKUP($A113,'EU Ref Sc 2020 Energy intensive'!$A$5:$AE$33,T$2)</f>
        <v>0.44414334237812425</v>
      </c>
      <c r="U113" s="12">
        <f>T113*VLOOKUP($A113,'EU Ref Sc 2020 Energy intensive'!$A$5:$AE$33,U$2)</f>
        <v>0.44614402410536169</v>
      </c>
      <c r="V113" s="12">
        <f>U113*VLOOKUP($A113,'EU Ref Sc 2020 Energy intensive'!$A$5:$AE$33,V$2)</f>
        <v>0.44814470583259913</v>
      </c>
      <c r="W113" s="12">
        <f>V113*VLOOKUP($A113,'EU Ref Sc 2020 Energy intensive'!$A$5:$AE$33,W$2)</f>
        <v>0.45014538755983652</v>
      </c>
      <c r="X113" s="12">
        <f>W113*VLOOKUP($A113,'EU Ref Sc 2020 Energy intensive'!$A$5:$AE$33,X$2)</f>
        <v>0.45214606928707396</v>
      </c>
      <c r="Y113" s="12">
        <f>X113*VLOOKUP($A113,'EU Ref Sc 2020 Energy intensive'!$A$5:$AE$33,Y$2)</f>
        <v>0.45421723020564225</v>
      </c>
      <c r="Z113" s="12">
        <f>Y113*VLOOKUP($A113,'EU Ref Sc 2020 Energy intensive'!$A$5:$AE$33,Z$2)</f>
        <v>0.45628839112421049</v>
      </c>
      <c r="AA113" s="12">
        <f>Z113*VLOOKUP($A113,'EU Ref Sc 2020 Energy intensive'!$A$5:$AE$33,AA$2)</f>
        <v>0.45835955204277878</v>
      </c>
      <c r="AB113" s="12">
        <f>AA113*VLOOKUP($A113,'EU Ref Sc 2020 Energy intensive'!$A$5:$AE$33,AB$2)</f>
        <v>0.46043071296134708</v>
      </c>
      <c r="AC113" s="12">
        <f>AB113*VLOOKUP($A113,'EU Ref Sc 2020 Energy intensive'!$A$5:$AE$33,AC$2)</f>
        <v>0.46250187387991526</v>
      </c>
      <c r="AD113" s="12">
        <f>AC113*VLOOKUP($A113,'EU Ref Sc 2020 Energy intensive'!$A$5:$AE$33,AD$2)</f>
        <v>0.4638565008833323</v>
      </c>
      <c r="AE113" s="12">
        <f>AD113*VLOOKUP($A113,'EU Ref Sc 2020 Energy intensive'!$A$5:$AE$33,AE$2)</f>
        <v>0.4652111278867494</v>
      </c>
      <c r="AF113" s="12">
        <f>AE113*VLOOKUP($A113,'EU Ref Sc 2020 Energy intensive'!$A$5:$AE$33,AF$2)</f>
        <v>0.4665657548901665</v>
      </c>
      <c r="AG113" s="12">
        <f>AF113*VLOOKUP($A113,'EU Ref Sc 2020 Energy intensive'!$A$5:$AE$33,AG$2)</f>
        <v>0.46792038189358354</v>
      </c>
      <c r="AH113" s="12">
        <f>AG113*VLOOKUP($A113,'EU Ref Sc 2020 Energy intensive'!$A$5:$AE$33,AH$2)</f>
        <v>0.46927500889700063</v>
      </c>
      <c r="AI113" s="13">
        <f t="shared" ref="AI113:AR113" si="113">AH113</f>
        <v>0.46927500889700063</v>
      </c>
      <c r="AJ113" s="13">
        <f t="shared" si="113"/>
        <v>0.46927500889700063</v>
      </c>
      <c r="AK113" s="13">
        <f t="shared" si="113"/>
        <v>0.46927500889700063</v>
      </c>
      <c r="AL113" s="13">
        <f t="shared" si="113"/>
        <v>0.46927500889700063</v>
      </c>
      <c r="AM113" s="13">
        <f t="shared" si="113"/>
        <v>0.46927500889700063</v>
      </c>
      <c r="AN113" s="13">
        <f t="shared" si="113"/>
        <v>0.46927500889700063</v>
      </c>
      <c r="AO113" s="13">
        <f t="shared" si="113"/>
        <v>0.46927500889700063</v>
      </c>
      <c r="AP113" s="13">
        <f t="shared" si="113"/>
        <v>0.46927500889700063</v>
      </c>
      <c r="AQ113" s="13">
        <f t="shared" si="113"/>
        <v>0.46927500889700063</v>
      </c>
      <c r="AR113" s="13">
        <f t="shared" si="113"/>
        <v>0.46927500889700063</v>
      </c>
    </row>
    <row r="114" spans="1:44" x14ac:dyDescent="0.3">
      <c r="A114" t="s">
        <v>1412</v>
      </c>
      <c r="B114" t="s">
        <v>1392</v>
      </c>
      <c r="C114" t="s">
        <v>712</v>
      </c>
      <c r="D114" t="str">
        <f t="shared" si="99"/>
        <v>HUIMEC</v>
      </c>
      <c r="E114" s="2">
        <v>5.4646999999999997</v>
      </c>
      <c r="F114" s="12">
        <f>E114*VLOOKUP($A114,'EU Ref Sc 2020 Energy intensive'!$A$5:$AE$33,F$2)</f>
        <v>5.6140003304440222</v>
      </c>
      <c r="G114" s="12">
        <f>F114*VLOOKUP($A114,'EU Ref Sc 2020 Energy intensive'!$A$5:$AE$33,G$2)</f>
        <v>5.7633006608880457</v>
      </c>
      <c r="H114" s="12">
        <f>G114*VLOOKUP($A114,'EU Ref Sc 2020 Energy intensive'!$A$5:$AE$33,H$2)</f>
        <v>5.9126009913320692</v>
      </c>
      <c r="I114" s="12">
        <f>H114*VLOOKUP($A114,'EU Ref Sc 2020 Energy intensive'!$A$5:$AE$33,I$2)</f>
        <v>6.0619013217760926</v>
      </c>
      <c r="J114" s="12">
        <f>I114*VLOOKUP($A114,'EU Ref Sc 2020 Energy intensive'!$A$5:$AE$33,J$2)</f>
        <v>6.1632474844080294</v>
      </c>
      <c r="K114" s="12">
        <f>J114*VLOOKUP($A114,'EU Ref Sc 2020 Energy intensive'!$A$5:$AE$33,K$2)</f>
        <v>6.264593647039967</v>
      </c>
      <c r="L114" s="12">
        <f>K114*VLOOKUP($A114,'EU Ref Sc 2020 Energy intensive'!$A$5:$AE$33,L$2)</f>
        <v>6.3659398096719046</v>
      </c>
      <c r="M114" s="12">
        <f>L114*VLOOKUP($A114,'EU Ref Sc 2020 Energy intensive'!$A$5:$AE$33,M$2)</f>
        <v>6.4672859723038423</v>
      </c>
      <c r="N114" s="12">
        <f>M114*VLOOKUP($A114,'EU Ref Sc 2020 Energy intensive'!$A$5:$AE$33,N$2)</f>
        <v>6.5686321349357781</v>
      </c>
      <c r="O114" s="12">
        <f>N114*VLOOKUP($A114,'EU Ref Sc 2020 Energy intensive'!$A$5:$AE$33,O$2)</f>
        <v>6.3417114004118487</v>
      </c>
      <c r="P114" s="12">
        <f>O114*VLOOKUP($A114,'EU Ref Sc 2020 Energy intensive'!$A$5:$AE$33,P$2)</f>
        <v>6.1147906658879201</v>
      </c>
      <c r="Q114" s="12">
        <f>P114*VLOOKUP($A114,'EU Ref Sc 2020 Energy intensive'!$A$5:$AE$33,Q$2)</f>
        <v>5.8878699313639906</v>
      </c>
      <c r="R114" s="12">
        <f>Q114*VLOOKUP($A114,'EU Ref Sc 2020 Energy intensive'!$A$5:$AE$33,R$2)</f>
        <v>5.660949196840062</v>
      </c>
      <c r="S114" s="12">
        <f>R114*VLOOKUP($A114,'EU Ref Sc 2020 Energy intensive'!$A$5:$AE$33,S$2)</f>
        <v>5.4340284623161352</v>
      </c>
      <c r="T114" s="12">
        <f>S114*VLOOKUP($A114,'EU Ref Sc 2020 Energy intensive'!$A$5:$AE$33,T$2)</f>
        <v>5.3929821375864515</v>
      </c>
      <c r="U114" s="12">
        <f>T114*VLOOKUP($A114,'EU Ref Sc 2020 Energy intensive'!$A$5:$AE$33,U$2)</f>
        <v>5.3519358128567669</v>
      </c>
      <c r="V114" s="12">
        <f>U114*VLOOKUP($A114,'EU Ref Sc 2020 Energy intensive'!$A$5:$AE$33,V$2)</f>
        <v>5.3108894881270823</v>
      </c>
      <c r="W114" s="12">
        <f>V114*VLOOKUP($A114,'EU Ref Sc 2020 Energy intensive'!$A$5:$AE$33,W$2)</f>
        <v>5.2698431633973977</v>
      </c>
      <c r="X114" s="12">
        <f>W114*VLOOKUP($A114,'EU Ref Sc 2020 Energy intensive'!$A$5:$AE$33,X$2)</f>
        <v>5.2287968386677148</v>
      </c>
      <c r="Y114" s="12">
        <f>X114*VLOOKUP($A114,'EU Ref Sc 2020 Energy intensive'!$A$5:$AE$33,Y$2)</f>
        <v>5.2082792695566891</v>
      </c>
      <c r="Z114" s="12">
        <f>Y114*VLOOKUP($A114,'EU Ref Sc 2020 Energy intensive'!$A$5:$AE$33,Z$2)</f>
        <v>5.1877617004456633</v>
      </c>
      <c r="AA114" s="12">
        <f>Z114*VLOOKUP($A114,'EU Ref Sc 2020 Energy intensive'!$A$5:$AE$33,AA$2)</f>
        <v>5.1672441313346376</v>
      </c>
      <c r="AB114" s="12">
        <f>AA114*VLOOKUP($A114,'EU Ref Sc 2020 Energy intensive'!$A$5:$AE$33,AB$2)</f>
        <v>5.1467265622236118</v>
      </c>
      <c r="AC114" s="12">
        <f>AB114*VLOOKUP($A114,'EU Ref Sc 2020 Energy intensive'!$A$5:$AE$33,AC$2)</f>
        <v>5.126208993112586</v>
      </c>
      <c r="AD114" s="12">
        <f>AC114*VLOOKUP($A114,'EU Ref Sc 2020 Energy intensive'!$A$5:$AE$33,AD$2)</f>
        <v>5.1295481684013895</v>
      </c>
      <c r="AE114" s="12">
        <f>AD114*VLOOKUP($A114,'EU Ref Sc 2020 Energy intensive'!$A$5:$AE$33,AE$2)</f>
        <v>5.1328873436901938</v>
      </c>
      <c r="AF114" s="12">
        <f>AE114*VLOOKUP($A114,'EU Ref Sc 2020 Energy intensive'!$A$5:$AE$33,AF$2)</f>
        <v>5.1362265189789973</v>
      </c>
      <c r="AG114" s="12">
        <f>AF114*VLOOKUP($A114,'EU Ref Sc 2020 Energy intensive'!$A$5:$AE$33,AG$2)</f>
        <v>5.1395656942678007</v>
      </c>
      <c r="AH114" s="12">
        <f>AG114*VLOOKUP($A114,'EU Ref Sc 2020 Energy intensive'!$A$5:$AE$33,AH$2)</f>
        <v>5.1429048695566042</v>
      </c>
      <c r="AI114" s="13">
        <f t="shared" ref="AI114:AR114" si="114">AH114</f>
        <v>5.1429048695566042</v>
      </c>
      <c r="AJ114" s="13">
        <f t="shared" si="114"/>
        <v>5.1429048695566042</v>
      </c>
      <c r="AK114" s="13">
        <f t="shared" si="114"/>
        <v>5.1429048695566042</v>
      </c>
      <c r="AL114" s="13">
        <f t="shared" si="114"/>
        <v>5.1429048695566042</v>
      </c>
      <c r="AM114" s="13">
        <f t="shared" si="114"/>
        <v>5.1429048695566042</v>
      </c>
      <c r="AN114" s="13">
        <f t="shared" si="114"/>
        <v>5.1429048695566042</v>
      </c>
      <c r="AO114" s="13">
        <f t="shared" si="114"/>
        <v>5.1429048695566042</v>
      </c>
      <c r="AP114" s="13">
        <f t="shared" si="114"/>
        <v>5.1429048695566042</v>
      </c>
      <c r="AQ114" s="13">
        <f t="shared" si="114"/>
        <v>5.1429048695566042</v>
      </c>
      <c r="AR114" s="13">
        <f t="shared" si="114"/>
        <v>5.1429048695566042</v>
      </c>
    </row>
    <row r="115" spans="1:44" x14ac:dyDescent="0.3">
      <c r="A115" t="s">
        <v>1413</v>
      </c>
      <c r="B115" t="s">
        <v>1392</v>
      </c>
      <c r="C115" t="s">
        <v>767</v>
      </c>
      <c r="D115" t="str">
        <f t="shared" si="99"/>
        <v>IEIMEC</v>
      </c>
      <c r="E115" s="2">
        <v>1.7939000000000001</v>
      </c>
      <c r="F115" s="12">
        <f>E115*VLOOKUP($A115,'EU Ref Sc 2020 Energy intensive'!$A$5:$AE$33,F$2)</f>
        <v>1.7909193062253148</v>
      </c>
      <c r="G115" s="12">
        <f>F115*VLOOKUP($A115,'EU Ref Sc 2020 Energy intensive'!$A$5:$AE$33,G$2)</f>
        <v>1.7879386124506293</v>
      </c>
      <c r="H115" s="12">
        <f>G115*VLOOKUP($A115,'EU Ref Sc 2020 Energy intensive'!$A$5:$AE$33,H$2)</f>
        <v>1.7849579186759439</v>
      </c>
      <c r="I115" s="12">
        <f>H115*VLOOKUP($A115,'EU Ref Sc 2020 Energy intensive'!$A$5:$AE$33,I$2)</f>
        <v>1.7819772249012591</v>
      </c>
      <c r="J115" s="12">
        <f>I115*VLOOKUP($A115,'EU Ref Sc 2020 Energy intensive'!$A$5:$AE$33,J$2)</f>
        <v>1.7910754154425956</v>
      </c>
      <c r="K115" s="12">
        <f>J115*VLOOKUP($A115,'EU Ref Sc 2020 Energy intensive'!$A$5:$AE$33,K$2)</f>
        <v>1.8001736059839324</v>
      </c>
      <c r="L115" s="12">
        <f>K115*VLOOKUP($A115,'EU Ref Sc 2020 Energy intensive'!$A$5:$AE$33,L$2)</f>
        <v>1.8092717965252689</v>
      </c>
      <c r="M115" s="12">
        <f>L115*VLOOKUP($A115,'EU Ref Sc 2020 Energy intensive'!$A$5:$AE$33,M$2)</f>
        <v>1.8183699870666055</v>
      </c>
      <c r="N115" s="12">
        <f>M115*VLOOKUP($A115,'EU Ref Sc 2020 Energy intensive'!$A$5:$AE$33,N$2)</f>
        <v>1.8274681776079429</v>
      </c>
      <c r="O115" s="12">
        <f>N115*VLOOKUP($A115,'EU Ref Sc 2020 Energy intensive'!$A$5:$AE$33,O$2)</f>
        <v>1.7770940545067593</v>
      </c>
      <c r="P115" s="12">
        <f>O115*VLOOKUP($A115,'EU Ref Sc 2020 Energy intensive'!$A$5:$AE$33,P$2)</f>
        <v>1.7267199314055757</v>
      </c>
      <c r="Q115" s="12">
        <f>P115*VLOOKUP($A115,'EU Ref Sc 2020 Energy intensive'!$A$5:$AE$33,Q$2)</f>
        <v>1.6763458083043918</v>
      </c>
      <c r="R115" s="12">
        <f>Q115*VLOOKUP($A115,'EU Ref Sc 2020 Energy intensive'!$A$5:$AE$33,R$2)</f>
        <v>1.6259716852032082</v>
      </c>
      <c r="S115" s="12">
        <f>R115*VLOOKUP($A115,'EU Ref Sc 2020 Energy intensive'!$A$5:$AE$33,S$2)</f>
        <v>1.5755975621020246</v>
      </c>
      <c r="T115" s="12">
        <f>S115*VLOOKUP($A115,'EU Ref Sc 2020 Energy intensive'!$A$5:$AE$33,T$2)</f>
        <v>1.5748496159096284</v>
      </c>
      <c r="U115" s="12">
        <f>T115*VLOOKUP($A115,'EU Ref Sc 2020 Energy intensive'!$A$5:$AE$33,U$2)</f>
        <v>1.5741016697172321</v>
      </c>
      <c r="V115" s="12">
        <f>U115*VLOOKUP($A115,'EU Ref Sc 2020 Energy intensive'!$A$5:$AE$33,V$2)</f>
        <v>1.5733537235248356</v>
      </c>
      <c r="W115" s="12">
        <f>V115*VLOOKUP($A115,'EU Ref Sc 2020 Energy intensive'!$A$5:$AE$33,W$2)</f>
        <v>1.5726057773324393</v>
      </c>
      <c r="X115" s="12">
        <f>W115*VLOOKUP($A115,'EU Ref Sc 2020 Energy intensive'!$A$5:$AE$33,X$2)</f>
        <v>1.5718578311400424</v>
      </c>
      <c r="Y115" s="12">
        <f>X115*VLOOKUP($A115,'EU Ref Sc 2020 Energy intensive'!$A$5:$AE$33,Y$2)</f>
        <v>1.567230912029036</v>
      </c>
      <c r="Z115" s="12">
        <f>Y115*VLOOKUP($A115,'EU Ref Sc 2020 Energy intensive'!$A$5:$AE$33,Z$2)</f>
        <v>1.5626039929180295</v>
      </c>
      <c r="AA115" s="12">
        <f>Z115*VLOOKUP($A115,'EU Ref Sc 2020 Energy intensive'!$A$5:$AE$33,AA$2)</f>
        <v>1.5579770738070231</v>
      </c>
      <c r="AB115" s="12">
        <f>AA115*VLOOKUP($A115,'EU Ref Sc 2020 Energy intensive'!$A$5:$AE$33,AB$2)</f>
        <v>1.5533501546960167</v>
      </c>
      <c r="AC115" s="12">
        <f>AB115*VLOOKUP($A115,'EU Ref Sc 2020 Energy intensive'!$A$5:$AE$33,AC$2)</f>
        <v>1.54872323558501</v>
      </c>
      <c r="AD115" s="12">
        <f>AC115*VLOOKUP($A115,'EU Ref Sc 2020 Energy intensive'!$A$5:$AE$33,AD$2)</f>
        <v>1.5453653152021796</v>
      </c>
      <c r="AE115" s="12">
        <f>AD115*VLOOKUP($A115,'EU Ref Sc 2020 Energy intensive'!$A$5:$AE$33,AE$2)</f>
        <v>1.5420073948193491</v>
      </c>
      <c r="AF115" s="12">
        <f>AE115*VLOOKUP($A115,'EU Ref Sc 2020 Energy intensive'!$A$5:$AE$33,AF$2)</f>
        <v>1.5386494744365187</v>
      </c>
      <c r="AG115" s="12">
        <f>AF115*VLOOKUP($A115,'EU Ref Sc 2020 Energy intensive'!$A$5:$AE$33,AG$2)</f>
        <v>1.5352915540536882</v>
      </c>
      <c r="AH115" s="12">
        <f>AG115*VLOOKUP($A115,'EU Ref Sc 2020 Energy intensive'!$A$5:$AE$33,AH$2)</f>
        <v>1.5319336336708584</v>
      </c>
      <c r="AI115" s="13">
        <f t="shared" ref="AI115:AR115" si="115">AH115</f>
        <v>1.5319336336708584</v>
      </c>
      <c r="AJ115" s="13">
        <f t="shared" si="115"/>
        <v>1.5319336336708584</v>
      </c>
      <c r="AK115" s="13">
        <f t="shared" si="115"/>
        <v>1.5319336336708584</v>
      </c>
      <c r="AL115" s="13">
        <f t="shared" si="115"/>
        <v>1.5319336336708584</v>
      </c>
      <c r="AM115" s="13">
        <f t="shared" si="115"/>
        <v>1.5319336336708584</v>
      </c>
      <c r="AN115" s="13">
        <f t="shared" si="115"/>
        <v>1.5319336336708584</v>
      </c>
      <c r="AO115" s="13">
        <f t="shared" si="115"/>
        <v>1.5319336336708584</v>
      </c>
      <c r="AP115" s="13">
        <f t="shared" si="115"/>
        <v>1.5319336336708584</v>
      </c>
      <c r="AQ115" s="13">
        <f t="shared" si="115"/>
        <v>1.5319336336708584</v>
      </c>
      <c r="AR115" s="13">
        <f t="shared" si="115"/>
        <v>1.5319336336708584</v>
      </c>
    </row>
    <row r="116" spans="1:44" x14ac:dyDescent="0.3">
      <c r="A116" t="s">
        <v>1414</v>
      </c>
      <c r="B116" t="s">
        <v>1392</v>
      </c>
      <c r="C116" t="s">
        <v>822</v>
      </c>
      <c r="D116" t="str">
        <f t="shared" si="99"/>
        <v>ITIMEC</v>
      </c>
      <c r="E116" s="2">
        <v>23.477499999999999</v>
      </c>
      <c r="F116" s="12">
        <f>E116*VLOOKUP($A116,'EU Ref Sc 2020 Energy intensive'!$A$5:$AE$33,F$2)</f>
        <v>23.63734546260067</v>
      </c>
      <c r="G116" s="12">
        <f>F116*VLOOKUP($A116,'EU Ref Sc 2020 Energy intensive'!$A$5:$AE$33,G$2)</f>
        <v>23.797190925201345</v>
      </c>
      <c r="H116" s="12">
        <f>G116*VLOOKUP($A116,'EU Ref Sc 2020 Energy intensive'!$A$5:$AE$33,H$2)</f>
        <v>23.95703638780202</v>
      </c>
      <c r="I116" s="12">
        <f>H116*VLOOKUP($A116,'EU Ref Sc 2020 Energy intensive'!$A$5:$AE$33,I$2)</f>
        <v>24.116881850402695</v>
      </c>
      <c r="J116" s="12">
        <f>I116*VLOOKUP($A116,'EU Ref Sc 2020 Energy intensive'!$A$5:$AE$33,J$2)</f>
        <v>23.963533972423871</v>
      </c>
      <c r="K116" s="12">
        <f>J116*VLOOKUP($A116,'EU Ref Sc 2020 Energy intensive'!$A$5:$AE$33,K$2)</f>
        <v>23.810186094445047</v>
      </c>
      <c r="L116" s="12">
        <f>K116*VLOOKUP($A116,'EU Ref Sc 2020 Energy intensive'!$A$5:$AE$33,L$2)</f>
        <v>23.656838216466223</v>
      </c>
      <c r="M116" s="12">
        <f>L116*VLOOKUP($A116,'EU Ref Sc 2020 Energy intensive'!$A$5:$AE$33,M$2)</f>
        <v>23.503490338487399</v>
      </c>
      <c r="N116" s="12">
        <f>M116*VLOOKUP($A116,'EU Ref Sc 2020 Energy intensive'!$A$5:$AE$33,N$2)</f>
        <v>23.350142460508579</v>
      </c>
      <c r="O116" s="12">
        <f>N116*VLOOKUP($A116,'EU Ref Sc 2020 Energy intensive'!$A$5:$AE$33,O$2)</f>
        <v>23.024051071208255</v>
      </c>
      <c r="P116" s="12">
        <f>O116*VLOOKUP($A116,'EU Ref Sc 2020 Energy intensive'!$A$5:$AE$33,P$2)</f>
        <v>22.697959681907928</v>
      </c>
      <c r="Q116" s="12">
        <f>P116*VLOOKUP($A116,'EU Ref Sc 2020 Energy intensive'!$A$5:$AE$33,Q$2)</f>
        <v>22.371868292607601</v>
      </c>
      <c r="R116" s="12">
        <f>Q116*VLOOKUP($A116,'EU Ref Sc 2020 Energy intensive'!$A$5:$AE$33,R$2)</f>
        <v>22.045776903307274</v>
      </c>
      <c r="S116" s="12">
        <f>R116*VLOOKUP($A116,'EU Ref Sc 2020 Energy intensive'!$A$5:$AE$33,S$2)</f>
        <v>21.719685514006951</v>
      </c>
      <c r="T116" s="12">
        <f>S116*VLOOKUP($A116,'EU Ref Sc 2020 Energy intensive'!$A$5:$AE$33,T$2)</f>
        <v>21.370191333992693</v>
      </c>
      <c r="U116" s="12">
        <f>T116*VLOOKUP($A116,'EU Ref Sc 2020 Energy intensive'!$A$5:$AE$33,U$2)</f>
        <v>21.020697153978439</v>
      </c>
      <c r="V116" s="12">
        <f>U116*VLOOKUP($A116,'EU Ref Sc 2020 Energy intensive'!$A$5:$AE$33,V$2)</f>
        <v>20.671202973964181</v>
      </c>
      <c r="W116" s="12">
        <f>V116*VLOOKUP($A116,'EU Ref Sc 2020 Energy intensive'!$A$5:$AE$33,W$2)</f>
        <v>20.321708793949927</v>
      </c>
      <c r="X116" s="12">
        <f>W116*VLOOKUP($A116,'EU Ref Sc 2020 Energy intensive'!$A$5:$AE$33,X$2)</f>
        <v>19.97221461393567</v>
      </c>
      <c r="Y116" s="12">
        <f>X116*VLOOKUP($A116,'EU Ref Sc 2020 Energy intensive'!$A$5:$AE$33,Y$2)</f>
        <v>19.729210906837832</v>
      </c>
      <c r="Z116" s="12">
        <f>Y116*VLOOKUP($A116,'EU Ref Sc 2020 Energy intensive'!$A$5:$AE$33,Z$2)</f>
        <v>19.486207199739994</v>
      </c>
      <c r="AA116" s="12">
        <f>Z116*VLOOKUP($A116,'EU Ref Sc 2020 Energy intensive'!$A$5:$AE$33,AA$2)</f>
        <v>19.243203492642156</v>
      </c>
      <c r="AB116" s="12">
        <f>AA116*VLOOKUP($A116,'EU Ref Sc 2020 Energy intensive'!$A$5:$AE$33,AB$2)</f>
        <v>19.000199785544318</v>
      </c>
      <c r="AC116" s="12">
        <f>AB116*VLOOKUP($A116,'EU Ref Sc 2020 Energy intensive'!$A$5:$AE$33,AC$2)</f>
        <v>18.757196078446476</v>
      </c>
      <c r="AD116" s="12">
        <f>AC116*VLOOKUP($A116,'EU Ref Sc 2020 Energy intensive'!$A$5:$AE$33,AD$2)</f>
        <v>19.010684155310326</v>
      </c>
      <c r="AE116" s="12">
        <f>AD116*VLOOKUP($A116,'EU Ref Sc 2020 Energy intensive'!$A$5:$AE$33,AE$2)</f>
        <v>19.264172232174172</v>
      </c>
      <c r="AF116" s="12">
        <f>AE116*VLOOKUP($A116,'EU Ref Sc 2020 Energy intensive'!$A$5:$AE$33,AF$2)</f>
        <v>19.517660309038018</v>
      </c>
      <c r="AG116" s="12">
        <f>AF116*VLOOKUP($A116,'EU Ref Sc 2020 Energy intensive'!$A$5:$AE$33,AG$2)</f>
        <v>19.771148385901864</v>
      </c>
      <c r="AH116" s="12">
        <f>AG116*VLOOKUP($A116,'EU Ref Sc 2020 Energy intensive'!$A$5:$AE$33,AH$2)</f>
        <v>20.024636462765717</v>
      </c>
      <c r="AI116" s="13">
        <f t="shared" ref="AI116:AR116" si="116">AH116</f>
        <v>20.024636462765717</v>
      </c>
      <c r="AJ116" s="13">
        <f t="shared" si="116"/>
        <v>20.024636462765717</v>
      </c>
      <c r="AK116" s="13">
        <f t="shared" si="116"/>
        <v>20.024636462765717</v>
      </c>
      <c r="AL116" s="13">
        <f t="shared" si="116"/>
        <v>20.024636462765717</v>
      </c>
      <c r="AM116" s="13">
        <f t="shared" si="116"/>
        <v>20.024636462765717</v>
      </c>
      <c r="AN116" s="13">
        <f t="shared" si="116"/>
        <v>20.024636462765717</v>
      </c>
      <c r="AO116" s="13">
        <f t="shared" si="116"/>
        <v>20.024636462765717</v>
      </c>
      <c r="AP116" s="13">
        <f t="shared" si="116"/>
        <v>20.024636462765717</v>
      </c>
      <c r="AQ116" s="13">
        <f t="shared" si="116"/>
        <v>20.024636462765717</v>
      </c>
      <c r="AR116" s="13">
        <f t="shared" si="116"/>
        <v>20.024636462765717</v>
      </c>
    </row>
    <row r="117" spans="1:44" x14ac:dyDescent="0.3">
      <c r="A117" t="s">
        <v>1415</v>
      </c>
      <c r="B117" t="s">
        <v>1392</v>
      </c>
      <c r="C117" t="s">
        <v>877</v>
      </c>
      <c r="D117" t="str">
        <f t="shared" si="99"/>
        <v>LTIMEC</v>
      </c>
      <c r="E117" s="2">
        <v>1.0817000000000001</v>
      </c>
      <c r="F117" s="12">
        <f>E117*VLOOKUP($A117,'EU Ref Sc 2020 Energy intensive'!$A$5:$AE$33,F$2)</f>
        <v>1.0898808154304449</v>
      </c>
      <c r="G117" s="12">
        <f>F117*VLOOKUP($A117,'EU Ref Sc 2020 Energy intensive'!$A$5:$AE$33,G$2)</f>
        <v>1.0980616308608897</v>
      </c>
      <c r="H117" s="12">
        <f>G117*VLOOKUP($A117,'EU Ref Sc 2020 Energy intensive'!$A$5:$AE$33,H$2)</f>
        <v>1.1062424462913345</v>
      </c>
      <c r="I117" s="12">
        <f>H117*VLOOKUP($A117,'EU Ref Sc 2020 Energy intensive'!$A$5:$AE$33,I$2)</f>
        <v>1.1144232617217795</v>
      </c>
      <c r="J117" s="12">
        <f>I117*VLOOKUP($A117,'EU Ref Sc 2020 Energy intensive'!$A$5:$AE$33,J$2)</f>
        <v>1.1046819102088834</v>
      </c>
      <c r="K117" s="12">
        <f>J117*VLOOKUP($A117,'EU Ref Sc 2020 Energy intensive'!$A$5:$AE$33,K$2)</f>
        <v>1.0949405586959873</v>
      </c>
      <c r="L117" s="12">
        <f>K117*VLOOKUP($A117,'EU Ref Sc 2020 Energy intensive'!$A$5:$AE$33,L$2)</f>
        <v>1.0851992071830909</v>
      </c>
      <c r="M117" s="12">
        <f>L117*VLOOKUP($A117,'EU Ref Sc 2020 Energy intensive'!$A$5:$AE$33,M$2)</f>
        <v>1.0754578556701946</v>
      </c>
      <c r="N117" s="12">
        <f>M117*VLOOKUP($A117,'EU Ref Sc 2020 Energy intensive'!$A$5:$AE$33,N$2)</f>
        <v>1.065716504157298</v>
      </c>
      <c r="O117" s="12">
        <f>N117*VLOOKUP($A117,'EU Ref Sc 2020 Energy intensive'!$A$5:$AE$33,O$2)</f>
        <v>1.0449709540569205</v>
      </c>
      <c r="P117" s="12">
        <f>O117*VLOOKUP($A117,'EU Ref Sc 2020 Energy intensive'!$A$5:$AE$33,P$2)</f>
        <v>1.024225403956543</v>
      </c>
      <c r="Q117" s="12">
        <f>P117*VLOOKUP($A117,'EU Ref Sc 2020 Energy intensive'!$A$5:$AE$33,Q$2)</f>
        <v>1.0034798538561658</v>
      </c>
      <c r="R117" s="12">
        <f>Q117*VLOOKUP($A117,'EU Ref Sc 2020 Energy intensive'!$A$5:$AE$33,R$2)</f>
        <v>0.98273430375578852</v>
      </c>
      <c r="S117" s="12">
        <f>R117*VLOOKUP($A117,'EU Ref Sc 2020 Energy intensive'!$A$5:$AE$33,S$2)</f>
        <v>0.96198875365541126</v>
      </c>
      <c r="T117" s="12">
        <f>S117*VLOOKUP($A117,'EU Ref Sc 2020 Energy intensive'!$A$5:$AE$33,T$2)</f>
        <v>0.94524857157471542</v>
      </c>
      <c r="U117" s="12">
        <f>T117*VLOOKUP($A117,'EU Ref Sc 2020 Energy intensive'!$A$5:$AE$33,U$2)</f>
        <v>0.9285083894940197</v>
      </c>
      <c r="V117" s="12">
        <f>U117*VLOOKUP($A117,'EU Ref Sc 2020 Energy intensive'!$A$5:$AE$33,V$2)</f>
        <v>0.91176820741332387</v>
      </c>
      <c r="W117" s="12">
        <f>V117*VLOOKUP($A117,'EU Ref Sc 2020 Energy intensive'!$A$5:$AE$33,W$2)</f>
        <v>0.89502802533262804</v>
      </c>
      <c r="X117" s="12">
        <f>W117*VLOOKUP($A117,'EU Ref Sc 2020 Energy intensive'!$A$5:$AE$33,X$2)</f>
        <v>0.87828784325193221</v>
      </c>
      <c r="Y117" s="12">
        <f>X117*VLOOKUP($A117,'EU Ref Sc 2020 Energy intensive'!$A$5:$AE$33,Y$2)</f>
        <v>0.8645881826141304</v>
      </c>
      <c r="Z117" s="12">
        <f>Y117*VLOOKUP($A117,'EU Ref Sc 2020 Energy intensive'!$A$5:$AE$33,Z$2)</f>
        <v>0.85088852197632858</v>
      </c>
      <c r="AA117" s="12">
        <f>Z117*VLOOKUP($A117,'EU Ref Sc 2020 Energy intensive'!$A$5:$AE$33,AA$2)</f>
        <v>0.83718886133852677</v>
      </c>
      <c r="AB117" s="12">
        <f>AA117*VLOOKUP($A117,'EU Ref Sc 2020 Energy intensive'!$A$5:$AE$33,AB$2)</f>
        <v>0.82348920070072495</v>
      </c>
      <c r="AC117" s="12">
        <f>AB117*VLOOKUP($A117,'EU Ref Sc 2020 Energy intensive'!$A$5:$AE$33,AC$2)</f>
        <v>0.80978954006292292</v>
      </c>
      <c r="AD117" s="12">
        <f>AC117*VLOOKUP($A117,'EU Ref Sc 2020 Energy intensive'!$A$5:$AE$33,AD$2)</f>
        <v>0.81789007529951419</v>
      </c>
      <c r="AE117" s="12">
        <f>AD117*VLOOKUP($A117,'EU Ref Sc 2020 Energy intensive'!$A$5:$AE$33,AE$2)</f>
        <v>0.82599061053610545</v>
      </c>
      <c r="AF117" s="12">
        <f>AE117*VLOOKUP($A117,'EU Ref Sc 2020 Energy intensive'!$A$5:$AE$33,AF$2)</f>
        <v>0.83409114577269672</v>
      </c>
      <c r="AG117" s="12">
        <f>AF117*VLOOKUP($A117,'EU Ref Sc 2020 Energy intensive'!$A$5:$AE$33,AG$2)</f>
        <v>0.8421916810092881</v>
      </c>
      <c r="AH117" s="12">
        <f>AG117*VLOOKUP($A117,'EU Ref Sc 2020 Energy intensive'!$A$5:$AE$33,AH$2)</f>
        <v>0.85029221624587936</v>
      </c>
      <c r="AI117" s="13">
        <f t="shared" ref="AI117:AR117" si="117">AH117</f>
        <v>0.85029221624587936</v>
      </c>
      <c r="AJ117" s="13">
        <f t="shared" si="117"/>
        <v>0.85029221624587936</v>
      </c>
      <c r="AK117" s="13">
        <f t="shared" si="117"/>
        <v>0.85029221624587936</v>
      </c>
      <c r="AL117" s="13">
        <f t="shared" si="117"/>
        <v>0.85029221624587936</v>
      </c>
      <c r="AM117" s="13">
        <f t="shared" si="117"/>
        <v>0.85029221624587936</v>
      </c>
      <c r="AN117" s="13">
        <f t="shared" si="117"/>
        <v>0.85029221624587936</v>
      </c>
      <c r="AO117" s="13">
        <f t="shared" si="117"/>
        <v>0.85029221624587936</v>
      </c>
      <c r="AP117" s="13">
        <f t="shared" si="117"/>
        <v>0.85029221624587936</v>
      </c>
      <c r="AQ117" s="13">
        <f t="shared" si="117"/>
        <v>0.85029221624587936</v>
      </c>
      <c r="AR117" s="13">
        <f t="shared" si="117"/>
        <v>0.85029221624587936</v>
      </c>
    </row>
    <row r="118" spans="1:44" x14ac:dyDescent="0.3">
      <c r="A118" t="s">
        <v>1419</v>
      </c>
      <c r="B118" t="s">
        <v>1392</v>
      </c>
      <c r="C118" t="s">
        <v>1020</v>
      </c>
      <c r="D118" t="str">
        <f t="shared" si="99"/>
        <v>NLIMEC</v>
      </c>
      <c r="E118" s="2">
        <v>24.451000000000001</v>
      </c>
      <c r="F118" s="12">
        <f>E118*VLOOKUP($A118,'EU Ref Sc 2020 Energy intensive'!$A$5:$AE$33,F$2)</f>
        <v>24.565023023187987</v>
      </c>
      <c r="G118" s="12">
        <f>F118*VLOOKUP($A118,'EU Ref Sc 2020 Energy intensive'!$A$5:$AE$33,G$2)</f>
        <v>24.679046046375973</v>
      </c>
      <c r="H118" s="12">
        <f>G118*VLOOKUP($A118,'EU Ref Sc 2020 Energy intensive'!$A$5:$AE$33,H$2)</f>
        <v>24.793069069563959</v>
      </c>
      <c r="I118" s="12">
        <f>H118*VLOOKUP($A118,'EU Ref Sc 2020 Energy intensive'!$A$5:$AE$33,I$2)</f>
        <v>24.907092092751949</v>
      </c>
      <c r="J118" s="12">
        <f>I118*VLOOKUP($A118,'EU Ref Sc 2020 Energy intensive'!$A$5:$AE$33,J$2)</f>
        <v>24.406922512900508</v>
      </c>
      <c r="K118" s="12">
        <f>J118*VLOOKUP($A118,'EU Ref Sc 2020 Energy intensive'!$A$5:$AE$33,K$2)</f>
        <v>23.906752933049066</v>
      </c>
      <c r="L118" s="12">
        <f>K118*VLOOKUP($A118,'EU Ref Sc 2020 Energy intensive'!$A$5:$AE$33,L$2)</f>
        <v>23.406583353197629</v>
      </c>
      <c r="M118" s="12">
        <f>L118*VLOOKUP($A118,'EU Ref Sc 2020 Energy intensive'!$A$5:$AE$33,M$2)</f>
        <v>22.906413773346191</v>
      </c>
      <c r="N118" s="12">
        <f>M118*VLOOKUP($A118,'EU Ref Sc 2020 Energy intensive'!$A$5:$AE$33,N$2)</f>
        <v>22.406244193494746</v>
      </c>
      <c r="O118" s="12">
        <f>N118*VLOOKUP($A118,'EU Ref Sc 2020 Energy intensive'!$A$5:$AE$33,O$2)</f>
        <v>22.181706081169324</v>
      </c>
      <c r="P118" s="12">
        <f>O118*VLOOKUP($A118,'EU Ref Sc 2020 Energy intensive'!$A$5:$AE$33,P$2)</f>
        <v>21.957167968843901</v>
      </c>
      <c r="Q118" s="12">
        <f>P118*VLOOKUP($A118,'EU Ref Sc 2020 Energy intensive'!$A$5:$AE$33,Q$2)</f>
        <v>21.732629856518479</v>
      </c>
      <c r="R118" s="12">
        <f>Q118*VLOOKUP($A118,'EU Ref Sc 2020 Energy intensive'!$A$5:$AE$33,R$2)</f>
        <v>21.508091744193056</v>
      </c>
      <c r="S118" s="12">
        <f>R118*VLOOKUP($A118,'EU Ref Sc 2020 Energy intensive'!$A$5:$AE$33,S$2)</f>
        <v>21.283553631867633</v>
      </c>
      <c r="T118" s="12">
        <f>S118*VLOOKUP($A118,'EU Ref Sc 2020 Energy intensive'!$A$5:$AE$33,T$2)</f>
        <v>20.649870732683553</v>
      </c>
      <c r="U118" s="12">
        <f>T118*VLOOKUP($A118,'EU Ref Sc 2020 Energy intensive'!$A$5:$AE$33,U$2)</f>
        <v>20.016187833499473</v>
      </c>
      <c r="V118" s="12">
        <f>U118*VLOOKUP($A118,'EU Ref Sc 2020 Energy intensive'!$A$5:$AE$33,V$2)</f>
        <v>19.382504934315392</v>
      </c>
      <c r="W118" s="12">
        <f>V118*VLOOKUP($A118,'EU Ref Sc 2020 Energy intensive'!$A$5:$AE$33,W$2)</f>
        <v>18.748822035131312</v>
      </c>
      <c r="X118" s="12">
        <f>W118*VLOOKUP($A118,'EU Ref Sc 2020 Energy intensive'!$A$5:$AE$33,X$2)</f>
        <v>18.115139135947231</v>
      </c>
      <c r="Y118" s="12">
        <f>X118*VLOOKUP($A118,'EU Ref Sc 2020 Energy intensive'!$A$5:$AE$33,Y$2)</f>
        <v>18.13026759502505</v>
      </c>
      <c r="Z118" s="12">
        <f>Y118*VLOOKUP($A118,'EU Ref Sc 2020 Energy intensive'!$A$5:$AE$33,Z$2)</f>
        <v>18.145396054102868</v>
      </c>
      <c r="AA118" s="12">
        <f>Z118*VLOOKUP($A118,'EU Ref Sc 2020 Energy intensive'!$A$5:$AE$33,AA$2)</f>
        <v>18.160524513180686</v>
      </c>
      <c r="AB118" s="12">
        <f>AA118*VLOOKUP($A118,'EU Ref Sc 2020 Energy intensive'!$A$5:$AE$33,AB$2)</f>
        <v>18.175652972258508</v>
      </c>
      <c r="AC118" s="12">
        <f>AB118*VLOOKUP($A118,'EU Ref Sc 2020 Energy intensive'!$A$5:$AE$33,AC$2)</f>
        <v>18.19078143133633</v>
      </c>
      <c r="AD118" s="12">
        <f>AC118*VLOOKUP($A118,'EU Ref Sc 2020 Energy intensive'!$A$5:$AE$33,AD$2)</f>
        <v>18.288815961850702</v>
      </c>
      <c r="AE118" s="12">
        <f>AD118*VLOOKUP($A118,'EU Ref Sc 2020 Energy intensive'!$A$5:$AE$33,AE$2)</f>
        <v>18.386850492365074</v>
      </c>
      <c r="AF118" s="12">
        <f>AE118*VLOOKUP($A118,'EU Ref Sc 2020 Energy intensive'!$A$5:$AE$33,AF$2)</f>
        <v>18.484885022879446</v>
      </c>
      <c r="AG118" s="12">
        <f>AF118*VLOOKUP($A118,'EU Ref Sc 2020 Energy intensive'!$A$5:$AE$33,AG$2)</f>
        <v>18.582919553393818</v>
      </c>
      <c r="AH118" s="12">
        <f>AG118*VLOOKUP($A118,'EU Ref Sc 2020 Energy intensive'!$A$5:$AE$33,AH$2)</f>
        <v>18.68095408390819</v>
      </c>
      <c r="AI118" s="13">
        <f t="shared" ref="AI118:AR118" si="118">AH118</f>
        <v>18.68095408390819</v>
      </c>
      <c r="AJ118" s="13">
        <f t="shared" si="118"/>
        <v>18.68095408390819</v>
      </c>
      <c r="AK118" s="13">
        <f t="shared" si="118"/>
        <v>18.68095408390819</v>
      </c>
      <c r="AL118" s="13">
        <f t="shared" si="118"/>
        <v>18.68095408390819</v>
      </c>
      <c r="AM118" s="13">
        <f t="shared" si="118"/>
        <v>18.68095408390819</v>
      </c>
      <c r="AN118" s="13">
        <f t="shared" si="118"/>
        <v>18.68095408390819</v>
      </c>
      <c r="AO118" s="13">
        <f t="shared" si="118"/>
        <v>18.68095408390819</v>
      </c>
      <c r="AP118" s="13">
        <f t="shared" si="118"/>
        <v>18.68095408390819</v>
      </c>
      <c r="AQ118" s="13">
        <f t="shared" si="118"/>
        <v>18.68095408390819</v>
      </c>
      <c r="AR118" s="13">
        <f t="shared" si="118"/>
        <v>18.68095408390819</v>
      </c>
    </row>
    <row r="119" spans="1:44" x14ac:dyDescent="0.3">
      <c r="A119" t="s">
        <v>1420</v>
      </c>
      <c r="B119" t="s">
        <v>1392</v>
      </c>
      <c r="C119" t="s">
        <v>1075</v>
      </c>
      <c r="D119" t="str">
        <f t="shared" si="99"/>
        <v>PLIMEC</v>
      </c>
      <c r="E119" s="2">
        <v>13.4899</v>
      </c>
      <c r="F119" s="12">
        <f>E119*VLOOKUP($A119,'EU Ref Sc 2020 Energy intensive'!$A$5:$AE$33,F$2)</f>
        <v>13.507752646953644</v>
      </c>
      <c r="G119" s="12">
        <f>F119*VLOOKUP($A119,'EU Ref Sc 2020 Energy intensive'!$A$5:$AE$33,G$2)</f>
        <v>13.525605293907288</v>
      </c>
      <c r="H119" s="12">
        <f>G119*VLOOKUP($A119,'EU Ref Sc 2020 Energy intensive'!$A$5:$AE$33,H$2)</f>
        <v>13.543457940860934</v>
      </c>
      <c r="I119" s="12">
        <f>H119*VLOOKUP($A119,'EU Ref Sc 2020 Energy intensive'!$A$5:$AE$33,I$2)</f>
        <v>13.561310587814576</v>
      </c>
      <c r="J119" s="12">
        <f>I119*VLOOKUP($A119,'EU Ref Sc 2020 Energy intensive'!$A$5:$AE$33,J$2)</f>
        <v>13.581853992671368</v>
      </c>
      <c r="K119" s="12">
        <f>J119*VLOOKUP($A119,'EU Ref Sc 2020 Energy intensive'!$A$5:$AE$33,K$2)</f>
        <v>13.60239739752816</v>
      </c>
      <c r="L119" s="12">
        <f>K119*VLOOKUP($A119,'EU Ref Sc 2020 Energy intensive'!$A$5:$AE$33,L$2)</f>
        <v>13.622940802384951</v>
      </c>
      <c r="M119" s="12">
        <f>L119*VLOOKUP($A119,'EU Ref Sc 2020 Energy intensive'!$A$5:$AE$33,M$2)</f>
        <v>13.643484207241741</v>
      </c>
      <c r="N119" s="12">
        <f>M119*VLOOKUP($A119,'EU Ref Sc 2020 Energy intensive'!$A$5:$AE$33,N$2)</f>
        <v>13.664027612098538</v>
      </c>
      <c r="O119" s="12">
        <f>N119*VLOOKUP($A119,'EU Ref Sc 2020 Energy intensive'!$A$5:$AE$33,O$2)</f>
        <v>13.378090312139962</v>
      </c>
      <c r="P119" s="12">
        <f>O119*VLOOKUP($A119,'EU Ref Sc 2020 Energy intensive'!$A$5:$AE$33,P$2)</f>
        <v>13.092153012181388</v>
      </c>
      <c r="Q119" s="12">
        <f>P119*VLOOKUP($A119,'EU Ref Sc 2020 Energy intensive'!$A$5:$AE$33,Q$2)</f>
        <v>12.806215712222814</v>
      </c>
      <c r="R119" s="12">
        <f>Q119*VLOOKUP($A119,'EU Ref Sc 2020 Energy intensive'!$A$5:$AE$33,R$2)</f>
        <v>12.52027841226424</v>
      </c>
      <c r="S119" s="12">
        <f>R119*VLOOKUP($A119,'EU Ref Sc 2020 Energy intensive'!$A$5:$AE$33,S$2)</f>
        <v>12.23434111230566</v>
      </c>
      <c r="T119" s="12">
        <f>S119*VLOOKUP($A119,'EU Ref Sc 2020 Energy intensive'!$A$5:$AE$33,T$2)</f>
        <v>12.187258043547798</v>
      </c>
      <c r="U119" s="12">
        <f>T119*VLOOKUP($A119,'EU Ref Sc 2020 Energy intensive'!$A$5:$AE$33,U$2)</f>
        <v>12.140174974789936</v>
      </c>
      <c r="V119" s="12">
        <f>U119*VLOOKUP($A119,'EU Ref Sc 2020 Energy intensive'!$A$5:$AE$33,V$2)</f>
        <v>12.093091906032074</v>
      </c>
      <c r="W119" s="12">
        <f>V119*VLOOKUP($A119,'EU Ref Sc 2020 Energy intensive'!$A$5:$AE$33,W$2)</f>
        <v>12.046008837274211</v>
      </c>
      <c r="X119" s="12">
        <f>W119*VLOOKUP($A119,'EU Ref Sc 2020 Energy intensive'!$A$5:$AE$33,X$2)</f>
        <v>11.998925768516347</v>
      </c>
      <c r="Y119" s="12">
        <f>X119*VLOOKUP($A119,'EU Ref Sc 2020 Energy intensive'!$A$5:$AE$33,Y$2)</f>
        <v>11.985168748754155</v>
      </c>
      <c r="Z119" s="12">
        <f>Y119*VLOOKUP($A119,'EU Ref Sc 2020 Energy intensive'!$A$5:$AE$33,Z$2)</f>
        <v>11.971411728991963</v>
      </c>
      <c r="AA119" s="12">
        <f>Z119*VLOOKUP($A119,'EU Ref Sc 2020 Energy intensive'!$A$5:$AE$33,AA$2)</f>
        <v>11.957654709229772</v>
      </c>
      <c r="AB119" s="12">
        <f>AA119*VLOOKUP($A119,'EU Ref Sc 2020 Energy intensive'!$A$5:$AE$33,AB$2)</f>
        <v>11.94389768946758</v>
      </c>
      <c r="AC119" s="12">
        <f>AB119*VLOOKUP($A119,'EU Ref Sc 2020 Energy intensive'!$A$5:$AE$33,AC$2)</f>
        <v>11.930140669705386</v>
      </c>
      <c r="AD119" s="12">
        <f>AC119*VLOOKUP($A119,'EU Ref Sc 2020 Energy intensive'!$A$5:$AE$33,AD$2)</f>
        <v>11.901397016505356</v>
      </c>
      <c r="AE119" s="12">
        <f>AD119*VLOOKUP($A119,'EU Ref Sc 2020 Energy intensive'!$A$5:$AE$33,AE$2)</f>
        <v>11.872653363305327</v>
      </c>
      <c r="AF119" s="12">
        <f>AE119*VLOOKUP($A119,'EU Ref Sc 2020 Energy intensive'!$A$5:$AE$33,AF$2)</f>
        <v>11.843909710105297</v>
      </c>
      <c r="AG119" s="12">
        <f>AF119*VLOOKUP($A119,'EU Ref Sc 2020 Energy intensive'!$A$5:$AE$33,AG$2)</f>
        <v>11.815166056905268</v>
      </c>
      <c r="AH119" s="12">
        <f>AG119*VLOOKUP($A119,'EU Ref Sc 2020 Energy intensive'!$A$5:$AE$33,AH$2)</f>
        <v>11.786422403705236</v>
      </c>
      <c r="AI119" s="13">
        <f t="shared" ref="AI119:AR119" si="119">AH119</f>
        <v>11.786422403705236</v>
      </c>
      <c r="AJ119" s="13">
        <f t="shared" si="119"/>
        <v>11.786422403705236</v>
      </c>
      <c r="AK119" s="13">
        <f t="shared" si="119"/>
        <v>11.786422403705236</v>
      </c>
      <c r="AL119" s="13">
        <f t="shared" si="119"/>
        <v>11.786422403705236</v>
      </c>
      <c r="AM119" s="13">
        <f t="shared" si="119"/>
        <v>11.786422403705236</v>
      </c>
      <c r="AN119" s="13">
        <f t="shared" si="119"/>
        <v>11.786422403705236</v>
      </c>
      <c r="AO119" s="13">
        <f t="shared" si="119"/>
        <v>11.786422403705236</v>
      </c>
      <c r="AP119" s="13">
        <f t="shared" si="119"/>
        <v>11.786422403705236</v>
      </c>
      <c r="AQ119" s="13">
        <f t="shared" si="119"/>
        <v>11.786422403705236</v>
      </c>
      <c r="AR119" s="13">
        <f t="shared" si="119"/>
        <v>11.786422403705236</v>
      </c>
    </row>
    <row r="120" spans="1:44" x14ac:dyDescent="0.3">
      <c r="A120" t="s">
        <v>1421</v>
      </c>
      <c r="B120" t="s">
        <v>1392</v>
      </c>
      <c r="C120" t="s">
        <v>1130</v>
      </c>
      <c r="D120" t="str">
        <f t="shared" si="99"/>
        <v>PTIMEC</v>
      </c>
      <c r="E120" s="2">
        <v>4.1338999999999997</v>
      </c>
      <c r="F120" s="12">
        <f>E120*VLOOKUP($A120,'EU Ref Sc 2020 Energy intensive'!$A$5:$AE$33,F$2)</f>
        <v>4.1334927814651543</v>
      </c>
      <c r="G120" s="12">
        <f>F120*VLOOKUP($A120,'EU Ref Sc 2020 Energy intensive'!$A$5:$AE$33,G$2)</f>
        <v>4.1330855629303089</v>
      </c>
      <c r="H120" s="12">
        <f>G120*VLOOKUP($A120,'EU Ref Sc 2020 Energy intensive'!$A$5:$AE$33,H$2)</f>
        <v>4.1326783443954636</v>
      </c>
      <c r="I120" s="12">
        <f>H120*VLOOKUP($A120,'EU Ref Sc 2020 Energy intensive'!$A$5:$AE$33,I$2)</f>
        <v>4.1322711258606182</v>
      </c>
      <c r="J120" s="12">
        <f>I120*VLOOKUP($A120,'EU Ref Sc 2020 Energy intensive'!$A$5:$AE$33,J$2)</f>
        <v>4.0990562555246539</v>
      </c>
      <c r="K120" s="12">
        <f>J120*VLOOKUP($A120,'EU Ref Sc 2020 Energy intensive'!$A$5:$AE$33,K$2)</f>
        <v>4.0658413851886896</v>
      </c>
      <c r="L120" s="12">
        <f>K120*VLOOKUP($A120,'EU Ref Sc 2020 Energy intensive'!$A$5:$AE$33,L$2)</f>
        <v>4.0326265148527254</v>
      </c>
      <c r="M120" s="12">
        <f>L120*VLOOKUP($A120,'EU Ref Sc 2020 Energy intensive'!$A$5:$AE$33,M$2)</f>
        <v>3.9994116445167616</v>
      </c>
      <c r="N120" s="12">
        <f>M120*VLOOKUP($A120,'EU Ref Sc 2020 Energy intensive'!$A$5:$AE$33,N$2)</f>
        <v>3.9661967741807986</v>
      </c>
      <c r="O120" s="12">
        <f>N120*VLOOKUP($A120,'EU Ref Sc 2020 Energy intensive'!$A$5:$AE$33,O$2)</f>
        <v>3.9119605396396784</v>
      </c>
      <c r="P120" s="12">
        <f>O120*VLOOKUP($A120,'EU Ref Sc 2020 Energy intensive'!$A$5:$AE$33,P$2)</f>
        <v>3.8577243050985577</v>
      </c>
      <c r="Q120" s="12">
        <f>P120*VLOOKUP($A120,'EU Ref Sc 2020 Energy intensive'!$A$5:$AE$33,Q$2)</f>
        <v>3.803488070557437</v>
      </c>
      <c r="R120" s="12">
        <f>Q120*VLOOKUP($A120,'EU Ref Sc 2020 Energy intensive'!$A$5:$AE$33,R$2)</f>
        <v>3.7492518360163167</v>
      </c>
      <c r="S120" s="12">
        <f>R120*VLOOKUP($A120,'EU Ref Sc 2020 Energy intensive'!$A$5:$AE$33,S$2)</f>
        <v>3.695015601475196</v>
      </c>
      <c r="T120" s="12">
        <f>S120*VLOOKUP($A120,'EU Ref Sc 2020 Energy intensive'!$A$5:$AE$33,T$2)</f>
        <v>3.6217030239847801</v>
      </c>
      <c r="U120" s="12">
        <f>T120*VLOOKUP($A120,'EU Ref Sc 2020 Energy intensive'!$A$5:$AE$33,U$2)</f>
        <v>3.5483904464943641</v>
      </c>
      <c r="V120" s="12">
        <f>U120*VLOOKUP($A120,'EU Ref Sc 2020 Energy intensive'!$A$5:$AE$33,V$2)</f>
        <v>3.4750778690039481</v>
      </c>
      <c r="W120" s="12">
        <f>V120*VLOOKUP($A120,'EU Ref Sc 2020 Energy intensive'!$A$5:$AE$33,W$2)</f>
        <v>3.4017652915135321</v>
      </c>
      <c r="X120" s="12">
        <f>W120*VLOOKUP($A120,'EU Ref Sc 2020 Energy intensive'!$A$5:$AE$33,X$2)</f>
        <v>3.328452714023117</v>
      </c>
      <c r="Y120" s="12">
        <f>X120*VLOOKUP($A120,'EU Ref Sc 2020 Energy intensive'!$A$5:$AE$33,Y$2)</f>
        <v>3.2913169636854374</v>
      </c>
      <c r="Z120" s="12">
        <f>Y120*VLOOKUP($A120,'EU Ref Sc 2020 Energy intensive'!$A$5:$AE$33,Z$2)</f>
        <v>3.2541812133477577</v>
      </c>
      <c r="AA120" s="12">
        <f>Z120*VLOOKUP($A120,'EU Ref Sc 2020 Energy intensive'!$A$5:$AE$33,AA$2)</f>
        <v>3.217045463010078</v>
      </c>
      <c r="AB120" s="12">
        <f>AA120*VLOOKUP($A120,'EU Ref Sc 2020 Energy intensive'!$A$5:$AE$33,AB$2)</f>
        <v>3.1799097126723983</v>
      </c>
      <c r="AC120" s="12">
        <f>AB120*VLOOKUP($A120,'EU Ref Sc 2020 Energy intensive'!$A$5:$AE$33,AC$2)</f>
        <v>3.1427739623347177</v>
      </c>
      <c r="AD120" s="12">
        <f>AC120*VLOOKUP($A120,'EU Ref Sc 2020 Energy intensive'!$A$5:$AE$33,AD$2)</f>
        <v>3.1121494099512867</v>
      </c>
      <c r="AE120" s="12">
        <f>AD120*VLOOKUP($A120,'EU Ref Sc 2020 Energy intensive'!$A$5:$AE$33,AE$2)</f>
        <v>3.0815248575678558</v>
      </c>
      <c r="AF120" s="12">
        <f>AE120*VLOOKUP($A120,'EU Ref Sc 2020 Energy intensive'!$A$5:$AE$33,AF$2)</f>
        <v>3.0509003051844248</v>
      </c>
      <c r="AG120" s="12">
        <f>AF120*VLOOKUP($A120,'EU Ref Sc 2020 Energy intensive'!$A$5:$AE$33,AG$2)</f>
        <v>3.0202757528009938</v>
      </c>
      <c r="AH120" s="12">
        <f>AG120*VLOOKUP($A120,'EU Ref Sc 2020 Energy intensive'!$A$5:$AE$33,AH$2)</f>
        <v>2.9896512004175642</v>
      </c>
      <c r="AI120" s="13">
        <f t="shared" ref="AI120:AR120" si="120">AH120</f>
        <v>2.9896512004175642</v>
      </c>
      <c r="AJ120" s="13">
        <f t="shared" si="120"/>
        <v>2.9896512004175642</v>
      </c>
      <c r="AK120" s="13">
        <f t="shared" si="120"/>
        <v>2.9896512004175642</v>
      </c>
      <c r="AL120" s="13">
        <f t="shared" si="120"/>
        <v>2.9896512004175642</v>
      </c>
      <c r="AM120" s="13">
        <f t="shared" si="120"/>
        <v>2.9896512004175642</v>
      </c>
      <c r="AN120" s="13">
        <f t="shared" si="120"/>
        <v>2.9896512004175642</v>
      </c>
      <c r="AO120" s="13">
        <f t="shared" si="120"/>
        <v>2.9896512004175642</v>
      </c>
      <c r="AP120" s="13">
        <f t="shared" si="120"/>
        <v>2.9896512004175642</v>
      </c>
      <c r="AQ120" s="13">
        <f t="shared" si="120"/>
        <v>2.9896512004175642</v>
      </c>
      <c r="AR120" s="13">
        <f t="shared" si="120"/>
        <v>2.9896512004175642</v>
      </c>
    </row>
    <row r="121" spans="1:44" x14ac:dyDescent="0.3">
      <c r="A121" t="s">
        <v>1422</v>
      </c>
      <c r="B121" t="s">
        <v>1392</v>
      </c>
      <c r="C121" t="s">
        <v>1185</v>
      </c>
      <c r="D121" t="str">
        <f t="shared" si="99"/>
        <v>ROIMEC</v>
      </c>
      <c r="E121" s="2">
        <v>4.3299000000000003</v>
      </c>
      <c r="F121" s="12">
        <f>E121*VLOOKUP($A121,'EU Ref Sc 2020 Energy intensive'!$A$5:$AE$33,F$2)</f>
        <v>4.43212788699205</v>
      </c>
      <c r="G121" s="12">
        <f>F121*VLOOKUP($A121,'EU Ref Sc 2020 Energy intensive'!$A$5:$AE$33,G$2)</f>
        <v>4.5343557739840996</v>
      </c>
      <c r="H121" s="12">
        <f>G121*VLOOKUP($A121,'EU Ref Sc 2020 Energy intensive'!$A$5:$AE$33,H$2)</f>
        <v>4.6365836609761502</v>
      </c>
      <c r="I121" s="12">
        <f>H121*VLOOKUP($A121,'EU Ref Sc 2020 Energy intensive'!$A$5:$AE$33,I$2)</f>
        <v>4.7388115479681998</v>
      </c>
      <c r="J121" s="12">
        <f>I121*VLOOKUP($A121,'EU Ref Sc 2020 Energy intensive'!$A$5:$AE$33,J$2)</f>
        <v>4.7276065580860962</v>
      </c>
      <c r="K121" s="12">
        <f>J121*VLOOKUP($A121,'EU Ref Sc 2020 Energy intensive'!$A$5:$AE$33,K$2)</f>
        <v>4.7164015682039926</v>
      </c>
      <c r="L121" s="12">
        <f>K121*VLOOKUP($A121,'EU Ref Sc 2020 Energy intensive'!$A$5:$AE$33,L$2)</f>
        <v>4.705196578321889</v>
      </c>
      <c r="M121" s="12">
        <f>L121*VLOOKUP($A121,'EU Ref Sc 2020 Energy intensive'!$A$5:$AE$33,M$2)</f>
        <v>4.6939915884397854</v>
      </c>
      <c r="N121" s="12">
        <f>M121*VLOOKUP($A121,'EU Ref Sc 2020 Energy intensive'!$A$5:$AE$33,N$2)</f>
        <v>4.6827865985576809</v>
      </c>
      <c r="O121" s="12">
        <f>N121*VLOOKUP($A121,'EU Ref Sc 2020 Energy intensive'!$A$5:$AE$33,O$2)</f>
        <v>4.6410792698397172</v>
      </c>
      <c r="P121" s="12">
        <f>O121*VLOOKUP($A121,'EU Ref Sc 2020 Energy intensive'!$A$5:$AE$33,P$2)</f>
        <v>4.5993719411217526</v>
      </c>
      <c r="Q121" s="12">
        <f>P121*VLOOKUP($A121,'EU Ref Sc 2020 Energy intensive'!$A$5:$AE$33,Q$2)</f>
        <v>4.5576646124037881</v>
      </c>
      <c r="R121" s="12">
        <f>Q121*VLOOKUP($A121,'EU Ref Sc 2020 Energy intensive'!$A$5:$AE$33,R$2)</f>
        <v>4.5159572836858244</v>
      </c>
      <c r="S121" s="12">
        <f>R121*VLOOKUP($A121,'EU Ref Sc 2020 Energy intensive'!$A$5:$AE$33,S$2)</f>
        <v>4.4742499549678607</v>
      </c>
      <c r="T121" s="12">
        <f>S121*VLOOKUP($A121,'EU Ref Sc 2020 Energy intensive'!$A$5:$AE$33,T$2)</f>
        <v>4.4156564696016574</v>
      </c>
      <c r="U121" s="12">
        <f>T121*VLOOKUP($A121,'EU Ref Sc 2020 Energy intensive'!$A$5:$AE$33,U$2)</f>
        <v>4.357062984235454</v>
      </c>
      <c r="V121" s="12">
        <f>U121*VLOOKUP($A121,'EU Ref Sc 2020 Energy intensive'!$A$5:$AE$33,V$2)</f>
        <v>4.2984694988692507</v>
      </c>
      <c r="W121" s="12">
        <f>V121*VLOOKUP($A121,'EU Ref Sc 2020 Energy intensive'!$A$5:$AE$33,W$2)</f>
        <v>4.2398760135030464</v>
      </c>
      <c r="X121" s="12">
        <f>W121*VLOOKUP($A121,'EU Ref Sc 2020 Energy intensive'!$A$5:$AE$33,X$2)</f>
        <v>4.1812825281368431</v>
      </c>
      <c r="Y121" s="12">
        <f>X121*VLOOKUP($A121,'EU Ref Sc 2020 Energy intensive'!$A$5:$AE$33,Y$2)</f>
        <v>4.1398534756812575</v>
      </c>
      <c r="Z121" s="12">
        <f>Y121*VLOOKUP($A121,'EU Ref Sc 2020 Energy intensive'!$A$5:$AE$33,Z$2)</f>
        <v>4.0984244232256719</v>
      </c>
      <c r="AA121" s="12">
        <f>Z121*VLOOKUP($A121,'EU Ref Sc 2020 Energy intensive'!$A$5:$AE$33,AA$2)</f>
        <v>4.0569953707700863</v>
      </c>
      <c r="AB121" s="12">
        <f>AA121*VLOOKUP($A121,'EU Ref Sc 2020 Energy intensive'!$A$5:$AE$33,AB$2)</f>
        <v>4.0155663183145007</v>
      </c>
      <c r="AC121" s="12">
        <f>AB121*VLOOKUP($A121,'EU Ref Sc 2020 Energy intensive'!$A$5:$AE$33,AC$2)</f>
        <v>3.9741372658589156</v>
      </c>
      <c r="AD121" s="12">
        <f>AC121*VLOOKUP($A121,'EU Ref Sc 2020 Energy intensive'!$A$5:$AE$33,AD$2)</f>
        <v>3.9522427311499282</v>
      </c>
      <c r="AE121" s="12">
        <f>AD121*VLOOKUP($A121,'EU Ref Sc 2020 Energy intensive'!$A$5:$AE$33,AE$2)</f>
        <v>3.9303481964409408</v>
      </c>
      <c r="AF121" s="12">
        <f>AE121*VLOOKUP($A121,'EU Ref Sc 2020 Energy intensive'!$A$5:$AE$33,AF$2)</f>
        <v>3.9084536617319534</v>
      </c>
      <c r="AG121" s="12">
        <f>AF121*VLOOKUP($A121,'EU Ref Sc 2020 Energy intensive'!$A$5:$AE$33,AG$2)</f>
        <v>3.8865591270229656</v>
      </c>
      <c r="AH121" s="12">
        <f>AG121*VLOOKUP($A121,'EU Ref Sc 2020 Energy intensive'!$A$5:$AE$33,AH$2)</f>
        <v>3.8646645923139786</v>
      </c>
      <c r="AI121" s="13">
        <f t="shared" ref="AI121:AR121" si="121">AH121</f>
        <v>3.8646645923139786</v>
      </c>
      <c r="AJ121" s="13">
        <f t="shared" si="121"/>
        <v>3.8646645923139786</v>
      </c>
      <c r="AK121" s="13">
        <f t="shared" si="121"/>
        <v>3.8646645923139786</v>
      </c>
      <c r="AL121" s="13">
        <f t="shared" si="121"/>
        <v>3.8646645923139786</v>
      </c>
      <c r="AM121" s="13">
        <f t="shared" si="121"/>
        <v>3.8646645923139786</v>
      </c>
      <c r="AN121" s="13">
        <f t="shared" si="121"/>
        <v>3.8646645923139786</v>
      </c>
      <c r="AO121" s="13">
        <f t="shared" si="121"/>
        <v>3.8646645923139786</v>
      </c>
      <c r="AP121" s="13">
        <f t="shared" si="121"/>
        <v>3.8646645923139786</v>
      </c>
      <c r="AQ121" s="13">
        <f t="shared" si="121"/>
        <v>3.8646645923139786</v>
      </c>
      <c r="AR121" s="13">
        <f t="shared" si="121"/>
        <v>3.8646645923139786</v>
      </c>
    </row>
    <row r="122" spans="1:44" x14ac:dyDescent="0.3">
      <c r="A122" t="s">
        <v>1423</v>
      </c>
      <c r="B122" t="s">
        <v>1392</v>
      </c>
      <c r="C122" t="s">
        <v>1240</v>
      </c>
      <c r="D122" t="str">
        <f t="shared" si="99"/>
        <v>SEIMEC</v>
      </c>
      <c r="E122" s="2">
        <v>5.9210000000000003</v>
      </c>
      <c r="F122" s="12">
        <f>E122*VLOOKUP($A122,'EU Ref Sc 2020 Energy intensive'!$A$5:$AE$33,F$2)</f>
        <v>5.9205885789992809</v>
      </c>
      <c r="G122" s="12">
        <f>F122*VLOOKUP($A122,'EU Ref Sc 2020 Energy intensive'!$A$5:$AE$33,G$2)</f>
        <v>5.9201771579985616</v>
      </c>
      <c r="H122" s="12">
        <f>G122*VLOOKUP($A122,'EU Ref Sc 2020 Energy intensive'!$A$5:$AE$33,H$2)</f>
        <v>5.9197657369978423</v>
      </c>
      <c r="I122" s="12">
        <f>H122*VLOOKUP($A122,'EU Ref Sc 2020 Energy intensive'!$A$5:$AE$33,I$2)</f>
        <v>5.9193543159971211</v>
      </c>
      <c r="J122" s="12">
        <f>I122*VLOOKUP($A122,'EU Ref Sc 2020 Energy intensive'!$A$5:$AE$33,J$2)</f>
        <v>5.9116519921585757</v>
      </c>
      <c r="K122" s="12">
        <f>J122*VLOOKUP($A122,'EU Ref Sc 2020 Energy intensive'!$A$5:$AE$33,K$2)</f>
        <v>5.9039496683200303</v>
      </c>
      <c r="L122" s="12">
        <f>K122*VLOOKUP($A122,'EU Ref Sc 2020 Energy intensive'!$A$5:$AE$33,L$2)</f>
        <v>5.8962473444814849</v>
      </c>
      <c r="M122" s="12">
        <f>L122*VLOOKUP($A122,'EU Ref Sc 2020 Energy intensive'!$A$5:$AE$33,M$2)</f>
        <v>5.8885450206429395</v>
      </c>
      <c r="N122" s="12">
        <f>M122*VLOOKUP($A122,'EU Ref Sc 2020 Energy intensive'!$A$5:$AE$33,N$2)</f>
        <v>5.8808426968043932</v>
      </c>
      <c r="O122" s="12">
        <f>N122*VLOOKUP($A122,'EU Ref Sc 2020 Energy intensive'!$A$5:$AE$33,O$2)</f>
        <v>5.7791828246361554</v>
      </c>
      <c r="P122" s="12">
        <f>O122*VLOOKUP($A122,'EU Ref Sc 2020 Energy intensive'!$A$5:$AE$33,P$2)</f>
        <v>5.6775229524679185</v>
      </c>
      <c r="Q122" s="12">
        <f>P122*VLOOKUP($A122,'EU Ref Sc 2020 Energy intensive'!$A$5:$AE$33,Q$2)</f>
        <v>5.5758630802996816</v>
      </c>
      <c r="R122" s="12">
        <f>Q122*VLOOKUP($A122,'EU Ref Sc 2020 Energy intensive'!$A$5:$AE$33,R$2)</f>
        <v>5.4742032081314447</v>
      </c>
      <c r="S122" s="12">
        <f>R122*VLOOKUP($A122,'EU Ref Sc 2020 Energy intensive'!$A$5:$AE$33,S$2)</f>
        <v>5.3725433359632069</v>
      </c>
      <c r="T122" s="12">
        <f>S122*VLOOKUP($A122,'EU Ref Sc 2020 Energy intensive'!$A$5:$AE$33,T$2)</f>
        <v>5.2586819681184549</v>
      </c>
      <c r="U122" s="12">
        <f>T122*VLOOKUP($A122,'EU Ref Sc 2020 Energy intensive'!$A$5:$AE$33,U$2)</f>
        <v>5.1448206002737029</v>
      </c>
      <c r="V122" s="12">
        <f>U122*VLOOKUP($A122,'EU Ref Sc 2020 Energy intensive'!$A$5:$AE$33,V$2)</f>
        <v>5.0309592324289509</v>
      </c>
      <c r="W122" s="12">
        <f>V122*VLOOKUP($A122,'EU Ref Sc 2020 Energy intensive'!$A$5:$AE$33,W$2)</f>
        <v>4.917097864584199</v>
      </c>
      <c r="X122" s="12">
        <f>W122*VLOOKUP($A122,'EU Ref Sc 2020 Energy intensive'!$A$5:$AE$33,X$2)</f>
        <v>4.8032364967394479</v>
      </c>
      <c r="Y122" s="12">
        <f>X122*VLOOKUP($A122,'EU Ref Sc 2020 Energy intensive'!$A$5:$AE$33,Y$2)</f>
        <v>4.804103611295357</v>
      </c>
      <c r="Z122" s="12">
        <f>Y122*VLOOKUP($A122,'EU Ref Sc 2020 Energy intensive'!$A$5:$AE$33,Z$2)</f>
        <v>4.8049707258512671</v>
      </c>
      <c r="AA122" s="12">
        <f>Z122*VLOOKUP($A122,'EU Ref Sc 2020 Energy intensive'!$A$5:$AE$33,AA$2)</f>
        <v>4.8058378404071762</v>
      </c>
      <c r="AB122" s="12">
        <f>AA122*VLOOKUP($A122,'EU Ref Sc 2020 Energy intensive'!$A$5:$AE$33,AB$2)</f>
        <v>4.8067049549630863</v>
      </c>
      <c r="AC122" s="12">
        <f>AB122*VLOOKUP($A122,'EU Ref Sc 2020 Energy intensive'!$A$5:$AE$33,AC$2)</f>
        <v>4.8075720695189963</v>
      </c>
      <c r="AD122" s="12">
        <f>AC122*VLOOKUP($A122,'EU Ref Sc 2020 Energy intensive'!$A$5:$AE$33,AD$2)</f>
        <v>4.8035012851651802</v>
      </c>
      <c r="AE122" s="12">
        <f>AD122*VLOOKUP($A122,'EU Ref Sc 2020 Energy intensive'!$A$5:$AE$33,AE$2)</f>
        <v>4.799430500811364</v>
      </c>
      <c r="AF122" s="12">
        <f>AE122*VLOOKUP($A122,'EU Ref Sc 2020 Energy intensive'!$A$5:$AE$33,AF$2)</f>
        <v>4.7953597164575479</v>
      </c>
      <c r="AG122" s="12">
        <f>AF122*VLOOKUP($A122,'EU Ref Sc 2020 Energy intensive'!$A$5:$AE$33,AG$2)</f>
        <v>4.7912889321037326</v>
      </c>
      <c r="AH122" s="12">
        <f>AG122*VLOOKUP($A122,'EU Ref Sc 2020 Energy intensive'!$A$5:$AE$33,AH$2)</f>
        <v>4.7872181477499156</v>
      </c>
      <c r="AI122" s="13">
        <f t="shared" ref="AI122:AR122" si="122">AH122</f>
        <v>4.7872181477499156</v>
      </c>
      <c r="AJ122" s="13">
        <f t="shared" si="122"/>
        <v>4.7872181477499156</v>
      </c>
      <c r="AK122" s="13">
        <f t="shared" si="122"/>
        <v>4.7872181477499156</v>
      </c>
      <c r="AL122" s="13">
        <f t="shared" si="122"/>
        <v>4.7872181477499156</v>
      </c>
      <c r="AM122" s="13">
        <f t="shared" si="122"/>
        <v>4.7872181477499156</v>
      </c>
      <c r="AN122" s="13">
        <f t="shared" si="122"/>
        <v>4.7872181477499156</v>
      </c>
      <c r="AO122" s="13">
        <f t="shared" si="122"/>
        <v>4.7872181477499156</v>
      </c>
      <c r="AP122" s="13">
        <f t="shared" si="122"/>
        <v>4.7872181477499156</v>
      </c>
      <c r="AQ122" s="13">
        <f t="shared" si="122"/>
        <v>4.7872181477499156</v>
      </c>
      <c r="AR122" s="13">
        <f t="shared" si="122"/>
        <v>4.7872181477499156</v>
      </c>
    </row>
    <row r="123" spans="1:44" x14ac:dyDescent="0.3">
      <c r="A123" t="s">
        <v>1424</v>
      </c>
      <c r="B123" t="s">
        <v>1392</v>
      </c>
      <c r="C123" t="s">
        <v>1295</v>
      </c>
      <c r="D123" t="str">
        <f t="shared" si="99"/>
        <v>SIIMEC</v>
      </c>
      <c r="E123" s="2">
        <v>0.81830000000000003</v>
      </c>
      <c r="F123" s="12">
        <f>E123*VLOOKUP($A123,'EU Ref Sc 2020 Energy intensive'!$A$5:$AE$33,F$2)</f>
        <v>0.83298087480527572</v>
      </c>
      <c r="G123" s="12">
        <f>F123*VLOOKUP($A123,'EU Ref Sc 2020 Energy intensive'!$A$5:$AE$33,G$2)</f>
        <v>0.84766174961055141</v>
      </c>
      <c r="H123" s="12">
        <f>G123*VLOOKUP($A123,'EU Ref Sc 2020 Energy intensive'!$A$5:$AE$33,H$2)</f>
        <v>0.86234262441582699</v>
      </c>
      <c r="I123" s="12">
        <f>H123*VLOOKUP($A123,'EU Ref Sc 2020 Energy intensive'!$A$5:$AE$33,I$2)</f>
        <v>0.8770234992211029</v>
      </c>
      <c r="J123" s="12">
        <f>I123*VLOOKUP($A123,'EU Ref Sc 2020 Energy intensive'!$A$5:$AE$33,J$2)</f>
        <v>0.89298941434315526</v>
      </c>
      <c r="K123" s="12">
        <f>J123*VLOOKUP($A123,'EU Ref Sc 2020 Energy intensive'!$A$5:$AE$33,K$2)</f>
        <v>0.90895532946520774</v>
      </c>
      <c r="L123" s="12">
        <f>K123*VLOOKUP($A123,'EU Ref Sc 2020 Energy intensive'!$A$5:$AE$33,L$2)</f>
        <v>0.92492124458726011</v>
      </c>
      <c r="M123" s="12">
        <f>L123*VLOOKUP($A123,'EU Ref Sc 2020 Energy intensive'!$A$5:$AE$33,M$2)</f>
        <v>0.94088715970931247</v>
      </c>
      <c r="N123" s="12">
        <f>M123*VLOOKUP($A123,'EU Ref Sc 2020 Energy intensive'!$A$5:$AE$33,N$2)</f>
        <v>0.95685307483136484</v>
      </c>
      <c r="O123" s="12">
        <f>N123*VLOOKUP($A123,'EU Ref Sc 2020 Energy intensive'!$A$5:$AE$33,O$2)</f>
        <v>0.94325074135385378</v>
      </c>
      <c r="P123" s="12">
        <f>O123*VLOOKUP($A123,'EU Ref Sc 2020 Energy intensive'!$A$5:$AE$33,P$2)</f>
        <v>0.92964840787634273</v>
      </c>
      <c r="Q123" s="12">
        <f>P123*VLOOKUP($A123,'EU Ref Sc 2020 Energy intensive'!$A$5:$AE$33,Q$2)</f>
        <v>0.91604607439883179</v>
      </c>
      <c r="R123" s="12">
        <f>Q123*VLOOKUP($A123,'EU Ref Sc 2020 Energy intensive'!$A$5:$AE$33,R$2)</f>
        <v>0.90244374092132085</v>
      </c>
      <c r="S123" s="12">
        <f>R123*VLOOKUP($A123,'EU Ref Sc 2020 Energy intensive'!$A$5:$AE$33,S$2)</f>
        <v>0.88884140744380979</v>
      </c>
      <c r="T123" s="12">
        <f>S123*VLOOKUP($A123,'EU Ref Sc 2020 Energy intensive'!$A$5:$AE$33,T$2)</f>
        <v>0.89150582838655623</v>
      </c>
      <c r="U123" s="12">
        <f>T123*VLOOKUP($A123,'EU Ref Sc 2020 Energy intensive'!$A$5:$AE$33,U$2)</f>
        <v>0.89417024932930256</v>
      </c>
      <c r="V123" s="12">
        <f>U123*VLOOKUP($A123,'EU Ref Sc 2020 Energy intensive'!$A$5:$AE$33,V$2)</f>
        <v>0.89683467027204899</v>
      </c>
      <c r="W123" s="12">
        <f>V123*VLOOKUP($A123,'EU Ref Sc 2020 Energy intensive'!$A$5:$AE$33,W$2)</f>
        <v>0.89949909121479543</v>
      </c>
      <c r="X123" s="12">
        <f>W123*VLOOKUP($A123,'EU Ref Sc 2020 Energy intensive'!$A$5:$AE$33,X$2)</f>
        <v>0.90216351215754198</v>
      </c>
      <c r="Y123" s="12">
        <f>X123*VLOOKUP($A123,'EU Ref Sc 2020 Energy intensive'!$A$5:$AE$33,Y$2)</f>
        <v>0.9001368688483824</v>
      </c>
      <c r="Z123" s="12">
        <f>Y123*VLOOKUP($A123,'EU Ref Sc 2020 Energy intensive'!$A$5:$AE$33,Z$2)</f>
        <v>0.89811022553922282</v>
      </c>
      <c r="AA123" s="12">
        <f>Z123*VLOOKUP($A123,'EU Ref Sc 2020 Energy intensive'!$A$5:$AE$33,AA$2)</f>
        <v>0.89608358223006324</v>
      </c>
      <c r="AB123" s="12">
        <f>AA123*VLOOKUP($A123,'EU Ref Sc 2020 Energy intensive'!$A$5:$AE$33,AB$2)</f>
        <v>0.89405693892090354</v>
      </c>
      <c r="AC123" s="12">
        <f>AB123*VLOOKUP($A123,'EU Ref Sc 2020 Energy intensive'!$A$5:$AE$33,AC$2)</f>
        <v>0.89203029561174363</v>
      </c>
      <c r="AD123" s="12">
        <f>AC123*VLOOKUP($A123,'EU Ref Sc 2020 Energy intensive'!$A$5:$AE$33,AD$2)</f>
        <v>0.89001760833836585</v>
      </c>
      <c r="AE123" s="12">
        <f>AD123*VLOOKUP($A123,'EU Ref Sc 2020 Energy intensive'!$A$5:$AE$33,AE$2)</f>
        <v>0.88800492106498807</v>
      </c>
      <c r="AF123" s="12">
        <f>AE123*VLOOKUP($A123,'EU Ref Sc 2020 Energy intensive'!$A$5:$AE$33,AF$2)</f>
        <v>0.8859922337916103</v>
      </c>
      <c r="AG123" s="12">
        <f>AF123*VLOOKUP($A123,'EU Ref Sc 2020 Energy intensive'!$A$5:$AE$33,AG$2)</f>
        <v>0.88397954651823252</v>
      </c>
      <c r="AH123" s="12">
        <f>AG123*VLOOKUP($A123,'EU Ref Sc 2020 Energy intensive'!$A$5:$AE$33,AH$2)</f>
        <v>0.88196685924485496</v>
      </c>
      <c r="AI123" s="13">
        <f t="shared" ref="AI123:AR123" si="123">AH123</f>
        <v>0.88196685924485496</v>
      </c>
      <c r="AJ123" s="13">
        <f t="shared" si="123"/>
        <v>0.88196685924485496</v>
      </c>
      <c r="AK123" s="13">
        <f t="shared" si="123"/>
        <v>0.88196685924485496</v>
      </c>
      <c r="AL123" s="13">
        <f t="shared" si="123"/>
        <v>0.88196685924485496</v>
      </c>
      <c r="AM123" s="13">
        <f t="shared" si="123"/>
        <v>0.88196685924485496</v>
      </c>
      <c r="AN123" s="13">
        <f t="shared" si="123"/>
        <v>0.88196685924485496</v>
      </c>
      <c r="AO123" s="13">
        <f t="shared" si="123"/>
        <v>0.88196685924485496</v>
      </c>
      <c r="AP123" s="13">
        <f t="shared" si="123"/>
        <v>0.88196685924485496</v>
      </c>
      <c r="AQ123" s="13">
        <f t="shared" si="123"/>
        <v>0.88196685924485496</v>
      </c>
      <c r="AR123" s="13">
        <f t="shared" si="123"/>
        <v>0.88196685924485496</v>
      </c>
    </row>
    <row r="124" spans="1:44" x14ac:dyDescent="0.3">
      <c r="A124" t="s">
        <v>1425</v>
      </c>
      <c r="B124" t="s">
        <v>1392</v>
      </c>
      <c r="C124" t="s">
        <v>1350</v>
      </c>
      <c r="D124" t="str">
        <f t="shared" si="99"/>
        <v>SKIMEC</v>
      </c>
      <c r="E124" s="2">
        <v>2.0137999999999998</v>
      </c>
      <c r="F124" s="12">
        <f>E124*VLOOKUP($A124,'EU Ref Sc 2020 Energy intensive'!$A$5:$AE$33,F$2)</f>
        <v>2.0215189259074879</v>
      </c>
      <c r="G124" s="12">
        <f>F124*VLOOKUP($A124,'EU Ref Sc 2020 Energy intensive'!$A$5:$AE$33,G$2)</f>
        <v>2.0292378518149761</v>
      </c>
      <c r="H124" s="12">
        <f>G124*VLOOKUP($A124,'EU Ref Sc 2020 Energy intensive'!$A$5:$AE$33,H$2)</f>
        <v>2.0369567777224642</v>
      </c>
      <c r="I124" s="12">
        <f>H124*VLOOKUP($A124,'EU Ref Sc 2020 Energy intensive'!$A$5:$AE$33,I$2)</f>
        <v>2.0446757036299523</v>
      </c>
      <c r="J124" s="12">
        <f>I124*VLOOKUP($A124,'EU Ref Sc 2020 Energy intensive'!$A$5:$AE$33,J$2)</f>
        <v>2.0232766613353799</v>
      </c>
      <c r="K124" s="12">
        <f>J124*VLOOKUP($A124,'EU Ref Sc 2020 Energy intensive'!$A$5:$AE$33,K$2)</f>
        <v>2.0018776190408074</v>
      </c>
      <c r="L124" s="12">
        <f>K124*VLOOKUP($A124,'EU Ref Sc 2020 Energy intensive'!$A$5:$AE$33,L$2)</f>
        <v>1.980478576746235</v>
      </c>
      <c r="M124" s="12">
        <f>L124*VLOOKUP($A124,'EU Ref Sc 2020 Energy intensive'!$A$5:$AE$33,M$2)</f>
        <v>1.9590795344516625</v>
      </c>
      <c r="N124" s="12">
        <f>M124*VLOOKUP($A124,'EU Ref Sc 2020 Energy intensive'!$A$5:$AE$33,N$2)</f>
        <v>1.9376804921570905</v>
      </c>
      <c r="O124" s="12">
        <f>N124*VLOOKUP($A124,'EU Ref Sc 2020 Energy intensive'!$A$5:$AE$33,O$2)</f>
        <v>1.9245540211061467</v>
      </c>
      <c r="P124" s="12">
        <f>O124*VLOOKUP($A124,'EU Ref Sc 2020 Energy intensive'!$A$5:$AE$33,P$2)</f>
        <v>1.9114275500552029</v>
      </c>
      <c r="Q124" s="12">
        <f>P124*VLOOKUP($A124,'EU Ref Sc 2020 Energy intensive'!$A$5:$AE$33,Q$2)</f>
        <v>1.8983010790042589</v>
      </c>
      <c r="R124" s="12">
        <f>Q124*VLOOKUP($A124,'EU Ref Sc 2020 Energy intensive'!$A$5:$AE$33,R$2)</f>
        <v>1.8851746079533149</v>
      </c>
      <c r="S124" s="12">
        <f>R124*VLOOKUP($A124,'EU Ref Sc 2020 Energy intensive'!$A$5:$AE$33,S$2)</f>
        <v>1.8720481369023703</v>
      </c>
      <c r="T124" s="12">
        <f>S124*VLOOKUP($A124,'EU Ref Sc 2020 Energy intensive'!$A$5:$AE$33,T$2)</f>
        <v>1.8384296808113387</v>
      </c>
      <c r="U124" s="12">
        <f>T124*VLOOKUP($A124,'EU Ref Sc 2020 Energy intensive'!$A$5:$AE$33,U$2)</f>
        <v>1.8048112247203074</v>
      </c>
      <c r="V124" s="12">
        <f>U124*VLOOKUP($A124,'EU Ref Sc 2020 Energy intensive'!$A$5:$AE$33,V$2)</f>
        <v>1.7711927686292761</v>
      </c>
      <c r="W124" s="12">
        <f>V124*VLOOKUP($A124,'EU Ref Sc 2020 Energy intensive'!$A$5:$AE$33,W$2)</f>
        <v>1.7375743125382446</v>
      </c>
      <c r="X124" s="12">
        <f>W124*VLOOKUP($A124,'EU Ref Sc 2020 Energy intensive'!$A$5:$AE$33,X$2)</f>
        <v>1.7039558564472124</v>
      </c>
      <c r="Y124" s="12">
        <f>X124*VLOOKUP($A124,'EU Ref Sc 2020 Energy intensive'!$A$5:$AE$33,Y$2)</f>
        <v>1.6780750227263936</v>
      </c>
      <c r="Z124" s="12">
        <f>Y124*VLOOKUP($A124,'EU Ref Sc 2020 Energy intensive'!$A$5:$AE$33,Z$2)</f>
        <v>1.6521941890055747</v>
      </c>
      <c r="AA124" s="12">
        <f>Z124*VLOOKUP($A124,'EU Ref Sc 2020 Energy intensive'!$A$5:$AE$33,AA$2)</f>
        <v>1.6263133552847557</v>
      </c>
      <c r="AB124" s="12">
        <f>AA124*VLOOKUP($A124,'EU Ref Sc 2020 Energy intensive'!$A$5:$AE$33,AB$2)</f>
        <v>1.600432521563937</v>
      </c>
      <c r="AC124" s="12">
        <f>AB124*VLOOKUP($A124,'EU Ref Sc 2020 Energy intensive'!$A$5:$AE$33,AC$2)</f>
        <v>1.5745516878431185</v>
      </c>
      <c r="AD124" s="12">
        <f>AC124*VLOOKUP($A124,'EU Ref Sc 2020 Energy intensive'!$A$5:$AE$33,AD$2)</f>
        <v>1.5491490532529268</v>
      </c>
      <c r="AE124" s="12">
        <f>AD124*VLOOKUP($A124,'EU Ref Sc 2020 Energy intensive'!$A$5:$AE$33,AE$2)</f>
        <v>1.5237464186627352</v>
      </c>
      <c r="AF124" s="12">
        <f>AE124*VLOOKUP($A124,'EU Ref Sc 2020 Energy intensive'!$A$5:$AE$33,AF$2)</f>
        <v>1.4983437840725435</v>
      </c>
      <c r="AG124" s="12">
        <f>AF124*VLOOKUP($A124,'EU Ref Sc 2020 Energy intensive'!$A$5:$AE$33,AG$2)</f>
        <v>1.4729411494823519</v>
      </c>
      <c r="AH124" s="12">
        <f>AG124*VLOOKUP($A124,'EU Ref Sc 2020 Energy intensive'!$A$5:$AE$33,AH$2)</f>
        <v>1.44753851489216</v>
      </c>
      <c r="AI124" s="13">
        <f t="shared" ref="AI124:AR124" si="124">AH124</f>
        <v>1.44753851489216</v>
      </c>
      <c r="AJ124" s="13">
        <f t="shared" si="124"/>
        <v>1.44753851489216</v>
      </c>
      <c r="AK124" s="13">
        <f t="shared" si="124"/>
        <v>1.44753851489216</v>
      </c>
      <c r="AL124" s="13">
        <f t="shared" si="124"/>
        <v>1.44753851489216</v>
      </c>
      <c r="AM124" s="13">
        <f t="shared" si="124"/>
        <v>1.44753851489216</v>
      </c>
      <c r="AN124" s="13">
        <f t="shared" si="124"/>
        <v>1.44753851489216</v>
      </c>
      <c r="AO124" s="13">
        <f t="shared" si="124"/>
        <v>1.44753851489216</v>
      </c>
      <c r="AP124" s="13">
        <f t="shared" si="124"/>
        <v>1.44753851489216</v>
      </c>
      <c r="AQ124" s="13">
        <f t="shared" si="124"/>
        <v>1.44753851489216</v>
      </c>
      <c r="AR124" s="13">
        <f t="shared" si="124"/>
        <v>1.44753851489216</v>
      </c>
    </row>
    <row r="125" spans="1:44" x14ac:dyDescent="0.3">
      <c r="A125" t="s">
        <v>1403</v>
      </c>
      <c r="B125" t="s">
        <v>1404</v>
      </c>
      <c r="C125" t="s">
        <v>316</v>
      </c>
      <c r="D125" t="str">
        <f t="shared" si="99"/>
        <v>DKIMEA</v>
      </c>
      <c r="E125" s="2">
        <v>1.4119999999999999</v>
      </c>
      <c r="F125" s="7">
        <f>E125*VLOOKUP($A125,'EU Ref Sc 2020 Other industries'!$A$5:$AE$33,F$2)</f>
        <v>1.4306425452522047</v>
      </c>
      <c r="G125" s="7">
        <f>F125*VLOOKUP($A125,'EU Ref Sc 2020 Other industries'!$A$5:$AE$33,G$2)</f>
        <v>1.4492850905044095</v>
      </c>
      <c r="H125" s="7">
        <f>G125*VLOOKUP($A125,'EU Ref Sc 2020 Other industries'!$A$5:$AE$33,H$2)</f>
        <v>1.4679276357566144</v>
      </c>
      <c r="I125" s="7">
        <f>H125*VLOOKUP($A125,'EU Ref Sc 2020 Other industries'!$A$5:$AE$33,I$2)</f>
        <v>1.4865701810088188</v>
      </c>
      <c r="J125" s="7">
        <f>I125*VLOOKUP($A125,'EU Ref Sc 2020 Other industries'!$A$5:$AE$33,J$2)</f>
        <v>1.5391487889874151</v>
      </c>
      <c r="K125" s="7">
        <f>J125*VLOOKUP($A125,'EU Ref Sc 2020 Other industries'!$A$5:$AE$33,K$2)</f>
        <v>1.5917273969660115</v>
      </c>
      <c r="L125" s="7">
        <f>K125*VLOOKUP($A125,'EU Ref Sc 2020 Other industries'!$A$5:$AE$33,L$2)</f>
        <v>1.6443060049446079</v>
      </c>
      <c r="M125" s="7">
        <f>L125*VLOOKUP($A125,'EU Ref Sc 2020 Other industries'!$A$5:$AE$33,M$2)</f>
        <v>1.6968846129232045</v>
      </c>
      <c r="N125" s="7">
        <f>M125*VLOOKUP($A125,'EU Ref Sc 2020 Other industries'!$A$5:$AE$33,N$2)</f>
        <v>1.7494632209018015</v>
      </c>
      <c r="O125" s="7">
        <f>N125*VLOOKUP($A125,'EU Ref Sc 2020 Other industries'!$A$5:$AE$33,O$2)</f>
        <v>1.752895714895754</v>
      </c>
      <c r="P125" s="7">
        <f>O125*VLOOKUP($A125,'EU Ref Sc 2020 Other industries'!$A$5:$AE$33,P$2)</f>
        <v>1.7563282088897065</v>
      </c>
      <c r="Q125" s="7">
        <f>P125*VLOOKUP($A125,'EU Ref Sc 2020 Other industries'!$A$5:$AE$33,Q$2)</f>
        <v>1.759760702883659</v>
      </c>
      <c r="R125" s="7">
        <f>Q125*VLOOKUP($A125,'EU Ref Sc 2020 Other industries'!$A$5:$AE$33,R$2)</f>
        <v>1.7631931968776118</v>
      </c>
      <c r="S125" s="7">
        <f>R125*VLOOKUP($A125,'EU Ref Sc 2020 Other industries'!$A$5:$AE$33,S$2)</f>
        <v>1.7666256908715638</v>
      </c>
      <c r="T125" s="7">
        <f>S125*VLOOKUP($A125,'EU Ref Sc 2020 Other industries'!$A$5:$AE$33,T$2)</f>
        <v>1.7831234797511817</v>
      </c>
      <c r="U125" s="7">
        <f>T125*VLOOKUP($A125,'EU Ref Sc 2020 Other industries'!$A$5:$AE$33,U$2)</f>
        <v>1.7996212686307995</v>
      </c>
      <c r="V125" s="7">
        <f>U125*VLOOKUP($A125,'EU Ref Sc 2020 Other industries'!$A$5:$AE$33,V$2)</f>
        <v>1.8161190575104174</v>
      </c>
      <c r="W125" s="7">
        <f>V125*VLOOKUP($A125,'EU Ref Sc 2020 Other industries'!$A$5:$AE$33,W$2)</f>
        <v>1.8326168463900352</v>
      </c>
      <c r="X125" s="7">
        <f>W125*VLOOKUP($A125,'EU Ref Sc 2020 Other industries'!$A$5:$AE$33,X$2)</f>
        <v>1.8491146352696528</v>
      </c>
      <c r="Y125" s="7">
        <f>X125*VLOOKUP($A125,'EU Ref Sc 2020 Other industries'!$A$5:$AE$33,Y$2)</f>
        <v>1.8721377845507601</v>
      </c>
      <c r="Z125" s="7">
        <f>Y125*VLOOKUP($A125,'EU Ref Sc 2020 Other industries'!$A$5:$AE$33,Z$2)</f>
        <v>1.8951609338318673</v>
      </c>
      <c r="AA125" s="7">
        <f>Z125*VLOOKUP($A125,'EU Ref Sc 2020 Other industries'!$A$5:$AE$33,AA$2)</f>
        <v>1.9181840831129744</v>
      </c>
      <c r="AB125" s="7">
        <f>AA125*VLOOKUP($A125,'EU Ref Sc 2020 Other industries'!$A$5:$AE$33,AB$2)</f>
        <v>1.9412072323940812</v>
      </c>
      <c r="AC125" s="7">
        <f>AB125*VLOOKUP($A125,'EU Ref Sc 2020 Other industries'!$A$5:$AE$33,AC$2)</f>
        <v>1.9642303816751883</v>
      </c>
      <c r="AD125" s="7">
        <f>AC125*VLOOKUP($A125,'EU Ref Sc 2020 Other industries'!$A$5:$AE$33,AD$2)</f>
        <v>1.9860880606732112</v>
      </c>
      <c r="AE125" s="7">
        <f>AD125*VLOOKUP($A125,'EU Ref Sc 2020 Other industries'!$A$5:$AE$33,AE$2)</f>
        <v>2.0079457396712339</v>
      </c>
      <c r="AF125" s="7">
        <f>AE125*VLOOKUP($A125,'EU Ref Sc 2020 Other industries'!$A$5:$AE$33,AF$2)</f>
        <v>2.0298034186692568</v>
      </c>
      <c r="AG125" s="7">
        <f>AF125*VLOOKUP($A125,'EU Ref Sc 2020 Other industries'!$A$5:$AE$33,AG$2)</f>
        <v>2.0516610976672798</v>
      </c>
      <c r="AH125" s="7">
        <f>AG125*VLOOKUP($A125,'EU Ref Sc 2020 Other industries'!$A$5:$AE$33,AH$2)</f>
        <v>2.0735187766653027</v>
      </c>
      <c r="AI125" s="13">
        <f t="shared" ref="AI125:AR125" si="125">AH125</f>
        <v>2.0735187766653027</v>
      </c>
      <c r="AJ125" s="13">
        <f t="shared" si="125"/>
        <v>2.0735187766653027</v>
      </c>
      <c r="AK125" s="13">
        <f t="shared" si="125"/>
        <v>2.0735187766653027</v>
      </c>
      <c r="AL125" s="13">
        <f t="shared" si="125"/>
        <v>2.0735187766653027</v>
      </c>
      <c r="AM125" s="13">
        <f t="shared" si="125"/>
        <v>2.0735187766653027</v>
      </c>
      <c r="AN125" s="13">
        <f t="shared" si="125"/>
        <v>2.0735187766653027</v>
      </c>
      <c r="AO125" s="13">
        <f t="shared" si="125"/>
        <v>2.0735187766653027</v>
      </c>
      <c r="AP125" s="13">
        <f t="shared" si="125"/>
        <v>2.0735187766653027</v>
      </c>
      <c r="AQ125" s="13">
        <f t="shared" si="125"/>
        <v>2.0735187766653027</v>
      </c>
      <c r="AR125" s="13">
        <f t="shared" si="125"/>
        <v>2.0735187766653027</v>
      </c>
    </row>
    <row r="126" spans="1:44" x14ac:dyDescent="0.3">
      <c r="A126" t="s">
        <v>1405</v>
      </c>
      <c r="B126" t="s">
        <v>1404</v>
      </c>
      <c r="C126" t="s">
        <v>371</v>
      </c>
      <c r="D126" t="str">
        <f t="shared" si="99"/>
        <v>EEIMEA</v>
      </c>
      <c r="E126" s="2">
        <v>0.23499999999999999</v>
      </c>
      <c r="F126" s="7">
        <f>E126*VLOOKUP($A126,'EU Ref Sc 2020 Other industries'!$A$5:$AE$33,F$2)</f>
        <v>0.24484602582105672</v>
      </c>
      <c r="G126" s="7">
        <f>F126*VLOOKUP($A126,'EU Ref Sc 2020 Other industries'!$A$5:$AE$33,G$2)</f>
        <v>0.25469205164211345</v>
      </c>
      <c r="H126" s="7">
        <f>G126*VLOOKUP($A126,'EU Ref Sc 2020 Other industries'!$A$5:$AE$33,H$2)</f>
        <v>0.26453807746317021</v>
      </c>
      <c r="I126" s="7">
        <f>H126*VLOOKUP($A126,'EU Ref Sc 2020 Other industries'!$A$5:$AE$33,I$2)</f>
        <v>0.27438410328422702</v>
      </c>
      <c r="J126" s="7">
        <f>I126*VLOOKUP($A126,'EU Ref Sc 2020 Other industries'!$A$5:$AE$33,J$2)</f>
        <v>0.28416641903248507</v>
      </c>
      <c r="K126" s="7">
        <f>J126*VLOOKUP($A126,'EU Ref Sc 2020 Other industries'!$A$5:$AE$33,K$2)</f>
        <v>0.29394873478074313</v>
      </c>
      <c r="L126" s="7">
        <f>K126*VLOOKUP($A126,'EU Ref Sc 2020 Other industries'!$A$5:$AE$33,L$2)</f>
        <v>0.30373105052900123</v>
      </c>
      <c r="M126" s="7">
        <f>L126*VLOOKUP($A126,'EU Ref Sc 2020 Other industries'!$A$5:$AE$33,M$2)</f>
        <v>0.31351336627725929</v>
      </c>
      <c r="N126" s="7">
        <f>M126*VLOOKUP($A126,'EU Ref Sc 2020 Other industries'!$A$5:$AE$33,N$2)</f>
        <v>0.32329568202551745</v>
      </c>
      <c r="O126" s="7">
        <f>N126*VLOOKUP($A126,'EU Ref Sc 2020 Other industries'!$A$5:$AE$33,O$2)</f>
        <v>0.32352561565118593</v>
      </c>
      <c r="P126" s="7">
        <f>O126*VLOOKUP($A126,'EU Ref Sc 2020 Other industries'!$A$5:$AE$33,P$2)</f>
        <v>0.3237555492768544</v>
      </c>
      <c r="Q126" s="7">
        <f>P126*VLOOKUP($A126,'EU Ref Sc 2020 Other industries'!$A$5:$AE$33,Q$2)</f>
        <v>0.32398548290252294</v>
      </c>
      <c r="R126" s="7">
        <f>Q126*VLOOKUP($A126,'EU Ref Sc 2020 Other industries'!$A$5:$AE$33,R$2)</f>
        <v>0.32421541652819141</v>
      </c>
      <c r="S126" s="7">
        <f>R126*VLOOKUP($A126,'EU Ref Sc 2020 Other industries'!$A$5:$AE$33,S$2)</f>
        <v>0.32444535015385989</v>
      </c>
      <c r="T126" s="7">
        <f>S126*VLOOKUP($A126,'EU Ref Sc 2020 Other industries'!$A$5:$AE$33,T$2)</f>
        <v>0.32297719354204046</v>
      </c>
      <c r="U126" s="7">
        <f>T126*VLOOKUP($A126,'EU Ref Sc 2020 Other industries'!$A$5:$AE$33,U$2)</f>
        <v>0.32150903693022104</v>
      </c>
      <c r="V126" s="7">
        <f>U126*VLOOKUP($A126,'EU Ref Sc 2020 Other industries'!$A$5:$AE$33,V$2)</f>
        <v>0.32004088031840161</v>
      </c>
      <c r="W126" s="7">
        <f>V126*VLOOKUP($A126,'EU Ref Sc 2020 Other industries'!$A$5:$AE$33,W$2)</f>
        <v>0.31857272370658218</v>
      </c>
      <c r="X126" s="7">
        <f>W126*VLOOKUP($A126,'EU Ref Sc 2020 Other industries'!$A$5:$AE$33,X$2)</f>
        <v>0.31710456709476287</v>
      </c>
      <c r="Y126" s="7">
        <f>X126*VLOOKUP($A126,'EU Ref Sc 2020 Other industries'!$A$5:$AE$33,Y$2)</f>
        <v>0.31711358488174807</v>
      </c>
      <c r="Z126" s="7">
        <f>Y126*VLOOKUP($A126,'EU Ref Sc 2020 Other industries'!$A$5:$AE$33,Z$2)</f>
        <v>0.31712260266873321</v>
      </c>
      <c r="AA126" s="7">
        <f>Z126*VLOOKUP($A126,'EU Ref Sc 2020 Other industries'!$A$5:$AE$33,AA$2)</f>
        <v>0.31713162045571841</v>
      </c>
      <c r="AB126" s="7">
        <f>AA126*VLOOKUP($A126,'EU Ref Sc 2020 Other industries'!$A$5:$AE$33,AB$2)</f>
        <v>0.31714063824270361</v>
      </c>
      <c r="AC126" s="7">
        <f>AB126*VLOOKUP($A126,'EU Ref Sc 2020 Other industries'!$A$5:$AE$33,AC$2)</f>
        <v>0.31714965602968886</v>
      </c>
      <c r="AD126" s="7">
        <f>AC126*VLOOKUP($A126,'EU Ref Sc 2020 Other industries'!$A$5:$AE$33,AD$2)</f>
        <v>0.3164366224458946</v>
      </c>
      <c r="AE126" s="7">
        <f>AD126*VLOOKUP($A126,'EU Ref Sc 2020 Other industries'!$A$5:$AE$33,AE$2)</f>
        <v>0.31572358886210039</v>
      </c>
      <c r="AF126" s="7">
        <f>AE126*VLOOKUP($A126,'EU Ref Sc 2020 Other industries'!$A$5:$AE$33,AF$2)</f>
        <v>0.31501055527830618</v>
      </c>
      <c r="AG126" s="7">
        <f>AF126*VLOOKUP($A126,'EU Ref Sc 2020 Other industries'!$A$5:$AE$33,AG$2)</f>
        <v>0.31429752169451192</v>
      </c>
      <c r="AH126" s="7">
        <f>AG126*VLOOKUP($A126,'EU Ref Sc 2020 Other industries'!$A$5:$AE$33,AH$2)</f>
        <v>0.3135844881107176</v>
      </c>
      <c r="AI126" s="13">
        <f t="shared" ref="AI126:AR126" si="126">AH126</f>
        <v>0.3135844881107176</v>
      </c>
      <c r="AJ126" s="13">
        <f t="shared" si="126"/>
        <v>0.3135844881107176</v>
      </c>
      <c r="AK126" s="13">
        <f t="shared" si="126"/>
        <v>0.3135844881107176</v>
      </c>
      <c r="AL126" s="13">
        <f t="shared" si="126"/>
        <v>0.3135844881107176</v>
      </c>
      <c r="AM126" s="13">
        <f t="shared" si="126"/>
        <v>0.3135844881107176</v>
      </c>
      <c r="AN126" s="13">
        <f t="shared" si="126"/>
        <v>0.3135844881107176</v>
      </c>
      <c r="AO126" s="13">
        <f t="shared" si="126"/>
        <v>0.3135844881107176</v>
      </c>
      <c r="AP126" s="13">
        <f t="shared" si="126"/>
        <v>0.3135844881107176</v>
      </c>
      <c r="AQ126" s="13">
        <f t="shared" si="126"/>
        <v>0.3135844881107176</v>
      </c>
      <c r="AR126" s="13">
        <f t="shared" si="126"/>
        <v>0.3135844881107176</v>
      </c>
    </row>
    <row r="127" spans="1:44" x14ac:dyDescent="0.3">
      <c r="A127" t="s">
        <v>1412</v>
      </c>
      <c r="B127" t="s">
        <v>1404</v>
      </c>
      <c r="C127" t="s">
        <v>701</v>
      </c>
      <c r="D127" t="str">
        <f t="shared" si="99"/>
        <v>HUIMEA</v>
      </c>
      <c r="E127" s="2">
        <v>3.7303000000000002</v>
      </c>
      <c r="F127" s="7">
        <f>E127*VLOOKUP($A127,'EU Ref Sc 2020 Other industries'!$A$5:$AE$33,F$2)</f>
        <v>3.7868142534225608</v>
      </c>
      <c r="G127" s="7">
        <f>F127*VLOOKUP($A127,'EU Ref Sc 2020 Other industries'!$A$5:$AE$33,G$2)</f>
        <v>3.8433285068451215</v>
      </c>
      <c r="H127" s="7">
        <f>G127*VLOOKUP($A127,'EU Ref Sc 2020 Other industries'!$A$5:$AE$33,H$2)</f>
        <v>3.8998427602676822</v>
      </c>
      <c r="I127" s="7">
        <f>H127*VLOOKUP($A127,'EU Ref Sc 2020 Other industries'!$A$5:$AE$33,I$2)</f>
        <v>3.9563570136902433</v>
      </c>
      <c r="J127" s="7">
        <f>I127*VLOOKUP($A127,'EU Ref Sc 2020 Other industries'!$A$5:$AE$33,J$2)</f>
        <v>4.1351350974477485</v>
      </c>
      <c r="K127" s="7">
        <f>J127*VLOOKUP($A127,'EU Ref Sc 2020 Other industries'!$A$5:$AE$33,K$2)</f>
        <v>4.3139131812052538</v>
      </c>
      <c r="L127" s="7">
        <f>K127*VLOOKUP($A127,'EU Ref Sc 2020 Other industries'!$A$5:$AE$33,L$2)</f>
        <v>4.4926912649627591</v>
      </c>
      <c r="M127" s="7">
        <f>L127*VLOOKUP($A127,'EU Ref Sc 2020 Other industries'!$A$5:$AE$33,M$2)</f>
        <v>4.6714693487202634</v>
      </c>
      <c r="N127" s="7">
        <f>M127*VLOOKUP($A127,'EU Ref Sc 2020 Other industries'!$A$5:$AE$33,N$2)</f>
        <v>4.8502474324777696</v>
      </c>
      <c r="O127" s="7">
        <f>N127*VLOOKUP($A127,'EU Ref Sc 2020 Other industries'!$A$5:$AE$33,O$2)</f>
        <v>4.8692299762696605</v>
      </c>
      <c r="P127" s="7">
        <f>O127*VLOOKUP($A127,'EU Ref Sc 2020 Other industries'!$A$5:$AE$33,P$2)</f>
        <v>4.8882125200615514</v>
      </c>
      <c r="Q127" s="7">
        <f>P127*VLOOKUP($A127,'EU Ref Sc 2020 Other industries'!$A$5:$AE$33,Q$2)</f>
        <v>4.9071950638534423</v>
      </c>
      <c r="R127" s="7">
        <f>Q127*VLOOKUP($A127,'EU Ref Sc 2020 Other industries'!$A$5:$AE$33,R$2)</f>
        <v>4.9261776076453332</v>
      </c>
      <c r="S127" s="7">
        <f>R127*VLOOKUP($A127,'EU Ref Sc 2020 Other industries'!$A$5:$AE$33,S$2)</f>
        <v>4.9451601514372223</v>
      </c>
      <c r="T127" s="7">
        <f>S127*VLOOKUP($A127,'EU Ref Sc 2020 Other industries'!$A$5:$AE$33,T$2)</f>
        <v>4.9202200533111995</v>
      </c>
      <c r="U127" s="7">
        <f>T127*VLOOKUP($A127,'EU Ref Sc 2020 Other industries'!$A$5:$AE$33,U$2)</f>
        <v>4.8952799551851767</v>
      </c>
      <c r="V127" s="7">
        <f>U127*VLOOKUP($A127,'EU Ref Sc 2020 Other industries'!$A$5:$AE$33,V$2)</f>
        <v>4.8703398570591538</v>
      </c>
      <c r="W127" s="7">
        <f>V127*VLOOKUP($A127,'EU Ref Sc 2020 Other industries'!$A$5:$AE$33,W$2)</f>
        <v>4.845399758933131</v>
      </c>
      <c r="X127" s="7">
        <f>W127*VLOOKUP($A127,'EU Ref Sc 2020 Other industries'!$A$5:$AE$33,X$2)</f>
        <v>4.8204596608071109</v>
      </c>
      <c r="Y127" s="7">
        <f>X127*VLOOKUP($A127,'EU Ref Sc 2020 Other industries'!$A$5:$AE$33,Y$2)</f>
        <v>4.7880466706648646</v>
      </c>
      <c r="Z127" s="7">
        <f>Y127*VLOOKUP($A127,'EU Ref Sc 2020 Other industries'!$A$5:$AE$33,Z$2)</f>
        <v>4.7556336805226183</v>
      </c>
      <c r="AA127" s="7">
        <f>Z127*VLOOKUP($A127,'EU Ref Sc 2020 Other industries'!$A$5:$AE$33,AA$2)</f>
        <v>4.723220690380372</v>
      </c>
      <c r="AB127" s="7">
        <f>AA127*VLOOKUP($A127,'EU Ref Sc 2020 Other industries'!$A$5:$AE$33,AB$2)</f>
        <v>4.6908077002381257</v>
      </c>
      <c r="AC127" s="7">
        <f>AB127*VLOOKUP($A127,'EU Ref Sc 2020 Other industries'!$A$5:$AE$33,AC$2)</f>
        <v>4.6583947100958785</v>
      </c>
      <c r="AD127" s="7">
        <f>AC127*VLOOKUP($A127,'EU Ref Sc 2020 Other industries'!$A$5:$AE$33,AD$2)</f>
        <v>4.7108507195756371</v>
      </c>
      <c r="AE127" s="7">
        <f>AD127*VLOOKUP($A127,'EU Ref Sc 2020 Other industries'!$A$5:$AE$33,AE$2)</f>
        <v>4.7633067290553948</v>
      </c>
      <c r="AF127" s="7">
        <f>AE127*VLOOKUP($A127,'EU Ref Sc 2020 Other industries'!$A$5:$AE$33,AF$2)</f>
        <v>4.8157627385351525</v>
      </c>
      <c r="AG127" s="7">
        <f>AF127*VLOOKUP($A127,'EU Ref Sc 2020 Other industries'!$A$5:$AE$33,AG$2)</f>
        <v>4.8682187480149102</v>
      </c>
      <c r="AH127" s="7">
        <f>AG127*VLOOKUP($A127,'EU Ref Sc 2020 Other industries'!$A$5:$AE$33,AH$2)</f>
        <v>4.9206747574946688</v>
      </c>
      <c r="AI127" s="13">
        <f t="shared" ref="AI127:AR127" si="127">AH127</f>
        <v>4.9206747574946688</v>
      </c>
      <c r="AJ127" s="13">
        <f t="shared" si="127"/>
        <v>4.9206747574946688</v>
      </c>
      <c r="AK127" s="13">
        <f t="shared" si="127"/>
        <v>4.9206747574946688</v>
      </c>
      <c r="AL127" s="13">
        <f t="shared" si="127"/>
        <v>4.9206747574946688</v>
      </c>
      <c r="AM127" s="13">
        <f t="shared" si="127"/>
        <v>4.9206747574946688</v>
      </c>
      <c r="AN127" s="13">
        <f t="shared" si="127"/>
        <v>4.9206747574946688</v>
      </c>
      <c r="AO127" s="13">
        <f t="shared" si="127"/>
        <v>4.9206747574946688</v>
      </c>
      <c r="AP127" s="13">
        <f t="shared" si="127"/>
        <v>4.9206747574946688</v>
      </c>
      <c r="AQ127" s="13">
        <f t="shared" si="127"/>
        <v>4.9206747574946688</v>
      </c>
      <c r="AR127" s="13">
        <f t="shared" si="127"/>
        <v>4.9206747574946688</v>
      </c>
    </row>
    <row r="128" spans="1:44" x14ac:dyDescent="0.3">
      <c r="A128" t="s">
        <v>1414</v>
      </c>
      <c r="B128" t="s">
        <v>1404</v>
      </c>
      <c r="C128" t="s">
        <v>811</v>
      </c>
      <c r="D128" t="str">
        <f t="shared" si="99"/>
        <v>ITIMEA</v>
      </c>
      <c r="E128" s="2">
        <v>25.8782</v>
      </c>
      <c r="F128" s="7">
        <f>E128*VLOOKUP($A128,'EU Ref Sc 2020 Other industries'!$A$5:$AE$33,F$2)</f>
        <v>26.187082757524941</v>
      </c>
      <c r="G128" s="7">
        <f>F128*VLOOKUP($A128,'EU Ref Sc 2020 Other industries'!$A$5:$AE$33,G$2)</f>
        <v>26.495965515049882</v>
      </c>
      <c r="H128" s="7">
        <f>G128*VLOOKUP($A128,'EU Ref Sc 2020 Other industries'!$A$5:$AE$33,H$2)</f>
        <v>26.804848272574823</v>
      </c>
      <c r="I128" s="7">
        <f>H128*VLOOKUP($A128,'EU Ref Sc 2020 Other industries'!$A$5:$AE$33,I$2)</f>
        <v>27.113731030099764</v>
      </c>
      <c r="J128" s="7">
        <f>I128*VLOOKUP($A128,'EU Ref Sc 2020 Other industries'!$A$5:$AE$33,J$2)</f>
        <v>26.874018502325907</v>
      </c>
      <c r="K128" s="7">
        <f>J128*VLOOKUP($A128,'EU Ref Sc 2020 Other industries'!$A$5:$AE$33,K$2)</f>
        <v>26.634305974552049</v>
      </c>
      <c r="L128" s="7">
        <f>K128*VLOOKUP($A128,'EU Ref Sc 2020 Other industries'!$A$5:$AE$33,L$2)</f>
        <v>26.394593446778192</v>
      </c>
      <c r="M128" s="7">
        <f>L128*VLOOKUP($A128,'EU Ref Sc 2020 Other industries'!$A$5:$AE$33,M$2)</f>
        <v>26.154880919004334</v>
      </c>
      <c r="N128" s="7">
        <f>M128*VLOOKUP($A128,'EU Ref Sc 2020 Other industries'!$A$5:$AE$33,N$2)</f>
        <v>25.915168391230473</v>
      </c>
      <c r="O128" s="7">
        <f>N128*VLOOKUP($A128,'EU Ref Sc 2020 Other industries'!$A$5:$AE$33,O$2)</f>
        <v>25.669521164355558</v>
      </c>
      <c r="P128" s="7">
        <f>O128*VLOOKUP($A128,'EU Ref Sc 2020 Other industries'!$A$5:$AE$33,P$2)</f>
        <v>25.423873937480643</v>
      </c>
      <c r="Q128" s="7">
        <f>P128*VLOOKUP($A128,'EU Ref Sc 2020 Other industries'!$A$5:$AE$33,Q$2)</f>
        <v>25.178226710605728</v>
      </c>
      <c r="R128" s="7">
        <f>Q128*VLOOKUP($A128,'EU Ref Sc 2020 Other industries'!$A$5:$AE$33,R$2)</f>
        <v>24.932579483730816</v>
      </c>
      <c r="S128" s="7">
        <f>R128*VLOOKUP($A128,'EU Ref Sc 2020 Other industries'!$A$5:$AE$33,S$2)</f>
        <v>24.686932256855901</v>
      </c>
      <c r="T128" s="7">
        <f>S128*VLOOKUP($A128,'EU Ref Sc 2020 Other industries'!$A$5:$AE$33,T$2)</f>
        <v>24.683320897368365</v>
      </c>
      <c r="U128" s="7">
        <f>T128*VLOOKUP($A128,'EU Ref Sc 2020 Other industries'!$A$5:$AE$33,U$2)</f>
        <v>24.679709537880825</v>
      </c>
      <c r="V128" s="7">
        <f>U128*VLOOKUP($A128,'EU Ref Sc 2020 Other industries'!$A$5:$AE$33,V$2)</f>
        <v>24.676098178393289</v>
      </c>
      <c r="W128" s="7">
        <f>V128*VLOOKUP($A128,'EU Ref Sc 2020 Other industries'!$A$5:$AE$33,W$2)</f>
        <v>24.67248681890575</v>
      </c>
      <c r="X128" s="7">
        <f>W128*VLOOKUP($A128,'EU Ref Sc 2020 Other industries'!$A$5:$AE$33,X$2)</f>
        <v>24.668875459418221</v>
      </c>
      <c r="Y128" s="7">
        <f>X128*VLOOKUP($A128,'EU Ref Sc 2020 Other industries'!$A$5:$AE$33,Y$2)</f>
        <v>24.662940044034251</v>
      </c>
      <c r="Z128" s="7">
        <f>Y128*VLOOKUP($A128,'EU Ref Sc 2020 Other industries'!$A$5:$AE$33,Z$2)</f>
        <v>24.657004628650281</v>
      </c>
      <c r="AA128" s="7">
        <f>Z128*VLOOKUP($A128,'EU Ref Sc 2020 Other industries'!$A$5:$AE$33,AA$2)</f>
        <v>24.651069213266311</v>
      </c>
      <c r="AB128" s="7">
        <f>AA128*VLOOKUP($A128,'EU Ref Sc 2020 Other industries'!$A$5:$AE$33,AB$2)</f>
        <v>24.645133797882341</v>
      </c>
      <c r="AC128" s="7">
        <f>AB128*VLOOKUP($A128,'EU Ref Sc 2020 Other industries'!$A$5:$AE$33,AC$2)</f>
        <v>24.639198382498382</v>
      </c>
      <c r="AD128" s="7">
        <f>AC128*VLOOKUP($A128,'EU Ref Sc 2020 Other industries'!$A$5:$AE$33,AD$2)</f>
        <v>24.732677308733777</v>
      </c>
      <c r="AE128" s="7">
        <f>AD128*VLOOKUP($A128,'EU Ref Sc 2020 Other industries'!$A$5:$AE$33,AE$2)</f>
        <v>24.826156234969169</v>
      </c>
      <c r="AF128" s="7">
        <f>AE128*VLOOKUP($A128,'EU Ref Sc 2020 Other industries'!$A$5:$AE$33,AF$2)</f>
        <v>24.91963516120456</v>
      </c>
      <c r="AG128" s="7">
        <f>AF128*VLOOKUP($A128,'EU Ref Sc 2020 Other industries'!$A$5:$AE$33,AG$2)</f>
        <v>25.013114087439952</v>
      </c>
      <c r="AH128" s="7">
        <f>AG128*VLOOKUP($A128,'EU Ref Sc 2020 Other industries'!$A$5:$AE$33,AH$2)</f>
        <v>25.106593013675337</v>
      </c>
      <c r="AI128" s="13">
        <f t="shared" ref="AI128:AR128" si="128">AH128</f>
        <v>25.106593013675337</v>
      </c>
      <c r="AJ128" s="13">
        <f t="shared" si="128"/>
        <v>25.106593013675337</v>
      </c>
      <c r="AK128" s="13">
        <f t="shared" si="128"/>
        <v>25.106593013675337</v>
      </c>
      <c r="AL128" s="13">
        <f t="shared" si="128"/>
        <v>25.106593013675337</v>
      </c>
      <c r="AM128" s="13">
        <f t="shared" si="128"/>
        <v>25.106593013675337</v>
      </c>
      <c r="AN128" s="13">
        <f t="shared" si="128"/>
        <v>25.106593013675337</v>
      </c>
      <c r="AO128" s="13">
        <f t="shared" si="128"/>
        <v>25.106593013675337</v>
      </c>
      <c r="AP128" s="13">
        <f t="shared" si="128"/>
        <v>25.106593013675337</v>
      </c>
      <c r="AQ128" s="13">
        <f t="shared" si="128"/>
        <v>25.106593013675337</v>
      </c>
      <c r="AR128" s="13">
        <f t="shared" si="128"/>
        <v>25.106593013675337</v>
      </c>
    </row>
    <row r="129" spans="1:44" x14ac:dyDescent="0.3">
      <c r="A129" t="s">
        <v>1424</v>
      </c>
      <c r="B129" t="s">
        <v>1404</v>
      </c>
      <c r="C129" t="s">
        <v>1284</v>
      </c>
      <c r="D129" t="str">
        <f t="shared" si="99"/>
        <v>SIIMEA</v>
      </c>
      <c r="E129" s="2">
        <v>1.3783000000000001</v>
      </c>
      <c r="F129" s="7">
        <f>E129*VLOOKUP($A129,'EU Ref Sc 2020 Other industries'!$A$5:$AE$33,F$2)</f>
        <v>1.4238617979298103</v>
      </c>
      <c r="G129" s="7">
        <f>F129*VLOOKUP($A129,'EU Ref Sc 2020 Other industries'!$A$5:$AE$33,G$2)</f>
        <v>1.4694235958596202</v>
      </c>
      <c r="H129" s="7">
        <f>G129*VLOOKUP($A129,'EU Ref Sc 2020 Other industries'!$A$5:$AE$33,H$2)</f>
        <v>1.5149853937894304</v>
      </c>
      <c r="I129" s="7">
        <f>H129*VLOOKUP($A129,'EU Ref Sc 2020 Other industries'!$A$5:$AE$33,I$2)</f>
        <v>1.5605471917192402</v>
      </c>
      <c r="J129" s="7">
        <f>I129*VLOOKUP($A129,'EU Ref Sc 2020 Other industries'!$A$5:$AE$33,J$2)</f>
        <v>1.5879337451577271</v>
      </c>
      <c r="K129" s="7">
        <f>J129*VLOOKUP($A129,'EU Ref Sc 2020 Other industries'!$A$5:$AE$33,K$2)</f>
        <v>1.6153202985962141</v>
      </c>
      <c r="L129" s="7">
        <f>K129*VLOOKUP($A129,'EU Ref Sc 2020 Other industries'!$A$5:$AE$33,L$2)</f>
        <v>1.642706852034701</v>
      </c>
      <c r="M129" s="7">
        <f>L129*VLOOKUP($A129,'EU Ref Sc 2020 Other industries'!$A$5:$AE$33,M$2)</f>
        <v>1.6700934054731882</v>
      </c>
      <c r="N129" s="7">
        <f>M129*VLOOKUP($A129,'EU Ref Sc 2020 Other industries'!$A$5:$AE$33,N$2)</f>
        <v>1.6974799589116747</v>
      </c>
      <c r="O129" s="7">
        <f>N129*VLOOKUP($A129,'EU Ref Sc 2020 Other industries'!$A$5:$AE$33,O$2)</f>
        <v>1.7172527014827152</v>
      </c>
      <c r="P129" s="7">
        <f>O129*VLOOKUP($A129,'EU Ref Sc 2020 Other industries'!$A$5:$AE$33,P$2)</f>
        <v>1.737025444053756</v>
      </c>
      <c r="Q129" s="7">
        <f>P129*VLOOKUP($A129,'EU Ref Sc 2020 Other industries'!$A$5:$AE$33,Q$2)</f>
        <v>1.7567981866247966</v>
      </c>
      <c r="R129" s="7">
        <f>Q129*VLOOKUP($A129,'EU Ref Sc 2020 Other industries'!$A$5:$AE$33,R$2)</f>
        <v>1.7765709291958371</v>
      </c>
      <c r="S129" s="7">
        <f>R129*VLOOKUP($A129,'EU Ref Sc 2020 Other industries'!$A$5:$AE$33,S$2)</f>
        <v>1.7963436717668781</v>
      </c>
      <c r="T129" s="7">
        <f>S129*VLOOKUP($A129,'EU Ref Sc 2020 Other industries'!$A$5:$AE$33,T$2)</f>
        <v>1.808333128406693</v>
      </c>
      <c r="U129" s="7">
        <f>T129*VLOOKUP($A129,'EU Ref Sc 2020 Other industries'!$A$5:$AE$33,U$2)</f>
        <v>1.8203225850465081</v>
      </c>
      <c r="V129" s="7">
        <f>U129*VLOOKUP($A129,'EU Ref Sc 2020 Other industries'!$A$5:$AE$33,V$2)</f>
        <v>1.832312041686323</v>
      </c>
      <c r="W129" s="7">
        <f>V129*VLOOKUP($A129,'EU Ref Sc 2020 Other industries'!$A$5:$AE$33,W$2)</f>
        <v>1.8443014983261377</v>
      </c>
      <c r="X129" s="7">
        <f>W129*VLOOKUP($A129,'EU Ref Sc 2020 Other industries'!$A$5:$AE$33,X$2)</f>
        <v>1.8562909549659521</v>
      </c>
      <c r="Y129" s="7">
        <f>X129*VLOOKUP($A129,'EU Ref Sc 2020 Other industries'!$A$5:$AE$33,Y$2)</f>
        <v>1.8674064336674434</v>
      </c>
      <c r="Z129" s="7">
        <f>Y129*VLOOKUP($A129,'EU Ref Sc 2020 Other industries'!$A$5:$AE$33,Z$2)</f>
        <v>1.8785219123689345</v>
      </c>
      <c r="AA129" s="7">
        <f>Z129*VLOOKUP($A129,'EU Ref Sc 2020 Other industries'!$A$5:$AE$33,AA$2)</f>
        <v>1.8896373910704258</v>
      </c>
      <c r="AB129" s="7">
        <f>AA129*VLOOKUP($A129,'EU Ref Sc 2020 Other industries'!$A$5:$AE$33,AB$2)</f>
        <v>1.9007528697719169</v>
      </c>
      <c r="AC129" s="7">
        <f>AB129*VLOOKUP($A129,'EU Ref Sc 2020 Other industries'!$A$5:$AE$33,AC$2)</f>
        <v>1.911868348473408</v>
      </c>
      <c r="AD129" s="7">
        <f>AC129*VLOOKUP($A129,'EU Ref Sc 2020 Other industries'!$A$5:$AE$33,AD$2)</f>
        <v>1.9277478948212239</v>
      </c>
      <c r="AE129" s="7">
        <f>AD129*VLOOKUP($A129,'EU Ref Sc 2020 Other industries'!$A$5:$AE$33,AE$2)</f>
        <v>1.9436274411690397</v>
      </c>
      <c r="AF129" s="7">
        <f>AE129*VLOOKUP($A129,'EU Ref Sc 2020 Other industries'!$A$5:$AE$33,AF$2)</f>
        <v>1.9595069875168556</v>
      </c>
      <c r="AG129" s="7">
        <f>AF129*VLOOKUP($A129,'EU Ref Sc 2020 Other industries'!$A$5:$AE$33,AG$2)</f>
        <v>1.9753865338646717</v>
      </c>
      <c r="AH129" s="7">
        <f>AG129*VLOOKUP($A129,'EU Ref Sc 2020 Other industries'!$A$5:$AE$33,AH$2)</f>
        <v>1.9912660802124871</v>
      </c>
      <c r="AI129" s="13">
        <f t="shared" ref="AI129:AR129" si="129">AH129</f>
        <v>1.9912660802124871</v>
      </c>
      <c r="AJ129" s="13">
        <f t="shared" si="129"/>
        <v>1.9912660802124871</v>
      </c>
      <c r="AK129" s="13">
        <f t="shared" si="129"/>
        <v>1.9912660802124871</v>
      </c>
      <c r="AL129" s="13">
        <f t="shared" si="129"/>
        <v>1.9912660802124871</v>
      </c>
      <c r="AM129" s="13">
        <f t="shared" si="129"/>
        <v>1.9912660802124871</v>
      </c>
      <c r="AN129" s="13">
        <f t="shared" si="129"/>
        <v>1.9912660802124871</v>
      </c>
      <c r="AO129" s="13">
        <f t="shared" si="129"/>
        <v>1.9912660802124871</v>
      </c>
      <c r="AP129" s="13">
        <f t="shared" si="129"/>
        <v>1.9912660802124871</v>
      </c>
      <c r="AQ129" s="13">
        <f t="shared" si="129"/>
        <v>1.9912660802124871</v>
      </c>
      <c r="AR129" s="13">
        <f t="shared" si="129"/>
        <v>1.9912660802124871</v>
      </c>
    </row>
  </sheetData>
  <autoFilter ref="A3:AR129" xr:uid="{450CD793-EA21-414D-BD0D-A46FE876DB98}">
    <sortState xmlns:xlrd2="http://schemas.microsoft.com/office/spreadsheetml/2017/richdata2" ref="A4:AR129">
      <sortCondition descending="1" ref="B3:B12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0A71-0135-42F0-B023-E8814F8FED68}">
  <dimension ref="A1:G1263"/>
  <sheetViews>
    <sheetView workbookViewId="0">
      <selection sqref="A1:G2"/>
    </sheetView>
  </sheetViews>
  <sheetFormatPr defaultRowHeight="14.4" x14ac:dyDescent="0.3"/>
  <cols>
    <col min="3" max="3" width="15.109375" bestFit="1" customWidth="1"/>
  </cols>
  <sheetData>
    <row r="1" spans="1:7" x14ac:dyDescent="0.3">
      <c r="A1" s="8" t="s">
        <v>1389</v>
      </c>
      <c r="B1" s="9"/>
      <c r="C1" s="9"/>
      <c r="D1" s="9"/>
      <c r="E1" s="9"/>
      <c r="F1" s="9"/>
      <c r="G1" s="9"/>
    </row>
    <row r="2" spans="1:7" x14ac:dyDescent="0.3">
      <c r="D2" s="9"/>
      <c r="E2" s="9"/>
      <c r="F2" s="9"/>
      <c r="G2" s="9"/>
    </row>
    <row r="3" spans="1:7" x14ac:dyDescent="0.3">
      <c r="A3" s="3" t="s">
        <v>1387</v>
      </c>
      <c r="B3" s="3" t="s">
        <v>1388</v>
      </c>
      <c r="C3" s="1" t="s">
        <v>0</v>
      </c>
      <c r="D3" s="1">
        <v>2018</v>
      </c>
      <c r="E3" s="1">
        <v>2019</v>
      </c>
      <c r="F3" s="1">
        <v>2020</v>
      </c>
      <c r="G3" s="1">
        <v>2021</v>
      </c>
    </row>
    <row r="4" spans="1:7" x14ac:dyDescent="0.3">
      <c r="A4" t="s">
        <v>1390</v>
      </c>
      <c r="B4" t="s">
        <v>1391</v>
      </c>
      <c r="C4" t="s">
        <v>1</v>
      </c>
      <c r="D4" s="2">
        <v>3.3000000000000002E-2</v>
      </c>
      <c r="E4" s="2">
        <v>4.1000000000000002E-2</v>
      </c>
      <c r="F4" s="2">
        <v>2.5399999999999999E-2</v>
      </c>
      <c r="G4" s="2">
        <v>3.73E-2</v>
      </c>
    </row>
    <row r="5" spans="1:7" x14ac:dyDescent="0.3">
      <c r="A5" t="s">
        <v>1390</v>
      </c>
      <c r="B5" t="s">
        <v>1391</v>
      </c>
      <c r="C5" t="s">
        <v>2</v>
      </c>
      <c r="D5" s="2">
        <v>2.8024</v>
      </c>
      <c r="E5" s="2">
        <v>4.0937999999999999</v>
      </c>
      <c r="F5" s="2">
        <v>4.2838000000000003</v>
      </c>
      <c r="G5" s="2">
        <v>4.2633000000000001</v>
      </c>
    </row>
    <row r="6" spans="1:7" x14ac:dyDescent="0.3">
      <c r="A6" t="s">
        <v>1390</v>
      </c>
      <c r="B6" t="s">
        <v>1391</v>
      </c>
      <c r="C6" t="s">
        <v>3</v>
      </c>
      <c r="D6" s="2">
        <v>0</v>
      </c>
      <c r="E6" s="2">
        <v>0</v>
      </c>
      <c r="F6" s="2">
        <v>0</v>
      </c>
      <c r="G6" s="2">
        <v>0</v>
      </c>
    </row>
    <row r="7" spans="1:7" x14ac:dyDescent="0.3">
      <c r="A7" t="s">
        <v>1390</v>
      </c>
      <c r="B7" t="s">
        <v>1391</v>
      </c>
      <c r="C7" t="s">
        <v>4</v>
      </c>
      <c r="D7" s="2">
        <v>11.999599999999999</v>
      </c>
      <c r="E7" s="2">
        <v>12.026199999999999</v>
      </c>
      <c r="F7" s="2">
        <v>11.429600000000001</v>
      </c>
      <c r="G7" s="2">
        <v>11.5473</v>
      </c>
    </row>
    <row r="8" spans="1:7" x14ac:dyDescent="0.3">
      <c r="A8" t="s">
        <v>1390</v>
      </c>
      <c r="B8" t="s">
        <v>1391</v>
      </c>
      <c r="C8" t="s">
        <v>5</v>
      </c>
      <c r="D8" s="2">
        <v>0</v>
      </c>
      <c r="E8" s="2">
        <v>0</v>
      </c>
      <c r="F8" s="2">
        <v>0</v>
      </c>
      <c r="G8" s="2">
        <v>0</v>
      </c>
    </row>
    <row r="9" spans="1:7" x14ac:dyDescent="0.3">
      <c r="A9" t="s">
        <v>1390</v>
      </c>
      <c r="B9" t="s">
        <v>1391</v>
      </c>
      <c r="C9" t="s">
        <v>6</v>
      </c>
      <c r="D9" s="2">
        <v>6.1000000000000004E-3</v>
      </c>
      <c r="E9" s="2">
        <v>5.3E-3</v>
      </c>
      <c r="F9" s="2">
        <v>6.0000000000000001E-3</v>
      </c>
      <c r="G9" s="2">
        <v>6.7999999999999996E-3</v>
      </c>
    </row>
    <row r="10" spans="1:7" x14ac:dyDescent="0.3">
      <c r="A10" t="s">
        <v>1390</v>
      </c>
      <c r="B10" t="s">
        <v>1391</v>
      </c>
      <c r="C10" t="s">
        <v>7</v>
      </c>
      <c r="D10" s="2">
        <v>5.4489999999999998</v>
      </c>
      <c r="E10" s="2">
        <v>5.5274000000000001</v>
      </c>
      <c r="F10" s="2">
        <v>5.1101999999999999</v>
      </c>
      <c r="G10" s="2">
        <v>5.5114000000000001</v>
      </c>
    </row>
    <row r="11" spans="1:7" x14ac:dyDescent="0.3">
      <c r="A11" t="s">
        <v>1390</v>
      </c>
      <c r="B11" t="s">
        <v>1391</v>
      </c>
      <c r="C11" t="s">
        <v>9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3">
      <c r="A12" t="s">
        <v>1390</v>
      </c>
      <c r="B12" t="s">
        <v>1391</v>
      </c>
      <c r="C12" t="s">
        <v>10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3">
      <c r="A13" t="s">
        <v>1390</v>
      </c>
      <c r="B13" t="s">
        <v>1391</v>
      </c>
      <c r="C13" t="s">
        <v>11</v>
      </c>
      <c r="D13" s="2">
        <v>1.9663999999999999</v>
      </c>
      <c r="E13" s="2">
        <v>1.9638</v>
      </c>
      <c r="F13" s="2">
        <v>1.9006000000000001</v>
      </c>
      <c r="G13" s="2">
        <v>2.1878000000000002</v>
      </c>
    </row>
    <row r="14" spans="1:7" x14ac:dyDescent="0.3">
      <c r="A14" t="s">
        <v>1390</v>
      </c>
      <c r="B14" t="s">
        <v>1392</v>
      </c>
      <c r="C14" t="s">
        <v>12</v>
      </c>
      <c r="D14" s="2">
        <v>0.2681</v>
      </c>
      <c r="E14" s="2">
        <v>0.29709999999999998</v>
      </c>
      <c r="F14" s="2">
        <v>0.3841</v>
      </c>
      <c r="G14" s="2">
        <v>0.2384</v>
      </c>
    </row>
    <row r="15" spans="1:7" x14ac:dyDescent="0.3">
      <c r="A15" t="s">
        <v>1390</v>
      </c>
      <c r="B15" t="s">
        <v>1392</v>
      </c>
      <c r="C15" t="s">
        <v>13</v>
      </c>
      <c r="D15" s="2">
        <v>0.4612</v>
      </c>
      <c r="E15" s="2">
        <v>6.6699999999999995E-2</v>
      </c>
      <c r="F15" s="2">
        <v>0.1681</v>
      </c>
      <c r="G15" s="2">
        <v>0.17710000000000001</v>
      </c>
    </row>
    <row r="16" spans="1:7" x14ac:dyDescent="0.3">
      <c r="A16" t="s">
        <v>1390</v>
      </c>
      <c r="B16" t="s">
        <v>1392</v>
      </c>
      <c r="C16" t="s">
        <v>14</v>
      </c>
      <c r="D16" s="2">
        <v>0</v>
      </c>
      <c r="E16" s="2">
        <v>0</v>
      </c>
      <c r="F16" s="2">
        <v>0</v>
      </c>
      <c r="G16" s="2">
        <v>0</v>
      </c>
    </row>
    <row r="17" spans="1:7" x14ac:dyDescent="0.3">
      <c r="A17" t="s">
        <v>1390</v>
      </c>
      <c r="B17" t="s">
        <v>1392</v>
      </c>
      <c r="C17" t="s">
        <v>15</v>
      </c>
      <c r="D17" s="2">
        <v>11.0022</v>
      </c>
      <c r="E17" s="2">
        <v>11.9808</v>
      </c>
      <c r="F17" s="2">
        <v>11.5085</v>
      </c>
      <c r="G17" s="2">
        <v>12.971500000000001</v>
      </c>
    </row>
    <row r="18" spans="1:7" x14ac:dyDescent="0.3">
      <c r="A18" t="s">
        <v>1390</v>
      </c>
      <c r="B18" t="s">
        <v>1392</v>
      </c>
      <c r="C18" t="s">
        <v>16</v>
      </c>
      <c r="D18" s="2">
        <v>0</v>
      </c>
      <c r="E18" s="2">
        <v>0</v>
      </c>
      <c r="F18" s="2">
        <v>0</v>
      </c>
      <c r="G18" s="2">
        <v>0</v>
      </c>
    </row>
    <row r="19" spans="1:7" x14ac:dyDescent="0.3">
      <c r="A19" t="s">
        <v>1390</v>
      </c>
      <c r="B19" t="s">
        <v>1392</v>
      </c>
      <c r="C19" t="s">
        <v>17</v>
      </c>
      <c r="D19" s="2">
        <v>2.6394000000000002</v>
      </c>
      <c r="E19" s="2">
        <v>2.5807000000000002</v>
      </c>
      <c r="F19" s="2">
        <v>2.6229</v>
      </c>
      <c r="G19" s="2">
        <v>2.7244000000000002</v>
      </c>
    </row>
    <row r="20" spans="1:7" x14ac:dyDescent="0.3">
      <c r="A20" t="s">
        <v>1390</v>
      </c>
      <c r="B20" t="s">
        <v>1392</v>
      </c>
      <c r="C20" t="s">
        <v>18</v>
      </c>
      <c r="D20" s="2">
        <v>1.1031</v>
      </c>
      <c r="E20" s="2">
        <v>1.2063999999999999</v>
      </c>
      <c r="F20" s="2">
        <v>1.0792999999999999</v>
      </c>
      <c r="G20" s="2">
        <v>1.1392</v>
      </c>
    </row>
    <row r="21" spans="1:7" x14ac:dyDescent="0.3">
      <c r="A21" t="s">
        <v>1390</v>
      </c>
      <c r="B21" t="s">
        <v>1392</v>
      </c>
      <c r="C21" t="s">
        <v>20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3">
      <c r="A22" t="s">
        <v>1390</v>
      </c>
      <c r="B22" t="s">
        <v>1392</v>
      </c>
      <c r="C22" t="s">
        <v>21</v>
      </c>
      <c r="D22" s="2">
        <v>0</v>
      </c>
      <c r="E22" s="2">
        <v>0</v>
      </c>
      <c r="F22" s="2">
        <v>0</v>
      </c>
      <c r="G22" s="2">
        <v>0</v>
      </c>
    </row>
    <row r="23" spans="1:7" x14ac:dyDescent="0.3">
      <c r="A23" t="s">
        <v>1390</v>
      </c>
      <c r="B23" t="s">
        <v>1392</v>
      </c>
      <c r="C23" t="s">
        <v>22</v>
      </c>
      <c r="D23" s="2">
        <v>1.9238999999999999</v>
      </c>
      <c r="E23" s="2">
        <v>1.9674</v>
      </c>
      <c r="F23" s="2">
        <v>1.7402</v>
      </c>
      <c r="G23" s="2">
        <v>1.7798</v>
      </c>
    </row>
    <row r="24" spans="1:7" x14ac:dyDescent="0.3">
      <c r="A24" t="s">
        <v>1390</v>
      </c>
      <c r="B24" t="s">
        <v>1393</v>
      </c>
      <c r="C24" t="s">
        <v>23</v>
      </c>
      <c r="D24" s="2">
        <v>1.0199</v>
      </c>
      <c r="E24" s="2">
        <v>1.1215999999999999</v>
      </c>
      <c r="F24" s="2">
        <v>0.84809999999999997</v>
      </c>
      <c r="G24" s="2">
        <v>1.1231</v>
      </c>
    </row>
    <row r="25" spans="1:7" x14ac:dyDescent="0.3">
      <c r="A25" t="s">
        <v>1390</v>
      </c>
      <c r="B25" t="s">
        <v>1393</v>
      </c>
      <c r="C25" t="s">
        <v>24</v>
      </c>
      <c r="D25" s="2">
        <v>1.2553000000000001</v>
      </c>
      <c r="E25" s="2">
        <v>1.21</v>
      </c>
      <c r="F25" s="2">
        <v>1.958</v>
      </c>
      <c r="G25" s="2">
        <v>1.3994</v>
      </c>
    </row>
    <row r="26" spans="1:7" x14ac:dyDescent="0.3">
      <c r="A26" t="s">
        <v>1390</v>
      </c>
      <c r="B26" t="s">
        <v>1393</v>
      </c>
      <c r="C26" t="s">
        <v>25</v>
      </c>
      <c r="D26" s="2">
        <v>0</v>
      </c>
      <c r="E26" s="2">
        <v>0</v>
      </c>
      <c r="F26" s="2">
        <v>0</v>
      </c>
      <c r="G26" s="2">
        <v>0</v>
      </c>
    </row>
    <row r="27" spans="1:7" x14ac:dyDescent="0.3">
      <c r="A27" t="s">
        <v>1390</v>
      </c>
      <c r="B27" t="s">
        <v>1393</v>
      </c>
      <c r="C27" t="s">
        <v>26</v>
      </c>
      <c r="D27" s="2">
        <v>8.0513999999999992</v>
      </c>
      <c r="E27" s="2">
        <v>8.0454000000000008</v>
      </c>
      <c r="F27" s="2">
        <v>8.9032999999999998</v>
      </c>
      <c r="G27" s="2">
        <v>10.2418</v>
      </c>
    </row>
    <row r="28" spans="1:7" x14ac:dyDescent="0.3">
      <c r="A28" t="s">
        <v>1390</v>
      </c>
      <c r="B28" t="s">
        <v>1393</v>
      </c>
      <c r="C28" t="s">
        <v>27</v>
      </c>
      <c r="D28" s="2">
        <v>0</v>
      </c>
      <c r="E28" s="2">
        <v>0</v>
      </c>
      <c r="F28" s="2">
        <v>0</v>
      </c>
      <c r="G28" s="2">
        <v>0</v>
      </c>
    </row>
    <row r="29" spans="1:7" x14ac:dyDescent="0.3">
      <c r="A29" t="s">
        <v>1390</v>
      </c>
      <c r="B29" t="s">
        <v>1393</v>
      </c>
      <c r="C29" t="s">
        <v>28</v>
      </c>
      <c r="D29" s="2">
        <v>5.6265999999999998</v>
      </c>
      <c r="E29" s="2">
        <v>5.3719999999999999</v>
      </c>
      <c r="F29" s="2">
        <v>5.4257999999999997</v>
      </c>
      <c r="G29" s="2">
        <v>5.5567000000000002</v>
      </c>
    </row>
    <row r="30" spans="1:7" x14ac:dyDescent="0.3">
      <c r="A30" t="s">
        <v>1390</v>
      </c>
      <c r="B30" t="s">
        <v>1393</v>
      </c>
      <c r="C30" t="s">
        <v>29</v>
      </c>
      <c r="D30" s="2">
        <v>1.9942</v>
      </c>
      <c r="E30" s="2">
        <v>2.1985000000000001</v>
      </c>
      <c r="F30" s="2">
        <v>2.1932</v>
      </c>
      <c r="G30" s="2">
        <v>1.9599</v>
      </c>
    </row>
    <row r="31" spans="1:7" x14ac:dyDescent="0.3">
      <c r="A31" t="s">
        <v>1390</v>
      </c>
      <c r="B31" t="s">
        <v>1393</v>
      </c>
      <c r="C31" t="s">
        <v>31</v>
      </c>
      <c r="D31" s="2">
        <v>0</v>
      </c>
      <c r="E31" s="2">
        <v>0</v>
      </c>
      <c r="F31" s="2">
        <v>0</v>
      </c>
      <c r="G31" s="2">
        <v>0</v>
      </c>
    </row>
    <row r="32" spans="1:7" x14ac:dyDescent="0.3">
      <c r="A32" t="s">
        <v>1390</v>
      </c>
      <c r="B32" t="s">
        <v>1393</v>
      </c>
      <c r="C32" t="s">
        <v>32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3">
      <c r="A33" t="s">
        <v>1390</v>
      </c>
      <c r="B33" t="s">
        <v>1393</v>
      </c>
      <c r="C33" t="s">
        <v>33</v>
      </c>
      <c r="D33" s="2">
        <v>3.4000000000000002E-2</v>
      </c>
      <c r="E33" s="2">
        <v>3.7499999999999999E-2</v>
      </c>
      <c r="F33" s="2">
        <v>3.4799999999999998E-2</v>
      </c>
      <c r="G33" s="2">
        <v>4.4499999999999998E-2</v>
      </c>
    </row>
    <row r="34" spans="1:7" x14ac:dyDescent="0.3">
      <c r="A34" t="s">
        <v>1390</v>
      </c>
      <c r="B34" t="s">
        <v>1394</v>
      </c>
      <c r="C34" t="s">
        <v>34</v>
      </c>
      <c r="D34" s="2">
        <v>0.30809999999999998</v>
      </c>
      <c r="E34" s="2">
        <v>0.33090000000000003</v>
      </c>
      <c r="F34" s="2">
        <v>0.2833</v>
      </c>
      <c r="G34" s="2">
        <v>0.25309999999999999</v>
      </c>
    </row>
    <row r="35" spans="1:7" x14ac:dyDescent="0.3">
      <c r="A35" t="s">
        <v>1390</v>
      </c>
      <c r="B35" t="s">
        <v>1394</v>
      </c>
      <c r="C35" t="s">
        <v>35</v>
      </c>
      <c r="D35" s="2">
        <v>2.6738</v>
      </c>
      <c r="E35" s="2">
        <v>1.7696000000000001</v>
      </c>
      <c r="F35" s="2">
        <v>1.6662999999999999</v>
      </c>
      <c r="G35" s="2">
        <v>1.8484</v>
      </c>
    </row>
    <row r="36" spans="1:7" x14ac:dyDescent="0.3">
      <c r="A36" t="s">
        <v>1390</v>
      </c>
      <c r="B36" t="s">
        <v>1394</v>
      </c>
      <c r="C36" t="s">
        <v>36</v>
      </c>
      <c r="D36" s="2">
        <v>0</v>
      </c>
      <c r="E36" s="2">
        <v>0</v>
      </c>
      <c r="F36" s="2">
        <v>0</v>
      </c>
      <c r="G36" s="2">
        <v>0</v>
      </c>
    </row>
    <row r="37" spans="1:7" x14ac:dyDescent="0.3">
      <c r="A37" t="s">
        <v>1390</v>
      </c>
      <c r="B37" t="s">
        <v>1394</v>
      </c>
      <c r="C37" t="s">
        <v>37</v>
      </c>
      <c r="D37" s="2">
        <v>18.201799999999999</v>
      </c>
      <c r="E37" s="2">
        <v>20.271799999999999</v>
      </c>
      <c r="F37" s="2">
        <v>18.490500000000001</v>
      </c>
      <c r="G37" s="2">
        <v>19.538</v>
      </c>
    </row>
    <row r="38" spans="1:7" x14ac:dyDescent="0.3">
      <c r="A38" t="s">
        <v>1390</v>
      </c>
      <c r="B38" t="s">
        <v>1394</v>
      </c>
      <c r="C38" t="s">
        <v>38</v>
      </c>
      <c r="D38" s="2">
        <v>0</v>
      </c>
      <c r="E38" s="2">
        <v>0</v>
      </c>
      <c r="F38" s="2">
        <v>0</v>
      </c>
      <c r="G38" s="2">
        <v>0</v>
      </c>
    </row>
    <row r="39" spans="1:7" x14ac:dyDescent="0.3">
      <c r="A39" t="s">
        <v>1390</v>
      </c>
      <c r="B39" t="s">
        <v>1394</v>
      </c>
      <c r="C39" t="s">
        <v>39</v>
      </c>
      <c r="D39" s="2">
        <v>20.9099</v>
      </c>
      <c r="E39" s="2">
        <v>22.038</v>
      </c>
      <c r="F39" s="2">
        <v>20.683</v>
      </c>
      <c r="G39" s="2">
        <v>22.343299999999999</v>
      </c>
    </row>
    <row r="40" spans="1:7" x14ac:dyDescent="0.3">
      <c r="A40" t="s">
        <v>1390</v>
      </c>
      <c r="B40" t="s">
        <v>1394</v>
      </c>
      <c r="C40" t="s">
        <v>40</v>
      </c>
      <c r="D40" s="2">
        <v>7.0576999999999996</v>
      </c>
      <c r="E40" s="2">
        <v>7.0495000000000001</v>
      </c>
      <c r="F40" s="2">
        <v>6.6089000000000002</v>
      </c>
      <c r="G40" s="2">
        <v>6.1067999999999998</v>
      </c>
    </row>
    <row r="41" spans="1:7" x14ac:dyDescent="0.3">
      <c r="A41" t="s">
        <v>1390</v>
      </c>
      <c r="B41" t="s">
        <v>1394</v>
      </c>
      <c r="C41" t="s">
        <v>42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3">
      <c r="A42" t="s">
        <v>1390</v>
      </c>
      <c r="B42" t="s">
        <v>1394</v>
      </c>
      <c r="C42" t="s">
        <v>43</v>
      </c>
      <c r="D42" s="2">
        <v>0</v>
      </c>
      <c r="E42" s="2">
        <v>0</v>
      </c>
      <c r="F42" s="2">
        <v>0</v>
      </c>
      <c r="G42" s="2">
        <v>0</v>
      </c>
    </row>
    <row r="43" spans="1:7" x14ac:dyDescent="0.3">
      <c r="A43" t="s">
        <v>1390</v>
      </c>
      <c r="B43" t="s">
        <v>1394</v>
      </c>
      <c r="C43" t="s">
        <v>44</v>
      </c>
      <c r="D43" s="2">
        <v>0.63349999999999995</v>
      </c>
      <c r="E43" s="2">
        <v>0.63500000000000001</v>
      </c>
      <c r="F43" s="2">
        <v>0.81359999999999999</v>
      </c>
      <c r="G43" s="2">
        <v>0.63039999999999996</v>
      </c>
    </row>
    <row r="44" spans="1:7" x14ac:dyDescent="0.3">
      <c r="A44" t="s">
        <v>1390</v>
      </c>
      <c r="B44" t="s">
        <v>1395</v>
      </c>
      <c r="C44" t="s">
        <v>45</v>
      </c>
      <c r="D44" s="2">
        <v>4.0647000000000002</v>
      </c>
      <c r="E44" s="2">
        <v>4.0960000000000001</v>
      </c>
      <c r="F44" s="2">
        <v>3.5375999999999999</v>
      </c>
      <c r="G44" s="2">
        <v>3.7723</v>
      </c>
    </row>
    <row r="45" spans="1:7" x14ac:dyDescent="0.3">
      <c r="A45" t="s">
        <v>1390</v>
      </c>
      <c r="B45" t="s">
        <v>1395</v>
      </c>
      <c r="C45" t="s">
        <v>46</v>
      </c>
      <c r="D45" s="2">
        <v>6.9099999999999995E-2</v>
      </c>
      <c r="E45" s="2">
        <v>9.2600000000000002E-2</v>
      </c>
      <c r="F45" s="2">
        <v>9.2700000000000005E-2</v>
      </c>
      <c r="G45" s="2">
        <v>8.1500000000000003E-2</v>
      </c>
    </row>
    <row r="46" spans="1:7" x14ac:dyDescent="0.3">
      <c r="A46" t="s">
        <v>1390</v>
      </c>
      <c r="B46" t="s">
        <v>1395</v>
      </c>
      <c r="C46" t="s">
        <v>47</v>
      </c>
      <c r="D46" s="2">
        <v>0</v>
      </c>
      <c r="E46" s="2">
        <v>0</v>
      </c>
      <c r="F46" s="2">
        <v>0</v>
      </c>
      <c r="G46" s="2">
        <v>0</v>
      </c>
    </row>
    <row r="47" spans="1:7" x14ac:dyDescent="0.3">
      <c r="A47" t="s">
        <v>1390</v>
      </c>
      <c r="B47" t="s">
        <v>1395</v>
      </c>
      <c r="C47" t="s">
        <v>48</v>
      </c>
      <c r="D47" s="2">
        <v>17.0197</v>
      </c>
      <c r="E47" s="2">
        <v>16.434000000000001</v>
      </c>
      <c r="F47" s="2">
        <v>16.184999999999999</v>
      </c>
      <c r="G47" s="2">
        <v>16.751799999999999</v>
      </c>
    </row>
    <row r="48" spans="1:7" x14ac:dyDescent="0.3">
      <c r="A48" t="s">
        <v>1390</v>
      </c>
      <c r="B48" t="s">
        <v>1395</v>
      </c>
      <c r="C48" t="s">
        <v>49</v>
      </c>
      <c r="D48" s="2">
        <v>0</v>
      </c>
      <c r="E48" s="2">
        <v>0</v>
      </c>
      <c r="F48" s="2">
        <v>0</v>
      </c>
      <c r="G48" s="2">
        <v>0</v>
      </c>
    </row>
    <row r="49" spans="1:7" x14ac:dyDescent="0.3">
      <c r="A49" t="s">
        <v>1390</v>
      </c>
      <c r="B49" t="s">
        <v>1395</v>
      </c>
      <c r="C49" t="s">
        <v>50</v>
      </c>
      <c r="D49" s="2">
        <v>5.6022999999999996</v>
      </c>
      <c r="E49" s="2">
        <v>5.0903</v>
      </c>
      <c r="F49" s="2">
        <v>5.2465000000000002</v>
      </c>
      <c r="G49" s="2">
        <v>5.7988999999999997</v>
      </c>
    </row>
    <row r="50" spans="1:7" x14ac:dyDescent="0.3">
      <c r="A50" t="s">
        <v>1390</v>
      </c>
      <c r="B50" t="s">
        <v>1395</v>
      </c>
      <c r="C50" t="s">
        <v>51</v>
      </c>
      <c r="D50" s="2">
        <v>10.2281</v>
      </c>
      <c r="E50" s="2">
        <v>9.7197999999999993</v>
      </c>
      <c r="F50" s="2">
        <v>8.9346999999999994</v>
      </c>
      <c r="G50" s="2">
        <v>9.8634000000000004</v>
      </c>
    </row>
    <row r="51" spans="1:7" x14ac:dyDescent="0.3">
      <c r="A51" t="s">
        <v>1390</v>
      </c>
      <c r="B51" t="s">
        <v>1395</v>
      </c>
      <c r="C51" t="s">
        <v>53</v>
      </c>
      <c r="D51" s="2">
        <v>0</v>
      </c>
      <c r="E51" s="2">
        <v>0</v>
      </c>
      <c r="F51" s="2">
        <v>0</v>
      </c>
      <c r="G51" s="2">
        <v>0</v>
      </c>
    </row>
    <row r="52" spans="1:7" x14ac:dyDescent="0.3">
      <c r="A52" t="s">
        <v>1390</v>
      </c>
      <c r="B52" t="s">
        <v>1395</v>
      </c>
      <c r="C52" t="s">
        <v>54</v>
      </c>
      <c r="D52" s="2">
        <v>0</v>
      </c>
      <c r="E52" s="2">
        <v>0</v>
      </c>
      <c r="F52" s="2">
        <v>0</v>
      </c>
      <c r="G52" s="2">
        <v>0</v>
      </c>
    </row>
    <row r="53" spans="1:7" x14ac:dyDescent="0.3">
      <c r="A53" t="s">
        <v>1390</v>
      </c>
      <c r="B53" t="s">
        <v>1395</v>
      </c>
      <c r="C53" t="s">
        <v>55</v>
      </c>
      <c r="D53" s="2">
        <v>3.8683999999999998</v>
      </c>
      <c r="E53" s="2">
        <v>3.4457</v>
      </c>
      <c r="F53" s="2">
        <v>3.3026</v>
      </c>
      <c r="G53" s="2">
        <v>3.6168999999999998</v>
      </c>
    </row>
    <row r="54" spans="1:7" x14ac:dyDescent="0.3">
      <c r="A54" t="s">
        <v>1396</v>
      </c>
      <c r="B54" t="s">
        <v>1391</v>
      </c>
      <c r="C54" t="s">
        <v>56</v>
      </c>
      <c r="D54" s="2">
        <v>0.27479999999999999</v>
      </c>
      <c r="E54" s="2">
        <v>0.28060000000000002</v>
      </c>
      <c r="F54" s="2">
        <v>0.26369999999999999</v>
      </c>
      <c r="G54" s="2">
        <v>0.2591</v>
      </c>
    </row>
    <row r="55" spans="1:7" x14ac:dyDescent="0.3">
      <c r="A55" t="s">
        <v>1396</v>
      </c>
      <c r="B55" t="s">
        <v>1391</v>
      </c>
      <c r="C55" t="s">
        <v>57</v>
      </c>
      <c r="D55" s="2">
        <v>0.3246</v>
      </c>
      <c r="E55" s="2">
        <v>0.38340000000000002</v>
      </c>
      <c r="F55" s="2">
        <v>0.32869999999999999</v>
      </c>
      <c r="G55" s="2">
        <v>0.40670000000000001</v>
      </c>
    </row>
    <row r="56" spans="1:7" x14ac:dyDescent="0.3">
      <c r="A56" t="s">
        <v>1396</v>
      </c>
      <c r="B56" t="s">
        <v>1391</v>
      </c>
      <c r="C56" t="s">
        <v>58</v>
      </c>
      <c r="D56" s="2">
        <v>0</v>
      </c>
      <c r="E56" s="2">
        <v>0</v>
      </c>
      <c r="F56" s="2">
        <v>0</v>
      </c>
      <c r="G56" s="2">
        <v>0</v>
      </c>
    </row>
    <row r="57" spans="1:7" x14ac:dyDescent="0.3">
      <c r="A57" t="s">
        <v>1396</v>
      </c>
      <c r="B57" t="s">
        <v>1391</v>
      </c>
      <c r="C57" t="s">
        <v>59</v>
      </c>
      <c r="D57" s="2">
        <v>15.307700000000001</v>
      </c>
      <c r="E57" s="2">
        <v>14.7583</v>
      </c>
      <c r="F57" s="2">
        <v>14.196400000000001</v>
      </c>
      <c r="G57" s="2">
        <v>14.129200000000001</v>
      </c>
    </row>
    <row r="58" spans="1:7" x14ac:dyDescent="0.3">
      <c r="A58" t="s">
        <v>1396</v>
      </c>
      <c r="B58" t="s">
        <v>1391</v>
      </c>
      <c r="C58" t="s">
        <v>60</v>
      </c>
      <c r="D58" s="2">
        <v>0</v>
      </c>
      <c r="E58" s="2">
        <v>0</v>
      </c>
      <c r="F58" s="2">
        <v>0</v>
      </c>
      <c r="G58" s="2">
        <v>0</v>
      </c>
    </row>
    <row r="59" spans="1:7" x14ac:dyDescent="0.3">
      <c r="A59" t="s">
        <v>1396</v>
      </c>
      <c r="B59" t="s">
        <v>1391</v>
      </c>
      <c r="C59" t="s">
        <v>61</v>
      </c>
      <c r="D59" s="2">
        <v>3.1800000000000002E-2</v>
      </c>
      <c r="E59" s="2">
        <v>3.1899999999999998E-2</v>
      </c>
      <c r="F59" s="2">
        <v>3.1899999999999998E-2</v>
      </c>
      <c r="G59" s="2">
        <v>3.1899999999999998E-2</v>
      </c>
    </row>
    <row r="60" spans="1:7" x14ac:dyDescent="0.3">
      <c r="A60" t="s">
        <v>1396</v>
      </c>
      <c r="B60" t="s">
        <v>1391</v>
      </c>
      <c r="C60" t="s">
        <v>62</v>
      </c>
      <c r="D60" s="2">
        <v>9.0546000000000006</v>
      </c>
      <c r="E60" s="2">
        <v>7.9980000000000002</v>
      </c>
      <c r="F60" s="2">
        <v>8.2141000000000002</v>
      </c>
      <c r="G60" s="2">
        <v>8.7420000000000009</v>
      </c>
    </row>
    <row r="61" spans="1:7" x14ac:dyDescent="0.3">
      <c r="A61" t="s">
        <v>1396</v>
      </c>
      <c r="B61" t="s">
        <v>1391</v>
      </c>
      <c r="C61" t="s">
        <v>64</v>
      </c>
      <c r="D61" s="2">
        <v>0</v>
      </c>
      <c r="E61" s="2">
        <v>0</v>
      </c>
      <c r="F61" s="2">
        <v>0</v>
      </c>
      <c r="G61" s="2">
        <v>0</v>
      </c>
    </row>
    <row r="62" spans="1:7" x14ac:dyDescent="0.3">
      <c r="A62" t="s">
        <v>1396</v>
      </c>
      <c r="B62" t="s">
        <v>1391</v>
      </c>
      <c r="C62" t="s">
        <v>65</v>
      </c>
      <c r="D62" s="2">
        <v>0</v>
      </c>
      <c r="E62" s="2">
        <v>0</v>
      </c>
      <c r="F62" s="2">
        <v>0</v>
      </c>
      <c r="G62" s="2">
        <v>0</v>
      </c>
    </row>
    <row r="63" spans="1:7" x14ac:dyDescent="0.3">
      <c r="A63" t="s">
        <v>1396</v>
      </c>
      <c r="B63" t="s">
        <v>1391</v>
      </c>
      <c r="C63" t="s">
        <v>66</v>
      </c>
      <c r="D63" s="2">
        <v>5.8095999999999997</v>
      </c>
      <c r="E63" s="2">
        <v>5.3627000000000002</v>
      </c>
      <c r="F63" s="2">
        <v>4.9865000000000004</v>
      </c>
      <c r="G63" s="2">
        <v>5.1822999999999997</v>
      </c>
    </row>
    <row r="64" spans="1:7" x14ac:dyDescent="0.3">
      <c r="A64" t="s">
        <v>1396</v>
      </c>
      <c r="B64" t="s">
        <v>1392</v>
      </c>
      <c r="C64" t="s">
        <v>67</v>
      </c>
      <c r="D64" s="2">
        <v>28.609000000000002</v>
      </c>
      <c r="E64" s="2">
        <v>24.148</v>
      </c>
      <c r="F64" s="2">
        <v>25.825900000000001</v>
      </c>
      <c r="G64" s="2">
        <v>28.114100000000001</v>
      </c>
    </row>
    <row r="65" spans="1:7" x14ac:dyDescent="0.3">
      <c r="A65" t="s">
        <v>1396</v>
      </c>
      <c r="B65" t="s">
        <v>1392</v>
      </c>
      <c r="C65" t="s">
        <v>68</v>
      </c>
      <c r="D65" s="2">
        <v>0.154</v>
      </c>
      <c r="E65" s="2">
        <v>0.2419</v>
      </c>
      <c r="F65" s="2">
        <v>0.18079999999999999</v>
      </c>
      <c r="G65" s="2">
        <v>0.1767</v>
      </c>
    </row>
    <row r="66" spans="1:7" x14ac:dyDescent="0.3">
      <c r="A66" t="s">
        <v>1396</v>
      </c>
      <c r="B66" t="s">
        <v>1392</v>
      </c>
      <c r="C66" t="s">
        <v>69</v>
      </c>
      <c r="D66" s="2">
        <v>0</v>
      </c>
      <c r="E66" s="2">
        <v>0</v>
      </c>
      <c r="F66" s="2">
        <v>0</v>
      </c>
      <c r="G66" s="2">
        <v>0</v>
      </c>
    </row>
    <row r="67" spans="1:7" x14ac:dyDescent="0.3">
      <c r="A67" t="s">
        <v>1396</v>
      </c>
      <c r="B67" t="s">
        <v>1392</v>
      </c>
      <c r="C67" t="s">
        <v>70</v>
      </c>
      <c r="D67" s="2">
        <v>31.144400000000001</v>
      </c>
      <c r="E67" s="2">
        <v>30.459199999999999</v>
      </c>
      <c r="F67" s="2">
        <v>30.440799999999999</v>
      </c>
      <c r="G67" s="2">
        <v>33.3185</v>
      </c>
    </row>
    <row r="68" spans="1:7" x14ac:dyDescent="0.3">
      <c r="A68" t="s">
        <v>1396</v>
      </c>
      <c r="B68" t="s">
        <v>1392</v>
      </c>
      <c r="C68" t="s">
        <v>71</v>
      </c>
      <c r="D68" s="2">
        <v>0</v>
      </c>
      <c r="E68" s="2">
        <v>0</v>
      </c>
      <c r="F68" s="2">
        <v>0</v>
      </c>
      <c r="G68" s="2">
        <v>0</v>
      </c>
    </row>
    <row r="69" spans="1:7" x14ac:dyDescent="0.3">
      <c r="A69" t="s">
        <v>1396</v>
      </c>
      <c r="B69" t="s">
        <v>1392</v>
      </c>
      <c r="C69" t="s">
        <v>72</v>
      </c>
      <c r="D69" s="2">
        <v>0.13139999999999999</v>
      </c>
      <c r="E69" s="2">
        <v>9.1700000000000004E-2</v>
      </c>
      <c r="F69" s="2">
        <v>8.6499999999999994E-2</v>
      </c>
      <c r="G69" s="2">
        <v>7.9200000000000007E-2</v>
      </c>
    </row>
    <row r="70" spans="1:7" x14ac:dyDescent="0.3">
      <c r="A70" t="s">
        <v>1396</v>
      </c>
      <c r="B70" t="s">
        <v>1392</v>
      </c>
      <c r="C70" t="s">
        <v>73</v>
      </c>
      <c r="D70" s="2">
        <v>2.9613</v>
      </c>
      <c r="E70" s="2">
        <v>3.2094999999999998</v>
      </c>
      <c r="F70" s="2">
        <v>3.2339000000000002</v>
      </c>
      <c r="G70" s="2">
        <v>3.0028000000000001</v>
      </c>
    </row>
    <row r="71" spans="1:7" x14ac:dyDescent="0.3">
      <c r="A71" t="s">
        <v>1396</v>
      </c>
      <c r="B71" t="s">
        <v>1392</v>
      </c>
      <c r="C71" t="s">
        <v>75</v>
      </c>
      <c r="D71" s="2">
        <v>0</v>
      </c>
      <c r="E71" s="2">
        <v>0</v>
      </c>
      <c r="F71" s="2">
        <v>0</v>
      </c>
      <c r="G71" s="2">
        <v>0</v>
      </c>
    </row>
    <row r="72" spans="1:7" x14ac:dyDescent="0.3">
      <c r="A72" t="s">
        <v>1396</v>
      </c>
      <c r="B72" t="s">
        <v>1392</v>
      </c>
      <c r="C72" t="s">
        <v>76</v>
      </c>
      <c r="D72" s="2">
        <v>0</v>
      </c>
      <c r="E72" s="2">
        <v>0</v>
      </c>
      <c r="F72" s="2">
        <v>0</v>
      </c>
      <c r="G72" s="2">
        <v>0</v>
      </c>
    </row>
    <row r="73" spans="1:7" x14ac:dyDescent="0.3">
      <c r="A73" t="s">
        <v>1396</v>
      </c>
      <c r="B73" t="s">
        <v>1392</v>
      </c>
      <c r="C73" t="s">
        <v>77</v>
      </c>
      <c r="D73" s="2">
        <v>8.0225000000000009</v>
      </c>
      <c r="E73" s="2">
        <v>8.8514999999999997</v>
      </c>
      <c r="F73" s="2">
        <v>8.4085999999999999</v>
      </c>
      <c r="G73" s="2">
        <v>8.4741</v>
      </c>
    </row>
    <row r="74" spans="1:7" x14ac:dyDescent="0.3">
      <c r="A74" t="s">
        <v>1396</v>
      </c>
      <c r="B74" t="s">
        <v>1393</v>
      </c>
      <c r="C74" t="s">
        <v>78</v>
      </c>
      <c r="D74" s="2">
        <v>1.6221000000000001</v>
      </c>
      <c r="E74" s="2">
        <v>1.6554</v>
      </c>
      <c r="F74" s="2">
        <v>2.2892999999999999</v>
      </c>
      <c r="G74" s="2">
        <v>2.0914999999999999</v>
      </c>
    </row>
    <row r="75" spans="1:7" x14ac:dyDescent="0.3">
      <c r="A75" t="s">
        <v>1396</v>
      </c>
      <c r="B75" t="s">
        <v>1393</v>
      </c>
      <c r="C75" t="s">
        <v>79</v>
      </c>
      <c r="D75" s="2">
        <v>6.9969999999999999</v>
      </c>
      <c r="E75" s="2">
        <v>7.0698999999999996</v>
      </c>
      <c r="F75" s="2">
        <v>5.8552</v>
      </c>
      <c r="G75" s="2">
        <v>6.4989999999999997</v>
      </c>
    </row>
    <row r="76" spans="1:7" x14ac:dyDescent="0.3">
      <c r="A76" t="s">
        <v>1396</v>
      </c>
      <c r="B76" t="s">
        <v>1393</v>
      </c>
      <c r="C76" t="s">
        <v>80</v>
      </c>
      <c r="D76" s="2">
        <v>0</v>
      </c>
      <c r="E76" s="2">
        <v>0</v>
      </c>
      <c r="F76" s="2">
        <v>0</v>
      </c>
      <c r="G76" s="2">
        <v>0</v>
      </c>
    </row>
    <row r="77" spans="1:7" x14ac:dyDescent="0.3">
      <c r="A77" t="s">
        <v>1396</v>
      </c>
      <c r="B77" t="s">
        <v>1393</v>
      </c>
      <c r="C77" t="s">
        <v>81</v>
      </c>
      <c r="D77" s="2">
        <v>11.049300000000001</v>
      </c>
      <c r="E77" s="2">
        <v>11.102399999999999</v>
      </c>
      <c r="F77" s="2">
        <v>10.734400000000001</v>
      </c>
      <c r="G77" s="2">
        <v>10.9933</v>
      </c>
    </row>
    <row r="78" spans="1:7" x14ac:dyDescent="0.3">
      <c r="A78" t="s">
        <v>1396</v>
      </c>
      <c r="B78" t="s">
        <v>1393</v>
      </c>
      <c r="C78" t="s">
        <v>82</v>
      </c>
      <c r="D78" s="2">
        <v>0</v>
      </c>
      <c r="E78" s="2">
        <v>0</v>
      </c>
      <c r="F78" s="2">
        <v>0</v>
      </c>
      <c r="G78" s="2">
        <v>0</v>
      </c>
    </row>
    <row r="79" spans="1:7" x14ac:dyDescent="0.3">
      <c r="A79" t="s">
        <v>1396</v>
      </c>
      <c r="B79" t="s">
        <v>1393</v>
      </c>
      <c r="C79" t="s">
        <v>83</v>
      </c>
      <c r="D79" s="2">
        <v>5.3372000000000002</v>
      </c>
      <c r="E79" s="2">
        <v>5.5880000000000001</v>
      </c>
      <c r="F79" s="2">
        <v>5.7503000000000002</v>
      </c>
      <c r="G79" s="2">
        <v>5.8491999999999997</v>
      </c>
    </row>
    <row r="80" spans="1:7" x14ac:dyDescent="0.3">
      <c r="A80" t="s">
        <v>1396</v>
      </c>
      <c r="B80" t="s">
        <v>1393</v>
      </c>
      <c r="C80" t="s">
        <v>84</v>
      </c>
      <c r="D80" s="2">
        <v>1.655</v>
      </c>
      <c r="E80" s="2">
        <v>1.6347</v>
      </c>
      <c r="F80" s="2">
        <v>1.7058</v>
      </c>
      <c r="G80" s="2">
        <v>1.8105</v>
      </c>
    </row>
    <row r="81" spans="1:7" x14ac:dyDescent="0.3">
      <c r="A81" t="s">
        <v>1396</v>
      </c>
      <c r="B81" t="s">
        <v>1393</v>
      </c>
      <c r="C81" t="s">
        <v>86</v>
      </c>
      <c r="D81" s="2">
        <v>0</v>
      </c>
      <c r="E81" s="2">
        <v>0</v>
      </c>
      <c r="F81" s="2">
        <v>0</v>
      </c>
      <c r="G81" s="2">
        <v>0</v>
      </c>
    </row>
    <row r="82" spans="1:7" x14ac:dyDescent="0.3">
      <c r="A82" t="s">
        <v>1396</v>
      </c>
      <c r="B82" t="s">
        <v>1393</v>
      </c>
      <c r="C82" t="s">
        <v>87</v>
      </c>
      <c r="D82" s="2">
        <v>0</v>
      </c>
      <c r="E82" s="2">
        <v>0</v>
      </c>
      <c r="F82" s="2">
        <v>0</v>
      </c>
      <c r="G82" s="2">
        <v>0</v>
      </c>
    </row>
    <row r="83" spans="1:7" x14ac:dyDescent="0.3">
      <c r="A83" t="s">
        <v>1396</v>
      </c>
      <c r="B83" t="s">
        <v>1393</v>
      </c>
      <c r="C83" t="s">
        <v>88</v>
      </c>
      <c r="D83" s="2">
        <v>0.106</v>
      </c>
      <c r="E83" s="2">
        <v>0.20369999999999999</v>
      </c>
      <c r="F83" s="2">
        <v>0.24640000000000001</v>
      </c>
      <c r="G83" s="2">
        <v>0.2344</v>
      </c>
    </row>
    <row r="84" spans="1:7" x14ac:dyDescent="0.3">
      <c r="A84" t="s">
        <v>1396</v>
      </c>
      <c r="B84" t="s">
        <v>1397</v>
      </c>
      <c r="C84" t="s">
        <v>89</v>
      </c>
      <c r="D84" s="2">
        <v>0.14019999999999999</v>
      </c>
      <c r="E84" s="2">
        <v>0.1187</v>
      </c>
      <c r="F84" s="2">
        <v>0.32350000000000001</v>
      </c>
      <c r="G84" s="2">
        <v>0.30680000000000002</v>
      </c>
    </row>
    <row r="85" spans="1:7" x14ac:dyDescent="0.3">
      <c r="A85" t="s">
        <v>1396</v>
      </c>
      <c r="B85" t="s">
        <v>1397</v>
      </c>
      <c r="C85" t="s">
        <v>90</v>
      </c>
      <c r="D85" s="2">
        <v>0.47149999999999997</v>
      </c>
      <c r="E85" s="2">
        <v>0.52900000000000003</v>
      </c>
      <c r="F85" s="2">
        <v>0.39340000000000003</v>
      </c>
      <c r="G85" s="2">
        <v>0.26740000000000003</v>
      </c>
    </row>
    <row r="86" spans="1:7" x14ac:dyDescent="0.3">
      <c r="A86" t="s">
        <v>1396</v>
      </c>
      <c r="B86" t="s">
        <v>1397</v>
      </c>
      <c r="C86" t="s">
        <v>91</v>
      </c>
      <c r="D86" s="2">
        <v>0</v>
      </c>
      <c r="E86" s="2">
        <v>0</v>
      </c>
      <c r="F86" s="2">
        <v>0</v>
      </c>
      <c r="G86" s="2">
        <v>0</v>
      </c>
    </row>
    <row r="87" spans="1:7" x14ac:dyDescent="0.3">
      <c r="A87" t="s">
        <v>1396</v>
      </c>
      <c r="B87" t="s">
        <v>1397</v>
      </c>
      <c r="C87" t="s">
        <v>92</v>
      </c>
      <c r="D87" s="2">
        <v>18.480799999999999</v>
      </c>
      <c r="E87" s="2">
        <v>18.9147</v>
      </c>
      <c r="F87" s="2">
        <v>18.7927</v>
      </c>
      <c r="G87" s="2">
        <v>19.922799999999999</v>
      </c>
    </row>
    <row r="88" spans="1:7" x14ac:dyDescent="0.3">
      <c r="A88" t="s">
        <v>1396</v>
      </c>
      <c r="B88" t="s">
        <v>1397</v>
      </c>
      <c r="C88" t="s">
        <v>93</v>
      </c>
      <c r="D88" s="2">
        <v>0</v>
      </c>
      <c r="E88" s="2">
        <v>0</v>
      </c>
      <c r="F88" s="2">
        <v>0</v>
      </c>
      <c r="G88" s="2">
        <v>0</v>
      </c>
    </row>
    <row r="89" spans="1:7" x14ac:dyDescent="0.3">
      <c r="A89" t="s">
        <v>1396</v>
      </c>
      <c r="B89" t="s">
        <v>1397</v>
      </c>
      <c r="C89" t="s">
        <v>94</v>
      </c>
      <c r="D89" s="2">
        <v>0.98250000000000004</v>
      </c>
      <c r="E89" s="2">
        <v>0.97419999999999995</v>
      </c>
      <c r="F89" s="2">
        <v>0.87450000000000006</v>
      </c>
      <c r="G89" s="2">
        <v>1.0920000000000001</v>
      </c>
    </row>
    <row r="90" spans="1:7" x14ac:dyDescent="0.3">
      <c r="A90" t="s">
        <v>1396</v>
      </c>
      <c r="B90" t="s">
        <v>1397</v>
      </c>
      <c r="C90" t="s">
        <v>95</v>
      </c>
      <c r="D90" s="2">
        <v>5.5346000000000002</v>
      </c>
      <c r="E90" s="2">
        <v>5.5903</v>
      </c>
      <c r="F90" s="2">
        <v>4.8722000000000003</v>
      </c>
      <c r="G90" s="2">
        <v>5.3730000000000002</v>
      </c>
    </row>
    <row r="91" spans="1:7" x14ac:dyDescent="0.3">
      <c r="A91" t="s">
        <v>1396</v>
      </c>
      <c r="B91" t="s">
        <v>1397</v>
      </c>
      <c r="C91" t="s">
        <v>97</v>
      </c>
      <c r="D91" s="2">
        <v>0</v>
      </c>
      <c r="E91" s="2">
        <v>0</v>
      </c>
      <c r="F91" s="2">
        <v>0</v>
      </c>
      <c r="G91" s="2">
        <v>0</v>
      </c>
    </row>
    <row r="92" spans="1:7" x14ac:dyDescent="0.3">
      <c r="A92" t="s">
        <v>1396</v>
      </c>
      <c r="B92" t="s">
        <v>1397</v>
      </c>
      <c r="C92" t="s">
        <v>98</v>
      </c>
      <c r="D92" s="2">
        <v>0</v>
      </c>
      <c r="E92" s="2">
        <v>0</v>
      </c>
      <c r="F92" s="2">
        <v>0</v>
      </c>
      <c r="G92" s="2">
        <v>0</v>
      </c>
    </row>
    <row r="93" spans="1:7" x14ac:dyDescent="0.3">
      <c r="A93" t="s">
        <v>1396</v>
      </c>
      <c r="B93" t="s">
        <v>1397</v>
      </c>
      <c r="C93" t="s">
        <v>99</v>
      </c>
      <c r="D93" s="2">
        <v>0.84240000000000004</v>
      </c>
      <c r="E93" s="2">
        <v>0.85960000000000003</v>
      </c>
      <c r="F93" s="2">
        <v>0.87549999999999994</v>
      </c>
      <c r="G93" s="2">
        <v>0.99980000000000002</v>
      </c>
    </row>
    <row r="94" spans="1:7" x14ac:dyDescent="0.3">
      <c r="A94" t="s">
        <v>1396</v>
      </c>
      <c r="B94" t="s">
        <v>1395</v>
      </c>
      <c r="C94" t="s">
        <v>100</v>
      </c>
      <c r="D94" s="2">
        <v>2.5708000000000002</v>
      </c>
      <c r="E94" s="2">
        <v>2.4815</v>
      </c>
      <c r="F94" s="2">
        <v>2.3767999999999998</v>
      </c>
      <c r="G94" s="2">
        <v>2.2873000000000001</v>
      </c>
    </row>
    <row r="95" spans="1:7" x14ac:dyDescent="0.3">
      <c r="A95" t="s">
        <v>1396</v>
      </c>
      <c r="B95" t="s">
        <v>1395</v>
      </c>
      <c r="C95" t="s">
        <v>101</v>
      </c>
      <c r="D95" s="2">
        <v>0.66779999999999995</v>
      </c>
      <c r="E95" s="2">
        <v>0.53990000000000005</v>
      </c>
      <c r="F95" s="2">
        <v>0.60640000000000005</v>
      </c>
      <c r="G95" s="2">
        <v>0.52439999999999998</v>
      </c>
    </row>
    <row r="96" spans="1:7" x14ac:dyDescent="0.3">
      <c r="A96" t="s">
        <v>1396</v>
      </c>
      <c r="B96" t="s">
        <v>1395</v>
      </c>
      <c r="C96" t="s">
        <v>102</v>
      </c>
      <c r="D96" s="2">
        <v>0</v>
      </c>
      <c r="E96" s="2">
        <v>0</v>
      </c>
      <c r="F96" s="2">
        <v>0</v>
      </c>
      <c r="G96" s="2">
        <v>0</v>
      </c>
    </row>
    <row r="97" spans="1:7" x14ac:dyDescent="0.3">
      <c r="A97" t="s">
        <v>1396</v>
      </c>
      <c r="B97" t="s">
        <v>1395</v>
      </c>
      <c r="C97" t="s">
        <v>103</v>
      </c>
      <c r="D97" s="2">
        <v>15.7258</v>
      </c>
      <c r="E97" s="2">
        <v>15.262700000000001</v>
      </c>
      <c r="F97" s="2">
        <v>14.348100000000001</v>
      </c>
      <c r="G97" s="2">
        <v>16.0486</v>
      </c>
    </row>
    <row r="98" spans="1:7" x14ac:dyDescent="0.3">
      <c r="A98" t="s">
        <v>1396</v>
      </c>
      <c r="B98" t="s">
        <v>1395</v>
      </c>
      <c r="C98" t="s">
        <v>104</v>
      </c>
      <c r="D98" s="2">
        <v>0</v>
      </c>
      <c r="E98" s="2">
        <v>0</v>
      </c>
      <c r="F98" s="2">
        <v>0</v>
      </c>
      <c r="G98" s="2">
        <v>0</v>
      </c>
    </row>
    <row r="99" spans="1:7" x14ac:dyDescent="0.3">
      <c r="A99" t="s">
        <v>1396</v>
      </c>
      <c r="B99" t="s">
        <v>1395</v>
      </c>
      <c r="C99" t="s">
        <v>105</v>
      </c>
      <c r="D99" s="2">
        <v>12.3483</v>
      </c>
      <c r="E99" s="2">
        <v>11.270300000000001</v>
      </c>
      <c r="F99" s="2">
        <v>10.349500000000001</v>
      </c>
      <c r="G99" s="2">
        <v>11.642099999999999</v>
      </c>
    </row>
    <row r="100" spans="1:7" x14ac:dyDescent="0.3">
      <c r="A100" t="s">
        <v>1396</v>
      </c>
      <c r="B100" t="s">
        <v>1395</v>
      </c>
      <c r="C100" t="s">
        <v>106</v>
      </c>
      <c r="D100" s="2">
        <v>10.2637</v>
      </c>
      <c r="E100" s="2">
        <v>9.9642999999999997</v>
      </c>
      <c r="F100" s="2">
        <v>8.5131999999999994</v>
      </c>
      <c r="G100" s="2">
        <v>9.2455999999999996</v>
      </c>
    </row>
    <row r="101" spans="1:7" x14ac:dyDescent="0.3">
      <c r="A101" t="s">
        <v>1396</v>
      </c>
      <c r="B101" t="s">
        <v>1395</v>
      </c>
      <c r="C101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x14ac:dyDescent="0.3">
      <c r="A102" t="s">
        <v>1396</v>
      </c>
      <c r="B102" t="s">
        <v>1395</v>
      </c>
      <c r="C102" t="s">
        <v>109</v>
      </c>
      <c r="D102" s="2">
        <v>2.7000000000000001E-3</v>
      </c>
      <c r="E102" s="2">
        <v>2.7000000000000001E-3</v>
      </c>
      <c r="F102" s="2">
        <v>2.7000000000000001E-3</v>
      </c>
      <c r="G102" s="2">
        <v>2.5999999999999999E-3</v>
      </c>
    </row>
    <row r="103" spans="1:7" x14ac:dyDescent="0.3">
      <c r="A103" t="s">
        <v>1396</v>
      </c>
      <c r="B103" t="s">
        <v>1395</v>
      </c>
      <c r="C103" t="s">
        <v>110</v>
      </c>
      <c r="D103" s="2">
        <v>0.98970000000000002</v>
      </c>
      <c r="E103" s="2">
        <v>0.85699999999999998</v>
      </c>
      <c r="F103" s="2">
        <v>0.75619999999999998</v>
      </c>
      <c r="G103" s="2">
        <v>0.7863</v>
      </c>
    </row>
    <row r="104" spans="1:7" x14ac:dyDescent="0.3">
      <c r="A104" t="s">
        <v>1398</v>
      </c>
      <c r="B104" t="s">
        <v>1399</v>
      </c>
      <c r="C104" t="s">
        <v>111</v>
      </c>
      <c r="D104" s="2">
        <v>0.19270000000000001</v>
      </c>
      <c r="E104" s="2">
        <v>0.18759999999999999</v>
      </c>
      <c r="F104" s="2">
        <v>0.16039999999999999</v>
      </c>
      <c r="G104" s="2">
        <v>0.18779999999999999</v>
      </c>
    </row>
    <row r="105" spans="1:7" x14ac:dyDescent="0.3">
      <c r="A105" t="s">
        <v>1398</v>
      </c>
      <c r="B105" t="s">
        <v>1399</v>
      </c>
      <c r="C105" t="s">
        <v>112</v>
      </c>
      <c r="D105" s="2">
        <v>1.2800000000000001E-2</v>
      </c>
      <c r="E105" s="2">
        <v>9.4999999999999998E-3</v>
      </c>
      <c r="F105" s="2">
        <v>8.2000000000000007E-3</v>
      </c>
      <c r="G105" s="2">
        <v>8.5000000000000006E-3</v>
      </c>
    </row>
    <row r="106" spans="1:7" x14ac:dyDescent="0.3">
      <c r="A106" t="s">
        <v>1398</v>
      </c>
      <c r="B106" t="s">
        <v>1399</v>
      </c>
      <c r="C106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x14ac:dyDescent="0.3">
      <c r="A107" t="s">
        <v>1398</v>
      </c>
      <c r="B107" t="s">
        <v>1399</v>
      </c>
      <c r="C107" t="s">
        <v>114</v>
      </c>
      <c r="D107" s="2">
        <v>0.57789999999999997</v>
      </c>
      <c r="E107" s="2">
        <v>0.63260000000000005</v>
      </c>
      <c r="F107" s="2">
        <v>0.66039999999999999</v>
      </c>
      <c r="G107" s="2">
        <v>0.68479999999999996</v>
      </c>
    </row>
    <row r="108" spans="1:7" x14ac:dyDescent="0.3">
      <c r="A108" t="s">
        <v>1398</v>
      </c>
      <c r="B108" t="s">
        <v>1399</v>
      </c>
      <c r="C108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x14ac:dyDescent="0.3">
      <c r="A109" t="s">
        <v>1398</v>
      </c>
      <c r="B109" t="s">
        <v>1399</v>
      </c>
      <c r="C109" t="s">
        <v>116</v>
      </c>
      <c r="D109" s="2">
        <v>0</v>
      </c>
      <c r="E109" s="2">
        <v>2.0000000000000001E-4</v>
      </c>
      <c r="F109" s="2">
        <v>0</v>
      </c>
      <c r="G109" s="2">
        <v>2.0000000000000001E-4</v>
      </c>
    </row>
    <row r="110" spans="1:7" x14ac:dyDescent="0.3">
      <c r="A110" t="s">
        <v>1398</v>
      </c>
      <c r="B110" t="s">
        <v>1399</v>
      </c>
      <c r="C110" t="s">
        <v>117</v>
      </c>
      <c r="D110" s="2">
        <v>1.417</v>
      </c>
      <c r="E110" s="2">
        <v>1.3697999999999999</v>
      </c>
      <c r="F110" s="2">
        <v>1.4552</v>
      </c>
      <c r="G110" s="2">
        <v>1.4334</v>
      </c>
    </row>
    <row r="111" spans="1:7" x14ac:dyDescent="0.3">
      <c r="A111" t="s">
        <v>1398</v>
      </c>
      <c r="B111" t="s">
        <v>1399</v>
      </c>
      <c r="C111" t="s">
        <v>119</v>
      </c>
      <c r="D111" s="2">
        <v>0</v>
      </c>
      <c r="E111" s="2">
        <v>0</v>
      </c>
      <c r="F111" s="2">
        <v>0</v>
      </c>
      <c r="G111" s="2">
        <v>0</v>
      </c>
    </row>
    <row r="112" spans="1:7" x14ac:dyDescent="0.3">
      <c r="A112" t="s">
        <v>1398</v>
      </c>
      <c r="B112" t="s">
        <v>1399</v>
      </c>
      <c r="C112" t="s">
        <v>120</v>
      </c>
      <c r="D112" s="2">
        <v>0</v>
      </c>
      <c r="E112" s="2">
        <v>0</v>
      </c>
      <c r="F112" s="2">
        <v>0</v>
      </c>
      <c r="G112" s="2">
        <v>0</v>
      </c>
    </row>
    <row r="113" spans="1:7" x14ac:dyDescent="0.3">
      <c r="A113" t="s">
        <v>1398</v>
      </c>
      <c r="B113" t="s">
        <v>1399</v>
      </c>
      <c r="C113" t="s">
        <v>121</v>
      </c>
      <c r="D113" s="2">
        <v>0.4536</v>
      </c>
      <c r="E113" s="2">
        <v>0.46250000000000002</v>
      </c>
      <c r="F113" s="2">
        <v>0.48230000000000001</v>
      </c>
      <c r="G113" s="2">
        <v>0.47110000000000002</v>
      </c>
    </row>
    <row r="114" spans="1:7" x14ac:dyDescent="0.3">
      <c r="A114" t="s">
        <v>1398</v>
      </c>
      <c r="B114" t="s">
        <v>1392</v>
      </c>
      <c r="C114" t="s">
        <v>122</v>
      </c>
      <c r="D114" s="2">
        <v>5.8594999999999997</v>
      </c>
      <c r="E114" s="2">
        <v>6.133</v>
      </c>
      <c r="F114" s="2">
        <v>5.3749000000000002</v>
      </c>
      <c r="G114" s="2">
        <v>6.1378000000000004</v>
      </c>
    </row>
    <row r="115" spans="1:7" x14ac:dyDescent="0.3">
      <c r="A115" t="s">
        <v>1398</v>
      </c>
      <c r="B115" t="s">
        <v>1392</v>
      </c>
      <c r="C115" t="s">
        <v>123</v>
      </c>
      <c r="D115" s="2">
        <v>2.9790000000000001</v>
      </c>
      <c r="E115" s="2">
        <v>2.4699</v>
      </c>
      <c r="F115" s="2">
        <v>2.5312000000000001</v>
      </c>
      <c r="G115" s="2">
        <v>3.1591</v>
      </c>
    </row>
    <row r="116" spans="1:7" x14ac:dyDescent="0.3">
      <c r="A116" t="s">
        <v>1398</v>
      </c>
      <c r="B116" t="s">
        <v>1392</v>
      </c>
      <c r="C116" t="s">
        <v>124</v>
      </c>
      <c r="D116" s="2">
        <v>0</v>
      </c>
      <c r="E116" s="2">
        <v>0</v>
      </c>
      <c r="F116" s="2">
        <v>0</v>
      </c>
      <c r="G116" s="2">
        <v>0</v>
      </c>
    </row>
    <row r="117" spans="1:7" x14ac:dyDescent="0.3">
      <c r="A117" t="s">
        <v>1398</v>
      </c>
      <c r="B117" t="s">
        <v>1392</v>
      </c>
      <c r="C117" t="s">
        <v>125</v>
      </c>
      <c r="D117" s="2">
        <v>5.7812999999999999</v>
      </c>
      <c r="E117" s="2">
        <v>4.6515000000000004</v>
      </c>
      <c r="F117" s="2">
        <v>4.8544999999999998</v>
      </c>
      <c r="G117" s="2">
        <v>4.7510000000000003</v>
      </c>
    </row>
    <row r="118" spans="1:7" x14ac:dyDescent="0.3">
      <c r="A118" t="s">
        <v>1398</v>
      </c>
      <c r="B118" t="s">
        <v>1392</v>
      </c>
      <c r="C118" t="s">
        <v>126</v>
      </c>
      <c r="D118" s="2">
        <v>0</v>
      </c>
      <c r="E118" s="2">
        <v>0</v>
      </c>
      <c r="F118" s="2">
        <v>0</v>
      </c>
      <c r="G118" s="2">
        <v>0</v>
      </c>
    </row>
    <row r="119" spans="1:7" x14ac:dyDescent="0.3">
      <c r="A119" t="s">
        <v>1398</v>
      </c>
      <c r="B119" t="s">
        <v>1392</v>
      </c>
      <c r="C119" t="s">
        <v>127</v>
      </c>
      <c r="D119" s="2">
        <v>0.14480000000000001</v>
      </c>
      <c r="E119" s="2">
        <v>0.2772</v>
      </c>
      <c r="F119" s="2">
        <v>0.24229999999999999</v>
      </c>
      <c r="G119" s="2">
        <v>0.18740000000000001</v>
      </c>
    </row>
    <row r="120" spans="1:7" x14ac:dyDescent="0.3">
      <c r="A120" t="s">
        <v>1398</v>
      </c>
      <c r="B120" t="s">
        <v>1392</v>
      </c>
      <c r="C120" t="s">
        <v>128</v>
      </c>
      <c r="D120" s="2">
        <v>6.13E-2</v>
      </c>
      <c r="E120" s="2">
        <v>9.01E-2</v>
      </c>
      <c r="F120" s="2">
        <v>9.1499999999999998E-2</v>
      </c>
      <c r="G120" s="2">
        <v>7.7600000000000002E-2</v>
      </c>
    </row>
    <row r="121" spans="1:7" x14ac:dyDescent="0.3">
      <c r="A121" t="s">
        <v>1398</v>
      </c>
      <c r="B121" t="s">
        <v>1392</v>
      </c>
      <c r="C121" t="s">
        <v>130</v>
      </c>
      <c r="D121" s="2">
        <v>0</v>
      </c>
      <c r="E121" s="2">
        <v>0</v>
      </c>
      <c r="F121" s="2">
        <v>0</v>
      </c>
      <c r="G121" s="2">
        <v>0</v>
      </c>
    </row>
    <row r="122" spans="1:7" x14ac:dyDescent="0.3">
      <c r="A122" t="s">
        <v>1398</v>
      </c>
      <c r="B122" t="s">
        <v>1392</v>
      </c>
      <c r="C122" t="s">
        <v>131</v>
      </c>
      <c r="D122" s="2">
        <v>0</v>
      </c>
      <c r="E122" s="2">
        <v>0</v>
      </c>
      <c r="F122" s="2">
        <v>0</v>
      </c>
      <c r="G122" s="2">
        <v>0</v>
      </c>
    </row>
    <row r="123" spans="1:7" x14ac:dyDescent="0.3">
      <c r="A123" t="s">
        <v>1398</v>
      </c>
      <c r="B123" t="s">
        <v>1392</v>
      </c>
      <c r="C123" t="s">
        <v>132</v>
      </c>
      <c r="D123" s="2">
        <v>0.58589999999999998</v>
      </c>
      <c r="E123" s="2">
        <v>0.87370000000000003</v>
      </c>
      <c r="F123" s="2">
        <v>0.94</v>
      </c>
      <c r="G123" s="2">
        <v>0.96260000000000001</v>
      </c>
    </row>
    <row r="124" spans="1:7" x14ac:dyDescent="0.3">
      <c r="A124" t="s">
        <v>1398</v>
      </c>
      <c r="B124" t="s">
        <v>1393</v>
      </c>
      <c r="C124" t="s">
        <v>133</v>
      </c>
      <c r="D124" s="2">
        <v>1.5710999999999999</v>
      </c>
      <c r="E124" s="2">
        <v>1.2799</v>
      </c>
      <c r="F124" s="2">
        <v>1.274</v>
      </c>
      <c r="G124" s="2">
        <v>0.52890000000000004</v>
      </c>
    </row>
    <row r="125" spans="1:7" x14ac:dyDescent="0.3">
      <c r="A125" t="s">
        <v>1398</v>
      </c>
      <c r="B125" t="s">
        <v>1393</v>
      </c>
      <c r="C125" t="s">
        <v>134</v>
      </c>
      <c r="D125" s="2">
        <v>1.0409999999999999</v>
      </c>
      <c r="E125" s="2">
        <v>0.92449999999999999</v>
      </c>
      <c r="F125" s="2">
        <v>0.60060000000000002</v>
      </c>
      <c r="G125" s="2">
        <v>1.2332000000000001</v>
      </c>
    </row>
    <row r="126" spans="1:7" x14ac:dyDescent="0.3">
      <c r="A126" t="s">
        <v>1398</v>
      </c>
      <c r="B126" t="s">
        <v>1393</v>
      </c>
      <c r="C126" t="s">
        <v>135</v>
      </c>
      <c r="D126" s="2">
        <v>0</v>
      </c>
      <c r="E126" s="2">
        <v>0</v>
      </c>
      <c r="F126" s="2">
        <v>0</v>
      </c>
      <c r="G126" s="2">
        <v>0</v>
      </c>
    </row>
    <row r="127" spans="1:7" x14ac:dyDescent="0.3">
      <c r="A127" t="s">
        <v>1398</v>
      </c>
      <c r="B127" t="s">
        <v>1393</v>
      </c>
      <c r="C127" t="s">
        <v>136</v>
      </c>
      <c r="D127" s="2">
        <v>5.4318</v>
      </c>
      <c r="E127" s="2">
        <v>5.1882000000000001</v>
      </c>
      <c r="F127" s="2">
        <v>5.7111000000000001</v>
      </c>
      <c r="G127" s="2">
        <v>6.3948999999999998</v>
      </c>
    </row>
    <row r="128" spans="1:7" x14ac:dyDescent="0.3">
      <c r="A128" t="s">
        <v>1398</v>
      </c>
      <c r="B128" t="s">
        <v>1393</v>
      </c>
      <c r="C128" t="s">
        <v>137</v>
      </c>
      <c r="D128" s="2">
        <v>0</v>
      </c>
      <c r="E128" s="2">
        <v>0</v>
      </c>
      <c r="F128" s="2">
        <v>0</v>
      </c>
      <c r="G128" s="2">
        <v>0</v>
      </c>
    </row>
    <row r="129" spans="1:7" x14ac:dyDescent="0.3">
      <c r="A129" t="s">
        <v>1398</v>
      </c>
      <c r="B129" t="s">
        <v>1393</v>
      </c>
      <c r="C129" t="s">
        <v>138</v>
      </c>
      <c r="D129" s="2">
        <v>1.7675000000000001</v>
      </c>
      <c r="E129" s="2">
        <v>2.2359</v>
      </c>
      <c r="F129" s="2">
        <v>2.2265999999999999</v>
      </c>
      <c r="G129" s="2">
        <v>2.4491999999999998</v>
      </c>
    </row>
    <row r="130" spans="1:7" x14ac:dyDescent="0.3">
      <c r="A130" t="s">
        <v>1398</v>
      </c>
      <c r="B130" t="s">
        <v>1393</v>
      </c>
      <c r="C130" t="s">
        <v>139</v>
      </c>
      <c r="D130" s="2">
        <v>0.71109999999999995</v>
      </c>
      <c r="E130" s="2">
        <v>0.7016</v>
      </c>
      <c r="F130" s="2">
        <v>0.71699999999999997</v>
      </c>
      <c r="G130" s="2">
        <v>0.77380000000000004</v>
      </c>
    </row>
    <row r="131" spans="1:7" x14ac:dyDescent="0.3">
      <c r="A131" t="s">
        <v>1398</v>
      </c>
      <c r="B131" t="s">
        <v>1393</v>
      </c>
      <c r="C131" t="s">
        <v>141</v>
      </c>
      <c r="D131" s="2">
        <v>0</v>
      </c>
      <c r="E131" s="2">
        <v>0</v>
      </c>
      <c r="F131" s="2">
        <v>0</v>
      </c>
      <c r="G131" s="2">
        <v>0</v>
      </c>
    </row>
    <row r="132" spans="1:7" x14ac:dyDescent="0.3">
      <c r="A132" t="s">
        <v>1398</v>
      </c>
      <c r="B132" t="s">
        <v>1393</v>
      </c>
      <c r="C132" t="s">
        <v>142</v>
      </c>
      <c r="D132" s="2">
        <v>0</v>
      </c>
      <c r="E132" s="2">
        <v>0</v>
      </c>
      <c r="F132" s="2">
        <v>0</v>
      </c>
      <c r="G132" s="2">
        <v>0</v>
      </c>
    </row>
    <row r="133" spans="1:7" x14ac:dyDescent="0.3">
      <c r="A133" t="s">
        <v>1398</v>
      </c>
      <c r="B133" t="s">
        <v>1393</v>
      </c>
      <c r="C133" t="s">
        <v>143</v>
      </c>
      <c r="D133" s="2">
        <v>2E-3</v>
      </c>
      <c r="E133" s="2">
        <v>2.3E-3</v>
      </c>
      <c r="F133" s="2">
        <v>5.9999999999999995E-4</v>
      </c>
      <c r="G133" s="2">
        <v>6.9999999999999999E-4</v>
      </c>
    </row>
    <row r="134" spans="1:7" x14ac:dyDescent="0.3">
      <c r="A134" t="s">
        <v>1398</v>
      </c>
      <c r="B134" t="s">
        <v>1397</v>
      </c>
      <c r="C134" t="s">
        <v>144</v>
      </c>
      <c r="D134" s="2">
        <v>0.15260000000000001</v>
      </c>
      <c r="E134" s="2">
        <v>0.1588</v>
      </c>
      <c r="F134" s="2">
        <v>0.15079999999999999</v>
      </c>
      <c r="G134" s="2">
        <v>0.13450000000000001</v>
      </c>
    </row>
    <row r="135" spans="1:7" x14ac:dyDescent="0.3">
      <c r="A135" t="s">
        <v>1398</v>
      </c>
      <c r="B135" t="s">
        <v>1397</v>
      </c>
      <c r="C135" t="s">
        <v>145</v>
      </c>
      <c r="D135" s="2">
        <v>1.18E-2</v>
      </c>
      <c r="E135" s="2">
        <v>2.2599999999999999E-2</v>
      </c>
      <c r="F135" s="2">
        <v>1.54E-2</v>
      </c>
      <c r="G135" s="2">
        <v>1.7000000000000001E-2</v>
      </c>
    </row>
    <row r="136" spans="1:7" x14ac:dyDescent="0.3">
      <c r="A136" t="s">
        <v>1398</v>
      </c>
      <c r="B136" t="s">
        <v>1397</v>
      </c>
      <c r="C136" t="s">
        <v>146</v>
      </c>
      <c r="D136" s="2">
        <v>0</v>
      </c>
      <c r="E136" s="2">
        <v>0</v>
      </c>
      <c r="F136" s="2">
        <v>0</v>
      </c>
      <c r="G136" s="2">
        <v>0</v>
      </c>
    </row>
    <row r="137" spans="1:7" x14ac:dyDescent="0.3">
      <c r="A137" t="s">
        <v>1398</v>
      </c>
      <c r="B137" t="s">
        <v>1397</v>
      </c>
      <c r="C137" t="s">
        <v>147</v>
      </c>
      <c r="D137" s="2">
        <v>1.7825</v>
      </c>
      <c r="E137" s="2">
        <v>1.6617999999999999</v>
      </c>
      <c r="F137" s="2">
        <v>1.58</v>
      </c>
      <c r="G137" s="2">
        <v>2.3763000000000001</v>
      </c>
    </row>
    <row r="138" spans="1:7" x14ac:dyDescent="0.3">
      <c r="A138" t="s">
        <v>1398</v>
      </c>
      <c r="B138" t="s">
        <v>1397</v>
      </c>
      <c r="C138" t="s">
        <v>148</v>
      </c>
      <c r="D138" s="2">
        <v>0</v>
      </c>
      <c r="E138" s="2">
        <v>0</v>
      </c>
      <c r="F138" s="2">
        <v>0</v>
      </c>
      <c r="G138" s="2">
        <v>0</v>
      </c>
    </row>
    <row r="139" spans="1:7" x14ac:dyDescent="0.3">
      <c r="A139" t="s">
        <v>1398</v>
      </c>
      <c r="B139" t="s">
        <v>1397</v>
      </c>
      <c r="C139" t="s">
        <v>149</v>
      </c>
      <c r="D139" s="2">
        <v>0.39929999999999999</v>
      </c>
      <c r="E139" s="2">
        <v>0.20580000000000001</v>
      </c>
      <c r="F139" s="2">
        <v>0.60040000000000004</v>
      </c>
      <c r="G139" s="2">
        <v>0.51570000000000005</v>
      </c>
    </row>
    <row r="140" spans="1:7" x14ac:dyDescent="0.3">
      <c r="A140" t="s">
        <v>1398</v>
      </c>
      <c r="B140" t="s">
        <v>1397</v>
      </c>
      <c r="C140" t="s">
        <v>150</v>
      </c>
      <c r="D140" s="2">
        <v>1.3194999999999999</v>
      </c>
      <c r="E140" s="2">
        <v>1.3503000000000001</v>
      </c>
      <c r="F140" s="2">
        <v>1.2515000000000001</v>
      </c>
      <c r="G140" s="2">
        <v>1.1465000000000001</v>
      </c>
    </row>
    <row r="141" spans="1:7" x14ac:dyDescent="0.3">
      <c r="A141" t="s">
        <v>1398</v>
      </c>
      <c r="B141" t="s">
        <v>1397</v>
      </c>
      <c r="C141" t="s">
        <v>152</v>
      </c>
      <c r="D141" s="2">
        <v>0</v>
      </c>
      <c r="E141" s="2">
        <v>0</v>
      </c>
      <c r="F141" s="2">
        <v>0</v>
      </c>
      <c r="G141" s="2">
        <v>0</v>
      </c>
    </row>
    <row r="142" spans="1:7" x14ac:dyDescent="0.3">
      <c r="A142" t="s">
        <v>1398</v>
      </c>
      <c r="B142" t="s">
        <v>1397</v>
      </c>
      <c r="C142" t="s">
        <v>153</v>
      </c>
      <c r="D142" s="2">
        <v>0</v>
      </c>
      <c r="E142" s="2">
        <v>0</v>
      </c>
      <c r="F142" s="2">
        <v>0</v>
      </c>
      <c r="G142" s="2">
        <v>0</v>
      </c>
    </row>
    <row r="143" spans="1:7" x14ac:dyDescent="0.3">
      <c r="A143" t="s">
        <v>1398</v>
      </c>
      <c r="B143" t="s">
        <v>1397</v>
      </c>
      <c r="C143" t="s">
        <v>154</v>
      </c>
      <c r="D143" s="2">
        <v>0.1653</v>
      </c>
      <c r="E143" s="2">
        <v>0.29580000000000001</v>
      </c>
      <c r="F143" s="2">
        <v>0.221</v>
      </c>
      <c r="G143" s="2">
        <v>0.1338</v>
      </c>
    </row>
    <row r="144" spans="1:7" x14ac:dyDescent="0.3">
      <c r="A144" t="s">
        <v>1398</v>
      </c>
      <c r="B144" t="s">
        <v>1395</v>
      </c>
      <c r="C144" t="s">
        <v>155</v>
      </c>
      <c r="D144" s="2">
        <v>0.57120000000000004</v>
      </c>
      <c r="E144" s="2">
        <v>0.60880000000000001</v>
      </c>
      <c r="F144" s="2">
        <v>0.73670000000000002</v>
      </c>
      <c r="G144" s="2">
        <v>0.99460000000000004</v>
      </c>
    </row>
    <row r="145" spans="1:7" x14ac:dyDescent="0.3">
      <c r="A145" t="s">
        <v>1398</v>
      </c>
      <c r="B145" t="s">
        <v>1395</v>
      </c>
      <c r="C145" t="s">
        <v>156</v>
      </c>
      <c r="D145" s="2">
        <v>6.6600000000000006E-2</v>
      </c>
      <c r="E145" s="2">
        <v>5.11E-2</v>
      </c>
      <c r="F145" s="2">
        <v>3.95E-2</v>
      </c>
      <c r="G145" s="2">
        <v>8.5099999999999995E-2</v>
      </c>
    </row>
    <row r="146" spans="1:7" x14ac:dyDescent="0.3">
      <c r="A146" t="s">
        <v>1398</v>
      </c>
      <c r="B146" t="s">
        <v>1395</v>
      </c>
      <c r="C146" t="s">
        <v>157</v>
      </c>
      <c r="D146" s="2">
        <v>0</v>
      </c>
      <c r="E146" s="2">
        <v>0</v>
      </c>
      <c r="F146" s="2">
        <v>0</v>
      </c>
      <c r="G146" s="2">
        <v>0</v>
      </c>
    </row>
    <row r="147" spans="1:7" x14ac:dyDescent="0.3">
      <c r="A147" t="s">
        <v>1398</v>
      </c>
      <c r="B147" t="s">
        <v>1395</v>
      </c>
      <c r="C147" t="s">
        <v>158</v>
      </c>
      <c r="D147" s="2">
        <v>4.1557000000000004</v>
      </c>
      <c r="E147" s="2">
        <v>4.0029000000000003</v>
      </c>
      <c r="F147" s="2">
        <v>3.8260000000000001</v>
      </c>
      <c r="G147" s="2">
        <v>4.2042999999999999</v>
      </c>
    </row>
    <row r="148" spans="1:7" x14ac:dyDescent="0.3">
      <c r="A148" t="s">
        <v>1398</v>
      </c>
      <c r="B148" t="s">
        <v>1395</v>
      </c>
      <c r="C148" t="s">
        <v>159</v>
      </c>
      <c r="D148" s="2">
        <v>0</v>
      </c>
      <c r="E148" s="2">
        <v>0</v>
      </c>
      <c r="F148" s="2">
        <v>0</v>
      </c>
      <c r="G148" s="2">
        <v>0</v>
      </c>
    </row>
    <row r="149" spans="1:7" x14ac:dyDescent="0.3">
      <c r="A149" t="s">
        <v>1398</v>
      </c>
      <c r="B149" t="s">
        <v>1395</v>
      </c>
      <c r="C149" t="s">
        <v>160</v>
      </c>
      <c r="D149" s="2">
        <v>3.2593000000000001</v>
      </c>
      <c r="E149" s="2">
        <v>3.4077999999999999</v>
      </c>
      <c r="F149" s="2">
        <v>3.3492999999999999</v>
      </c>
      <c r="G149" s="2">
        <v>2.9430000000000001</v>
      </c>
    </row>
    <row r="150" spans="1:7" x14ac:dyDescent="0.3">
      <c r="A150" t="s">
        <v>1398</v>
      </c>
      <c r="B150" t="s">
        <v>1395</v>
      </c>
      <c r="C150" t="s">
        <v>161</v>
      </c>
      <c r="D150" s="2">
        <v>3.9066000000000001</v>
      </c>
      <c r="E150" s="2">
        <v>3.7403</v>
      </c>
      <c r="F150" s="2">
        <v>3.3801999999999999</v>
      </c>
      <c r="G150" s="2">
        <v>3.5815000000000001</v>
      </c>
    </row>
    <row r="151" spans="1:7" x14ac:dyDescent="0.3">
      <c r="A151" t="s">
        <v>1398</v>
      </c>
      <c r="B151" t="s">
        <v>1395</v>
      </c>
      <c r="C151" t="s">
        <v>163</v>
      </c>
      <c r="D151" s="2">
        <v>0</v>
      </c>
      <c r="E151" s="2">
        <v>0</v>
      </c>
      <c r="F151" s="2">
        <v>0</v>
      </c>
      <c r="G151" s="2">
        <v>0</v>
      </c>
    </row>
    <row r="152" spans="1:7" x14ac:dyDescent="0.3">
      <c r="A152" t="s">
        <v>1398</v>
      </c>
      <c r="B152" t="s">
        <v>1395</v>
      </c>
      <c r="C152" t="s">
        <v>164</v>
      </c>
      <c r="D152" s="2">
        <v>0</v>
      </c>
      <c r="E152" s="2">
        <v>0</v>
      </c>
      <c r="F152" s="2">
        <v>0</v>
      </c>
      <c r="G152" s="2">
        <v>0</v>
      </c>
    </row>
    <row r="153" spans="1:7" x14ac:dyDescent="0.3">
      <c r="A153" t="s">
        <v>1398</v>
      </c>
      <c r="B153" t="s">
        <v>1395</v>
      </c>
      <c r="C153" t="s">
        <v>165</v>
      </c>
      <c r="D153" s="2">
        <v>2.9895999999999998</v>
      </c>
      <c r="E153" s="2">
        <v>2.9573999999999998</v>
      </c>
      <c r="F153" s="2">
        <v>2.8780000000000001</v>
      </c>
      <c r="G153" s="2">
        <v>3.0036999999999998</v>
      </c>
    </row>
    <row r="154" spans="1:7" x14ac:dyDescent="0.3">
      <c r="A154" t="s">
        <v>1400</v>
      </c>
      <c r="B154" t="s">
        <v>1393</v>
      </c>
      <c r="C154" t="s">
        <v>166</v>
      </c>
      <c r="D154" s="2">
        <v>1.3852</v>
      </c>
      <c r="E154" s="2">
        <v>1.1658999999999999</v>
      </c>
      <c r="F154" s="2">
        <v>1.2968</v>
      </c>
      <c r="G154" s="2">
        <v>0.54530000000000001</v>
      </c>
    </row>
    <row r="155" spans="1:7" x14ac:dyDescent="0.3">
      <c r="A155" t="s">
        <v>1400</v>
      </c>
      <c r="B155" t="s">
        <v>1393</v>
      </c>
      <c r="C155" t="s">
        <v>167</v>
      </c>
      <c r="D155" s="2">
        <v>0.26469999999999999</v>
      </c>
      <c r="E155" s="2">
        <v>0.35630000000000001</v>
      </c>
      <c r="F155" s="2">
        <v>0.27229999999999999</v>
      </c>
      <c r="G155" s="2">
        <v>0.81830000000000003</v>
      </c>
    </row>
    <row r="156" spans="1:7" x14ac:dyDescent="0.3">
      <c r="A156" t="s">
        <v>1400</v>
      </c>
      <c r="B156" t="s">
        <v>1393</v>
      </c>
      <c r="C156" t="s">
        <v>168</v>
      </c>
      <c r="D156" s="2">
        <v>0</v>
      </c>
      <c r="E156" s="2">
        <v>0</v>
      </c>
      <c r="F156" s="2">
        <v>0</v>
      </c>
      <c r="G156" s="2">
        <v>0</v>
      </c>
    </row>
    <row r="157" spans="1:7" x14ac:dyDescent="0.3">
      <c r="A157" t="s">
        <v>1400</v>
      </c>
      <c r="B157" t="s">
        <v>1393</v>
      </c>
      <c r="C157" t="s">
        <v>169</v>
      </c>
      <c r="D157" s="2">
        <v>0</v>
      </c>
      <c r="E157" s="2">
        <v>0</v>
      </c>
      <c r="F157" s="2">
        <v>0</v>
      </c>
      <c r="G157" s="2">
        <v>0</v>
      </c>
    </row>
    <row r="158" spans="1:7" x14ac:dyDescent="0.3">
      <c r="A158" t="s">
        <v>1400</v>
      </c>
      <c r="B158" t="s">
        <v>1393</v>
      </c>
      <c r="C158" t="s">
        <v>170</v>
      </c>
      <c r="D158" s="2">
        <v>0</v>
      </c>
      <c r="E158" s="2">
        <v>0</v>
      </c>
      <c r="F158" s="2">
        <v>0</v>
      </c>
      <c r="G158" s="2">
        <v>0</v>
      </c>
    </row>
    <row r="159" spans="1:7" x14ac:dyDescent="0.3">
      <c r="A159" t="s">
        <v>1400</v>
      </c>
      <c r="B159" t="s">
        <v>1393</v>
      </c>
      <c r="C159" t="s">
        <v>171</v>
      </c>
      <c r="D159" s="2">
        <v>1.0842000000000001</v>
      </c>
      <c r="E159" s="2">
        <v>1.1767000000000001</v>
      </c>
      <c r="F159" s="2">
        <v>1.5263</v>
      </c>
      <c r="G159" s="2">
        <v>1.7342</v>
      </c>
    </row>
    <row r="160" spans="1:7" x14ac:dyDescent="0.3">
      <c r="A160" t="s">
        <v>1400</v>
      </c>
      <c r="B160" t="s">
        <v>1393</v>
      </c>
      <c r="C160" t="s">
        <v>172</v>
      </c>
      <c r="D160" s="2">
        <v>8.1000000000000003E-2</v>
      </c>
      <c r="E160" s="2">
        <v>5.3900000000000003E-2</v>
      </c>
      <c r="F160" s="2">
        <v>8.9800000000000005E-2</v>
      </c>
      <c r="G160" s="2">
        <v>9.01E-2</v>
      </c>
    </row>
    <row r="161" spans="1:7" x14ac:dyDescent="0.3">
      <c r="A161" t="s">
        <v>1400</v>
      </c>
      <c r="B161" t="s">
        <v>1393</v>
      </c>
      <c r="C161" t="s">
        <v>174</v>
      </c>
      <c r="D161" s="2">
        <v>0</v>
      </c>
      <c r="E161" s="2">
        <v>0</v>
      </c>
      <c r="F161" s="2">
        <v>0</v>
      </c>
      <c r="G161" s="2">
        <v>0</v>
      </c>
    </row>
    <row r="162" spans="1:7" x14ac:dyDescent="0.3">
      <c r="A162" t="s">
        <v>1400</v>
      </c>
      <c r="B162" t="s">
        <v>1393</v>
      </c>
      <c r="C162" t="s">
        <v>175</v>
      </c>
      <c r="D162" s="2">
        <v>0</v>
      </c>
      <c r="E162" s="2">
        <v>0</v>
      </c>
      <c r="F162" s="2">
        <v>0</v>
      </c>
      <c r="G162" s="2">
        <v>0</v>
      </c>
    </row>
    <row r="163" spans="1:7" x14ac:dyDescent="0.3">
      <c r="A163" t="s">
        <v>1400</v>
      </c>
      <c r="B163" t="s">
        <v>1393</v>
      </c>
      <c r="C163" t="s">
        <v>176</v>
      </c>
      <c r="D163" s="2">
        <v>0</v>
      </c>
      <c r="E163" s="2">
        <v>0</v>
      </c>
      <c r="F163" s="2">
        <v>0</v>
      </c>
      <c r="G163" s="2">
        <v>0</v>
      </c>
    </row>
    <row r="164" spans="1:7" x14ac:dyDescent="0.3">
      <c r="A164" t="s">
        <v>1400</v>
      </c>
      <c r="B164" t="s">
        <v>1397</v>
      </c>
      <c r="C164" t="s">
        <v>177</v>
      </c>
      <c r="D164" s="2">
        <v>0.39290000000000003</v>
      </c>
      <c r="E164" s="2">
        <v>0.4027</v>
      </c>
      <c r="F164" s="2">
        <v>0.37519999999999998</v>
      </c>
      <c r="G164" s="2">
        <v>0.38640000000000002</v>
      </c>
    </row>
    <row r="165" spans="1:7" x14ac:dyDescent="0.3">
      <c r="A165" t="s">
        <v>1400</v>
      </c>
      <c r="B165" t="s">
        <v>1397</v>
      </c>
      <c r="C165" t="s">
        <v>178</v>
      </c>
      <c r="D165" s="2">
        <v>0</v>
      </c>
      <c r="E165" s="2">
        <v>0</v>
      </c>
      <c r="F165" s="2">
        <v>0</v>
      </c>
      <c r="G165" s="2">
        <v>0</v>
      </c>
    </row>
    <row r="166" spans="1:7" x14ac:dyDescent="0.3">
      <c r="A166" t="s">
        <v>1400</v>
      </c>
      <c r="B166" t="s">
        <v>1397</v>
      </c>
      <c r="C166" t="s">
        <v>179</v>
      </c>
      <c r="D166" s="2">
        <v>0</v>
      </c>
      <c r="E166" s="2">
        <v>0</v>
      </c>
      <c r="F166" s="2">
        <v>0</v>
      </c>
      <c r="G166" s="2">
        <v>0</v>
      </c>
    </row>
    <row r="167" spans="1:7" x14ac:dyDescent="0.3">
      <c r="A167" t="s">
        <v>1400</v>
      </c>
      <c r="B167" t="s">
        <v>1397</v>
      </c>
      <c r="C167" t="s">
        <v>180</v>
      </c>
      <c r="D167" s="2">
        <v>3.2000000000000001E-2</v>
      </c>
      <c r="E167" s="2">
        <v>3.1300000000000001E-2</v>
      </c>
      <c r="F167" s="2">
        <v>3.1800000000000002E-2</v>
      </c>
      <c r="G167" s="2">
        <v>3.2500000000000001E-2</v>
      </c>
    </row>
    <row r="168" spans="1:7" x14ac:dyDescent="0.3">
      <c r="A168" t="s">
        <v>1400</v>
      </c>
      <c r="B168" t="s">
        <v>1397</v>
      </c>
      <c r="C168" t="s">
        <v>181</v>
      </c>
      <c r="D168" s="2">
        <v>0</v>
      </c>
      <c r="E168" s="2">
        <v>0</v>
      </c>
      <c r="F168" s="2">
        <v>0</v>
      </c>
      <c r="G168" s="2">
        <v>0</v>
      </c>
    </row>
    <row r="169" spans="1:7" x14ac:dyDescent="0.3">
      <c r="A169" t="s">
        <v>1400</v>
      </c>
      <c r="B169" t="s">
        <v>1397</v>
      </c>
      <c r="C169" t="s">
        <v>182</v>
      </c>
      <c r="D169" s="2">
        <v>2.7699999999999999E-2</v>
      </c>
      <c r="E169" s="2">
        <v>4.0800000000000003E-2</v>
      </c>
      <c r="F169" s="2">
        <v>2.8400000000000002E-2</v>
      </c>
      <c r="G169" s="2">
        <v>1.9599999999999999E-2</v>
      </c>
    </row>
    <row r="170" spans="1:7" x14ac:dyDescent="0.3">
      <c r="A170" t="s">
        <v>1400</v>
      </c>
      <c r="B170" t="s">
        <v>1397</v>
      </c>
      <c r="C170" t="s">
        <v>183</v>
      </c>
      <c r="D170" s="2">
        <v>0.18690000000000001</v>
      </c>
      <c r="E170" s="2">
        <v>0.18740000000000001</v>
      </c>
      <c r="F170" s="2">
        <v>0.18540000000000001</v>
      </c>
      <c r="G170" s="2">
        <v>0.19850000000000001</v>
      </c>
    </row>
    <row r="171" spans="1:7" x14ac:dyDescent="0.3">
      <c r="A171" t="s">
        <v>1400</v>
      </c>
      <c r="B171" t="s">
        <v>1397</v>
      </c>
      <c r="C171" t="s">
        <v>185</v>
      </c>
      <c r="D171" s="2">
        <v>0</v>
      </c>
      <c r="E171" s="2">
        <v>0</v>
      </c>
      <c r="F171" s="2">
        <v>0</v>
      </c>
      <c r="G171" s="2">
        <v>0</v>
      </c>
    </row>
    <row r="172" spans="1:7" x14ac:dyDescent="0.3">
      <c r="A172" t="s">
        <v>1400</v>
      </c>
      <c r="B172" t="s">
        <v>1397</v>
      </c>
      <c r="C172" t="s">
        <v>186</v>
      </c>
      <c r="D172" s="2">
        <v>0</v>
      </c>
      <c r="E172" s="2">
        <v>0</v>
      </c>
      <c r="F172" s="2">
        <v>0</v>
      </c>
      <c r="G172" s="2">
        <v>0</v>
      </c>
    </row>
    <row r="173" spans="1:7" x14ac:dyDescent="0.3">
      <c r="A173" t="s">
        <v>1400</v>
      </c>
      <c r="B173" t="s">
        <v>1397</v>
      </c>
      <c r="C173" t="s">
        <v>187</v>
      </c>
      <c r="D173" s="2">
        <v>0</v>
      </c>
      <c r="E173" s="2">
        <v>0</v>
      </c>
      <c r="F173" s="2">
        <v>0</v>
      </c>
      <c r="G173" s="2">
        <v>0</v>
      </c>
    </row>
    <row r="174" spans="1:7" x14ac:dyDescent="0.3">
      <c r="A174" t="s">
        <v>1400</v>
      </c>
      <c r="B174" t="s">
        <v>1395</v>
      </c>
      <c r="C174" t="s">
        <v>188</v>
      </c>
      <c r="D174" s="2">
        <v>0.33279999999999998</v>
      </c>
      <c r="E174" s="2">
        <v>0.4088</v>
      </c>
      <c r="F174" s="2">
        <v>0.37390000000000001</v>
      </c>
      <c r="G174" s="2">
        <v>0.39389999999999997</v>
      </c>
    </row>
    <row r="175" spans="1:7" x14ac:dyDescent="0.3">
      <c r="A175" t="s">
        <v>1400</v>
      </c>
      <c r="B175" t="s">
        <v>1395</v>
      </c>
      <c r="C175" t="s">
        <v>189</v>
      </c>
      <c r="D175" s="2">
        <v>0</v>
      </c>
      <c r="E175" s="2">
        <v>0</v>
      </c>
      <c r="F175" s="2">
        <v>0</v>
      </c>
      <c r="G175" s="2">
        <v>0</v>
      </c>
    </row>
    <row r="176" spans="1:7" x14ac:dyDescent="0.3">
      <c r="A176" t="s">
        <v>1400</v>
      </c>
      <c r="B176" t="s">
        <v>1395</v>
      </c>
      <c r="C176" t="s">
        <v>190</v>
      </c>
      <c r="D176" s="2">
        <v>0</v>
      </c>
      <c r="E176" s="2">
        <v>0</v>
      </c>
      <c r="F176" s="2">
        <v>0</v>
      </c>
      <c r="G176" s="2">
        <v>0</v>
      </c>
    </row>
    <row r="177" spans="1:7" x14ac:dyDescent="0.3">
      <c r="A177" t="s">
        <v>1400</v>
      </c>
      <c r="B177" t="s">
        <v>1395</v>
      </c>
      <c r="C177" t="s">
        <v>191</v>
      </c>
      <c r="D177" s="2">
        <v>0</v>
      </c>
      <c r="E177" s="2">
        <v>0</v>
      </c>
      <c r="F177" s="2">
        <v>0</v>
      </c>
      <c r="G177" s="2">
        <v>0</v>
      </c>
    </row>
    <row r="178" spans="1:7" x14ac:dyDescent="0.3">
      <c r="A178" t="s">
        <v>1400</v>
      </c>
      <c r="B178" t="s">
        <v>1395</v>
      </c>
      <c r="C178" t="s">
        <v>192</v>
      </c>
      <c r="D178" s="2">
        <v>0</v>
      </c>
      <c r="E178" s="2">
        <v>0</v>
      </c>
      <c r="F178" s="2">
        <v>0</v>
      </c>
      <c r="G178" s="2">
        <v>0</v>
      </c>
    </row>
    <row r="179" spans="1:7" x14ac:dyDescent="0.3">
      <c r="A179" t="s">
        <v>1400</v>
      </c>
      <c r="B179" t="s">
        <v>1395</v>
      </c>
      <c r="C179" t="s">
        <v>193</v>
      </c>
      <c r="D179" s="2">
        <v>1.7999999999999999E-2</v>
      </c>
      <c r="E179" s="2">
        <v>1.7999999999999999E-2</v>
      </c>
      <c r="F179" s="2">
        <v>1.44E-2</v>
      </c>
      <c r="G179" s="2">
        <v>1.0800000000000001E-2</v>
      </c>
    </row>
    <row r="180" spans="1:7" x14ac:dyDescent="0.3">
      <c r="A180" t="s">
        <v>1400</v>
      </c>
      <c r="B180" t="s">
        <v>1395</v>
      </c>
      <c r="C180" t="s">
        <v>194</v>
      </c>
      <c r="D180" s="2">
        <v>9.3299999999999994E-2</v>
      </c>
      <c r="E180" s="2">
        <v>9.01E-2</v>
      </c>
      <c r="F180" s="2">
        <v>8.3900000000000002E-2</v>
      </c>
      <c r="G180" s="2">
        <v>8.8400000000000006E-2</v>
      </c>
    </row>
    <row r="181" spans="1:7" x14ac:dyDescent="0.3">
      <c r="A181" t="s">
        <v>1400</v>
      </c>
      <c r="B181" t="s">
        <v>1395</v>
      </c>
      <c r="C181" t="s">
        <v>196</v>
      </c>
      <c r="D181" s="2">
        <v>0</v>
      </c>
      <c r="E181" s="2">
        <v>0</v>
      </c>
      <c r="F181" s="2">
        <v>0</v>
      </c>
      <c r="G181" s="2">
        <v>0</v>
      </c>
    </row>
    <row r="182" spans="1:7" x14ac:dyDescent="0.3">
      <c r="A182" t="s">
        <v>1400</v>
      </c>
      <c r="B182" t="s">
        <v>1395</v>
      </c>
      <c r="C182" t="s">
        <v>197</v>
      </c>
      <c r="D182" s="2">
        <v>1.6799999999999999E-2</v>
      </c>
      <c r="E182" s="2">
        <v>1.6799999999999999E-2</v>
      </c>
      <c r="F182" s="2">
        <v>1.6799999999999999E-2</v>
      </c>
      <c r="G182" s="2">
        <v>1.6799999999999999E-2</v>
      </c>
    </row>
    <row r="183" spans="1:7" x14ac:dyDescent="0.3">
      <c r="A183" t="s">
        <v>1400</v>
      </c>
      <c r="B183" t="s">
        <v>1395</v>
      </c>
      <c r="C183" t="s">
        <v>198</v>
      </c>
      <c r="D183" s="2">
        <v>0</v>
      </c>
      <c r="E183" s="2">
        <v>0</v>
      </c>
      <c r="F183" s="2">
        <v>0</v>
      </c>
      <c r="G183" s="2">
        <v>0</v>
      </c>
    </row>
    <row r="184" spans="1:7" x14ac:dyDescent="0.3">
      <c r="A184" t="s">
        <v>1401</v>
      </c>
      <c r="B184" t="s">
        <v>1391</v>
      </c>
      <c r="C184" t="s">
        <v>199</v>
      </c>
      <c r="D184" s="2">
        <v>0</v>
      </c>
      <c r="E184" s="2">
        <v>0</v>
      </c>
      <c r="F184" s="2">
        <v>0</v>
      </c>
      <c r="G184" s="2">
        <v>0</v>
      </c>
    </row>
    <row r="185" spans="1:7" x14ac:dyDescent="0.3">
      <c r="A185" t="s">
        <v>1401</v>
      </c>
      <c r="B185" t="s">
        <v>1391</v>
      </c>
      <c r="C185" t="s">
        <v>200</v>
      </c>
      <c r="D185" s="2">
        <v>6.3563999999999998</v>
      </c>
      <c r="E185" s="2">
        <v>5.3630000000000004</v>
      </c>
      <c r="F185" s="2">
        <v>6.1596000000000002</v>
      </c>
      <c r="G185" s="2">
        <v>6.2697000000000003</v>
      </c>
    </row>
    <row r="186" spans="1:7" x14ac:dyDescent="0.3">
      <c r="A186" t="s">
        <v>1401</v>
      </c>
      <c r="B186" t="s">
        <v>1391</v>
      </c>
      <c r="C186" t="s">
        <v>201</v>
      </c>
      <c r="D186" s="2">
        <v>0</v>
      </c>
      <c r="E186" s="2">
        <v>0</v>
      </c>
      <c r="F186" s="2">
        <v>0</v>
      </c>
      <c r="G186" s="2">
        <v>0</v>
      </c>
    </row>
    <row r="187" spans="1:7" x14ac:dyDescent="0.3">
      <c r="A187" t="s">
        <v>1401</v>
      </c>
      <c r="B187" t="s">
        <v>1391</v>
      </c>
      <c r="C187" t="s">
        <v>202</v>
      </c>
      <c r="D187" s="2">
        <v>10.280200000000001</v>
      </c>
      <c r="E187" s="2">
        <v>8.6659000000000006</v>
      </c>
      <c r="F187" s="2">
        <v>8.5713000000000008</v>
      </c>
      <c r="G187" s="2">
        <v>10.3818</v>
      </c>
    </row>
    <row r="188" spans="1:7" x14ac:dyDescent="0.3">
      <c r="A188" t="s">
        <v>1401</v>
      </c>
      <c r="B188" t="s">
        <v>1391</v>
      </c>
      <c r="C188" t="s">
        <v>203</v>
      </c>
      <c r="D188" s="2">
        <v>0</v>
      </c>
      <c r="E188" s="2">
        <v>0</v>
      </c>
      <c r="F188" s="2">
        <v>0</v>
      </c>
      <c r="G188" s="2">
        <v>0</v>
      </c>
    </row>
    <row r="189" spans="1:7" x14ac:dyDescent="0.3">
      <c r="A189" t="s">
        <v>1401</v>
      </c>
      <c r="B189" t="s">
        <v>1391</v>
      </c>
      <c r="C189" t="s">
        <v>204</v>
      </c>
      <c r="D189" s="2">
        <v>2.0000000000000001E-4</v>
      </c>
      <c r="E189" s="2">
        <v>2.0000000000000001E-4</v>
      </c>
      <c r="F189" s="2">
        <v>2.0000000000000001E-4</v>
      </c>
      <c r="G189" s="2">
        <v>4.0000000000000002E-4</v>
      </c>
    </row>
    <row r="190" spans="1:7" x14ac:dyDescent="0.3">
      <c r="A190" t="s">
        <v>1401</v>
      </c>
      <c r="B190" t="s">
        <v>1391</v>
      </c>
      <c r="C190" t="s">
        <v>205</v>
      </c>
      <c r="D190" s="2">
        <v>4.5393999999999997</v>
      </c>
      <c r="E190" s="2">
        <v>4.3403999999999998</v>
      </c>
      <c r="F190" s="2">
        <v>4.1520000000000001</v>
      </c>
      <c r="G190" s="2">
        <v>4.4699</v>
      </c>
    </row>
    <row r="191" spans="1:7" x14ac:dyDescent="0.3">
      <c r="A191" t="s">
        <v>1401</v>
      </c>
      <c r="B191" t="s">
        <v>1391</v>
      </c>
      <c r="C191" t="s">
        <v>207</v>
      </c>
      <c r="D191" s="2">
        <v>0</v>
      </c>
      <c r="E191" s="2">
        <v>0</v>
      </c>
      <c r="F191" s="2">
        <v>0</v>
      </c>
      <c r="G191" s="2">
        <v>0</v>
      </c>
    </row>
    <row r="192" spans="1:7" x14ac:dyDescent="0.3">
      <c r="A192" t="s">
        <v>1401</v>
      </c>
      <c r="B192" t="s">
        <v>1391</v>
      </c>
      <c r="C192" t="s">
        <v>208</v>
      </c>
      <c r="D192" s="2">
        <v>0</v>
      </c>
      <c r="E192" s="2">
        <v>0</v>
      </c>
      <c r="F192" s="2">
        <v>0</v>
      </c>
      <c r="G192" s="2">
        <v>0</v>
      </c>
    </row>
    <row r="193" spans="1:7" x14ac:dyDescent="0.3">
      <c r="A193" t="s">
        <v>1401</v>
      </c>
      <c r="B193" t="s">
        <v>1391</v>
      </c>
      <c r="C193" t="s">
        <v>209</v>
      </c>
      <c r="D193" s="2">
        <v>2.3187000000000002</v>
      </c>
      <c r="E193" s="2">
        <v>2.3643999999999998</v>
      </c>
      <c r="F193" s="2">
        <v>2.0836999999999999</v>
      </c>
      <c r="G193" s="2">
        <v>2.1886000000000001</v>
      </c>
    </row>
    <row r="194" spans="1:7" x14ac:dyDescent="0.3">
      <c r="A194" t="s">
        <v>1401</v>
      </c>
      <c r="B194" t="s">
        <v>1392</v>
      </c>
      <c r="C194" t="s">
        <v>210</v>
      </c>
      <c r="D194" s="2">
        <v>0.99680000000000002</v>
      </c>
      <c r="E194" s="2">
        <v>1.4873000000000001</v>
      </c>
      <c r="F194" s="2">
        <v>2.0621</v>
      </c>
      <c r="G194" s="2">
        <v>2.3807</v>
      </c>
    </row>
    <row r="195" spans="1:7" x14ac:dyDescent="0.3">
      <c r="A195" t="s">
        <v>1401</v>
      </c>
      <c r="B195" t="s">
        <v>1392</v>
      </c>
      <c r="C195" t="s">
        <v>211</v>
      </c>
      <c r="D195" s="2">
        <v>4.9329999999999998</v>
      </c>
      <c r="E195" s="2">
        <v>4.3712999999999997</v>
      </c>
      <c r="F195" s="2">
        <v>4.1478999999999999</v>
      </c>
      <c r="G195" s="2">
        <v>4.1475999999999997</v>
      </c>
    </row>
    <row r="196" spans="1:7" x14ac:dyDescent="0.3">
      <c r="A196" t="s">
        <v>1401</v>
      </c>
      <c r="B196" t="s">
        <v>1392</v>
      </c>
      <c r="C196" t="s">
        <v>212</v>
      </c>
      <c r="D196" s="2">
        <v>0</v>
      </c>
      <c r="E196" s="2">
        <v>0</v>
      </c>
      <c r="F196" s="2">
        <v>0</v>
      </c>
      <c r="G196" s="2">
        <v>0</v>
      </c>
    </row>
    <row r="197" spans="1:7" x14ac:dyDescent="0.3">
      <c r="A197" t="s">
        <v>1401</v>
      </c>
      <c r="B197" t="s">
        <v>1392</v>
      </c>
      <c r="C197" t="s">
        <v>213</v>
      </c>
      <c r="D197" s="2">
        <v>5.6167999999999996</v>
      </c>
      <c r="E197" s="2">
        <v>6.1454000000000004</v>
      </c>
      <c r="F197" s="2">
        <v>6.9173</v>
      </c>
      <c r="G197" s="2">
        <v>6.9127000000000001</v>
      </c>
    </row>
    <row r="198" spans="1:7" x14ac:dyDescent="0.3">
      <c r="A198" t="s">
        <v>1401</v>
      </c>
      <c r="B198" t="s">
        <v>1392</v>
      </c>
      <c r="C198" t="s">
        <v>214</v>
      </c>
      <c r="D198" s="2">
        <v>0</v>
      </c>
      <c r="E198" s="2">
        <v>0</v>
      </c>
      <c r="F198" s="2">
        <v>0</v>
      </c>
      <c r="G198" s="2">
        <v>0</v>
      </c>
    </row>
    <row r="199" spans="1:7" x14ac:dyDescent="0.3">
      <c r="A199" t="s">
        <v>1401</v>
      </c>
      <c r="B199" t="s">
        <v>1392</v>
      </c>
      <c r="C199" t="s">
        <v>215</v>
      </c>
      <c r="D199" s="2">
        <v>7.3200000000000001E-2</v>
      </c>
      <c r="E199" s="2">
        <v>6.8900000000000003E-2</v>
      </c>
      <c r="F199" s="2">
        <v>6.8000000000000005E-2</v>
      </c>
      <c r="G199" s="2">
        <v>7.9000000000000001E-2</v>
      </c>
    </row>
    <row r="200" spans="1:7" x14ac:dyDescent="0.3">
      <c r="A200" t="s">
        <v>1401</v>
      </c>
      <c r="B200" t="s">
        <v>1392</v>
      </c>
      <c r="C200" t="s">
        <v>216</v>
      </c>
      <c r="D200" s="2">
        <v>0.69679999999999997</v>
      </c>
      <c r="E200" s="2">
        <v>0.66959999999999997</v>
      </c>
      <c r="F200" s="2">
        <v>0.47549999999999998</v>
      </c>
      <c r="G200" s="2">
        <v>0.56799999999999995</v>
      </c>
    </row>
    <row r="201" spans="1:7" x14ac:dyDescent="0.3">
      <c r="A201" t="s">
        <v>1401</v>
      </c>
      <c r="B201" t="s">
        <v>1392</v>
      </c>
      <c r="C201" t="s">
        <v>218</v>
      </c>
      <c r="D201" s="2">
        <v>0</v>
      </c>
      <c r="E201" s="2">
        <v>0</v>
      </c>
      <c r="F201" s="2">
        <v>0</v>
      </c>
      <c r="G201" s="2">
        <v>0</v>
      </c>
    </row>
    <row r="202" spans="1:7" x14ac:dyDescent="0.3">
      <c r="A202" t="s">
        <v>1401</v>
      </c>
      <c r="B202" t="s">
        <v>1392</v>
      </c>
      <c r="C202" t="s">
        <v>219</v>
      </c>
      <c r="D202" s="2">
        <v>0</v>
      </c>
      <c r="E202" s="2">
        <v>0</v>
      </c>
      <c r="F202" s="2">
        <v>0</v>
      </c>
      <c r="G202" s="2">
        <v>0</v>
      </c>
    </row>
    <row r="203" spans="1:7" x14ac:dyDescent="0.3">
      <c r="A203" t="s">
        <v>1401</v>
      </c>
      <c r="B203" t="s">
        <v>1392</v>
      </c>
      <c r="C203" t="s">
        <v>220</v>
      </c>
      <c r="D203" s="2">
        <v>5.0655000000000001</v>
      </c>
      <c r="E203" s="2">
        <v>4.9490999999999996</v>
      </c>
      <c r="F203" s="2">
        <v>4.7266000000000004</v>
      </c>
      <c r="G203" s="2">
        <v>5.0153999999999996</v>
      </c>
    </row>
    <row r="204" spans="1:7" x14ac:dyDescent="0.3">
      <c r="A204" t="s">
        <v>1401</v>
      </c>
      <c r="B204" t="s">
        <v>1393</v>
      </c>
      <c r="C204" t="s">
        <v>221</v>
      </c>
      <c r="D204" s="2">
        <v>0.24709999999999999</v>
      </c>
      <c r="E204" s="2">
        <v>0.1055</v>
      </c>
      <c r="F204" s="2">
        <v>0.22850000000000001</v>
      </c>
      <c r="G204" s="2">
        <v>0.2147</v>
      </c>
    </row>
    <row r="205" spans="1:7" x14ac:dyDescent="0.3">
      <c r="A205" t="s">
        <v>1401</v>
      </c>
      <c r="B205" t="s">
        <v>1393</v>
      </c>
      <c r="C205" t="s">
        <v>222</v>
      </c>
      <c r="D205" s="2">
        <v>3.0344000000000002</v>
      </c>
      <c r="E205" s="2">
        <v>3.1482999999999999</v>
      </c>
      <c r="F205" s="2">
        <v>2.5872000000000002</v>
      </c>
      <c r="G205" s="2">
        <v>2.7667000000000002</v>
      </c>
    </row>
    <row r="206" spans="1:7" x14ac:dyDescent="0.3">
      <c r="A206" t="s">
        <v>1401</v>
      </c>
      <c r="B206" t="s">
        <v>1393</v>
      </c>
      <c r="C206" t="s">
        <v>223</v>
      </c>
      <c r="D206" s="2">
        <v>0</v>
      </c>
      <c r="E206" s="2">
        <v>0</v>
      </c>
      <c r="F206" s="2">
        <v>0</v>
      </c>
      <c r="G206" s="2">
        <v>0</v>
      </c>
    </row>
    <row r="207" spans="1:7" x14ac:dyDescent="0.3">
      <c r="A207" t="s">
        <v>1401</v>
      </c>
      <c r="B207" t="s">
        <v>1393</v>
      </c>
      <c r="C207" t="s">
        <v>224</v>
      </c>
      <c r="D207" s="2">
        <v>9.6172000000000004</v>
      </c>
      <c r="E207" s="2">
        <v>9.9230999999999998</v>
      </c>
      <c r="F207" s="2">
        <v>10.124599999999999</v>
      </c>
      <c r="G207" s="2">
        <v>10.2326</v>
      </c>
    </row>
    <row r="208" spans="1:7" x14ac:dyDescent="0.3">
      <c r="A208" t="s">
        <v>1401</v>
      </c>
      <c r="B208" t="s">
        <v>1393</v>
      </c>
      <c r="C208" t="s">
        <v>225</v>
      </c>
      <c r="D208" s="2">
        <v>0</v>
      </c>
      <c r="E208" s="2">
        <v>0</v>
      </c>
      <c r="F208" s="2">
        <v>0</v>
      </c>
      <c r="G208" s="2">
        <v>0</v>
      </c>
    </row>
    <row r="209" spans="1:7" x14ac:dyDescent="0.3">
      <c r="A209" t="s">
        <v>1401</v>
      </c>
      <c r="B209" t="s">
        <v>1393</v>
      </c>
      <c r="C209" t="s">
        <v>226</v>
      </c>
      <c r="D209" s="2">
        <v>5.0834999999999999</v>
      </c>
      <c r="E209" s="2">
        <v>5.3319999999999999</v>
      </c>
      <c r="F209" s="2">
        <v>5.5994000000000002</v>
      </c>
      <c r="G209" s="2">
        <v>5.5723000000000003</v>
      </c>
    </row>
    <row r="210" spans="1:7" x14ac:dyDescent="0.3">
      <c r="A210" t="s">
        <v>1401</v>
      </c>
      <c r="B210" t="s">
        <v>1393</v>
      </c>
      <c r="C210" t="s">
        <v>227</v>
      </c>
      <c r="D210" s="2">
        <v>1.7970999999999999</v>
      </c>
      <c r="E210" s="2">
        <v>1.7737000000000001</v>
      </c>
      <c r="F210" s="2">
        <v>1.7621</v>
      </c>
      <c r="G210" s="2">
        <v>1.8788</v>
      </c>
    </row>
    <row r="211" spans="1:7" x14ac:dyDescent="0.3">
      <c r="A211" t="s">
        <v>1401</v>
      </c>
      <c r="B211" t="s">
        <v>1393</v>
      </c>
      <c r="C211" t="s">
        <v>229</v>
      </c>
      <c r="D211" s="2">
        <v>0</v>
      </c>
      <c r="E211" s="2">
        <v>0</v>
      </c>
      <c r="F211" s="2">
        <v>0</v>
      </c>
      <c r="G211" s="2">
        <v>0</v>
      </c>
    </row>
    <row r="212" spans="1:7" x14ac:dyDescent="0.3">
      <c r="A212" t="s">
        <v>1401</v>
      </c>
      <c r="B212" t="s">
        <v>1393</v>
      </c>
      <c r="C212" t="s">
        <v>230</v>
      </c>
      <c r="D212" s="2">
        <v>0</v>
      </c>
      <c r="E212" s="2">
        <v>0</v>
      </c>
      <c r="F212" s="2">
        <v>0</v>
      </c>
      <c r="G212" s="2">
        <v>0</v>
      </c>
    </row>
    <row r="213" spans="1:7" x14ac:dyDescent="0.3">
      <c r="A213" t="s">
        <v>1401</v>
      </c>
      <c r="B213" t="s">
        <v>1393</v>
      </c>
      <c r="C213" t="s">
        <v>231</v>
      </c>
      <c r="D213" s="2">
        <v>0.27729999999999999</v>
      </c>
      <c r="E213" s="2">
        <v>0.2959</v>
      </c>
      <c r="F213" s="2">
        <v>0.24399999999999999</v>
      </c>
      <c r="G213" s="2">
        <v>0.24610000000000001</v>
      </c>
    </row>
    <row r="214" spans="1:7" x14ac:dyDescent="0.3">
      <c r="A214" t="s">
        <v>1401</v>
      </c>
      <c r="B214" t="s">
        <v>1394</v>
      </c>
      <c r="C214" t="s">
        <v>232</v>
      </c>
      <c r="D214" s="2">
        <v>7.0699999999999999E-2</v>
      </c>
      <c r="E214" s="2">
        <v>2.6800000000000001E-2</v>
      </c>
      <c r="F214" s="2">
        <v>7.4200000000000002E-2</v>
      </c>
      <c r="G214" s="2">
        <v>7.51E-2</v>
      </c>
    </row>
    <row r="215" spans="1:7" x14ac:dyDescent="0.3">
      <c r="A215" t="s">
        <v>1401</v>
      </c>
      <c r="B215" t="s">
        <v>1394</v>
      </c>
      <c r="C215" t="s">
        <v>233</v>
      </c>
      <c r="D215" s="2">
        <v>0.72740000000000005</v>
      </c>
      <c r="E215" s="2">
        <v>0.84589999999999999</v>
      </c>
      <c r="F215" s="2">
        <v>0.8649</v>
      </c>
      <c r="G215" s="2">
        <v>0.85660000000000003</v>
      </c>
    </row>
    <row r="216" spans="1:7" x14ac:dyDescent="0.3">
      <c r="A216" t="s">
        <v>1401</v>
      </c>
      <c r="B216" t="s">
        <v>1394</v>
      </c>
      <c r="C216" t="s">
        <v>234</v>
      </c>
      <c r="D216" s="2">
        <v>0</v>
      </c>
      <c r="E216" s="2">
        <v>0</v>
      </c>
      <c r="F216" s="2">
        <v>0</v>
      </c>
      <c r="G216" s="2">
        <v>0</v>
      </c>
    </row>
    <row r="217" spans="1:7" x14ac:dyDescent="0.3">
      <c r="A217" t="s">
        <v>1401</v>
      </c>
      <c r="B217" t="s">
        <v>1394</v>
      </c>
      <c r="C217" t="s">
        <v>235</v>
      </c>
      <c r="D217" s="2">
        <v>2.8117000000000001</v>
      </c>
      <c r="E217" s="2">
        <v>2.9256000000000002</v>
      </c>
      <c r="F217" s="2">
        <v>2.8847999999999998</v>
      </c>
      <c r="G217" s="2">
        <v>3.7397</v>
      </c>
    </row>
    <row r="218" spans="1:7" x14ac:dyDescent="0.3">
      <c r="A218" t="s">
        <v>1401</v>
      </c>
      <c r="B218" t="s">
        <v>1394</v>
      </c>
      <c r="C218" t="s">
        <v>236</v>
      </c>
      <c r="D218" s="2">
        <v>0</v>
      </c>
      <c r="E218" s="2">
        <v>0</v>
      </c>
      <c r="F218" s="2">
        <v>0</v>
      </c>
      <c r="G218" s="2">
        <v>0</v>
      </c>
    </row>
    <row r="219" spans="1:7" x14ac:dyDescent="0.3">
      <c r="A219" t="s">
        <v>1401</v>
      </c>
      <c r="B219" t="s">
        <v>1394</v>
      </c>
      <c r="C219" t="s">
        <v>237</v>
      </c>
      <c r="D219" s="2">
        <v>5.9964000000000004</v>
      </c>
      <c r="E219" s="2">
        <v>7.3479999999999999</v>
      </c>
      <c r="F219" s="2">
        <v>7.6898999999999997</v>
      </c>
      <c r="G219" s="2">
        <v>7.9743000000000004</v>
      </c>
    </row>
    <row r="220" spans="1:7" x14ac:dyDescent="0.3">
      <c r="A220" t="s">
        <v>1401</v>
      </c>
      <c r="B220" t="s">
        <v>1394</v>
      </c>
      <c r="C220" t="s">
        <v>238</v>
      </c>
      <c r="D220" s="2">
        <v>1.7295</v>
      </c>
      <c r="E220" s="2">
        <v>1.7521</v>
      </c>
      <c r="F220" s="2">
        <v>1.7333000000000001</v>
      </c>
      <c r="G220" s="2">
        <v>1.7988</v>
      </c>
    </row>
    <row r="221" spans="1:7" x14ac:dyDescent="0.3">
      <c r="A221" t="s">
        <v>1401</v>
      </c>
      <c r="B221" t="s">
        <v>1394</v>
      </c>
      <c r="C221" t="s">
        <v>240</v>
      </c>
      <c r="D221" s="2">
        <v>0</v>
      </c>
      <c r="E221" s="2">
        <v>0</v>
      </c>
      <c r="F221" s="2">
        <v>0</v>
      </c>
      <c r="G221" s="2">
        <v>0</v>
      </c>
    </row>
    <row r="222" spans="1:7" x14ac:dyDescent="0.3">
      <c r="A222" t="s">
        <v>1401</v>
      </c>
      <c r="B222" t="s">
        <v>1394</v>
      </c>
      <c r="C222" t="s">
        <v>241</v>
      </c>
      <c r="D222" s="2">
        <v>0</v>
      </c>
      <c r="E222" s="2">
        <v>0</v>
      </c>
      <c r="F222" s="2">
        <v>0</v>
      </c>
      <c r="G222" s="2">
        <v>0</v>
      </c>
    </row>
    <row r="223" spans="1:7" x14ac:dyDescent="0.3">
      <c r="A223" t="s">
        <v>1401</v>
      </c>
      <c r="B223" t="s">
        <v>1394</v>
      </c>
      <c r="C223" t="s">
        <v>242</v>
      </c>
      <c r="D223" s="2">
        <v>0.74719999999999998</v>
      </c>
      <c r="E223" s="2">
        <v>0.79510000000000003</v>
      </c>
      <c r="F223" s="2">
        <v>0.81610000000000005</v>
      </c>
      <c r="G223" s="2">
        <v>0.80810000000000004</v>
      </c>
    </row>
    <row r="224" spans="1:7" x14ac:dyDescent="0.3">
      <c r="A224" t="s">
        <v>1401</v>
      </c>
      <c r="B224" t="s">
        <v>1395</v>
      </c>
      <c r="C224" t="s">
        <v>243</v>
      </c>
      <c r="D224" s="2">
        <v>1.2868999999999999</v>
      </c>
      <c r="E224" s="2">
        <v>0.9526</v>
      </c>
      <c r="F224" s="2">
        <v>1.1223000000000001</v>
      </c>
      <c r="G224" s="2">
        <v>1.3734999999999999</v>
      </c>
    </row>
    <row r="225" spans="1:7" x14ac:dyDescent="0.3">
      <c r="A225" t="s">
        <v>1401</v>
      </c>
      <c r="B225" t="s">
        <v>1395</v>
      </c>
      <c r="C225" t="s">
        <v>244</v>
      </c>
      <c r="D225" s="2">
        <v>1.2391000000000001</v>
      </c>
      <c r="E225" s="2">
        <v>1.0208999999999999</v>
      </c>
      <c r="F225" s="2">
        <v>1.028</v>
      </c>
      <c r="G225" s="2">
        <v>0.99160000000000004</v>
      </c>
    </row>
    <row r="226" spans="1:7" x14ac:dyDescent="0.3">
      <c r="A226" t="s">
        <v>1401</v>
      </c>
      <c r="B226" t="s">
        <v>1395</v>
      </c>
      <c r="C226" t="s">
        <v>245</v>
      </c>
      <c r="D226" s="2">
        <v>0</v>
      </c>
      <c r="E226" s="2">
        <v>0</v>
      </c>
      <c r="F226" s="2">
        <v>0</v>
      </c>
      <c r="G226" s="2">
        <v>0</v>
      </c>
    </row>
    <row r="227" spans="1:7" x14ac:dyDescent="0.3">
      <c r="A227" t="s">
        <v>1401</v>
      </c>
      <c r="B227" t="s">
        <v>1395</v>
      </c>
      <c r="C227" t="s">
        <v>246</v>
      </c>
      <c r="D227" s="2">
        <v>18.7912</v>
      </c>
      <c r="E227" s="2">
        <v>18.883900000000001</v>
      </c>
      <c r="F227" s="2">
        <v>18.566199999999998</v>
      </c>
      <c r="G227" s="2">
        <v>21.008700000000001</v>
      </c>
    </row>
    <row r="228" spans="1:7" x14ac:dyDescent="0.3">
      <c r="A228" t="s">
        <v>1401</v>
      </c>
      <c r="B228" t="s">
        <v>1395</v>
      </c>
      <c r="C228" t="s">
        <v>247</v>
      </c>
      <c r="D228" s="2">
        <v>0</v>
      </c>
      <c r="E228" s="2">
        <v>0</v>
      </c>
      <c r="F228" s="2">
        <v>0</v>
      </c>
      <c r="G228" s="2">
        <v>0</v>
      </c>
    </row>
    <row r="229" spans="1:7" x14ac:dyDescent="0.3">
      <c r="A229" t="s">
        <v>1401</v>
      </c>
      <c r="B229" t="s">
        <v>1395</v>
      </c>
      <c r="C229" t="s">
        <v>248</v>
      </c>
      <c r="D229" s="2">
        <v>2.6093999999999999</v>
      </c>
      <c r="E229" s="2">
        <v>2.3887999999999998</v>
      </c>
      <c r="F229" s="2">
        <v>2.5878999999999999</v>
      </c>
      <c r="G229" s="2">
        <v>2.6414</v>
      </c>
    </row>
    <row r="230" spans="1:7" x14ac:dyDescent="0.3">
      <c r="A230" t="s">
        <v>1401</v>
      </c>
      <c r="B230" t="s">
        <v>1395</v>
      </c>
      <c r="C230" t="s">
        <v>249</v>
      </c>
      <c r="D230" s="2">
        <v>10.9549</v>
      </c>
      <c r="E230" s="2">
        <v>10.911199999999999</v>
      </c>
      <c r="F230" s="2">
        <v>10.2913</v>
      </c>
      <c r="G230" s="2">
        <v>10.910500000000001</v>
      </c>
    </row>
    <row r="231" spans="1:7" x14ac:dyDescent="0.3">
      <c r="A231" t="s">
        <v>1401</v>
      </c>
      <c r="B231" t="s">
        <v>1395</v>
      </c>
      <c r="C231" t="s">
        <v>251</v>
      </c>
      <c r="D231" s="2">
        <v>0</v>
      </c>
      <c r="E231" s="2">
        <v>0</v>
      </c>
      <c r="F231" s="2">
        <v>0</v>
      </c>
      <c r="G231" s="2">
        <v>0</v>
      </c>
    </row>
    <row r="232" spans="1:7" x14ac:dyDescent="0.3">
      <c r="A232" t="s">
        <v>1401</v>
      </c>
      <c r="B232" t="s">
        <v>1395</v>
      </c>
      <c r="C232" t="s">
        <v>252</v>
      </c>
      <c r="D232" s="2">
        <v>0</v>
      </c>
      <c r="E232" s="2">
        <v>0</v>
      </c>
      <c r="F232" s="2">
        <v>0</v>
      </c>
      <c r="G232" s="2">
        <v>0</v>
      </c>
    </row>
    <row r="233" spans="1:7" x14ac:dyDescent="0.3">
      <c r="A233" t="s">
        <v>1401</v>
      </c>
      <c r="B233" t="s">
        <v>1395</v>
      </c>
      <c r="C233" t="s">
        <v>253</v>
      </c>
      <c r="D233" s="2">
        <v>6.6233000000000004</v>
      </c>
      <c r="E233" s="2">
        <v>6.7099000000000002</v>
      </c>
      <c r="F233" s="2">
        <v>6.3376999999999999</v>
      </c>
      <c r="G233" s="2">
        <v>6.7083000000000004</v>
      </c>
    </row>
    <row r="234" spans="1:7" x14ac:dyDescent="0.3">
      <c r="A234" t="s">
        <v>1402</v>
      </c>
      <c r="B234" t="s">
        <v>1391</v>
      </c>
      <c r="C234" t="s">
        <v>254</v>
      </c>
      <c r="D234" s="2">
        <v>0.30590000000000001</v>
      </c>
      <c r="E234" s="2">
        <v>0.29060000000000002</v>
      </c>
      <c r="F234" s="2">
        <v>0.25459999999999999</v>
      </c>
      <c r="G234" s="2">
        <v>1.2253000000000001</v>
      </c>
    </row>
    <row r="235" spans="1:7" x14ac:dyDescent="0.3">
      <c r="A235" t="s">
        <v>1402</v>
      </c>
      <c r="B235" t="s">
        <v>1391</v>
      </c>
      <c r="C235" t="s">
        <v>255</v>
      </c>
      <c r="D235" s="2">
        <v>15.0448</v>
      </c>
      <c r="E235" s="2">
        <v>13.8986</v>
      </c>
      <c r="F235" s="2">
        <v>10.009</v>
      </c>
      <c r="G235" s="2">
        <v>13.8917</v>
      </c>
    </row>
    <row r="236" spans="1:7" x14ac:dyDescent="0.3">
      <c r="A236" t="s">
        <v>1402</v>
      </c>
      <c r="B236" t="s">
        <v>1391</v>
      </c>
      <c r="C236" t="s">
        <v>256</v>
      </c>
      <c r="D236" s="2">
        <v>0</v>
      </c>
      <c r="E236" s="2">
        <v>0</v>
      </c>
      <c r="F236" s="2">
        <v>0</v>
      </c>
      <c r="G236" s="2">
        <v>0</v>
      </c>
    </row>
    <row r="237" spans="1:7" x14ac:dyDescent="0.3">
      <c r="A237" t="s">
        <v>1402</v>
      </c>
      <c r="B237" t="s">
        <v>1391</v>
      </c>
      <c r="C237" t="s">
        <v>257</v>
      </c>
      <c r="D237" s="2">
        <v>104.2774</v>
      </c>
      <c r="E237" s="2">
        <v>96.907300000000006</v>
      </c>
      <c r="F237" s="2">
        <v>91.672700000000006</v>
      </c>
      <c r="G237" s="2">
        <v>92.658299999999997</v>
      </c>
    </row>
    <row r="238" spans="1:7" x14ac:dyDescent="0.3">
      <c r="A238" t="s">
        <v>1402</v>
      </c>
      <c r="B238" t="s">
        <v>1391</v>
      </c>
      <c r="C238" t="s">
        <v>258</v>
      </c>
      <c r="D238" s="2">
        <v>0</v>
      </c>
      <c r="E238" s="2">
        <v>0</v>
      </c>
      <c r="F238" s="2">
        <v>0</v>
      </c>
      <c r="G238" s="2">
        <v>0</v>
      </c>
    </row>
    <row r="239" spans="1:7" x14ac:dyDescent="0.3">
      <c r="A239" t="s">
        <v>1402</v>
      </c>
      <c r="B239" t="s">
        <v>1391</v>
      </c>
      <c r="C239" t="s">
        <v>259</v>
      </c>
      <c r="D239" s="2">
        <v>1.9E-3</v>
      </c>
      <c r="E239" s="2">
        <v>1.9E-3</v>
      </c>
      <c r="F239" s="2">
        <v>5.0000000000000001E-4</v>
      </c>
      <c r="G239" s="2">
        <v>5.0000000000000001E-4</v>
      </c>
    </row>
    <row r="240" spans="1:7" x14ac:dyDescent="0.3">
      <c r="A240" t="s">
        <v>1402</v>
      </c>
      <c r="B240" t="s">
        <v>1391</v>
      </c>
      <c r="C240" t="s">
        <v>260</v>
      </c>
      <c r="D240" s="2">
        <v>54.004399999999997</v>
      </c>
      <c r="E240" s="2">
        <v>49.975900000000003</v>
      </c>
      <c r="F240" s="2">
        <v>45.611800000000002</v>
      </c>
      <c r="G240" s="2">
        <v>50.141300000000001</v>
      </c>
    </row>
    <row r="241" spans="1:7" x14ac:dyDescent="0.3">
      <c r="A241" t="s">
        <v>1402</v>
      </c>
      <c r="B241" t="s">
        <v>1391</v>
      </c>
      <c r="C241" t="s">
        <v>262</v>
      </c>
      <c r="D241" s="2">
        <v>0</v>
      </c>
      <c r="E241" s="2">
        <v>0</v>
      </c>
      <c r="F241" s="2">
        <v>0</v>
      </c>
      <c r="G241" s="2">
        <v>0</v>
      </c>
    </row>
    <row r="242" spans="1:7" x14ac:dyDescent="0.3">
      <c r="A242" t="s">
        <v>1402</v>
      </c>
      <c r="B242" t="s">
        <v>1391</v>
      </c>
      <c r="C242" t="s">
        <v>263</v>
      </c>
      <c r="D242" s="2">
        <v>0</v>
      </c>
      <c r="E242" s="2">
        <v>0</v>
      </c>
      <c r="F242" s="2">
        <v>0</v>
      </c>
      <c r="G242" s="2">
        <v>0</v>
      </c>
    </row>
    <row r="243" spans="1:7" x14ac:dyDescent="0.3">
      <c r="A243" t="s">
        <v>1402</v>
      </c>
      <c r="B243" t="s">
        <v>1391</v>
      </c>
      <c r="C243" t="s">
        <v>264</v>
      </c>
      <c r="D243" s="2">
        <v>35.174599999999998</v>
      </c>
      <c r="E243" s="2">
        <v>32.895499999999998</v>
      </c>
      <c r="F243" s="2">
        <v>32.558100000000003</v>
      </c>
      <c r="G243" s="2">
        <v>35.9039</v>
      </c>
    </row>
    <row r="244" spans="1:7" x14ac:dyDescent="0.3">
      <c r="A244" t="s">
        <v>1402</v>
      </c>
      <c r="B244" t="s">
        <v>1392</v>
      </c>
      <c r="C244" t="s">
        <v>265</v>
      </c>
      <c r="D244" s="2">
        <v>20.993400000000001</v>
      </c>
      <c r="E244" s="2">
        <v>20.101400000000002</v>
      </c>
      <c r="F244" s="2">
        <v>17.513300000000001</v>
      </c>
      <c r="G244" s="2">
        <v>19.669599999999999</v>
      </c>
    </row>
    <row r="245" spans="1:7" x14ac:dyDescent="0.3">
      <c r="A245" t="s">
        <v>1402</v>
      </c>
      <c r="B245" t="s">
        <v>1392</v>
      </c>
      <c r="C245" t="s">
        <v>266</v>
      </c>
      <c r="D245" s="2">
        <v>7.7119999999999997</v>
      </c>
      <c r="E245" s="2">
        <v>7.0867000000000004</v>
      </c>
      <c r="F245" s="2">
        <v>10.3119</v>
      </c>
      <c r="G245" s="2">
        <v>3.1364999999999998</v>
      </c>
    </row>
    <row r="246" spans="1:7" x14ac:dyDescent="0.3">
      <c r="A246" t="s">
        <v>1402</v>
      </c>
      <c r="B246" t="s">
        <v>1392</v>
      </c>
      <c r="C246" t="s">
        <v>267</v>
      </c>
      <c r="D246" s="2">
        <v>0</v>
      </c>
      <c r="E246" s="2">
        <v>0</v>
      </c>
      <c r="F246" s="2">
        <v>0</v>
      </c>
      <c r="G246" s="2">
        <v>0</v>
      </c>
    </row>
    <row r="247" spans="1:7" x14ac:dyDescent="0.3">
      <c r="A247" t="s">
        <v>1402</v>
      </c>
      <c r="B247" t="s">
        <v>1392</v>
      </c>
      <c r="C247" t="s">
        <v>268</v>
      </c>
      <c r="D247" s="2">
        <v>134.02019999999999</v>
      </c>
      <c r="E247" s="2">
        <v>125.1271</v>
      </c>
      <c r="F247" s="2">
        <v>140.92609999999999</v>
      </c>
      <c r="G247" s="2">
        <v>145.9623</v>
      </c>
    </row>
    <row r="248" spans="1:7" x14ac:dyDescent="0.3">
      <c r="A248" t="s">
        <v>1402</v>
      </c>
      <c r="B248" t="s">
        <v>1392</v>
      </c>
      <c r="C248" t="s">
        <v>269</v>
      </c>
      <c r="D248" s="2">
        <v>0</v>
      </c>
      <c r="E248" s="2">
        <v>0</v>
      </c>
      <c r="F248" s="2">
        <v>0</v>
      </c>
      <c r="G248" s="2">
        <v>0</v>
      </c>
    </row>
    <row r="249" spans="1:7" x14ac:dyDescent="0.3">
      <c r="A249" t="s">
        <v>1402</v>
      </c>
      <c r="B249" t="s">
        <v>1392</v>
      </c>
      <c r="C249" t="s">
        <v>270</v>
      </c>
      <c r="D249" s="2">
        <v>6.1311999999999998</v>
      </c>
      <c r="E249" s="2">
        <v>5.8403999999999998</v>
      </c>
      <c r="F249" s="2">
        <v>6.0167999999999999</v>
      </c>
      <c r="G249" s="2">
        <v>7.3098999999999998</v>
      </c>
    </row>
    <row r="250" spans="1:7" x14ac:dyDescent="0.3">
      <c r="A250" t="s">
        <v>1402</v>
      </c>
      <c r="B250" t="s">
        <v>1392</v>
      </c>
      <c r="C250" t="s">
        <v>271</v>
      </c>
      <c r="D250" s="2">
        <v>10.023999999999999</v>
      </c>
      <c r="E250" s="2">
        <v>10.4842</v>
      </c>
      <c r="F250" s="2">
        <v>8.7222000000000008</v>
      </c>
      <c r="G250" s="2">
        <v>9.5502000000000002</v>
      </c>
    </row>
    <row r="251" spans="1:7" x14ac:dyDescent="0.3">
      <c r="A251" t="s">
        <v>1402</v>
      </c>
      <c r="B251" t="s">
        <v>1392</v>
      </c>
      <c r="C251" t="s">
        <v>273</v>
      </c>
      <c r="D251" s="2">
        <v>0</v>
      </c>
      <c r="E251" s="2">
        <v>0</v>
      </c>
      <c r="F251" s="2">
        <v>0</v>
      </c>
      <c r="G251" s="2">
        <v>0</v>
      </c>
    </row>
    <row r="252" spans="1:7" x14ac:dyDescent="0.3">
      <c r="A252" t="s">
        <v>1402</v>
      </c>
      <c r="B252" t="s">
        <v>1392</v>
      </c>
      <c r="C252" t="s">
        <v>274</v>
      </c>
      <c r="D252" s="2">
        <v>0</v>
      </c>
      <c r="E252" s="2">
        <v>8.0000000000000004E-4</v>
      </c>
      <c r="F252" s="2">
        <v>1.09E-2</v>
      </c>
      <c r="G252" s="2">
        <v>0</v>
      </c>
    </row>
    <row r="253" spans="1:7" x14ac:dyDescent="0.3">
      <c r="A253" t="s">
        <v>1402</v>
      </c>
      <c r="B253" t="s">
        <v>1392</v>
      </c>
      <c r="C253" t="s">
        <v>275</v>
      </c>
      <c r="D253" s="2">
        <v>82.547399999999996</v>
      </c>
      <c r="E253" s="2">
        <v>78.532700000000006</v>
      </c>
      <c r="F253" s="2">
        <v>74.573300000000003</v>
      </c>
      <c r="G253" s="2">
        <v>78.163300000000007</v>
      </c>
    </row>
    <row r="254" spans="1:7" x14ac:dyDescent="0.3">
      <c r="A254" t="s">
        <v>1402</v>
      </c>
      <c r="B254" t="s">
        <v>1393</v>
      </c>
      <c r="C254" t="s">
        <v>276</v>
      </c>
      <c r="D254" s="2">
        <v>8.9126999999999992</v>
      </c>
      <c r="E254" s="2">
        <v>8.7017000000000007</v>
      </c>
      <c r="F254" s="2">
        <v>13.0307</v>
      </c>
      <c r="G254" s="2">
        <v>8.6753</v>
      </c>
    </row>
    <row r="255" spans="1:7" x14ac:dyDescent="0.3">
      <c r="A255" t="s">
        <v>1402</v>
      </c>
      <c r="B255" t="s">
        <v>1393</v>
      </c>
      <c r="C255" t="s">
        <v>277</v>
      </c>
      <c r="D255" s="2">
        <v>28.152999999999999</v>
      </c>
      <c r="E255" s="2">
        <v>27.727499999999999</v>
      </c>
      <c r="F255" s="2">
        <v>35.7029</v>
      </c>
      <c r="G255" s="2">
        <v>29.4679</v>
      </c>
    </row>
    <row r="256" spans="1:7" x14ac:dyDescent="0.3">
      <c r="A256" t="s">
        <v>1402</v>
      </c>
      <c r="B256" t="s">
        <v>1393</v>
      </c>
      <c r="C256" t="s">
        <v>278</v>
      </c>
      <c r="D256" s="2">
        <v>0</v>
      </c>
      <c r="E256" s="2">
        <v>0</v>
      </c>
      <c r="F256" s="2">
        <v>0</v>
      </c>
      <c r="G256" s="2">
        <v>0</v>
      </c>
    </row>
    <row r="257" spans="1:7" x14ac:dyDescent="0.3">
      <c r="A257" t="s">
        <v>1402</v>
      </c>
      <c r="B257" t="s">
        <v>1393</v>
      </c>
      <c r="C257" t="s">
        <v>279</v>
      </c>
      <c r="D257" s="2">
        <v>57.275599999999997</v>
      </c>
      <c r="E257" s="2">
        <v>56.8947</v>
      </c>
      <c r="F257" s="2">
        <v>56.935099999999998</v>
      </c>
      <c r="G257" s="2">
        <v>60.000700000000002</v>
      </c>
    </row>
    <row r="258" spans="1:7" x14ac:dyDescent="0.3">
      <c r="A258" t="s">
        <v>1402</v>
      </c>
      <c r="B258" t="s">
        <v>1393</v>
      </c>
      <c r="C258" t="s">
        <v>280</v>
      </c>
      <c r="D258" s="2">
        <v>0</v>
      </c>
      <c r="E258" s="2">
        <v>0</v>
      </c>
      <c r="F258" s="2">
        <v>0</v>
      </c>
      <c r="G258" s="2">
        <v>0</v>
      </c>
    </row>
    <row r="259" spans="1:7" x14ac:dyDescent="0.3">
      <c r="A259" t="s">
        <v>1402</v>
      </c>
      <c r="B259" t="s">
        <v>1393</v>
      </c>
      <c r="C259" t="s">
        <v>281</v>
      </c>
      <c r="D259" s="2">
        <v>31.989699999999999</v>
      </c>
      <c r="E259" s="2">
        <v>33.545200000000001</v>
      </c>
      <c r="F259" s="2">
        <v>34.020899999999997</v>
      </c>
      <c r="G259" s="2">
        <v>34.112099999999998</v>
      </c>
    </row>
    <row r="260" spans="1:7" x14ac:dyDescent="0.3">
      <c r="A260" t="s">
        <v>1402</v>
      </c>
      <c r="B260" t="s">
        <v>1393</v>
      </c>
      <c r="C260" t="s">
        <v>282</v>
      </c>
      <c r="D260" s="2">
        <v>10.539400000000001</v>
      </c>
      <c r="E260" s="2">
        <v>10.6859</v>
      </c>
      <c r="F260" s="2">
        <v>10.678100000000001</v>
      </c>
      <c r="G260" s="2">
        <v>11.1942</v>
      </c>
    </row>
    <row r="261" spans="1:7" x14ac:dyDescent="0.3">
      <c r="A261" t="s">
        <v>1402</v>
      </c>
      <c r="B261" t="s">
        <v>1393</v>
      </c>
      <c r="C261" t="s">
        <v>284</v>
      </c>
      <c r="D261" s="2">
        <v>0</v>
      </c>
      <c r="E261" s="2">
        <v>0</v>
      </c>
      <c r="F261" s="2">
        <v>0</v>
      </c>
      <c r="G261" s="2">
        <v>0</v>
      </c>
    </row>
    <row r="262" spans="1:7" x14ac:dyDescent="0.3">
      <c r="A262" t="s">
        <v>1402</v>
      </c>
      <c r="B262" t="s">
        <v>1393</v>
      </c>
      <c r="C262" t="s">
        <v>285</v>
      </c>
      <c r="D262" s="2">
        <v>0</v>
      </c>
      <c r="E262" s="2">
        <v>0</v>
      </c>
      <c r="F262" s="2">
        <v>0</v>
      </c>
      <c r="G262" s="2">
        <v>0</v>
      </c>
    </row>
    <row r="263" spans="1:7" x14ac:dyDescent="0.3">
      <c r="A263" t="s">
        <v>1402</v>
      </c>
      <c r="B263" t="s">
        <v>1393</v>
      </c>
      <c r="C263" t="s">
        <v>286</v>
      </c>
      <c r="D263" s="2">
        <v>2.7789999999999999</v>
      </c>
      <c r="E263" s="2">
        <v>0.58240000000000003</v>
      </c>
      <c r="F263" s="2">
        <v>0.64739999999999998</v>
      </c>
      <c r="G263" s="2">
        <v>0.68410000000000004</v>
      </c>
    </row>
    <row r="264" spans="1:7" x14ac:dyDescent="0.3">
      <c r="A264" t="s">
        <v>1402</v>
      </c>
      <c r="B264" t="s">
        <v>1394</v>
      </c>
      <c r="C264" t="s">
        <v>287</v>
      </c>
      <c r="D264" s="2">
        <v>1.5813999999999999</v>
      </c>
      <c r="E264" s="2">
        <v>1.3935</v>
      </c>
      <c r="F264" s="2">
        <v>1.4048</v>
      </c>
      <c r="G264" s="2">
        <v>1.4168000000000001</v>
      </c>
    </row>
    <row r="265" spans="1:7" x14ac:dyDescent="0.3">
      <c r="A265" t="s">
        <v>1402</v>
      </c>
      <c r="B265" t="s">
        <v>1394</v>
      </c>
      <c r="C265" t="s">
        <v>288</v>
      </c>
      <c r="D265" s="2">
        <v>8.9154999999999998</v>
      </c>
      <c r="E265" s="2">
        <v>7.5834999999999999</v>
      </c>
      <c r="F265" s="2">
        <v>6.4821999999999997</v>
      </c>
      <c r="G265" s="2">
        <v>6.383</v>
      </c>
    </row>
    <row r="266" spans="1:7" x14ac:dyDescent="0.3">
      <c r="A266" t="s">
        <v>1402</v>
      </c>
      <c r="B266" t="s">
        <v>1394</v>
      </c>
      <c r="C266" t="s">
        <v>289</v>
      </c>
      <c r="D266" s="2">
        <v>0</v>
      </c>
      <c r="E266" s="2">
        <v>0</v>
      </c>
      <c r="F266" s="2">
        <v>0</v>
      </c>
      <c r="G266" s="2">
        <v>0</v>
      </c>
    </row>
    <row r="267" spans="1:7" x14ac:dyDescent="0.3">
      <c r="A267" t="s">
        <v>1402</v>
      </c>
      <c r="B267" t="s">
        <v>1394</v>
      </c>
      <c r="C267" t="s">
        <v>290</v>
      </c>
      <c r="D267" s="2">
        <v>66.7042</v>
      </c>
      <c r="E267" s="2">
        <v>67.674199999999999</v>
      </c>
      <c r="F267" s="2">
        <v>67.602699999999999</v>
      </c>
      <c r="G267" s="2">
        <v>71.918999999999997</v>
      </c>
    </row>
    <row r="268" spans="1:7" x14ac:dyDescent="0.3">
      <c r="A268" t="s">
        <v>1402</v>
      </c>
      <c r="B268" t="s">
        <v>1394</v>
      </c>
      <c r="C268" t="s">
        <v>291</v>
      </c>
      <c r="D268" s="2">
        <v>0</v>
      </c>
      <c r="E268" s="2">
        <v>0</v>
      </c>
      <c r="F268" s="2">
        <v>0</v>
      </c>
      <c r="G268" s="2">
        <v>0</v>
      </c>
    </row>
    <row r="269" spans="1:7" x14ac:dyDescent="0.3">
      <c r="A269" t="s">
        <v>1402</v>
      </c>
      <c r="B269" t="s">
        <v>1394</v>
      </c>
      <c r="C269" t="s">
        <v>292</v>
      </c>
      <c r="D269" s="2">
        <v>23.114999999999998</v>
      </c>
      <c r="E269" s="2">
        <v>24.031199999999998</v>
      </c>
      <c r="F269" s="2">
        <v>24.7928</v>
      </c>
      <c r="G269" s="2">
        <v>21.6037</v>
      </c>
    </row>
    <row r="270" spans="1:7" x14ac:dyDescent="0.3">
      <c r="A270" t="s">
        <v>1402</v>
      </c>
      <c r="B270" t="s">
        <v>1394</v>
      </c>
      <c r="C270" t="s">
        <v>293</v>
      </c>
      <c r="D270" s="2">
        <v>30.938800000000001</v>
      </c>
      <c r="E270" s="2">
        <v>29.858699999999999</v>
      </c>
      <c r="F270" s="2">
        <v>29.653600000000001</v>
      </c>
      <c r="G270" s="2">
        <v>31.4193</v>
      </c>
    </row>
    <row r="271" spans="1:7" x14ac:dyDescent="0.3">
      <c r="A271" t="s">
        <v>1402</v>
      </c>
      <c r="B271" t="s">
        <v>1394</v>
      </c>
      <c r="C271" t="s">
        <v>295</v>
      </c>
      <c r="D271" s="2">
        <v>0</v>
      </c>
      <c r="E271" s="2">
        <v>0</v>
      </c>
      <c r="F271" s="2">
        <v>0</v>
      </c>
      <c r="G271" s="2">
        <v>0</v>
      </c>
    </row>
    <row r="272" spans="1:7" x14ac:dyDescent="0.3">
      <c r="A272" t="s">
        <v>1402</v>
      </c>
      <c r="B272" t="s">
        <v>1394</v>
      </c>
      <c r="C272" t="s">
        <v>296</v>
      </c>
      <c r="D272" s="2">
        <v>0</v>
      </c>
      <c r="E272" s="2">
        <v>0</v>
      </c>
      <c r="F272" s="2">
        <v>0</v>
      </c>
      <c r="G272" s="2">
        <v>0</v>
      </c>
    </row>
    <row r="273" spans="1:7" x14ac:dyDescent="0.3">
      <c r="A273" t="s">
        <v>1402</v>
      </c>
      <c r="B273" t="s">
        <v>1394</v>
      </c>
      <c r="C273" t="s">
        <v>297</v>
      </c>
      <c r="D273" s="2">
        <v>22.981300000000001</v>
      </c>
      <c r="E273" s="2">
        <v>22.2956</v>
      </c>
      <c r="F273" s="2">
        <v>19.508099999999999</v>
      </c>
      <c r="G273" s="2">
        <v>23.002400000000002</v>
      </c>
    </row>
    <row r="274" spans="1:7" x14ac:dyDescent="0.3">
      <c r="A274" t="s">
        <v>1402</v>
      </c>
      <c r="B274" t="s">
        <v>1395</v>
      </c>
      <c r="C274" t="s">
        <v>298</v>
      </c>
      <c r="D274" s="2">
        <v>31.206</v>
      </c>
      <c r="E274" s="2">
        <v>31.721900000000002</v>
      </c>
      <c r="F274" s="2">
        <v>33.520299999999999</v>
      </c>
      <c r="G274" s="2">
        <v>35.5871</v>
      </c>
    </row>
    <row r="275" spans="1:7" x14ac:dyDescent="0.3">
      <c r="A275" t="s">
        <v>1402</v>
      </c>
      <c r="B275" t="s">
        <v>1395</v>
      </c>
      <c r="C275" t="s">
        <v>299</v>
      </c>
      <c r="D275" s="2">
        <v>7.8228999999999997</v>
      </c>
      <c r="E275" s="2">
        <v>8.0162999999999993</v>
      </c>
      <c r="F275" s="2">
        <v>6.9473000000000003</v>
      </c>
      <c r="G275" s="2">
        <v>7.2035999999999998</v>
      </c>
    </row>
    <row r="276" spans="1:7" x14ac:dyDescent="0.3">
      <c r="A276" t="s">
        <v>1402</v>
      </c>
      <c r="B276" t="s">
        <v>1395</v>
      </c>
      <c r="C276" t="s">
        <v>300</v>
      </c>
      <c r="D276" s="2">
        <v>0</v>
      </c>
      <c r="E276" s="2">
        <v>0</v>
      </c>
      <c r="F276" s="2">
        <v>0</v>
      </c>
      <c r="G276" s="2">
        <v>0</v>
      </c>
    </row>
    <row r="277" spans="1:7" x14ac:dyDescent="0.3">
      <c r="A277" t="s">
        <v>1402</v>
      </c>
      <c r="B277" t="s">
        <v>1395</v>
      </c>
      <c r="C277" t="s">
        <v>301</v>
      </c>
      <c r="D277" s="2">
        <v>152.19239999999999</v>
      </c>
      <c r="E277" s="2">
        <v>158.71629999999999</v>
      </c>
      <c r="F277" s="2">
        <v>152.50899999999999</v>
      </c>
      <c r="G277" s="2">
        <v>161.38220000000001</v>
      </c>
    </row>
    <row r="278" spans="1:7" x14ac:dyDescent="0.3">
      <c r="A278" t="s">
        <v>1402</v>
      </c>
      <c r="B278" t="s">
        <v>1395</v>
      </c>
      <c r="C278" t="s">
        <v>302</v>
      </c>
      <c r="D278" s="2">
        <v>0</v>
      </c>
      <c r="E278" s="2">
        <v>0</v>
      </c>
      <c r="F278" s="2">
        <v>0</v>
      </c>
      <c r="G278" s="2">
        <v>0</v>
      </c>
    </row>
    <row r="279" spans="1:7" x14ac:dyDescent="0.3">
      <c r="A279" t="s">
        <v>1402</v>
      </c>
      <c r="B279" t="s">
        <v>1395</v>
      </c>
      <c r="C279" t="s">
        <v>303</v>
      </c>
      <c r="D279" s="2">
        <v>24.4239</v>
      </c>
      <c r="E279" s="2">
        <v>23.665900000000001</v>
      </c>
      <c r="F279" s="2">
        <v>23.371200000000002</v>
      </c>
      <c r="G279" s="2">
        <v>26.133700000000001</v>
      </c>
    </row>
    <row r="280" spans="1:7" x14ac:dyDescent="0.3">
      <c r="A280" t="s">
        <v>1402</v>
      </c>
      <c r="B280" t="s">
        <v>1395</v>
      </c>
      <c r="C280" t="s">
        <v>304</v>
      </c>
      <c r="D280" s="2">
        <v>105.8115</v>
      </c>
      <c r="E280" s="2">
        <v>101.8096</v>
      </c>
      <c r="F280" s="2">
        <v>94.236699999999999</v>
      </c>
      <c r="G280" s="2">
        <v>95.875299999999996</v>
      </c>
    </row>
    <row r="281" spans="1:7" x14ac:dyDescent="0.3">
      <c r="A281" t="s">
        <v>1402</v>
      </c>
      <c r="B281" t="s">
        <v>1395</v>
      </c>
      <c r="C281" t="s">
        <v>306</v>
      </c>
      <c r="D281" s="2">
        <v>0</v>
      </c>
      <c r="E281" s="2">
        <v>0</v>
      </c>
      <c r="F281" s="2">
        <v>0</v>
      </c>
      <c r="G281" s="2">
        <v>0</v>
      </c>
    </row>
    <row r="282" spans="1:7" x14ac:dyDescent="0.3">
      <c r="A282" t="s">
        <v>1402</v>
      </c>
      <c r="B282" t="s">
        <v>1395</v>
      </c>
      <c r="C282" t="s">
        <v>307</v>
      </c>
      <c r="D282" s="2">
        <v>7.1999999999999998E-3</v>
      </c>
      <c r="E282" s="2">
        <v>3.0999999999999999E-3</v>
      </c>
      <c r="F282" s="2">
        <v>3.8999999999999998E-3</v>
      </c>
      <c r="G282" s="2">
        <v>4.7000000000000002E-3</v>
      </c>
    </row>
    <row r="283" spans="1:7" x14ac:dyDescent="0.3">
      <c r="A283" t="s">
        <v>1402</v>
      </c>
      <c r="B283" t="s">
        <v>1395</v>
      </c>
      <c r="C283" t="s">
        <v>308</v>
      </c>
      <c r="D283" s="2">
        <v>28.366599999999998</v>
      </c>
      <c r="E283" s="2">
        <v>27.4678</v>
      </c>
      <c r="F283" s="2">
        <v>25.939800000000002</v>
      </c>
      <c r="G283" s="2">
        <v>27.504999999999999</v>
      </c>
    </row>
    <row r="284" spans="1:7" x14ac:dyDescent="0.3">
      <c r="A284" t="s">
        <v>1403</v>
      </c>
      <c r="B284" t="s">
        <v>1404</v>
      </c>
      <c r="C284" t="s">
        <v>309</v>
      </c>
      <c r="D284" s="2">
        <v>0.32879999999999998</v>
      </c>
      <c r="E284" s="2">
        <v>0.32500000000000001</v>
      </c>
      <c r="F284" s="2">
        <v>0.33079999999999998</v>
      </c>
      <c r="G284" s="2">
        <v>0.51839999999999997</v>
      </c>
    </row>
    <row r="285" spans="1:7" x14ac:dyDescent="0.3">
      <c r="A285" t="s">
        <v>1403</v>
      </c>
      <c r="B285" t="s">
        <v>1404</v>
      </c>
      <c r="C285" t="s">
        <v>310</v>
      </c>
      <c r="D285" s="2">
        <v>0</v>
      </c>
      <c r="E285" s="2">
        <v>0</v>
      </c>
      <c r="F285" s="2">
        <v>0</v>
      </c>
      <c r="G285" s="2">
        <v>0</v>
      </c>
    </row>
    <row r="286" spans="1:7" x14ac:dyDescent="0.3">
      <c r="A286" t="s">
        <v>1403</v>
      </c>
      <c r="B286" t="s">
        <v>1404</v>
      </c>
      <c r="C286" t="s">
        <v>311</v>
      </c>
      <c r="D286" s="2">
        <v>0</v>
      </c>
      <c r="E286" s="2">
        <v>0</v>
      </c>
      <c r="F286" s="2">
        <v>0</v>
      </c>
      <c r="G286" s="2">
        <v>0</v>
      </c>
    </row>
    <row r="287" spans="1:7" x14ac:dyDescent="0.3">
      <c r="A287" t="s">
        <v>1403</v>
      </c>
      <c r="B287" t="s">
        <v>1404</v>
      </c>
      <c r="C287" t="s">
        <v>312</v>
      </c>
      <c r="D287" s="2">
        <v>1.1075999999999999</v>
      </c>
      <c r="E287" s="2">
        <v>1.0046999999999999</v>
      </c>
      <c r="F287" s="2">
        <v>0.91910000000000003</v>
      </c>
      <c r="G287" s="2">
        <v>0.90510000000000002</v>
      </c>
    </row>
    <row r="288" spans="1:7" x14ac:dyDescent="0.3">
      <c r="A288" t="s">
        <v>1403</v>
      </c>
      <c r="B288" t="s">
        <v>1404</v>
      </c>
      <c r="C288" t="s">
        <v>313</v>
      </c>
      <c r="D288" s="2">
        <v>0</v>
      </c>
      <c r="E288" s="2">
        <v>0</v>
      </c>
      <c r="F288" s="2">
        <v>0</v>
      </c>
      <c r="G288" s="2">
        <v>0</v>
      </c>
    </row>
    <row r="289" spans="1:7" x14ac:dyDescent="0.3">
      <c r="A289" t="s">
        <v>1403</v>
      </c>
      <c r="B289" t="s">
        <v>1404</v>
      </c>
      <c r="C289" t="s">
        <v>314</v>
      </c>
      <c r="D289" s="2">
        <v>0.29020000000000001</v>
      </c>
      <c r="E289" s="2">
        <v>0.30919999999999997</v>
      </c>
      <c r="F289" s="2">
        <v>0.43559999999999999</v>
      </c>
      <c r="G289" s="2">
        <v>0.44240000000000002</v>
      </c>
    </row>
    <row r="290" spans="1:7" x14ac:dyDescent="0.3">
      <c r="A290" t="s">
        <v>1403</v>
      </c>
      <c r="B290" t="s">
        <v>1404</v>
      </c>
      <c r="C290" t="s">
        <v>315</v>
      </c>
      <c r="D290" s="2">
        <v>1.3353999999999999</v>
      </c>
      <c r="E290" s="2">
        <v>1.2611000000000001</v>
      </c>
      <c r="F290" s="2">
        <v>1.2605999999999999</v>
      </c>
      <c r="G290" s="2">
        <v>1.2987</v>
      </c>
    </row>
    <row r="291" spans="1:7" x14ac:dyDescent="0.3">
      <c r="A291" t="s">
        <v>1403</v>
      </c>
      <c r="B291" t="s">
        <v>1404</v>
      </c>
      <c r="C291" t="s">
        <v>317</v>
      </c>
      <c r="D291" s="2">
        <v>0</v>
      </c>
      <c r="E291" s="2">
        <v>0</v>
      </c>
      <c r="F291" s="2">
        <v>0</v>
      </c>
      <c r="G291" s="2">
        <v>0</v>
      </c>
    </row>
    <row r="292" spans="1:7" x14ac:dyDescent="0.3">
      <c r="A292" t="s">
        <v>1403</v>
      </c>
      <c r="B292" t="s">
        <v>1404</v>
      </c>
      <c r="C292" t="s">
        <v>318</v>
      </c>
      <c r="D292" s="2">
        <v>0</v>
      </c>
      <c r="E292" s="2">
        <v>0</v>
      </c>
      <c r="F292" s="2">
        <v>0</v>
      </c>
      <c r="G292" s="2">
        <v>0</v>
      </c>
    </row>
    <row r="293" spans="1:7" x14ac:dyDescent="0.3">
      <c r="A293" t="s">
        <v>1403</v>
      </c>
      <c r="B293" t="s">
        <v>1404</v>
      </c>
      <c r="C293" t="s">
        <v>319</v>
      </c>
      <c r="D293" s="2">
        <v>0.39019999999999999</v>
      </c>
      <c r="E293" s="2">
        <v>0.37530000000000002</v>
      </c>
      <c r="F293" s="2">
        <v>0.40579999999999999</v>
      </c>
      <c r="G293" s="2">
        <v>0.42830000000000001</v>
      </c>
    </row>
    <row r="294" spans="1:7" x14ac:dyDescent="0.3">
      <c r="A294" t="s">
        <v>1403</v>
      </c>
      <c r="B294" t="s">
        <v>1392</v>
      </c>
      <c r="C294" t="s">
        <v>320</v>
      </c>
      <c r="D294" s="2">
        <v>0.17449999999999999</v>
      </c>
      <c r="E294" s="2">
        <v>0.19409999999999999</v>
      </c>
      <c r="F294" s="2">
        <v>0.20830000000000001</v>
      </c>
      <c r="G294" s="2">
        <v>0.30919999999999997</v>
      </c>
    </row>
    <row r="295" spans="1:7" x14ac:dyDescent="0.3">
      <c r="A295" t="s">
        <v>1403</v>
      </c>
      <c r="B295" t="s">
        <v>1392</v>
      </c>
      <c r="C295" t="s">
        <v>321</v>
      </c>
      <c r="D295" s="2">
        <v>0</v>
      </c>
      <c r="E295" s="2">
        <v>0</v>
      </c>
      <c r="F295" s="2">
        <v>0</v>
      </c>
      <c r="G295" s="2">
        <v>0</v>
      </c>
    </row>
    <row r="296" spans="1:7" x14ac:dyDescent="0.3">
      <c r="A296" t="s">
        <v>1403</v>
      </c>
      <c r="B296" t="s">
        <v>1392</v>
      </c>
      <c r="C296" t="s">
        <v>322</v>
      </c>
      <c r="D296" s="2">
        <v>0</v>
      </c>
      <c r="E296" s="2">
        <v>0</v>
      </c>
      <c r="F296" s="2">
        <v>0</v>
      </c>
      <c r="G296" s="2">
        <v>0</v>
      </c>
    </row>
    <row r="297" spans="1:7" x14ac:dyDescent="0.3">
      <c r="A297" t="s">
        <v>1403</v>
      </c>
      <c r="B297" t="s">
        <v>1392</v>
      </c>
      <c r="C297" t="s">
        <v>323</v>
      </c>
      <c r="D297" s="2">
        <v>2.9056999999999999</v>
      </c>
      <c r="E297" s="2">
        <v>2.8769999999999998</v>
      </c>
      <c r="F297" s="2">
        <v>2.8885999999999998</v>
      </c>
      <c r="G297" s="2">
        <v>3.8975</v>
      </c>
    </row>
    <row r="298" spans="1:7" x14ac:dyDescent="0.3">
      <c r="A298" t="s">
        <v>1403</v>
      </c>
      <c r="B298" t="s">
        <v>1392</v>
      </c>
      <c r="C298" t="s">
        <v>324</v>
      </c>
      <c r="D298" s="2">
        <v>0</v>
      </c>
      <c r="E298" s="2">
        <v>0</v>
      </c>
      <c r="F298" s="2">
        <v>0</v>
      </c>
      <c r="G298" s="2">
        <v>0</v>
      </c>
    </row>
    <row r="299" spans="1:7" x14ac:dyDescent="0.3">
      <c r="A299" t="s">
        <v>1403</v>
      </c>
      <c r="B299" t="s">
        <v>1392</v>
      </c>
      <c r="C299" t="s">
        <v>325</v>
      </c>
      <c r="D299" s="2">
        <v>0.19739999999999999</v>
      </c>
      <c r="E299" s="2">
        <v>0.2203</v>
      </c>
      <c r="F299" s="2">
        <v>0.36990000000000001</v>
      </c>
      <c r="G299" s="2">
        <v>0.36</v>
      </c>
    </row>
    <row r="300" spans="1:7" x14ac:dyDescent="0.3">
      <c r="A300" t="s">
        <v>1403</v>
      </c>
      <c r="B300" t="s">
        <v>1392</v>
      </c>
      <c r="C300" t="s">
        <v>326</v>
      </c>
      <c r="D300" s="2">
        <v>0.56169999999999998</v>
      </c>
      <c r="E300" s="2">
        <v>0.56420000000000003</v>
      </c>
      <c r="F300" s="2">
        <v>0.60160000000000002</v>
      </c>
      <c r="G300" s="2">
        <v>0.53920000000000001</v>
      </c>
    </row>
    <row r="301" spans="1:7" x14ac:dyDescent="0.3">
      <c r="A301" t="s">
        <v>1403</v>
      </c>
      <c r="B301" t="s">
        <v>1392</v>
      </c>
      <c r="C301" t="s">
        <v>328</v>
      </c>
      <c r="D301" s="2">
        <v>0</v>
      </c>
      <c r="E301" s="2">
        <v>0</v>
      </c>
      <c r="F301" s="2">
        <v>0</v>
      </c>
      <c r="G301" s="2">
        <v>0</v>
      </c>
    </row>
    <row r="302" spans="1:7" x14ac:dyDescent="0.3">
      <c r="A302" t="s">
        <v>1403</v>
      </c>
      <c r="B302" t="s">
        <v>1392</v>
      </c>
      <c r="C302" t="s">
        <v>329</v>
      </c>
      <c r="D302" s="2">
        <v>0</v>
      </c>
      <c r="E302" s="2">
        <v>0</v>
      </c>
      <c r="F302" s="2">
        <v>0</v>
      </c>
      <c r="G302" s="2">
        <v>0</v>
      </c>
    </row>
    <row r="303" spans="1:7" x14ac:dyDescent="0.3">
      <c r="A303" t="s">
        <v>1403</v>
      </c>
      <c r="B303" t="s">
        <v>1392</v>
      </c>
      <c r="C303" t="s">
        <v>330</v>
      </c>
      <c r="D303" s="2">
        <v>0.46139999999999998</v>
      </c>
      <c r="E303" s="2">
        <v>0.4647</v>
      </c>
      <c r="F303" s="2">
        <v>0.52</v>
      </c>
      <c r="G303" s="2">
        <v>0.5514</v>
      </c>
    </row>
    <row r="304" spans="1:7" x14ac:dyDescent="0.3">
      <c r="A304" t="s">
        <v>1403</v>
      </c>
      <c r="B304" t="s">
        <v>1393</v>
      </c>
      <c r="C304" t="s">
        <v>331</v>
      </c>
      <c r="D304" s="2">
        <v>3.8397999999999999</v>
      </c>
      <c r="E304" s="2">
        <v>4.3177000000000003</v>
      </c>
      <c r="F304" s="2">
        <v>4.5301999999999998</v>
      </c>
      <c r="G304" s="2">
        <v>4.2506000000000004</v>
      </c>
    </row>
    <row r="305" spans="1:7" x14ac:dyDescent="0.3">
      <c r="A305" t="s">
        <v>1403</v>
      </c>
      <c r="B305" t="s">
        <v>1393</v>
      </c>
      <c r="C305" t="s">
        <v>332</v>
      </c>
      <c r="D305" s="2">
        <v>1.8218000000000001</v>
      </c>
      <c r="E305" s="2">
        <v>1.4638</v>
      </c>
      <c r="F305" s="2">
        <v>1.7726999999999999</v>
      </c>
      <c r="G305" s="2">
        <v>2.1225999999999998</v>
      </c>
    </row>
    <row r="306" spans="1:7" x14ac:dyDescent="0.3">
      <c r="A306" t="s">
        <v>1403</v>
      </c>
      <c r="B306" t="s">
        <v>1393</v>
      </c>
      <c r="C306" t="s">
        <v>333</v>
      </c>
      <c r="D306" s="2">
        <v>0</v>
      </c>
      <c r="E306" s="2">
        <v>0</v>
      </c>
      <c r="F306" s="2">
        <v>0</v>
      </c>
      <c r="G306" s="2">
        <v>0</v>
      </c>
    </row>
    <row r="307" spans="1:7" x14ac:dyDescent="0.3">
      <c r="A307" t="s">
        <v>1403</v>
      </c>
      <c r="B307" t="s">
        <v>1393</v>
      </c>
      <c r="C307" t="s">
        <v>334</v>
      </c>
      <c r="D307" s="2">
        <v>2.8136999999999999</v>
      </c>
      <c r="E307" s="2">
        <v>2.625</v>
      </c>
      <c r="F307" s="2">
        <v>2.7848999999999999</v>
      </c>
      <c r="G307" s="2">
        <v>2.9819</v>
      </c>
    </row>
    <row r="308" spans="1:7" x14ac:dyDescent="0.3">
      <c r="A308" t="s">
        <v>1403</v>
      </c>
      <c r="B308" t="s">
        <v>1393</v>
      </c>
      <c r="C308" t="s">
        <v>335</v>
      </c>
      <c r="D308" s="2">
        <v>0</v>
      </c>
      <c r="E308" s="2">
        <v>0</v>
      </c>
      <c r="F308" s="2">
        <v>0</v>
      </c>
      <c r="G308" s="2">
        <v>0</v>
      </c>
    </row>
    <row r="309" spans="1:7" x14ac:dyDescent="0.3">
      <c r="A309" t="s">
        <v>1403</v>
      </c>
      <c r="B309" t="s">
        <v>1393</v>
      </c>
      <c r="C309" t="s">
        <v>336</v>
      </c>
      <c r="D309" s="2">
        <v>1.9119999999999999</v>
      </c>
      <c r="E309" s="2">
        <v>1.897</v>
      </c>
      <c r="F309" s="2">
        <v>1.8947000000000001</v>
      </c>
      <c r="G309" s="2">
        <v>1.7121999999999999</v>
      </c>
    </row>
    <row r="310" spans="1:7" x14ac:dyDescent="0.3">
      <c r="A310" t="s">
        <v>1403</v>
      </c>
      <c r="B310" t="s">
        <v>1393</v>
      </c>
      <c r="C310" t="s">
        <v>337</v>
      </c>
      <c r="D310" s="2">
        <v>0.75160000000000005</v>
      </c>
      <c r="E310" s="2">
        <v>0.70660000000000001</v>
      </c>
      <c r="F310" s="2">
        <v>0.81859999999999999</v>
      </c>
      <c r="G310" s="2">
        <v>0.87160000000000004</v>
      </c>
    </row>
    <row r="311" spans="1:7" x14ac:dyDescent="0.3">
      <c r="A311" t="s">
        <v>1403</v>
      </c>
      <c r="B311" t="s">
        <v>1393</v>
      </c>
      <c r="C311" t="s">
        <v>339</v>
      </c>
      <c r="D311" s="2">
        <v>0</v>
      </c>
      <c r="E311" s="2">
        <v>0</v>
      </c>
      <c r="F311" s="2">
        <v>0</v>
      </c>
      <c r="G311" s="2">
        <v>0</v>
      </c>
    </row>
    <row r="312" spans="1:7" x14ac:dyDescent="0.3">
      <c r="A312" t="s">
        <v>1403</v>
      </c>
      <c r="B312" t="s">
        <v>1393</v>
      </c>
      <c r="C312" t="s">
        <v>340</v>
      </c>
      <c r="D312" s="2">
        <v>0</v>
      </c>
      <c r="E312" s="2">
        <v>0</v>
      </c>
      <c r="F312" s="2">
        <v>0</v>
      </c>
      <c r="G312" s="2">
        <v>0</v>
      </c>
    </row>
    <row r="313" spans="1:7" x14ac:dyDescent="0.3">
      <c r="A313" t="s">
        <v>1403</v>
      </c>
      <c r="B313" t="s">
        <v>1393</v>
      </c>
      <c r="C313" t="s">
        <v>341</v>
      </c>
      <c r="D313" s="2">
        <v>0.20319999999999999</v>
      </c>
      <c r="E313" s="2">
        <v>0.19550000000000001</v>
      </c>
      <c r="F313" s="2">
        <v>0.23319999999999999</v>
      </c>
      <c r="G313" s="2">
        <v>0.24759999999999999</v>
      </c>
    </row>
    <row r="314" spans="1:7" x14ac:dyDescent="0.3">
      <c r="A314" t="s">
        <v>1403</v>
      </c>
      <c r="B314" t="s">
        <v>1397</v>
      </c>
      <c r="C314" t="s">
        <v>342</v>
      </c>
      <c r="D314" s="2">
        <v>0.63400000000000001</v>
      </c>
      <c r="E314" s="2">
        <v>0.74650000000000005</v>
      </c>
      <c r="F314" s="2">
        <v>0.83160000000000001</v>
      </c>
      <c r="G314" s="2">
        <v>0.8841</v>
      </c>
    </row>
    <row r="315" spans="1:7" x14ac:dyDescent="0.3">
      <c r="A315" t="s">
        <v>1403</v>
      </c>
      <c r="B315" t="s">
        <v>1397</v>
      </c>
      <c r="C315" t="s">
        <v>343</v>
      </c>
      <c r="D315" s="2">
        <v>0.52890000000000004</v>
      </c>
      <c r="E315" s="2">
        <v>0.45729999999999998</v>
      </c>
      <c r="F315" s="2">
        <v>0.43940000000000001</v>
      </c>
      <c r="G315" s="2">
        <v>0.51129999999999998</v>
      </c>
    </row>
    <row r="316" spans="1:7" x14ac:dyDescent="0.3">
      <c r="A316" t="s">
        <v>1403</v>
      </c>
      <c r="B316" t="s">
        <v>1397</v>
      </c>
      <c r="C316" t="s">
        <v>344</v>
      </c>
      <c r="D316" s="2">
        <v>0</v>
      </c>
      <c r="E316" s="2">
        <v>0</v>
      </c>
      <c r="F316" s="2">
        <v>0</v>
      </c>
      <c r="G316" s="2">
        <v>0</v>
      </c>
    </row>
    <row r="317" spans="1:7" x14ac:dyDescent="0.3">
      <c r="A317" t="s">
        <v>1403</v>
      </c>
      <c r="B317" t="s">
        <v>1397</v>
      </c>
      <c r="C317" t="s">
        <v>345</v>
      </c>
      <c r="D317" s="2">
        <v>5.8784999999999998</v>
      </c>
      <c r="E317" s="2">
        <v>5.7976000000000001</v>
      </c>
      <c r="F317" s="2">
        <v>5.5403000000000002</v>
      </c>
      <c r="G317" s="2">
        <v>5.8239999999999998</v>
      </c>
    </row>
    <row r="318" spans="1:7" x14ac:dyDescent="0.3">
      <c r="A318" t="s">
        <v>1403</v>
      </c>
      <c r="B318" t="s">
        <v>1397</v>
      </c>
      <c r="C318" t="s">
        <v>346</v>
      </c>
      <c r="D318" s="2">
        <v>0</v>
      </c>
      <c r="E318" s="2">
        <v>0</v>
      </c>
      <c r="F318" s="2">
        <v>0</v>
      </c>
      <c r="G318" s="2">
        <v>0</v>
      </c>
    </row>
    <row r="319" spans="1:7" x14ac:dyDescent="0.3">
      <c r="A319" t="s">
        <v>1403</v>
      </c>
      <c r="B319" t="s">
        <v>1397</v>
      </c>
      <c r="C319" t="s">
        <v>347</v>
      </c>
      <c r="D319" s="2">
        <v>5.2400000000000002E-2</v>
      </c>
      <c r="E319" s="2">
        <v>7.8700000000000006E-2</v>
      </c>
      <c r="F319" s="2">
        <v>0.14380000000000001</v>
      </c>
      <c r="G319" s="2">
        <v>0.1361</v>
      </c>
    </row>
    <row r="320" spans="1:7" x14ac:dyDescent="0.3">
      <c r="A320" t="s">
        <v>1403</v>
      </c>
      <c r="B320" t="s">
        <v>1397</v>
      </c>
      <c r="C320" t="s">
        <v>348</v>
      </c>
      <c r="D320" s="2">
        <v>2.1732999999999998</v>
      </c>
      <c r="E320" s="2">
        <v>2.1429999999999998</v>
      </c>
      <c r="F320" s="2">
        <v>2.2582</v>
      </c>
      <c r="G320" s="2">
        <v>2.3744999999999998</v>
      </c>
    </row>
    <row r="321" spans="1:7" x14ac:dyDescent="0.3">
      <c r="A321" t="s">
        <v>1403</v>
      </c>
      <c r="B321" t="s">
        <v>1397</v>
      </c>
      <c r="C321" t="s">
        <v>350</v>
      </c>
      <c r="D321" s="2">
        <v>0</v>
      </c>
      <c r="E321" s="2">
        <v>0</v>
      </c>
      <c r="F321" s="2">
        <v>0</v>
      </c>
      <c r="G321" s="2">
        <v>0</v>
      </c>
    </row>
    <row r="322" spans="1:7" x14ac:dyDescent="0.3">
      <c r="A322" t="s">
        <v>1403</v>
      </c>
      <c r="B322" t="s">
        <v>1397</v>
      </c>
      <c r="C322" t="s">
        <v>351</v>
      </c>
      <c r="D322" s="2">
        <v>0</v>
      </c>
      <c r="E322" s="2">
        <v>0</v>
      </c>
      <c r="F322" s="2">
        <v>0</v>
      </c>
      <c r="G322" s="2">
        <v>0</v>
      </c>
    </row>
    <row r="323" spans="1:7" x14ac:dyDescent="0.3">
      <c r="A323" t="s">
        <v>1403</v>
      </c>
      <c r="B323" t="s">
        <v>1397</v>
      </c>
      <c r="C323" t="s">
        <v>352</v>
      </c>
      <c r="D323" s="2">
        <v>0.45450000000000002</v>
      </c>
      <c r="E323" s="2">
        <v>0.45829999999999999</v>
      </c>
      <c r="F323" s="2">
        <v>0.51929999999999998</v>
      </c>
      <c r="G323" s="2">
        <v>0.54790000000000005</v>
      </c>
    </row>
    <row r="324" spans="1:7" x14ac:dyDescent="0.3">
      <c r="A324" t="s">
        <v>1403</v>
      </c>
      <c r="B324" t="s">
        <v>1395</v>
      </c>
      <c r="C324" t="s">
        <v>353</v>
      </c>
      <c r="D324" s="2">
        <v>2.2288999999999999</v>
      </c>
      <c r="E324" s="2">
        <v>2.1240000000000001</v>
      </c>
      <c r="F324" s="2">
        <v>2.2879999999999998</v>
      </c>
      <c r="G324" s="2">
        <v>2.9662000000000002</v>
      </c>
    </row>
    <row r="325" spans="1:7" x14ac:dyDescent="0.3">
      <c r="A325" t="s">
        <v>1403</v>
      </c>
      <c r="B325" t="s">
        <v>1395</v>
      </c>
      <c r="C325" t="s">
        <v>354</v>
      </c>
      <c r="D325" s="2">
        <v>3.1300000000000001E-2</v>
      </c>
      <c r="E325" s="2">
        <v>4.3999999999999997E-2</v>
      </c>
      <c r="F325" s="2">
        <v>6.0199999999999997E-2</v>
      </c>
      <c r="G325" s="2">
        <v>7.2300000000000003E-2</v>
      </c>
    </row>
    <row r="326" spans="1:7" x14ac:dyDescent="0.3">
      <c r="A326" t="s">
        <v>1403</v>
      </c>
      <c r="B326" t="s">
        <v>1395</v>
      </c>
      <c r="C326" t="s">
        <v>355</v>
      </c>
      <c r="D326" s="2">
        <v>0</v>
      </c>
      <c r="E326" s="2">
        <v>0</v>
      </c>
      <c r="F326" s="2">
        <v>0</v>
      </c>
      <c r="G326" s="2">
        <v>0</v>
      </c>
    </row>
    <row r="327" spans="1:7" x14ac:dyDescent="0.3">
      <c r="A327" t="s">
        <v>1403</v>
      </c>
      <c r="B327" t="s">
        <v>1395</v>
      </c>
      <c r="C327" t="s">
        <v>356</v>
      </c>
      <c r="D327" s="2">
        <v>2.5691999999999999</v>
      </c>
      <c r="E327" s="2">
        <v>2.3788</v>
      </c>
      <c r="F327" s="2">
        <v>2.2719</v>
      </c>
      <c r="G327" s="2">
        <v>2.2635999999999998</v>
      </c>
    </row>
    <row r="328" spans="1:7" x14ac:dyDescent="0.3">
      <c r="A328" t="s">
        <v>1403</v>
      </c>
      <c r="B328" t="s">
        <v>1395</v>
      </c>
      <c r="C328" t="s">
        <v>357</v>
      </c>
      <c r="D328" s="2">
        <v>0</v>
      </c>
      <c r="E328" s="2">
        <v>0</v>
      </c>
      <c r="F328" s="2">
        <v>0</v>
      </c>
      <c r="G328" s="2">
        <v>0</v>
      </c>
    </row>
    <row r="329" spans="1:7" x14ac:dyDescent="0.3">
      <c r="A329" t="s">
        <v>1403</v>
      </c>
      <c r="B329" t="s">
        <v>1395</v>
      </c>
      <c r="C329" t="s">
        <v>358</v>
      </c>
      <c r="D329" s="2">
        <v>1.3927</v>
      </c>
      <c r="E329" s="2">
        <v>1.3579000000000001</v>
      </c>
      <c r="F329" s="2">
        <v>1.1547000000000001</v>
      </c>
      <c r="G329" s="2">
        <v>1.1412</v>
      </c>
    </row>
    <row r="330" spans="1:7" x14ac:dyDescent="0.3">
      <c r="A330" t="s">
        <v>1403</v>
      </c>
      <c r="B330" t="s">
        <v>1395</v>
      </c>
      <c r="C330" t="s">
        <v>359</v>
      </c>
      <c r="D330" s="2">
        <v>1.7977000000000001</v>
      </c>
      <c r="E330" s="2">
        <v>1.6651</v>
      </c>
      <c r="F330" s="2">
        <v>1.6428</v>
      </c>
      <c r="G330" s="2">
        <v>1.7351000000000001</v>
      </c>
    </row>
    <row r="331" spans="1:7" x14ac:dyDescent="0.3">
      <c r="A331" t="s">
        <v>1403</v>
      </c>
      <c r="B331" t="s">
        <v>1395</v>
      </c>
      <c r="C331" t="s">
        <v>361</v>
      </c>
      <c r="D331" s="2">
        <v>0</v>
      </c>
      <c r="E331" s="2">
        <v>0</v>
      </c>
      <c r="F331" s="2">
        <v>0</v>
      </c>
      <c r="G331" s="2">
        <v>0</v>
      </c>
    </row>
    <row r="332" spans="1:7" x14ac:dyDescent="0.3">
      <c r="A332" t="s">
        <v>1403</v>
      </c>
      <c r="B332" t="s">
        <v>1395</v>
      </c>
      <c r="C332" t="s">
        <v>362</v>
      </c>
      <c r="D332" s="2">
        <v>0</v>
      </c>
      <c r="E332" s="2">
        <v>0</v>
      </c>
      <c r="F332" s="2">
        <v>0</v>
      </c>
      <c r="G332" s="2">
        <v>0</v>
      </c>
    </row>
    <row r="333" spans="1:7" x14ac:dyDescent="0.3">
      <c r="A333" t="s">
        <v>1403</v>
      </c>
      <c r="B333" t="s">
        <v>1395</v>
      </c>
      <c r="C333" t="s">
        <v>363</v>
      </c>
      <c r="D333" s="2">
        <v>2.319</v>
      </c>
      <c r="E333" s="2">
        <v>2.1745000000000001</v>
      </c>
      <c r="F333" s="2">
        <v>2.2002000000000002</v>
      </c>
      <c r="G333" s="2">
        <v>2.2968999999999999</v>
      </c>
    </row>
    <row r="334" spans="1:7" x14ac:dyDescent="0.3">
      <c r="A334" t="s">
        <v>1405</v>
      </c>
      <c r="B334" t="s">
        <v>1404</v>
      </c>
      <c r="C334" t="s">
        <v>364</v>
      </c>
      <c r="D334" s="2">
        <v>2.3099999999999999E-2</v>
      </c>
      <c r="E334" s="2">
        <v>4.0300000000000002E-2</v>
      </c>
      <c r="F334" s="2">
        <v>3.6700000000000003E-2</v>
      </c>
      <c r="G334" s="2">
        <v>2.3400000000000001E-2</v>
      </c>
    </row>
    <row r="335" spans="1:7" x14ac:dyDescent="0.3">
      <c r="A335" t="s">
        <v>1405</v>
      </c>
      <c r="B335" t="s">
        <v>1404</v>
      </c>
      <c r="C335" t="s">
        <v>365</v>
      </c>
      <c r="D335" s="2">
        <v>0</v>
      </c>
      <c r="E335" s="2">
        <v>0</v>
      </c>
      <c r="F335" s="2">
        <v>0</v>
      </c>
      <c r="G335" s="2">
        <v>0</v>
      </c>
    </row>
    <row r="336" spans="1:7" x14ac:dyDescent="0.3">
      <c r="A336" t="s">
        <v>1405</v>
      </c>
      <c r="B336" t="s">
        <v>1404</v>
      </c>
      <c r="C336" t="s">
        <v>366</v>
      </c>
      <c r="D336" s="2">
        <v>0</v>
      </c>
      <c r="E336" s="2">
        <v>0</v>
      </c>
      <c r="F336" s="2">
        <v>0</v>
      </c>
      <c r="G336" s="2">
        <v>0</v>
      </c>
    </row>
    <row r="337" spans="1:7" x14ac:dyDescent="0.3">
      <c r="A337" t="s">
        <v>1405</v>
      </c>
      <c r="B337" t="s">
        <v>1404</v>
      </c>
      <c r="C337" t="s">
        <v>367</v>
      </c>
      <c r="D337" s="2">
        <v>6.5100000000000005E-2</v>
      </c>
      <c r="E337" s="2">
        <v>6.6900000000000001E-2</v>
      </c>
      <c r="F337" s="2">
        <v>5.8999999999999997E-2</v>
      </c>
      <c r="G337" s="2">
        <v>8.0100000000000005E-2</v>
      </c>
    </row>
    <row r="338" spans="1:7" x14ac:dyDescent="0.3">
      <c r="A338" t="s">
        <v>1405</v>
      </c>
      <c r="B338" t="s">
        <v>1404</v>
      </c>
      <c r="C338" t="s">
        <v>368</v>
      </c>
      <c r="D338" s="2">
        <v>0</v>
      </c>
      <c r="E338" s="2">
        <v>0</v>
      </c>
      <c r="F338" s="2">
        <v>0</v>
      </c>
      <c r="G338" s="2">
        <v>0</v>
      </c>
    </row>
    <row r="339" spans="1:7" x14ac:dyDescent="0.3">
      <c r="A339" t="s">
        <v>1405</v>
      </c>
      <c r="B339" t="s">
        <v>1404</v>
      </c>
      <c r="C339" t="s">
        <v>369</v>
      </c>
      <c r="D339" s="2">
        <v>3.09E-2</v>
      </c>
      <c r="E339" s="2">
        <v>2.76E-2</v>
      </c>
      <c r="F339" s="2">
        <v>2.47E-2</v>
      </c>
      <c r="G339" s="2">
        <v>2.8799999999999999E-2</v>
      </c>
    </row>
    <row r="340" spans="1:7" x14ac:dyDescent="0.3">
      <c r="A340" t="s">
        <v>1405</v>
      </c>
      <c r="B340" t="s">
        <v>1404</v>
      </c>
      <c r="C340" t="s">
        <v>370</v>
      </c>
      <c r="D340" s="2">
        <v>0.36930000000000002</v>
      </c>
      <c r="E340" s="2">
        <v>0.248</v>
      </c>
      <c r="F340" s="2">
        <v>0.24759999999999999</v>
      </c>
      <c r="G340" s="2">
        <v>0.30549999999999999</v>
      </c>
    </row>
    <row r="341" spans="1:7" x14ac:dyDescent="0.3">
      <c r="A341" t="s">
        <v>1405</v>
      </c>
      <c r="B341" t="s">
        <v>1404</v>
      </c>
      <c r="C341" t="s">
        <v>372</v>
      </c>
      <c r="D341" s="2">
        <v>0</v>
      </c>
      <c r="E341" s="2">
        <v>0</v>
      </c>
      <c r="F341" s="2">
        <v>0</v>
      </c>
      <c r="G341" s="2">
        <v>0</v>
      </c>
    </row>
    <row r="342" spans="1:7" x14ac:dyDescent="0.3">
      <c r="A342" t="s">
        <v>1405</v>
      </c>
      <c r="B342" t="s">
        <v>1404</v>
      </c>
      <c r="C342" t="s">
        <v>373</v>
      </c>
      <c r="D342" s="2">
        <v>0</v>
      </c>
      <c r="E342" s="2">
        <v>0</v>
      </c>
      <c r="F342" s="2">
        <v>0</v>
      </c>
      <c r="G342" s="2">
        <v>0</v>
      </c>
    </row>
    <row r="343" spans="1:7" x14ac:dyDescent="0.3">
      <c r="A343" t="s">
        <v>1405</v>
      </c>
      <c r="B343" t="s">
        <v>1404</v>
      </c>
      <c r="C343" t="s">
        <v>374</v>
      </c>
      <c r="D343" s="2">
        <v>0.15559999999999999</v>
      </c>
      <c r="E343" s="2">
        <v>0.13500000000000001</v>
      </c>
      <c r="F343" s="2">
        <v>0.17760000000000001</v>
      </c>
      <c r="G343" s="2">
        <v>0.27710000000000001</v>
      </c>
    </row>
    <row r="344" spans="1:7" x14ac:dyDescent="0.3">
      <c r="A344" t="s">
        <v>1405</v>
      </c>
      <c r="B344" t="s">
        <v>1394</v>
      </c>
      <c r="C344" t="s">
        <v>375</v>
      </c>
      <c r="D344" s="2">
        <v>0</v>
      </c>
      <c r="E344" s="2">
        <v>1.01E-2</v>
      </c>
      <c r="F344" s="2">
        <v>7.1000000000000004E-3</v>
      </c>
      <c r="G344" s="2">
        <v>7.4000000000000003E-3</v>
      </c>
    </row>
    <row r="345" spans="1:7" x14ac:dyDescent="0.3">
      <c r="A345" t="s">
        <v>1405</v>
      </c>
      <c r="B345" t="s">
        <v>1394</v>
      </c>
      <c r="C345" t="s">
        <v>376</v>
      </c>
      <c r="D345" s="2">
        <v>0</v>
      </c>
      <c r="E345" s="2">
        <v>0</v>
      </c>
      <c r="F345" s="2">
        <v>0</v>
      </c>
      <c r="G345" s="2">
        <v>0</v>
      </c>
    </row>
    <row r="346" spans="1:7" x14ac:dyDescent="0.3">
      <c r="A346" t="s">
        <v>1405</v>
      </c>
      <c r="B346" t="s">
        <v>1394</v>
      </c>
      <c r="C346" t="s">
        <v>377</v>
      </c>
      <c r="D346" s="2">
        <v>0</v>
      </c>
      <c r="E346" s="2">
        <v>0</v>
      </c>
      <c r="F346" s="2">
        <v>0</v>
      </c>
      <c r="G346" s="2">
        <v>0</v>
      </c>
    </row>
    <row r="347" spans="1:7" x14ac:dyDescent="0.3">
      <c r="A347" t="s">
        <v>1405</v>
      </c>
      <c r="B347" t="s">
        <v>1394</v>
      </c>
      <c r="C347" t="s">
        <v>378</v>
      </c>
      <c r="D347" s="2">
        <v>0.92230000000000001</v>
      </c>
      <c r="E347" s="2">
        <v>0.87590000000000001</v>
      </c>
      <c r="F347" s="2">
        <v>0.89659999999999995</v>
      </c>
      <c r="G347" s="2">
        <v>0.80459999999999998</v>
      </c>
    </row>
    <row r="348" spans="1:7" x14ac:dyDescent="0.3">
      <c r="A348" t="s">
        <v>1405</v>
      </c>
      <c r="B348" t="s">
        <v>1394</v>
      </c>
      <c r="C348" t="s">
        <v>379</v>
      </c>
      <c r="D348" s="2">
        <v>0</v>
      </c>
      <c r="E348" s="2">
        <v>0</v>
      </c>
      <c r="F348" s="2">
        <v>0</v>
      </c>
      <c r="G348" s="2">
        <v>0</v>
      </c>
    </row>
    <row r="349" spans="1:7" x14ac:dyDescent="0.3">
      <c r="A349" t="s">
        <v>1405</v>
      </c>
      <c r="B349" t="s">
        <v>1394</v>
      </c>
      <c r="C349" t="s">
        <v>380</v>
      </c>
      <c r="D349" s="2">
        <v>0.1313</v>
      </c>
      <c r="E349" s="2">
        <v>0.105</v>
      </c>
      <c r="F349" s="2">
        <v>0.1144</v>
      </c>
      <c r="G349" s="2">
        <v>0.154</v>
      </c>
    </row>
    <row r="350" spans="1:7" x14ac:dyDescent="0.3">
      <c r="A350" t="s">
        <v>1405</v>
      </c>
      <c r="B350" t="s">
        <v>1394</v>
      </c>
      <c r="C350" t="s">
        <v>381</v>
      </c>
      <c r="D350" s="2">
        <v>0.73899999999999999</v>
      </c>
      <c r="E350" s="2">
        <v>0.51349999999999996</v>
      </c>
      <c r="F350" s="2">
        <v>0.53400000000000003</v>
      </c>
      <c r="G350" s="2">
        <v>0.58230000000000004</v>
      </c>
    </row>
    <row r="351" spans="1:7" x14ac:dyDescent="0.3">
      <c r="A351" t="s">
        <v>1405</v>
      </c>
      <c r="B351" t="s">
        <v>1394</v>
      </c>
      <c r="C351" t="s">
        <v>383</v>
      </c>
      <c r="D351" s="2">
        <v>0</v>
      </c>
      <c r="E351" s="2">
        <v>0</v>
      </c>
      <c r="F351" s="2">
        <v>0</v>
      </c>
      <c r="G351" s="2">
        <v>0</v>
      </c>
    </row>
    <row r="352" spans="1:7" x14ac:dyDescent="0.3">
      <c r="A352" t="s">
        <v>1405</v>
      </c>
      <c r="B352" t="s">
        <v>1394</v>
      </c>
      <c r="C352" t="s">
        <v>384</v>
      </c>
      <c r="D352" s="2">
        <v>0</v>
      </c>
      <c r="E352" s="2">
        <v>0</v>
      </c>
      <c r="F352" s="2">
        <v>0</v>
      </c>
      <c r="G352" s="2">
        <v>0</v>
      </c>
    </row>
    <row r="353" spans="1:7" x14ac:dyDescent="0.3">
      <c r="A353" t="s">
        <v>1405</v>
      </c>
      <c r="B353" t="s">
        <v>1394</v>
      </c>
      <c r="C353" t="s">
        <v>385</v>
      </c>
      <c r="D353" s="2">
        <v>2.24E-2</v>
      </c>
      <c r="E353" s="2">
        <v>2.47E-2</v>
      </c>
      <c r="F353" s="2">
        <v>1.9400000000000001E-2</v>
      </c>
      <c r="G353" s="2">
        <v>1.7100000000000001E-2</v>
      </c>
    </row>
    <row r="354" spans="1:7" x14ac:dyDescent="0.3">
      <c r="A354" t="s">
        <v>1405</v>
      </c>
      <c r="B354" t="s">
        <v>1406</v>
      </c>
      <c r="C354" t="s">
        <v>386</v>
      </c>
      <c r="D354" s="2">
        <v>3.2300000000000002E-2</v>
      </c>
      <c r="E354" s="2">
        <v>0.105</v>
      </c>
      <c r="F354" s="2">
        <v>0.1547</v>
      </c>
      <c r="G354" s="2">
        <v>0.1091</v>
      </c>
    </row>
    <row r="355" spans="1:7" x14ac:dyDescent="0.3">
      <c r="A355" t="s">
        <v>1405</v>
      </c>
      <c r="B355" t="s">
        <v>1406</v>
      </c>
      <c r="C355" t="s">
        <v>387</v>
      </c>
      <c r="D355" s="2">
        <v>0</v>
      </c>
      <c r="E355" s="2">
        <v>0</v>
      </c>
      <c r="F355" s="2">
        <v>0</v>
      </c>
      <c r="G355" s="2">
        <v>0</v>
      </c>
    </row>
    <row r="356" spans="1:7" x14ac:dyDescent="0.3">
      <c r="A356" t="s">
        <v>1405</v>
      </c>
      <c r="B356" t="s">
        <v>1406</v>
      </c>
      <c r="C356" t="s">
        <v>388</v>
      </c>
      <c r="D356" s="2">
        <v>0</v>
      </c>
      <c r="E356" s="2">
        <v>0</v>
      </c>
      <c r="F356" s="2">
        <v>0</v>
      </c>
      <c r="G356" s="2">
        <v>0</v>
      </c>
    </row>
    <row r="357" spans="1:7" x14ac:dyDescent="0.3">
      <c r="A357" t="s">
        <v>1405</v>
      </c>
      <c r="B357" t="s">
        <v>1406</v>
      </c>
      <c r="C357" t="s">
        <v>389</v>
      </c>
      <c r="D357" s="2">
        <v>0.17399999999999999</v>
      </c>
      <c r="E357" s="2">
        <v>0.21229999999999999</v>
      </c>
      <c r="F357" s="2">
        <v>0.2011</v>
      </c>
      <c r="G357" s="2">
        <v>0.1802</v>
      </c>
    </row>
    <row r="358" spans="1:7" x14ac:dyDescent="0.3">
      <c r="A358" t="s">
        <v>1405</v>
      </c>
      <c r="B358" t="s">
        <v>1406</v>
      </c>
      <c r="C358" t="s">
        <v>390</v>
      </c>
      <c r="D358" s="2">
        <v>0</v>
      </c>
      <c r="E358" s="2">
        <v>0</v>
      </c>
      <c r="F358" s="2">
        <v>0</v>
      </c>
      <c r="G358" s="2">
        <v>0</v>
      </c>
    </row>
    <row r="359" spans="1:7" x14ac:dyDescent="0.3">
      <c r="A359" t="s">
        <v>1405</v>
      </c>
      <c r="B359" t="s">
        <v>1406</v>
      </c>
      <c r="C359" t="s">
        <v>391</v>
      </c>
      <c r="D359" s="2">
        <v>9.4E-2</v>
      </c>
      <c r="E359" s="2">
        <v>5.6800000000000003E-2</v>
      </c>
      <c r="F359" s="2">
        <v>0.13489999999999999</v>
      </c>
      <c r="G359" s="2">
        <v>8.5800000000000001E-2</v>
      </c>
    </row>
    <row r="360" spans="1:7" x14ac:dyDescent="0.3">
      <c r="A360" t="s">
        <v>1405</v>
      </c>
      <c r="B360" t="s">
        <v>1406</v>
      </c>
      <c r="C360" t="s">
        <v>392</v>
      </c>
      <c r="D360" s="2">
        <v>0.1099</v>
      </c>
      <c r="E360" s="2">
        <v>0.1123</v>
      </c>
      <c r="F360" s="2">
        <v>0.1181</v>
      </c>
      <c r="G360" s="2">
        <v>0.1051</v>
      </c>
    </row>
    <row r="361" spans="1:7" x14ac:dyDescent="0.3">
      <c r="A361" t="s">
        <v>1405</v>
      </c>
      <c r="B361" t="s">
        <v>1406</v>
      </c>
      <c r="C361" t="s">
        <v>394</v>
      </c>
      <c r="D361" s="2">
        <v>0</v>
      </c>
      <c r="E361" s="2">
        <v>0</v>
      </c>
      <c r="F361" s="2">
        <v>0</v>
      </c>
      <c r="G361" s="2">
        <v>0</v>
      </c>
    </row>
    <row r="362" spans="1:7" x14ac:dyDescent="0.3">
      <c r="A362" t="s">
        <v>1405</v>
      </c>
      <c r="B362" t="s">
        <v>1406</v>
      </c>
      <c r="C362" t="s">
        <v>395</v>
      </c>
      <c r="D362" s="2">
        <v>0</v>
      </c>
      <c r="E362" s="2">
        <v>0</v>
      </c>
      <c r="F362" s="2">
        <v>0</v>
      </c>
      <c r="G362" s="2">
        <v>0</v>
      </c>
    </row>
    <row r="363" spans="1:7" x14ac:dyDescent="0.3">
      <c r="A363" t="s">
        <v>1405</v>
      </c>
      <c r="B363" t="s">
        <v>1406</v>
      </c>
      <c r="C363" t="s">
        <v>396</v>
      </c>
      <c r="D363" s="2">
        <v>2.87E-2</v>
      </c>
      <c r="E363" s="2">
        <v>2.7400000000000001E-2</v>
      </c>
      <c r="F363" s="2">
        <v>2.3199999999999998E-2</v>
      </c>
      <c r="G363" s="2">
        <v>1.9800000000000002E-2</v>
      </c>
    </row>
    <row r="364" spans="1:7" x14ac:dyDescent="0.3">
      <c r="A364" t="s">
        <v>1405</v>
      </c>
      <c r="B364" t="s">
        <v>1397</v>
      </c>
      <c r="C364" t="s">
        <v>397</v>
      </c>
      <c r="D364" s="2">
        <v>3.6999999999999998E-2</v>
      </c>
      <c r="E364" s="2">
        <v>0.20630000000000001</v>
      </c>
      <c r="F364" s="2">
        <v>0.15409999999999999</v>
      </c>
      <c r="G364" s="2">
        <v>0.1237</v>
      </c>
    </row>
    <row r="365" spans="1:7" x14ac:dyDescent="0.3">
      <c r="A365" t="s">
        <v>1405</v>
      </c>
      <c r="B365" t="s">
        <v>1397</v>
      </c>
      <c r="C365" t="s">
        <v>398</v>
      </c>
      <c r="D365" s="2">
        <v>0</v>
      </c>
      <c r="E365" s="2">
        <v>0</v>
      </c>
      <c r="F365" s="2">
        <v>0</v>
      </c>
      <c r="G365" s="2">
        <v>0</v>
      </c>
    </row>
    <row r="366" spans="1:7" x14ac:dyDescent="0.3">
      <c r="A366" t="s">
        <v>1405</v>
      </c>
      <c r="B366" t="s">
        <v>1397</v>
      </c>
      <c r="C366" t="s">
        <v>399</v>
      </c>
      <c r="D366" s="2">
        <v>0</v>
      </c>
      <c r="E366" s="2">
        <v>0</v>
      </c>
      <c r="F366" s="2">
        <v>0</v>
      </c>
      <c r="G366" s="2">
        <v>0</v>
      </c>
    </row>
    <row r="367" spans="1:7" x14ac:dyDescent="0.3">
      <c r="A367" t="s">
        <v>1405</v>
      </c>
      <c r="B367" t="s">
        <v>1397</v>
      </c>
      <c r="C367" t="s">
        <v>400</v>
      </c>
      <c r="D367" s="2">
        <v>0.50770000000000004</v>
      </c>
      <c r="E367" s="2">
        <v>0.48520000000000002</v>
      </c>
      <c r="F367" s="2">
        <v>0.61070000000000002</v>
      </c>
      <c r="G367" s="2">
        <v>0.52259999999999995</v>
      </c>
    </row>
    <row r="368" spans="1:7" x14ac:dyDescent="0.3">
      <c r="A368" t="s">
        <v>1405</v>
      </c>
      <c r="B368" t="s">
        <v>1397</v>
      </c>
      <c r="C368" t="s">
        <v>401</v>
      </c>
      <c r="D368" s="2">
        <v>0</v>
      </c>
      <c r="E368" s="2">
        <v>0</v>
      </c>
      <c r="F368" s="2">
        <v>0</v>
      </c>
      <c r="G368" s="2">
        <v>0</v>
      </c>
    </row>
    <row r="369" spans="1:7" x14ac:dyDescent="0.3">
      <c r="A369" t="s">
        <v>1405</v>
      </c>
      <c r="B369" t="s">
        <v>1397</v>
      </c>
      <c r="C369" t="s">
        <v>402</v>
      </c>
      <c r="D369" s="2">
        <v>7.9000000000000008E-3</v>
      </c>
      <c r="E369" s="2">
        <v>9.9000000000000008E-3</v>
      </c>
      <c r="F369" s="2">
        <v>1.43E-2</v>
      </c>
      <c r="G369" s="2">
        <v>1.7500000000000002E-2</v>
      </c>
    </row>
    <row r="370" spans="1:7" x14ac:dyDescent="0.3">
      <c r="A370" t="s">
        <v>1405</v>
      </c>
      <c r="B370" t="s">
        <v>1397</v>
      </c>
      <c r="C370" t="s">
        <v>403</v>
      </c>
      <c r="D370" s="2">
        <v>0.2883</v>
      </c>
      <c r="E370" s="2">
        <v>0.28699999999999998</v>
      </c>
      <c r="F370" s="2">
        <v>0.29499999999999998</v>
      </c>
      <c r="G370" s="2">
        <v>0.33310000000000001</v>
      </c>
    </row>
    <row r="371" spans="1:7" x14ac:dyDescent="0.3">
      <c r="A371" t="s">
        <v>1405</v>
      </c>
      <c r="B371" t="s">
        <v>1397</v>
      </c>
      <c r="C371" t="s">
        <v>405</v>
      </c>
      <c r="D371" s="2">
        <v>0</v>
      </c>
      <c r="E371" s="2">
        <v>0</v>
      </c>
      <c r="F371" s="2">
        <v>0</v>
      </c>
      <c r="G371" s="2">
        <v>0</v>
      </c>
    </row>
    <row r="372" spans="1:7" x14ac:dyDescent="0.3">
      <c r="A372" t="s">
        <v>1405</v>
      </c>
      <c r="B372" t="s">
        <v>1397</v>
      </c>
      <c r="C372" t="s">
        <v>406</v>
      </c>
      <c r="D372" s="2">
        <v>0</v>
      </c>
      <c r="E372" s="2">
        <v>0</v>
      </c>
      <c r="F372" s="2">
        <v>0</v>
      </c>
      <c r="G372" s="2">
        <v>0</v>
      </c>
    </row>
    <row r="373" spans="1:7" x14ac:dyDescent="0.3">
      <c r="A373" t="s">
        <v>1405</v>
      </c>
      <c r="B373" t="s">
        <v>1397</v>
      </c>
      <c r="C373" t="s">
        <v>407</v>
      </c>
      <c r="D373" s="2">
        <v>5.8200000000000002E-2</v>
      </c>
      <c r="E373" s="2">
        <v>5.2999999999999999E-2</v>
      </c>
      <c r="F373" s="2">
        <v>6.0199999999999997E-2</v>
      </c>
      <c r="G373" s="2">
        <v>5.2499999999999998E-2</v>
      </c>
    </row>
    <row r="374" spans="1:7" x14ac:dyDescent="0.3">
      <c r="A374" t="s">
        <v>1405</v>
      </c>
      <c r="B374" t="s">
        <v>1395</v>
      </c>
      <c r="C374" t="s">
        <v>408</v>
      </c>
      <c r="D374" s="2">
        <v>0.65680000000000005</v>
      </c>
      <c r="E374" s="2">
        <v>0.59519999999999995</v>
      </c>
      <c r="F374" s="2">
        <v>0.57930000000000004</v>
      </c>
      <c r="G374" s="2">
        <v>0.28239999999999998</v>
      </c>
    </row>
    <row r="375" spans="1:7" x14ac:dyDescent="0.3">
      <c r="A375" t="s">
        <v>1405</v>
      </c>
      <c r="B375" t="s">
        <v>1395</v>
      </c>
      <c r="C375" t="s">
        <v>409</v>
      </c>
      <c r="D375" s="2">
        <v>0.76549999999999996</v>
      </c>
      <c r="E375" s="2">
        <v>0.77829999999999999</v>
      </c>
      <c r="F375" s="2">
        <v>0.1181</v>
      </c>
      <c r="G375" s="2">
        <v>1.9E-3</v>
      </c>
    </row>
    <row r="376" spans="1:7" x14ac:dyDescent="0.3">
      <c r="A376" t="s">
        <v>1405</v>
      </c>
      <c r="B376" t="s">
        <v>1395</v>
      </c>
      <c r="C376" t="s">
        <v>410</v>
      </c>
      <c r="D376" s="2">
        <v>0</v>
      </c>
      <c r="E376" s="2">
        <v>0</v>
      </c>
      <c r="F376" s="2">
        <v>0</v>
      </c>
      <c r="G376" s="2">
        <v>0</v>
      </c>
    </row>
    <row r="377" spans="1:7" x14ac:dyDescent="0.3">
      <c r="A377" t="s">
        <v>1405</v>
      </c>
      <c r="B377" t="s">
        <v>1395</v>
      </c>
      <c r="C377" t="s">
        <v>411</v>
      </c>
      <c r="D377" s="2">
        <v>0.69969999999999999</v>
      </c>
      <c r="E377" s="2">
        <v>0.52839999999999998</v>
      </c>
      <c r="F377" s="2">
        <v>0.38390000000000002</v>
      </c>
      <c r="G377" s="2">
        <v>0.58040000000000003</v>
      </c>
    </row>
    <row r="378" spans="1:7" x14ac:dyDescent="0.3">
      <c r="A378" t="s">
        <v>1405</v>
      </c>
      <c r="B378" t="s">
        <v>1395</v>
      </c>
      <c r="C378" t="s">
        <v>412</v>
      </c>
      <c r="D378" s="2">
        <v>0</v>
      </c>
      <c r="E378" s="2">
        <v>0</v>
      </c>
      <c r="F378" s="2">
        <v>0</v>
      </c>
      <c r="G378" s="2">
        <v>0</v>
      </c>
    </row>
    <row r="379" spans="1:7" x14ac:dyDescent="0.3">
      <c r="A379" t="s">
        <v>1405</v>
      </c>
      <c r="B379" t="s">
        <v>1395</v>
      </c>
      <c r="C379" t="s">
        <v>413</v>
      </c>
      <c r="D379" s="2">
        <v>0.46060000000000001</v>
      </c>
      <c r="E379" s="2">
        <v>0.38840000000000002</v>
      </c>
      <c r="F379" s="2">
        <v>0.1057</v>
      </c>
      <c r="G379" s="2">
        <v>4.1099999999999998E-2</v>
      </c>
    </row>
    <row r="380" spans="1:7" x14ac:dyDescent="0.3">
      <c r="A380" t="s">
        <v>1405</v>
      </c>
      <c r="B380" t="s">
        <v>1395</v>
      </c>
      <c r="C380" t="s">
        <v>414</v>
      </c>
      <c r="D380" s="2">
        <v>0.34570000000000001</v>
      </c>
      <c r="E380" s="2">
        <v>0.34</v>
      </c>
      <c r="F380" s="2">
        <v>0.30199999999999999</v>
      </c>
      <c r="G380" s="2">
        <v>0.29470000000000002</v>
      </c>
    </row>
    <row r="381" spans="1:7" x14ac:dyDescent="0.3">
      <c r="A381" t="s">
        <v>1405</v>
      </c>
      <c r="B381" t="s">
        <v>1395</v>
      </c>
      <c r="C381" t="s">
        <v>416</v>
      </c>
      <c r="D381" s="2">
        <v>0</v>
      </c>
      <c r="E381" s="2">
        <v>0</v>
      </c>
      <c r="F381" s="2">
        <v>0</v>
      </c>
      <c r="G381" s="2">
        <v>0</v>
      </c>
    </row>
    <row r="382" spans="1:7" x14ac:dyDescent="0.3">
      <c r="A382" t="s">
        <v>1405</v>
      </c>
      <c r="B382" t="s">
        <v>1395</v>
      </c>
      <c r="C382" t="s">
        <v>417</v>
      </c>
      <c r="D382" s="2">
        <v>0</v>
      </c>
      <c r="E382" s="2">
        <v>0</v>
      </c>
      <c r="F382" s="2">
        <v>0</v>
      </c>
      <c r="G382" s="2">
        <v>0</v>
      </c>
    </row>
    <row r="383" spans="1:7" x14ac:dyDescent="0.3">
      <c r="A383" t="s">
        <v>1405</v>
      </c>
      <c r="B383" t="s">
        <v>1395</v>
      </c>
      <c r="C383" t="s">
        <v>418</v>
      </c>
      <c r="D383" s="2">
        <v>0.61729999999999996</v>
      </c>
      <c r="E383" s="2">
        <v>0.58250000000000002</v>
      </c>
      <c r="F383" s="2">
        <v>0.64390000000000003</v>
      </c>
      <c r="G383" s="2">
        <v>0.69610000000000005</v>
      </c>
    </row>
    <row r="384" spans="1:7" x14ac:dyDescent="0.3">
      <c r="A384" t="s">
        <v>1407</v>
      </c>
      <c r="B384" t="s">
        <v>1391</v>
      </c>
      <c r="C384" t="s">
        <v>419</v>
      </c>
      <c r="D384" s="2">
        <v>0.21840000000000001</v>
      </c>
      <c r="E384" s="2">
        <v>0.20069999999999999</v>
      </c>
      <c r="F384" s="2">
        <v>0.20660000000000001</v>
      </c>
      <c r="G384" s="2">
        <v>0.21929999999999999</v>
      </c>
    </row>
    <row r="385" spans="1:7" x14ac:dyDescent="0.3">
      <c r="A385" t="s">
        <v>1407</v>
      </c>
      <c r="B385" t="s">
        <v>1391</v>
      </c>
      <c r="C385" t="s">
        <v>420</v>
      </c>
      <c r="D385" s="2">
        <v>0</v>
      </c>
      <c r="E385" s="2">
        <v>0</v>
      </c>
      <c r="F385" s="2">
        <v>0</v>
      </c>
      <c r="G385" s="2">
        <v>0</v>
      </c>
    </row>
    <row r="386" spans="1:7" x14ac:dyDescent="0.3">
      <c r="A386" t="s">
        <v>1407</v>
      </c>
      <c r="B386" t="s">
        <v>1391</v>
      </c>
      <c r="C386" t="s">
        <v>421</v>
      </c>
      <c r="D386" s="2">
        <v>0</v>
      </c>
      <c r="E386" s="2">
        <v>0</v>
      </c>
      <c r="F386" s="2">
        <v>0</v>
      </c>
      <c r="G386" s="2">
        <v>0</v>
      </c>
    </row>
    <row r="387" spans="1:7" x14ac:dyDescent="0.3">
      <c r="A387" t="s">
        <v>1407</v>
      </c>
      <c r="B387" t="s">
        <v>1391</v>
      </c>
      <c r="C387" t="s">
        <v>422</v>
      </c>
      <c r="D387" s="2">
        <v>0.49959999999999999</v>
      </c>
      <c r="E387" s="2">
        <v>0.54059999999999997</v>
      </c>
      <c r="F387" s="2">
        <v>0.53939999999999999</v>
      </c>
      <c r="G387" s="2">
        <v>0.70789999999999997</v>
      </c>
    </row>
    <row r="388" spans="1:7" x14ac:dyDescent="0.3">
      <c r="A388" t="s">
        <v>1407</v>
      </c>
      <c r="B388" t="s">
        <v>1391</v>
      </c>
      <c r="C388" t="s">
        <v>423</v>
      </c>
      <c r="D388" s="2">
        <v>0</v>
      </c>
      <c r="E388" s="2">
        <v>0</v>
      </c>
      <c r="F388" s="2">
        <v>0</v>
      </c>
      <c r="G388" s="2">
        <v>0</v>
      </c>
    </row>
    <row r="389" spans="1:7" x14ac:dyDescent="0.3">
      <c r="A389" t="s">
        <v>1407</v>
      </c>
      <c r="B389" t="s">
        <v>1391</v>
      </c>
      <c r="C389" t="s">
        <v>424</v>
      </c>
      <c r="D389" s="2">
        <v>0</v>
      </c>
      <c r="E389" s="2">
        <v>0</v>
      </c>
      <c r="F389" s="2">
        <v>0</v>
      </c>
      <c r="G389" s="2">
        <v>0</v>
      </c>
    </row>
    <row r="390" spans="1:7" x14ac:dyDescent="0.3">
      <c r="A390" t="s">
        <v>1407</v>
      </c>
      <c r="B390" t="s">
        <v>1391</v>
      </c>
      <c r="C390" t="s">
        <v>425</v>
      </c>
      <c r="D390" s="2">
        <v>2.1366999999999998</v>
      </c>
      <c r="E390" s="2">
        <v>2.4413999999999998</v>
      </c>
      <c r="F390" s="2">
        <v>2.5630999999999999</v>
      </c>
      <c r="G390" s="2">
        <v>2.2585000000000002</v>
      </c>
    </row>
    <row r="391" spans="1:7" x14ac:dyDescent="0.3">
      <c r="A391" t="s">
        <v>1407</v>
      </c>
      <c r="B391" t="s">
        <v>1391</v>
      </c>
      <c r="C391" t="s">
        <v>427</v>
      </c>
      <c r="D391" s="2">
        <v>0</v>
      </c>
      <c r="E391" s="2">
        <v>0</v>
      </c>
      <c r="F391" s="2">
        <v>0</v>
      </c>
      <c r="G391" s="2">
        <v>0</v>
      </c>
    </row>
    <row r="392" spans="1:7" x14ac:dyDescent="0.3">
      <c r="A392" t="s">
        <v>1407</v>
      </c>
      <c r="B392" t="s">
        <v>1391</v>
      </c>
      <c r="C392" t="s">
        <v>428</v>
      </c>
      <c r="D392" s="2">
        <v>0</v>
      </c>
      <c r="E392" s="2">
        <v>0</v>
      </c>
      <c r="F392" s="2">
        <v>0</v>
      </c>
      <c r="G392" s="2">
        <v>0</v>
      </c>
    </row>
    <row r="393" spans="1:7" x14ac:dyDescent="0.3">
      <c r="A393" t="s">
        <v>1407</v>
      </c>
      <c r="B393" t="s">
        <v>1391</v>
      </c>
      <c r="C393" t="s">
        <v>429</v>
      </c>
      <c r="D393" s="2">
        <v>3.0327000000000002</v>
      </c>
      <c r="E393" s="2">
        <v>3.3831000000000002</v>
      </c>
      <c r="F393" s="2">
        <v>3.5177</v>
      </c>
      <c r="G393" s="2">
        <v>3.3813</v>
      </c>
    </row>
    <row r="394" spans="1:7" x14ac:dyDescent="0.3">
      <c r="A394" t="s">
        <v>1407</v>
      </c>
      <c r="B394" t="s">
        <v>1399</v>
      </c>
      <c r="C394" t="s">
        <v>430</v>
      </c>
      <c r="D394" s="2">
        <v>0.1045</v>
      </c>
      <c r="E394" s="2">
        <v>0.1328</v>
      </c>
      <c r="F394" s="2">
        <v>0.11749999999999999</v>
      </c>
      <c r="G394" s="2">
        <v>0.114</v>
      </c>
    </row>
    <row r="395" spans="1:7" x14ac:dyDescent="0.3">
      <c r="A395" t="s">
        <v>1407</v>
      </c>
      <c r="B395" t="s">
        <v>1399</v>
      </c>
      <c r="C395" t="s">
        <v>431</v>
      </c>
      <c r="D395" s="2">
        <v>0</v>
      </c>
      <c r="E395" s="2">
        <v>0</v>
      </c>
      <c r="F395" s="2">
        <v>0</v>
      </c>
      <c r="G395" s="2">
        <v>0</v>
      </c>
    </row>
    <row r="396" spans="1:7" x14ac:dyDescent="0.3">
      <c r="A396" t="s">
        <v>1407</v>
      </c>
      <c r="B396" t="s">
        <v>1399</v>
      </c>
      <c r="C396" t="s">
        <v>432</v>
      </c>
      <c r="D396" s="2">
        <v>0</v>
      </c>
      <c r="E396" s="2">
        <v>0</v>
      </c>
      <c r="F396" s="2">
        <v>0</v>
      </c>
      <c r="G396" s="2">
        <v>0</v>
      </c>
    </row>
    <row r="397" spans="1:7" x14ac:dyDescent="0.3">
      <c r="A397" t="s">
        <v>1407</v>
      </c>
      <c r="B397" t="s">
        <v>1399</v>
      </c>
      <c r="C397" t="s">
        <v>433</v>
      </c>
      <c r="D397" s="2">
        <v>2.1960000000000002</v>
      </c>
      <c r="E397" s="2">
        <v>2.3959000000000001</v>
      </c>
      <c r="F397" s="2">
        <v>4.1006999999999998</v>
      </c>
      <c r="G397" s="2">
        <v>4.6174999999999997</v>
      </c>
    </row>
    <row r="398" spans="1:7" x14ac:dyDescent="0.3">
      <c r="A398" t="s">
        <v>1407</v>
      </c>
      <c r="B398" t="s">
        <v>1399</v>
      </c>
      <c r="C398" t="s">
        <v>434</v>
      </c>
      <c r="D398" s="2">
        <v>0</v>
      </c>
      <c r="E398" s="2">
        <v>0</v>
      </c>
      <c r="F398" s="2">
        <v>0</v>
      </c>
      <c r="G398" s="2">
        <v>0</v>
      </c>
    </row>
    <row r="399" spans="1:7" x14ac:dyDescent="0.3">
      <c r="A399" t="s">
        <v>1407</v>
      </c>
      <c r="B399" t="s">
        <v>1399</v>
      </c>
      <c r="C399" t="s">
        <v>435</v>
      </c>
      <c r="D399" s="2">
        <v>0</v>
      </c>
      <c r="E399" s="2">
        <v>0</v>
      </c>
      <c r="F399" s="2">
        <v>0</v>
      </c>
      <c r="G399" s="2">
        <v>0</v>
      </c>
    </row>
    <row r="400" spans="1:7" x14ac:dyDescent="0.3">
      <c r="A400" t="s">
        <v>1407</v>
      </c>
      <c r="B400" t="s">
        <v>1399</v>
      </c>
      <c r="C400" t="s">
        <v>436</v>
      </c>
      <c r="D400" s="2">
        <v>8.3653999999999993</v>
      </c>
      <c r="E400" s="2">
        <v>7.1374000000000004</v>
      </c>
      <c r="F400" s="2">
        <v>6.5488</v>
      </c>
      <c r="G400" s="2">
        <v>6.8478000000000003</v>
      </c>
    </row>
    <row r="401" spans="1:7" x14ac:dyDescent="0.3">
      <c r="A401" t="s">
        <v>1407</v>
      </c>
      <c r="B401" t="s">
        <v>1399</v>
      </c>
      <c r="C401" t="s">
        <v>438</v>
      </c>
      <c r="D401" s="2">
        <v>0</v>
      </c>
      <c r="E401" s="2">
        <v>0</v>
      </c>
      <c r="F401" s="2">
        <v>0</v>
      </c>
      <c r="G401" s="2">
        <v>0</v>
      </c>
    </row>
    <row r="402" spans="1:7" x14ac:dyDescent="0.3">
      <c r="A402" t="s">
        <v>1407</v>
      </c>
      <c r="B402" t="s">
        <v>1399</v>
      </c>
      <c r="C402" t="s">
        <v>439</v>
      </c>
      <c r="D402" s="2">
        <v>0</v>
      </c>
      <c r="E402" s="2">
        <v>0</v>
      </c>
      <c r="F402" s="2">
        <v>0</v>
      </c>
      <c r="G402" s="2">
        <v>0</v>
      </c>
    </row>
    <row r="403" spans="1:7" x14ac:dyDescent="0.3">
      <c r="A403" t="s">
        <v>1407</v>
      </c>
      <c r="B403" t="s">
        <v>1399</v>
      </c>
      <c r="C403" t="s">
        <v>440</v>
      </c>
      <c r="D403" s="2">
        <v>0</v>
      </c>
      <c r="E403" s="2">
        <v>0</v>
      </c>
      <c r="F403" s="2">
        <v>0</v>
      </c>
      <c r="G403" s="2">
        <v>0</v>
      </c>
    </row>
    <row r="404" spans="1:7" x14ac:dyDescent="0.3">
      <c r="A404" t="s">
        <v>1407</v>
      </c>
      <c r="B404" t="s">
        <v>1393</v>
      </c>
      <c r="C404" t="s">
        <v>441</v>
      </c>
      <c r="D404" s="2">
        <v>9.6379000000000001</v>
      </c>
      <c r="E404" s="2">
        <v>10.4597</v>
      </c>
      <c r="F404" s="2">
        <v>7.4930000000000003</v>
      </c>
      <c r="G404" s="2">
        <v>8.3216999999999999</v>
      </c>
    </row>
    <row r="405" spans="1:7" x14ac:dyDescent="0.3">
      <c r="A405" t="s">
        <v>1407</v>
      </c>
      <c r="B405" t="s">
        <v>1393</v>
      </c>
      <c r="C405" t="s">
        <v>442</v>
      </c>
      <c r="D405" s="2">
        <v>2.4893000000000001</v>
      </c>
      <c r="E405" s="2">
        <v>1.3433999999999999</v>
      </c>
      <c r="F405" s="2">
        <v>2.1558999999999999</v>
      </c>
      <c r="G405" s="2">
        <v>3.0501999999999998</v>
      </c>
    </row>
    <row r="406" spans="1:7" x14ac:dyDescent="0.3">
      <c r="A406" t="s">
        <v>1407</v>
      </c>
      <c r="B406" t="s">
        <v>1393</v>
      </c>
      <c r="C406" t="s">
        <v>443</v>
      </c>
      <c r="D406" s="2">
        <v>0</v>
      </c>
      <c r="E406" s="2">
        <v>0</v>
      </c>
      <c r="F406" s="2">
        <v>0</v>
      </c>
      <c r="G406" s="2">
        <v>0</v>
      </c>
    </row>
    <row r="407" spans="1:7" x14ac:dyDescent="0.3">
      <c r="A407" t="s">
        <v>1407</v>
      </c>
      <c r="B407" t="s">
        <v>1393</v>
      </c>
      <c r="C407" t="s">
        <v>444</v>
      </c>
      <c r="D407" s="2">
        <v>0.41289999999999999</v>
      </c>
      <c r="E407" s="2">
        <v>0.37580000000000002</v>
      </c>
      <c r="F407" s="2">
        <v>0.83840000000000003</v>
      </c>
      <c r="G407" s="2">
        <v>0.89739999999999998</v>
      </c>
    </row>
    <row r="408" spans="1:7" x14ac:dyDescent="0.3">
      <c r="A408" t="s">
        <v>1407</v>
      </c>
      <c r="B408" t="s">
        <v>1393</v>
      </c>
      <c r="C408" t="s">
        <v>445</v>
      </c>
      <c r="D408" s="2">
        <v>0</v>
      </c>
      <c r="E408" s="2">
        <v>0</v>
      </c>
      <c r="F408" s="2">
        <v>0</v>
      </c>
      <c r="G408" s="2">
        <v>0</v>
      </c>
    </row>
    <row r="409" spans="1:7" x14ac:dyDescent="0.3">
      <c r="A409" t="s">
        <v>1407</v>
      </c>
      <c r="B409" t="s">
        <v>1393</v>
      </c>
      <c r="C409" t="s">
        <v>446</v>
      </c>
      <c r="D409" s="2">
        <v>8.7999999999999995E-2</v>
      </c>
      <c r="E409" s="2">
        <v>0.17030000000000001</v>
      </c>
      <c r="F409" s="2">
        <v>0.1052</v>
      </c>
      <c r="G409" s="2">
        <v>0.42159999999999997</v>
      </c>
    </row>
    <row r="410" spans="1:7" x14ac:dyDescent="0.3">
      <c r="A410" t="s">
        <v>1407</v>
      </c>
      <c r="B410" t="s">
        <v>1393</v>
      </c>
      <c r="C410" t="s">
        <v>447</v>
      </c>
      <c r="D410" s="2">
        <v>0.71030000000000004</v>
      </c>
      <c r="E410" s="2">
        <v>0.85029999999999994</v>
      </c>
      <c r="F410" s="2">
        <v>0.69830000000000003</v>
      </c>
      <c r="G410" s="2">
        <v>0.72089999999999999</v>
      </c>
    </row>
    <row r="411" spans="1:7" x14ac:dyDescent="0.3">
      <c r="A411" t="s">
        <v>1407</v>
      </c>
      <c r="B411" t="s">
        <v>1393</v>
      </c>
      <c r="C411" t="s">
        <v>449</v>
      </c>
      <c r="D411" s="2">
        <v>0</v>
      </c>
      <c r="E411" s="2">
        <v>0</v>
      </c>
      <c r="F411" s="2">
        <v>0</v>
      </c>
      <c r="G411" s="2">
        <v>0</v>
      </c>
    </row>
    <row r="412" spans="1:7" x14ac:dyDescent="0.3">
      <c r="A412" t="s">
        <v>1407</v>
      </c>
      <c r="B412" t="s">
        <v>1393</v>
      </c>
      <c r="C412" t="s">
        <v>450</v>
      </c>
      <c r="D412" s="2">
        <v>0</v>
      </c>
      <c r="E412" s="2">
        <v>0</v>
      </c>
      <c r="F412" s="2">
        <v>0</v>
      </c>
      <c r="G412" s="2">
        <v>0</v>
      </c>
    </row>
    <row r="413" spans="1:7" x14ac:dyDescent="0.3">
      <c r="A413" t="s">
        <v>1407</v>
      </c>
      <c r="B413" t="s">
        <v>1393</v>
      </c>
      <c r="C413" t="s">
        <v>451</v>
      </c>
      <c r="D413" s="2">
        <v>0</v>
      </c>
      <c r="E413" s="2">
        <v>0</v>
      </c>
      <c r="F413" s="2">
        <v>0</v>
      </c>
      <c r="G413" s="2">
        <v>0</v>
      </c>
    </row>
    <row r="414" spans="1:7" x14ac:dyDescent="0.3">
      <c r="A414" t="s">
        <v>1407</v>
      </c>
      <c r="B414" t="s">
        <v>1397</v>
      </c>
      <c r="C414" t="s">
        <v>452</v>
      </c>
      <c r="D414" s="2">
        <v>3.0112999999999999</v>
      </c>
      <c r="E414" s="2">
        <v>2.8942000000000001</v>
      </c>
      <c r="F414" s="2">
        <v>2.7719999999999998</v>
      </c>
      <c r="G414" s="2">
        <v>2.8662999999999998</v>
      </c>
    </row>
    <row r="415" spans="1:7" x14ac:dyDescent="0.3">
      <c r="A415" t="s">
        <v>1407</v>
      </c>
      <c r="B415" t="s">
        <v>1397</v>
      </c>
      <c r="C415" t="s">
        <v>453</v>
      </c>
      <c r="D415" s="2">
        <v>0</v>
      </c>
      <c r="E415" s="2">
        <v>0</v>
      </c>
      <c r="F415" s="2">
        <v>0</v>
      </c>
      <c r="G415" s="2">
        <v>0</v>
      </c>
    </row>
    <row r="416" spans="1:7" x14ac:dyDescent="0.3">
      <c r="A416" t="s">
        <v>1407</v>
      </c>
      <c r="B416" t="s">
        <v>1397</v>
      </c>
      <c r="C416" t="s">
        <v>454</v>
      </c>
      <c r="D416" s="2">
        <v>0</v>
      </c>
      <c r="E416" s="2">
        <v>0</v>
      </c>
      <c r="F416" s="2">
        <v>0</v>
      </c>
      <c r="G416" s="2">
        <v>0</v>
      </c>
    </row>
    <row r="417" spans="1:7" x14ac:dyDescent="0.3">
      <c r="A417" t="s">
        <v>1407</v>
      </c>
      <c r="B417" t="s">
        <v>1397</v>
      </c>
      <c r="C417" t="s">
        <v>455</v>
      </c>
      <c r="D417" s="2">
        <v>1.2152000000000001</v>
      </c>
      <c r="E417" s="2">
        <v>1.2645</v>
      </c>
      <c r="F417" s="2">
        <v>1.4434</v>
      </c>
      <c r="G417" s="2">
        <v>1.8124</v>
      </c>
    </row>
    <row r="418" spans="1:7" x14ac:dyDescent="0.3">
      <c r="A418" t="s">
        <v>1407</v>
      </c>
      <c r="B418" t="s">
        <v>1397</v>
      </c>
      <c r="C418" t="s">
        <v>456</v>
      </c>
      <c r="D418" s="2">
        <v>0</v>
      </c>
      <c r="E418" s="2">
        <v>0</v>
      </c>
      <c r="F418" s="2">
        <v>0</v>
      </c>
      <c r="G418" s="2">
        <v>0</v>
      </c>
    </row>
    <row r="419" spans="1:7" x14ac:dyDescent="0.3">
      <c r="A419" t="s">
        <v>1407</v>
      </c>
      <c r="B419" t="s">
        <v>1397</v>
      </c>
      <c r="C419" t="s">
        <v>457</v>
      </c>
      <c r="D419" s="2">
        <v>1.8337000000000001</v>
      </c>
      <c r="E419" s="2">
        <v>1.575</v>
      </c>
      <c r="F419" s="2">
        <v>1.8127</v>
      </c>
      <c r="G419" s="2">
        <v>1.0788</v>
      </c>
    </row>
    <row r="420" spans="1:7" x14ac:dyDescent="0.3">
      <c r="A420" t="s">
        <v>1407</v>
      </c>
      <c r="B420" t="s">
        <v>1397</v>
      </c>
      <c r="C420" t="s">
        <v>458</v>
      </c>
      <c r="D420" s="2">
        <v>1.5004999999999999</v>
      </c>
      <c r="E420" s="2">
        <v>1.7441</v>
      </c>
      <c r="F420" s="2">
        <v>1.8403</v>
      </c>
      <c r="G420" s="2">
        <v>1.8687</v>
      </c>
    </row>
    <row r="421" spans="1:7" x14ac:dyDescent="0.3">
      <c r="A421" t="s">
        <v>1407</v>
      </c>
      <c r="B421" t="s">
        <v>1397</v>
      </c>
      <c r="C421" t="s">
        <v>460</v>
      </c>
      <c r="D421" s="2">
        <v>0</v>
      </c>
      <c r="E421" s="2">
        <v>0</v>
      </c>
      <c r="F421" s="2">
        <v>0</v>
      </c>
      <c r="G421" s="2">
        <v>0</v>
      </c>
    </row>
    <row r="422" spans="1:7" x14ac:dyDescent="0.3">
      <c r="A422" t="s">
        <v>1407</v>
      </c>
      <c r="B422" t="s">
        <v>1397</v>
      </c>
      <c r="C422" t="s">
        <v>461</v>
      </c>
      <c r="D422" s="2">
        <v>0</v>
      </c>
      <c r="E422" s="2">
        <v>0</v>
      </c>
      <c r="F422" s="2">
        <v>0</v>
      </c>
      <c r="G422" s="2">
        <v>0</v>
      </c>
    </row>
    <row r="423" spans="1:7" x14ac:dyDescent="0.3">
      <c r="A423" t="s">
        <v>1407</v>
      </c>
      <c r="B423" t="s">
        <v>1397</v>
      </c>
      <c r="C423" t="s">
        <v>462</v>
      </c>
      <c r="D423" s="2">
        <v>0</v>
      </c>
      <c r="E423" s="2">
        <v>0</v>
      </c>
      <c r="F423" s="2">
        <v>0</v>
      </c>
      <c r="G423" s="2">
        <v>0</v>
      </c>
    </row>
    <row r="424" spans="1:7" x14ac:dyDescent="0.3">
      <c r="A424" t="s">
        <v>1407</v>
      </c>
      <c r="B424" t="s">
        <v>1395</v>
      </c>
      <c r="C424" t="s">
        <v>463</v>
      </c>
      <c r="D424" s="2">
        <v>5.6167999999999996</v>
      </c>
      <c r="E424" s="2">
        <v>3.9093</v>
      </c>
      <c r="F424" s="2">
        <v>3.3544999999999998</v>
      </c>
      <c r="G424" s="2">
        <v>3.2414999999999998</v>
      </c>
    </row>
    <row r="425" spans="1:7" x14ac:dyDescent="0.3">
      <c r="A425" t="s">
        <v>1407</v>
      </c>
      <c r="B425" t="s">
        <v>1395</v>
      </c>
      <c r="C425" t="s">
        <v>464</v>
      </c>
      <c r="D425" s="2">
        <v>2.3420000000000001</v>
      </c>
      <c r="E425" s="2">
        <v>1.8686</v>
      </c>
      <c r="F425" s="2">
        <v>0.95940000000000003</v>
      </c>
      <c r="G425" s="2">
        <v>0.67759999999999998</v>
      </c>
    </row>
    <row r="426" spans="1:7" x14ac:dyDescent="0.3">
      <c r="A426" t="s">
        <v>1407</v>
      </c>
      <c r="B426" t="s">
        <v>1395</v>
      </c>
      <c r="C426" t="s">
        <v>465</v>
      </c>
      <c r="D426" s="2">
        <v>0</v>
      </c>
      <c r="E426" s="2">
        <v>0</v>
      </c>
      <c r="F426" s="2">
        <v>0</v>
      </c>
      <c r="G426" s="2">
        <v>0</v>
      </c>
    </row>
    <row r="427" spans="1:7" x14ac:dyDescent="0.3">
      <c r="A427" t="s">
        <v>1407</v>
      </c>
      <c r="B427" t="s">
        <v>1395</v>
      </c>
      <c r="C427" t="s">
        <v>466</v>
      </c>
      <c r="D427" s="2">
        <v>2.0912999999999999</v>
      </c>
      <c r="E427" s="2">
        <v>2.2136999999999998</v>
      </c>
      <c r="F427" s="2">
        <v>2.5853999999999999</v>
      </c>
      <c r="G427" s="2">
        <v>1.9918</v>
      </c>
    </row>
    <row r="428" spans="1:7" x14ac:dyDescent="0.3">
      <c r="A428" t="s">
        <v>1407</v>
      </c>
      <c r="B428" t="s">
        <v>1395</v>
      </c>
      <c r="C428" t="s">
        <v>467</v>
      </c>
      <c r="D428" s="2">
        <v>0</v>
      </c>
      <c r="E428" s="2">
        <v>0</v>
      </c>
      <c r="F428" s="2">
        <v>0</v>
      </c>
      <c r="G428" s="2">
        <v>0</v>
      </c>
    </row>
    <row r="429" spans="1:7" x14ac:dyDescent="0.3">
      <c r="A429" t="s">
        <v>1407</v>
      </c>
      <c r="B429" t="s">
        <v>1395</v>
      </c>
      <c r="C429" t="s">
        <v>468</v>
      </c>
      <c r="D429" s="2">
        <v>0.33960000000000001</v>
      </c>
      <c r="E429" s="2">
        <v>0.38590000000000002</v>
      </c>
      <c r="F429" s="2">
        <v>0.39069999999999999</v>
      </c>
      <c r="G429" s="2">
        <v>0.46179999999999999</v>
      </c>
    </row>
    <row r="430" spans="1:7" x14ac:dyDescent="0.3">
      <c r="A430" t="s">
        <v>1407</v>
      </c>
      <c r="B430" t="s">
        <v>1395</v>
      </c>
      <c r="C430" t="s">
        <v>469</v>
      </c>
      <c r="D430" s="2">
        <v>2.4859</v>
      </c>
      <c r="E430" s="2">
        <v>2.9864000000000002</v>
      </c>
      <c r="F430" s="2">
        <v>2.7858999999999998</v>
      </c>
      <c r="G430" s="2">
        <v>2.4074</v>
      </c>
    </row>
    <row r="431" spans="1:7" x14ac:dyDescent="0.3">
      <c r="A431" t="s">
        <v>1407</v>
      </c>
      <c r="B431" t="s">
        <v>1395</v>
      </c>
      <c r="C431" t="s">
        <v>471</v>
      </c>
      <c r="D431" s="2">
        <v>0</v>
      </c>
      <c r="E431" s="2">
        <v>0</v>
      </c>
      <c r="F431" s="2">
        <v>0</v>
      </c>
      <c r="G431" s="2">
        <v>0</v>
      </c>
    </row>
    <row r="432" spans="1:7" x14ac:dyDescent="0.3">
      <c r="A432" t="s">
        <v>1407</v>
      </c>
      <c r="B432" t="s">
        <v>1395</v>
      </c>
      <c r="C432" t="s">
        <v>472</v>
      </c>
      <c r="D432" s="2">
        <v>5.2200000000000003E-2</v>
      </c>
      <c r="E432" s="2">
        <v>5.3699999999999998E-2</v>
      </c>
      <c r="F432" s="2">
        <v>5.4800000000000001E-2</v>
      </c>
      <c r="G432" s="2">
        <v>5.67E-2</v>
      </c>
    </row>
    <row r="433" spans="1:7" x14ac:dyDescent="0.3">
      <c r="A433" t="s">
        <v>1407</v>
      </c>
      <c r="B433" t="s">
        <v>1395</v>
      </c>
      <c r="C433" t="s">
        <v>473</v>
      </c>
      <c r="D433" s="2">
        <v>0</v>
      </c>
      <c r="E433" s="2">
        <v>0</v>
      </c>
      <c r="F433" s="2">
        <v>0</v>
      </c>
      <c r="G433" s="2">
        <v>0</v>
      </c>
    </row>
    <row r="434" spans="1:7" x14ac:dyDescent="0.3">
      <c r="A434" t="s">
        <v>1408</v>
      </c>
      <c r="B434" t="s">
        <v>1391</v>
      </c>
      <c r="C434" t="s">
        <v>474</v>
      </c>
      <c r="D434" s="2">
        <v>1.5621</v>
      </c>
      <c r="E434" s="2">
        <v>1.5748</v>
      </c>
      <c r="F434" s="2">
        <v>1.1648000000000001</v>
      </c>
      <c r="G434" s="2">
        <v>1.1886000000000001</v>
      </c>
    </row>
    <row r="435" spans="1:7" x14ac:dyDescent="0.3">
      <c r="A435" t="s">
        <v>1408</v>
      </c>
      <c r="B435" t="s">
        <v>1391</v>
      </c>
      <c r="C435" t="s">
        <v>475</v>
      </c>
      <c r="D435" s="2">
        <v>1.6403000000000001</v>
      </c>
      <c r="E435" s="2">
        <v>1.6355</v>
      </c>
      <c r="F435" s="2">
        <v>1.3954</v>
      </c>
      <c r="G435" s="2">
        <v>1.6889000000000001</v>
      </c>
    </row>
    <row r="436" spans="1:7" x14ac:dyDescent="0.3">
      <c r="A436" t="s">
        <v>1408</v>
      </c>
      <c r="B436" t="s">
        <v>1391</v>
      </c>
      <c r="C436" t="s">
        <v>476</v>
      </c>
      <c r="D436" s="2">
        <v>0</v>
      </c>
      <c r="E436" s="2">
        <v>0</v>
      </c>
      <c r="F436" s="2">
        <v>0</v>
      </c>
      <c r="G436" s="2">
        <v>0</v>
      </c>
    </row>
    <row r="437" spans="1:7" x14ac:dyDescent="0.3">
      <c r="A437" t="s">
        <v>1408</v>
      </c>
      <c r="B437" t="s">
        <v>1391</v>
      </c>
      <c r="C437" t="s">
        <v>477</v>
      </c>
      <c r="D437" s="2">
        <v>15.486599999999999</v>
      </c>
      <c r="E437" s="2">
        <v>14.456200000000001</v>
      </c>
      <c r="F437" s="2">
        <v>13.818099999999999</v>
      </c>
      <c r="G437" s="2">
        <v>15.3606</v>
      </c>
    </row>
    <row r="438" spans="1:7" x14ac:dyDescent="0.3">
      <c r="A438" t="s">
        <v>1408</v>
      </c>
      <c r="B438" t="s">
        <v>1391</v>
      </c>
      <c r="C438" t="s">
        <v>478</v>
      </c>
      <c r="D438" s="2">
        <v>0</v>
      </c>
      <c r="E438" s="2">
        <v>0</v>
      </c>
      <c r="F438" s="2">
        <v>0</v>
      </c>
      <c r="G438" s="2">
        <v>0</v>
      </c>
    </row>
    <row r="439" spans="1:7" x14ac:dyDescent="0.3">
      <c r="A439" t="s">
        <v>1408</v>
      </c>
      <c r="B439" t="s">
        <v>1391</v>
      </c>
      <c r="C439" t="s">
        <v>479</v>
      </c>
      <c r="D439" s="2">
        <v>0</v>
      </c>
      <c r="E439" s="2">
        <v>0</v>
      </c>
      <c r="F439" s="2">
        <v>0</v>
      </c>
      <c r="G439" s="2">
        <v>0</v>
      </c>
    </row>
    <row r="440" spans="1:7" x14ac:dyDescent="0.3">
      <c r="A440" t="s">
        <v>1408</v>
      </c>
      <c r="B440" t="s">
        <v>1391</v>
      </c>
      <c r="C440" t="s">
        <v>480</v>
      </c>
      <c r="D440" s="2">
        <v>31.883400000000002</v>
      </c>
      <c r="E440" s="2">
        <v>28.087800000000001</v>
      </c>
      <c r="F440" s="2">
        <v>23.168099999999999</v>
      </c>
      <c r="G440" s="2">
        <v>25.830500000000001</v>
      </c>
    </row>
    <row r="441" spans="1:7" x14ac:dyDescent="0.3">
      <c r="A441" t="s">
        <v>1408</v>
      </c>
      <c r="B441" t="s">
        <v>1391</v>
      </c>
      <c r="C441" t="s">
        <v>482</v>
      </c>
      <c r="D441" s="2">
        <v>0</v>
      </c>
      <c r="E441" s="2">
        <v>0</v>
      </c>
      <c r="F441" s="2">
        <v>0</v>
      </c>
      <c r="G441" s="2">
        <v>0</v>
      </c>
    </row>
    <row r="442" spans="1:7" x14ac:dyDescent="0.3">
      <c r="A442" t="s">
        <v>1408</v>
      </c>
      <c r="B442" t="s">
        <v>1391</v>
      </c>
      <c r="C442" t="s">
        <v>483</v>
      </c>
      <c r="D442" s="2">
        <v>1E-4</v>
      </c>
      <c r="E442" s="2">
        <v>2.0000000000000001E-4</v>
      </c>
      <c r="F442" s="2">
        <v>2.0000000000000001E-4</v>
      </c>
      <c r="G442" s="2">
        <v>2.0000000000000001E-4</v>
      </c>
    </row>
    <row r="443" spans="1:7" x14ac:dyDescent="0.3">
      <c r="A443" t="s">
        <v>1408</v>
      </c>
      <c r="B443" t="s">
        <v>1391</v>
      </c>
      <c r="C443" t="s">
        <v>484</v>
      </c>
      <c r="D443" s="2">
        <v>27.507200000000001</v>
      </c>
      <c r="E443" s="2">
        <v>26.7148</v>
      </c>
      <c r="F443" s="2">
        <v>24.7029</v>
      </c>
      <c r="G443" s="2">
        <v>28.038799999999998</v>
      </c>
    </row>
    <row r="444" spans="1:7" x14ac:dyDescent="0.3">
      <c r="A444" t="s">
        <v>1408</v>
      </c>
      <c r="B444" t="s">
        <v>1392</v>
      </c>
      <c r="C444" t="s">
        <v>485</v>
      </c>
      <c r="D444" s="2">
        <v>2.7917999999999998</v>
      </c>
      <c r="E444" s="2">
        <v>1.8313999999999999</v>
      </c>
      <c r="F444" s="2">
        <v>1.3649</v>
      </c>
      <c r="G444" s="2">
        <v>1.5958000000000001</v>
      </c>
    </row>
    <row r="445" spans="1:7" x14ac:dyDescent="0.3">
      <c r="A445" t="s">
        <v>1408</v>
      </c>
      <c r="B445" t="s">
        <v>1392</v>
      </c>
      <c r="C445" t="s">
        <v>486</v>
      </c>
      <c r="D445" s="2">
        <v>2.7631000000000001</v>
      </c>
      <c r="E445" s="2">
        <v>2.4994999999999998</v>
      </c>
      <c r="F445" s="2">
        <v>2.4159999999999999</v>
      </c>
      <c r="G445" s="2">
        <v>2.399</v>
      </c>
    </row>
    <row r="446" spans="1:7" x14ac:dyDescent="0.3">
      <c r="A446" t="s">
        <v>1408</v>
      </c>
      <c r="B446" t="s">
        <v>1392</v>
      </c>
      <c r="C446" t="s">
        <v>487</v>
      </c>
      <c r="D446" s="2">
        <v>0</v>
      </c>
      <c r="E446" s="2">
        <v>0</v>
      </c>
      <c r="F446" s="2">
        <v>0</v>
      </c>
      <c r="G446" s="2">
        <v>0</v>
      </c>
    </row>
    <row r="447" spans="1:7" x14ac:dyDescent="0.3">
      <c r="A447" t="s">
        <v>1408</v>
      </c>
      <c r="B447" t="s">
        <v>1392</v>
      </c>
      <c r="C447" t="s">
        <v>488</v>
      </c>
      <c r="D447" s="2">
        <v>61.674599999999998</v>
      </c>
      <c r="E447" s="2">
        <v>64.548100000000005</v>
      </c>
      <c r="F447" s="2">
        <v>62.260899999999999</v>
      </c>
      <c r="G447" s="2">
        <v>67.064499999999995</v>
      </c>
    </row>
    <row r="448" spans="1:7" x14ac:dyDescent="0.3">
      <c r="A448" t="s">
        <v>1408</v>
      </c>
      <c r="B448" t="s">
        <v>1392</v>
      </c>
      <c r="C448" t="s">
        <v>489</v>
      </c>
      <c r="D448" s="2">
        <v>0</v>
      </c>
      <c r="E448" s="2">
        <v>0</v>
      </c>
      <c r="F448" s="2">
        <v>0</v>
      </c>
      <c r="G448" s="2">
        <v>0</v>
      </c>
    </row>
    <row r="449" spans="1:7" x14ac:dyDescent="0.3">
      <c r="A449" t="s">
        <v>1408</v>
      </c>
      <c r="B449" t="s">
        <v>1392</v>
      </c>
      <c r="C449" t="s">
        <v>490</v>
      </c>
      <c r="D449" s="2">
        <v>0.1479</v>
      </c>
      <c r="E449" s="2">
        <v>0.15029999999999999</v>
      </c>
      <c r="F449" s="2">
        <v>0.1802</v>
      </c>
      <c r="G449" s="2">
        <v>0.23480000000000001</v>
      </c>
    </row>
    <row r="450" spans="1:7" x14ac:dyDescent="0.3">
      <c r="A450" t="s">
        <v>1408</v>
      </c>
      <c r="B450" t="s">
        <v>1392</v>
      </c>
      <c r="C450" t="s">
        <v>491</v>
      </c>
      <c r="D450" s="2">
        <v>0.66149999999999998</v>
      </c>
      <c r="E450" s="2">
        <v>0.65080000000000005</v>
      </c>
      <c r="F450" s="2">
        <v>0.76239999999999997</v>
      </c>
      <c r="G450" s="2">
        <v>0.83330000000000004</v>
      </c>
    </row>
    <row r="451" spans="1:7" x14ac:dyDescent="0.3">
      <c r="A451" t="s">
        <v>1408</v>
      </c>
      <c r="B451" t="s">
        <v>1392</v>
      </c>
      <c r="C451" t="s">
        <v>493</v>
      </c>
      <c r="D451" s="2">
        <v>0</v>
      </c>
      <c r="E451" s="2">
        <v>0</v>
      </c>
      <c r="F451" s="2">
        <v>0</v>
      </c>
      <c r="G451" s="2">
        <v>0</v>
      </c>
    </row>
    <row r="452" spans="1:7" x14ac:dyDescent="0.3">
      <c r="A452" t="s">
        <v>1408</v>
      </c>
      <c r="B452" t="s">
        <v>1392</v>
      </c>
      <c r="C452" t="s">
        <v>494</v>
      </c>
      <c r="D452" s="2">
        <v>5.4000000000000003E-3</v>
      </c>
      <c r="E452" s="2">
        <v>5.5999999999999999E-3</v>
      </c>
      <c r="F452" s="2">
        <v>5.7999999999999996E-3</v>
      </c>
      <c r="G452" s="2">
        <v>5.8999999999999999E-3</v>
      </c>
    </row>
    <row r="453" spans="1:7" x14ac:dyDescent="0.3">
      <c r="A453" t="s">
        <v>1408</v>
      </c>
      <c r="B453" t="s">
        <v>1392</v>
      </c>
      <c r="C453" t="s">
        <v>495</v>
      </c>
      <c r="D453" s="2">
        <v>0</v>
      </c>
      <c r="E453" s="2">
        <v>0</v>
      </c>
      <c r="F453" s="2">
        <v>0</v>
      </c>
      <c r="G453" s="2">
        <v>0</v>
      </c>
    </row>
    <row r="454" spans="1:7" x14ac:dyDescent="0.3">
      <c r="A454" t="s">
        <v>1408</v>
      </c>
      <c r="B454" t="s">
        <v>1393</v>
      </c>
      <c r="C454" t="s">
        <v>496</v>
      </c>
      <c r="D454" s="2">
        <v>32.308399999999999</v>
      </c>
      <c r="E454" s="2">
        <v>31.133700000000001</v>
      </c>
      <c r="F454" s="2">
        <v>25.5868</v>
      </c>
      <c r="G454" s="2">
        <v>23.459900000000001</v>
      </c>
    </row>
    <row r="455" spans="1:7" x14ac:dyDescent="0.3">
      <c r="A455" t="s">
        <v>1408</v>
      </c>
      <c r="B455" t="s">
        <v>1393</v>
      </c>
      <c r="C455" t="s">
        <v>497</v>
      </c>
      <c r="D455" s="2">
        <v>0.2485</v>
      </c>
      <c r="E455" s="2">
        <v>0.1845</v>
      </c>
      <c r="F455" s="2">
        <v>0.18629999999999999</v>
      </c>
      <c r="G455" s="2">
        <v>0.18940000000000001</v>
      </c>
    </row>
    <row r="456" spans="1:7" x14ac:dyDescent="0.3">
      <c r="A456" t="s">
        <v>1408</v>
      </c>
      <c r="B456" t="s">
        <v>1393</v>
      </c>
      <c r="C456" t="s">
        <v>498</v>
      </c>
      <c r="D456" s="2">
        <v>0</v>
      </c>
      <c r="E456" s="2">
        <v>0</v>
      </c>
      <c r="F456" s="2">
        <v>0</v>
      </c>
      <c r="G456" s="2">
        <v>0</v>
      </c>
    </row>
    <row r="457" spans="1:7" x14ac:dyDescent="0.3">
      <c r="A457" t="s">
        <v>1408</v>
      </c>
      <c r="B457" t="s">
        <v>1393</v>
      </c>
      <c r="C457" t="s">
        <v>499</v>
      </c>
      <c r="D457" s="2">
        <v>39.431699999999999</v>
      </c>
      <c r="E457" s="2">
        <v>39.6858</v>
      </c>
      <c r="F457" s="2">
        <v>38.0306</v>
      </c>
      <c r="G457" s="2">
        <v>43.536200000000001</v>
      </c>
    </row>
    <row r="458" spans="1:7" x14ac:dyDescent="0.3">
      <c r="A458" t="s">
        <v>1408</v>
      </c>
      <c r="B458" t="s">
        <v>1393</v>
      </c>
      <c r="C458" t="s">
        <v>500</v>
      </c>
      <c r="D458" s="2">
        <v>0</v>
      </c>
      <c r="E458" s="2">
        <v>0</v>
      </c>
      <c r="F458" s="2">
        <v>0</v>
      </c>
      <c r="G458" s="2">
        <v>0</v>
      </c>
    </row>
    <row r="459" spans="1:7" x14ac:dyDescent="0.3">
      <c r="A459" t="s">
        <v>1408</v>
      </c>
      <c r="B459" t="s">
        <v>1393</v>
      </c>
      <c r="C459" t="s">
        <v>501</v>
      </c>
      <c r="D459" s="2">
        <v>9.5614000000000008</v>
      </c>
      <c r="E459" s="2">
        <v>10.225</v>
      </c>
      <c r="F459" s="2">
        <v>10.086600000000001</v>
      </c>
      <c r="G459" s="2">
        <v>11.2468</v>
      </c>
    </row>
    <row r="460" spans="1:7" x14ac:dyDescent="0.3">
      <c r="A460" t="s">
        <v>1408</v>
      </c>
      <c r="B460" t="s">
        <v>1393</v>
      </c>
      <c r="C460" t="s">
        <v>502</v>
      </c>
      <c r="D460" s="2">
        <v>5.1562999999999999</v>
      </c>
      <c r="E460" s="2">
        <v>5.3282999999999996</v>
      </c>
      <c r="F460" s="2">
        <v>4.9217000000000004</v>
      </c>
      <c r="G460" s="2">
        <v>6.2617000000000003</v>
      </c>
    </row>
    <row r="461" spans="1:7" x14ac:dyDescent="0.3">
      <c r="A461" t="s">
        <v>1408</v>
      </c>
      <c r="B461" t="s">
        <v>1393</v>
      </c>
      <c r="C461" t="s">
        <v>504</v>
      </c>
      <c r="D461" s="2">
        <v>0</v>
      </c>
      <c r="E461" s="2">
        <v>0</v>
      </c>
      <c r="F461" s="2">
        <v>0</v>
      </c>
      <c r="G461" s="2">
        <v>0</v>
      </c>
    </row>
    <row r="462" spans="1:7" x14ac:dyDescent="0.3">
      <c r="A462" t="s">
        <v>1408</v>
      </c>
      <c r="B462" t="s">
        <v>1393</v>
      </c>
      <c r="C462" t="s">
        <v>505</v>
      </c>
      <c r="D462" s="2">
        <v>1.4E-3</v>
      </c>
      <c r="E462" s="2">
        <v>1.5E-3</v>
      </c>
      <c r="F462" s="2">
        <v>1.5E-3</v>
      </c>
      <c r="G462" s="2">
        <v>1.4E-3</v>
      </c>
    </row>
    <row r="463" spans="1:7" x14ac:dyDescent="0.3">
      <c r="A463" t="s">
        <v>1408</v>
      </c>
      <c r="B463" t="s">
        <v>1393</v>
      </c>
      <c r="C463" t="s">
        <v>506</v>
      </c>
      <c r="D463" s="2">
        <v>0</v>
      </c>
      <c r="E463" s="2">
        <v>0</v>
      </c>
      <c r="F463" s="2">
        <v>0</v>
      </c>
      <c r="G463" s="2">
        <v>0</v>
      </c>
    </row>
    <row r="464" spans="1:7" x14ac:dyDescent="0.3">
      <c r="A464" t="s">
        <v>1408</v>
      </c>
      <c r="B464" t="s">
        <v>1397</v>
      </c>
      <c r="C464" t="s">
        <v>507</v>
      </c>
      <c r="D464" s="2">
        <v>5.2027000000000001</v>
      </c>
      <c r="E464" s="2">
        <v>5.1546000000000003</v>
      </c>
      <c r="F464" s="2">
        <v>5.0327999999999999</v>
      </c>
      <c r="G464" s="2">
        <v>4.1307</v>
      </c>
    </row>
    <row r="465" spans="1:7" x14ac:dyDescent="0.3">
      <c r="A465" t="s">
        <v>1408</v>
      </c>
      <c r="B465" t="s">
        <v>1397</v>
      </c>
      <c r="C465" t="s">
        <v>508</v>
      </c>
      <c r="D465" s="2">
        <v>0.43059999999999998</v>
      </c>
      <c r="E465" s="2">
        <v>0.41110000000000002</v>
      </c>
      <c r="F465" s="2">
        <v>0.33800000000000002</v>
      </c>
      <c r="G465" s="2">
        <v>0.44409999999999999</v>
      </c>
    </row>
    <row r="466" spans="1:7" x14ac:dyDescent="0.3">
      <c r="A466" t="s">
        <v>1408</v>
      </c>
      <c r="B466" t="s">
        <v>1397</v>
      </c>
      <c r="C466" t="s">
        <v>509</v>
      </c>
      <c r="D466" s="2">
        <v>0</v>
      </c>
      <c r="E466" s="2">
        <v>0</v>
      </c>
      <c r="F466" s="2">
        <v>0</v>
      </c>
      <c r="G466" s="2">
        <v>0</v>
      </c>
    </row>
    <row r="467" spans="1:7" x14ac:dyDescent="0.3">
      <c r="A467" t="s">
        <v>1408</v>
      </c>
      <c r="B467" t="s">
        <v>1397</v>
      </c>
      <c r="C467" t="s">
        <v>510</v>
      </c>
      <c r="D467" s="2">
        <v>18.738299999999999</v>
      </c>
      <c r="E467" s="2">
        <v>19.034400000000002</v>
      </c>
      <c r="F467" s="2">
        <v>17.834900000000001</v>
      </c>
      <c r="G467" s="2">
        <v>20.316199999999998</v>
      </c>
    </row>
    <row r="468" spans="1:7" x14ac:dyDescent="0.3">
      <c r="A468" t="s">
        <v>1408</v>
      </c>
      <c r="B468" t="s">
        <v>1397</v>
      </c>
      <c r="C468" t="s">
        <v>511</v>
      </c>
      <c r="D468" s="2">
        <v>0</v>
      </c>
      <c r="E468" s="2">
        <v>0</v>
      </c>
      <c r="F468" s="2">
        <v>0</v>
      </c>
      <c r="G468" s="2">
        <v>0</v>
      </c>
    </row>
    <row r="469" spans="1:7" x14ac:dyDescent="0.3">
      <c r="A469" t="s">
        <v>1408</v>
      </c>
      <c r="B469" t="s">
        <v>1397</v>
      </c>
      <c r="C469" t="s">
        <v>512</v>
      </c>
      <c r="D469" s="2">
        <v>7.5918999999999999</v>
      </c>
      <c r="E469" s="2">
        <v>7.6028000000000002</v>
      </c>
      <c r="F469" s="2">
        <v>7.6524000000000001</v>
      </c>
      <c r="G469" s="2">
        <v>7.6559999999999997</v>
      </c>
    </row>
    <row r="470" spans="1:7" x14ac:dyDescent="0.3">
      <c r="A470" t="s">
        <v>1408</v>
      </c>
      <c r="B470" t="s">
        <v>1397</v>
      </c>
      <c r="C470" t="s">
        <v>513</v>
      </c>
      <c r="D470" s="2">
        <v>9.4031000000000002</v>
      </c>
      <c r="E470" s="2">
        <v>10.108599999999999</v>
      </c>
      <c r="F470" s="2">
        <v>9.2792999999999992</v>
      </c>
      <c r="G470" s="2">
        <v>10.7704</v>
      </c>
    </row>
    <row r="471" spans="1:7" x14ac:dyDescent="0.3">
      <c r="A471" t="s">
        <v>1408</v>
      </c>
      <c r="B471" t="s">
        <v>1397</v>
      </c>
      <c r="C471" t="s">
        <v>515</v>
      </c>
      <c r="D471" s="2">
        <v>0</v>
      </c>
      <c r="E471" s="2">
        <v>0</v>
      </c>
      <c r="F471" s="2">
        <v>0</v>
      </c>
      <c r="G471" s="2">
        <v>0</v>
      </c>
    </row>
    <row r="472" spans="1:7" x14ac:dyDescent="0.3">
      <c r="A472" t="s">
        <v>1408</v>
      </c>
      <c r="B472" t="s">
        <v>1397</v>
      </c>
      <c r="C472" t="s">
        <v>516</v>
      </c>
      <c r="D472" s="2">
        <v>3.0200000000000001E-2</v>
      </c>
      <c r="E472" s="2">
        <v>3.0200000000000001E-2</v>
      </c>
      <c r="F472" s="2">
        <v>3.0099999999999998E-2</v>
      </c>
      <c r="G472" s="2">
        <v>2.98E-2</v>
      </c>
    </row>
    <row r="473" spans="1:7" x14ac:dyDescent="0.3">
      <c r="A473" t="s">
        <v>1408</v>
      </c>
      <c r="B473" t="s">
        <v>1397</v>
      </c>
      <c r="C473" t="s">
        <v>517</v>
      </c>
      <c r="D473" s="2">
        <v>0</v>
      </c>
      <c r="E473" s="2">
        <v>0</v>
      </c>
      <c r="F473" s="2">
        <v>0</v>
      </c>
      <c r="G473" s="2">
        <v>0</v>
      </c>
    </row>
    <row r="474" spans="1:7" x14ac:dyDescent="0.3">
      <c r="A474" t="s">
        <v>1408</v>
      </c>
      <c r="B474" t="s">
        <v>1395</v>
      </c>
      <c r="C474" t="s">
        <v>518</v>
      </c>
      <c r="D474" s="2">
        <v>17.078399999999998</v>
      </c>
      <c r="E474" s="2">
        <v>17.702300000000001</v>
      </c>
      <c r="F474" s="2">
        <v>15.025</v>
      </c>
      <c r="G474" s="2">
        <v>14.972300000000001</v>
      </c>
    </row>
    <row r="475" spans="1:7" x14ac:dyDescent="0.3">
      <c r="A475" t="s">
        <v>1408</v>
      </c>
      <c r="B475" t="s">
        <v>1395</v>
      </c>
      <c r="C475" t="s">
        <v>519</v>
      </c>
      <c r="D475" s="2">
        <v>0.187</v>
      </c>
      <c r="E475" s="2">
        <v>1.0999999999999999E-2</v>
      </c>
      <c r="F475" s="2">
        <v>1.0999999999999999E-2</v>
      </c>
      <c r="G475" s="2">
        <v>2.1899999999999999E-2</v>
      </c>
    </row>
    <row r="476" spans="1:7" x14ac:dyDescent="0.3">
      <c r="A476" t="s">
        <v>1408</v>
      </c>
      <c r="B476" t="s">
        <v>1395</v>
      </c>
      <c r="C476" t="s">
        <v>520</v>
      </c>
      <c r="D476" s="2">
        <v>0</v>
      </c>
      <c r="E476" s="2">
        <v>0</v>
      </c>
      <c r="F476" s="2">
        <v>0</v>
      </c>
      <c r="G476" s="2">
        <v>0</v>
      </c>
    </row>
    <row r="477" spans="1:7" x14ac:dyDescent="0.3">
      <c r="A477" t="s">
        <v>1408</v>
      </c>
      <c r="B477" t="s">
        <v>1395</v>
      </c>
      <c r="C477" t="s">
        <v>521</v>
      </c>
      <c r="D477" s="2">
        <v>55.162700000000001</v>
      </c>
      <c r="E477" s="2">
        <v>58.705399999999997</v>
      </c>
      <c r="F477" s="2">
        <v>54.674900000000001</v>
      </c>
      <c r="G477" s="2">
        <v>58.343299999999999</v>
      </c>
    </row>
    <row r="478" spans="1:7" x14ac:dyDescent="0.3">
      <c r="A478" t="s">
        <v>1408</v>
      </c>
      <c r="B478" t="s">
        <v>1395</v>
      </c>
      <c r="C478" t="s">
        <v>522</v>
      </c>
      <c r="D478" s="2">
        <v>0</v>
      </c>
      <c r="E478" s="2">
        <v>0</v>
      </c>
      <c r="F478" s="2">
        <v>0</v>
      </c>
      <c r="G478" s="2">
        <v>0</v>
      </c>
    </row>
    <row r="479" spans="1:7" x14ac:dyDescent="0.3">
      <c r="A479" t="s">
        <v>1408</v>
      </c>
      <c r="B479" t="s">
        <v>1395</v>
      </c>
      <c r="C479" t="s">
        <v>523</v>
      </c>
      <c r="D479" s="2">
        <v>24.196200000000001</v>
      </c>
      <c r="E479" s="2">
        <v>26.956299999999999</v>
      </c>
      <c r="F479" s="2">
        <v>21.260400000000001</v>
      </c>
      <c r="G479" s="2">
        <v>22.3095</v>
      </c>
    </row>
    <row r="480" spans="1:7" x14ac:dyDescent="0.3">
      <c r="A480" t="s">
        <v>1408</v>
      </c>
      <c r="B480" t="s">
        <v>1395</v>
      </c>
      <c r="C480" t="s">
        <v>524</v>
      </c>
      <c r="D480" s="2">
        <v>35.847200000000001</v>
      </c>
      <c r="E480" s="2">
        <v>34.073399999999999</v>
      </c>
      <c r="F480" s="2">
        <v>30.613900000000001</v>
      </c>
      <c r="G480" s="2">
        <v>32.594999999999999</v>
      </c>
    </row>
    <row r="481" spans="1:7" x14ac:dyDescent="0.3">
      <c r="A481" t="s">
        <v>1408</v>
      </c>
      <c r="B481" t="s">
        <v>1395</v>
      </c>
      <c r="C481" t="s">
        <v>526</v>
      </c>
      <c r="D481" s="2">
        <v>0</v>
      </c>
      <c r="E481" s="2">
        <v>0</v>
      </c>
      <c r="F481" s="2">
        <v>0</v>
      </c>
      <c r="G481" s="2">
        <v>0</v>
      </c>
    </row>
    <row r="482" spans="1:7" x14ac:dyDescent="0.3">
      <c r="A482" t="s">
        <v>1408</v>
      </c>
      <c r="B482" t="s">
        <v>1395</v>
      </c>
      <c r="C482" t="s">
        <v>527</v>
      </c>
      <c r="D482" s="2">
        <v>5.3100000000000001E-2</v>
      </c>
      <c r="E482" s="2">
        <v>5.4800000000000001E-2</v>
      </c>
      <c r="F482" s="2">
        <v>5.5199999999999999E-2</v>
      </c>
      <c r="G482" s="2">
        <v>5.5800000000000002E-2</v>
      </c>
    </row>
    <row r="483" spans="1:7" x14ac:dyDescent="0.3">
      <c r="A483" t="s">
        <v>1408</v>
      </c>
      <c r="B483" t="s">
        <v>1395</v>
      </c>
      <c r="C483" t="s">
        <v>528</v>
      </c>
      <c r="D483" s="2">
        <v>0</v>
      </c>
      <c r="E483" s="2">
        <v>0</v>
      </c>
      <c r="F483" s="2">
        <v>0</v>
      </c>
      <c r="G483" s="2">
        <v>0</v>
      </c>
    </row>
    <row r="484" spans="1:7" x14ac:dyDescent="0.3">
      <c r="A484" t="s">
        <v>1409</v>
      </c>
      <c r="B484" t="s">
        <v>1391</v>
      </c>
      <c r="C484" t="s">
        <v>529</v>
      </c>
      <c r="D484" s="2">
        <v>1.9708000000000001</v>
      </c>
      <c r="E484" s="2">
        <v>0.28799999999999998</v>
      </c>
      <c r="F484" s="2">
        <v>0.17080000000000001</v>
      </c>
      <c r="G484" s="2">
        <v>0.15620000000000001</v>
      </c>
    </row>
    <row r="485" spans="1:7" x14ac:dyDescent="0.3">
      <c r="A485" t="s">
        <v>1409</v>
      </c>
      <c r="B485" t="s">
        <v>1391</v>
      </c>
      <c r="C485" t="s">
        <v>530</v>
      </c>
      <c r="D485" s="2">
        <v>0.62170000000000003</v>
      </c>
      <c r="E485" s="2">
        <v>0.60570000000000002</v>
      </c>
      <c r="F485" s="2">
        <v>0.62170000000000003</v>
      </c>
      <c r="G485" s="2">
        <v>0.69910000000000005</v>
      </c>
    </row>
    <row r="486" spans="1:7" x14ac:dyDescent="0.3">
      <c r="A486" t="s">
        <v>1409</v>
      </c>
      <c r="B486" t="s">
        <v>1391</v>
      </c>
      <c r="C486" t="s">
        <v>531</v>
      </c>
      <c r="D486" s="2">
        <v>0</v>
      </c>
      <c r="E486" s="2">
        <v>0</v>
      </c>
      <c r="F486" s="2">
        <v>0</v>
      </c>
      <c r="G486" s="2">
        <v>0</v>
      </c>
    </row>
    <row r="487" spans="1:7" x14ac:dyDescent="0.3">
      <c r="A487" t="s">
        <v>1409</v>
      </c>
      <c r="B487" t="s">
        <v>1391</v>
      </c>
      <c r="C487" t="s">
        <v>532</v>
      </c>
      <c r="D487" s="2">
        <v>4.0195999999999996</v>
      </c>
      <c r="E487" s="2">
        <v>5.6022999999999996</v>
      </c>
      <c r="F487" s="2">
        <v>5.4721000000000002</v>
      </c>
      <c r="G487" s="2">
        <v>6.1483999999999996</v>
      </c>
    </row>
    <row r="488" spans="1:7" x14ac:dyDescent="0.3">
      <c r="A488" t="s">
        <v>1409</v>
      </c>
      <c r="B488" t="s">
        <v>1391</v>
      </c>
      <c r="C488" t="s">
        <v>533</v>
      </c>
      <c r="D488" s="2">
        <v>0</v>
      </c>
      <c r="E488" s="2">
        <v>0</v>
      </c>
      <c r="F488" s="2">
        <v>0</v>
      </c>
      <c r="G488" s="2">
        <v>0</v>
      </c>
    </row>
    <row r="489" spans="1:7" x14ac:dyDescent="0.3">
      <c r="A489" t="s">
        <v>1409</v>
      </c>
      <c r="B489" t="s">
        <v>1391</v>
      </c>
      <c r="C489" t="s">
        <v>534</v>
      </c>
      <c r="D489" s="2">
        <v>4.0000000000000002E-4</v>
      </c>
      <c r="E489" s="2">
        <v>0</v>
      </c>
      <c r="F489" s="2">
        <v>0</v>
      </c>
      <c r="G489" s="2">
        <v>0</v>
      </c>
    </row>
    <row r="490" spans="1:7" x14ac:dyDescent="0.3">
      <c r="A490" t="s">
        <v>1409</v>
      </c>
      <c r="B490" t="s">
        <v>1391</v>
      </c>
      <c r="C490" t="s">
        <v>535</v>
      </c>
      <c r="D490" s="2">
        <v>8.5023999999999997</v>
      </c>
      <c r="E490" s="2">
        <v>8.5383999999999993</v>
      </c>
      <c r="F490" s="2">
        <v>8.5332000000000008</v>
      </c>
      <c r="G490" s="2">
        <v>9.7418999999999993</v>
      </c>
    </row>
    <row r="491" spans="1:7" x14ac:dyDescent="0.3">
      <c r="A491" t="s">
        <v>1409</v>
      </c>
      <c r="B491" t="s">
        <v>1391</v>
      </c>
      <c r="C491" t="s">
        <v>537</v>
      </c>
      <c r="D491" s="2">
        <v>0</v>
      </c>
      <c r="E491" s="2">
        <v>0</v>
      </c>
      <c r="F491" s="2">
        <v>0</v>
      </c>
      <c r="G491" s="2">
        <v>0</v>
      </c>
    </row>
    <row r="492" spans="1:7" x14ac:dyDescent="0.3">
      <c r="A492" t="s">
        <v>1409</v>
      </c>
      <c r="B492" t="s">
        <v>1391</v>
      </c>
      <c r="C492" t="s">
        <v>538</v>
      </c>
      <c r="D492" s="2">
        <v>0</v>
      </c>
      <c r="E492" s="2">
        <v>0</v>
      </c>
      <c r="F492" s="2">
        <v>0</v>
      </c>
      <c r="G492" s="2">
        <v>0</v>
      </c>
    </row>
    <row r="493" spans="1:7" x14ac:dyDescent="0.3">
      <c r="A493" t="s">
        <v>1409</v>
      </c>
      <c r="B493" t="s">
        <v>1391</v>
      </c>
      <c r="C493" t="s">
        <v>539</v>
      </c>
      <c r="D493" s="2">
        <v>5.7525000000000004</v>
      </c>
      <c r="E493" s="2">
        <v>5.6932</v>
      </c>
      <c r="F493" s="2">
        <v>5.3023999999999996</v>
      </c>
      <c r="G493" s="2">
        <v>6.1109999999999998</v>
      </c>
    </row>
    <row r="494" spans="1:7" x14ac:dyDescent="0.3">
      <c r="A494" t="s">
        <v>1409</v>
      </c>
      <c r="B494" t="s">
        <v>1392</v>
      </c>
      <c r="C494" t="s">
        <v>540</v>
      </c>
      <c r="D494" s="2">
        <v>5.9158999999999997</v>
      </c>
      <c r="E494" s="2">
        <v>6.0071000000000003</v>
      </c>
      <c r="F494" s="2">
        <v>5.7397</v>
      </c>
      <c r="G494" s="2">
        <v>5.7281000000000004</v>
      </c>
    </row>
    <row r="495" spans="1:7" x14ac:dyDescent="0.3">
      <c r="A495" t="s">
        <v>1409</v>
      </c>
      <c r="B495" t="s">
        <v>1392</v>
      </c>
      <c r="C495" t="s">
        <v>541</v>
      </c>
      <c r="D495" s="2">
        <v>0</v>
      </c>
      <c r="E495" s="2">
        <v>0</v>
      </c>
      <c r="F495" s="2">
        <v>0</v>
      </c>
      <c r="G495" s="2">
        <v>0</v>
      </c>
    </row>
    <row r="496" spans="1:7" x14ac:dyDescent="0.3">
      <c r="A496" t="s">
        <v>1409</v>
      </c>
      <c r="B496" t="s">
        <v>1392</v>
      </c>
      <c r="C496" t="s">
        <v>542</v>
      </c>
      <c r="D496" s="2">
        <v>0</v>
      </c>
      <c r="E496" s="2">
        <v>0</v>
      </c>
      <c r="F496" s="2">
        <v>0</v>
      </c>
      <c r="G496" s="2">
        <v>0</v>
      </c>
    </row>
    <row r="497" spans="1:7" x14ac:dyDescent="0.3">
      <c r="A497" t="s">
        <v>1409</v>
      </c>
      <c r="B497" t="s">
        <v>1392</v>
      </c>
      <c r="C497" t="s">
        <v>543</v>
      </c>
      <c r="D497" s="2">
        <v>1.6282000000000001</v>
      </c>
      <c r="E497" s="2">
        <v>1.3626</v>
      </c>
      <c r="F497" s="2">
        <v>1.3671</v>
      </c>
      <c r="G497" s="2">
        <v>1.3483000000000001</v>
      </c>
    </row>
    <row r="498" spans="1:7" x14ac:dyDescent="0.3">
      <c r="A498" t="s">
        <v>1409</v>
      </c>
      <c r="B498" t="s">
        <v>1392</v>
      </c>
      <c r="C498" t="s">
        <v>544</v>
      </c>
      <c r="D498" s="2">
        <v>0</v>
      </c>
      <c r="E498" s="2">
        <v>0</v>
      </c>
      <c r="F498" s="2">
        <v>0</v>
      </c>
      <c r="G498" s="2">
        <v>0</v>
      </c>
    </row>
    <row r="499" spans="1:7" x14ac:dyDescent="0.3">
      <c r="A499" t="s">
        <v>1409</v>
      </c>
      <c r="B499" t="s">
        <v>1392</v>
      </c>
      <c r="C499" t="s">
        <v>545</v>
      </c>
      <c r="D499" s="2">
        <v>0.45960000000000001</v>
      </c>
      <c r="E499" s="2">
        <v>0.40460000000000002</v>
      </c>
      <c r="F499" s="2">
        <v>0.36709999999999998</v>
      </c>
      <c r="G499" s="2">
        <v>0.38919999999999999</v>
      </c>
    </row>
    <row r="500" spans="1:7" x14ac:dyDescent="0.3">
      <c r="A500" t="s">
        <v>1409</v>
      </c>
      <c r="B500" t="s">
        <v>1392</v>
      </c>
      <c r="C500" t="s">
        <v>546</v>
      </c>
      <c r="D500" s="2">
        <v>2.5459999999999998</v>
      </c>
      <c r="E500" s="2">
        <v>2.5171999999999999</v>
      </c>
      <c r="F500" s="2">
        <v>2.4411999999999998</v>
      </c>
      <c r="G500" s="2">
        <v>2.6410999999999998</v>
      </c>
    </row>
    <row r="501" spans="1:7" x14ac:dyDescent="0.3">
      <c r="A501" t="s">
        <v>1409</v>
      </c>
      <c r="B501" t="s">
        <v>1392</v>
      </c>
      <c r="C501" t="s">
        <v>548</v>
      </c>
      <c r="D501" s="2">
        <v>0</v>
      </c>
      <c r="E501" s="2">
        <v>0</v>
      </c>
      <c r="F501" s="2">
        <v>0</v>
      </c>
      <c r="G501" s="2">
        <v>0</v>
      </c>
    </row>
    <row r="502" spans="1:7" x14ac:dyDescent="0.3">
      <c r="A502" t="s">
        <v>1409</v>
      </c>
      <c r="B502" t="s">
        <v>1392</v>
      </c>
      <c r="C502" t="s">
        <v>549</v>
      </c>
      <c r="D502" s="2">
        <v>0</v>
      </c>
      <c r="E502" s="2">
        <v>0</v>
      </c>
      <c r="F502" s="2">
        <v>0</v>
      </c>
      <c r="G502" s="2">
        <v>0</v>
      </c>
    </row>
    <row r="503" spans="1:7" x14ac:dyDescent="0.3">
      <c r="A503" t="s">
        <v>1409</v>
      </c>
      <c r="B503" t="s">
        <v>1392</v>
      </c>
      <c r="C503" t="s">
        <v>550</v>
      </c>
      <c r="D503" s="2">
        <v>8.4930000000000003</v>
      </c>
      <c r="E503" s="2">
        <v>8.1857000000000006</v>
      </c>
      <c r="F503" s="2">
        <v>7.9551999999999996</v>
      </c>
      <c r="G503" s="2">
        <v>8.1308000000000007</v>
      </c>
    </row>
    <row r="504" spans="1:7" x14ac:dyDescent="0.3">
      <c r="A504" t="s">
        <v>1409</v>
      </c>
      <c r="B504" t="s">
        <v>1406</v>
      </c>
      <c r="C504" t="s">
        <v>551</v>
      </c>
      <c r="D504" s="2">
        <v>0.1477</v>
      </c>
      <c r="E504" s="2">
        <v>0.10580000000000001</v>
      </c>
      <c r="F504" s="2">
        <v>6.2899999999999998E-2</v>
      </c>
      <c r="G504" s="2">
        <v>6.8699999999999997E-2</v>
      </c>
    </row>
    <row r="505" spans="1:7" x14ac:dyDescent="0.3">
      <c r="A505" t="s">
        <v>1409</v>
      </c>
      <c r="B505" t="s">
        <v>1406</v>
      </c>
      <c r="C505" t="s">
        <v>552</v>
      </c>
      <c r="D505" s="2">
        <v>6.6600000000000006E-2</v>
      </c>
      <c r="E505" s="2">
        <v>3.1899999999999998E-2</v>
      </c>
      <c r="F505" s="2">
        <v>1.7000000000000001E-2</v>
      </c>
      <c r="G505" s="2">
        <v>2.5899999999999999E-2</v>
      </c>
    </row>
    <row r="506" spans="1:7" x14ac:dyDescent="0.3">
      <c r="A506" t="s">
        <v>1409</v>
      </c>
      <c r="B506" t="s">
        <v>1406</v>
      </c>
      <c r="C506" t="s">
        <v>553</v>
      </c>
      <c r="D506" s="2">
        <v>0</v>
      </c>
      <c r="E506" s="2">
        <v>0</v>
      </c>
      <c r="F506" s="2">
        <v>0</v>
      </c>
      <c r="G506" s="2">
        <v>0</v>
      </c>
    </row>
    <row r="507" spans="1:7" x14ac:dyDescent="0.3">
      <c r="A507" t="s">
        <v>1409</v>
      </c>
      <c r="B507" t="s">
        <v>1406</v>
      </c>
      <c r="C507" t="s">
        <v>554</v>
      </c>
      <c r="D507" s="2">
        <v>0</v>
      </c>
      <c r="E507" s="2">
        <v>3.3E-3</v>
      </c>
      <c r="F507" s="2">
        <v>2.7000000000000001E-3</v>
      </c>
      <c r="G507" s="2">
        <v>2.7000000000000001E-3</v>
      </c>
    </row>
    <row r="508" spans="1:7" x14ac:dyDescent="0.3">
      <c r="A508" t="s">
        <v>1409</v>
      </c>
      <c r="B508" t="s">
        <v>1406</v>
      </c>
      <c r="C508" t="s">
        <v>555</v>
      </c>
      <c r="D508" s="2">
        <v>0</v>
      </c>
      <c r="E508" s="2">
        <v>0</v>
      </c>
      <c r="F508" s="2">
        <v>0</v>
      </c>
      <c r="G508" s="2">
        <v>0</v>
      </c>
    </row>
    <row r="509" spans="1:7" x14ac:dyDescent="0.3">
      <c r="A509" t="s">
        <v>1409</v>
      </c>
      <c r="B509" t="s">
        <v>1406</v>
      </c>
      <c r="C509" t="s">
        <v>556</v>
      </c>
      <c r="D509" s="2">
        <v>3.4178000000000002</v>
      </c>
      <c r="E509" s="2">
        <v>3.2241</v>
      </c>
      <c r="F509" s="2">
        <v>3.3338000000000001</v>
      </c>
      <c r="G509" s="2">
        <v>3.7730000000000001</v>
      </c>
    </row>
    <row r="510" spans="1:7" x14ac:dyDescent="0.3">
      <c r="A510" t="s">
        <v>1409</v>
      </c>
      <c r="B510" t="s">
        <v>1406</v>
      </c>
      <c r="C510" t="s">
        <v>557</v>
      </c>
      <c r="D510" s="2">
        <v>0.3921</v>
      </c>
      <c r="E510" s="2">
        <v>0.37080000000000002</v>
      </c>
      <c r="F510" s="2">
        <v>0.36459999999999998</v>
      </c>
      <c r="G510" s="2">
        <v>0.39350000000000002</v>
      </c>
    </row>
    <row r="511" spans="1:7" x14ac:dyDescent="0.3">
      <c r="A511" t="s">
        <v>1409</v>
      </c>
      <c r="B511" t="s">
        <v>1406</v>
      </c>
      <c r="C511" t="s">
        <v>559</v>
      </c>
      <c r="D511" s="2">
        <v>0</v>
      </c>
      <c r="E511" s="2">
        <v>0</v>
      </c>
      <c r="F511" s="2">
        <v>0</v>
      </c>
      <c r="G511" s="2">
        <v>0</v>
      </c>
    </row>
    <row r="512" spans="1:7" x14ac:dyDescent="0.3">
      <c r="A512" t="s">
        <v>1409</v>
      </c>
      <c r="B512" t="s">
        <v>1406</v>
      </c>
      <c r="C512" t="s">
        <v>560</v>
      </c>
      <c r="D512" s="2">
        <v>0</v>
      </c>
      <c r="E512" s="2">
        <v>0</v>
      </c>
      <c r="F512" s="2">
        <v>0</v>
      </c>
      <c r="G512" s="2">
        <v>0</v>
      </c>
    </row>
    <row r="513" spans="1:7" x14ac:dyDescent="0.3">
      <c r="A513" t="s">
        <v>1409</v>
      </c>
      <c r="B513" t="s">
        <v>1406</v>
      </c>
      <c r="C513" t="s">
        <v>561</v>
      </c>
      <c r="D513" s="2">
        <v>3.7837000000000001</v>
      </c>
      <c r="E513" s="2">
        <v>3.6551999999999998</v>
      </c>
      <c r="F513" s="2">
        <v>3.6920000000000002</v>
      </c>
      <c r="G513" s="2">
        <v>3.6707000000000001</v>
      </c>
    </row>
    <row r="514" spans="1:7" x14ac:dyDescent="0.3">
      <c r="A514" t="s">
        <v>1409</v>
      </c>
      <c r="B514" t="s">
        <v>1394</v>
      </c>
      <c r="C514" t="s">
        <v>562</v>
      </c>
      <c r="D514" s="2">
        <v>4.3974000000000002</v>
      </c>
      <c r="E514" s="2">
        <v>4.0660999999999996</v>
      </c>
      <c r="F514" s="2">
        <v>2.956</v>
      </c>
      <c r="G514" s="2">
        <v>2.9108999999999998</v>
      </c>
    </row>
    <row r="515" spans="1:7" x14ac:dyDescent="0.3">
      <c r="A515" t="s">
        <v>1409</v>
      </c>
      <c r="B515" t="s">
        <v>1394</v>
      </c>
      <c r="C515" t="s">
        <v>563</v>
      </c>
      <c r="D515" s="2">
        <v>4.9829999999999997</v>
      </c>
      <c r="E515" s="2">
        <v>4.8262</v>
      </c>
      <c r="F515" s="2">
        <v>3.8792</v>
      </c>
      <c r="G515" s="2">
        <v>3.8260999999999998</v>
      </c>
    </row>
    <row r="516" spans="1:7" x14ac:dyDescent="0.3">
      <c r="A516" t="s">
        <v>1409</v>
      </c>
      <c r="B516" t="s">
        <v>1394</v>
      </c>
      <c r="C516" t="s">
        <v>564</v>
      </c>
      <c r="D516" s="2">
        <v>0</v>
      </c>
      <c r="E516" s="2">
        <v>0</v>
      </c>
      <c r="F516" s="2">
        <v>0</v>
      </c>
      <c r="G516" s="2">
        <v>0</v>
      </c>
    </row>
    <row r="517" spans="1:7" x14ac:dyDescent="0.3">
      <c r="A517" t="s">
        <v>1409</v>
      </c>
      <c r="B517" t="s">
        <v>1394</v>
      </c>
      <c r="C517" t="s">
        <v>565</v>
      </c>
      <c r="D517" s="2">
        <v>13.299099999999999</v>
      </c>
      <c r="E517" s="2">
        <v>13.7187</v>
      </c>
      <c r="F517" s="2">
        <v>13.327999999999999</v>
      </c>
      <c r="G517" s="2">
        <v>15.016500000000001</v>
      </c>
    </row>
    <row r="518" spans="1:7" x14ac:dyDescent="0.3">
      <c r="A518" t="s">
        <v>1409</v>
      </c>
      <c r="B518" t="s">
        <v>1394</v>
      </c>
      <c r="C518" t="s">
        <v>566</v>
      </c>
      <c r="D518" s="2">
        <v>0</v>
      </c>
      <c r="E518" s="2">
        <v>0</v>
      </c>
      <c r="F518" s="2">
        <v>0</v>
      </c>
      <c r="G518" s="2">
        <v>0</v>
      </c>
    </row>
    <row r="519" spans="1:7" x14ac:dyDescent="0.3">
      <c r="A519" t="s">
        <v>1409</v>
      </c>
      <c r="B519" t="s">
        <v>1394</v>
      </c>
      <c r="C519" t="s">
        <v>567</v>
      </c>
      <c r="D519" s="2">
        <v>100.1289</v>
      </c>
      <c r="E519" s="2">
        <v>102.7257</v>
      </c>
      <c r="F519" s="2">
        <v>95.065899999999999</v>
      </c>
      <c r="G519" s="2">
        <v>99.424099999999996</v>
      </c>
    </row>
    <row r="520" spans="1:7" x14ac:dyDescent="0.3">
      <c r="A520" t="s">
        <v>1409</v>
      </c>
      <c r="B520" t="s">
        <v>1394</v>
      </c>
      <c r="C520" t="s">
        <v>568</v>
      </c>
      <c r="D520" s="2">
        <v>24.278500000000001</v>
      </c>
      <c r="E520" s="2">
        <v>23.256599999999999</v>
      </c>
      <c r="F520" s="2">
        <v>19.7363</v>
      </c>
      <c r="G520" s="2">
        <v>21.157900000000001</v>
      </c>
    </row>
    <row r="521" spans="1:7" x14ac:dyDescent="0.3">
      <c r="A521" t="s">
        <v>1409</v>
      </c>
      <c r="B521" t="s">
        <v>1394</v>
      </c>
      <c r="C521" t="s">
        <v>570</v>
      </c>
      <c r="D521" s="2">
        <v>0</v>
      </c>
      <c r="E521" s="2">
        <v>0</v>
      </c>
      <c r="F521" s="2">
        <v>0</v>
      </c>
      <c r="G521" s="2">
        <v>0</v>
      </c>
    </row>
    <row r="522" spans="1:7" x14ac:dyDescent="0.3">
      <c r="A522" t="s">
        <v>1409</v>
      </c>
      <c r="B522" t="s">
        <v>1394</v>
      </c>
      <c r="C522" t="s">
        <v>571</v>
      </c>
      <c r="D522" s="2">
        <v>0</v>
      </c>
      <c r="E522" s="2">
        <v>0</v>
      </c>
      <c r="F522" s="2">
        <v>0</v>
      </c>
      <c r="G522" s="2">
        <v>0</v>
      </c>
    </row>
    <row r="523" spans="1:7" x14ac:dyDescent="0.3">
      <c r="A523" t="s">
        <v>1409</v>
      </c>
      <c r="B523" t="s">
        <v>1394</v>
      </c>
      <c r="C523" t="s">
        <v>572</v>
      </c>
      <c r="D523" s="2">
        <v>9.5581999999999994</v>
      </c>
      <c r="E523" s="2">
        <v>9.5137999999999998</v>
      </c>
      <c r="F523" s="2">
        <v>8.6691000000000003</v>
      </c>
      <c r="G523" s="2">
        <v>9.3640000000000008</v>
      </c>
    </row>
    <row r="524" spans="1:7" x14ac:dyDescent="0.3">
      <c r="A524" t="s">
        <v>1409</v>
      </c>
      <c r="B524" t="s">
        <v>1395</v>
      </c>
      <c r="C524" t="s">
        <v>573</v>
      </c>
      <c r="D524" s="2">
        <v>10.188000000000001</v>
      </c>
      <c r="E524" s="2">
        <v>10.1211</v>
      </c>
      <c r="F524" s="2">
        <v>9.8045000000000009</v>
      </c>
      <c r="G524" s="2">
        <v>9.9610000000000003</v>
      </c>
    </row>
    <row r="525" spans="1:7" x14ac:dyDescent="0.3">
      <c r="A525" t="s">
        <v>1409</v>
      </c>
      <c r="B525" t="s">
        <v>1395</v>
      </c>
      <c r="C525" t="s">
        <v>574</v>
      </c>
      <c r="D525" s="2">
        <v>1.2076</v>
      </c>
      <c r="E525" s="2">
        <v>1.1009</v>
      </c>
      <c r="F525" s="2">
        <v>0.83440000000000003</v>
      </c>
      <c r="G525" s="2">
        <v>0.82099999999999995</v>
      </c>
    </row>
    <row r="526" spans="1:7" x14ac:dyDescent="0.3">
      <c r="A526" t="s">
        <v>1409</v>
      </c>
      <c r="B526" t="s">
        <v>1395</v>
      </c>
      <c r="C526" t="s">
        <v>575</v>
      </c>
      <c r="D526" s="2">
        <v>0</v>
      </c>
      <c r="E526" s="2">
        <v>0</v>
      </c>
      <c r="F526" s="2">
        <v>0</v>
      </c>
      <c r="G526" s="2">
        <v>0</v>
      </c>
    </row>
    <row r="527" spans="1:7" x14ac:dyDescent="0.3">
      <c r="A527" t="s">
        <v>1409</v>
      </c>
      <c r="B527" t="s">
        <v>1395</v>
      </c>
      <c r="C527" t="s">
        <v>576</v>
      </c>
      <c r="D527" s="2">
        <v>1.8754999999999999</v>
      </c>
      <c r="E527" s="2">
        <v>1.9731000000000001</v>
      </c>
      <c r="F527" s="2">
        <v>1.9629000000000001</v>
      </c>
      <c r="G527" s="2">
        <v>2.2336</v>
      </c>
    </row>
    <row r="528" spans="1:7" x14ac:dyDescent="0.3">
      <c r="A528" t="s">
        <v>1409</v>
      </c>
      <c r="B528" t="s">
        <v>1395</v>
      </c>
      <c r="C528" t="s">
        <v>577</v>
      </c>
      <c r="D528" s="2">
        <v>0</v>
      </c>
      <c r="E528" s="2">
        <v>0</v>
      </c>
      <c r="F528" s="2">
        <v>0</v>
      </c>
      <c r="G528" s="2">
        <v>0</v>
      </c>
    </row>
    <row r="529" spans="1:7" x14ac:dyDescent="0.3">
      <c r="A529" t="s">
        <v>1409</v>
      </c>
      <c r="B529" t="s">
        <v>1395</v>
      </c>
      <c r="C529" t="s">
        <v>578</v>
      </c>
      <c r="D529" s="2">
        <v>1.1954</v>
      </c>
      <c r="E529" s="2">
        <v>1.1558999999999999</v>
      </c>
      <c r="F529" s="2">
        <v>1.2658</v>
      </c>
      <c r="G529" s="2">
        <v>1.2323999999999999</v>
      </c>
    </row>
    <row r="530" spans="1:7" x14ac:dyDescent="0.3">
      <c r="A530" t="s">
        <v>1409</v>
      </c>
      <c r="B530" t="s">
        <v>1395</v>
      </c>
      <c r="C530" t="s">
        <v>579</v>
      </c>
      <c r="D530" s="2">
        <v>9.8935999999999993</v>
      </c>
      <c r="E530" s="2">
        <v>9.7738999999999994</v>
      </c>
      <c r="F530" s="2">
        <v>9.8697999999999997</v>
      </c>
      <c r="G530" s="2">
        <v>10.1312</v>
      </c>
    </row>
    <row r="531" spans="1:7" x14ac:dyDescent="0.3">
      <c r="A531" t="s">
        <v>1409</v>
      </c>
      <c r="B531" t="s">
        <v>1395</v>
      </c>
      <c r="C531" t="s">
        <v>581</v>
      </c>
      <c r="D531" s="2">
        <v>0</v>
      </c>
      <c r="E531" s="2">
        <v>0</v>
      </c>
      <c r="F531" s="2">
        <v>0</v>
      </c>
      <c r="G531" s="2">
        <v>0</v>
      </c>
    </row>
    <row r="532" spans="1:7" x14ac:dyDescent="0.3">
      <c r="A532" t="s">
        <v>1409</v>
      </c>
      <c r="B532" t="s">
        <v>1395</v>
      </c>
      <c r="C532" t="s">
        <v>582</v>
      </c>
      <c r="D532" s="2">
        <v>0</v>
      </c>
      <c r="E532" s="2">
        <v>0</v>
      </c>
      <c r="F532" s="2">
        <v>0</v>
      </c>
      <c r="G532" s="2">
        <v>0</v>
      </c>
    </row>
    <row r="533" spans="1:7" x14ac:dyDescent="0.3">
      <c r="A533" t="s">
        <v>1409</v>
      </c>
      <c r="B533" t="s">
        <v>1395</v>
      </c>
      <c r="C533" t="s">
        <v>583</v>
      </c>
      <c r="D533" s="2">
        <v>9.1128999999999998</v>
      </c>
      <c r="E533" s="2">
        <v>8.9524000000000008</v>
      </c>
      <c r="F533" s="2">
        <v>8.5517000000000003</v>
      </c>
      <c r="G533" s="2">
        <v>9.7835000000000001</v>
      </c>
    </row>
    <row r="534" spans="1:7" x14ac:dyDescent="0.3">
      <c r="A534" t="s">
        <v>1410</v>
      </c>
      <c r="B534" t="s">
        <v>1394</v>
      </c>
      <c r="C534" t="s">
        <v>584</v>
      </c>
      <c r="D534" s="2">
        <v>1.0936999999999999</v>
      </c>
      <c r="E534" s="2">
        <v>1.165</v>
      </c>
      <c r="F534" s="2">
        <v>1.3353999999999999</v>
      </c>
      <c r="G534" s="2">
        <v>1.2533000000000001</v>
      </c>
    </row>
    <row r="535" spans="1:7" x14ac:dyDescent="0.3">
      <c r="A535" t="s">
        <v>1410</v>
      </c>
      <c r="B535" t="s">
        <v>1394</v>
      </c>
      <c r="C535" t="s">
        <v>585</v>
      </c>
      <c r="D535" s="2">
        <v>0.26960000000000001</v>
      </c>
      <c r="E535" s="2">
        <v>0.24229999999999999</v>
      </c>
      <c r="F535" s="2">
        <v>0</v>
      </c>
      <c r="G535" s="2">
        <v>0</v>
      </c>
    </row>
    <row r="536" spans="1:7" x14ac:dyDescent="0.3">
      <c r="A536" t="s">
        <v>1410</v>
      </c>
      <c r="B536" t="s">
        <v>1394</v>
      </c>
      <c r="C536" t="s">
        <v>586</v>
      </c>
      <c r="D536" s="2">
        <v>0</v>
      </c>
      <c r="E536" s="2">
        <v>0</v>
      </c>
      <c r="F536" s="2">
        <v>0</v>
      </c>
      <c r="G536" s="2">
        <v>0</v>
      </c>
    </row>
    <row r="537" spans="1:7" x14ac:dyDescent="0.3">
      <c r="A537" t="s">
        <v>1410</v>
      </c>
      <c r="B537" t="s">
        <v>1394</v>
      </c>
      <c r="C537" t="s">
        <v>587</v>
      </c>
      <c r="D537" s="2">
        <v>27.531400000000001</v>
      </c>
      <c r="E537" s="2">
        <v>25.596499999999999</v>
      </c>
      <c r="F537" s="2">
        <v>24.828700000000001</v>
      </c>
      <c r="G537" s="2">
        <v>25.7424</v>
      </c>
    </row>
    <row r="538" spans="1:7" x14ac:dyDescent="0.3">
      <c r="A538" t="s">
        <v>1410</v>
      </c>
      <c r="B538" t="s">
        <v>1394</v>
      </c>
      <c r="C538" t="s">
        <v>588</v>
      </c>
      <c r="D538" s="2">
        <v>0</v>
      </c>
      <c r="E538" s="2">
        <v>0</v>
      </c>
      <c r="F538" s="2">
        <v>0</v>
      </c>
      <c r="G538" s="2">
        <v>0</v>
      </c>
    </row>
    <row r="539" spans="1:7" x14ac:dyDescent="0.3">
      <c r="A539" t="s">
        <v>1410</v>
      </c>
      <c r="B539" t="s">
        <v>1394</v>
      </c>
      <c r="C539" t="s">
        <v>589</v>
      </c>
      <c r="D539" s="2">
        <v>14.658300000000001</v>
      </c>
      <c r="E539" s="2">
        <v>15.268800000000001</v>
      </c>
      <c r="F539" s="2">
        <v>15.7692</v>
      </c>
      <c r="G539" s="2">
        <v>14.8286</v>
      </c>
    </row>
    <row r="540" spans="1:7" x14ac:dyDescent="0.3">
      <c r="A540" t="s">
        <v>1410</v>
      </c>
      <c r="B540" t="s">
        <v>1394</v>
      </c>
      <c r="C540" t="s">
        <v>590</v>
      </c>
      <c r="D540" s="2">
        <v>8.8749000000000002</v>
      </c>
      <c r="E540" s="2">
        <v>8.3294999999999995</v>
      </c>
      <c r="F540" s="2">
        <v>7.6714000000000002</v>
      </c>
      <c r="G540" s="2">
        <v>7.9523999999999999</v>
      </c>
    </row>
    <row r="541" spans="1:7" x14ac:dyDescent="0.3">
      <c r="A541" t="s">
        <v>1410</v>
      </c>
      <c r="B541" t="s">
        <v>1394</v>
      </c>
      <c r="C541" t="s">
        <v>592</v>
      </c>
      <c r="D541" s="2">
        <v>0</v>
      </c>
      <c r="E541" s="2">
        <v>0</v>
      </c>
      <c r="F541" s="2">
        <v>0</v>
      </c>
      <c r="G541" s="2">
        <v>0</v>
      </c>
    </row>
    <row r="542" spans="1:7" x14ac:dyDescent="0.3">
      <c r="A542" t="s">
        <v>1410</v>
      </c>
      <c r="B542" t="s">
        <v>1394</v>
      </c>
      <c r="C542" t="s">
        <v>593</v>
      </c>
      <c r="D542" s="2">
        <v>0</v>
      </c>
      <c r="E542" s="2">
        <v>0</v>
      </c>
      <c r="F542" s="2">
        <v>0</v>
      </c>
      <c r="G542" s="2">
        <v>0</v>
      </c>
    </row>
    <row r="543" spans="1:7" x14ac:dyDescent="0.3">
      <c r="A543" t="s">
        <v>1410</v>
      </c>
      <c r="B543" t="s">
        <v>1394</v>
      </c>
      <c r="C543" t="s">
        <v>594</v>
      </c>
      <c r="D543" s="2">
        <v>9.0289000000000001</v>
      </c>
      <c r="E543" s="2">
        <v>8.0457000000000001</v>
      </c>
      <c r="F543" s="2">
        <v>7.6963999999999997</v>
      </c>
      <c r="G543" s="2">
        <v>9.9575999999999993</v>
      </c>
    </row>
    <row r="544" spans="1:7" x14ac:dyDescent="0.3">
      <c r="A544" t="s">
        <v>1410</v>
      </c>
      <c r="B544" t="s">
        <v>1392</v>
      </c>
      <c r="C544" t="s">
        <v>595</v>
      </c>
      <c r="D544" s="2">
        <v>3.3656999999999999</v>
      </c>
      <c r="E544" s="2">
        <v>4.9889000000000001</v>
      </c>
      <c r="F544" s="2">
        <v>5.2233999999999998</v>
      </c>
      <c r="G544" s="2">
        <v>2.4323000000000001</v>
      </c>
    </row>
    <row r="545" spans="1:7" x14ac:dyDescent="0.3">
      <c r="A545" t="s">
        <v>1410</v>
      </c>
      <c r="B545" t="s">
        <v>1392</v>
      </c>
      <c r="C545" t="s">
        <v>596</v>
      </c>
      <c r="D545" s="2">
        <v>7.4725000000000001</v>
      </c>
      <c r="E545" s="2">
        <v>6.5646000000000004</v>
      </c>
      <c r="F545" s="2">
        <v>4.5993000000000004</v>
      </c>
      <c r="G545" s="2">
        <v>5.6924999999999999</v>
      </c>
    </row>
    <row r="546" spans="1:7" x14ac:dyDescent="0.3">
      <c r="A546" t="s">
        <v>1410</v>
      </c>
      <c r="B546" t="s">
        <v>1392</v>
      </c>
      <c r="C546" t="s">
        <v>597</v>
      </c>
      <c r="D546" s="2">
        <v>0</v>
      </c>
      <c r="E546" s="2">
        <v>0</v>
      </c>
      <c r="F546" s="2">
        <v>0</v>
      </c>
      <c r="G546" s="2">
        <v>0</v>
      </c>
    </row>
    <row r="547" spans="1:7" x14ac:dyDescent="0.3">
      <c r="A547" t="s">
        <v>1410</v>
      </c>
      <c r="B547" t="s">
        <v>1392</v>
      </c>
      <c r="C547" t="s">
        <v>598</v>
      </c>
      <c r="D547" s="2">
        <v>71.939599999999999</v>
      </c>
      <c r="E547" s="2">
        <v>77.112200000000001</v>
      </c>
      <c r="F547" s="2">
        <v>73.944900000000004</v>
      </c>
      <c r="G547" s="2">
        <v>67.390799999999999</v>
      </c>
    </row>
    <row r="548" spans="1:7" x14ac:dyDescent="0.3">
      <c r="A548" t="s">
        <v>1410</v>
      </c>
      <c r="B548" t="s">
        <v>1392</v>
      </c>
      <c r="C548" t="s">
        <v>599</v>
      </c>
      <c r="D548" s="2">
        <v>0</v>
      </c>
      <c r="E548" s="2">
        <v>0</v>
      </c>
      <c r="F548" s="2">
        <v>0</v>
      </c>
      <c r="G548" s="2">
        <v>0</v>
      </c>
    </row>
    <row r="549" spans="1:7" x14ac:dyDescent="0.3">
      <c r="A549" t="s">
        <v>1410</v>
      </c>
      <c r="B549" t="s">
        <v>1392</v>
      </c>
      <c r="C549" t="s">
        <v>600</v>
      </c>
      <c r="D549" s="2">
        <v>1.9962</v>
      </c>
      <c r="E549" s="2">
        <v>2.5026999999999999</v>
      </c>
      <c r="F549" s="2">
        <v>3.3315999999999999</v>
      </c>
      <c r="G549" s="2">
        <v>3.0007000000000001</v>
      </c>
    </row>
    <row r="550" spans="1:7" x14ac:dyDescent="0.3">
      <c r="A550" t="s">
        <v>1410</v>
      </c>
      <c r="B550" t="s">
        <v>1392</v>
      </c>
      <c r="C550" t="s">
        <v>601</v>
      </c>
      <c r="D550" s="2">
        <v>2.9624000000000001</v>
      </c>
      <c r="E550" s="2">
        <v>2.9472999999999998</v>
      </c>
      <c r="F550" s="2">
        <v>2.9645000000000001</v>
      </c>
      <c r="G550" s="2">
        <v>3.2826</v>
      </c>
    </row>
    <row r="551" spans="1:7" x14ac:dyDescent="0.3">
      <c r="A551" t="s">
        <v>1410</v>
      </c>
      <c r="B551" t="s">
        <v>1392</v>
      </c>
      <c r="C551" t="s">
        <v>603</v>
      </c>
      <c r="D551" s="2">
        <v>0</v>
      </c>
      <c r="E551" s="2">
        <v>0</v>
      </c>
      <c r="F551" s="2">
        <v>0</v>
      </c>
      <c r="G551" s="2">
        <v>0</v>
      </c>
    </row>
    <row r="552" spans="1:7" x14ac:dyDescent="0.3">
      <c r="A552" t="s">
        <v>1410</v>
      </c>
      <c r="B552" t="s">
        <v>1392</v>
      </c>
      <c r="C552" t="s">
        <v>604</v>
      </c>
      <c r="D552" s="2">
        <v>0</v>
      </c>
      <c r="E552" s="2">
        <v>0</v>
      </c>
      <c r="F552" s="2">
        <v>0</v>
      </c>
      <c r="G552" s="2">
        <v>0</v>
      </c>
    </row>
    <row r="553" spans="1:7" x14ac:dyDescent="0.3">
      <c r="A553" t="s">
        <v>1410</v>
      </c>
      <c r="B553" t="s">
        <v>1392</v>
      </c>
      <c r="C553" t="s">
        <v>605</v>
      </c>
      <c r="D553" s="2">
        <v>26.361699999999999</v>
      </c>
      <c r="E553" s="2">
        <v>30.389399999999998</v>
      </c>
      <c r="F553" s="2">
        <v>27.241800000000001</v>
      </c>
      <c r="G553" s="2">
        <v>29.670999999999999</v>
      </c>
    </row>
    <row r="554" spans="1:7" x14ac:dyDescent="0.3">
      <c r="A554" t="s">
        <v>1410</v>
      </c>
      <c r="B554" t="s">
        <v>1393</v>
      </c>
      <c r="C554" t="s">
        <v>606</v>
      </c>
      <c r="D554" s="2">
        <v>14.1922</v>
      </c>
      <c r="E554" s="2">
        <v>14.4232</v>
      </c>
      <c r="F554" s="2">
        <v>14.296799999999999</v>
      </c>
      <c r="G554" s="2">
        <v>13.9445</v>
      </c>
    </row>
    <row r="555" spans="1:7" x14ac:dyDescent="0.3">
      <c r="A555" t="s">
        <v>1410</v>
      </c>
      <c r="B555" t="s">
        <v>1393</v>
      </c>
      <c r="C555" t="s">
        <v>607</v>
      </c>
      <c r="D555" s="2">
        <v>6.4318</v>
      </c>
      <c r="E555" s="2">
        <v>6.0507999999999997</v>
      </c>
      <c r="F555" s="2">
        <v>5.0803000000000003</v>
      </c>
      <c r="G555" s="2">
        <v>6.3517000000000001</v>
      </c>
    </row>
    <row r="556" spans="1:7" x14ac:dyDescent="0.3">
      <c r="A556" t="s">
        <v>1410</v>
      </c>
      <c r="B556" t="s">
        <v>1393</v>
      </c>
      <c r="C556" t="s">
        <v>608</v>
      </c>
      <c r="D556" s="2">
        <v>0</v>
      </c>
      <c r="E556" s="2">
        <v>0</v>
      </c>
      <c r="F556" s="2">
        <v>0</v>
      </c>
      <c r="G556" s="2">
        <v>0</v>
      </c>
    </row>
    <row r="557" spans="1:7" x14ac:dyDescent="0.3">
      <c r="A557" t="s">
        <v>1410</v>
      </c>
      <c r="B557" t="s">
        <v>1393</v>
      </c>
      <c r="C557" t="s">
        <v>609</v>
      </c>
      <c r="D557" s="2">
        <v>42.757100000000001</v>
      </c>
      <c r="E557" s="2">
        <v>43.089700000000001</v>
      </c>
      <c r="F557" s="2">
        <v>43.543999999999997</v>
      </c>
      <c r="G557" s="2">
        <v>47.247700000000002</v>
      </c>
    </row>
    <row r="558" spans="1:7" x14ac:dyDescent="0.3">
      <c r="A558" t="s">
        <v>1410</v>
      </c>
      <c r="B558" t="s">
        <v>1393</v>
      </c>
      <c r="C558" t="s">
        <v>610</v>
      </c>
      <c r="D558" s="2">
        <v>0</v>
      </c>
      <c r="E558" s="2">
        <v>0</v>
      </c>
      <c r="F558" s="2">
        <v>0</v>
      </c>
      <c r="G558" s="2">
        <v>0</v>
      </c>
    </row>
    <row r="559" spans="1:7" x14ac:dyDescent="0.3">
      <c r="A559" t="s">
        <v>1410</v>
      </c>
      <c r="B559" t="s">
        <v>1393</v>
      </c>
      <c r="C559" t="s">
        <v>611</v>
      </c>
      <c r="D559" s="2">
        <v>12.545999999999999</v>
      </c>
      <c r="E559" s="2">
        <v>13.228999999999999</v>
      </c>
      <c r="F559" s="2">
        <v>10.909800000000001</v>
      </c>
      <c r="G559" s="2">
        <v>13.014099999999999</v>
      </c>
    </row>
    <row r="560" spans="1:7" x14ac:dyDescent="0.3">
      <c r="A560" t="s">
        <v>1410</v>
      </c>
      <c r="B560" t="s">
        <v>1393</v>
      </c>
      <c r="C560" t="s">
        <v>612</v>
      </c>
      <c r="D560" s="2">
        <v>8.5518999999999998</v>
      </c>
      <c r="E560" s="2">
        <v>8.6435999999999993</v>
      </c>
      <c r="F560" s="2">
        <v>7.9303999999999997</v>
      </c>
      <c r="G560" s="2">
        <v>8.6555999999999997</v>
      </c>
    </row>
    <row r="561" spans="1:7" x14ac:dyDescent="0.3">
      <c r="A561" t="s">
        <v>1410</v>
      </c>
      <c r="B561" t="s">
        <v>1393</v>
      </c>
      <c r="C561" t="s">
        <v>614</v>
      </c>
      <c r="D561" s="2">
        <v>0</v>
      </c>
      <c r="E561" s="2">
        <v>0</v>
      </c>
      <c r="F561" s="2">
        <v>0</v>
      </c>
      <c r="G561" s="2">
        <v>0</v>
      </c>
    </row>
    <row r="562" spans="1:7" x14ac:dyDescent="0.3">
      <c r="A562" t="s">
        <v>1410</v>
      </c>
      <c r="B562" t="s">
        <v>1393</v>
      </c>
      <c r="C562" t="s">
        <v>615</v>
      </c>
      <c r="D562" s="2">
        <v>0</v>
      </c>
      <c r="E562" s="2">
        <v>0</v>
      </c>
      <c r="F562" s="2">
        <v>0</v>
      </c>
      <c r="G562" s="2">
        <v>0</v>
      </c>
    </row>
    <row r="563" spans="1:7" x14ac:dyDescent="0.3">
      <c r="A563" t="s">
        <v>1410</v>
      </c>
      <c r="B563" t="s">
        <v>1393</v>
      </c>
      <c r="C563" t="s">
        <v>616</v>
      </c>
      <c r="D563" s="2">
        <v>0.56899999999999995</v>
      </c>
      <c r="E563" s="2">
        <v>0.3075</v>
      </c>
      <c r="F563" s="2">
        <v>0.436</v>
      </c>
      <c r="G563" s="2">
        <v>0.44750000000000001</v>
      </c>
    </row>
    <row r="564" spans="1:7" x14ac:dyDescent="0.3">
      <c r="A564" t="s">
        <v>1410</v>
      </c>
      <c r="B564" t="s">
        <v>1397</v>
      </c>
      <c r="C564" t="s">
        <v>617</v>
      </c>
      <c r="D564" s="2">
        <v>5.0201000000000002</v>
      </c>
      <c r="E564" s="2">
        <v>4.9358000000000004</v>
      </c>
      <c r="F564" s="2">
        <v>5.0827999999999998</v>
      </c>
      <c r="G564" s="2">
        <v>5.0198999999999998</v>
      </c>
    </row>
    <row r="565" spans="1:7" x14ac:dyDescent="0.3">
      <c r="A565" t="s">
        <v>1410</v>
      </c>
      <c r="B565" t="s">
        <v>1397</v>
      </c>
      <c r="C565" t="s">
        <v>618</v>
      </c>
      <c r="D565" s="2">
        <v>5.8129</v>
      </c>
      <c r="E565" s="2">
        <v>2.9580000000000002</v>
      </c>
      <c r="F565" s="2">
        <v>3.383</v>
      </c>
      <c r="G565" s="2">
        <v>3.9598</v>
      </c>
    </row>
    <row r="566" spans="1:7" x14ac:dyDescent="0.3">
      <c r="A566" t="s">
        <v>1410</v>
      </c>
      <c r="B566" t="s">
        <v>1397</v>
      </c>
      <c r="C566" t="s">
        <v>619</v>
      </c>
      <c r="D566" s="2">
        <v>0</v>
      </c>
      <c r="E566" s="2">
        <v>0</v>
      </c>
      <c r="F566" s="2">
        <v>0</v>
      </c>
      <c r="G566" s="2">
        <v>0</v>
      </c>
    </row>
    <row r="567" spans="1:7" x14ac:dyDescent="0.3">
      <c r="A567" t="s">
        <v>1410</v>
      </c>
      <c r="B567" t="s">
        <v>1397</v>
      </c>
      <c r="C567" t="s">
        <v>620</v>
      </c>
      <c r="D567" s="2">
        <v>45.578499999999998</v>
      </c>
      <c r="E567" s="2">
        <v>41.698500000000003</v>
      </c>
      <c r="F567" s="2">
        <v>39.365900000000003</v>
      </c>
      <c r="G567" s="2">
        <v>45.244399999999999</v>
      </c>
    </row>
    <row r="568" spans="1:7" x14ac:dyDescent="0.3">
      <c r="A568" t="s">
        <v>1410</v>
      </c>
      <c r="B568" t="s">
        <v>1397</v>
      </c>
      <c r="C568" t="s">
        <v>621</v>
      </c>
      <c r="D568" s="2">
        <v>0</v>
      </c>
      <c r="E568" s="2">
        <v>0</v>
      </c>
      <c r="F568" s="2">
        <v>0</v>
      </c>
      <c r="G568" s="2">
        <v>0</v>
      </c>
    </row>
    <row r="569" spans="1:7" x14ac:dyDescent="0.3">
      <c r="A569" t="s">
        <v>1410</v>
      </c>
      <c r="B569" t="s">
        <v>1397</v>
      </c>
      <c r="C569" t="s">
        <v>622</v>
      </c>
      <c r="D569" s="2">
        <v>2.7985000000000002</v>
      </c>
      <c r="E569" s="2">
        <v>2.5190000000000001</v>
      </c>
      <c r="F569" s="2">
        <v>2.8349000000000002</v>
      </c>
      <c r="G569" s="2">
        <v>2.5404</v>
      </c>
    </row>
    <row r="570" spans="1:7" x14ac:dyDescent="0.3">
      <c r="A570" t="s">
        <v>1410</v>
      </c>
      <c r="B570" t="s">
        <v>1397</v>
      </c>
      <c r="C570" t="s">
        <v>623</v>
      </c>
      <c r="D570" s="2">
        <v>21.991499999999998</v>
      </c>
      <c r="E570" s="2">
        <v>22.213000000000001</v>
      </c>
      <c r="F570" s="2">
        <v>21.250599999999999</v>
      </c>
      <c r="G570" s="2">
        <v>21.368600000000001</v>
      </c>
    </row>
    <row r="571" spans="1:7" x14ac:dyDescent="0.3">
      <c r="A571" t="s">
        <v>1410</v>
      </c>
      <c r="B571" t="s">
        <v>1397</v>
      </c>
      <c r="C571" t="s">
        <v>625</v>
      </c>
      <c r="D571" s="2">
        <v>0</v>
      </c>
      <c r="E571" s="2">
        <v>0</v>
      </c>
      <c r="F571" s="2">
        <v>0</v>
      </c>
      <c r="G571" s="2">
        <v>0</v>
      </c>
    </row>
    <row r="572" spans="1:7" x14ac:dyDescent="0.3">
      <c r="A572" t="s">
        <v>1410</v>
      </c>
      <c r="B572" t="s">
        <v>1397</v>
      </c>
      <c r="C572" t="s">
        <v>626</v>
      </c>
      <c r="D572" s="2">
        <v>0</v>
      </c>
      <c r="E572" s="2">
        <v>0</v>
      </c>
      <c r="F572" s="2">
        <v>0</v>
      </c>
      <c r="G572" s="2">
        <v>0</v>
      </c>
    </row>
    <row r="573" spans="1:7" x14ac:dyDescent="0.3">
      <c r="A573" t="s">
        <v>1410</v>
      </c>
      <c r="B573" t="s">
        <v>1397</v>
      </c>
      <c r="C573" t="s">
        <v>627</v>
      </c>
      <c r="D573" s="2">
        <v>3.7017000000000002</v>
      </c>
      <c r="E573" s="2">
        <v>4.8235999999999999</v>
      </c>
      <c r="F573" s="2">
        <v>5.5606999999999998</v>
      </c>
      <c r="G573" s="2">
        <v>6.6351000000000004</v>
      </c>
    </row>
    <row r="574" spans="1:7" x14ac:dyDescent="0.3">
      <c r="A574" t="s">
        <v>1410</v>
      </c>
      <c r="B574" t="s">
        <v>1395</v>
      </c>
      <c r="C574" t="s">
        <v>628</v>
      </c>
      <c r="D574" s="2">
        <v>21.1173</v>
      </c>
      <c r="E574" s="2">
        <v>20.5853</v>
      </c>
      <c r="F574" s="2">
        <v>18.858799999999999</v>
      </c>
      <c r="G574" s="2">
        <v>20.0075</v>
      </c>
    </row>
    <row r="575" spans="1:7" x14ac:dyDescent="0.3">
      <c r="A575" t="s">
        <v>1410</v>
      </c>
      <c r="B575" t="s">
        <v>1395</v>
      </c>
      <c r="C575" t="s">
        <v>629</v>
      </c>
      <c r="D575" s="2">
        <v>1.9742999999999999</v>
      </c>
      <c r="E575" s="2">
        <v>2.6354000000000002</v>
      </c>
      <c r="F575" s="2">
        <v>3.0036</v>
      </c>
      <c r="G575" s="2">
        <v>2.7772000000000001</v>
      </c>
    </row>
    <row r="576" spans="1:7" x14ac:dyDescent="0.3">
      <c r="A576" t="s">
        <v>1410</v>
      </c>
      <c r="B576" t="s">
        <v>1395</v>
      </c>
      <c r="C576" t="s">
        <v>630</v>
      </c>
      <c r="D576" s="2">
        <v>0</v>
      </c>
      <c r="E576" s="2">
        <v>0</v>
      </c>
      <c r="F576" s="2">
        <v>0</v>
      </c>
      <c r="G576" s="2">
        <v>0</v>
      </c>
    </row>
    <row r="577" spans="1:7" x14ac:dyDescent="0.3">
      <c r="A577" t="s">
        <v>1410</v>
      </c>
      <c r="B577" t="s">
        <v>1395</v>
      </c>
      <c r="C577" t="s">
        <v>631</v>
      </c>
      <c r="D577" s="2">
        <v>51.028500000000001</v>
      </c>
      <c r="E577" s="2">
        <v>48.662300000000002</v>
      </c>
      <c r="F577" s="2">
        <v>36.247999999999998</v>
      </c>
      <c r="G577" s="2">
        <v>51.904200000000003</v>
      </c>
    </row>
    <row r="578" spans="1:7" x14ac:dyDescent="0.3">
      <c r="A578" t="s">
        <v>1410</v>
      </c>
      <c r="B578" t="s">
        <v>1395</v>
      </c>
      <c r="C578" t="s">
        <v>632</v>
      </c>
      <c r="D578" s="2">
        <v>0</v>
      </c>
      <c r="E578" s="2">
        <v>0</v>
      </c>
      <c r="F578" s="2">
        <v>0</v>
      </c>
      <c r="G578" s="2">
        <v>0</v>
      </c>
    </row>
    <row r="579" spans="1:7" x14ac:dyDescent="0.3">
      <c r="A579" t="s">
        <v>1410</v>
      </c>
      <c r="B579" t="s">
        <v>1395</v>
      </c>
      <c r="C579" t="s">
        <v>633</v>
      </c>
      <c r="D579" s="2">
        <v>6.8292000000000002</v>
      </c>
      <c r="E579" s="2">
        <v>5.3811</v>
      </c>
      <c r="F579" s="2">
        <v>5.4139999999999997</v>
      </c>
      <c r="G579" s="2">
        <v>6.3676000000000004</v>
      </c>
    </row>
    <row r="580" spans="1:7" x14ac:dyDescent="0.3">
      <c r="A580" t="s">
        <v>1410</v>
      </c>
      <c r="B580" t="s">
        <v>1395</v>
      </c>
      <c r="C580" t="s">
        <v>634</v>
      </c>
      <c r="D580" s="2">
        <v>66.868099999999998</v>
      </c>
      <c r="E580" s="2">
        <v>64.446600000000004</v>
      </c>
      <c r="F580" s="2">
        <v>56.8626</v>
      </c>
      <c r="G580" s="2">
        <v>63.692799999999998</v>
      </c>
    </row>
    <row r="581" spans="1:7" x14ac:dyDescent="0.3">
      <c r="A581" t="s">
        <v>1410</v>
      </c>
      <c r="B581" t="s">
        <v>1395</v>
      </c>
      <c r="C581" t="s">
        <v>636</v>
      </c>
      <c r="D581" s="2">
        <v>0</v>
      </c>
      <c r="E581" s="2">
        <v>0</v>
      </c>
      <c r="F581" s="2">
        <v>0</v>
      </c>
      <c r="G581" s="2">
        <v>0</v>
      </c>
    </row>
    <row r="582" spans="1:7" x14ac:dyDescent="0.3">
      <c r="A582" t="s">
        <v>1410</v>
      </c>
      <c r="B582" t="s">
        <v>1395</v>
      </c>
      <c r="C582" t="s">
        <v>637</v>
      </c>
      <c r="D582" s="2">
        <v>3.0800000000000001E-2</v>
      </c>
      <c r="E582" s="2">
        <v>3.9600000000000003E-2</v>
      </c>
      <c r="F582" s="2">
        <v>4.1700000000000001E-2</v>
      </c>
      <c r="G582" s="2">
        <v>6.3100000000000003E-2</v>
      </c>
    </row>
    <row r="583" spans="1:7" x14ac:dyDescent="0.3">
      <c r="A583" t="s">
        <v>1410</v>
      </c>
      <c r="B583" t="s">
        <v>1395</v>
      </c>
      <c r="C583" t="s">
        <v>638</v>
      </c>
      <c r="D583" s="2">
        <v>14.2483</v>
      </c>
      <c r="E583" s="2">
        <v>13.5549</v>
      </c>
      <c r="F583" s="2">
        <v>11.8667</v>
      </c>
      <c r="G583" s="2">
        <v>14.823499999999999</v>
      </c>
    </row>
    <row r="584" spans="1:7" x14ac:dyDescent="0.3">
      <c r="A584" t="s">
        <v>1411</v>
      </c>
      <c r="B584" t="s">
        <v>1394</v>
      </c>
      <c r="C584" t="s">
        <v>639</v>
      </c>
      <c r="D584" s="2">
        <v>9.2899999999999996E-2</v>
      </c>
      <c r="E584" s="2">
        <v>9.5699999999999993E-2</v>
      </c>
      <c r="F584" s="2">
        <v>7.3099999999999998E-2</v>
      </c>
      <c r="G584" s="2">
        <v>0.1016</v>
      </c>
    </row>
    <row r="585" spans="1:7" x14ac:dyDescent="0.3">
      <c r="A585" t="s">
        <v>1411</v>
      </c>
      <c r="B585" t="s">
        <v>1394</v>
      </c>
      <c r="C585" t="s">
        <v>640</v>
      </c>
      <c r="D585" s="2">
        <v>0</v>
      </c>
      <c r="E585" s="2">
        <v>0</v>
      </c>
      <c r="F585" s="2">
        <v>0</v>
      </c>
      <c r="G585" s="2">
        <v>0</v>
      </c>
    </row>
    <row r="586" spans="1:7" x14ac:dyDescent="0.3">
      <c r="A586" t="s">
        <v>1411</v>
      </c>
      <c r="B586" t="s">
        <v>1394</v>
      </c>
      <c r="C586" t="s">
        <v>641</v>
      </c>
      <c r="D586" s="2">
        <v>0</v>
      </c>
      <c r="E586" s="2">
        <v>0</v>
      </c>
      <c r="F586" s="2">
        <v>0</v>
      </c>
      <c r="G586" s="2">
        <v>0</v>
      </c>
    </row>
    <row r="587" spans="1:7" x14ac:dyDescent="0.3">
      <c r="A587" t="s">
        <v>1411</v>
      </c>
      <c r="B587" t="s">
        <v>1394</v>
      </c>
      <c r="C587" t="s">
        <v>642</v>
      </c>
      <c r="D587" s="2">
        <v>1.1808000000000001</v>
      </c>
      <c r="E587" s="2">
        <v>1.4059999999999999</v>
      </c>
      <c r="F587" s="2">
        <v>1.4498</v>
      </c>
      <c r="G587" s="2">
        <v>1.5403</v>
      </c>
    </row>
    <row r="588" spans="1:7" x14ac:dyDescent="0.3">
      <c r="A588" t="s">
        <v>1411</v>
      </c>
      <c r="B588" t="s">
        <v>1394</v>
      </c>
      <c r="C588" t="s">
        <v>643</v>
      </c>
      <c r="D588" s="2">
        <v>0</v>
      </c>
      <c r="E588" s="2">
        <v>0</v>
      </c>
      <c r="F588" s="2">
        <v>0</v>
      </c>
      <c r="G588" s="2">
        <v>0</v>
      </c>
    </row>
    <row r="589" spans="1:7" x14ac:dyDescent="0.3">
      <c r="A589" t="s">
        <v>1411</v>
      </c>
      <c r="B589" t="s">
        <v>1394</v>
      </c>
      <c r="C589" t="s">
        <v>644</v>
      </c>
      <c r="D589" s="2">
        <v>6.6799999999999998E-2</v>
      </c>
      <c r="E589" s="2">
        <v>5.3699999999999998E-2</v>
      </c>
      <c r="F589" s="2">
        <v>0.12920000000000001</v>
      </c>
      <c r="G589" s="2">
        <v>6.3100000000000003E-2</v>
      </c>
    </row>
    <row r="590" spans="1:7" x14ac:dyDescent="0.3">
      <c r="A590" t="s">
        <v>1411</v>
      </c>
      <c r="B590" t="s">
        <v>1394</v>
      </c>
      <c r="C590" t="s">
        <v>645</v>
      </c>
      <c r="D590" s="2">
        <v>0.27550000000000002</v>
      </c>
      <c r="E590" s="2">
        <v>0.21179999999999999</v>
      </c>
      <c r="F590" s="2">
        <v>0.29780000000000001</v>
      </c>
      <c r="G590" s="2">
        <v>0.2959</v>
      </c>
    </row>
    <row r="591" spans="1:7" x14ac:dyDescent="0.3">
      <c r="A591" t="s">
        <v>1411</v>
      </c>
      <c r="B591" t="s">
        <v>1394</v>
      </c>
      <c r="C591" t="s">
        <v>647</v>
      </c>
      <c r="D591" s="2">
        <v>0</v>
      </c>
      <c r="E591" s="2">
        <v>0</v>
      </c>
      <c r="F591" s="2">
        <v>0</v>
      </c>
      <c r="G591" s="2">
        <v>0</v>
      </c>
    </row>
    <row r="592" spans="1:7" x14ac:dyDescent="0.3">
      <c r="A592" t="s">
        <v>1411</v>
      </c>
      <c r="B592" t="s">
        <v>1394</v>
      </c>
      <c r="C592" t="s">
        <v>648</v>
      </c>
      <c r="D592" s="2">
        <v>0</v>
      </c>
      <c r="E592" s="2">
        <v>0</v>
      </c>
      <c r="F592" s="2">
        <v>0</v>
      </c>
      <c r="G592" s="2">
        <v>0</v>
      </c>
    </row>
    <row r="593" spans="1:7" x14ac:dyDescent="0.3">
      <c r="A593" t="s">
        <v>1411</v>
      </c>
      <c r="B593" t="s">
        <v>1394</v>
      </c>
      <c r="C593" t="s">
        <v>649</v>
      </c>
      <c r="D593" s="2">
        <v>8.5000000000000006E-3</v>
      </c>
      <c r="E593" s="2">
        <v>7.0000000000000001E-3</v>
      </c>
      <c r="F593" s="2">
        <v>6.7999999999999996E-3</v>
      </c>
      <c r="G593" s="2">
        <v>7.1999999999999998E-3</v>
      </c>
    </row>
    <row r="594" spans="1:7" x14ac:dyDescent="0.3">
      <c r="A594" t="s">
        <v>1411</v>
      </c>
      <c r="B594" t="s">
        <v>1392</v>
      </c>
      <c r="C594" t="s">
        <v>650</v>
      </c>
      <c r="D594" s="2">
        <v>8.0399999999999999E-2</v>
      </c>
      <c r="E594" s="2">
        <v>4.7199999999999999E-2</v>
      </c>
      <c r="F594" s="2">
        <v>4.6100000000000002E-2</v>
      </c>
      <c r="G594" s="2">
        <v>5.3999999999999999E-2</v>
      </c>
    </row>
    <row r="595" spans="1:7" x14ac:dyDescent="0.3">
      <c r="A595" t="s">
        <v>1411</v>
      </c>
      <c r="B595" t="s">
        <v>1392</v>
      </c>
      <c r="C595" t="s">
        <v>651</v>
      </c>
      <c r="D595" s="2">
        <v>0</v>
      </c>
      <c r="E595" s="2">
        <v>0</v>
      </c>
      <c r="F595" s="2">
        <v>0</v>
      </c>
      <c r="G595" s="2">
        <v>0</v>
      </c>
    </row>
    <row r="596" spans="1:7" x14ac:dyDescent="0.3">
      <c r="A596" t="s">
        <v>1411</v>
      </c>
      <c r="B596" t="s">
        <v>1392</v>
      </c>
      <c r="C596" t="s">
        <v>652</v>
      </c>
      <c r="D596" s="2">
        <v>0</v>
      </c>
      <c r="E596" s="2">
        <v>0</v>
      </c>
      <c r="F596" s="2">
        <v>0</v>
      </c>
      <c r="G596" s="2">
        <v>0</v>
      </c>
    </row>
    <row r="597" spans="1:7" x14ac:dyDescent="0.3">
      <c r="A597" t="s">
        <v>1411</v>
      </c>
      <c r="B597" t="s">
        <v>1392</v>
      </c>
      <c r="C597" t="s">
        <v>653</v>
      </c>
      <c r="D597" s="2">
        <v>2.4948999999999999</v>
      </c>
      <c r="E597" s="2">
        <v>2.6318000000000001</v>
      </c>
      <c r="F597" s="2">
        <v>2.8102999999999998</v>
      </c>
      <c r="G597" s="2">
        <v>2.0011999999999999</v>
      </c>
    </row>
    <row r="598" spans="1:7" x14ac:dyDescent="0.3">
      <c r="A598" t="s">
        <v>1411</v>
      </c>
      <c r="B598" t="s">
        <v>1392</v>
      </c>
      <c r="C598" t="s">
        <v>654</v>
      </c>
      <c r="D598" s="2">
        <v>0</v>
      </c>
      <c r="E598" s="2">
        <v>0</v>
      </c>
      <c r="F598" s="2">
        <v>0</v>
      </c>
      <c r="G598" s="2">
        <v>0</v>
      </c>
    </row>
    <row r="599" spans="1:7" x14ac:dyDescent="0.3">
      <c r="A599" t="s">
        <v>1411</v>
      </c>
      <c r="B599" t="s">
        <v>1392</v>
      </c>
      <c r="C599" t="s">
        <v>655</v>
      </c>
      <c r="D599" s="2">
        <v>1E-4</v>
      </c>
      <c r="E599" s="2">
        <v>1E-4</v>
      </c>
      <c r="F599" s="2">
        <v>1E-4</v>
      </c>
      <c r="G599" s="2">
        <v>1E-4</v>
      </c>
    </row>
    <row r="600" spans="1:7" x14ac:dyDescent="0.3">
      <c r="A600" t="s">
        <v>1411</v>
      </c>
      <c r="B600" t="s">
        <v>1392</v>
      </c>
      <c r="C600" t="s">
        <v>656</v>
      </c>
      <c r="D600" s="2">
        <v>2.46E-2</v>
      </c>
      <c r="E600" s="2">
        <v>1.7500000000000002E-2</v>
      </c>
      <c r="F600" s="2">
        <v>1.6E-2</v>
      </c>
      <c r="G600" s="2">
        <v>2.3099999999999999E-2</v>
      </c>
    </row>
    <row r="601" spans="1:7" x14ac:dyDescent="0.3">
      <c r="A601" t="s">
        <v>1411</v>
      </c>
      <c r="B601" t="s">
        <v>1392</v>
      </c>
      <c r="C601" t="s">
        <v>658</v>
      </c>
      <c r="D601" s="2">
        <v>0</v>
      </c>
      <c r="E601" s="2">
        <v>0</v>
      </c>
      <c r="F601" s="2">
        <v>0</v>
      </c>
      <c r="G601" s="2">
        <v>0</v>
      </c>
    </row>
    <row r="602" spans="1:7" x14ac:dyDescent="0.3">
      <c r="A602" t="s">
        <v>1411</v>
      </c>
      <c r="B602" t="s">
        <v>1392</v>
      </c>
      <c r="C602" t="s">
        <v>659</v>
      </c>
      <c r="D602" s="2">
        <v>0</v>
      </c>
      <c r="E602" s="2">
        <v>0</v>
      </c>
      <c r="F602" s="2">
        <v>0</v>
      </c>
      <c r="G602" s="2">
        <v>0</v>
      </c>
    </row>
    <row r="603" spans="1:7" x14ac:dyDescent="0.3">
      <c r="A603" t="s">
        <v>1411</v>
      </c>
      <c r="B603" t="s">
        <v>1392</v>
      </c>
      <c r="C603" t="s">
        <v>660</v>
      </c>
      <c r="D603" s="2">
        <v>0.16400000000000001</v>
      </c>
      <c r="E603" s="2">
        <v>0.20780000000000001</v>
      </c>
      <c r="F603" s="2">
        <v>0.30470000000000003</v>
      </c>
      <c r="G603" s="2">
        <v>0.36280000000000001</v>
      </c>
    </row>
    <row r="604" spans="1:7" x14ac:dyDescent="0.3">
      <c r="A604" t="s">
        <v>1411</v>
      </c>
      <c r="B604" t="s">
        <v>1393</v>
      </c>
      <c r="C604" t="s">
        <v>661</v>
      </c>
      <c r="D604" s="2">
        <v>3.016</v>
      </c>
      <c r="E604" s="2">
        <v>2.2362000000000002</v>
      </c>
      <c r="F604" s="2">
        <v>1.6931</v>
      </c>
      <c r="G604" s="2">
        <v>1.534</v>
      </c>
    </row>
    <row r="605" spans="1:7" x14ac:dyDescent="0.3">
      <c r="A605" t="s">
        <v>1411</v>
      </c>
      <c r="B605" t="s">
        <v>1393</v>
      </c>
      <c r="C605" t="s">
        <v>662</v>
      </c>
      <c r="D605" s="2">
        <v>1.0523</v>
      </c>
      <c r="E605" s="2">
        <v>1.4340999999999999</v>
      </c>
      <c r="F605" s="2">
        <v>1.9761</v>
      </c>
      <c r="G605" s="2">
        <v>2.1425000000000001</v>
      </c>
    </row>
    <row r="606" spans="1:7" x14ac:dyDescent="0.3">
      <c r="A606" t="s">
        <v>1411</v>
      </c>
      <c r="B606" t="s">
        <v>1393</v>
      </c>
      <c r="C606" t="s">
        <v>663</v>
      </c>
      <c r="D606" s="2">
        <v>0</v>
      </c>
      <c r="E606" s="2">
        <v>0</v>
      </c>
      <c r="F606" s="2">
        <v>0</v>
      </c>
      <c r="G606" s="2">
        <v>0</v>
      </c>
    </row>
    <row r="607" spans="1:7" x14ac:dyDescent="0.3">
      <c r="A607" t="s">
        <v>1411</v>
      </c>
      <c r="B607" t="s">
        <v>1393</v>
      </c>
      <c r="C607" t="s">
        <v>664</v>
      </c>
      <c r="D607" s="2">
        <v>1.8373999999999999</v>
      </c>
      <c r="E607" s="2">
        <v>1.8474999999999999</v>
      </c>
      <c r="F607" s="2">
        <v>1.7058</v>
      </c>
      <c r="G607" s="2">
        <v>1.9850000000000001</v>
      </c>
    </row>
    <row r="608" spans="1:7" x14ac:dyDescent="0.3">
      <c r="A608" t="s">
        <v>1411</v>
      </c>
      <c r="B608" t="s">
        <v>1393</v>
      </c>
      <c r="C608" t="s">
        <v>665</v>
      </c>
      <c r="D608" s="2">
        <v>0</v>
      </c>
      <c r="E608" s="2">
        <v>0</v>
      </c>
      <c r="F608" s="2">
        <v>0</v>
      </c>
      <c r="G608" s="2">
        <v>0</v>
      </c>
    </row>
    <row r="609" spans="1:7" x14ac:dyDescent="0.3">
      <c r="A609" t="s">
        <v>1411</v>
      </c>
      <c r="B609" t="s">
        <v>1393</v>
      </c>
      <c r="C609" t="s">
        <v>666</v>
      </c>
      <c r="D609" s="2">
        <v>0.4909</v>
      </c>
      <c r="E609" s="2">
        <v>0.62390000000000001</v>
      </c>
      <c r="F609" s="2">
        <v>0.91679999999999995</v>
      </c>
      <c r="G609" s="2">
        <v>1.0138</v>
      </c>
    </row>
    <row r="610" spans="1:7" x14ac:dyDescent="0.3">
      <c r="A610" t="s">
        <v>1411</v>
      </c>
      <c r="B610" t="s">
        <v>1393</v>
      </c>
      <c r="C610" t="s">
        <v>667</v>
      </c>
      <c r="D610" s="2">
        <v>0.43159999999999998</v>
      </c>
      <c r="E610" s="2">
        <v>0.4173</v>
      </c>
      <c r="F610" s="2">
        <v>0.45150000000000001</v>
      </c>
      <c r="G610" s="2">
        <v>0.48149999999999998</v>
      </c>
    </row>
    <row r="611" spans="1:7" x14ac:dyDescent="0.3">
      <c r="A611" t="s">
        <v>1411</v>
      </c>
      <c r="B611" t="s">
        <v>1393</v>
      </c>
      <c r="C611" t="s">
        <v>669</v>
      </c>
      <c r="D611" s="2">
        <v>0</v>
      </c>
      <c r="E611" s="2">
        <v>0</v>
      </c>
      <c r="F611" s="2">
        <v>0</v>
      </c>
      <c r="G611" s="2">
        <v>0</v>
      </c>
    </row>
    <row r="612" spans="1:7" x14ac:dyDescent="0.3">
      <c r="A612" t="s">
        <v>1411</v>
      </c>
      <c r="B612" t="s">
        <v>1393</v>
      </c>
      <c r="C612" t="s">
        <v>670</v>
      </c>
      <c r="D612" s="2">
        <v>0</v>
      </c>
      <c r="E612" s="2">
        <v>0</v>
      </c>
      <c r="F612" s="2">
        <v>0</v>
      </c>
      <c r="G612" s="2">
        <v>0</v>
      </c>
    </row>
    <row r="613" spans="1:7" x14ac:dyDescent="0.3">
      <c r="A613" t="s">
        <v>1411</v>
      </c>
      <c r="B613" t="s">
        <v>1393</v>
      </c>
      <c r="C613" t="s">
        <v>671</v>
      </c>
      <c r="D613" s="2">
        <v>0</v>
      </c>
      <c r="E613" s="2">
        <v>0</v>
      </c>
      <c r="F613" s="2">
        <v>0</v>
      </c>
      <c r="G613" s="2">
        <v>0</v>
      </c>
    </row>
    <row r="614" spans="1:7" x14ac:dyDescent="0.3">
      <c r="A614" t="s">
        <v>1411</v>
      </c>
      <c r="B614" t="s">
        <v>1397</v>
      </c>
      <c r="C614" t="s">
        <v>672</v>
      </c>
      <c r="D614" s="2">
        <v>0.32869999999999999</v>
      </c>
      <c r="E614" s="2">
        <v>0.3246</v>
      </c>
      <c r="F614" s="2">
        <v>0.2787</v>
      </c>
      <c r="G614" s="2">
        <v>0.28539999999999999</v>
      </c>
    </row>
    <row r="615" spans="1:7" x14ac:dyDescent="0.3">
      <c r="A615" t="s">
        <v>1411</v>
      </c>
      <c r="B615" t="s">
        <v>1397</v>
      </c>
      <c r="C615" t="s">
        <v>673</v>
      </c>
      <c r="D615" s="2">
        <v>0.18459999999999999</v>
      </c>
      <c r="E615" s="2">
        <v>0.14019999999999999</v>
      </c>
      <c r="F615" s="2">
        <v>9.9400000000000002E-2</v>
      </c>
      <c r="G615" s="2">
        <v>2.1600000000000001E-2</v>
      </c>
    </row>
    <row r="616" spans="1:7" x14ac:dyDescent="0.3">
      <c r="A616" t="s">
        <v>1411</v>
      </c>
      <c r="B616" t="s">
        <v>1397</v>
      </c>
      <c r="C616" t="s">
        <v>674</v>
      </c>
      <c r="D616" s="2">
        <v>0</v>
      </c>
      <c r="E616" s="2">
        <v>0</v>
      </c>
      <c r="F616" s="2">
        <v>0</v>
      </c>
      <c r="G616" s="2">
        <v>0</v>
      </c>
    </row>
    <row r="617" spans="1:7" x14ac:dyDescent="0.3">
      <c r="A617" t="s">
        <v>1411</v>
      </c>
      <c r="B617" t="s">
        <v>1397</v>
      </c>
      <c r="C617" t="s">
        <v>675</v>
      </c>
      <c r="D617" s="2">
        <v>1.8220000000000001</v>
      </c>
      <c r="E617" s="2">
        <v>1.9450000000000001</v>
      </c>
      <c r="F617" s="2">
        <v>1.7935000000000001</v>
      </c>
      <c r="G617" s="2">
        <v>1.5737000000000001</v>
      </c>
    </row>
    <row r="618" spans="1:7" x14ac:dyDescent="0.3">
      <c r="A618" t="s">
        <v>1411</v>
      </c>
      <c r="B618" t="s">
        <v>1397</v>
      </c>
      <c r="C618" t="s">
        <v>676</v>
      </c>
      <c r="D618" s="2">
        <v>0</v>
      </c>
      <c r="E618" s="2">
        <v>0</v>
      </c>
      <c r="F618" s="2">
        <v>0</v>
      </c>
      <c r="G618" s="2">
        <v>0</v>
      </c>
    </row>
    <row r="619" spans="1:7" x14ac:dyDescent="0.3">
      <c r="A619" t="s">
        <v>1411</v>
      </c>
      <c r="B619" t="s">
        <v>1397</v>
      </c>
      <c r="C619" t="s">
        <v>677</v>
      </c>
      <c r="D619" s="2">
        <v>9.7500000000000003E-2</v>
      </c>
      <c r="E619" s="2">
        <v>0.1104</v>
      </c>
      <c r="F619" s="2">
        <v>0.1231</v>
      </c>
      <c r="G619" s="2">
        <v>0.15240000000000001</v>
      </c>
    </row>
    <row r="620" spans="1:7" x14ac:dyDescent="0.3">
      <c r="A620" t="s">
        <v>1411</v>
      </c>
      <c r="B620" t="s">
        <v>1397</v>
      </c>
      <c r="C620" t="s">
        <v>678</v>
      </c>
      <c r="D620" s="2">
        <v>0.61809999999999998</v>
      </c>
      <c r="E620" s="2">
        <v>0.62009999999999998</v>
      </c>
      <c r="F620" s="2">
        <v>0.60940000000000005</v>
      </c>
      <c r="G620" s="2">
        <v>0.63819999999999999</v>
      </c>
    </row>
    <row r="621" spans="1:7" x14ac:dyDescent="0.3">
      <c r="A621" t="s">
        <v>1411</v>
      </c>
      <c r="B621" t="s">
        <v>1397</v>
      </c>
      <c r="C621" t="s">
        <v>680</v>
      </c>
      <c r="D621" s="2">
        <v>0</v>
      </c>
      <c r="E621" s="2">
        <v>0</v>
      </c>
      <c r="F621" s="2">
        <v>0</v>
      </c>
      <c r="G621" s="2">
        <v>0</v>
      </c>
    </row>
    <row r="622" spans="1:7" x14ac:dyDescent="0.3">
      <c r="A622" t="s">
        <v>1411</v>
      </c>
      <c r="B622" t="s">
        <v>1397</v>
      </c>
      <c r="C622" t="s">
        <v>681</v>
      </c>
      <c r="D622" s="2">
        <v>0</v>
      </c>
      <c r="E622" s="2">
        <v>0</v>
      </c>
      <c r="F622" s="2">
        <v>0</v>
      </c>
      <c r="G622" s="2">
        <v>0</v>
      </c>
    </row>
    <row r="623" spans="1:7" x14ac:dyDescent="0.3">
      <c r="A623" t="s">
        <v>1411</v>
      </c>
      <c r="B623" t="s">
        <v>1397</v>
      </c>
      <c r="C623" t="s">
        <v>682</v>
      </c>
      <c r="D623" s="2">
        <v>0.13719999999999999</v>
      </c>
      <c r="E623" s="2">
        <v>0.1145</v>
      </c>
      <c r="F623" s="2">
        <v>9.35E-2</v>
      </c>
      <c r="G623" s="2">
        <v>9.2899999999999996E-2</v>
      </c>
    </row>
    <row r="624" spans="1:7" x14ac:dyDescent="0.3">
      <c r="A624" t="s">
        <v>1411</v>
      </c>
      <c r="B624" t="s">
        <v>1395</v>
      </c>
      <c r="C624" t="s">
        <v>683</v>
      </c>
      <c r="D624" s="2">
        <v>1.6581999999999999</v>
      </c>
      <c r="E624" s="2">
        <v>1.7010000000000001</v>
      </c>
      <c r="F624" s="2">
        <v>1.714</v>
      </c>
      <c r="G624" s="2">
        <v>1.9582999999999999</v>
      </c>
    </row>
    <row r="625" spans="1:7" x14ac:dyDescent="0.3">
      <c r="A625" t="s">
        <v>1411</v>
      </c>
      <c r="B625" t="s">
        <v>1395</v>
      </c>
      <c r="C625" t="s">
        <v>684</v>
      </c>
      <c r="D625" s="2">
        <v>4.0300000000000002E-2</v>
      </c>
      <c r="E625" s="2">
        <v>1.77E-2</v>
      </c>
      <c r="F625" s="2">
        <v>1.1299999999999999E-2</v>
      </c>
      <c r="G625" s="2">
        <v>3.73E-2</v>
      </c>
    </row>
    <row r="626" spans="1:7" x14ac:dyDescent="0.3">
      <c r="A626" t="s">
        <v>1411</v>
      </c>
      <c r="B626" t="s">
        <v>1395</v>
      </c>
      <c r="C626" t="s">
        <v>685</v>
      </c>
      <c r="D626" s="2">
        <v>0</v>
      </c>
      <c r="E626" s="2">
        <v>0</v>
      </c>
      <c r="F626" s="2">
        <v>0</v>
      </c>
      <c r="G626" s="2">
        <v>0</v>
      </c>
    </row>
    <row r="627" spans="1:7" x14ac:dyDescent="0.3">
      <c r="A627" t="s">
        <v>1411</v>
      </c>
      <c r="B627" t="s">
        <v>1395</v>
      </c>
      <c r="C627" t="s">
        <v>686</v>
      </c>
      <c r="D627" s="2">
        <v>1.1114999999999999</v>
      </c>
      <c r="E627" s="2">
        <v>1.0729</v>
      </c>
      <c r="F627" s="2">
        <v>1.0082</v>
      </c>
      <c r="G627" s="2">
        <v>1.2250000000000001</v>
      </c>
    </row>
    <row r="628" spans="1:7" x14ac:dyDescent="0.3">
      <c r="A628" t="s">
        <v>1411</v>
      </c>
      <c r="B628" t="s">
        <v>1395</v>
      </c>
      <c r="C628" t="s">
        <v>687</v>
      </c>
      <c r="D628" s="2">
        <v>0</v>
      </c>
      <c r="E628" s="2">
        <v>0</v>
      </c>
      <c r="F628" s="2">
        <v>0</v>
      </c>
      <c r="G628" s="2">
        <v>0</v>
      </c>
    </row>
    <row r="629" spans="1:7" x14ac:dyDescent="0.3">
      <c r="A629" t="s">
        <v>1411</v>
      </c>
      <c r="B629" t="s">
        <v>1395</v>
      </c>
      <c r="C629" t="s">
        <v>688</v>
      </c>
      <c r="D629" s="2">
        <v>0.32650000000000001</v>
      </c>
      <c r="E629" s="2">
        <v>0.30980000000000002</v>
      </c>
      <c r="F629" s="2">
        <v>0.28220000000000001</v>
      </c>
      <c r="G629" s="2">
        <v>0.26429999999999998</v>
      </c>
    </row>
    <row r="630" spans="1:7" x14ac:dyDescent="0.3">
      <c r="A630" t="s">
        <v>1411</v>
      </c>
      <c r="B630" t="s">
        <v>1395</v>
      </c>
      <c r="C630" t="s">
        <v>689</v>
      </c>
      <c r="D630" s="2">
        <v>1.2464999999999999</v>
      </c>
      <c r="E630" s="2">
        <v>1.1372</v>
      </c>
      <c r="F630" s="2">
        <v>1.0399</v>
      </c>
      <c r="G630" s="2">
        <v>1.2849999999999999</v>
      </c>
    </row>
    <row r="631" spans="1:7" x14ac:dyDescent="0.3">
      <c r="A631" t="s">
        <v>1411</v>
      </c>
      <c r="B631" t="s">
        <v>1395</v>
      </c>
      <c r="C631" t="s">
        <v>691</v>
      </c>
      <c r="D631" s="2">
        <v>0</v>
      </c>
      <c r="E631" s="2">
        <v>0</v>
      </c>
      <c r="F631" s="2">
        <v>0</v>
      </c>
      <c r="G631" s="2">
        <v>0</v>
      </c>
    </row>
    <row r="632" spans="1:7" x14ac:dyDescent="0.3">
      <c r="A632" t="s">
        <v>1411</v>
      </c>
      <c r="B632" t="s">
        <v>1395</v>
      </c>
      <c r="C632" t="s">
        <v>692</v>
      </c>
      <c r="D632" s="2">
        <v>0</v>
      </c>
      <c r="E632" s="2">
        <v>0</v>
      </c>
      <c r="F632" s="2">
        <v>0</v>
      </c>
      <c r="G632" s="2">
        <v>0</v>
      </c>
    </row>
    <row r="633" spans="1:7" x14ac:dyDescent="0.3">
      <c r="A633" t="s">
        <v>1411</v>
      </c>
      <c r="B633" t="s">
        <v>1395</v>
      </c>
      <c r="C633" t="s">
        <v>693</v>
      </c>
      <c r="D633" s="2">
        <v>1.2251000000000001</v>
      </c>
      <c r="E633" s="2">
        <v>1.4137999999999999</v>
      </c>
      <c r="F633" s="2">
        <v>1.3702000000000001</v>
      </c>
      <c r="G633" s="2">
        <v>1.6736</v>
      </c>
    </row>
    <row r="634" spans="1:7" x14ac:dyDescent="0.3">
      <c r="A634" t="s">
        <v>1412</v>
      </c>
      <c r="B634" t="s">
        <v>1404</v>
      </c>
      <c r="C634" t="s">
        <v>694</v>
      </c>
      <c r="D634" s="2">
        <v>0.23499999999999999</v>
      </c>
      <c r="E634" s="2">
        <v>0.23530000000000001</v>
      </c>
      <c r="F634" s="2">
        <v>0.21299999999999999</v>
      </c>
      <c r="G634" s="2">
        <v>0.2379</v>
      </c>
    </row>
    <row r="635" spans="1:7" x14ac:dyDescent="0.3">
      <c r="A635" t="s">
        <v>1412</v>
      </c>
      <c r="B635" t="s">
        <v>1404</v>
      </c>
      <c r="C635" t="s">
        <v>695</v>
      </c>
      <c r="D635" s="2">
        <v>2.0899999999999998E-2</v>
      </c>
      <c r="E635" s="2">
        <v>7.1999999999999998E-3</v>
      </c>
      <c r="F635" s="2">
        <v>7.1999999999999998E-3</v>
      </c>
      <c r="G635" s="2">
        <v>7.0000000000000001E-3</v>
      </c>
    </row>
    <row r="636" spans="1:7" x14ac:dyDescent="0.3">
      <c r="A636" t="s">
        <v>1412</v>
      </c>
      <c r="B636" t="s">
        <v>1404</v>
      </c>
      <c r="C636" t="s">
        <v>696</v>
      </c>
      <c r="D636" s="2">
        <v>0</v>
      </c>
      <c r="E636" s="2">
        <v>0</v>
      </c>
      <c r="F636" s="2">
        <v>0</v>
      </c>
      <c r="G636" s="2">
        <v>0</v>
      </c>
    </row>
    <row r="637" spans="1:7" x14ac:dyDescent="0.3">
      <c r="A637" t="s">
        <v>1412</v>
      </c>
      <c r="B637" t="s">
        <v>1404</v>
      </c>
      <c r="C637" t="s">
        <v>697</v>
      </c>
      <c r="D637" s="2">
        <v>4.0697999999999999</v>
      </c>
      <c r="E637" s="2">
        <v>4.0715000000000003</v>
      </c>
      <c r="F637" s="2">
        <v>4.4200999999999997</v>
      </c>
      <c r="G637" s="2">
        <v>4.9541000000000004</v>
      </c>
    </row>
    <row r="638" spans="1:7" x14ac:dyDescent="0.3">
      <c r="A638" t="s">
        <v>1412</v>
      </c>
      <c r="B638" t="s">
        <v>1404</v>
      </c>
      <c r="C638" t="s">
        <v>698</v>
      </c>
      <c r="D638" s="2">
        <v>0</v>
      </c>
      <c r="E638" s="2">
        <v>0</v>
      </c>
      <c r="F638" s="2">
        <v>0</v>
      </c>
      <c r="G638" s="2">
        <v>0</v>
      </c>
    </row>
    <row r="639" spans="1:7" x14ac:dyDescent="0.3">
      <c r="A639" t="s">
        <v>1412</v>
      </c>
      <c r="B639" t="s">
        <v>1404</v>
      </c>
      <c r="C639" t="s">
        <v>699</v>
      </c>
      <c r="D639" s="2">
        <v>7.4399999999999994E-2</v>
      </c>
      <c r="E639" s="2">
        <v>7.5499999999999998E-2</v>
      </c>
      <c r="F639" s="2">
        <v>8.1900000000000001E-2</v>
      </c>
      <c r="G639" s="2">
        <v>9.1800000000000007E-2</v>
      </c>
    </row>
    <row r="640" spans="1:7" x14ac:dyDescent="0.3">
      <c r="A640" t="s">
        <v>1412</v>
      </c>
      <c r="B640" t="s">
        <v>1404</v>
      </c>
      <c r="C640" t="s">
        <v>700</v>
      </c>
      <c r="D640" s="2">
        <v>2.6715</v>
      </c>
      <c r="E640" s="2">
        <v>2.7323</v>
      </c>
      <c r="F640" s="2">
        <v>2.8519000000000001</v>
      </c>
      <c r="G640" s="2">
        <v>3.1918000000000002</v>
      </c>
    </row>
    <row r="641" spans="1:7" x14ac:dyDescent="0.3">
      <c r="A641" t="s">
        <v>1412</v>
      </c>
      <c r="B641" t="s">
        <v>1404</v>
      </c>
      <c r="C641" t="s">
        <v>702</v>
      </c>
      <c r="D641" s="2">
        <v>0</v>
      </c>
      <c r="E641" s="2">
        <v>0</v>
      </c>
      <c r="F641" s="2">
        <v>0</v>
      </c>
      <c r="G641" s="2">
        <v>0</v>
      </c>
    </row>
    <row r="642" spans="1:7" x14ac:dyDescent="0.3">
      <c r="A642" t="s">
        <v>1412</v>
      </c>
      <c r="B642" t="s">
        <v>1404</v>
      </c>
      <c r="C642" t="s">
        <v>703</v>
      </c>
      <c r="D642" s="2">
        <v>6.3E-3</v>
      </c>
      <c r="E642" s="2">
        <v>6.3E-3</v>
      </c>
      <c r="F642" s="2">
        <v>9.4000000000000004E-3</v>
      </c>
      <c r="G642" s="2">
        <v>1.0200000000000001E-2</v>
      </c>
    </row>
    <row r="643" spans="1:7" x14ac:dyDescent="0.3">
      <c r="A643" t="s">
        <v>1412</v>
      </c>
      <c r="B643" t="s">
        <v>1404</v>
      </c>
      <c r="C643" t="s">
        <v>704</v>
      </c>
      <c r="D643" s="2">
        <v>0.20250000000000001</v>
      </c>
      <c r="E643" s="2">
        <v>0.20030000000000001</v>
      </c>
      <c r="F643" s="2">
        <v>0.1666</v>
      </c>
      <c r="G643" s="2">
        <v>0.15690000000000001</v>
      </c>
    </row>
    <row r="644" spans="1:7" x14ac:dyDescent="0.3">
      <c r="A644" t="s">
        <v>1412</v>
      </c>
      <c r="B644" t="s">
        <v>1392</v>
      </c>
      <c r="C644" t="s">
        <v>705</v>
      </c>
      <c r="D644" s="2">
        <v>7.0231000000000003</v>
      </c>
      <c r="E644" s="2">
        <v>6.2278000000000002</v>
      </c>
      <c r="F644" s="2">
        <v>7.2374000000000001</v>
      </c>
      <c r="G644" s="2">
        <v>7.8391000000000002</v>
      </c>
    </row>
    <row r="645" spans="1:7" x14ac:dyDescent="0.3">
      <c r="A645" t="s">
        <v>1412</v>
      </c>
      <c r="B645" t="s">
        <v>1392</v>
      </c>
      <c r="C645" t="s">
        <v>706</v>
      </c>
      <c r="D645" s="2">
        <v>0</v>
      </c>
      <c r="E645" s="2">
        <v>0</v>
      </c>
      <c r="F645" s="2">
        <v>0</v>
      </c>
      <c r="G645" s="2">
        <v>0</v>
      </c>
    </row>
    <row r="646" spans="1:7" x14ac:dyDescent="0.3">
      <c r="A646" t="s">
        <v>1412</v>
      </c>
      <c r="B646" t="s">
        <v>1392</v>
      </c>
      <c r="C646" t="s">
        <v>707</v>
      </c>
      <c r="D646" s="2">
        <v>0</v>
      </c>
      <c r="E646" s="2">
        <v>0</v>
      </c>
      <c r="F646" s="2">
        <v>0</v>
      </c>
      <c r="G646" s="2">
        <v>0</v>
      </c>
    </row>
    <row r="647" spans="1:7" x14ac:dyDescent="0.3">
      <c r="A647" t="s">
        <v>1412</v>
      </c>
      <c r="B647" t="s">
        <v>1392</v>
      </c>
      <c r="C647" t="s">
        <v>708</v>
      </c>
      <c r="D647" s="2">
        <v>4.8594999999999997</v>
      </c>
      <c r="E647" s="2">
        <v>4.9724000000000004</v>
      </c>
      <c r="F647" s="2">
        <v>4.6539999999999999</v>
      </c>
      <c r="G647" s="2">
        <v>4.6215000000000002</v>
      </c>
    </row>
    <row r="648" spans="1:7" x14ac:dyDescent="0.3">
      <c r="A648" t="s">
        <v>1412</v>
      </c>
      <c r="B648" t="s">
        <v>1392</v>
      </c>
      <c r="C648" t="s">
        <v>709</v>
      </c>
      <c r="D648" s="2">
        <v>0</v>
      </c>
      <c r="E648" s="2">
        <v>0</v>
      </c>
      <c r="F648" s="2">
        <v>0</v>
      </c>
      <c r="G648" s="2">
        <v>0</v>
      </c>
    </row>
    <row r="649" spans="1:7" x14ac:dyDescent="0.3">
      <c r="A649" t="s">
        <v>1412</v>
      </c>
      <c r="B649" t="s">
        <v>1392</v>
      </c>
      <c r="C649" t="s">
        <v>710</v>
      </c>
      <c r="D649" s="2">
        <v>3.6200000000000003E-2</v>
      </c>
      <c r="E649" s="2">
        <v>3.7100000000000001E-2</v>
      </c>
      <c r="F649" s="2">
        <v>4.0300000000000002E-2</v>
      </c>
      <c r="G649" s="2">
        <v>5.67E-2</v>
      </c>
    </row>
    <row r="650" spans="1:7" x14ac:dyDescent="0.3">
      <c r="A650" t="s">
        <v>1412</v>
      </c>
      <c r="B650" t="s">
        <v>1392</v>
      </c>
      <c r="C650" t="s">
        <v>711</v>
      </c>
      <c r="D650" s="2">
        <v>0.5625</v>
      </c>
      <c r="E650" s="2">
        <v>0.58799999999999997</v>
      </c>
      <c r="F650" s="2">
        <v>0.67059999999999997</v>
      </c>
      <c r="G650" s="2">
        <v>0.75900000000000001</v>
      </c>
    </row>
    <row r="651" spans="1:7" x14ac:dyDescent="0.3">
      <c r="A651" t="s">
        <v>1412</v>
      </c>
      <c r="B651" t="s">
        <v>1392</v>
      </c>
      <c r="C651" t="s">
        <v>713</v>
      </c>
      <c r="D651" s="2">
        <v>0</v>
      </c>
      <c r="E651" s="2">
        <v>0</v>
      </c>
      <c r="F651" s="2">
        <v>0</v>
      </c>
      <c r="G651" s="2">
        <v>0</v>
      </c>
    </row>
    <row r="652" spans="1:7" x14ac:dyDescent="0.3">
      <c r="A652" t="s">
        <v>1412</v>
      </c>
      <c r="B652" t="s">
        <v>1392</v>
      </c>
      <c r="C652" t="s">
        <v>714</v>
      </c>
      <c r="D652" s="2">
        <v>0</v>
      </c>
      <c r="E652" s="2">
        <v>0</v>
      </c>
      <c r="F652" s="2">
        <v>0</v>
      </c>
      <c r="G652" s="2">
        <v>0</v>
      </c>
    </row>
    <row r="653" spans="1:7" x14ac:dyDescent="0.3">
      <c r="A653" t="s">
        <v>1412</v>
      </c>
      <c r="B653" t="s">
        <v>1392</v>
      </c>
      <c r="C653" t="s">
        <v>715</v>
      </c>
      <c r="D653" s="2">
        <v>5.9665999999999997</v>
      </c>
      <c r="E653" s="2">
        <v>6.6238999999999999</v>
      </c>
      <c r="F653" s="2">
        <v>6.6185999999999998</v>
      </c>
      <c r="G653" s="2">
        <v>7.4366000000000003</v>
      </c>
    </row>
    <row r="654" spans="1:7" x14ac:dyDescent="0.3">
      <c r="A654" t="s">
        <v>1412</v>
      </c>
      <c r="B654" t="s">
        <v>1393</v>
      </c>
      <c r="C654" t="s">
        <v>716</v>
      </c>
      <c r="D654" s="2">
        <v>2.1827999999999999</v>
      </c>
      <c r="E654" s="2">
        <v>2.3378000000000001</v>
      </c>
      <c r="F654" s="2">
        <v>1.8129</v>
      </c>
      <c r="G654" s="2">
        <v>1.3084</v>
      </c>
    </row>
    <row r="655" spans="1:7" x14ac:dyDescent="0.3">
      <c r="A655" t="s">
        <v>1412</v>
      </c>
      <c r="B655" t="s">
        <v>1393</v>
      </c>
      <c r="C655" t="s">
        <v>717</v>
      </c>
      <c r="D655" s="2">
        <v>0.62580000000000002</v>
      </c>
      <c r="E655" s="2">
        <v>0.50060000000000004</v>
      </c>
      <c r="F655" s="2">
        <v>0.49980000000000002</v>
      </c>
      <c r="G655" s="2">
        <v>0.43080000000000002</v>
      </c>
    </row>
    <row r="656" spans="1:7" x14ac:dyDescent="0.3">
      <c r="A656" t="s">
        <v>1412</v>
      </c>
      <c r="B656" t="s">
        <v>1393</v>
      </c>
      <c r="C656" t="s">
        <v>718</v>
      </c>
      <c r="D656" s="2">
        <v>0</v>
      </c>
      <c r="E656" s="2">
        <v>0</v>
      </c>
      <c r="F656" s="2">
        <v>0</v>
      </c>
      <c r="G656" s="2">
        <v>0</v>
      </c>
    </row>
    <row r="657" spans="1:7" x14ac:dyDescent="0.3">
      <c r="A657" t="s">
        <v>1412</v>
      </c>
      <c r="B657" t="s">
        <v>1393</v>
      </c>
      <c r="C657" t="s">
        <v>719</v>
      </c>
      <c r="D657" s="2">
        <v>4.1101000000000001</v>
      </c>
      <c r="E657" s="2">
        <v>4.3163999999999998</v>
      </c>
      <c r="F657" s="2">
        <v>4.0026999999999999</v>
      </c>
      <c r="G657" s="2">
        <v>4.2461000000000002</v>
      </c>
    </row>
    <row r="658" spans="1:7" x14ac:dyDescent="0.3">
      <c r="A658" t="s">
        <v>1412</v>
      </c>
      <c r="B658" t="s">
        <v>1393</v>
      </c>
      <c r="C658" t="s">
        <v>720</v>
      </c>
      <c r="D658" s="2">
        <v>0</v>
      </c>
      <c r="E658" s="2">
        <v>0</v>
      </c>
      <c r="F658" s="2">
        <v>0</v>
      </c>
      <c r="G658" s="2">
        <v>0</v>
      </c>
    </row>
    <row r="659" spans="1:7" x14ac:dyDescent="0.3">
      <c r="A659" t="s">
        <v>1412</v>
      </c>
      <c r="B659" t="s">
        <v>1393</v>
      </c>
      <c r="C659" t="s">
        <v>721</v>
      </c>
      <c r="D659" s="2">
        <v>2.4908000000000001</v>
      </c>
      <c r="E659" s="2">
        <v>3.0076000000000001</v>
      </c>
      <c r="F659" s="2">
        <v>2.7808999999999999</v>
      </c>
      <c r="G659" s="2">
        <v>3.7764000000000002</v>
      </c>
    </row>
    <row r="660" spans="1:7" x14ac:dyDescent="0.3">
      <c r="A660" t="s">
        <v>1412</v>
      </c>
      <c r="B660" t="s">
        <v>1393</v>
      </c>
      <c r="C660" t="s">
        <v>722</v>
      </c>
      <c r="D660" s="2">
        <v>1.3232999999999999</v>
      </c>
      <c r="E660" s="2">
        <v>1.3119000000000001</v>
      </c>
      <c r="F660" s="2">
        <v>1.2875000000000001</v>
      </c>
      <c r="G660" s="2">
        <v>1.4260999999999999</v>
      </c>
    </row>
    <row r="661" spans="1:7" x14ac:dyDescent="0.3">
      <c r="A661" t="s">
        <v>1412</v>
      </c>
      <c r="B661" t="s">
        <v>1393</v>
      </c>
      <c r="C661" t="s">
        <v>724</v>
      </c>
      <c r="D661" s="2">
        <v>0</v>
      </c>
      <c r="E661" s="2">
        <v>0</v>
      </c>
      <c r="F661" s="2">
        <v>0</v>
      </c>
      <c r="G661" s="2">
        <v>0</v>
      </c>
    </row>
    <row r="662" spans="1:7" x14ac:dyDescent="0.3">
      <c r="A662" t="s">
        <v>1412</v>
      </c>
      <c r="B662" t="s">
        <v>1393</v>
      </c>
      <c r="C662" t="s">
        <v>725</v>
      </c>
      <c r="D662" s="2">
        <v>6.0000000000000001E-3</v>
      </c>
      <c r="E662" s="2">
        <v>8.2000000000000007E-3</v>
      </c>
      <c r="F662" s="2">
        <v>0</v>
      </c>
      <c r="G662" s="2">
        <v>0</v>
      </c>
    </row>
    <row r="663" spans="1:7" x14ac:dyDescent="0.3">
      <c r="A663" t="s">
        <v>1412</v>
      </c>
      <c r="B663" t="s">
        <v>1393</v>
      </c>
      <c r="C663" t="s">
        <v>726</v>
      </c>
      <c r="D663" s="2">
        <v>7.1900000000000006E-2</v>
      </c>
      <c r="E663" s="2">
        <v>7.3099999999999998E-2</v>
      </c>
      <c r="F663" s="2">
        <v>6.9699999999999998E-2</v>
      </c>
      <c r="G663" s="2">
        <v>7.7499999999999999E-2</v>
      </c>
    </row>
    <row r="664" spans="1:7" x14ac:dyDescent="0.3">
      <c r="A664" t="s">
        <v>1412</v>
      </c>
      <c r="B664" t="s">
        <v>1397</v>
      </c>
      <c r="C664" t="s">
        <v>727</v>
      </c>
      <c r="D664" s="2">
        <v>0.24049999999999999</v>
      </c>
      <c r="E664" s="2">
        <v>0.25929999999999997</v>
      </c>
      <c r="F664" s="2">
        <v>0.3211</v>
      </c>
      <c r="G664" s="2">
        <v>0.29849999999999999</v>
      </c>
    </row>
    <row r="665" spans="1:7" x14ac:dyDescent="0.3">
      <c r="A665" t="s">
        <v>1412</v>
      </c>
      <c r="B665" t="s">
        <v>1397</v>
      </c>
      <c r="C665" t="s">
        <v>728</v>
      </c>
      <c r="D665" s="2">
        <v>3.39E-2</v>
      </c>
      <c r="E665" s="2">
        <v>2.24E-2</v>
      </c>
      <c r="F665" s="2">
        <v>2.2499999999999999E-2</v>
      </c>
      <c r="G665" s="2">
        <v>2.2499999999999999E-2</v>
      </c>
    </row>
    <row r="666" spans="1:7" x14ac:dyDescent="0.3">
      <c r="A666" t="s">
        <v>1412</v>
      </c>
      <c r="B666" t="s">
        <v>1397</v>
      </c>
      <c r="C666" t="s">
        <v>729</v>
      </c>
      <c r="D666" s="2">
        <v>0</v>
      </c>
      <c r="E666" s="2">
        <v>0</v>
      </c>
      <c r="F666" s="2">
        <v>0</v>
      </c>
      <c r="G666" s="2">
        <v>0</v>
      </c>
    </row>
    <row r="667" spans="1:7" x14ac:dyDescent="0.3">
      <c r="A667" t="s">
        <v>1412</v>
      </c>
      <c r="B667" t="s">
        <v>1397</v>
      </c>
      <c r="C667" t="s">
        <v>730</v>
      </c>
      <c r="D667" s="2">
        <v>6.7531999999999996</v>
      </c>
      <c r="E667" s="2">
        <v>6.2579000000000002</v>
      </c>
      <c r="F667" s="2">
        <v>6.5613000000000001</v>
      </c>
      <c r="G667" s="2">
        <v>6.9625000000000004</v>
      </c>
    </row>
    <row r="668" spans="1:7" x14ac:dyDescent="0.3">
      <c r="A668" t="s">
        <v>1412</v>
      </c>
      <c r="B668" t="s">
        <v>1397</v>
      </c>
      <c r="C668" t="s">
        <v>731</v>
      </c>
      <c r="D668" s="2">
        <v>0</v>
      </c>
      <c r="E668" s="2">
        <v>0</v>
      </c>
      <c r="F668" s="2">
        <v>0</v>
      </c>
      <c r="G668" s="2">
        <v>0</v>
      </c>
    </row>
    <row r="669" spans="1:7" x14ac:dyDescent="0.3">
      <c r="A669" t="s">
        <v>1412</v>
      </c>
      <c r="B669" t="s">
        <v>1397</v>
      </c>
      <c r="C669" t="s">
        <v>732</v>
      </c>
      <c r="D669" s="2">
        <v>1.0123</v>
      </c>
      <c r="E669" s="2">
        <v>1.2781</v>
      </c>
      <c r="F669" s="2">
        <v>1.2757000000000001</v>
      </c>
      <c r="G669" s="2">
        <v>1.3654999999999999</v>
      </c>
    </row>
    <row r="670" spans="1:7" x14ac:dyDescent="0.3">
      <c r="A670" t="s">
        <v>1412</v>
      </c>
      <c r="B670" t="s">
        <v>1397</v>
      </c>
      <c r="C670" t="s">
        <v>733</v>
      </c>
      <c r="D670" s="2">
        <v>2.3266</v>
      </c>
      <c r="E670" s="2">
        <v>2.5937000000000001</v>
      </c>
      <c r="F670" s="2">
        <v>2.5472000000000001</v>
      </c>
      <c r="G670" s="2">
        <v>2.6124999999999998</v>
      </c>
    </row>
    <row r="671" spans="1:7" x14ac:dyDescent="0.3">
      <c r="A671" t="s">
        <v>1412</v>
      </c>
      <c r="B671" t="s">
        <v>1397</v>
      </c>
      <c r="C671" t="s">
        <v>735</v>
      </c>
      <c r="D671" s="2">
        <v>0</v>
      </c>
      <c r="E671" s="2">
        <v>0</v>
      </c>
      <c r="F671" s="2">
        <v>0</v>
      </c>
      <c r="G671" s="2">
        <v>0</v>
      </c>
    </row>
    <row r="672" spans="1:7" x14ac:dyDescent="0.3">
      <c r="A672" t="s">
        <v>1412</v>
      </c>
      <c r="B672" t="s">
        <v>1397</v>
      </c>
      <c r="C672" t="s">
        <v>736</v>
      </c>
      <c r="D672" s="2">
        <v>1.46E-2</v>
      </c>
      <c r="E672" s="2">
        <v>1.2999999999999999E-2</v>
      </c>
      <c r="F672" s="2">
        <v>1.38E-2</v>
      </c>
      <c r="G672" s="2">
        <v>1.5299999999999999E-2</v>
      </c>
    </row>
    <row r="673" spans="1:7" x14ac:dyDescent="0.3">
      <c r="A673" t="s">
        <v>1412</v>
      </c>
      <c r="B673" t="s">
        <v>1397</v>
      </c>
      <c r="C673" t="s">
        <v>737</v>
      </c>
      <c r="D673" s="2">
        <v>0.43480000000000002</v>
      </c>
      <c r="E673" s="2">
        <v>0.34620000000000001</v>
      </c>
      <c r="F673" s="2">
        <v>0.51319999999999999</v>
      </c>
      <c r="G673" s="2">
        <v>0.58240000000000003</v>
      </c>
    </row>
    <row r="674" spans="1:7" x14ac:dyDescent="0.3">
      <c r="A674" t="s">
        <v>1412</v>
      </c>
      <c r="B674" t="s">
        <v>1395</v>
      </c>
      <c r="C674" t="s">
        <v>738</v>
      </c>
      <c r="D674" s="2">
        <v>3.2738</v>
      </c>
      <c r="E674" s="2">
        <v>3.1063999999999998</v>
      </c>
      <c r="F674" s="2">
        <v>3.3176000000000001</v>
      </c>
      <c r="G674" s="2">
        <v>3.5101</v>
      </c>
    </row>
    <row r="675" spans="1:7" x14ac:dyDescent="0.3">
      <c r="A675" t="s">
        <v>1412</v>
      </c>
      <c r="B675" t="s">
        <v>1395</v>
      </c>
      <c r="C675" t="s">
        <v>739</v>
      </c>
      <c r="D675" s="2">
        <v>2.1753999999999998</v>
      </c>
      <c r="E675" s="2">
        <v>1.9463999999999999</v>
      </c>
      <c r="F675" s="2">
        <v>1.6498999999999999</v>
      </c>
      <c r="G675" s="2">
        <v>1.1739999999999999</v>
      </c>
    </row>
    <row r="676" spans="1:7" x14ac:dyDescent="0.3">
      <c r="A676" t="s">
        <v>1412</v>
      </c>
      <c r="B676" t="s">
        <v>1395</v>
      </c>
      <c r="C676" t="s">
        <v>740</v>
      </c>
      <c r="D676" s="2">
        <v>0</v>
      </c>
      <c r="E676" s="2">
        <v>0</v>
      </c>
      <c r="F676" s="2">
        <v>0</v>
      </c>
      <c r="G676" s="2">
        <v>0</v>
      </c>
    </row>
    <row r="677" spans="1:7" x14ac:dyDescent="0.3">
      <c r="A677" t="s">
        <v>1412</v>
      </c>
      <c r="B677" t="s">
        <v>1395</v>
      </c>
      <c r="C677" t="s">
        <v>741</v>
      </c>
      <c r="D677" s="2">
        <v>9.1709999999999994</v>
      </c>
      <c r="E677" s="2">
        <v>8.8485999999999994</v>
      </c>
      <c r="F677" s="2">
        <v>8.4474</v>
      </c>
      <c r="G677" s="2">
        <v>9.2688000000000006</v>
      </c>
    </row>
    <row r="678" spans="1:7" x14ac:dyDescent="0.3">
      <c r="A678" t="s">
        <v>1412</v>
      </c>
      <c r="B678" t="s">
        <v>1395</v>
      </c>
      <c r="C678" t="s">
        <v>742</v>
      </c>
      <c r="D678" s="2">
        <v>0</v>
      </c>
      <c r="E678" s="2">
        <v>0</v>
      </c>
      <c r="F678" s="2">
        <v>0</v>
      </c>
      <c r="G678" s="2">
        <v>0</v>
      </c>
    </row>
    <row r="679" spans="1:7" x14ac:dyDescent="0.3">
      <c r="A679" t="s">
        <v>1412</v>
      </c>
      <c r="B679" t="s">
        <v>1395</v>
      </c>
      <c r="C679" t="s">
        <v>743</v>
      </c>
      <c r="D679" s="2">
        <v>2.2757000000000001</v>
      </c>
      <c r="E679" s="2">
        <v>2.6413000000000002</v>
      </c>
      <c r="F679" s="2">
        <v>2.9053</v>
      </c>
      <c r="G679" s="2">
        <v>3.5053000000000001</v>
      </c>
    </row>
    <row r="680" spans="1:7" x14ac:dyDescent="0.3">
      <c r="A680" t="s">
        <v>1412</v>
      </c>
      <c r="B680" t="s">
        <v>1395</v>
      </c>
      <c r="C680" t="s">
        <v>744</v>
      </c>
      <c r="D680" s="2">
        <v>5.6506999999999996</v>
      </c>
      <c r="E680" s="2">
        <v>5.6375999999999999</v>
      </c>
      <c r="F680" s="2">
        <v>5.1639999999999997</v>
      </c>
      <c r="G680" s="2">
        <v>5.4255000000000004</v>
      </c>
    </row>
    <row r="681" spans="1:7" x14ac:dyDescent="0.3">
      <c r="A681" t="s">
        <v>1412</v>
      </c>
      <c r="B681" t="s">
        <v>1395</v>
      </c>
      <c r="C681" t="s">
        <v>746</v>
      </c>
      <c r="D681" s="2">
        <v>0</v>
      </c>
      <c r="E681" s="2">
        <v>0</v>
      </c>
      <c r="F681" s="2">
        <v>0</v>
      </c>
      <c r="G681" s="2">
        <v>0</v>
      </c>
    </row>
    <row r="682" spans="1:7" x14ac:dyDescent="0.3">
      <c r="A682" t="s">
        <v>1412</v>
      </c>
      <c r="B682" t="s">
        <v>1395</v>
      </c>
      <c r="C682" t="s">
        <v>747</v>
      </c>
      <c r="D682" s="2">
        <v>2.2700000000000001E-2</v>
      </c>
      <c r="E682" s="2">
        <v>2.06E-2</v>
      </c>
      <c r="F682" s="2">
        <v>2.6499999999999999E-2</v>
      </c>
      <c r="G682" s="2">
        <v>3.44E-2</v>
      </c>
    </row>
    <row r="683" spans="1:7" x14ac:dyDescent="0.3">
      <c r="A683" t="s">
        <v>1412</v>
      </c>
      <c r="B683" t="s">
        <v>1395</v>
      </c>
      <c r="C683" t="s">
        <v>748</v>
      </c>
      <c r="D683" s="2">
        <v>2.3704999999999998</v>
      </c>
      <c r="E683" s="2">
        <v>2.3035000000000001</v>
      </c>
      <c r="F683" s="2">
        <v>2.2481</v>
      </c>
      <c r="G683" s="2">
        <v>2.3618999999999999</v>
      </c>
    </row>
    <row r="684" spans="1:7" x14ac:dyDescent="0.3">
      <c r="A684" t="s">
        <v>1413</v>
      </c>
      <c r="B684" t="s">
        <v>1399</v>
      </c>
      <c r="C684" t="s">
        <v>749</v>
      </c>
      <c r="D684" s="2">
        <v>0.1111</v>
      </c>
      <c r="E684" s="2">
        <v>0.11700000000000001</v>
      </c>
      <c r="F684" s="2">
        <v>0.18440000000000001</v>
      </c>
      <c r="G684" s="2">
        <v>7.4700000000000003E-2</v>
      </c>
    </row>
    <row r="685" spans="1:7" x14ac:dyDescent="0.3">
      <c r="A685" t="s">
        <v>1413</v>
      </c>
      <c r="B685" t="s">
        <v>1399</v>
      </c>
      <c r="C685" t="s">
        <v>750</v>
      </c>
      <c r="D685" s="2">
        <v>0</v>
      </c>
      <c r="E685" s="2">
        <v>0</v>
      </c>
      <c r="F685" s="2">
        <v>0</v>
      </c>
      <c r="G685" s="2">
        <v>0</v>
      </c>
    </row>
    <row r="686" spans="1:7" x14ac:dyDescent="0.3">
      <c r="A686" t="s">
        <v>1413</v>
      </c>
      <c r="B686" t="s">
        <v>1399</v>
      </c>
      <c r="C686" t="s">
        <v>751</v>
      </c>
      <c r="D686" s="2">
        <v>0</v>
      </c>
      <c r="E686" s="2">
        <v>0</v>
      </c>
      <c r="F686" s="2">
        <v>0</v>
      </c>
      <c r="G686" s="2">
        <v>0</v>
      </c>
    </row>
    <row r="687" spans="1:7" x14ac:dyDescent="0.3">
      <c r="A687" t="s">
        <v>1413</v>
      </c>
      <c r="B687" t="s">
        <v>1399</v>
      </c>
      <c r="C687" t="s">
        <v>752</v>
      </c>
      <c r="D687" s="2">
        <v>7.9283999999999999</v>
      </c>
      <c r="E687" s="2">
        <v>8.3134999999999994</v>
      </c>
      <c r="F687" s="2">
        <v>7.8041</v>
      </c>
      <c r="G687" s="2">
        <v>8.1700999999999997</v>
      </c>
    </row>
    <row r="688" spans="1:7" x14ac:dyDescent="0.3">
      <c r="A688" t="s">
        <v>1413</v>
      </c>
      <c r="B688" t="s">
        <v>1399</v>
      </c>
      <c r="C688" t="s">
        <v>753</v>
      </c>
      <c r="D688" s="2">
        <v>0</v>
      </c>
      <c r="E688" s="2">
        <v>0</v>
      </c>
      <c r="F688" s="2">
        <v>0</v>
      </c>
      <c r="G688" s="2">
        <v>0</v>
      </c>
    </row>
    <row r="689" spans="1:7" x14ac:dyDescent="0.3">
      <c r="A689" t="s">
        <v>1413</v>
      </c>
      <c r="B689" t="s">
        <v>1399</v>
      </c>
      <c r="C689" t="s">
        <v>754</v>
      </c>
      <c r="D689" s="2">
        <v>0</v>
      </c>
      <c r="E689" s="2">
        <v>0</v>
      </c>
      <c r="F689" s="2">
        <v>0</v>
      </c>
      <c r="G689" s="2">
        <v>0</v>
      </c>
    </row>
    <row r="690" spans="1:7" x14ac:dyDescent="0.3">
      <c r="A690" t="s">
        <v>1413</v>
      </c>
      <c r="B690" t="s">
        <v>1399</v>
      </c>
      <c r="C690" t="s">
        <v>755</v>
      </c>
      <c r="D690" s="2">
        <v>1.2012</v>
      </c>
      <c r="E690" s="2">
        <v>1.0714999999999999</v>
      </c>
      <c r="F690" s="2">
        <v>1.2707999999999999</v>
      </c>
      <c r="G690" s="2">
        <v>1.08</v>
      </c>
    </row>
    <row r="691" spans="1:7" x14ac:dyDescent="0.3">
      <c r="A691" t="s">
        <v>1413</v>
      </c>
      <c r="B691" t="s">
        <v>1399</v>
      </c>
      <c r="C691" t="s">
        <v>757</v>
      </c>
      <c r="D691" s="2">
        <v>0</v>
      </c>
      <c r="E691" s="2">
        <v>0</v>
      </c>
      <c r="F691" s="2">
        <v>0</v>
      </c>
      <c r="G691" s="2">
        <v>0</v>
      </c>
    </row>
    <row r="692" spans="1:7" x14ac:dyDescent="0.3">
      <c r="A692" t="s">
        <v>1413</v>
      </c>
      <c r="B692" t="s">
        <v>1399</v>
      </c>
      <c r="C692" t="s">
        <v>758</v>
      </c>
      <c r="D692" s="2">
        <v>0</v>
      </c>
      <c r="E692" s="2">
        <v>0</v>
      </c>
      <c r="F692" s="2">
        <v>0</v>
      </c>
      <c r="G692" s="2">
        <v>0</v>
      </c>
    </row>
    <row r="693" spans="1:7" x14ac:dyDescent="0.3">
      <c r="A693" t="s">
        <v>1413</v>
      </c>
      <c r="B693" t="s">
        <v>1399</v>
      </c>
      <c r="C693" t="s">
        <v>759</v>
      </c>
      <c r="D693" s="2">
        <v>0</v>
      </c>
      <c r="E693" s="2">
        <v>0</v>
      </c>
      <c r="F693" s="2">
        <v>0</v>
      </c>
      <c r="G693" s="2">
        <v>0</v>
      </c>
    </row>
    <row r="694" spans="1:7" x14ac:dyDescent="0.3">
      <c r="A694" t="s">
        <v>1413</v>
      </c>
      <c r="B694" t="s">
        <v>1392</v>
      </c>
      <c r="C694" t="s">
        <v>760</v>
      </c>
      <c r="D694" s="2">
        <v>0.57730000000000004</v>
      </c>
      <c r="E694" s="2">
        <v>0.51949999999999996</v>
      </c>
      <c r="F694" s="2">
        <v>0.44269999999999998</v>
      </c>
      <c r="G694" s="2">
        <v>0.39929999999999999</v>
      </c>
    </row>
    <row r="695" spans="1:7" x14ac:dyDescent="0.3">
      <c r="A695" t="s">
        <v>1413</v>
      </c>
      <c r="B695" t="s">
        <v>1392</v>
      </c>
      <c r="C695" t="s">
        <v>761</v>
      </c>
      <c r="D695" s="2">
        <v>0</v>
      </c>
      <c r="E695" s="2">
        <v>0</v>
      </c>
      <c r="F695" s="2">
        <v>0</v>
      </c>
      <c r="G695" s="2">
        <v>0</v>
      </c>
    </row>
    <row r="696" spans="1:7" x14ac:dyDescent="0.3">
      <c r="A696" t="s">
        <v>1413</v>
      </c>
      <c r="B696" t="s">
        <v>1392</v>
      </c>
      <c r="C696" t="s">
        <v>762</v>
      </c>
      <c r="D696" s="2">
        <v>0</v>
      </c>
      <c r="E696" s="2">
        <v>0</v>
      </c>
      <c r="F696" s="2">
        <v>0</v>
      </c>
      <c r="G696" s="2">
        <v>0</v>
      </c>
    </row>
    <row r="697" spans="1:7" x14ac:dyDescent="0.3">
      <c r="A697" t="s">
        <v>1413</v>
      </c>
      <c r="B697" t="s">
        <v>1392</v>
      </c>
      <c r="C697" t="s">
        <v>763</v>
      </c>
      <c r="D697" s="2">
        <v>3.6760999999999999</v>
      </c>
      <c r="E697" s="2">
        <v>3.7155</v>
      </c>
      <c r="F697" s="2">
        <v>3.8677999999999999</v>
      </c>
      <c r="G697" s="2">
        <v>3.5910000000000002</v>
      </c>
    </row>
    <row r="698" spans="1:7" x14ac:dyDescent="0.3">
      <c r="A698" t="s">
        <v>1413</v>
      </c>
      <c r="B698" t="s">
        <v>1392</v>
      </c>
      <c r="C698" t="s">
        <v>764</v>
      </c>
      <c r="D698" s="2">
        <v>0</v>
      </c>
      <c r="E698" s="2">
        <v>0</v>
      </c>
      <c r="F698" s="2">
        <v>0</v>
      </c>
      <c r="G698" s="2">
        <v>0</v>
      </c>
    </row>
    <row r="699" spans="1:7" x14ac:dyDescent="0.3">
      <c r="A699" t="s">
        <v>1413</v>
      </c>
      <c r="B699" t="s">
        <v>1392</v>
      </c>
      <c r="C699" t="s">
        <v>765</v>
      </c>
      <c r="D699" s="2">
        <v>0</v>
      </c>
      <c r="E699" s="2">
        <v>0</v>
      </c>
      <c r="F699" s="2">
        <v>0</v>
      </c>
      <c r="G699" s="2">
        <v>0</v>
      </c>
    </row>
    <row r="700" spans="1:7" x14ac:dyDescent="0.3">
      <c r="A700" t="s">
        <v>1413</v>
      </c>
      <c r="B700" t="s">
        <v>1392</v>
      </c>
      <c r="C700" t="s">
        <v>766</v>
      </c>
      <c r="D700" s="2">
        <v>0.2243</v>
      </c>
      <c r="E700" s="2">
        <v>0.31740000000000002</v>
      </c>
      <c r="F700" s="2">
        <v>0.36759999999999998</v>
      </c>
      <c r="G700" s="2">
        <v>0.38669999999999999</v>
      </c>
    </row>
    <row r="701" spans="1:7" x14ac:dyDescent="0.3">
      <c r="A701" t="s">
        <v>1413</v>
      </c>
      <c r="B701" t="s">
        <v>1392</v>
      </c>
      <c r="C701" t="s">
        <v>768</v>
      </c>
      <c r="D701" s="2">
        <v>0</v>
      </c>
      <c r="E701" s="2">
        <v>0</v>
      </c>
      <c r="F701" s="2">
        <v>0</v>
      </c>
      <c r="G701" s="2">
        <v>0</v>
      </c>
    </row>
    <row r="702" spans="1:7" x14ac:dyDescent="0.3">
      <c r="A702" t="s">
        <v>1413</v>
      </c>
      <c r="B702" t="s">
        <v>1392</v>
      </c>
      <c r="C702" t="s">
        <v>769</v>
      </c>
      <c r="D702" s="2">
        <v>0</v>
      </c>
      <c r="E702" s="2">
        <v>0</v>
      </c>
      <c r="F702" s="2">
        <v>0</v>
      </c>
      <c r="G702" s="2">
        <v>0</v>
      </c>
    </row>
    <row r="703" spans="1:7" x14ac:dyDescent="0.3">
      <c r="A703" t="s">
        <v>1413</v>
      </c>
      <c r="B703" t="s">
        <v>1392</v>
      </c>
      <c r="C703" t="s">
        <v>770</v>
      </c>
      <c r="D703" s="2">
        <v>0</v>
      </c>
      <c r="E703" s="2">
        <v>0</v>
      </c>
      <c r="F703" s="2">
        <v>0</v>
      </c>
      <c r="G703" s="2">
        <v>0</v>
      </c>
    </row>
    <row r="704" spans="1:7" x14ac:dyDescent="0.3">
      <c r="A704" t="s">
        <v>1413</v>
      </c>
      <c r="B704" t="s">
        <v>1393</v>
      </c>
      <c r="C704" t="s">
        <v>771</v>
      </c>
      <c r="D704" s="2">
        <v>3.7629999999999999</v>
      </c>
      <c r="E704" s="2">
        <v>3.7610000000000001</v>
      </c>
      <c r="F704" s="2">
        <v>3.4882</v>
      </c>
      <c r="G704" s="2">
        <v>4.0117000000000003</v>
      </c>
    </row>
    <row r="705" spans="1:7" x14ac:dyDescent="0.3">
      <c r="A705" t="s">
        <v>1413</v>
      </c>
      <c r="B705" t="s">
        <v>1393</v>
      </c>
      <c r="C705" t="s">
        <v>772</v>
      </c>
      <c r="D705" s="2">
        <v>1.8895999999999999</v>
      </c>
      <c r="E705" s="2">
        <v>1.7506999999999999</v>
      </c>
      <c r="F705" s="2">
        <v>1.6822999999999999</v>
      </c>
      <c r="G705" s="2">
        <v>1.9885999999999999</v>
      </c>
    </row>
    <row r="706" spans="1:7" x14ac:dyDescent="0.3">
      <c r="A706" t="s">
        <v>1413</v>
      </c>
      <c r="B706" t="s">
        <v>1393</v>
      </c>
      <c r="C706" t="s">
        <v>773</v>
      </c>
      <c r="D706" s="2">
        <v>0</v>
      </c>
      <c r="E706" s="2">
        <v>0</v>
      </c>
      <c r="F706" s="2">
        <v>0</v>
      </c>
      <c r="G706" s="2">
        <v>0</v>
      </c>
    </row>
    <row r="707" spans="1:7" x14ac:dyDescent="0.3">
      <c r="A707" t="s">
        <v>1413</v>
      </c>
      <c r="B707" t="s">
        <v>1393</v>
      </c>
      <c r="C707" t="s">
        <v>774</v>
      </c>
      <c r="D707" s="2">
        <v>0.59260000000000002</v>
      </c>
      <c r="E707" s="2">
        <v>0.60909999999999997</v>
      </c>
      <c r="F707" s="2">
        <v>0.62090000000000001</v>
      </c>
      <c r="G707" s="2">
        <v>0.80869999999999997</v>
      </c>
    </row>
    <row r="708" spans="1:7" x14ac:dyDescent="0.3">
      <c r="A708" t="s">
        <v>1413</v>
      </c>
      <c r="B708" t="s">
        <v>1393</v>
      </c>
      <c r="C708" t="s">
        <v>775</v>
      </c>
      <c r="D708" s="2">
        <v>0</v>
      </c>
      <c r="E708" s="2">
        <v>0</v>
      </c>
      <c r="F708" s="2">
        <v>0</v>
      </c>
      <c r="G708" s="2">
        <v>0</v>
      </c>
    </row>
    <row r="709" spans="1:7" x14ac:dyDescent="0.3">
      <c r="A709" t="s">
        <v>1413</v>
      </c>
      <c r="B709" t="s">
        <v>1393</v>
      </c>
      <c r="C709" t="s">
        <v>776</v>
      </c>
      <c r="D709" s="2">
        <v>2.3454000000000002</v>
      </c>
      <c r="E709" s="2">
        <v>2.3771</v>
      </c>
      <c r="F709" s="2">
        <v>2.3752</v>
      </c>
      <c r="G709" s="2">
        <v>2.5163000000000002</v>
      </c>
    </row>
    <row r="710" spans="1:7" x14ac:dyDescent="0.3">
      <c r="A710" t="s">
        <v>1413</v>
      </c>
      <c r="B710" t="s">
        <v>1393</v>
      </c>
      <c r="C710" t="s">
        <v>777</v>
      </c>
      <c r="D710" s="2">
        <v>0.62480000000000002</v>
      </c>
      <c r="E710" s="2">
        <v>0.55820000000000003</v>
      </c>
      <c r="F710" s="2">
        <v>0.48970000000000002</v>
      </c>
      <c r="G710" s="2">
        <v>0.60370000000000001</v>
      </c>
    </row>
    <row r="711" spans="1:7" x14ac:dyDescent="0.3">
      <c r="A711" t="s">
        <v>1413</v>
      </c>
      <c r="B711" t="s">
        <v>1393</v>
      </c>
      <c r="C711" t="s">
        <v>779</v>
      </c>
      <c r="D711" s="2">
        <v>0</v>
      </c>
      <c r="E711" s="2">
        <v>0</v>
      </c>
      <c r="F711" s="2">
        <v>0</v>
      </c>
      <c r="G711" s="2">
        <v>0</v>
      </c>
    </row>
    <row r="712" spans="1:7" x14ac:dyDescent="0.3">
      <c r="A712" t="s">
        <v>1413</v>
      </c>
      <c r="B712" t="s">
        <v>1393</v>
      </c>
      <c r="C712" t="s">
        <v>780</v>
      </c>
      <c r="D712" s="2">
        <v>0</v>
      </c>
      <c r="E712" s="2">
        <v>0</v>
      </c>
      <c r="F712" s="2">
        <v>0</v>
      </c>
      <c r="G712" s="2">
        <v>0</v>
      </c>
    </row>
    <row r="713" spans="1:7" x14ac:dyDescent="0.3">
      <c r="A713" t="s">
        <v>1413</v>
      </c>
      <c r="B713" t="s">
        <v>1393</v>
      </c>
      <c r="C713" t="s">
        <v>781</v>
      </c>
      <c r="D713" s="2">
        <v>0</v>
      </c>
      <c r="E713" s="2">
        <v>0</v>
      </c>
      <c r="F713" s="2">
        <v>0</v>
      </c>
      <c r="G713" s="2">
        <v>0</v>
      </c>
    </row>
    <row r="714" spans="1:7" x14ac:dyDescent="0.3">
      <c r="A714" t="s">
        <v>1413</v>
      </c>
      <c r="B714" t="s">
        <v>1397</v>
      </c>
      <c r="C714" t="s">
        <v>782</v>
      </c>
      <c r="D714" s="2">
        <v>1.2371000000000001</v>
      </c>
      <c r="E714" s="2">
        <v>1.2381</v>
      </c>
      <c r="F714" s="2">
        <v>1.2477</v>
      </c>
      <c r="G714" s="2">
        <v>1.2589999999999999</v>
      </c>
    </row>
    <row r="715" spans="1:7" x14ac:dyDescent="0.3">
      <c r="A715" t="s">
        <v>1413</v>
      </c>
      <c r="B715" t="s">
        <v>1397</v>
      </c>
      <c r="C715" t="s">
        <v>783</v>
      </c>
      <c r="D715" s="2">
        <v>0.31169999999999998</v>
      </c>
      <c r="E715" s="2">
        <v>0</v>
      </c>
      <c r="F715" s="2">
        <v>0</v>
      </c>
      <c r="G715" s="2">
        <v>0</v>
      </c>
    </row>
    <row r="716" spans="1:7" x14ac:dyDescent="0.3">
      <c r="A716" t="s">
        <v>1413</v>
      </c>
      <c r="B716" t="s">
        <v>1397</v>
      </c>
      <c r="C716" t="s">
        <v>784</v>
      </c>
      <c r="D716" s="2">
        <v>0</v>
      </c>
      <c r="E716" s="2">
        <v>0</v>
      </c>
      <c r="F716" s="2">
        <v>0</v>
      </c>
      <c r="G716" s="2">
        <v>0</v>
      </c>
    </row>
    <row r="717" spans="1:7" x14ac:dyDescent="0.3">
      <c r="A717" t="s">
        <v>1413</v>
      </c>
      <c r="B717" t="s">
        <v>1397</v>
      </c>
      <c r="C717" t="s">
        <v>785</v>
      </c>
      <c r="D717" s="2">
        <v>5.6218000000000004</v>
      </c>
      <c r="E717" s="2">
        <v>5.6623000000000001</v>
      </c>
      <c r="F717" s="2">
        <v>5.7991999999999999</v>
      </c>
      <c r="G717" s="2">
        <v>6.2149000000000001</v>
      </c>
    </row>
    <row r="718" spans="1:7" x14ac:dyDescent="0.3">
      <c r="A718" t="s">
        <v>1413</v>
      </c>
      <c r="B718" t="s">
        <v>1397</v>
      </c>
      <c r="C718" t="s">
        <v>786</v>
      </c>
      <c r="D718" s="2">
        <v>0</v>
      </c>
      <c r="E718" s="2">
        <v>0</v>
      </c>
      <c r="F718" s="2">
        <v>0</v>
      </c>
      <c r="G718" s="2">
        <v>0</v>
      </c>
    </row>
    <row r="719" spans="1:7" x14ac:dyDescent="0.3">
      <c r="A719" t="s">
        <v>1413</v>
      </c>
      <c r="B719" t="s">
        <v>1397</v>
      </c>
      <c r="C719" t="s">
        <v>787</v>
      </c>
      <c r="D719" s="2">
        <v>0.40970000000000001</v>
      </c>
      <c r="E719" s="2">
        <v>0.40079999999999999</v>
      </c>
      <c r="F719" s="2">
        <v>0.56669999999999998</v>
      </c>
      <c r="G719" s="2">
        <v>7.2999999999999995E-2</v>
      </c>
    </row>
    <row r="720" spans="1:7" x14ac:dyDescent="0.3">
      <c r="A720" t="s">
        <v>1413</v>
      </c>
      <c r="B720" t="s">
        <v>1397</v>
      </c>
      <c r="C720" t="s">
        <v>788</v>
      </c>
      <c r="D720" s="2">
        <v>0.94240000000000002</v>
      </c>
      <c r="E720" s="2">
        <v>0.90110000000000001</v>
      </c>
      <c r="F720" s="2">
        <v>0.90859999999999996</v>
      </c>
      <c r="G720" s="2">
        <v>0.99780000000000002</v>
      </c>
    </row>
    <row r="721" spans="1:7" x14ac:dyDescent="0.3">
      <c r="A721" t="s">
        <v>1413</v>
      </c>
      <c r="B721" t="s">
        <v>1397</v>
      </c>
      <c r="C721" t="s">
        <v>790</v>
      </c>
      <c r="D721" s="2">
        <v>0</v>
      </c>
      <c r="E721" s="2">
        <v>0</v>
      </c>
      <c r="F721" s="2">
        <v>0</v>
      </c>
      <c r="G721" s="2">
        <v>0</v>
      </c>
    </row>
    <row r="722" spans="1:7" x14ac:dyDescent="0.3">
      <c r="A722" t="s">
        <v>1413</v>
      </c>
      <c r="B722" t="s">
        <v>1397</v>
      </c>
      <c r="C722" t="s">
        <v>791</v>
      </c>
      <c r="D722" s="2">
        <v>0</v>
      </c>
      <c r="E722" s="2">
        <v>0</v>
      </c>
      <c r="F722" s="2">
        <v>0</v>
      </c>
      <c r="G722" s="2">
        <v>0</v>
      </c>
    </row>
    <row r="723" spans="1:7" x14ac:dyDescent="0.3">
      <c r="A723" t="s">
        <v>1413</v>
      </c>
      <c r="B723" t="s">
        <v>1397</v>
      </c>
      <c r="C723" t="s">
        <v>792</v>
      </c>
      <c r="D723" s="2">
        <v>0</v>
      </c>
      <c r="E723" s="2">
        <v>0</v>
      </c>
      <c r="F723" s="2">
        <v>0</v>
      </c>
      <c r="G723" s="2">
        <v>0</v>
      </c>
    </row>
    <row r="724" spans="1:7" x14ac:dyDescent="0.3">
      <c r="A724" t="s">
        <v>1413</v>
      </c>
      <c r="B724" t="s">
        <v>1395</v>
      </c>
      <c r="C724" t="s">
        <v>793</v>
      </c>
      <c r="D724" s="2">
        <v>1.2432000000000001</v>
      </c>
      <c r="E724" s="2">
        <v>1.2465999999999999</v>
      </c>
      <c r="F724" s="2">
        <v>1.4123000000000001</v>
      </c>
      <c r="G724" s="2">
        <v>1.2736000000000001</v>
      </c>
    </row>
    <row r="725" spans="1:7" x14ac:dyDescent="0.3">
      <c r="A725" t="s">
        <v>1413</v>
      </c>
      <c r="B725" t="s">
        <v>1395</v>
      </c>
      <c r="C725" t="s">
        <v>794</v>
      </c>
      <c r="D725" s="2">
        <v>0</v>
      </c>
      <c r="E725" s="2">
        <v>0</v>
      </c>
      <c r="F725" s="2">
        <v>0</v>
      </c>
      <c r="G725" s="2">
        <v>0</v>
      </c>
    </row>
    <row r="726" spans="1:7" x14ac:dyDescent="0.3">
      <c r="A726" t="s">
        <v>1413</v>
      </c>
      <c r="B726" t="s">
        <v>1395</v>
      </c>
      <c r="C726" t="s">
        <v>795</v>
      </c>
      <c r="D726" s="2">
        <v>0</v>
      </c>
      <c r="E726" s="2">
        <v>0</v>
      </c>
      <c r="F726" s="2">
        <v>0</v>
      </c>
      <c r="G726" s="2">
        <v>0</v>
      </c>
    </row>
    <row r="727" spans="1:7" x14ac:dyDescent="0.3">
      <c r="A727" t="s">
        <v>1413</v>
      </c>
      <c r="B727" t="s">
        <v>1395</v>
      </c>
      <c r="C727" t="s">
        <v>796</v>
      </c>
      <c r="D727" s="2">
        <v>1.8672</v>
      </c>
      <c r="E727" s="2">
        <v>1.9016999999999999</v>
      </c>
      <c r="F727" s="2">
        <v>1.9057999999999999</v>
      </c>
      <c r="G727" s="2">
        <v>2.4632000000000001</v>
      </c>
    </row>
    <row r="728" spans="1:7" x14ac:dyDescent="0.3">
      <c r="A728" t="s">
        <v>1413</v>
      </c>
      <c r="B728" t="s">
        <v>1395</v>
      </c>
      <c r="C728" t="s">
        <v>797</v>
      </c>
      <c r="D728" s="2">
        <v>0</v>
      </c>
      <c r="E728" s="2">
        <v>0</v>
      </c>
      <c r="F728" s="2">
        <v>0</v>
      </c>
      <c r="G728" s="2">
        <v>0</v>
      </c>
    </row>
    <row r="729" spans="1:7" x14ac:dyDescent="0.3">
      <c r="A729" t="s">
        <v>1413</v>
      </c>
      <c r="B729" t="s">
        <v>1395</v>
      </c>
      <c r="C729" t="s">
        <v>798</v>
      </c>
      <c r="D729" s="2">
        <v>2.2302</v>
      </c>
      <c r="E729" s="2">
        <v>2.1179999999999999</v>
      </c>
      <c r="F729" s="2">
        <v>1.8136000000000001</v>
      </c>
      <c r="G729" s="2">
        <v>2.0627</v>
      </c>
    </row>
    <row r="730" spans="1:7" x14ac:dyDescent="0.3">
      <c r="A730" t="s">
        <v>1413</v>
      </c>
      <c r="B730" t="s">
        <v>1395</v>
      </c>
      <c r="C730" t="s">
        <v>799</v>
      </c>
      <c r="D730" s="2">
        <v>1.8343</v>
      </c>
      <c r="E730" s="2">
        <v>1.9399</v>
      </c>
      <c r="F730" s="2">
        <v>2.2652000000000001</v>
      </c>
      <c r="G730" s="2">
        <v>2.0771000000000002</v>
      </c>
    </row>
    <row r="731" spans="1:7" x14ac:dyDescent="0.3">
      <c r="A731" t="s">
        <v>1413</v>
      </c>
      <c r="B731" t="s">
        <v>1395</v>
      </c>
      <c r="C731" t="s">
        <v>801</v>
      </c>
      <c r="D731" s="2">
        <v>0</v>
      </c>
      <c r="E731" s="2">
        <v>0</v>
      </c>
      <c r="F731" s="2">
        <v>0</v>
      </c>
      <c r="G731" s="2">
        <v>0</v>
      </c>
    </row>
    <row r="732" spans="1:7" x14ac:dyDescent="0.3">
      <c r="A732" t="s">
        <v>1413</v>
      </c>
      <c r="B732" t="s">
        <v>1395</v>
      </c>
      <c r="C732" t="s">
        <v>802</v>
      </c>
      <c r="D732" s="2">
        <v>0</v>
      </c>
      <c r="E732" s="2">
        <v>0</v>
      </c>
      <c r="F732" s="2">
        <v>0</v>
      </c>
      <c r="G732" s="2">
        <v>0</v>
      </c>
    </row>
    <row r="733" spans="1:7" x14ac:dyDescent="0.3">
      <c r="A733" t="s">
        <v>1413</v>
      </c>
      <c r="B733" t="s">
        <v>1395</v>
      </c>
      <c r="C733" t="s">
        <v>803</v>
      </c>
      <c r="D733" s="2">
        <v>0</v>
      </c>
      <c r="E733" s="2">
        <v>0</v>
      </c>
      <c r="F733" s="2">
        <v>0</v>
      </c>
      <c r="G733" s="2">
        <v>0</v>
      </c>
    </row>
    <row r="734" spans="1:7" x14ac:dyDescent="0.3">
      <c r="A734" t="s">
        <v>1414</v>
      </c>
      <c r="B734" t="s">
        <v>1404</v>
      </c>
      <c r="C734" t="s">
        <v>804</v>
      </c>
      <c r="D734" s="2">
        <v>5.6029</v>
      </c>
      <c r="E734" s="2">
        <v>4.8327</v>
      </c>
      <c r="F734" s="2">
        <v>4.2784000000000004</v>
      </c>
      <c r="G734" s="2">
        <v>4.5282</v>
      </c>
    </row>
    <row r="735" spans="1:7" x14ac:dyDescent="0.3">
      <c r="A735" t="s">
        <v>1414</v>
      </c>
      <c r="B735" t="s">
        <v>1404</v>
      </c>
      <c r="C735" t="s">
        <v>805</v>
      </c>
      <c r="D735" s="2">
        <v>0</v>
      </c>
      <c r="E735" s="2">
        <v>0</v>
      </c>
      <c r="F735" s="2">
        <v>0</v>
      </c>
      <c r="G735" s="2">
        <v>0</v>
      </c>
    </row>
    <row r="736" spans="1:7" x14ac:dyDescent="0.3">
      <c r="A736" t="s">
        <v>1414</v>
      </c>
      <c r="B736" t="s">
        <v>1404</v>
      </c>
      <c r="C736" t="s">
        <v>806</v>
      </c>
      <c r="D736" s="2">
        <v>0</v>
      </c>
      <c r="E736" s="2">
        <v>0</v>
      </c>
      <c r="F736" s="2">
        <v>0</v>
      </c>
      <c r="G736" s="2">
        <v>0</v>
      </c>
    </row>
    <row r="737" spans="1:7" x14ac:dyDescent="0.3">
      <c r="A737" t="s">
        <v>1414</v>
      </c>
      <c r="B737" t="s">
        <v>1404</v>
      </c>
      <c r="C737" t="s">
        <v>807</v>
      </c>
      <c r="D737" s="2">
        <v>30.846</v>
      </c>
      <c r="E737" s="2">
        <v>29.853300000000001</v>
      </c>
      <c r="F737" s="2">
        <v>27.751100000000001</v>
      </c>
      <c r="G737" s="2">
        <v>33.114600000000003</v>
      </c>
    </row>
    <row r="738" spans="1:7" x14ac:dyDescent="0.3">
      <c r="A738" t="s">
        <v>1414</v>
      </c>
      <c r="B738" t="s">
        <v>1404</v>
      </c>
      <c r="C738" t="s">
        <v>808</v>
      </c>
      <c r="D738" s="2">
        <v>0</v>
      </c>
      <c r="E738" s="2">
        <v>0</v>
      </c>
      <c r="F738" s="2">
        <v>0</v>
      </c>
      <c r="G738" s="2">
        <v>0</v>
      </c>
    </row>
    <row r="739" spans="1:7" x14ac:dyDescent="0.3">
      <c r="A739" t="s">
        <v>1414</v>
      </c>
      <c r="B739" t="s">
        <v>1404</v>
      </c>
      <c r="C739" t="s">
        <v>809</v>
      </c>
      <c r="D739" s="2">
        <v>0.14349999999999999</v>
      </c>
      <c r="E739" s="2">
        <v>0.1363</v>
      </c>
      <c r="F739" s="2">
        <v>0.14019999999999999</v>
      </c>
      <c r="G739" s="2">
        <v>8.4099999999999994E-2</v>
      </c>
    </row>
    <row r="740" spans="1:7" x14ac:dyDescent="0.3">
      <c r="A740" t="s">
        <v>1414</v>
      </c>
      <c r="B740" t="s">
        <v>1404</v>
      </c>
      <c r="C740" t="s">
        <v>810</v>
      </c>
      <c r="D740" s="2">
        <v>19.397600000000001</v>
      </c>
      <c r="E740" s="2">
        <v>20.293099999999999</v>
      </c>
      <c r="F740" s="2">
        <v>19.378399999999999</v>
      </c>
      <c r="G740" s="2">
        <v>21.526900000000001</v>
      </c>
    </row>
    <row r="741" spans="1:7" x14ac:dyDescent="0.3">
      <c r="A741" t="s">
        <v>1414</v>
      </c>
      <c r="B741" t="s">
        <v>1404</v>
      </c>
      <c r="C741" t="s">
        <v>812</v>
      </c>
      <c r="D741" s="2">
        <v>0</v>
      </c>
      <c r="E741" s="2">
        <v>0</v>
      </c>
      <c r="F741" s="2">
        <v>0</v>
      </c>
      <c r="G741" s="2">
        <v>0</v>
      </c>
    </row>
    <row r="742" spans="1:7" x14ac:dyDescent="0.3">
      <c r="A742" t="s">
        <v>1414</v>
      </c>
      <c r="B742" t="s">
        <v>1404</v>
      </c>
      <c r="C742" t="s">
        <v>813</v>
      </c>
      <c r="D742" s="2">
        <v>0</v>
      </c>
      <c r="E742" s="2">
        <v>0</v>
      </c>
      <c r="F742" s="2">
        <v>0</v>
      </c>
      <c r="G742" s="2">
        <v>0</v>
      </c>
    </row>
    <row r="743" spans="1:7" x14ac:dyDescent="0.3">
      <c r="A743" t="s">
        <v>1414</v>
      </c>
      <c r="B743" t="s">
        <v>1404</v>
      </c>
      <c r="C743" t="s">
        <v>814</v>
      </c>
      <c r="D743" s="2">
        <v>0.88859999999999995</v>
      </c>
      <c r="E743" s="2">
        <v>2.5594000000000001</v>
      </c>
      <c r="F743" s="2">
        <v>2.581</v>
      </c>
      <c r="G743" s="2">
        <v>1.0636000000000001</v>
      </c>
    </row>
    <row r="744" spans="1:7" x14ac:dyDescent="0.3">
      <c r="A744" t="s">
        <v>1414</v>
      </c>
      <c r="B744" t="s">
        <v>1392</v>
      </c>
      <c r="C744" t="s">
        <v>815</v>
      </c>
      <c r="D744" s="2">
        <v>8.4158000000000008</v>
      </c>
      <c r="E744" s="2">
        <v>7.5186999999999999</v>
      </c>
      <c r="F744" s="2">
        <v>5.5260999999999996</v>
      </c>
      <c r="G744" s="2">
        <v>5.0488</v>
      </c>
    </row>
    <row r="745" spans="1:7" x14ac:dyDescent="0.3">
      <c r="A745" t="s">
        <v>1414</v>
      </c>
      <c r="B745" t="s">
        <v>1392</v>
      </c>
      <c r="C745" t="s">
        <v>816</v>
      </c>
      <c r="D745" s="2">
        <v>2.64E-2</v>
      </c>
      <c r="E745" s="2">
        <v>1.3299999999999999E-2</v>
      </c>
      <c r="F745" s="2">
        <v>0</v>
      </c>
      <c r="G745" s="2">
        <v>0</v>
      </c>
    </row>
    <row r="746" spans="1:7" x14ac:dyDescent="0.3">
      <c r="A746" t="s">
        <v>1414</v>
      </c>
      <c r="B746" t="s">
        <v>1392</v>
      </c>
      <c r="C746" t="s">
        <v>817</v>
      </c>
      <c r="D746" s="2">
        <v>0</v>
      </c>
      <c r="E746" s="2">
        <v>0</v>
      </c>
      <c r="F746" s="2">
        <v>0</v>
      </c>
      <c r="G746" s="2">
        <v>0</v>
      </c>
    </row>
    <row r="747" spans="1:7" x14ac:dyDescent="0.3">
      <c r="A747" t="s">
        <v>1414</v>
      </c>
      <c r="B747" t="s">
        <v>1392</v>
      </c>
      <c r="C747" t="s">
        <v>818</v>
      </c>
      <c r="D747" s="2">
        <v>22.488499999999998</v>
      </c>
      <c r="E747" s="2">
        <v>22.4194</v>
      </c>
      <c r="F747" s="2">
        <v>21.95</v>
      </c>
      <c r="G747" s="2">
        <v>50.971600000000002</v>
      </c>
    </row>
    <row r="748" spans="1:7" x14ac:dyDescent="0.3">
      <c r="A748" t="s">
        <v>1414</v>
      </c>
      <c r="B748" t="s">
        <v>1392</v>
      </c>
      <c r="C748" t="s">
        <v>819</v>
      </c>
      <c r="D748" s="2">
        <v>0</v>
      </c>
      <c r="E748" s="2">
        <v>0</v>
      </c>
      <c r="F748" s="2">
        <v>0</v>
      </c>
      <c r="G748" s="2">
        <v>0</v>
      </c>
    </row>
    <row r="749" spans="1:7" x14ac:dyDescent="0.3">
      <c r="A749" t="s">
        <v>1414</v>
      </c>
      <c r="B749" t="s">
        <v>1392</v>
      </c>
      <c r="C749" t="s">
        <v>820</v>
      </c>
      <c r="D749" s="2">
        <v>1.9441999999999999</v>
      </c>
      <c r="E749" s="2">
        <v>2.0630000000000002</v>
      </c>
      <c r="F749" s="2">
        <v>2.032</v>
      </c>
      <c r="G749" s="2">
        <v>1.9593</v>
      </c>
    </row>
    <row r="750" spans="1:7" x14ac:dyDescent="0.3">
      <c r="A750" t="s">
        <v>1414</v>
      </c>
      <c r="B750" t="s">
        <v>1392</v>
      </c>
      <c r="C750" t="s">
        <v>821</v>
      </c>
      <c r="D750" s="2">
        <v>7.2233999999999998</v>
      </c>
      <c r="E750" s="2">
        <v>6.968</v>
      </c>
      <c r="F750" s="2">
        <v>7.3026999999999997</v>
      </c>
      <c r="G750" s="2">
        <v>4.1321000000000003</v>
      </c>
    </row>
    <row r="751" spans="1:7" x14ac:dyDescent="0.3">
      <c r="A751" t="s">
        <v>1414</v>
      </c>
      <c r="B751" t="s">
        <v>1392</v>
      </c>
      <c r="C751" t="s">
        <v>823</v>
      </c>
      <c r="D751" s="2">
        <v>0</v>
      </c>
      <c r="E751" s="2">
        <v>0</v>
      </c>
      <c r="F751" s="2">
        <v>0</v>
      </c>
      <c r="G751" s="2">
        <v>0</v>
      </c>
    </row>
    <row r="752" spans="1:7" x14ac:dyDescent="0.3">
      <c r="A752" t="s">
        <v>1414</v>
      </c>
      <c r="B752" t="s">
        <v>1392</v>
      </c>
      <c r="C752" t="s">
        <v>824</v>
      </c>
      <c r="D752" s="2">
        <v>0</v>
      </c>
      <c r="E752" s="2">
        <v>0</v>
      </c>
      <c r="F752" s="2">
        <v>0</v>
      </c>
      <c r="G752" s="2">
        <v>0</v>
      </c>
    </row>
    <row r="753" spans="1:7" x14ac:dyDescent="0.3">
      <c r="A753" t="s">
        <v>1414</v>
      </c>
      <c r="B753" t="s">
        <v>1392</v>
      </c>
      <c r="C753" t="s">
        <v>825</v>
      </c>
      <c r="D753" s="2">
        <v>30.902899999999999</v>
      </c>
      <c r="E753" s="2">
        <v>30.285299999999999</v>
      </c>
      <c r="F753" s="2">
        <v>30.8276</v>
      </c>
      <c r="G753" s="2">
        <v>19.5593</v>
      </c>
    </row>
    <row r="754" spans="1:7" x14ac:dyDescent="0.3">
      <c r="A754" t="s">
        <v>1414</v>
      </c>
      <c r="B754" t="s">
        <v>1393</v>
      </c>
      <c r="C754" t="s">
        <v>826</v>
      </c>
      <c r="D754" s="2">
        <v>21.430199999999999</v>
      </c>
      <c r="E754" s="2">
        <v>19.7483</v>
      </c>
      <c r="F754" s="2">
        <v>22.806899999999999</v>
      </c>
      <c r="G754" s="2">
        <v>28.460599999999999</v>
      </c>
    </row>
    <row r="755" spans="1:7" x14ac:dyDescent="0.3">
      <c r="A755" t="s">
        <v>1414</v>
      </c>
      <c r="B755" t="s">
        <v>1393</v>
      </c>
      <c r="C755" t="s">
        <v>827</v>
      </c>
      <c r="D755" s="2">
        <v>3.9154</v>
      </c>
      <c r="E755" s="2">
        <v>3.9914000000000001</v>
      </c>
      <c r="F755" s="2">
        <v>3.3660999999999999</v>
      </c>
      <c r="G755" s="2">
        <v>0.79630000000000001</v>
      </c>
    </row>
    <row r="756" spans="1:7" x14ac:dyDescent="0.3">
      <c r="A756" t="s">
        <v>1414</v>
      </c>
      <c r="B756" t="s">
        <v>1393</v>
      </c>
      <c r="C756" t="s">
        <v>828</v>
      </c>
      <c r="D756" s="2">
        <v>0</v>
      </c>
      <c r="E756" s="2">
        <v>0</v>
      </c>
      <c r="F756" s="2">
        <v>0</v>
      </c>
      <c r="G756" s="2">
        <v>0</v>
      </c>
    </row>
    <row r="757" spans="1:7" x14ac:dyDescent="0.3">
      <c r="A757" t="s">
        <v>1414</v>
      </c>
      <c r="B757" t="s">
        <v>1393</v>
      </c>
      <c r="C757" t="s">
        <v>829</v>
      </c>
      <c r="D757" s="2">
        <v>49.623600000000003</v>
      </c>
      <c r="E757" s="2">
        <v>49.2134</v>
      </c>
      <c r="F757" s="2">
        <v>45.267200000000003</v>
      </c>
      <c r="G757" s="2">
        <v>51.976599999999998</v>
      </c>
    </row>
    <row r="758" spans="1:7" x14ac:dyDescent="0.3">
      <c r="A758" t="s">
        <v>1414</v>
      </c>
      <c r="B758" t="s">
        <v>1393</v>
      </c>
      <c r="C758" t="s">
        <v>830</v>
      </c>
      <c r="D758" s="2">
        <v>0</v>
      </c>
      <c r="E758" s="2">
        <v>0</v>
      </c>
      <c r="F758" s="2">
        <v>0</v>
      </c>
      <c r="G758" s="2">
        <v>0</v>
      </c>
    </row>
    <row r="759" spans="1:7" x14ac:dyDescent="0.3">
      <c r="A759" t="s">
        <v>1414</v>
      </c>
      <c r="B759" t="s">
        <v>1393</v>
      </c>
      <c r="C759" t="s">
        <v>831</v>
      </c>
      <c r="D759" s="2">
        <v>7.2831000000000001</v>
      </c>
      <c r="E759" s="2">
        <v>7.6007999999999996</v>
      </c>
      <c r="F759" s="2">
        <v>9.1904000000000003</v>
      </c>
      <c r="G759" s="2">
        <v>11.222799999999999</v>
      </c>
    </row>
    <row r="760" spans="1:7" x14ac:dyDescent="0.3">
      <c r="A760" t="s">
        <v>1414</v>
      </c>
      <c r="B760" t="s">
        <v>1393</v>
      </c>
      <c r="C760" t="s">
        <v>832</v>
      </c>
      <c r="D760" s="2">
        <v>8.9247999999999994</v>
      </c>
      <c r="E760" s="2">
        <v>8.7550000000000008</v>
      </c>
      <c r="F760" s="2">
        <v>8.2483000000000004</v>
      </c>
      <c r="G760" s="2">
        <v>10.021699999999999</v>
      </c>
    </row>
    <row r="761" spans="1:7" x14ac:dyDescent="0.3">
      <c r="A761" t="s">
        <v>1414</v>
      </c>
      <c r="B761" t="s">
        <v>1393</v>
      </c>
      <c r="C761" t="s">
        <v>834</v>
      </c>
      <c r="D761" s="2">
        <v>0</v>
      </c>
      <c r="E761" s="2">
        <v>0</v>
      </c>
      <c r="F761" s="2">
        <v>0</v>
      </c>
      <c r="G761" s="2">
        <v>0</v>
      </c>
    </row>
    <row r="762" spans="1:7" x14ac:dyDescent="0.3">
      <c r="A762" t="s">
        <v>1414</v>
      </c>
      <c r="B762" t="s">
        <v>1393</v>
      </c>
      <c r="C762" t="s">
        <v>835</v>
      </c>
      <c r="D762" s="2">
        <v>0</v>
      </c>
      <c r="E762" s="2">
        <v>0</v>
      </c>
      <c r="F762" s="2">
        <v>0</v>
      </c>
      <c r="G762" s="2">
        <v>0</v>
      </c>
    </row>
    <row r="763" spans="1:7" x14ac:dyDescent="0.3">
      <c r="A763" t="s">
        <v>1414</v>
      </c>
      <c r="B763" t="s">
        <v>1393</v>
      </c>
      <c r="C763" t="s">
        <v>836</v>
      </c>
      <c r="D763" s="2">
        <v>4.1492000000000004</v>
      </c>
      <c r="E763" s="2">
        <v>4.5091000000000001</v>
      </c>
      <c r="F763" s="2">
        <v>4.2782</v>
      </c>
      <c r="G763" s="2">
        <v>3.1438999999999999</v>
      </c>
    </row>
    <row r="764" spans="1:7" x14ac:dyDescent="0.3">
      <c r="A764" t="s">
        <v>1414</v>
      </c>
      <c r="B764" t="s">
        <v>1391</v>
      </c>
      <c r="C764" t="s">
        <v>837</v>
      </c>
      <c r="D764" s="2">
        <v>1.5226</v>
      </c>
      <c r="E764" s="2">
        <v>1.3445</v>
      </c>
      <c r="F764" s="2">
        <v>1.5975999999999999</v>
      </c>
      <c r="G764" s="2">
        <v>2.3940000000000001</v>
      </c>
    </row>
    <row r="765" spans="1:7" x14ac:dyDescent="0.3">
      <c r="A765" t="s">
        <v>1414</v>
      </c>
      <c r="B765" t="s">
        <v>1391</v>
      </c>
      <c r="C765" t="s">
        <v>838</v>
      </c>
      <c r="D765" s="2">
        <v>9.3347999999999995</v>
      </c>
      <c r="E765" s="2">
        <v>8.6844999999999999</v>
      </c>
      <c r="F765" s="2">
        <v>5.4725000000000001</v>
      </c>
      <c r="G765" s="2">
        <v>5.8489000000000004</v>
      </c>
    </row>
    <row r="766" spans="1:7" x14ac:dyDescent="0.3">
      <c r="A766" t="s">
        <v>1414</v>
      </c>
      <c r="B766" t="s">
        <v>1391</v>
      </c>
      <c r="C766" t="s">
        <v>839</v>
      </c>
      <c r="D766" s="2">
        <v>0</v>
      </c>
      <c r="E766" s="2">
        <v>0</v>
      </c>
      <c r="F766" s="2">
        <v>0</v>
      </c>
      <c r="G766" s="2">
        <v>0</v>
      </c>
    </row>
    <row r="767" spans="1:7" x14ac:dyDescent="0.3">
      <c r="A767" t="s">
        <v>1414</v>
      </c>
      <c r="B767" t="s">
        <v>1391</v>
      </c>
      <c r="C767" t="s">
        <v>840</v>
      </c>
      <c r="D767" s="2">
        <v>30.6355</v>
      </c>
      <c r="E767" s="2">
        <v>29.7456</v>
      </c>
      <c r="F767" s="2">
        <v>27.8643</v>
      </c>
      <c r="G767" s="2">
        <v>29.718599999999999</v>
      </c>
    </row>
    <row r="768" spans="1:7" x14ac:dyDescent="0.3">
      <c r="A768" t="s">
        <v>1414</v>
      </c>
      <c r="B768" t="s">
        <v>1391</v>
      </c>
      <c r="C768" t="s">
        <v>841</v>
      </c>
      <c r="D768" s="2">
        <v>0</v>
      </c>
      <c r="E768" s="2">
        <v>0</v>
      </c>
      <c r="F768" s="2">
        <v>0</v>
      </c>
      <c r="G768" s="2">
        <v>0</v>
      </c>
    </row>
    <row r="769" spans="1:7" x14ac:dyDescent="0.3">
      <c r="A769" t="s">
        <v>1414</v>
      </c>
      <c r="B769" t="s">
        <v>1391</v>
      </c>
      <c r="C769" t="s">
        <v>842</v>
      </c>
      <c r="D769" s="2">
        <v>0</v>
      </c>
      <c r="E769" s="2">
        <v>0</v>
      </c>
      <c r="F769" s="2">
        <v>0</v>
      </c>
      <c r="G769" s="2">
        <v>0</v>
      </c>
    </row>
    <row r="770" spans="1:7" x14ac:dyDescent="0.3">
      <c r="A770" t="s">
        <v>1414</v>
      </c>
      <c r="B770" t="s">
        <v>1391</v>
      </c>
      <c r="C770" t="s">
        <v>843</v>
      </c>
      <c r="D770" s="2">
        <v>42.049700000000001</v>
      </c>
      <c r="E770" s="2">
        <v>42.260199999999998</v>
      </c>
      <c r="F770" s="2">
        <v>37.156500000000001</v>
      </c>
      <c r="G770" s="2">
        <v>43.241599999999998</v>
      </c>
    </row>
    <row r="771" spans="1:7" x14ac:dyDescent="0.3">
      <c r="A771" t="s">
        <v>1414</v>
      </c>
      <c r="B771" t="s">
        <v>1391</v>
      </c>
      <c r="C771" t="s">
        <v>845</v>
      </c>
      <c r="D771" s="2">
        <v>0</v>
      </c>
      <c r="E771" s="2">
        <v>0</v>
      </c>
      <c r="F771" s="2">
        <v>0</v>
      </c>
      <c r="G771" s="2">
        <v>0</v>
      </c>
    </row>
    <row r="772" spans="1:7" x14ac:dyDescent="0.3">
      <c r="A772" t="s">
        <v>1414</v>
      </c>
      <c r="B772" t="s">
        <v>1391</v>
      </c>
      <c r="C772" t="s">
        <v>846</v>
      </c>
      <c r="D772" s="2">
        <v>0</v>
      </c>
      <c r="E772" s="2">
        <v>0</v>
      </c>
      <c r="F772" s="2">
        <v>0</v>
      </c>
      <c r="G772" s="2">
        <v>0</v>
      </c>
    </row>
    <row r="773" spans="1:7" x14ac:dyDescent="0.3">
      <c r="A773" t="s">
        <v>1414</v>
      </c>
      <c r="B773" t="s">
        <v>1391</v>
      </c>
      <c r="C773" t="s">
        <v>847</v>
      </c>
      <c r="D773" s="2">
        <v>64.811199999999999</v>
      </c>
      <c r="E773" s="2">
        <v>66.244</v>
      </c>
      <c r="F773" s="2">
        <v>60.813800000000001</v>
      </c>
      <c r="G773" s="2">
        <v>66.855800000000002</v>
      </c>
    </row>
    <row r="774" spans="1:7" x14ac:dyDescent="0.3">
      <c r="A774" t="s">
        <v>1414</v>
      </c>
      <c r="B774" t="s">
        <v>1395</v>
      </c>
      <c r="C774" t="s">
        <v>848</v>
      </c>
      <c r="D774" s="2">
        <v>6.8413000000000004</v>
      </c>
      <c r="E774" s="2">
        <v>5.1595000000000004</v>
      </c>
      <c r="F774" s="2">
        <v>5.0541</v>
      </c>
      <c r="G774" s="2">
        <v>9.9118999999999993</v>
      </c>
    </row>
    <row r="775" spans="1:7" x14ac:dyDescent="0.3">
      <c r="A775" t="s">
        <v>1414</v>
      </c>
      <c r="B775" t="s">
        <v>1395</v>
      </c>
      <c r="C775" t="s">
        <v>849</v>
      </c>
      <c r="D775" s="2">
        <v>0.57099999999999995</v>
      </c>
      <c r="E775" s="2">
        <v>0.54330000000000001</v>
      </c>
      <c r="F775" s="2">
        <v>0.2949</v>
      </c>
      <c r="G775" s="2">
        <v>0.13639999999999999</v>
      </c>
    </row>
    <row r="776" spans="1:7" x14ac:dyDescent="0.3">
      <c r="A776" t="s">
        <v>1414</v>
      </c>
      <c r="B776" t="s">
        <v>1395</v>
      </c>
      <c r="C776" t="s">
        <v>850</v>
      </c>
      <c r="D776" s="2">
        <v>0</v>
      </c>
      <c r="E776" s="2">
        <v>0</v>
      </c>
      <c r="F776" s="2">
        <v>0</v>
      </c>
      <c r="G776" s="2">
        <v>0</v>
      </c>
    </row>
    <row r="777" spans="1:7" x14ac:dyDescent="0.3">
      <c r="A777" t="s">
        <v>1414</v>
      </c>
      <c r="B777" t="s">
        <v>1395</v>
      </c>
      <c r="C777" t="s">
        <v>851</v>
      </c>
      <c r="D777" s="2">
        <v>62.164700000000003</v>
      </c>
      <c r="E777" s="2">
        <v>61.682600000000001</v>
      </c>
      <c r="F777" s="2">
        <v>59.380099999999999</v>
      </c>
      <c r="G777" s="2">
        <v>114.0808</v>
      </c>
    </row>
    <row r="778" spans="1:7" x14ac:dyDescent="0.3">
      <c r="A778" t="s">
        <v>1414</v>
      </c>
      <c r="B778" t="s">
        <v>1395</v>
      </c>
      <c r="C778" t="s">
        <v>852</v>
      </c>
      <c r="D778" s="2">
        <v>0</v>
      </c>
      <c r="E778" s="2">
        <v>0</v>
      </c>
      <c r="F778" s="2">
        <v>0</v>
      </c>
      <c r="G778" s="2">
        <v>0</v>
      </c>
    </row>
    <row r="779" spans="1:7" x14ac:dyDescent="0.3">
      <c r="A779" t="s">
        <v>1414</v>
      </c>
      <c r="B779" t="s">
        <v>1395</v>
      </c>
      <c r="C779" t="s">
        <v>853</v>
      </c>
      <c r="D779" s="2">
        <v>3.8946000000000001</v>
      </c>
      <c r="E779" s="2">
        <v>4.2586000000000004</v>
      </c>
      <c r="F779" s="2">
        <v>3.8834</v>
      </c>
      <c r="G779" s="2">
        <v>3.5343</v>
      </c>
    </row>
    <row r="780" spans="1:7" x14ac:dyDescent="0.3">
      <c r="A780" t="s">
        <v>1414</v>
      </c>
      <c r="B780" t="s">
        <v>1395</v>
      </c>
      <c r="C780" t="s">
        <v>854</v>
      </c>
      <c r="D780" s="2">
        <v>36.465899999999998</v>
      </c>
      <c r="E780" s="2">
        <v>39.183599999999998</v>
      </c>
      <c r="F780" s="2">
        <v>40.823500000000003</v>
      </c>
      <c r="G780" s="2">
        <v>38.83</v>
      </c>
    </row>
    <row r="781" spans="1:7" x14ac:dyDescent="0.3">
      <c r="A781" t="s">
        <v>1414</v>
      </c>
      <c r="B781" t="s">
        <v>1395</v>
      </c>
      <c r="C781" t="s">
        <v>856</v>
      </c>
      <c r="D781" s="2">
        <v>0</v>
      </c>
      <c r="E781" s="2">
        <v>0</v>
      </c>
      <c r="F781" s="2">
        <v>0</v>
      </c>
      <c r="G781" s="2">
        <v>0</v>
      </c>
    </row>
    <row r="782" spans="1:7" x14ac:dyDescent="0.3">
      <c r="A782" t="s">
        <v>1414</v>
      </c>
      <c r="B782" t="s">
        <v>1395</v>
      </c>
      <c r="C782" t="s">
        <v>857</v>
      </c>
      <c r="D782" s="2">
        <v>0.34050000000000002</v>
      </c>
      <c r="E782" s="2">
        <v>0.36470000000000002</v>
      </c>
      <c r="F782" s="2">
        <v>0.32829999999999998</v>
      </c>
      <c r="G782" s="2">
        <v>0.33560000000000001</v>
      </c>
    </row>
    <row r="783" spans="1:7" x14ac:dyDescent="0.3">
      <c r="A783" t="s">
        <v>1414</v>
      </c>
      <c r="B783" t="s">
        <v>1395</v>
      </c>
      <c r="C783" t="s">
        <v>858</v>
      </c>
      <c r="D783" s="2">
        <v>33.301200000000001</v>
      </c>
      <c r="E783" s="2">
        <v>36.488999999999997</v>
      </c>
      <c r="F783" s="2">
        <v>32.483899999999998</v>
      </c>
      <c r="G783" s="2">
        <v>30.935600000000001</v>
      </c>
    </row>
    <row r="784" spans="1:7" x14ac:dyDescent="0.3">
      <c r="A784" t="s">
        <v>1415</v>
      </c>
      <c r="B784" t="s">
        <v>1406</v>
      </c>
      <c r="C784" t="s">
        <v>859</v>
      </c>
      <c r="D784" s="2">
        <v>0.04</v>
      </c>
      <c r="E784" s="2">
        <v>4.1099999999999998E-2</v>
      </c>
      <c r="F784" s="2">
        <v>3.9699999999999999E-2</v>
      </c>
      <c r="G784" s="2">
        <v>4.02E-2</v>
      </c>
    </row>
    <row r="785" spans="1:7" x14ac:dyDescent="0.3">
      <c r="A785" t="s">
        <v>1415</v>
      </c>
      <c r="B785" t="s">
        <v>1406</v>
      </c>
      <c r="C785" t="s">
        <v>860</v>
      </c>
      <c r="D785" s="2">
        <v>1.4E-3</v>
      </c>
      <c r="E785" s="2">
        <v>1.6999999999999999E-3</v>
      </c>
      <c r="F785" s="2">
        <v>0</v>
      </c>
      <c r="G785" s="2">
        <v>0</v>
      </c>
    </row>
    <row r="786" spans="1:7" x14ac:dyDescent="0.3">
      <c r="A786" t="s">
        <v>1415</v>
      </c>
      <c r="B786" t="s">
        <v>1406</v>
      </c>
      <c r="C786" t="s">
        <v>861</v>
      </c>
      <c r="D786" s="2">
        <v>0</v>
      </c>
      <c r="E786" s="2">
        <v>0</v>
      </c>
      <c r="F786" s="2">
        <v>0</v>
      </c>
      <c r="G786" s="2">
        <v>0</v>
      </c>
    </row>
    <row r="787" spans="1:7" x14ac:dyDescent="0.3">
      <c r="A787" t="s">
        <v>1415</v>
      </c>
      <c r="B787" t="s">
        <v>1406</v>
      </c>
      <c r="C787" t="s">
        <v>862</v>
      </c>
      <c r="D787" s="2">
        <v>0.16500000000000001</v>
      </c>
      <c r="E787" s="2">
        <v>0.1144</v>
      </c>
      <c r="F787" s="2">
        <v>0.12759999999999999</v>
      </c>
      <c r="G787" s="2">
        <v>0.16270000000000001</v>
      </c>
    </row>
    <row r="788" spans="1:7" x14ac:dyDescent="0.3">
      <c r="A788" t="s">
        <v>1415</v>
      </c>
      <c r="B788" t="s">
        <v>1406</v>
      </c>
      <c r="C788" t="s">
        <v>863</v>
      </c>
      <c r="D788" s="2">
        <v>0</v>
      </c>
      <c r="E788" s="2">
        <v>0</v>
      </c>
      <c r="F788" s="2">
        <v>0</v>
      </c>
      <c r="G788" s="2">
        <v>0</v>
      </c>
    </row>
    <row r="789" spans="1:7" x14ac:dyDescent="0.3">
      <c r="A789" t="s">
        <v>1415</v>
      </c>
      <c r="B789" t="s">
        <v>1406</v>
      </c>
      <c r="C789" t="s">
        <v>864</v>
      </c>
      <c r="D789" s="2">
        <v>0.64700000000000002</v>
      </c>
      <c r="E789" s="2">
        <v>0.65900000000000003</v>
      </c>
      <c r="F789" s="2">
        <v>0.85580000000000001</v>
      </c>
      <c r="G789" s="2">
        <v>0.89570000000000005</v>
      </c>
    </row>
    <row r="790" spans="1:7" x14ac:dyDescent="0.3">
      <c r="A790" t="s">
        <v>1415</v>
      </c>
      <c r="B790" t="s">
        <v>1406</v>
      </c>
      <c r="C790" t="s">
        <v>865</v>
      </c>
      <c r="D790" s="2">
        <v>7.1300000000000002E-2</v>
      </c>
      <c r="E790" s="2">
        <v>7.8399999999999997E-2</v>
      </c>
      <c r="F790" s="2">
        <v>7.9200000000000007E-2</v>
      </c>
      <c r="G790" s="2">
        <v>8.0600000000000005E-2</v>
      </c>
    </row>
    <row r="791" spans="1:7" x14ac:dyDescent="0.3">
      <c r="A791" t="s">
        <v>1415</v>
      </c>
      <c r="B791" t="s">
        <v>1406</v>
      </c>
      <c r="C791" t="s">
        <v>867</v>
      </c>
      <c r="D791" s="2">
        <v>0</v>
      </c>
      <c r="E791" s="2">
        <v>0</v>
      </c>
      <c r="F791" s="2">
        <v>0</v>
      </c>
      <c r="G791" s="2">
        <v>0</v>
      </c>
    </row>
    <row r="792" spans="1:7" x14ac:dyDescent="0.3">
      <c r="A792" t="s">
        <v>1415</v>
      </c>
      <c r="B792" t="s">
        <v>1406</v>
      </c>
      <c r="C792" t="s">
        <v>868</v>
      </c>
      <c r="D792" s="2">
        <v>0</v>
      </c>
      <c r="E792" s="2">
        <v>0</v>
      </c>
      <c r="F792" s="2">
        <v>0</v>
      </c>
      <c r="G792" s="2">
        <v>0</v>
      </c>
    </row>
    <row r="793" spans="1:7" x14ac:dyDescent="0.3">
      <c r="A793" t="s">
        <v>1415</v>
      </c>
      <c r="B793" t="s">
        <v>1406</v>
      </c>
      <c r="C793" t="s">
        <v>869</v>
      </c>
      <c r="D793" s="2">
        <v>0.1416</v>
      </c>
      <c r="E793" s="2">
        <v>0.13239999999999999</v>
      </c>
      <c r="F793" s="2">
        <v>0.1439</v>
      </c>
      <c r="G793" s="2">
        <v>0.1696</v>
      </c>
    </row>
    <row r="794" spans="1:7" x14ac:dyDescent="0.3">
      <c r="A794" t="s">
        <v>1415</v>
      </c>
      <c r="B794" t="s">
        <v>1392</v>
      </c>
      <c r="C794" t="s">
        <v>870</v>
      </c>
      <c r="D794" s="2">
        <v>1.7000000000000001E-2</v>
      </c>
      <c r="E794" s="2">
        <v>2.24E-2</v>
      </c>
      <c r="F794" s="2">
        <v>2.4899999999999999E-2</v>
      </c>
      <c r="G794" s="2">
        <v>2.9700000000000001E-2</v>
      </c>
    </row>
    <row r="795" spans="1:7" x14ac:dyDescent="0.3">
      <c r="A795" t="s">
        <v>1415</v>
      </c>
      <c r="B795" t="s">
        <v>1392</v>
      </c>
      <c r="C795" t="s">
        <v>871</v>
      </c>
      <c r="D795" s="2">
        <v>0</v>
      </c>
      <c r="E795" s="2">
        <v>0</v>
      </c>
      <c r="F795" s="2">
        <v>0</v>
      </c>
      <c r="G795" s="2">
        <v>0</v>
      </c>
    </row>
    <row r="796" spans="1:7" x14ac:dyDescent="0.3">
      <c r="A796" t="s">
        <v>1415</v>
      </c>
      <c r="B796" t="s">
        <v>1392</v>
      </c>
      <c r="C796" t="s">
        <v>872</v>
      </c>
      <c r="D796" s="2">
        <v>0</v>
      </c>
      <c r="E796" s="2">
        <v>0</v>
      </c>
      <c r="F796" s="2">
        <v>0</v>
      </c>
      <c r="G796" s="2">
        <v>0</v>
      </c>
    </row>
    <row r="797" spans="1:7" x14ac:dyDescent="0.3">
      <c r="A797" t="s">
        <v>1415</v>
      </c>
      <c r="B797" t="s">
        <v>1392</v>
      </c>
      <c r="C797" t="s">
        <v>873</v>
      </c>
      <c r="D797" s="2">
        <v>2.0863999999999998</v>
      </c>
      <c r="E797" s="2">
        <v>2.2944</v>
      </c>
      <c r="F797" s="2">
        <v>2.121</v>
      </c>
      <c r="G797" s="2">
        <v>2.1021999999999998</v>
      </c>
    </row>
    <row r="798" spans="1:7" x14ac:dyDescent="0.3">
      <c r="A798" t="s">
        <v>1415</v>
      </c>
      <c r="B798" t="s">
        <v>1392</v>
      </c>
      <c r="C798" t="s">
        <v>874</v>
      </c>
      <c r="D798" s="2">
        <v>0</v>
      </c>
      <c r="E798" s="2">
        <v>0</v>
      </c>
      <c r="F798" s="2">
        <v>0</v>
      </c>
      <c r="G798" s="2">
        <v>0</v>
      </c>
    </row>
    <row r="799" spans="1:7" x14ac:dyDescent="0.3">
      <c r="A799" t="s">
        <v>1415</v>
      </c>
      <c r="B799" t="s">
        <v>1392</v>
      </c>
      <c r="C799" t="s">
        <v>875</v>
      </c>
      <c r="D799" s="2">
        <v>0.19969999999999999</v>
      </c>
      <c r="E799" s="2">
        <v>0.19620000000000001</v>
      </c>
      <c r="F799" s="2">
        <v>0.19520000000000001</v>
      </c>
      <c r="G799" s="2">
        <v>0.19919999999999999</v>
      </c>
    </row>
    <row r="800" spans="1:7" x14ac:dyDescent="0.3">
      <c r="A800" t="s">
        <v>1415</v>
      </c>
      <c r="B800" t="s">
        <v>1392</v>
      </c>
      <c r="C800" t="s">
        <v>876</v>
      </c>
      <c r="D800" s="2">
        <v>4.7899999999999998E-2</v>
      </c>
      <c r="E800" s="2">
        <v>4.2700000000000002E-2</v>
      </c>
      <c r="F800" s="2">
        <v>6.7900000000000002E-2</v>
      </c>
      <c r="G800" s="2">
        <v>5.5E-2</v>
      </c>
    </row>
    <row r="801" spans="1:7" x14ac:dyDescent="0.3">
      <c r="A801" t="s">
        <v>1415</v>
      </c>
      <c r="B801" t="s">
        <v>1392</v>
      </c>
      <c r="C801" t="s">
        <v>878</v>
      </c>
      <c r="D801" s="2">
        <v>0</v>
      </c>
      <c r="E801" s="2">
        <v>0</v>
      </c>
      <c r="F801" s="2">
        <v>0</v>
      </c>
      <c r="G801" s="2">
        <v>0</v>
      </c>
    </row>
    <row r="802" spans="1:7" x14ac:dyDescent="0.3">
      <c r="A802" t="s">
        <v>1415</v>
      </c>
      <c r="B802" t="s">
        <v>1392</v>
      </c>
      <c r="C802" t="s">
        <v>879</v>
      </c>
      <c r="D802" s="2">
        <v>0</v>
      </c>
      <c r="E802" s="2">
        <v>0</v>
      </c>
      <c r="F802" s="2">
        <v>0</v>
      </c>
      <c r="G802" s="2">
        <v>0</v>
      </c>
    </row>
    <row r="803" spans="1:7" x14ac:dyDescent="0.3">
      <c r="A803" t="s">
        <v>1415</v>
      </c>
      <c r="B803" t="s">
        <v>1392</v>
      </c>
      <c r="C803" t="s">
        <v>880</v>
      </c>
      <c r="D803" s="2">
        <v>4.7192999999999996</v>
      </c>
      <c r="E803" s="2">
        <v>4.5887000000000002</v>
      </c>
      <c r="F803" s="2">
        <v>3.0680999999999998</v>
      </c>
      <c r="G803" s="2">
        <v>3.7909000000000002</v>
      </c>
    </row>
    <row r="804" spans="1:7" x14ac:dyDescent="0.3">
      <c r="A804" t="s">
        <v>1415</v>
      </c>
      <c r="B804" t="s">
        <v>1393</v>
      </c>
      <c r="C804" t="s">
        <v>881</v>
      </c>
      <c r="D804" s="2">
        <v>6.1699999999999998E-2</v>
      </c>
      <c r="E804" s="2">
        <v>6.3100000000000003E-2</v>
      </c>
      <c r="F804" s="2">
        <v>6.4000000000000001E-2</v>
      </c>
      <c r="G804" s="2">
        <v>7.9600000000000004E-2</v>
      </c>
    </row>
    <row r="805" spans="1:7" x14ac:dyDescent="0.3">
      <c r="A805" t="s">
        <v>1415</v>
      </c>
      <c r="B805" t="s">
        <v>1393</v>
      </c>
      <c r="C805" t="s">
        <v>882</v>
      </c>
      <c r="D805" s="2">
        <v>1.7149000000000001</v>
      </c>
      <c r="E805" s="2">
        <v>1.9786999999999999</v>
      </c>
      <c r="F805" s="2">
        <v>1.6168</v>
      </c>
      <c r="G805" s="2">
        <v>1.9743999999999999</v>
      </c>
    </row>
    <row r="806" spans="1:7" x14ac:dyDescent="0.3">
      <c r="A806" t="s">
        <v>1415</v>
      </c>
      <c r="B806" t="s">
        <v>1393</v>
      </c>
      <c r="C806" t="s">
        <v>883</v>
      </c>
      <c r="D806" s="2">
        <v>0</v>
      </c>
      <c r="E806" s="2">
        <v>0</v>
      </c>
      <c r="F806" s="2">
        <v>0</v>
      </c>
      <c r="G806" s="2">
        <v>0</v>
      </c>
    </row>
    <row r="807" spans="1:7" x14ac:dyDescent="0.3">
      <c r="A807" t="s">
        <v>1415</v>
      </c>
      <c r="B807" t="s">
        <v>1393</v>
      </c>
      <c r="C807" t="s">
        <v>884</v>
      </c>
      <c r="D807" s="2">
        <v>0.44679999999999997</v>
      </c>
      <c r="E807" s="2">
        <v>0.43519999999999998</v>
      </c>
      <c r="F807" s="2">
        <v>0.40749999999999997</v>
      </c>
      <c r="G807" s="2">
        <v>0.43219999999999997</v>
      </c>
    </row>
    <row r="808" spans="1:7" x14ac:dyDescent="0.3">
      <c r="A808" t="s">
        <v>1415</v>
      </c>
      <c r="B808" t="s">
        <v>1393</v>
      </c>
      <c r="C808" t="s">
        <v>885</v>
      </c>
      <c r="D808" s="2">
        <v>0</v>
      </c>
      <c r="E808" s="2">
        <v>0</v>
      </c>
      <c r="F808" s="2">
        <v>0</v>
      </c>
      <c r="G808" s="2">
        <v>0</v>
      </c>
    </row>
    <row r="809" spans="1:7" x14ac:dyDescent="0.3">
      <c r="A809" t="s">
        <v>1415</v>
      </c>
      <c r="B809" t="s">
        <v>1393</v>
      </c>
      <c r="C809" t="s">
        <v>886</v>
      </c>
      <c r="D809" s="2">
        <v>0.22739999999999999</v>
      </c>
      <c r="E809" s="2">
        <v>0.25700000000000001</v>
      </c>
      <c r="F809" s="2">
        <v>0.23710000000000001</v>
      </c>
      <c r="G809" s="2">
        <v>0.27560000000000001</v>
      </c>
    </row>
    <row r="810" spans="1:7" x14ac:dyDescent="0.3">
      <c r="A810" t="s">
        <v>1415</v>
      </c>
      <c r="B810" t="s">
        <v>1393</v>
      </c>
      <c r="C810" t="s">
        <v>887</v>
      </c>
      <c r="D810" s="2">
        <v>0.12130000000000001</v>
      </c>
      <c r="E810" s="2">
        <v>0.1241</v>
      </c>
      <c r="F810" s="2">
        <v>0.10150000000000001</v>
      </c>
      <c r="G810" s="2">
        <v>0.1169</v>
      </c>
    </row>
    <row r="811" spans="1:7" x14ac:dyDescent="0.3">
      <c r="A811" t="s">
        <v>1415</v>
      </c>
      <c r="B811" t="s">
        <v>1393</v>
      </c>
      <c r="C811" t="s">
        <v>889</v>
      </c>
      <c r="D811" s="2">
        <v>0</v>
      </c>
      <c r="E811" s="2">
        <v>0</v>
      </c>
      <c r="F811" s="2">
        <v>0</v>
      </c>
      <c r="G811" s="2">
        <v>0</v>
      </c>
    </row>
    <row r="812" spans="1:7" x14ac:dyDescent="0.3">
      <c r="A812" t="s">
        <v>1415</v>
      </c>
      <c r="B812" t="s">
        <v>1393</v>
      </c>
      <c r="C812" t="s">
        <v>890</v>
      </c>
      <c r="D812" s="2">
        <v>0</v>
      </c>
      <c r="E812" s="2">
        <v>0</v>
      </c>
      <c r="F812" s="2">
        <v>0</v>
      </c>
      <c r="G812" s="2">
        <v>0</v>
      </c>
    </row>
    <row r="813" spans="1:7" x14ac:dyDescent="0.3">
      <c r="A813" t="s">
        <v>1415</v>
      </c>
      <c r="B813" t="s">
        <v>1393</v>
      </c>
      <c r="C813" t="s">
        <v>891</v>
      </c>
      <c r="D813" s="2">
        <v>4.8999999999999998E-3</v>
      </c>
      <c r="E813" s="2">
        <v>5.9999999999999995E-4</v>
      </c>
      <c r="F813" s="2">
        <v>5.0000000000000001E-4</v>
      </c>
      <c r="G813" s="2">
        <v>5.9999999999999995E-4</v>
      </c>
    </row>
    <row r="814" spans="1:7" x14ac:dyDescent="0.3">
      <c r="A814" t="s">
        <v>1415</v>
      </c>
      <c r="B814" t="s">
        <v>1397</v>
      </c>
      <c r="C814" t="s">
        <v>892</v>
      </c>
      <c r="D814" s="2">
        <v>0.19439999999999999</v>
      </c>
      <c r="E814" s="2">
        <v>0.21759999999999999</v>
      </c>
      <c r="F814" s="2">
        <v>0.21360000000000001</v>
      </c>
      <c r="G814" s="2">
        <v>0.19969999999999999</v>
      </c>
    </row>
    <row r="815" spans="1:7" x14ac:dyDescent="0.3">
      <c r="A815" t="s">
        <v>1415</v>
      </c>
      <c r="B815" t="s">
        <v>1397</v>
      </c>
      <c r="C815" t="s">
        <v>893</v>
      </c>
      <c r="D815" s="2">
        <v>3.5700000000000003E-2</v>
      </c>
      <c r="E815" s="2">
        <v>2.8299999999999999E-2</v>
      </c>
      <c r="F815" s="2">
        <v>3.6999999999999998E-2</v>
      </c>
      <c r="G815" s="2">
        <v>2.9000000000000001E-2</v>
      </c>
    </row>
    <row r="816" spans="1:7" x14ac:dyDescent="0.3">
      <c r="A816" t="s">
        <v>1415</v>
      </c>
      <c r="B816" t="s">
        <v>1397</v>
      </c>
      <c r="C816" t="s">
        <v>894</v>
      </c>
      <c r="D816" s="2">
        <v>0</v>
      </c>
      <c r="E816" s="2">
        <v>0</v>
      </c>
      <c r="F816" s="2">
        <v>0</v>
      </c>
      <c r="G816" s="2">
        <v>0</v>
      </c>
    </row>
    <row r="817" spans="1:7" x14ac:dyDescent="0.3">
      <c r="A817" t="s">
        <v>1415</v>
      </c>
      <c r="B817" t="s">
        <v>1397</v>
      </c>
      <c r="C817" t="s">
        <v>895</v>
      </c>
      <c r="D817" s="2">
        <v>1.7923</v>
      </c>
      <c r="E817" s="2">
        <v>1.6072</v>
      </c>
      <c r="F817" s="2">
        <v>1.6711</v>
      </c>
      <c r="G817" s="2">
        <v>1.6625000000000001</v>
      </c>
    </row>
    <row r="818" spans="1:7" x14ac:dyDescent="0.3">
      <c r="A818" t="s">
        <v>1415</v>
      </c>
      <c r="B818" t="s">
        <v>1397</v>
      </c>
      <c r="C818" t="s">
        <v>896</v>
      </c>
      <c r="D818" s="2">
        <v>0</v>
      </c>
      <c r="E818" s="2">
        <v>0</v>
      </c>
      <c r="F818" s="2">
        <v>0</v>
      </c>
      <c r="G818" s="2">
        <v>0</v>
      </c>
    </row>
    <row r="819" spans="1:7" x14ac:dyDescent="0.3">
      <c r="A819" t="s">
        <v>1415</v>
      </c>
      <c r="B819" t="s">
        <v>1397</v>
      </c>
      <c r="C819" t="s">
        <v>897</v>
      </c>
      <c r="D819" s="2">
        <v>0.20119999999999999</v>
      </c>
      <c r="E819" s="2">
        <v>0.16739999999999999</v>
      </c>
      <c r="F819" s="2">
        <v>0.23250000000000001</v>
      </c>
      <c r="G819" s="2">
        <v>0.26029999999999998</v>
      </c>
    </row>
    <row r="820" spans="1:7" x14ac:dyDescent="0.3">
      <c r="A820" t="s">
        <v>1415</v>
      </c>
      <c r="B820" t="s">
        <v>1397</v>
      </c>
      <c r="C820" t="s">
        <v>898</v>
      </c>
      <c r="D820" s="2">
        <v>0.71020000000000005</v>
      </c>
      <c r="E820" s="2">
        <v>0.73499999999999999</v>
      </c>
      <c r="F820" s="2">
        <v>0.73599999999999999</v>
      </c>
      <c r="G820" s="2">
        <v>0.7923</v>
      </c>
    </row>
    <row r="821" spans="1:7" x14ac:dyDescent="0.3">
      <c r="A821" t="s">
        <v>1415</v>
      </c>
      <c r="B821" t="s">
        <v>1397</v>
      </c>
      <c r="C821" t="s">
        <v>900</v>
      </c>
      <c r="D821" s="2">
        <v>0</v>
      </c>
      <c r="E821" s="2">
        <v>0</v>
      </c>
      <c r="F821" s="2">
        <v>0</v>
      </c>
      <c r="G821" s="2">
        <v>0</v>
      </c>
    </row>
    <row r="822" spans="1:7" x14ac:dyDescent="0.3">
      <c r="A822" t="s">
        <v>1415</v>
      </c>
      <c r="B822" t="s">
        <v>1397</v>
      </c>
      <c r="C822" t="s">
        <v>901</v>
      </c>
      <c r="D822" s="2">
        <v>0</v>
      </c>
      <c r="E822" s="2">
        <v>0</v>
      </c>
      <c r="F822" s="2">
        <v>0</v>
      </c>
      <c r="G822" s="2">
        <v>0</v>
      </c>
    </row>
    <row r="823" spans="1:7" x14ac:dyDescent="0.3">
      <c r="A823" t="s">
        <v>1415</v>
      </c>
      <c r="B823" t="s">
        <v>1397</v>
      </c>
      <c r="C823" t="s">
        <v>902</v>
      </c>
      <c r="D823" s="2">
        <v>0.1968</v>
      </c>
      <c r="E823" s="2">
        <v>0.14099999999999999</v>
      </c>
      <c r="F823" s="2">
        <v>0.14680000000000001</v>
      </c>
      <c r="G823" s="2">
        <v>0.1608</v>
      </c>
    </row>
    <row r="824" spans="1:7" x14ac:dyDescent="0.3">
      <c r="A824" t="s">
        <v>1415</v>
      </c>
      <c r="B824" t="s">
        <v>1395</v>
      </c>
      <c r="C824" t="s">
        <v>903</v>
      </c>
      <c r="D824" s="2">
        <v>0.28320000000000001</v>
      </c>
      <c r="E824" s="2">
        <v>0.31140000000000001</v>
      </c>
      <c r="F824" s="2">
        <v>0.26119999999999999</v>
      </c>
      <c r="G824" s="2">
        <v>0.25440000000000002</v>
      </c>
    </row>
    <row r="825" spans="1:7" x14ac:dyDescent="0.3">
      <c r="A825" t="s">
        <v>1415</v>
      </c>
      <c r="B825" t="s">
        <v>1395</v>
      </c>
      <c r="C825" t="s">
        <v>904</v>
      </c>
      <c r="D825" s="2">
        <v>2.3300000000000001E-2</v>
      </c>
      <c r="E825" s="2">
        <v>1.7399999999999999E-2</v>
      </c>
      <c r="F825" s="2">
        <v>7.7999999999999996E-3</v>
      </c>
      <c r="G825" s="2">
        <v>7.3000000000000001E-3</v>
      </c>
    </row>
    <row r="826" spans="1:7" x14ac:dyDescent="0.3">
      <c r="A826" t="s">
        <v>1415</v>
      </c>
      <c r="B826" t="s">
        <v>1395</v>
      </c>
      <c r="C826" t="s">
        <v>905</v>
      </c>
      <c r="D826" s="2">
        <v>0</v>
      </c>
      <c r="E826" s="2">
        <v>0</v>
      </c>
      <c r="F826" s="2">
        <v>0</v>
      </c>
      <c r="G826" s="2">
        <v>0</v>
      </c>
    </row>
    <row r="827" spans="1:7" x14ac:dyDescent="0.3">
      <c r="A827" t="s">
        <v>1415</v>
      </c>
      <c r="B827" t="s">
        <v>1395</v>
      </c>
      <c r="C827" t="s">
        <v>906</v>
      </c>
      <c r="D827" s="2">
        <v>1.2801</v>
      </c>
      <c r="E827" s="2">
        <v>1.1914</v>
      </c>
      <c r="F827" s="2">
        <v>1.0968</v>
      </c>
      <c r="G827" s="2">
        <v>1.2199</v>
      </c>
    </row>
    <row r="828" spans="1:7" x14ac:dyDescent="0.3">
      <c r="A828" t="s">
        <v>1415</v>
      </c>
      <c r="B828" t="s">
        <v>1395</v>
      </c>
      <c r="C828" t="s">
        <v>907</v>
      </c>
      <c r="D828" s="2">
        <v>0</v>
      </c>
      <c r="E828" s="2">
        <v>0</v>
      </c>
      <c r="F828" s="2">
        <v>0</v>
      </c>
      <c r="G828" s="2">
        <v>0</v>
      </c>
    </row>
    <row r="829" spans="1:7" x14ac:dyDescent="0.3">
      <c r="A829" t="s">
        <v>1415</v>
      </c>
      <c r="B829" t="s">
        <v>1395</v>
      </c>
      <c r="C829" t="s">
        <v>908</v>
      </c>
      <c r="D829" s="2">
        <v>0.63970000000000005</v>
      </c>
      <c r="E829" s="2">
        <v>0.67700000000000005</v>
      </c>
      <c r="F829" s="2">
        <v>0.66200000000000003</v>
      </c>
      <c r="G829" s="2">
        <v>0.66359999999999997</v>
      </c>
    </row>
    <row r="830" spans="1:7" x14ac:dyDescent="0.3">
      <c r="A830" t="s">
        <v>1415</v>
      </c>
      <c r="B830" t="s">
        <v>1395</v>
      </c>
      <c r="C830" t="s">
        <v>909</v>
      </c>
      <c r="D830" s="2">
        <v>0.80559999999999998</v>
      </c>
      <c r="E830" s="2">
        <v>0.95009999999999994</v>
      </c>
      <c r="F830" s="2">
        <v>0.86009999999999998</v>
      </c>
      <c r="G830" s="2">
        <v>1.0071000000000001</v>
      </c>
    </row>
    <row r="831" spans="1:7" x14ac:dyDescent="0.3">
      <c r="A831" t="s">
        <v>1415</v>
      </c>
      <c r="B831" t="s">
        <v>1395</v>
      </c>
      <c r="C831" t="s">
        <v>911</v>
      </c>
      <c r="D831" s="2">
        <v>0</v>
      </c>
      <c r="E831" s="2">
        <v>0</v>
      </c>
      <c r="F831" s="2">
        <v>0</v>
      </c>
      <c r="G831" s="2">
        <v>0</v>
      </c>
    </row>
    <row r="832" spans="1:7" x14ac:dyDescent="0.3">
      <c r="A832" t="s">
        <v>1415</v>
      </c>
      <c r="B832" t="s">
        <v>1395</v>
      </c>
      <c r="C832" t="s">
        <v>912</v>
      </c>
      <c r="D832" s="2">
        <v>0</v>
      </c>
      <c r="E832" s="2">
        <v>0</v>
      </c>
      <c r="F832" s="2">
        <v>0</v>
      </c>
      <c r="G832" s="2">
        <v>0</v>
      </c>
    </row>
    <row r="833" spans="1:7" x14ac:dyDescent="0.3">
      <c r="A833" t="s">
        <v>1415</v>
      </c>
      <c r="B833" t="s">
        <v>1395</v>
      </c>
      <c r="C833" t="s">
        <v>913</v>
      </c>
      <c r="D833" s="2">
        <v>0.21329999999999999</v>
      </c>
      <c r="E833" s="2">
        <v>0.1769</v>
      </c>
      <c r="F833" s="2">
        <v>0.1883</v>
      </c>
      <c r="G833" s="2">
        <v>0.246</v>
      </c>
    </row>
    <row r="834" spans="1:7" x14ac:dyDescent="0.3">
      <c r="A834" t="s">
        <v>1416</v>
      </c>
      <c r="B834" t="s">
        <v>1393</v>
      </c>
      <c r="C834" t="s">
        <v>914</v>
      </c>
      <c r="D834" s="2">
        <v>8.9300000000000004E-2</v>
      </c>
      <c r="E834" s="2">
        <v>0.1225</v>
      </c>
      <c r="F834" s="2">
        <v>0.1124</v>
      </c>
      <c r="G834" s="2">
        <v>0.10489999999999999</v>
      </c>
    </row>
    <row r="835" spans="1:7" x14ac:dyDescent="0.3">
      <c r="A835" t="s">
        <v>1416</v>
      </c>
      <c r="B835" t="s">
        <v>1393</v>
      </c>
      <c r="C835" t="s">
        <v>915</v>
      </c>
      <c r="D835" s="2">
        <v>0.74170000000000003</v>
      </c>
      <c r="E835" s="2">
        <v>0.83199999999999996</v>
      </c>
      <c r="F835" s="2">
        <v>0.68159999999999998</v>
      </c>
      <c r="G835" s="2">
        <v>0.74280000000000002</v>
      </c>
    </row>
    <row r="836" spans="1:7" x14ac:dyDescent="0.3">
      <c r="A836" t="s">
        <v>1416</v>
      </c>
      <c r="B836" t="s">
        <v>1393</v>
      </c>
      <c r="C836" t="s">
        <v>916</v>
      </c>
      <c r="D836" s="2">
        <v>0</v>
      </c>
      <c r="E836" s="2">
        <v>0</v>
      </c>
      <c r="F836" s="2">
        <v>0</v>
      </c>
      <c r="G836" s="2">
        <v>0</v>
      </c>
    </row>
    <row r="837" spans="1:7" x14ac:dyDescent="0.3">
      <c r="A837" t="s">
        <v>1416</v>
      </c>
      <c r="B837" t="s">
        <v>1393</v>
      </c>
      <c r="C837" t="s">
        <v>917</v>
      </c>
      <c r="D837" s="2">
        <v>1.7188000000000001</v>
      </c>
      <c r="E837" s="2">
        <v>1.6536999999999999</v>
      </c>
      <c r="F837" s="2">
        <v>1.1688000000000001</v>
      </c>
      <c r="G837" s="2">
        <v>0.9496</v>
      </c>
    </row>
    <row r="838" spans="1:7" x14ac:dyDescent="0.3">
      <c r="A838" t="s">
        <v>1416</v>
      </c>
      <c r="B838" t="s">
        <v>1393</v>
      </c>
      <c r="C838" t="s">
        <v>918</v>
      </c>
      <c r="D838" s="2">
        <v>0</v>
      </c>
      <c r="E838" s="2">
        <v>0</v>
      </c>
      <c r="F838" s="2">
        <v>0</v>
      </c>
      <c r="G838" s="2">
        <v>0</v>
      </c>
    </row>
    <row r="839" spans="1:7" x14ac:dyDescent="0.3">
      <c r="A839" t="s">
        <v>1416</v>
      </c>
      <c r="B839" t="s">
        <v>1393</v>
      </c>
      <c r="C839" t="s">
        <v>919</v>
      </c>
      <c r="D839" s="2">
        <v>0.44419999999999998</v>
      </c>
      <c r="E839" s="2">
        <v>0.4516</v>
      </c>
      <c r="F839" s="2">
        <v>0.69610000000000005</v>
      </c>
      <c r="G839" s="2">
        <v>0.57899999999999996</v>
      </c>
    </row>
    <row r="840" spans="1:7" x14ac:dyDescent="0.3">
      <c r="A840" t="s">
        <v>1416</v>
      </c>
      <c r="B840" t="s">
        <v>1393</v>
      </c>
      <c r="C840" t="s">
        <v>920</v>
      </c>
      <c r="D840" s="2">
        <v>7.7600000000000002E-2</v>
      </c>
      <c r="E840" s="2">
        <v>7.1099999999999997E-2</v>
      </c>
      <c r="F840" s="2">
        <v>6.2600000000000003E-2</v>
      </c>
      <c r="G840" s="2">
        <v>3.7100000000000001E-2</v>
      </c>
    </row>
    <row r="841" spans="1:7" x14ac:dyDescent="0.3">
      <c r="A841" t="s">
        <v>1416</v>
      </c>
      <c r="B841" t="s">
        <v>1393</v>
      </c>
      <c r="C841" t="s">
        <v>922</v>
      </c>
      <c r="D841" s="2">
        <v>0</v>
      </c>
      <c r="E841" s="2">
        <v>0</v>
      </c>
      <c r="F841" s="2">
        <v>0</v>
      </c>
      <c r="G841" s="2">
        <v>0</v>
      </c>
    </row>
    <row r="842" spans="1:7" x14ac:dyDescent="0.3">
      <c r="A842" t="s">
        <v>1416</v>
      </c>
      <c r="B842" t="s">
        <v>1393</v>
      </c>
      <c r="C842" t="s">
        <v>923</v>
      </c>
      <c r="D842" s="2">
        <v>0</v>
      </c>
      <c r="E842" s="2">
        <v>0</v>
      </c>
      <c r="F842" s="2">
        <v>0</v>
      </c>
      <c r="G842" s="2">
        <v>0</v>
      </c>
    </row>
    <row r="843" spans="1:7" x14ac:dyDescent="0.3">
      <c r="A843" t="s">
        <v>1416</v>
      </c>
      <c r="B843" t="s">
        <v>1393</v>
      </c>
      <c r="C843" t="s">
        <v>924</v>
      </c>
      <c r="D843" s="2">
        <v>0</v>
      </c>
      <c r="E843" s="2">
        <v>0</v>
      </c>
      <c r="F843" s="2">
        <v>0</v>
      </c>
      <c r="G843" s="2">
        <v>0</v>
      </c>
    </row>
    <row r="844" spans="1:7" x14ac:dyDescent="0.3">
      <c r="A844" t="s">
        <v>1416</v>
      </c>
      <c r="B844" t="s">
        <v>1391</v>
      </c>
      <c r="C844" t="s">
        <v>925</v>
      </c>
      <c r="D844" s="2">
        <v>2.7900000000000001E-2</v>
      </c>
      <c r="E844" s="2">
        <v>2.5000000000000001E-2</v>
      </c>
      <c r="F844" s="2">
        <v>2.3099999999999999E-2</v>
      </c>
      <c r="G844" s="2">
        <v>2.1299999999999999E-2</v>
      </c>
    </row>
    <row r="845" spans="1:7" x14ac:dyDescent="0.3">
      <c r="A845" t="s">
        <v>1416</v>
      </c>
      <c r="B845" t="s">
        <v>1391</v>
      </c>
      <c r="C845" t="s">
        <v>926</v>
      </c>
      <c r="D845" s="2">
        <v>6.4399999999999999E-2</v>
      </c>
      <c r="E845" s="2">
        <v>6.5500000000000003E-2</v>
      </c>
      <c r="F845" s="2">
        <v>5.9499999999999997E-2</v>
      </c>
      <c r="G845" s="2">
        <v>4.9599999999999998E-2</v>
      </c>
    </row>
    <row r="846" spans="1:7" x14ac:dyDescent="0.3">
      <c r="A846" t="s">
        <v>1416</v>
      </c>
      <c r="B846" t="s">
        <v>1391</v>
      </c>
      <c r="C846" t="s">
        <v>927</v>
      </c>
      <c r="D846" s="2">
        <v>0</v>
      </c>
      <c r="E846" s="2">
        <v>0</v>
      </c>
      <c r="F846" s="2">
        <v>0</v>
      </c>
      <c r="G846" s="2">
        <v>0</v>
      </c>
    </row>
    <row r="847" spans="1:7" x14ac:dyDescent="0.3">
      <c r="A847" t="s">
        <v>1416</v>
      </c>
      <c r="B847" t="s">
        <v>1391</v>
      </c>
      <c r="C847" t="s">
        <v>928</v>
      </c>
      <c r="D847" s="2">
        <v>3.5697000000000001</v>
      </c>
      <c r="E847" s="2">
        <v>3.3831000000000002</v>
      </c>
      <c r="F847" s="2">
        <v>3.0653000000000001</v>
      </c>
      <c r="G847" s="2">
        <v>3.1190000000000002</v>
      </c>
    </row>
    <row r="848" spans="1:7" x14ac:dyDescent="0.3">
      <c r="A848" t="s">
        <v>1416</v>
      </c>
      <c r="B848" t="s">
        <v>1391</v>
      </c>
      <c r="C848" t="s">
        <v>929</v>
      </c>
      <c r="D848" s="2">
        <v>0</v>
      </c>
      <c r="E848" s="2">
        <v>0</v>
      </c>
      <c r="F848" s="2">
        <v>0</v>
      </c>
      <c r="G848" s="2">
        <v>0</v>
      </c>
    </row>
    <row r="849" spans="1:7" x14ac:dyDescent="0.3">
      <c r="A849" t="s">
        <v>1416</v>
      </c>
      <c r="B849" t="s">
        <v>1391</v>
      </c>
      <c r="C849" t="s">
        <v>930</v>
      </c>
      <c r="D849" s="2">
        <v>0</v>
      </c>
      <c r="E849" s="2">
        <v>0</v>
      </c>
      <c r="F849" s="2">
        <v>0</v>
      </c>
      <c r="G849" s="2">
        <v>0</v>
      </c>
    </row>
    <row r="850" spans="1:7" x14ac:dyDescent="0.3">
      <c r="A850" t="s">
        <v>1416</v>
      </c>
      <c r="B850" t="s">
        <v>1391</v>
      </c>
      <c r="C850" t="s">
        <v>931</v>
      </c>
      <c r="D850" s="2">
        <v>5.5381</v>
      </c>
      <c r="E850" s="2">
        <v>4.9904999999999999</v>
      </c>
      <c r="F850" s="2">
        <v>4.6032999999999999</v>
      </c>
      <c r="G850" s="2">
        <v>3.7997000000000001</v>
      </c>
    </row>
    <row r="851" spans="1:7" x14ac:dyDescent="0.3">
      <c r="A851" t="s">
        <v>1416</v>
      </c>
      <c r="B851" t="s">
        <v>1391</v>
      </c>
      <c r="C851" t="s">
        <v>933</v>
      </c>
      <c r="D851" s="2">
        <v>0</v>
      </c>
      <c r="E851" s="2">
        <v>0</v>
      </c>
      <c r="F851" s="2">
        <v>0</v>
      </c>
      <c r="G851" s="2">
        <v>0</v>
      </c>
    </row>
    <row r="852" spans="1:7" x14ac:dyDescent="0.3">
      <c r="A852" t="s">
        <v>1416</v>
      </c>
      <c r="B852" t="s">
        <v>1391</v>
      </c>
      <c r="C852" t="s">
        <v>934</v>
      </c>
      <c r="D852" s="2">
        <v>0</v>
      </c>
      <c r="E852" s="2">
        <v>0</v>
      </c>
      <c r="F852" s="2">
        <v>0</v>
      </c>
      <c r="G852" s="2">
        <v>0</v>
      </c>
    </row>
    <row r="853" spans="1:7" x14ac:dyDescent="0.3">
      <c r="A853" t="s">
        <v>1416</v>
      </c>
      <c r="B853" t="s">
        <v>1391</v>
      </c>
      <c r="C853" t="s">
        <v>935</v>
      </c>
      <c r="D853" s="2">
        <v>9.8363999999999994</v>
      </c>
      <c r="E853" s="2">
        <v>9.0432000000000006</v>
      </c>
      <c r="F853" s="2">
        <v>8.2843999999999998</v>
      </c>
      <c r="G853" s="2">
        <v>7.4462000000000002</v>
      </c>
    </row>
    <row r="854" spans="1:7" x14ac:dyDescent="0.3">
      <c r="A854" t="s">
        <v>1416</v>
      </c>
      <c r="B854" t="s">
        <v>1395</v>
      </c>
      <c r="C854" t="s">
        <v>936</v>
      </c>
      <c r="D854" s="2">
        <v>0.30740000000000001</v>
      </c>
      <c r="E854" s="2">
        <v>0.42049999999999998</v>
      </c>
      <c r="F854" s="2">
        <v>0.39360000000000001</v>
      </c>
      <c r="G854" s="2">
        <v>0.3659</v>
      </c>
    </row>
    <row r="855" spans="1:7" x14ac:dyDescent="0.3">
      <c r="A855" t="s">
        <v>1416</v>
      </c>
      <c r="B855" t="s">
        <v>1395</v>
      </c>
      <c r="C855" t="s">
        <v>937</v>
      </c>
      <c r="D855" s="2">
        <v>2.5399999999999999E-2</v>
      </c>
      <c r="E855" s="2">
        <v>2.2499999999999999E-2</v>
      </c>
      <c r="F855" s="2">
        <v>2.4899999999999999E-2</v>
      </c>
      <c r="G855" s="2">
        <v>1.2800000000000001E-2</v>
      </c>
    </row>
    <row r="856" spans="1:7" x14ac:dyDescent="0.3">
      <c r="A856" t="s">
        <v>1416</v>
      </c>
      <c r="B856" t="s">
        <v>1395</v>
      </c>
      <c r="C856" t="s">
        <v>938</v>
      </c>
      <c r="D856" s="2">
        <v>0</v>
      </c>
      <c r="E856" s="2">
        <v>0</v>
      </c>
      <c r="F856" s="2">
        <v>0</v>
      </c>
      <c r="G856" s="2">
        <v>0</v>
      </c>
    </row>
    <row r="857" spans="1:7" x14ac:dyDescent="0.3">
      <c r="A857" t="s">
        <v>1416</v>
      </c>
      <c r="B857" t="s">
        <v>1395</v>
      </c>
      <c r="C857" t="s">
        <v>939</v>
      </c>
      <c r="D857" s="2">
        <v>1.0599000000000001</v>
      </c>
      <c r="E857" s="2">
        <v>1.0851</v>
      </c>
      <c r="F857" s="2">
        <v>0.98699999999999999</v>
      </c>
      <c r="G857" s="2">
        <v>1.4201999999999999</v>
      </c>
    </row>
    <row r="858" spans="1:7" x14ac:dyDescent="0.3">
      <c r="A858" t="s">
        <v>1416</v>
      </c>
      <c r="B858" t="s">
        <v>1395</v>
      </c>
      <c r="C858" t="s">
        <v>940</v>
      </c>
      <c r="D858" s="2">
        <v>0</v>
      </c>
      <c r="E858" s="2">
        <v>0</v>
      </c>
      <c r="F858" s="2">
        <v>0</v>
      </c>
      <c r="G858" s="2">
        <v>0</v>
      </c>
    </row>
    <row r="859" spans="1:7" x14ac:dyDescent="0.3">
      <c r="A859" t="s">
        <v>1416</v>
      </c>
      <c r="B859" t="s">
        <v>1395</v>
      </c>
      <c r="C859" t="s">
        <v>941</v>
      </c>
      <c r="D859" s="2">
        <v>0.1782</v>
      </c>
      <c r="E859" s="2">
        <v>5.7099999999999998E-2</v>
      </c>
      <c r="F859" s="2">
        <v>5.7299999999999997E-2</v>
      </c>
      <c r="G859" s="2">
        <v>0.12959999999999999</v>
      </c>
    </row>
    <row r="860" spans="1:7" x14ac:dyDescent="0.3">
      <c r="A860" t="s">
        <v>1416</v>
      </c>
      <c r="B860" t="s">
        <v>1395</v>
      </c>
      <c r="C860" t="s">
        <v>942</v>
      </c>
      <c r="D860" s="2">
        <v>0.37480000000000002</v>
      </c>
      <c r="E860" s="2">
        <v>0.38629999999999998</v>
      </c>
      <c r="F860" s="2">
        <v>0.40679999999999999</v>
      </c>
      <c r="G860" s="2">
        <v>0.6028</v>
      </c>
    </row>
    <row r="861" spans="1:7" x14ac:dyDescent="0.3">
      <c r="A861" t="s">
        <v>1416</v>
      </c>
      <c r="B861" t="s">
        <v>1395</v>
      </c>
      <c r="C861" t="s">
        <v>944</v>
      </c>
      <c r="D861" s="2">
        <v>0</v>
      </c>
      <c r="E861" s="2">
        <v>0</v>
      </c>
      <c r="F861" s="2">
        <v>0</v>
      </c>
      <c r="G861" s="2">
        <v>0</v>
      </c>
    </row>
    <row r="862" spans="1:7" x14ac:dyDescent="0.3">
      <c r="A862" t="s">
        <v>1416</v>
      </c>
      <c r="B862" t="s">
        <v>1395</v>
      </c>
      <c r="C862" t="s">
        <v>945</v>
      </c>
      <c r="D862" s="2">
        <v>0</v>
      </c>
      <c r="E862" s="2">
        <v>0</v>
      </c>
      <c r="F862" s="2">
        <v>0</v>
      </c>
      <c r="G862" s="2">
        <v>0</v>
      </c>
    </row>
    <row r="863" spans="1:7" x14ac:dyDescent="0.3">
      <c r="A863" t="s">
        <v>1416</v>
      </c>
      <c r="B863" t="s">
        <v>1395</v>
      </c>
      <c r="C863" t="s">
        <v>946</v>
      </c>
      <c r="D863" s="2">
        <v>1.8599999999999998E-2</v>
      </c>
      <c r="E863" s="2">
        <v>5.4300000000000001E-2</v>
      </c>
      <c r="F863" s="2">
        <v>5.1900000000000002E-2</v>
      </c>
      <c r="G863" s="2">
        <v>3.6700000000000003E-2</v>
      </c>
    </row>
    <row r="864" spans="1:7" x14ac:dyDescent="0.3">
      <c r="A864" t="s">
        <v>1417</v>
      </c>
      <c r="B864" t="s">
        <v>1406</v>
      </c>
      <c r="C864" t="s">
        <v>947</v>
      </c>
      <c r="D864" s="2">
        <v>0.1613</v>
      </c>
      <c r="E864" s="2">
        <v>0.1452</v>
      </c>
      <c r="F864" s="2">
        <v>0.14030000000000001</v>
      </c>
      <c r="G864" s="2">
        <v>0.15770000000000001</v>
      </c>
    </row>
    <row r="865" spans="1:7" x14ac:dyDescent="0.3">
      <c r="A865" t="s">
        <v>1417</v>
      </c>
      <c r="B865" t="s">
        <v>1406</v>
      </c>
      <c r="C865" t="s">
        <v>948</v>
      </c>
      <c r="D865" s="2">
        <v>0</v>
      </c>
      <c r="E865" s="2">
        <v>4.1000000000000003E-3</v>
      </c>
      <c r="F865" s="2">
        <v>2.5999999999999999E-3</v>
      </c>
      <c r="G865" s="2">
        <v>8.0000000000000002E-3</v>
      </c>
    </row>
    <row r="866" spans="1:7" x14ac:dyDescent="0.3">
      <c r="A866" t="s">
        <v>1417</v>
      </c>
      <c r="B866" t="s">
        <v>1406</v>
      </c>
      <c r="C866" t="s">
        <v>949</v>
      </c>
      <c r="D866" s="2">
        <v>0</v>
      </c>
      <c r="E866" s="2">
        <v>0</v>
      </c>
      <c r="F866" s="2">
        <v>0</v>
      </c>
      <c r="G866" s="2">
        <v>0</v>
      </c>
    </row>
    <row r="867" spans="1:7" x14ac:dyDescent="0.3">
      <c r="A867" t="s">
        <v>1417</v>
      </c>
      <c r="B867" t="s">
        <v>1406</v>
      </c>
      <c r="C867" t="s">
        <v>950</v>
      </c>
      <c r="D867" s="2">
        <v>0.31830000000000003</v>
      </c>
      <c r="E867" s="2">
        <v>0.1706</v>
      </c>
      <c r="F867" s="2">
        <v>0.14449999999999999</v>
      </c>
      <c r="G867" s="2">
        <v>0.1721</v>
      </c>
    </row>
    <row r="868" spans="1:7" x14ac:dyDescent="0.3">
      <c r="A868" t="s">
        <v>1417</v>
      </c>
      <c r="B868" t="s">
        <v>1406</v>
      </c>
      <c r="C868" t="s">
        <v>951</v>
      </c>
      <c r="D868" s="2">
        <v>0</v>
      </c>
      <c r="E868" s="2">
        <v>0</v>
      </c>
      <c r="F868" s="2">
        <v>0</v>
      </c>
      <c r="G868" s="2">
        <v>0</v>
      </c>
    </row>
    <row r="869" spans="1:7" x14ac:dyDescent="0.3">
      <c r="A869" t="s">
        <v>1417</v>
      </c>
      <c r="B869" t="s">
        <v>1406</v>
      </c>
      <c r="C869" t="s">
        <v>952</v>
      </c>
      <c r="D869" s="2">
        <v>5.2995999999999999</v>
      </c>
      <c r="E869" s="2">
        <v>5.5666000000000002</v>
      </c>
      <c r="F869" s="2">
        <v>5.9038000000000004</v>
      </c>
      <c r="G869" s="2">
        <v>6.2592999999999996</v>
      </c>
    </row>
    <row r="870" spans="1:7" x14ac:dyDescent="0.3">
      <c r="A870" t="s">
        <v>1417</v>
      </c>
      <c r="B870" t="s">
        <v>1406</v>
      </c>
      <c r="C870" t="s">
        <v>953</v>
      </c>
      <c r="D870" s="2">
        <v>0.1474</v>
      </c>
      <c r="E870" s="2">
        <v>0.17499999999999999</v>
      </c>
      <c r="F870" s="2">
        <v>0.19270000000000001</v>
      </c>
      <c r="G870" s="2">
        <v>0.19309999999999999</v>
      </c>
    </row>
    <row r="871" spans="1:7" x14ac:dyDescent="0.3">
      <c r="A871" t="s">
        <v>1417</v>
      </c>
      <c r="B871" t="s">
        <v>1406</v>
      </c>
      <c r="C871" t="s">
        <v>955</v>
      </c>
      <c r="D871" s="2">
        <v>0</v>
      </c>
      <c r="E871" s="2">
        <v>0</v>
      </c>
      <c r="F871" s="2">
        <v>0</v>
      </c>
      <c r="G871" s="2">
        <v>0</v>
      </c>
    </row>
    <row r="872" spans="1:7" x14ac:dyDescent="0.3">
      <c r="A872" t="s">
        <v>1417</v>
      </c>
      <c r="B872" t="s">
        <v>1406</v>
      </c>
      <c r="C872" t="s">
        <v>956</v>
      </c>
      <c r="D872" s="2">
        <v>0</v>
      </c>
      <c r="E872" s="2">
        <v>0</v>
      </c>
      <c r="F872" s="2">
        <v>0</v>
      </c>
      <c r="G872" s="2">
        <v>0</v>
      </c>
    </row>
    <row r="873" spans="1:7" x14ac:dyDescent="0.3">
      <c r="A873" t="s">
        <v>1417</v>
      </c>
      <c r="B873" t="s">
        <v>1406</v>
      </c>
      <c r="C873" t="s">
        <v>957</v>
      </c>
      <c r="D873" s="2">
        <v>1.5482</v>
      </c>
      <c r="E873" s="2">
        <v>1.3933</v>
      </c>
      <c r="F873" s="2">
        <v>1.2088000000000001</v>
      </c>
      <c r="G873" s="2">
        <v>1.1775</v>
      </c>
    </row>
    <row r="874" spans="1:7" x14ac:dyDescent="0.3">
      <c r="A874" t="s">
        <v>1417</v>
      </c>
      <c r="B874" t="s">
        <v>1393</v>
      </c>
      <c r="C874" t="s">
        <v>958</v>
      </c>
      <c r="D874" s="2">
        <v>0.2039</v>
      </c>
      <c r="E874" s="2">
        <v>0.16500000000000001</v>
      </c>
      <c r="F874" s="2">
        <v>0.19309999999999999</v>
      </c>
      <c r="G874" s="2">
        <v>0.14929999999999999</v>
      </c>
    </row>
    <row r="875" spans="1:7" x14ac:dyDescent="0.3">
      <c r="A875" t="s">
        <v>1417</v>
      </c>
      <c r="B875" t="s">
        <v>1393</v>
      </c>
      <c r="C875" t="s">
        <v>959</v>
      </c>
      <c r="D875" s="2">
        <v>0.62039999999999995</v>
      </c>
      <c r="E875" s="2">
        <v>0.56830000000000003</v>
      </c>
      <c r="F875" s="2">
        <v>0.3584</v>
      </c>
      <c r="G875" s="2">
        <v>0.2273</v>
      </c>
    </row>
    <row r="876" spans="1:7" x14ac:dyDescent="0.3">
      <c r="A876" t="s">
        <v>1417</v>
      </c>
      <c r="B876" t="s">
        <v>1393</v>
      </c>
      <c r="C876" t="s">
        <v>960</v>
      </c>
      <c r="D876" s="2">
        <v>0</v>
      </c>
      <c r="E876" s="2">
        <v>0</v>
      </c>
      <c r="F876" s="2">
        <v>0</v>
      </c>
      <c r="G876" s="2">
        <v>0</v>
      </c>
    </row>
    <row r="877" spans="1:7" x14ac:dyDescent="0.3">
      <c r="A877" t="s">
        <v>1417</v>
      </c>
      <c r="B877" t="s">
        <v>1393</v>
      </c>
      <c r="C877" t="s">
        <v>961</v>
      </c>
      <c r="D877" s="2">
        <v>0.62480000000000002</v>
      </c>
      <c r="E877" s="2">
        <v>0.63149999999999995</v>
      </c>
      <c r="F877" s="2">
        <v>0.63529999999999998</v>
      </c>
      <c r="G877" s="2">
        <v>0.6552</v>
      </c>
    </row>
    <row r="878" spans="1:7" x14ac:dyDescent="0.3">
      <c r="A878" t="s">
        <v>1417</v>
      </c>
      <c r="B878" t="s">
        <v>1393</v>
      </c>
      <c r="C878" t="s">
        <v>962</v>
      </c>
      <c r="D878" s="2">
        <v>0</v>
      </c>
      <c r="E878" s="2">
        <v>0</v>
      </c>
      <c r="F878" s="2">
        <v>0</v>
      </c>
      <c r="G878" s="2">
        <v>0</v>
      </c>
    </row>
    <row r="879" spans="1:7" x14ac:dyDescent="0.3">
      <c r="A879" t="s">
        <v>1417</v>
      </c>
      <c r="B879" t="s">
        <v>1393</v>
      </c>
      <c r="C879" t="s">
        <v>963</v>
      </c>
      <c r="D879" s="2">
        <v>1.8374999999999999</v>
      </c>
      <c r="E879" s="2">
        <v>1.7502</v>
      </c>
      <c r="F879" s="2">
        <v>2.3332000000000002</v>
      </c>
      <c r="G879" s="2">
        <v>2.2991999999999999</v>
      </c>
    </row>
    <row r="880" spans="1:7" x14ac:dyDescent="0.3">
      <c r="A880" t="s">
        <v>1417</v>
      </c>
      <c r="B880" t="s">
        <v>1393</v>
      </c>
      <c r="C880" t="s">
        <v>964</v>
      </c>
      <c r="D880" s="2">
        <v>0.21890000000000001</v>
      </c>
      <c r="E880" s="2">
        <v>0.2102</v>
      </c>
      <c r="F880" s="2">
        <v>0.2235</v>
      </c>
      <c r="G880" s="2">
        <v>0.2291</v>
      </c>
    </row>
    <row r="881" spans="1:7" x14ac:dyDescent="0.3">
      <c r="A881" t="s">
        <v>1417</v>
      </c>
      <c r="B881" t="s">
        <v>1393</v>
      </c>
      <c r="C881" t="s">
        <v>966</v>
      </c>
      <c r="D881" s="2">
        <v>0</v>
      </c>
      <c r="E881" s="2">
        <v>0</v>
      </c>
      <c r="F881" s="2">
        <v>0</v>
      </c>
      <c r="G881" s="2">
        <v>0</v>
      </c>
    </row>
    <row r="882" spans="1:7" x14ac:dyDescent="0.3">
      <c r="A882" t="s">
        <v>1417</v>
      </c>
      <c r="B882" t="s">
        <v>1393</v>
      </c>
      <c r="C882" t="s">
        <v>967</v>
      </c>
      <c r="D882" s="2">
        <v>0</v>
      </c>
      <c r="E882" s="2">
        <v>0</v>
      </c>
      <c r="F882" s="2">
        <v>0</v>
      </c>
      <c r="G882" s="2">
        <v>0</v>
      </c>
    </row>
    <row r="883" spans="1:7" x14ac:dyDescent="0.3">
      <c r="A883" t="s">
        <v>1417</v>
      </c>
      <c r="B883" t="s">
        <v>1393</v>
      </c>
      <c r="C883" t="s">
        <v>968</v>
      </c>
      <c r="D883" s="2">
        <v>7.7000000000000002E-3</v>
      </c>
      <c r="E883" s="2">
        <v>7.7000000000000002E-3</v>
      </c>
      <c r="F883" s="2">
        <v>1.04E-2</v>
      </c>
      <c r="G883" s="2">
        <v>1.2999999999999999E-2</v>
      </c>
    </row>
    <row r="884" spans="1:7" x14ac:dyDescent="0.3">
      <c r="A884" t="s">
        <v>1417</v>
      </c>
      <c r="B884" t="s">
        <v>1397</v>
      </c>
      <c r="C884" t="s">
        <v>969</v>
      </c>
      <c r="D884" s="2">
        <v>0.16350000000000001</v>
      </c>
      <c r="E884" s="2">
        <v>0.1245</v>
      </c>
      <c r="F884" s="2">
        <v>9.5299999999999996E-2</v>
      </c>
      <c r="G884" s="2">
        <v>8.1600000000000006E-2</v>
      </c>
    </row>
    <row r="885" spans="1:7" x14ac:dyDescent="0.3">
      <c r="A885" t="s">
        <v>1417</v>
      </c>
      <c r="B885" t="s">
        <v>1397</v>
      </c>
      <c r="C885" t="s">
        <v>970</v>
      </c>
      <c r="D885" s="2">
        <v>6.4999999999999997E-3</v>
      </c>
      <c r="E885" s="2">
        <v>5.5999999999999999E-3</v>
      </c>
      <c r="F885" s="2">
        <v>6.4999999999999997E-3</v>
      </c>
      <c r="G885" s="2">
        <v>4.3E-3</v>
      </c>
    </row>
    <row r="886" spans="1:7" x14ac:dyDescent="0.3">
      <c r="A886" t="s">
        <v>1417</v>
      </c>
      <c r="B886" t="s">
        <v>1397</v>
      </c>
      <c r="C886" t="s">
        <v>971</v>
      </c>
      <c r="D886" s="2">
        <v>0</v>
      </c>
      <c r="E886" s="2">
        <v>0</v>
      </c>
      <c r="F886" s="2">
        <v>0</v>
      </c>
      <c r="G886" s="2">
        <v>0</v>
      </c>
    </row>
    <row r="887" spans="1:7" x14ac:dyDescent="0.3">
      <c r="A887" t="s">
        <v>1417</v>
      </c>
      <c r="B887" t="s">
        <v>1397</v>
      </c>
      <c r="C887" t="s">
        <v>972</v>
      </c>
      <c r="D887" s="2">
        <v>0.62239999999999995</v>
      </c>
      <c r="E887" s="2">
        <v>0.59309999999999996</v>
      </c>
      <c r="F887" s="2">
        <v>0.621</v>
      </c>
      <c r="G887" s="2">
        <v>0.69630000000000003</v>
      </c>
    </row>
    <row r="888" spans="1:7" x14ac:dyDescent="0.3">
      <c r="A888" t="s">
        <v>1417</v>
      </c>
      <c r="B888" t="s">
        <v>1397</v>
      </c>
      <c r="C888" t="s">
        <v>973</v>
      </c>
      <c r="D888" s="2">
        <v>0</v>
      </c>
      <c r="E888" s="2">
        <v>0</v>
      </c>
      <c r="F888" s="2">
        <v>0</v>
      </c>
      <c r="G888" s="2">
        <v>0</v>
      </c>
    </row>
    <row r="889" spans="1:7" x14ac:dyDescent="0.3">
      <c r="A889" t="s">
        <v>1417</v>
      </c>
      <c r="B889" t="s">
        <v>1397</v>
      </c>
      <c r="C889" t="s">
        <v>974</v>
      </c>
      <c r="D889" s="2">
        <v>0.18090000000000001</v>
      </c>
      <c r="E889" s="2">
        <v>0.18260000000000001</v>
      </c>
      <c r="F889" s="2">
        <v>0.22309999999999999</v>
      </c>
      <c r="G889" s="2">
        <v>0.1195</v>
      </c>
    </row>
    <row r="890" spans="1:7" x14ac:dyDescent="0.3">
      <c r="A890" t="s">
        <v>1417</v>
      </c>
      <c r="B890" t="s">
        <v>1397</v>
      </c>
      <c r="C890" t="s">
        <v>975</v>
      </c>
      <c r="D890" s="2">
        <v>0.26479999999999998</v>
      </c>
      <c r="E890" s="2">
        <v>0.26329999999999998</v>
      </c>
      <c r="F890" s="2">
        <v>0.26450000000000001</v>
      </c>
      <c r="G890" s="2">
        <v>0.29049999999999998</v>
      </c>
    </row>
    <row r="891" spans="1:7" x14ac:dyDescent="0.3">
      <c r="A891" t="s">
        <v>1417</v>
      </c>
      <c r="B891" t="s">
        <v>1397</v>
      </c>
      <c r="C891" t="s">
        <v>977</v>
      </c>
      <c r="D891" s="2">
        <v>0</v>
      </c>
      <c r="E891" s="2">
        <v>0</v>
      </c>
      <c r="F891" s="2">
        <v>0</v>
      </c>
      <c r="G891" s="2">
        <v>0</v>
      </c>
    </row>
    <row r="892" spans="1:7" x14ac:dyDescent="0.3">
      <c r="A892" t="s">
        <v>1417</v>
      </c>
      <c r="B892" t="s">
        <v>1397</v>
      </c>
      <c r="C892" t="s">
        <v>978</v>
      </c>
      <c r="D892" s="2">
        <v>0</v>
      </c>
      <c r="E892" s="2">
        <v>0</v>
      </c>
      <c r="F892" s="2">
        <v>0</v>
      </c>
      <c r="G892" s="2">
        <v>0</v>
      </c>
    </row>
    <row r="893" spans="1:7" x14ac:dyDescent="0.3">
      <c r="A893" t="s">
        <v>1417</v>
      </c>
      <c r="B893" t="s">
        <v>1397</v>
      </c>
      <c r="C893" t="s">
        <v>979</v>
      </c>
      <c r="D893" s="2">
        <v>0.15820000000000001</v>
      </c>
      <c r="E893" s="2">
        <v>0.13159999999999999</v>
      </c>
      <c r="F893" s="2">
        <v>0.12479999999999999</v>
      </c>
      <c r="G893" s="2">
        <v>0.1245</v>
      </c>
    </row>
    <row r="894" spans="1:7" x14ac:dyDescent="0.3">
      <c r="A894" t="s">
        <v>1417</v>
      </c>
      <c r="B894" t="s">
        <v>1395</v>
      </c>
      <c r="C894" t="s">
        <v>980</v>
      </c>
      <c r="D894" s="2">
        <v>0.40949999999999998</v>
      </c>
      <c r="E894" s="2">
        <v>0.38419999999999999</v>
      </c>
      <c r="F894" s="2">
        <v>0.40360000000000001</v>
      </c>
      <c r="G894" s="2">
        <v>0.39200000000000002</v>
      </c>
    </row>
    <row r="895" spans="1:7" x14ac:dyDescent="0.3">
      <c r="A895" t="s">
        <v>1417</v>
      </c>
      <c r="B895" t="s">
        <v>1395</v>
      </c>
      <c r="C895" t="s">
        <v>981</v>
      </c>
      <c r="D895" s="2">
        <v>8.8000000000000005E-3</v>
      </c>
      <c r="E895" s="2">
        <v>4.4000000000000003E-3</v>
      </c>
      <c r="F895" s="2">
        <v>2.0999999999999999E-3</v>
      </c>
      <c r="G895" s="2">
        <v>6.0000000000000001E-3</v>
      </c>
    </row>
    <row r="896" spans="1:7" x14ac:dyDescent="0.3">
      <c r="A896" t="s">
        <v>1417</v>
      </c>
      <c r="B896" t="s">
        <v>1395</v>
      </c>
      <c r="C896" t="s">
        <v>982</v>
      </c>
      <c r="D896" s="2">
        <v>0</v>
      </c>
      <c r="E896" s="2">
        <v>0</v>
      </c>
      <c r="F896" s="2">
        <v>0</v>
      </c>
      <c r="G896" s="2">
        <v>0</v>
      </c>
    </row>
    <row r="897" spans="1:7" x14ac:dyDescent="0.3">
      <c r="A897" t="s">
        <v>1417</v>
      </c>
      <c r="B897" t="s">
        <v>1395</v>
      </c>
      <c r="C897" t="s">
        <v>983</v>
      </c>
      <c r="D897" s="2">
        <v>0.68259999999999998</v>
      </c>
      <c r="E897" s="2">
        <v>0.54049999999999998</v>
      </c>
      <c r="F897" s="2">
        <v>0.49070000000000003</v>
      </c>
      <c r="G897" s="2">
        <v>0.61899999999999999</v>
      </c>
    </row>
    <row r="898" spans="1:7" x14ac:dyDescent="0.3">
      <c r="A898" t="s">
        <v>1417</v>
      </c>
      <c r="B898" t="s">
        <v>1395</v>
      </c>
      <c r="C898" t="s">
        <v>984</v>
      </c>
      <c r="D898" s="2">
        <v>0</v>
      </c>
      <c r="E898" s="2">
        <v>0</v>
      </c>
      <c r="F898" s="2">
        <v>0</v>
      </c>
      <c r="G898" s="2">
        <v>0</v>
      </c>
    </row>
    <row r="899" spans="1:7" x14ac:dyDescent="0.3">
      <c r="A899" t="s">
        <v>1417</v>
      </c>
      <c r="B899" t="s">
        <v>1395</v>
      </c>
      <c r="C899" t="s">
        <v>985</v>
      </c>
      <c r="D899" s="2">
        <v>0.8357</v>
      </c>
      <c r="E899" s="2">
        <v>0.50470000000000004</v>
      </c>
      <c r="F899" s="2">
        <v>0.36709999999999998</v>
      </c>
      <c r="G899" s="2">
        <v>0.34389999999999998</v>
      </c>
    </row>
    <row r="900" spans="1:7" x14ac:dyDescent="0.3">
      <c r="A900" t="s">
        <v>1417</v>
      </c>
      <c r="B900" t="s">
        <v>1395</v>
      </c>
      <c r="C900" t="s">
        <v>986</v>
      </c>
      <c r="D900" s="2">
        <v>0.23069999999999999</v>
      </c>
      <c r="E900" s="2">
        <v>0.2487</v>
      </c>
      <c r="F900" s="2">
        <v>0.22109999999999999</v>
      </c>
      <c r="G900" s="2">
        <v>0.24909999999999999</v>
      </c>
    </row>
    <row r="901" spans="1:7" x14ac:dyDescent="0.3">
      <c r="A901" t="s">
        <v>1417</v>
      </c>
      <c r="B901" t="s">
        <v>1395</v>
      </c>
      <c r="C901" t="s">
        <v>988</v>
      </c>
      <c r="D901" s="2">
        <v>0</v>
      </c>
      <c r="E901" s="2">
        <v>0</v>
      </c>
      <c r="F901" s="2">
        <v>0</v>
      </c>
      <c r="G901" s="2">
        <v>0</v>
      </c>
    </row>
    <row r="902" spans="1:7" x14ac:dyDescent="0.3">
      <c r="A902" t="s">
        <v>1417</v>
      </c>
      <c r="B902" t="s">
        <v>1395</v>
      </c>
      <c r="C902" t="s">
        <v>989</v>
      </c>
      <c r="D902" s="2">
        <v>0</v>
      </c>
      <c r="E902" s="2">
        <v>0</v>
      </c>
      <c r="F902" s="2">
        <v>0</v>
      </c>
      <c r="G902" s="2">
        <v>0</v>
      </c>
    </row>
    <row r="903" spans="1:7" x14ac:dyDescent="0.3">
      <c r="A903" t="s">
        <v>1417</v>
      </c>
      <c r="B903" t="s">
        <v>1395</v>
      </c>
      <c r="C903" t="s">
        <v>990</v>
      </c>
      <c r="D903" s="2">
        <v>0.153</v>
      </c>
      <c r="E903" s="2">
        <v>9.6199999999999994E-2</v>
      </c>
      <c r="F903" s="2">
        <v>0.1052</v>
      </c>
      <c r="G903" s="2">
        <v>0.1522</v>
      </c>
    </row>
    <row r="904" spans="1:7" x14ac:dyDescent="0.3">
      <c r="A904" t="s">
        <v>1418</v>
      </c>
      <c r="B904" t="s">
        <v>1395</v>
      </c>
      <c r="C904" t="s">
        <v>991</v>
      </c>
      <c r="D904" s="2">
        <v>0.29980000000000001</v>
      </c>
      <c r="E904" s="2">
        <v>0.32219999999999999</v>
      </c>
      <c r="F904" s="2">
        <v>0.39679999999999999</v>
      </c>
      <c r="G904" s="2">
        <v>0.41060000000000002</v>
      </c>
    </row>
    <row r="905" spans="1:7" x14ac:dyDescent="0.3">
      <c r="A905" t="s">
        <v>1418</v>
      </c>
      <c r="B905" t="s">
        <v>1395</v>
      </c>
      <c r="C905" t="s">
        <v>992</v>
      </c>
      <c r="D905" s="2">
        <v>0</v>
      </c>
      <c r="E905" s="2">
        <v>0</v>
      </c>
      <c r="F905" s="2">
        <v>0</v>
      </c>
      <c r="G905" s="2">
        <v>0</v>
      </c>
    </row>
    <row r="906" spans="1:7" x14ac:dyDescent="0.3">
      <c r="A906" t="s">
        <v>1418</v>
      </c>
      <c r="B906" t="s">
        <v>1395</v>
      </c>
      <c r="C906" t="s">
        <v>993</v>
      </c>
      <c r="D906" s="2">
        <v>0</v>
      </c>
      <c r="E906" s="2">
        <v>0</v>
      </c>
      <c r="F906" s="2">
        <v>0</v>
      </c>
      <c r="G906" s="2">
        <v>0</v>
      </c>
    </row>
    <row r="907" spans="1:7" x14ac:dyDescent="0.3">
      <c r="A907" t="s">
        <v>1418</v>
      </c>
      <c r="B907" t="s">
        <v>1395</v>
      </c>
      <c r="C907" t="s">
        <v>994</v>
      </c>
      <c r="D907" s="2">
        <v>0</v>
      </c>
      <c r="E907" s="2">
        <v>0</v>
      </c>
      <c r="F907" s="2">
        <v>0</v>
      </c>
      <c r="G907" s="2">
        <v>0</v>
      </c>
    </row>
    <row r="908" spans="1:7" x14ac:dyDescent="0.3">
      <c r="A908" t="s">
        <v>1418</v>
      </c>
      <c r="B908" t="s">
        <v>1395</v>
      </c>
      <c r="C908" t="s">
        <v>995</v>
      </c>
      <c r="D908" s="2">
        <v>0</v>
      </c>
      <c r="E908" s="2">
        <v>0</v>
      </c>
      <c r="F908" s="2">
        <v>0</v>
      </c>
      <c r="G908" s="2">
        <v>0</v>
      </c>
    </row>
    <row r="909" spans="1:7" x14ac:dyDescent="0.3">
      <c r="A909" t="s">
        <v>1418</v>
      </c>
      <c r="B909" t="s">
        <v>1395</v>
      </c>
      <c r="C909" t="s">
        <v>996</v>
      </c>
      <c r="D909" s="2">
        <v>0</v>
      </c>
      <c r="E909" s="2">
        <v>0</v>
      </c>
      <c r="F909" s="2">
        <v>0</v>
      </c>
      <c r="G909" s="2">
        <v>0</v>
      </c>
    </row>
    <row r="910" spans="1:7" x14ac:dyDescent="0.3">
      <c r="A910" t="s">
        <v>1418</v>
      </c>
      <c r="B910" t="s">
        <v>1395</v>
      </c>
      <c r="C910" t="s">
        <v>997</v>
      </c>
      <c r="D910" s="2">
        <v>0.3493</v>
      </c>
      <c r="E910" s="2">
        <v>0.34429999999999999</v>
      </c>
      <c r="F910" s="2">
        <v>0.33660000000000001</v>
      </c>
      <c r="G910" s="2">
        <v>0.3629</v>
      </c>
    </row>
    <row r="911" spans="1:7" x14ac:dyDescent="0.3">
      <c r="A911" t="s">
        <v>1418</v>
      </c>
      <c r="B911" t="s">
        <v>1395</v>
      </c>
      <c r="C911" t="s">
        <v>999</v>
      </c>
      <c r="D911" s="2">
        <v>0</v>
      </c>
      <c r="E911" s="2">
        <v>0</v>
      </c>
      <c r="F911" s="2">
        <v>0</v>
      </c>
      <c r="G911" s="2">
        <v>0</v>
      </c>
    </row>
    <row r="912" spans="1:7" x14ac:dyDescent="0.3">
      <c r="A912" t="s">
        <v>1418</v>
      </c>
      <c r="B912" t="s">
        <v>1395</v>
      </c>
      <c r="C912" t="s">
        <v>1000</v>
      </c>
      <c r="D912" s="2">
        <v>0</v>
      </c>
      <c r="E912" s="2">
        <v>0</v>
      </c>
      <c r="F912" s="2">
        <v>0</v>
      </c>
      <c r="G912" s="2">
        <v>0</v>
      </c>
    </row>
    <row r="913" spans="1:7" x14ac:dyDescent="0.3">
      <c r="A913" t="s">
        <v>1418</v>
      </c>
      <c r="B913" t="s">
        <v>1395</v>
      </c>
      <c r="C913" t="s">
        <v>1001</v>
      </c>
      <c r="D913" s="2">
        <v>0</v>
      </c>
      <c r="E913" s="2">
        <v>0</v>
      </c>
      <c r="F913" s="2">
        <v>0</v>
      </c>
      <c r="G913" s="2">
        <v>0</v>
      </c>
    </row>
    <row r="914" spans="1:7" x14ac:dyDescent="0.3">
      <c r="A914" t="s">
        <v>1419</v>
      </c>
      <c r="B914" t="s">
        <v>1391</v>
      </c>
      <c r="C914" t="s">
        <v>1002</v>
      </c>
      <c r="D914" s="2">
        <v>4.5900000000000003E-2</v>
      </c>
      <c r="E914" s="2">
        <v>5.4800000000000001E-2</v>
      </c>
      <c r="F914" s="2">
        <v>8.1100000000000005E-2</v>
      </c>
      <c r="G914" s="2">
        <v>0.1105</v>
      </c>
    </row>
    <row r="915" spans="1:7" x14ac:dyDescent="0.3">
      <c r="A915" t="s">
        <v>1419</v>
      </c>
      <c r="B915" t="s">
        <v>1391</v>
      </c>
      <c r="C915" t="s">
        <v>1003</v>
      </c>
      <c r="D915" s="2">
        <v>3.6815000000000002</v>
      </c>
      <c r="E915" s="2">
        <v>3.64</v>
      </c>
      <c r="F915" s="2">
        <v>3.1154999999999999</v>
      </c>
      <c r="G915" s="2">
        <v>2.3652000000000002</v>
      </c>
    </row>
    <row r="916" spans="1:7" x14ac:dyDescent="0.3">
      <c r="A916" t="s">
        <v>1419</v>
      </c>
      <c r="B916" t="s">
        <v>1391</v>
      </c>
      <c r="C916" t="s">
        <v>1004</v>
      </c>
      <c r="D916" s="2">
        <v>0</v>
      </c>
      <c r="E916" s="2">
        <v>0</v>
      </c>
      <c r="F916" s="2">
        <v>0</v>
      </c>
      <c r="G916" s="2">
        <v>0</v>
      </c>
    </row>
    <row r="917" spans="1:7" x14ac:dyDescent="0.3">
      <c r="A917" t="s">
        <v>1419</v>
      </c>
      <c r="B917" t="s">
        <v>1391</v>
      </c>
      <c r="C917" t="s">
        <v>1005</v>
      </c>
      <c r="D917" s="2">
        <v>10.658300000000001</v>
      </c>
      <c r="E917" s="2">
        <v>10.160600000000001</v>
      </c>
      <c r="F917" s="2">
        <v>10.191700000000001</v>
      </c>
      <c r="G917" s="2">
        <v>11.565300000000001</v>
      </c>
    </row>
    <row r="918" spans="1:7" x14ac:dyDescent="0.3">
      <c r="A918" t="s">
        <v>1419</v>
      </c>
      <c r="B918" t="s">
        <v>1391</v>
      </c>
      <c r="C918" t="s">
        <v>1006</v>
      </c>
      <c r="D918" s="2">
        <v>0</v>
      </c>
      <c r="E918" s="2">
        <v>0</v>
      </c>
      <c r="F918" s="2">
        <v>0</v>
      </c>
      <c r="G918" s="2">
        <v>0</v>
      </c>
    </row>
    <row r="919" spans="1:7" x14ac:dyDescent="0.3">
      <c r="A919" t="s">
        <v>1419</v>
      </c>
      <c r="B919" t="s">
        <v>1391</v>
      </c>
      <c r="C919" t="s">
        <v>1007</v>
      </c>
      <c r="D919" s="2">
        <v>0</v>
      </c>
      <c r="E919" s="2">
        <v>0</v>
      </c>
      <c r="F919" s="2">
        <v>0</v>
      </c>
      <c r="G919" s="2">
        <v>0</v>
      </c>
    </row>
    <row r="920" spans="1:7" x14ac:dyDescent="0.3">
      <c r="A920" t="s">
        <v>1419</v>
      </c>
      <c r="B920" t="s">
        <v>1391</v>
      </c>
      <c r="C920" t="s">
        <v>1008</v>
      </c>
      <c r="D920" s="2">
        <v>5.1978999999999997</v>
      </c>
      <c r="E920" s="2">
        <v>5.0907</v>
      </c>
      <c r="F920" s="2">
        <v>4.4124999999999996</v>
      </c>
      <c r="G920" s="2">
        <v>4.5926999999999998</v>
      </c>
    </row>
    <row r="921" spans="1:7" x14ac:dyDescent="0.3">
      <c r="A921" t="s">
        <v>1419</v>
      </c>
      <c r="B921" t="s">
        <v>1391</v>
      </c>
      <c r="C921" t="s">
        <v>1010</v>
      </c>
      <c r="D921" s="2">
        <v>0</v>
      </c>
      <c r="E921" s="2">
        <v>0</v>
      </c>
      <c r="F921" s="2">
        <v>0</v>
      </c>
      <c r="G921" s="2">
        <v>0</v>
      </c>
    </row>
    <row r="922" spans="1:7" x14ac:dyDescent="0.3">
      <c r="A922" t="s">
        <v>1419</v>
      </c>
      <c r="B922" t="s">
        <v>1391</v>
      </c>
      <c r="C922" t="s">
        <v>1011</v>
      </c>
      <c r="D922" s="2">
        <v>0</v>
      </c>
      <c r="E922" s="2">
        <v>0</v>
      </c>
      <c r="F922" s="2">
        <v>0</v>
      </c>
      <c r="G922" s="2">
        <v>0</v>
      </c>
    </row>
    <row r="923" spans="1:7" x14ac:dyDescent="0.3">
      <c r="A923" t="s">
        <v>1419</v>
      </c>
      <c r="B923" t="s">
        <v>1391</v>
      </c>
      <c r="C923" t="s">
        <v>1012</v>
      </c>
      <c r="D923" s="2">
        <v>4.4999999999999997E-3</v>
      </c>
      <c r="E923" s="2">
        <v>6.4999999999999997E-3</v>
      </c>
      <c r="F923" s="2">
        <v>4.7000000000000002E-3</v>
      </c>
      <c r="G923" s="2">
        <v>0.1159</v>
      </c>
    </row>
    <row r="924" spans="1:7" x14ac:dyDescent="0.3">
      <c r="A924" t="s">
        <v>1419</v>
      </c>
      <c r="B924" t="s">
        <v>1392</v>
      </c>
      <c r="C924" t="s">
        <v>1013</v>
      </c>
      <c r="D924" s="2">
        <v>74.293800000000005</v>
      </c>
      <c r="E924" s="2">
        <v>67.603999999999999</v>
      </c>
      <c r="F924" s="2">
        <v>74.792500000000004</v>
      </c>
      <c r="G924" s="2">
        <v>72.610900000000001</v>
      </c>
    </row>
    <row r="925" spans="1:7" x14ac:dyDescent="0.3">
      <c r="A925" t="s">
        <v>1419</v>
      </c>
      <c r="B925" t="s">
        <v>1392</v>
      </c>
      <c r="C925" t="s">
        <v>1014</v>
      </c>
      <c r="D925" s="2">
        <v>0</v>
      </c>
      <c r="E925" s="2">
        <v>0</v>
      </c>
      <c r="F925" s="2">
        <v>0</v>
      </c>
      <c r="G925" s="2">
        <v>0</v>
      </c>
    </row>
    <row r="926" spans="1:7" x14ac:dyDescent="0.3">
      <c r="A926" t="s">
        <v>1419</v>
      </c>
      <c r="B926" t="s">
        <v>1392</v>
      </c>
      <c r="C926" t="s">
        <v>1015</v>
      </c>
      <c r="D926" s="2">
        <v>0</v>
      </c>
      <c r="E926" s="2">
        <v>0</v>
      </c>
      <c r="F926" s="2">
        <v>0</v>
      </c>
      <c r="G926" s="2">
        <v>0</v>
      </c>
    </row>
    <row r="927" spans="1:7" x14ac:dyDescent="0.3">
      <c r="A927" t="s">
        <v>1419</v>
      </c>
      <c r="B927" t="s">
        <v>1392</v>
      </c>
      <c r="C927" t="s">
        <v>1016</v>
      </c>
      <c r="D927" s="2">
        <v>41.832000000000001</v>
      </c>
      <c r="E927" s="2">
        <v>43.037599999999998</v>
      </c>
      <c r="F927" s="2">
        <v>45.406399999999998</v>
      </c>
      <c r="G927" s="2">
        <v>46.256900000000002</v>
      </c>
    </row>
    <row r="928" spans="1:7" x14ac:dyDescent="0.3">
      <c r="A928" t="s">
        <v>1419</v>
      </c>
      <c r="B928" t="s">
        <v>1392</v>
      </c>
      <c r="C928" t="s">
        <v>1017</v>
      </c>
      <c r="D928" s="2">
        <v>0</v>
      </c>
      <c r="E928" s="2">
        <v>0</v>
      </c>
      <c r="F928" s="2">
        <v>0</v>
      </c>
      <c r="G928" s="2">
        <v>0</v>
      </c>
    </row>
    <row r="929" spans="1:7" x14ac:dyDescent="0.3">
      <c r="A929" t="s">
        <v>1419</v>
      </c>
      <c r="B929" t="s">
        <v>1392</v>
      </c>
      <c r="C929" t="s">
        <v>1018</v>
      </c>
      <c r="D929" s="2">
        <v>0.4733</v>
      </c>
      <c r="E929" s="2">
        <v>0.3871</v>
      </c>
      <c r="F929" s="2">
        <v>0.33550000000000002</v>
      </c>
      <c r="G929" s="2">
        <v>5.0799999999999998E-2</v>
      </c>
    </row>
    <row r="930" spans="1:7" x14ac:dyDescent="0.3">
      <c r="A930" t="s">
        <v>1419</v>
      </c>
      <c r="B930" t="s">
        <v>1392</v>
      </c>
      <c r="C930" t="s">
        <v>1019</v>
      </c>
      <c r="D930" s="2">
        <v>1.1509</v>
      </c>
      <c r="E930" s="2">
        <v>0.94210000000000005</v>
      </c>
      <c r="F930" s="2">
        <v>1.0242</v>
      </c>
      <c r="G930" s="2">
        <v>1.0525</v>
      </c>
    </row>
    <row r="931" spans="1:7" x14ac:dyDescent="0.3">
      <c r="A931" t="s">
        <v>1419</v>
      </c>
      <c r="B931" t="s">
        <v>1392</v>
      </c>
      <c r="C931" t="s">
        <v>1021</v>
      </c>
      <c r="D931" s="2">
        <v>0</v>
      </c>
      <c r="E931" s="2">
        <v>0</v>
      </c>
      <c r="F931" s="2">
        <v>0</v>
      </c>
      <c r="G931" s="2">
        <v>0</v>
      </c>
    </row>
    <row r="932" spans="1:7" x14ac:dyDescent="0.3">
      <c r="A932" t="s">
        <v>1419</v>
      </c>
      <c r="B932" t="s">
        <v>1392</v>
      </c>
      <c r="C932" t="s">
        <v>1022</v>
      </c>
      <c r="D932" s="2">
        <v>0</v>
      </c>
      <c r="E932" s="2">
        <v>0</v>
      </c>
      <c r="F932" s="2">
        <v>0</v>
      </c>
      <c r="G932" s="2">
        <v>0</v>
      </c>
    </row>
    <row r="933" spans="1:7" x14ac:dyDescent="0.3">
      <c r="A933" t="s">
        <v>1419</v>
      </c>
      <c r="B933" t="s">
        <v>1392</v>
      </c>
      <c r="C933" t="s">
        <v>1023</v>
      </c>
      <c r="D933" s="2">
        <v>37.573999999999998</v>
      </c>
      <c r="E933" s="2">
        <v>41.883299999999998</v>
      </c>
      <c r="F933" s="2">
        <v>37.077100000000002</v>
      </c>
      <c r="G933" s="2">
        <v>40.781700000000001</v>
      </c>
    </row>
    <row r="934" spans="1:7" x14ac:dyDescent="0.3">
      <c r="A934" t="s">
        <v>1419</v>
      </c>
      <c r="B934" t="s">
        <v>1393</v>
      </c>
      <c r="C934" t="s">
        <v>1024</v>
      </c>
      <c r="D934" s="2">
        <v>0.1308</v>
      </c>
      <c r="E934" s="2">
        <v>0.13900000000000001</v>
      </c>
      <c r="F934" s="2">
        <v>0.21790000000000001</v>
      </c>
      <c r="G934" s="2">
        <v>0.1004</v>
      </c>
    </row>
    <row r="935" spans="1:7" x14ac:dyDescent="0.3">
      <c r="A935" t="s">
        <v>1419</v>
      </c>
      <c r="B935" t="s">
        <v>1393</v>
      </c>
      <c r="C935" t="s">
        <v>1025</v>
      </c>
      <c r="D935" s="2">
        <v>0.89470000000000005</v>
      </c>
      <c r="E935" s="2">
        <v>0.51649999999999996</v>
      </c>
      <c r="F935" s="2">
        <v>0.46210000000000001</v>
      </c>
      <c r="G935" s="2">
        <v>0.48020000000000002</v>
      </c>
    </row>
    <row r="936" spans="1:7" x14ac:dyDescent="0.3">
      <c r="A936" t="s">
        <v>1419</v>
      </c>
      <c r="B936" t="s">
        <v>1393</v>
      </c>
      <c r="C936" t="s">
        <v>1026</v>
      </c>
      <c r="D936" s="2">
        <v>0</v>
      </c>
      <c r="E936" s="2">
        <v>0</v>
      </c>
      <c r="F936" s="2">
        <v>0</v>
      </c>
      <c r="G936" s="2">
        <v>0</v>
      </c>
    </row>
    <row r="937" spans="1:7" x14ac:dyDescent="0.3">
      <c r="A937" t="s">
        <v>1419</v>
      </c>
      <c r="B937" t="s">
        <v>1393</v>
      </c>
      <c r="C937" t="s">
        <v>1027</v>
      </c>
      <c r="D937" s="2">
        <v>11.3468</v>
      </c>
      <c r="E937" s="2">
        <v>10.5921</v>
      </c>
      <c r="F937" s="2">
        <v>10.081099999999999</v>
      </c>
      <c r="G937" s="2">
        <v>10.215299999999999</v>
      </c>
    </row>
    <row r="938" spans="1:7" x14ac:dyDescent="0.3">
      <c r="A938" t="s">
        <v>1419</v>
      </c>
      <c r="B938" t="s">
        <v>1393</v>
      </c>
      <c r="C938" t="s">
        <v>1028</v>
      </c>
      <c r="D938" s="2">
        <v>0</v>
      </c>
      <c r="E938" s="2">
        <v>0</v>
      </c>
      <c r="F938" s="2">
        <v>0</v>
      </c>
      <c r="G938" s="2">
        <v>0</v>
      </c>
    </row>
    <row r="939" spans="1:7" x14ac:dyDescent="0.3">
      <c r="A939" t="s">
        <v>1419</v>
      </c>
      <c r="B939" t="s">
        <v>1393</v>
      </c>
      <c r="C939" t="s">
        <v>1029</v>
      </c>
      <c r="D939" s="2">
        <v>0</v>
      </c>
      <c r="E939" s="2">
        <v>0</v>
      </c>
      <c r="F939" s="2">
        <v>0</v>
      </c>
      <c r="G939" s="2">
        <v>0</v>
      </c>
    </row>
    <row r="940" spans="1:7" x14ac:dyDescent="0.3">
      <c r="A940" t="s">
        <v>1419</v>
      </c>
      <c r="B940" t="s">
        <v>1393</v>
      </c>
      <c r="C940" t="s">
        <v>1030</v>
      </c>
      <c r="D940" s="2">
        <v>1.1055999999999999</v>
      </c>
      <c r="E940" s="2">
        <v>0.96279999999999999</v>
      </c>
      <c r="F940" s="2">
        <v>0.9133</v>
      </c>
      <c r="G940" s="2">
        <v>0.95109999999999995</v>
      </c>
    </row>
    <row r="941" spans="1:7" x14ac:dyDescent="0.3">
      <c r="A941" t="s">
        <v>1419</v>
      </c>
      <c r="B941" t="s">
        <v>1393</v>
      </c>
      <c r="C941" t="s">
        <v>1032</v>
      </c>
      <c r="D941" s="2">
        <v>0</v>
      </c>
      <c r="E941" s="2">
        <v>0</v>
      </c>
      <c r="F941" s="2">
        <v>0</v>
      </c>
      <c r="G941" s="2">
        <v>0</v>
      </c>
    </row>
    <row r="942" spans="1:7" x14ac:dyDescent="0.3">
      <c r="A942" t="s">
        <v>1419</v>
      </c>
      <c r="B942" t="s">
        <v>1393</v>
      </c>
      <c r="C942" t="s">
        <v>1033</v>
      </c>
      <c r="D942" s="2">
        <v>0</v>
      </c>
      <c r="E942" s="2">
        <v>0</v>
      </c>
      <c r="F942" s="2">
        <v>0</v>
      </c>
      <c r="G942" s="2">
        <v>0</v>
      </c>
    </row>
    <row r="943" spans="1:7" x14ac:dyDescent="0.3">
      <c r="A943" t="s">
        <v>1419</v>
      </c>
      <c r="B943" t="s">
        <v>1393</v>
      </c>
      <c r="C943" t="s">
        <v>1034</v>
      </c>
      <c r="D943" s="2">
        <v>0</v>
      </c>
      <c r="E943" s="2">
        <v>0</v>
      </c>
      <c r="F943" s="2">
        <v>0</v>
      </c>
      <c r="G943" s="2">
        <v>1E-4</v>
      </c>
    </row>
    <row r="944" spans="1:7" x14ac:dyDescent="0.3">
      <c r="A944" t="s">
        <v>1419</v>
      </c>
      <c r="B944" t="s">
        <v>1397</v>
      </c>
      <c r="C944" t="s">
        <v>1035</v>
      </c>
      <c r="D944" s="2">
        <v>0.72829999999999995</v>
      </c>
      <c r="E944" s="2">
        <v>0.56910000000000005</v>
      </c>
      <c r="F944" s="2">
        <v>0.4118</v>
      </c>
      <c r="G944" s="2">
        <v>0.2442</v>
      </c>
    </row>
    <row r="945" spans="1:7" x14ac:dyDescent="0.3">
      <c r="A945" t="s">
        <v>1419</v>
      </c>
      <c r="B945" t="s">
        <v>1397</v>
      </c>
      <c r="C945" t="s">
        <v>1036</v>
      </c>
      <c r="D945" s="2">
        <v>0.3296</v>
      </c>
      <c r="E945" s="2">
        <v>0.32929999999999998</v>
      </c>
      <c r="F945" s="2">
        <v>0.23880000000000001</v>
      </c>
      <c r="G945" s="2">
        <v>0.255</v>
      </c>
    </row>
    <row r="946" spans="1:7" x14ac:dyDescent="0.3">
      <c r="A946" t="s">
        <v>1419</v>
      </c>
      <c r="B946" t="s">
        <v>1397</v>
      </c>
      <c r="C946" t="s">
        <v>1037</v>
      </c>
      <c r="D946" s="2">
        <v>0</v>
      </c>
      <c r="E946" s="2">
        <v>0</v>
      </c>
      <c r="F946" s="2">
        <v>0</v>
      </c>
      <c r="G946" s="2">
        <v>0</v>
      </c>
    </row>
    <row r="947" spans="1:7" x14ac:dyDescent="0.3">
      <c r="A947" t="s">
        <v>1419</v>
      </c>
      <c r="B947" t="s">
        <v>1397</v>
      </c>
      <c r="C947" t="s">
        <v>1038</v>
      </c>
      <c r="D947" s="2">
        <v>25.595700000000001</v>
      </c>
      <c r="E947" s="2">
        <v>26.417300000000001</v>
      </c>
      <c r="F947" s="2">
        <v>25.997399999999999</v>
      </c>
      <c r="G947" s="2">
        <v>26.5517</v>
      </c>
    </row>
    <row r="948" spans="1:7" x14ac:dyDescent="0.3">
      <c r="A948" t="s">
        <v>1419</v>
      </c>
      <c r="B948" t="s">
        <v>1397</v>
      </c>
      <c r="C948" t="s">
        <v>1039</v>
      </c>
      <c r="D948" s="2">
        <v>0</v>
      </c>
      <c r="E948" s="2">
        <v>0</v>
      </c>
      <c r="F948" s="2">
        <v>0</v>
      </c>
      <c r="G948" s="2">
        <v>0</v>
      </c>
    </row>
    <row r="949" spans="1:7" x14ac:dyDescent="0.3">
      <c r="A949" t="s">
        <v>1419</v>
      </c>
      <c r="B949" t="s">
        <v>1397</v>
      </c>
      <c r="C949" t="s">
        <v>1040</v>
      </c>
      <c r="D949" s="2">
        <v>0</v>
      </c>
      <c r="E949" s="2">
        <v>0</v>
      </c>
      <c r="F949" s="2">
        <v>0</v>
      </c>
      <c r="G949" s="2">
        <v>0</v>
      </c>
    </row>
    <row r="950" spans="1:7" x14ac:dyDescent="0.3">
      <c r="A950" t="s">
        <v>1419</v>
      </c>
      <c r="B950" t="s">
        <v>1397</v>
      </c>
      <c r="C950" t="s">
        <v>1041</v>
      </c>
      <c r="D950" s="2">
        <v>5.9104999999999999</v>
      </c>
      <c r="E950" s="2">
        <v>5.8627000000000002</v>
      </c>
      <c r="F950" s="2">
        <v>5.8730000000000002</v>
      </c>
      <c r="G950" s="2">
        <v>5.6436999999999999</v>
      </c>
    </row>
    <row r="951" spans="1:7" x14ac:dyDescent="0.3">
      <c r="A951" t="s">
        <v>1419</v>
      </c>
      <c r="B951" t="s">
        <v>1397</v>
      </c>
      <c r="C951" t="s">
        <v>1043</v>
      </c>
      <c r="D951" s="2">
        <v>0</v>
      </c>
      <c r="E951" s="2">
        <v>0</v>
      </c>
      <c r="F951" s="2">
        <v>0</v>
      </c>
      <c r="G951" s="2">
        <v>0</v>
      </c>
    </row>
    <row r="952" spans="1:7" x14ac:dyDescent="0.3">
      <c r="A952" t="s">
        <v>1419</v>
      </c>
      <c r="B952" t="s">
        <v>1397</v>
      </c>
      <c r="C952" t="s">
        <v>1044</v>
      </c>
      <c r="D952" s="2">
        <v>0</v>
      </c>
      <c r="E952" s="2">
        <v>0</v>
      </c>
      <c r="F952" s="2">
        <v>0</v>
      </c>
      <c r="G952" s="2">
        <v>0</v>
      </c>
    </row>
    <row r="953" spans="1:7" x14ac:dyDescent="0.3">
      <c r="A953" t="s">
        <v>1419</v>
      </c>
      <c r="B953" t="s">
        <v>1397</v>
      </c>
      <c r="C953" t="s">
        <v>1045</v>
      </c>
      <c r="D953" s="2">
        <v>1.8714</v>
      </c>
      <c r="E953" s="2">
        <v>0.1961</v>
      </c>
      <c r="F953" s="2">
        <v>0.36909999999999998</v>
      </c>
      <c r="G953" s="2">
        <v>0.47470000000000001</v>
      </c>
    </row>
    <row r="954" spans="1:7" x14ac:dyDescent="0.3">
      <c r="A954" t="s">
        <v>1419</v>
      </c>
      <c r="B954" t="s">
        <v>1395</v>
      </c>
      <c r="C954" t="s">
        <v>1046</v>
      </c>
      <c r="D954" s="2">
        <v>7.4471999999999996</v>
      </c>
      <c r="E954" s="2">
        <v>7.0446999999999997</v>
      </c>
      <c r="F954" s="2">
        <v>7.3784000000000001</v>
      </c>
      <c r="G954" s="2">
        <v>7.0096999999999996</v>
      </c>
    </row>
    <row r="955" spans="1:7" x14ac:dyDescent="0.3">
      <c r="A955" t="s">
        <v>1419</v>
      </c>
      <c r="B955" t="s">
        <v>1395</v>
      </c>
      <c r="C955" t="s">
        <v>1047</v>
      </c>
      <c r="D955" s="2">
        <v>0.22209999999999999</v>
      </c>
      <c r="E955" s="2">
        <v>0.23780000000000001</v>
      </c>
      <c r="F955" s="2">
        <v>8.7800000000000003E-2</v>
      </c>
      <c r="G955" s="2">
        <v>7.7499999999999999E-2</v>
      </c>
    </row>
    <row r="956" spans="1:7" x14ac:dyDescent="0.3">
      <c r="A956" t="s">
        <v>1419</v>
      </c>
      <c r="B956" t="s">
        <v>1395</v>
      </c>
      <c r="C956" t="s">
        <v>1048</v>
      </c>
      <c r="D956" s="2">
        <v>0</v>
      </c>
      <c r="E956" s="2">
        <v>0</v>
      </c>
      <c r="F956" s="2">
        <v>0</v>
      </c>
      <c r="G956" s="2">
        <v>0</v>
      </c>
    </row>
    <row r="957" spans="1:7" x14ac:dyDescent="0.3">
      <c r="A957" t="s">
        <v>1419</v>
      </c>
      <c r="B957" t="s">
        <v>1395</v>
      </c>
      <c r="C957" t="s">
        <v>1049</v>
      </c>
      <c r="D957" s="2">
        <v>25.5443</v>
      </c>
      <c r="E957" s="2">
        <v>23.851900000000001</v>
      </c>
      <c r="F957" s="2">
        <v>22.257000000000001</v>
      </c>
      <c r="G957" s="2">
        <v>23.880600000000001</v>
      </c>
    </row>
    <row r="958" spans="1:7" x14ac:dyDescent="0.3">
      <c r="A958" t="s">
        <v>1419</v>
      </c>
      <c r="B958" t="s">
        <v>1395</v>
      </c>
      <c r="C958" t="s">
        <v>1050</v>
      </c>
      <c r="D958" s="2">
        <v>0</v>
      </c>
      <c r="E958" s="2">
        <v>0</v>
      </c>
      <c r="F958" s="2">
        <v>0</v>
      </c>
      <c r="G958" s="2">
        <v>0</v>
      </c>
    </row>
    <row r="959" spans="1:7" x14ac:dyDescent="0.3">
      <c r="A959" t="s">
        <v>1419</v>
      </c>
      <c r="B959" t="s">
        <v>1395</v>
      </c>
      <c r="C959" t="s">
        <v>1051</v>
      </c>
      <c r="D959" s="2">
        <v>1.4276</v>
      </c>
      <c r="E959" s="2">
        <v>1.2271000000000001</v>
      </c>
      <c r="F959" s="2">
        <v>1.2282999999999999</v>
      </c>
      <c r="G959" s="2">
        <v>1.3033999999999999</v>
      </c>
    </row>
    <row r="960" spans="1:7" x14ac:dyDescent="0.3">
      <c r="A960" t="s">
        <v>1419</v>
      </c>
      <c r="B960" t="s">
        <v>1395</v>
      </c>
      <c r="C960" t="s">
        <v>1052</v>
      </c>
      <c r="D960" s="2">
        <v>11.196300000000001</v>
      </c>
      <c r="E960" s="2">
        <v>12.5425</v>
      </c>
      <c r="F960" s="2">
        <v>12.0778</v>
      </c>
      <c r="G960" s="2">
        <v>10.9009</v>
      </c>
    </row>
    <row r="961" spans="1:7" x14ac:dyDescent="0.3">
      <c r="A961" t="s">
        <v>1419</v>
      </c>
      <c r="B961" t="s">
        <v>1395</v>
      </c>
      <c r="C961" t="s">
        <v>1054</v>
      </c>
      <c r="D961" s="2">
        <v>0</v>
      </c>
      <c r="E961" s="2">
        <v>0</v>
      </c>
      <c r="F961" s="2">
        <v>0</v>
      </c>
      <c r="G961" s="2">
        <v>0</v>
      </c>
    </row>
    <row r="962" spans="1:7" x14ac:dyDescent="0.3">
      <c r="A962" t="s">
        <v>1419</v>
      </c>
      <c r="B962" t="s">
        <v>1395</v>
      </c>
      <c r="C962" t="s">
        <v>1055</v>
      </c>
      <c r="D962" s="2">
        <v>0</v>
      </c>
      <c r="E962" s="2">
        <v>0</v>
      </c>
      <c r="F962" s="2">
        <v>0</v>
      </c>
      <c r="G962" s="2">
        <v>0</v>
      </c>
    </row>
    <row r="963" spans="1:7" x14ac:dyDescent="0.3">
      <c r="A963" t="s">
        <v>1419</v>
      </c>
      <c r="B963" t="s">
        <v>1395</v>
      </c>
      <c r="C963" t="s">
        <v>1056</v>
      </c>
      <c r="D963" s="2">
        <v>2.536</v>
      </c>
      <c r="E963" s="2">
        <v>2.4523000000000001</v>
      </c>
      <c r="F963" s="2">
        <v>2.5213999999999999</v>
      </c>
      <c r="G963" s="2">
        <v>1.3</v>
      </c>
    </row>
    <row r="964" spans="1:7" x14ac:dyDescent="0.3">
      <c r="A964" t="s">
        <v>1420</v>
      </c>
      <c r="B964" t="s">
        <v>1391</v>
      </c>
      <c r="C964" t="s">
        <v>1057</v>
      </c>
      <c r="D964" s="2">
        <v>0.1066</v>
      </c>
      <c r="E964" s="2">
        <v>0.10580000000000001</v>
      </c>
      <c r="F964" s="2">
        <v>8.2199999999999995E-2</v>
      </c>
      <c r="G964" s="2">
        <v>8.9899999999999994E-2</v>
      </c>
    </row>
    <row r="965" spans="1:7" x14ac:dyDescent="0.3">
      <c r="A965" t="s">
        <v>1420</v>
      </c>
      <c r="B965" t="s">
        <v>1391</v>
      </c>
      <c r="C965" t="s">
        <v>1058</v>
      </c>
      <c r="D965" s="2">
        <v>5.8902000000000001</v>
      </c>
      <c r="E965" s="2">
        <v>2.1105999999999998</v>
      </c>
      <c r="F965" s="2">
        <v>1.0780000000000001</v>
      </c>
      <c r="G965" s="2">
        <v>1.6718</v>
      </c>
    </row>
    <row r="966" spans="1:7" x14ac:dyDescent="0.3">
      <c r="A966" t="s">
        <v>1420</v>
      </c>
      <c r="B966" t="s">
        <v>1391</v>
      </c>
      <c r="C966" t="s">
        <v>1059</v>
      </c>
      <c r="D966" s="2">
        <v>0</v>
      </c>
      <c r="E966" s="2">
        <v>0</v>
      </c>
      <c r="F966" s="2">
        <v>0</v>
      </c>
      <c r="G966" s="2">
        <v>0</v>
      </c>
    </row>
    <row r="967" spans="1:7" x14ac:dyDescent="0.3">
      <c r="A967" t="s">
        <v>1420</v>
      </c>
      <c r="B967" t="s">
        <v>1391</v>
      </c>
      <c r="C967" t="s">
        <v>1060</v>
      </c>
      <c r="D967" s="2">
        <v>20.592600000000001</v>
      </c>
      <c r="E967" s="2">
        <v>18.660599999999999</v>
      </c>
      <c r="F967" s="2">
        <v>17.366299999999999</v>
      </c>
      <c r="G967" s="2">
        <v>19.1371</v>
      </c>
    </row>
    <row r="968" spans="1:7" x14ac:dyDescent="0.3">
      <c r="A968" t="s">
        <v>1420</v>
      </c>
      <c r="B968" t="s">
        <v>1391</v>
      </c>
      <c r="C968" t="s">
        <v>1061</v>
      </c>
      <c r="D968" s="2">
        <v>0</v>
      </c>
      <c r="E968" s="2">
        <v>0</v>
      </c>
      <c r="F968" s="2">
        <v>0</v>
      </c>
      <c r="G968" s="2">
        <v>0</v>
      </c>
    </row>
    <row r="969" spans="1:7" x14ac:dyDescent="0.3">
      <c r="A969" t="s">
        <v>1420</v>
      </c>
      <c r="B969" t="s">
        <v>1391</v>
      </c>
      <c r="C969" t="s">
        <v>1062</v>
      </c>
      <c r="D969" s="2">
        <v>5.9999999999999995E-4</v>
      </c>
      <c r="E969" s="2">
        <v>2.9999999999999997E-4</v>
      </c>
      <c r="F969" s="2">
        <v>0</v>
      </c>
      <c r="G969" s="2">
        <v>3.3999999999999998E-3</v>
      </c>
    </row>
    <row r="970" spans="1:7" x14ac:dyDescent="0.3">
      <c r="A970" t="s">
        <v>1420</v>
      </c>
      <c r="B970" t="s">
        <v>1391</v>
      </c>
      <c r="C970" t="s">
        <v>1063</v>
      </c>
      <c r="D970" s="2">
        <v>13.4215</v>
      </c>
      <c r="E970" s="2">
        <v>12.0471</v>
      </c>
      <c r="F970" s="2">
        <v>10.981199999999999</v>
      </c>
      <c r="G970" s="2">
        <v>12.271100000000001</v>
      </c>
    </row>
    <row r="971" spans="1:7" x14ac:dyDescent="0.3">
      <c r="A971" t="s">
        <v>1420</v>
      </c>
      <c r="B971" t="s">
        <v>1391</v>
      </c>
      <c r="C971" t="s">
        <v>1065</v>
      </c>
      <c r="D971" s="2">
        <v>0</v>
      </c>
      <c r="E971" s="2">
        <v>0</v>
      </c>
      <c r="F971" s="2">
        <v>0</v>
      </c>
      <c r="G971" s="2">
        <v>0</v>
      </c>
    </row>
    <row r="972" spans="1:7" x14ac:dyDescent="0.3">
      <c r="A972" t="s">
        <v>1420</v>
      </c>
      <c r="B972" t="s">
        <v>1391</v>
      </c>
      <c r="C972" t="s">
        <v>1066</v>
      </c>
      <c r="D972" s="2">
        <v>0</v>
      </c>
      <c r="E972" s="2">
        <v>0</v>
      </c>
      <c r="F972" s="2">
        <v>0</v>
      </c>
      <c r="G972" s="2">
        <v>0</v>
      </c>
    </row>
    <row r="973" spans="1:7" x14ac:dyDescent="0.3">
      <c r="A973" t="s">
        <v>1420</v>
      </c>
      <c r="B973" t="s">
        <v>1391</v>
      </c>
      <c r="C973" t="s">
        <v>1067</v>
      </c>
      <c r="D973" s="2">
        <v>15.0975</v>
      </c>
      <c r="E973" s="2">
        <v>12.2881</v>
      </c>
      <c r="F973" s="2">
        <v>12.1805</v>
      </c>
      <c r="G973" s="2">
        <v>13.4145</v>
      </c>
    </row>
    <row r="974" spans="1:7" x14ac:dyDescent="0.3">
      <c r="A974" t="s">
        <v>1420</v>
      </c>
      <c r="B974" t="s">
        <v>1392</v>
      </c>
      <c r="C974" t="s">
        <v>1068</v>
      </c>
      <c r="D974" s="2">
        <v>7.7313000000000001</v>
      </c>
      <c r="E974" s="2">
        <v>11.3406</v>
      </c>
      <c r="F974" s="2">
        <v>12.276400000000001</v>
      </c>
      <c r="G974" s="2">
        <v>13.0123</v>
      </c>
    </row>
    <row r="975" spans="1:7" x14ac:dyDescent="0.3">
      <c r="A975" t="s">
        <v>1420</v>
      </c>
      <c r="B975" t="s">
        <v>1392</v>
      </c>
      <c r="C975" t="s">
        <v>1069</v>
      </c>
      <c r="D975" s="2">
        <v>23.8964</v>
      </c>
      <c r="E975" s="2">
        <v>23.5869</v>
      </c>
      <c r="F975" s="2">
        <v>21.9511</v>
      </c>
      <c r="G975" s="2">
        <v>22.581499999999998</v>
      </c>
    </row>
    <row r="976" spans="1:7" x14ac:dyDescent="0.3">
      <c r="A976" t="s">
        <v>1420</v>
      </c>
      <c r="B976" t="s">
        <v>1392</v>
      </c>
      <c r="C976" t="s">
        <v>1070</v>
      </c>
      <c r="D976" s="2">
        <v>0</v>
      </c>
      <c r="E976" s="2">
        <v>0</v>
      </c>
      <c r="F976" s="2">
        <v>0</v>
      </c>
      <c r="G976" s="2">
        <v>0</v>
      </c>
    </row>
    <row r="977" spans="1:7" x14ac:dyDescent="0.3">
      <c r="A977" t="s">
        <v>1420</v>
      </c>
      <c r="B977" t="s">
        <v>1392</v>
      </c>
      <c r="C977" t="s">
        <v>1071</v>
      </c>
      <c r="D977" s="2">
        <v>9.1202000000000005</v>
      </c>
      <c r="E977" s="2">
        <v>8.9860000000000007</v>
      </c>
      <c r="F977" s="2">
        <v>10.036199999999999</v>
      </c>
      <c r="G977" s="2">
        <v>11.254899999999999</v>
      </c>
    </row>
    <row r="978" spans="1:7" x14ac:dyDescent="0.3">
      <c r="A978" t="s">
        <v>1420</v>
      </c>
      <c r="B978" t="s">
        <v>1392</v>
      </c>
      <c r="C978" t="s">
        <v>1072</v>
      </c>
      <c r="D978" s="2">
        <v>0</v>
      </c>
      <c r="E978" s="2">
        <v>0</v>
      </c>
      <c r="F978" s="2">
        <v>0</v>
      </c>
      <c r="G978" s="2">
        <v>0</v>
      </c>
    </row>
    <row r="979" spans="1:7" x14ac:dyDescent="0.3">
      <c r="A979" t="s">
        <v>1420</v>
      </c>
      <c r="B979" t="s">
        <v>1392</v>
      </c>
      <c r="C979" t="s">
        <v>1073</v>
      </c>
      <c r="D979" s="2">
        <v>0.49880000000000002</v>
      </c>
      <c r="E979" s="2">
        <v>0.43309999999999998</v>
      </c>
      <c r="F979" s="2">
        <v>0.39169999999999999</v>
      </c>
      <c r="G979" s="2">
        <v>0.38019999999999998</v>
      </c>
    </row>
    <row r="980" spans="1:7" x14ac:dyDescent="0.3">
      <c r="A980" t="s">
        <v>1420</v>
      </c>
      <c r="B980" t="s">
        <v>1392</v>
      </c>
      <c r="C980" t="s">
        <v>1074</v>
      </c>
      <c r="D980" s="2">
        <v>2.1324999999999998</v>
      </c>
      <c r="E980" s="2">
        <v>2.2105000000000001</v>
      </c>
      <c r="F980" s="2">
        <v>2.2103999999999999</v>
      </c>
      <c r="G980" s="2">
        <v>1.7422</v>
      </c>
    </row>
    <row r="981" spans="1:7" x14ac:dyDescent="0.3">
      <c r="A981" t="s">
        <v>1420</v>
      </c>
      <c r="B981" t="s">
        <v>1392</v>
      </c>
      <c r="C981" t="s">
        <v>1076</v>
      </c>
      <c r="D981" s="2">
        <v>0</v>
      </c>
      <c r="E981" s="2">
        <v>0</v>
      </c>
      <c r="F981" s="2">
        <v>0</v>
      </c>
      <c r="G981" s="2">
        <v>0</v>
      </c>
    </row>
    <row r="982" spans="1:7" x14ac:dyDescent="0.3">
      <c r="A982" t="s">
        <v>1420</v>
      </c>
      <c r="B982" t="s">
        <v>1392</v>
      </c>
      <c r="C982" t="s">
        <v>1077</v>
      </c>
      <c r="D982" s="2">
        <v>0</v>
      </c>
      <c r="E982" s="2">
        <v>0</v>
      </c>
      <c r="F982" s="2">
        <v>0</v>
      </c>
      <c r="G982" s="2">
        <v>0</v>
      </c>
    </row>
    <row r="983" spans="1:7" x14ac:dyDescent="0.3">
      <c r="A983" t="s">
        <v>1420</v>
      </c>
      <c r="B983" t="s">
        <v>1392</v>
      </c>
      <c r="C983" t="s">
        <v>1078</v>
      </c>
      <c r="D983" s="2">
        <v>7.2313000000000001</v>
      </c>
      <c r="E983" s="2">
        <v>9.8816000000000006</v>
      </c>
      <c r="F983" s="2">
        <v>10.6286</v>
      </c>
      <c r="G983" s="2">
        <v>10.5534</v>
      </c>
    </row>
    <row r="984" spans="1:7" x14ac:dyDescent="0.3">
      <c r="A984" t="s">
        <v>1420</v>
      </c>
      <c r="B984" t="s">
        <v>1393</v>
      </c>
      <c r="C984" t="s">
        <v>1079</v>
      </c>
      <c r="D984" s="2">
        <v>1.8754999999999999</v>
      </c>
      <c r="E984" s="2">
        <v>2.1061999999999999</v>
      </c>
      <c r="F984" s="2">
        <v>1.3831</v>
      </c>
      <c r="G984" s="2">
        <v>1.4384999999999999</v>
      </c>
    </row>
    <row r="985" spans="1:7" x14ac:dyDescent="0.3">
      <c r="A985" t="s">
        <v>1420</v>
      </c>
      <c r="B985" t="s">
        <v>1393</v>
      </c>
      <c r="C985" t="s">
        <v>1080</v>
      </c>
      <c r="D985" s="2">
        <v>11.3332</v>
      </c>
      <c r="E985" s="2">
        <v>10.4817</v>
      </c>
      <c r="F985" s="2">
        <v>9.2876999999999992</v>
      </c>
      <c r="G985" s="2">
        <v>9.7050000000000001</v>
      </c>
    </row>
    <row r="986" spans="1:7" x14ac:dyDescent="0.3">
      <c r="A986" t="s">
        <v>1420</v>
      </c>
      <c r="B986" t="s">
        <v>1393</v>
      </c>
      <c r="C986" t="s">
        <v>1081</v>
      </c>
      <c r="D986" s="2">
        <v>0</v>
      </c>
      <c r="E986" s="2">
        <v>0</v>
      </c>
      <c r="F986" s="2">
        <v>0</v>
      </c>
      <c r="G986" s="2">
        <v>0</v>
      </c>
    </row>
    <row r="987" spans="1:7" x14ac:dyDescent="0.3">
      <c r="A987" t="s">
        <v>1420</v>
      </c>
      <c r="B987" t="s">
        <v>1393</v>
      </c>
      <c r="C987" t="s">
        <v>1082</v>
      </c>
      <c r="D987" s="2">
        <v>22.037099999999999</v>
      </c>
      <c r="E987" s="2">
        <v>23.792400000000001</v>
      </c>
      <c r="F987" s="2">
        <v>22.8431</v>
      </c>
      <c r="G987" s="2">
        <v>26.940799999999999</v>
      </c>
    </row>
    <row r="988" spans="1:7" x14ac:dyDescent="0.3">
      <c r="A988" t="s">
        <v>1420</v>
      </c>
      <c r="B988" t="s">
        <v>1393</v>
      </c>
      <c r="C988" t="s">
        <v>1083</v>
      </c>
      <c r="D988" s="2">
        <v>0</v>
      </c>
      <c r="E988" s="2">
        <v>0</v>
      </c>
      <c r="F988" s="2">
        <v>0</v>
      </c>
      <c r="G988" s="2">
        <v>0</v>
      </c>
    </row>
    <row r="989" spans="1:7" x14ac:dyDescent="0.3">
      <c r="A989" t="s">
        <v>1420</v>
      </c>
      <c r="B989" t="s">
        <v>1393</v>
      </c>
      <c r="C989" t="s">
        <v>1084</v>
      </c>
      <c r="D989" s="2">
        <v>18.0885</v>
      </c>
      <c r="E989" s="2">
        <v>18.553899999999999</v>
      </c>
      <c r="F989" s="2">
        <v>18.309000000000001</v>
      </c>
      <c r="G989" s="2">
        <v>18.139500000000002</v>
      </c>
    </row>
    <row r="990" spans="1:7" x14ac:dyDescent="0.3">
      <c r="A990" t="s">
        <v>1420</v>
      </c>
      <c r="B990" t="s">
        <v>1393</v>
      </c>
      <c r="C990" t="s">
        <v>1085</v>
      </c>
      <c r="D990" s="2">
        <v>3.8018999999999998</v>
      </c>
      <c r="E990" s="2">
        <v>3.8576999999999999</v>
      </c>
      <c r="F990" s="2">
        <v>3.8218000000000001</v>
      </c>
      <c r="G990" s="2">
        <v>4.1147999999999998</v>
      </c>
    </row>
    <row r="991" spans="1:7" x14ac:dyDescent="0.3">
      <c r="A991" t="s">
        <v>1420</v>
      </c>
      <c r="B991" t="s">
        <v>1393</v>
      </c>
      <c r="C991" t="s">
        <v>1087</v>
      </c>
      <c r="D991" s="2">
        <v>0</v>
      </c>
      <c r="E991" s="2">
        <v>0</v>
      </c>
      <c r="F991" s="2">
        <v>0</v>
      </c>
      <c r="G991" s="2">
        <v>0</v>
      </c>
    </row>
    <row r="992" spans="1:7" x14ac:dyDescent="0.3">
      <c r="A992" t="s">
        <v>1420</v>
      </c>
      <c r="B992" t="s">
        <v>1393</v>
      </c>
      <c r="C992" t="s">
        <v>1088</v>
      </c>
      <c r="D992" s="2">
        <v>0</v>
      </c>
      <c r="E992" s="2">
        <v>0</v>
      </c>
      <c r="F992" s="2">
        <v>0</v>
      </c>
      <c r="G992" s="2">
        <v>0</v>
      </c>
    </row>
    <row r="993" spans="1:7" x14ac:dyDescent="0.3">
      <c r="A993" t="s">
        <v>1420</v>
      </c>
      <c r="B993" t="s">
        <v>1393</v>
      </c>
      <c r="C993" t="s">
        <v>1089</v>
      </c>
      <c r="D993" s="2">
        <v>0.74419999999999997</v>
      </c>
      <c r="E993" s="2">
        <v>0.77639999999999998</v>
      </c>
      <c r="F993" s="2">
        <v>0.6603</v>
      </c>
      <c r="G993" s="2">
        <v>0.77239999999999998</v>
      </c>
    </row>
    <row r="994" spans="1:7" x14ac:dyDescent="0.3">
      <c r="A994" t="s">
        <v>1420</v>
      </c>
      <c r="B994" t="s">
        <v>1397</v>
      </c>
      <c r="C994" t="s">
        <v>1090</v>
      </c>
      <c r="D994" s="2">
        <v>1.4984</v>
      </c>
      <c r="E994" s="2">
        <v>1.3154999999999999</v>
      </c>
      <c r="F994" s="2">
        <v>1.1302000000000001</v>
      </c>
      <c r="G994" s="2">
        <v>1.1167</v>
      </c>
    </row>
    <row r="995" spans="1:7" x14ac:dyDescent="0.3">
      <c r="A995" t="s">
        <v>1420</v>
      </c>
      <c r="B995" t="s">
        <v>1397</v>
      </c>
      <c r="C995" t="s">
        <v>1091</v>
      </c>
      <c r="D995" s="2">
        <v>9.5404999999999998</v>
      </c>
      <c r="E995" s="2">
        <v>9.5152999999999999</v>
      </c>
      <c r="F995" s="2">
        <v>8.8153000000000006</v>
      </c>
      <c r="G995" s="2">
        <v>8.3873999999999995</v>
      </c>
    </row>
    <row r="996" spans="1:7" x14ac:dyDescent="0.3">
      <c r="A996" t="s">
        <v>1420</v>
      </c>
      <c r="B996" t="s">
        <v>1397</v>
      </c>
      <c r="C996" t="s">
        <v>1092</v>
      </c>
      <c r="D996" s="2">
        <v>0</v>
      </c>
      <c r="E996" s="2">
        <v>0</v>
      </c>
      <c r="F996" s="2">
        <v>0</v>
      </c>
      <c r="G996" s="2">
        <v>0</v>
      </c>
    </row>
    <row r="997" spans="1:7" x14ac:dyDescent="0.3">
      <c r="A997" t="s">
        <v>1420</v>
      </c>
      <c r="B997" t="s">
        <v>1397</v>
      </c>
      <c r="C997" t="s">
        <v>1093</v>
      </c>
      <c r="D997" s="2">
        <v>17.922599999999999</v>
      </c>
      <c r="E997" s="2">
        <v>17.560500000000001</v>
      </c>
      <c r="F997" s="2">
        <v>17.027899999999999</v>
      </c>
      <c r="G997" s="2">
        <v>17.667200000000001</v>
      </c>
    </row>
    <row r="998" spans="1:7" x14ac:dyDescent="0.3">
      <c r="A998" t="s">
        <v>1420</v>
      </c>
      <c r="B998" t="s">
        <v>1397</v>
      </c>
      <c r="C998" t="s">
        <v>1094</v>
      </c>
      <c r="D998" s="2">
        <v>0</v>
      </c>
      <c r="E998" s="2">
        <v>0</v>
      </c>
      <c r="F998" s="2">
        <v>0</v>
      </c>
      <c r="G998" s="2">
        <v>0</v>
      </c>
    </row>
    <row r="999" spans="1:7" x14ac:dyDescent="0.3">
      <c r="A999" t="s">
        <v>1420</v>
      </c>
      <c r="B999" t="s">
        <v>1397</v>
      </c>
      <c r="C999" t="s">
        <v>1095</v>
      </c>
      <c r="D999" s="2">
        <v>0.51680000000000004</v>
      </c>
      <c r="E999" s="2">
        <v>0.32400000000000001</v>
      </c>
      <c r="F999" s="2">
        <v>0.27</v>
      </c>
      <c r="G999" s="2">
        <v>0.17080000000000001</v>
      </c>
    </row>
    <row r="1000" spans="1:7" x14ac:dyDescent="0.3">
      <c r="A1000" t="s">
        <v>1420</v>
      </c>
      <c r="B1000" t="s">
        <v>1397</v>
      </c>
      <c r="C1000" t="s">
        <v>1096</v>
      </c>
      <c r="D1000" s="2">
        <v>6.7576000000000001</v>
      </c>
      <c r="E1000" s="2">
        <v>6.9720000000000004</v>
      </c>
      <c r="F1000" s="2">
        <v>6.9461000000000004</v>
      </c>
      <c r="G1000" s="2">
        <v>7.1840999999999999</v>
      </c>
    </row>
    <row r="1001" spans="1:7" x14ac:dyDescent="0.3">
      <c r="A1001" t="s">
        <v>1420</v>
      </c>
      <c r="B1001" t="s">
        <v>1397</v>
      </c>
      <c r="C1001" t="s">
        <v>1098</v>
      </c>
      <c r="D1001" s="2">
        <v>0</v>
      </c>
      <c r="E1001" s="2">
        <v>0</v>
      </c>
      <c r="F1001" s="2">
        <v>0</v>
      </c>
      <c r="G1001" s="2">
        <v>0</v>
      </c>
    </row>
    <row r="1002" spans="1:7" x14ac:dyDescent="0.3">
      <c r="A1002" t="s">
        <v>1420</v>
      </c>
      <c r="B1002" t="s">
        <v>1397</v>
      </c>
      <c r="C1002" t="s">
        <v>1099</v>
      </c>
      <c r="D1002" s="2">
        <v>0</v>
      </c>
      <c r="E1002" s="2">
        <v>0</v>
      </c>
      <c r="F1002" s="2">
        <v>0</v>
      </c>
      <c r="G1002" s="2">
        <v>0</v>
      </c>
    </row>
    <row r="1003" spans="1:7" x14ac:dyDescent="0.3">
      <c r="A1003" t="s">
        <v>1420</v>
      </c>
      <c r="B1003" t="s">
        <v>1397</v>
      </c>
      <c r="C1003" t="s">
        <v>1100</v>
      </c>
      <c r="D1003" s="2">
        <v>1.2903</v>
      </c>
      <c r="E1003" s="2">
        <v>1.2332000000000001</v>
      </c>
      <c r="F1003" s="2">
        <v>1.1927000000000001</v>
      </c>
      <c r="G1003" s="2">
        <v>0.99</v>
      </c>
    </row>
    <row r="1004" spans="1:7" x14ac:dyDescent="0.3">
      <c r="A1004" t="s">
        <v>1420</v>
      </c>
      <c r="B1004" t="s">
        <v>1395</v>
      </c>
      <c r="C1004" t="s">
        <v>1101</v>
      </c>
      <c r="D1004" s="2">
        <v>4.3804999999999996</v>
      </c>
      <c r="E1004" s="2">
        <v>4.6196000000000002</v>
      </c>
      <c r="F1004" s="2">
        <v>4.0350000000000001</v>
      </c>
      <c r="G1004" s="2">
        <v>4.5210999999999997</v>
      </c>
    </row>
    <row r="1005" spans="1:7" x14ac:dyDescent="0.3">
      <c r="A1005" t="s">
        <v>1420</v>
      </c>
      <c r="B1005" t="s">
        <v>1395</v>
      </c>
      <c r="C1005" t="s">
        <v>1102</v>
      </c>
      <c r="D1005" s="2">
        <v>6.7537000000000003</v>
      </c>
      <c r="E1005" s="2">
        <v>7.2815000000000003</v>
      </c>
      <c r="F1005" s="2">
        <v>6.2169999999999996</v>
      </c>
      <c r="G1005" s="2">
        <v>6.8276000000000003</v>
      </c>
    </row>
    <row r="1006" spans="1:7" x14ac:dyDescent="0.3">
      <c r="A1006" t="s">
        <v>1420</v>
      </c>
      <c r="B1006" t="s">
        <v>1395</v>
      </c>
      <c r="C1006" t="s">
        <v>1103</v>
      </c>
      <c r="D1006" s="2">
        <v>0</v>
      </c>
      <c r="E1006" s="2">
        <v>0</v>
      </c>
      <c r="F1006" s="2">
        <v>0</v>
      </c>
      <c r="G1006" s="2">
        <v>0</v>
      </c>
    </row>
    <row r="1007" spans="1:7" x14ac:dyDescent="0.3">
      <c r="A1007" t="s">
        <v>1420</v>
      </c>
      <c r="B1007" t="s">
        <v>1395</v>
      </c>
      <c r="C1007" t="s">
        <v>1104</v>
      </c>
      <c r="D1007" s="2">
        <v>22.398800000000001</v>
      </c>
      <c r="E1007" s="2">
        <v>23.595500000000001</v>
      </c>
      <c r="F1007" s="2">
        <v>22.898900000000001</v>
      </c>
      <c r="G1007" s="2">
        <v>24.677800000000001</v>
      </c>
    </row>
    <row r="1008" spans="1:7" x14ac:dyDescent="0.3">
      <c r="A1008" t="s">
        <v>1420</v>
      </c>
      <c r="B1008" t="s">
        <v>1395</v>
      </c>
      <c r="C1008" t="s">
        <v>1105</v>
      </c>
      <c r="D1008" s="2">
        <v>0</v>
      </c>
      <c r="E1008" s="2">
        <v>0</v>
      </c>
      <c r="F1008" s="2">
        <v>0</v>
      </c>
      <c r="G1008" s="2">
        <v>0</v>
      </c>
    </row>
    <row r="1009" spans="1:7" x14ac:dyDescent="0.3">
      <c r="A1009" t="s">
        <v>1420</v>
      </c>
      <c r="B1009" t="s">
        <v>1395</v>
      </c>
      <c r="C1009" t="s">
        <v>1106</v>
      </c>
      <c r="D1009" s="2">
        <v>34.812600000000003</v>
      </c>
      <c r="E1009" s="2">
        <v>38.316899999999997</v>
      </c>
      <c r="F1009" s="2">
        <v>41.2624</v>
      </c>
      <c r="G1009" s="2">
        <v>30.5307</v>
      </c>
    </row>
    <row r="1010" spans="1:7" x14ac:dyDescent="0.3">
      <c r="A1010" t="s">
        <v>1420</v>
      </c>
      <c r="B1010" t="s">
        <v>1395</v>
      </c>
      <c r="C1010" t="s">
        <v>1107</v>
      </c>
      <c r="D1010" s="2">
        <v>21.113099999999999</v>
      </c>
      <c r="E1010" s="2">
        <v>22.020299999999999</v>
      </c>
      <c r="F1010" s="2">
        <v>20.7149</v>
      </c>
      <c r="G1010" s="2">
        <v>22.077300000000001</v>
      </c>
    </row>
    <row r="1011" spans="1:7" x14ac:dyDescent="0.3">
      <c r="A1011" t="s">
        <v>1420</v>
      </c>
      <c r="B1011" t="s">
        <v>1395</v>
      </c>
      <c r="C1011" t="s">
        <v>1109</v>
      </c>
      <c r="D1011" s="2">
        <v>0</v>
      </c>
      <c r="E1011" s="2">
        <v>0</v>
      </c>
      <c r="F1011" s="2">
        <v>0</v>
      </c>
      <c r="G1011" s="2">
        <v>0</v>
      </c>
    </row>
    <row r="1012" spans="1:7" x14ac:dyDescent="0.3">
      <c r="A1012" t="s">
        <v>1420</v>
      </c>
      <c r="B1012" t="s">
        <v>1395</v>
      </c>
      <c r="C1012" t="s">
        <v>1110</v>
      </c>
      <c r="D1012" s="2">
        <v>0</v>
      </c>
      <c r="E1012" s="2">
        <v>0</v>
      </c>
      <c r="F1012" s="2">
        <v>0</v>
      </c>
      <c r="G1012" s="2">
        <v>0</v>
      </c>
    </row>
    <row r="1013" spans="1:7" x14ac:dyDescent="0.3">
      <c r="A1013" t="s">
        <v>1420</v>
      </c>
      <c r="B1013" t="s">
        <v>1395</v>
      </c>
      <c r="C1013" t="s">
        <v>1111</v>
      </c>
      <c r="D1013" s="2">
        <v>9.8140999999999998</v>
      </c>
      <c r="E1013" s="2">
        <v>8.9094999999999995</v>
      </c>
      <c r="F1013" s="2">
        <v>8.7377000000000002</v>
      </c>
      <c r="G1013" s="2">
        <v>10.4641</v>
      </c>
    </row>
    <row r="1014" spans="1:7" x14ac:dyDescent="0.3">
      <c r="A1014" t="s">
        <v>1421</v>
      </c>
      <c r="B1014" t="s">
        <v>1394</v>
      </c>
      <c r="C1014" t="s">
        <v>1112</v>
      </c>
      <c r="D1014" s="2">
        <v>1.1868000000000001</v>
      </c>
      <c r="E1014" s="2">
        <v>0.98309999999999997</v>
      </c>
      <c r="F1014" s="2">
        <v>1.1511</v>
      </c>
      <c r="G1014" s="2">
        <v>0.86899999999999999</v>
      </c>
    </row>
    <row r="1015" spans="1:7" x14ac:dyDescent="0.3">
      <c r="A1015" t="s">
        <v>1421</v>
      </c>
      <c r="B1015" t="s">
        <v>1394</v>
      </c>
      <c r="C1015" t="s">
        <v>1113</v>
      </c>
      <c r="D1015" s="2">
        <v>0</v>
      </c>
      <c r="E1015" s="2">
        <v>0</v>
      </c>
      <c r="F1015" s="2">
        <v>0</v>
      </c>
      <c r="G1015" s="2">
        <v>0</v>
      </c>
    </row>
    <row r="1016" spans="1:7" x14ac:dyDescent="0.3">
      <c r="A1016" t="s">
        <v>1421</v>
      </c>
      <c r="B1016" t="s">
        <v>1394</v>
      </c>
      <c r="C1016" t="s">
        <v>1114</v>
      </c>
      <c r="D1016" s="2">
        <v>0</v>
      </c>
      <c r="E1016" s="2">
        <v>0</v>
      </c>
      <c r="F1016" s="2">
        <v>0</v>
      </c>
      <c r="G1016" s="2">
        <v>0</v>
      </c>
    </row>
    <row r="1017" spans="1:7" x14ac:dyDescent="0.3">
      <c r="A1017" t="s">
        <v>1421</v>
      </c>
      <c r="B1017" t="s">
        <v>1394</v>
      </c>
      <c r="C1017" t="s">
        <v>1115</v>
      </c>
      <c r="D1017" s="2">
        <v>4.9146000000000001</v>
      </c>
      <c r="E1017" s="2">
        <v>4.9595000000000002</v>
      </c>
      <c r="F1017" s="2">
        <v>4.7308000000000003</v>
      </c>
      <c r="G1017" s="2">
        <v>5.6894</v>
      </c>
    </row>
    <row r="1018" spans="1:7" x14ac:dyDescent="0.3">
      <c r="A1018" t="s">
        <v>1421</v>
      </c>
      <c r="B1018" t="s">
        <v>1394</v>
      </c>
      <c r="C1018" t="s">
        <v>1116</v>
      </c>
      <c r="D1018" s="2">
        <v>0</v>
      </c>
      <c r="E1018" s="2">
        <v>0</v>
      </c>
      <c r="F1018" s="2">
        <v>0</v>
      </c>
      <c r="G1018" s="2">
        <v>0</v>
      </c>
    </row>
    <row r="1019" spans="1:7" x14ac:dyDescent="0.3">
      <c r="A1019" t="s">
        <v>1421</v>
      </c>
      <c r="B1019" t="s">
        <v>1394</v>
      </c>
      <c r="C1019" t="s">
        <v>1117</v>
      </c>
      <c r="D1019" s="2">
        <v>20.944099999999999</v>
      </c>
      <c r="E1019" s="2">
        <v>21.4788</v>
      </c>
      <c r="F1019" s="2">
        <v>21.4087</v>
      </c>
      <c r="G1019" s="2">
        <v>20.327999999999999</v>
      </c>
    </row>
    <row r="1020" spans="1:7" x14ac:dyDescent="0.3">
      <c r="A1020" t="s">
        <v>1421</v>
      </c>
      <c r="B1020" t="s">
        <v>1394</v>
      </c>
      <c r="C1020" t="s">
        <v>1118</v>
      </c>
      <c r="D1020" s="2">
        <v>3.0821000000000001</v>
      </c>
      <c r="E1020" s="2">
        <v>3.1429999999999998</v>
      </c>
      <c r="F1020" s="2">
        <v>3.1707999999999998</v>
      </c>
      <c r="G1020" s="2">
        <v>3.3296999999999999</v>
      </c>
    </row>
    <row r="1021" spans="1:7" x14ac:dyDescent="0.3">
      <c r="A1021" t="s">
        <v>1421</v>
      </c>
      <c r="B1021" t="s">
        <v>1394</v>
      </c>
      <c r="C1021" t="s">
        <v>1120</v>
      </c>
      <c r="D1021" s="2">
        <v>0</v>
      </c>
      <c r="E1021" s="2">
        <v>0</v>
      </c>
      <c r="F1021" s="2">
        <v>0</v>
      </c>
      <c r="G1021" s="2">
        <v>0</v>
      </c>
    </row>
    <row r="1022" spans="1:7" x14ac:dyDescent="0.3">
      <c r="A1022" t="s">
        <v>1421</v>
      </c>
      <c r="B1022" t="s">
        <v>1394</v>
      </c>
      <c r="C1022" t="s">
        <v>1121</v>
      </c>
      <c r="D1022" s="2">
        <v>0</v>
      </c>
      <c r="E1022" s="2">
        <v>0</v>
      </c>
      <c r="F1022" s="2">
        <v>0</v>
      </c>
      <c r="G1022" s="2">
        <v>0</v>
      </c>
    </row>
    <row r="1023" spans="1:7" x14ac:dyDescent="0.3">
      <c r="A1023" t="s">
        <v>1421</v>
      </c>
      <c r="B1023" t="s">
        <v>1394</v>
      </c>
      <c r="C1023" t="s">
        <v>1122</v>
      </c>
      <c r="D1023" s="2">
        <v>2.3437000000000001</v>
      </c>
      <c r="E1023" s="2">
        <v>2.5083000000000002</v>
      </c>
      <c r="F1023" s="2">
        <v>1.9112</v>
      </c>
      <c r="G1023" s="2">
        <v>1.3772</v>
      </c>
    </row>
    <row r="1024" spans="1:7" x14ac:dyDescent="0.3">
      <c r="A1024" t="s">
        <v>1421</v>
      </c>
      <c r="B1024" t="s">
        <v>1392</v>
      </c>
      <c r="C1024" t="s">
        <v>1123</v>
      </c>
      <c r="D1024" s="2">
        <v>0.30320000000000003</v>
      </c>
      <c r="E1024" s="2">
        <v>0.14030000000000001</v>
      </c>
      <c r="F1024" s="2">
        <v>0.12740000000000001</v>
      </c>
      <c r="G1024" s="2">
        <v>0.1217</v>
      </c>
    </row>
    <row r="1025" spans="1:7" x14ac:dyDescent="0.3">
      <c r="A1025" t="s">
        <v>1421</v>
      </c>
      <c r="B1025" t="s">
        <v>1392</v>
      </c>
      <c r="C1025" t="s">
        <v>1124</v>
      </c>
      <c r="D1025" s="2">
        <v>0</v>
      </c>
      <c r="E1025" s="2">
        <v>0</v>
      </c>
      <c r="F1025" s="2">
        <v>0</v>
      </c>
      <c r="G1025" s="2">
        <v>0</v>
      </c>
    </row>
    <row r="1026" spans="1:7" x14ac:dyDescent="0.3">
      <c r="A1026" t="s">
        <v>1421</v>
      </c>
      <c r="B1026" t="s">
        <v>1392</v>
      </c>
      <c r="C1026" t="s">
        <v>1125</v>
      </c>
      <c r="D1026" s="2">
        <v>0</v>
      </c>
      <c r="E1026" s="2">
        <v>0</v>
      </c>
      <c r="F1026" s="2">
        <v>0</v>
      </c>
      <c r="G1026" s="2">
        <v>0</v>
      </c>
    </row>
    <row r="1027" spans="1:7" x14ac:dyDescent="0.3">
      <c r="A1027" t="s">
        <v>1421</v>
      </c>
      <c r="B1027" t="s">
        <v>1392</v>
      </c>
      <c r="C1027" t="s">
        <v>1126</v>
      </c>
      <c r="D1027" s="2">
        <v>4.468</v>
      </c>
      <c r="E1027" s="2">
        <v>4.4386999999999999</v>
      </c>
      <c r="F1027" s="2">
        <v>2.7768000000000002</v>
      </c>
      <c r="G1027" s="2">
        <v>3.8896000000000002</v>
      </c>
    </row>
    <row r="1028" spans="1:7" x14ac:dyDescent="0.3">
      <c r="A1028" t="s">
        <v>1421</v>
      </c>
      <c r="B1028" t="s">
        <v>1392</v>
      </c>
      <c r="C1028" t="s">
        <v>1127</v>
      </c>
      <c r="D1028" s="2">
        <v>0</v>
      </c>
      <c r="E1028" s="2">
        <v>0</v>
      </c>
      <c r="F1028" s="2">
        <v>0</v>
      </c>
      <c r="G1028" s="2">
        <v>0</v>
      </c>
    </row>
    <row r="1029" spans="1:7" x14ac:dyDescent="0.3">
      <c r="A1029" t="s">
        <v>1421</v>
      </c>
      <c r="B1029" t="s">
        <v>1392</v>
      </c>
      <c r="C1029" t="s">
        <v>1128</v>
      </c>
      <c r="D1029" s="2">
        <v>0.1113</v>
      </c>
      <c r="E1029" s="2">
        <v>0.14610000000000001</v>
      </c>
      <c r="F1029" s="2">
        <v>0.1326</v>
      </c>
      <c r="G1029" s="2">
        <v>0.14749999999999999</v>
      </c>
    </row>
    <row r="1030" spans="1:7" x14ac:dyDescent="0.3">
      <c r="A1030" t="s">
        <v>1421</v>
      </c>
      <c r="B1030" t="s">
        <v>1392</v>
      </c>
      <c r="C1030" t="s">
        <v>1129</v>
      </c>
      <c r="D1030" s="2">
        <v>0.67900000000000005</v>
      </c>
      <c r="E1030" s="2">
        <v>0.79900000000000004</v>
      </c>
      <c r="F1030" s="2">
        <v>1.0113000000000001</v>
      </c>
      <c r="G1030" s="2">
        <v>0.92620000000000002</v>
      </c>
    </row>
    <row r="1031" spans="1:7" x14ac:dyDescent="0.3">
      <c r="A1031" t="s">
        <v>1421</v>
      </c>
      <c r="B1031" t="s">
        <v>1392</v>
      </c>
      <c r="C1031" t="s">
        <v>1131</v>
      </c>
      <c r="D1031" s="2">
        <v>0</v>
      </c>
      <c r="E1031" s="2">
        <v>0</v>
      </c>
      <c r="F1031" s="2">
        <v>0</v>
      </c>
      <c r="G1031" s="2">
        <v>0</v>
      </c>
    </row>
    <row r="1032" spans="1:7" x14ac:dyDescent="0.3">
      <c r="A1032" t="s">
        <v>1421</v>
      </c>
      <c r="B1032" t="s">
        <v>1392</v>
      </c>
      <c r="C1032" t="s">
        <v>1132</v>
      </c>
      <c r="D1032" s="2">
        <v>0</v>
      </c>
      <c r="E1032" s="2">
        <v>0</v>
      </c>
      <c r="F1032" s="2">
        <v>0</v>
      </c>
      <c r="G1032" s="2">
        <v>0</v>
      </c>
    </row>
    <row r="1033" spans="1:7" x14ac:dyDescent="0.3">
      <c r="A1033" t="s">
        <v>1421</v>
      </c>
      <c r="B1033" t="s">
        <v>1392</v>
      </c>
      <c r="C1033" t="s">
        <v>1133</v>
      </c>
      <c r="D1033" s="2">
        <v>1.5961000000000001</v>
      </c>
      <c r="E1033" s="2">
        <v>1.9624999999999999</v>
      </c>
      <c r="F1033" s="2">
        <v>1.7809999999999999</v>
      </c>
      <c r="G1033" s="2">
        <v>1.9685999999999999</v>
      </c>
    </row>
    <row r="1034" spans="1:7" x14ac:dyDescent="0.3">
      <c r="A1034" t="s">
        <v>1421</v>
      </c>
      <c r="B1034" t="s">
        <v>1393</v>
      </c>
      <c r="C1034" t="s">
        <v>1134</v>
      </c>
      <c r="D1034" s="2">
        <v>5.9406999999999996</v>
      </c>
      <c r="E1034" s="2">
        <v>6.0054999999999996</v>
      </c>
      <c r="F1034" s="2">
        <v>6.3083</v>
      </c>
      <c r="G1034" s="2">
        <v>5.5063000000000004</v>
      </c>
    </row>
    <row r="1035" spans="1:7" x14ac:dyDescent="0.3">
      <c r="A1035" t="s">
        <v>1421</v>
      </c>
      <c r="B1035" t="s">
        <v>1393</v>
      </c>
      <c r="C1035" t="s">
        <v>1135</v>
      </c>
      <c r="D1035" s="2">
        <v>2.69E-2</v>
      </c>
      <c r="E1035" s="2">
        <v>2.87E-2</v>
      </c>
      <c r="F1035" s="2">
        <v>3.4599999999999999E-2</v>
      </c>
      <c r="G1035" s="2">
        <v>3.5799999999999998E-2</v>
      </c>
    </row>
    <row r="1036" spans="1:7" x14ac:dyDescent="0.3">
      <c r="A1036" t="s">
        <v>1421</v>
      </c>
      <c r="B1036" t="s">
        <v>1393</v>
      </c>
      <c r="C1036" t="s">
        <v>1136</v>
      </c>
      <c r="D1036" s="2">
        <v>0</v>
      </c>
      <c r="E1036" s="2">
        <v>0</v>
      </c>
      <c r="F1036" s="2">
        <v>0</v>
      </c>
      <c r="G1036" s="2">
        <v>0</v>
      </c>
    </row>
    <row r="1037" spans="1:7" x14ac:dyDescent="0.3">
      <c r="A1037" t="s">
        <v>1421</v>
      </c>
      <c r="B1037" t="s">
        <v>1393</v>
      </c>
      <c r="C1037" t="s">
        <v>1137</v>
      </c>
      <c r="D1037" s="2">
        <v>8.8637999999999995</v>
      </c>
      <c r="E1037" s="2">
        <v>9.1112000000000002</v>
      </c>
      <c r="F1037" s="2">
        <v>8.8016000000000005</v>
      </c>
      <c r="G1037" s="2">
        <v>9.2424999999999997</v>
      </c>
    </row>
    <row r="1038" spans="1:7" x14ac:dyDescent="0.3">
      <c r="A1038" t="s">
        <v>1421</v>
      </c>
      <c r="B1038" t="s">
        <v>1393</v>
      </c>
      <c r="C1038" t="s">
        <v>1138</v>
      </c>
      <c r="D1038" s="2">
        <v>0</v>
      </c>
      <c r="E1038" s="2">
        <v>0</v>
      </c>
      <c r="F1038" s="2">
        <v>0</v>
      </c>
      <c r="G1038" s="2">
        <v>0</v>
      </c>
    </row>
    <row r="1039" spans="1:7" x14ac:dyDescent="0.3">
      <c r="A1039" t="s">
        <v>1421</v>
      </c>
      <c r="B1039" t="s">
        <v>1393</v>
      </c>
      <c r="C1039" t="s">
        <v>1139</v>
      </c>
      <c r="D1039" s="2">
        <v>3.5667</v>
      </c>
      <c r="E1039" s="2">
        <v>3.8485999999999998</v>
      </c>
      <c r="F1039" s="2">
        <v>4.0270000000000001</v>
      </c>
      <c r="G1039" s="2">
        <v>3.7097000000000002</v>
      </c>
    </row>
    <row r="1040" spans="1:7" x14ac:dyDescent="0.3">
      <c r="A1040" t="s">
        <v>1421</v>
      </c>
      <c r="B1040" t="s">
        <v>1393</v>
      </c>
      <c r="C1040" t="s">
        <v>1140</v>
      </c>
      <c r="D1040" s="2">
        <v>1.4669000000000001</v>
      </c>
      <c r="E1040" s="2">
        <v>1.4578</v>
      </c>
      <c r="F1040" s="2">
        <v>1.3766</v>
      </c>
      <c r="G1040" s="2">
        <v>1.4899</v>
      </c>
    </row>
    <row r="1041" spans="1:7" x14ac:dyDescent="0.3">
      <c r="A1041" t="s">
        <v>1421</v>
      </c>
      <c r="B1041" t="s">
        <v>1393</v>
      </c>
      <c r="C1041" t="s">
        <v>1142</v>
      </c>
      <c r="D1041" s="2">
        <v>0</v>
      </c>
      <c r="E1041" s="2">
        <v>0</v>
      </c>
      <c r="F1041" s="2">
        <v>0</v>
      </c>
      <c r="G1041" s="2">
        <v>0</v>
      </c>
    </row>
    <row r="1042" spans="1:7" x14ac:dyDescent="0.3">
      <c r="A1042" t="s">
        <v>1421</v>
      </c>
      <c r="B1042" t="s">
        <v>1393</v>
      </c>
      <c r="C1042" t="s">
        <v>1143</v>
      </c>
      <c r="D1042" s="2">
        <v>0</v>
      </c>
      <c r="E1042" s="2">
        <v>0</v>
      </c>
      <c r="F1042" s="2">
        <v>0</v>
      </c>
      <c r="G1042" s="2">
        <v>0</v>
      </c>
    </row>
    <row r="1043" spans="1:7" x14ac:dyDescent="0.3">
      <c r="A1043" t="s">
        <v>1421</v>
      </c>
      <c r="B1043" t="s">
        <v>1393</v>
      </c>
      <c r="C1043" t="s">
        <v>1144</v>
      </c>
      <c r="D1043" s="2">
        <v>0.21690000000000001</v>
      </c>
      <c r="E1043" s="2">
        <v>0.1724</v>
      </c>
      <c r="F1043" s="2">
        <v>0.1222</v>
      </c>
      <c r="G1043" s="2">
        <v>0.1053</v>
      </c>
    </row>
    <row r="1044" spans="1:7" x14ac:dyDescent="0.3">
      <c r="A1044" t="s">
        <v>1421</v>
      </c>
      <c r="B1044" t="s">
        <v>1397</v>
      </c>
      <c r="C1044" t="s">
        <v>1145</v>
      </c>
      <c r="D1044" s="2">
        <v>1.2398</v>
      </c>
      <c r="E1044" s="2">
        <v>1.1631</v>
      </c>
      <c r="F1044" s="2">
        <v>0.99039999999999995</v>
      </c>
      <c r="G1044" s="2">
        <v>0.8841</v>
      </c>
    </row>
    <row r="1045" spans="1:7" x14ac:dyDescent="0.3">
      <c r="A1045" t="s">
        <v>1421</v>
      </c>
      <c r="B1045" t="s">
        <v>1397</v>
      </c>
      <c r="C1045" t="s">
        <v>1146</v>
      </c>
      <c r="D1045" s="2">
        <v>0</v>
      </c>
      <c r="E1045" s="2">
        <v>0</v>
      </c>
      <c r="F1045" s="2">
        <v>0</v>
      </c>
      <c r="G1045" s="2">
        <v>0</v>
      </c>
    </row>
    <row r="1046" spans="1:7" x14ac:dyDescent="0.3">
      <c r="A1046" t="s">
        <v>1421</v>
      </c>
      <c r="B1046" t="s">
        <v>1397</v>
      </c>
      <c r="C1046" t="s">
        <v>1147</v>
      </c>
      <c r="D1046" s="2">
        <v>0</v>
      </c>
      <c r="E1046" s="2">
        <v>0</v>
      </c>
      <c r="F1046" s="2">
        <v>0</v>
      </c>
      <c r="G1046" s="2">
        <v>0</v>
      </c>
    </row>
    <row r="1047" spans="1:7" x14ac:dyDescent="0.3">
      <c r="A1047" t="s">
        <v>1421</v>
      </c>
      <c r="B1047" t="s">
        <v>1397</v>
      </c>
      <c r="C1047" t="s">
        <v>1148</v>
      </c>
      <c r="D1047" s="2">
        <v>3.0068000000000001</v>
      </c>
      <c r="E1047" s="2">
        <v>3.1766999999999999</v>
      </c>
      <c r="F1047" s="2">
        <v>3.2734000000000001</v>
      </c>
      <c r="G1047" s="2">
        <v>3.5034000000000001</v>
      </c>
    </row>
    <row r="1048" spans="1:7" x14ac:dyDescent="0.3">
      <c r="A1048" t="s">
        <v>1421</v>
      </c>
      <c r="B1048" t="s">
        <v>1397</v>
      </c>
      <c r="C1048" t="s">
        <v>1149</v>
      </c>
      <c r="D1048" s="2">
        <v>0</v>
      </c>
      <c r="E1048" s="2">
        <v>0</v>
      </c>
      <c r="F1048" s="2">
        <v>0</v>
      </c>
      <c r="G1048" s="2">
        <v>0</v>
      </c>
    </row>
    <row r="1049" spans="1:7" x14ac:dyDescent="0.3">
      <c r="A1049" t="s">
        <v>1421</v>
      </c>
      <c r="B1049" t="s">
        <v>1397</v>
      </c>
      <c r="C1049" t="s">
        <v>1150</v>
      </c>
      <c r="D1049" s="2">
        <v>0.48</v>
      </c>
      <c r="E1049" s="2">
        <v>0.48470000000000002</v>
      </c>
      <c r="F1049" s="2">
        <v>0.51</v>
      </c>
      <c r="G1049" s="2">
        <v>0.62919999999999998</v>
      </c>
    </row>
    <row r="1050" spans="1:7" x14ac:dyDescent="0.3">
      <c r="A1050" t="s">
        <v>1421</v>
      </c>
      <c r="B1050" t="s">
        <v>1397</v>
      </c>
      <c r="C1050" t="s">
        <v>1151</v>
      </c>
      <c r="D1050" s="2">
        <v>1.9843</v>
      </c>
      <c r="E1050" s="2">
        <v>2.0387</v>
      </c>
      <c r="F1050" s="2">
        <v>1.9649000000000001</v>
      </c>
      <c r="G1050" s="2">
        <v>2.1156999999999999</v>
      </c>
    </row>
    <row r="1051" spans="1:7" x14ac:dyDescent="0.3">
      <c r="A1051" t="s">
        <v>1421</v>
      </c>
      <c r="B1051" t="s">
        <v>1397</v>
      </c>
      <c r="C1051" t="s">
        <v>1153</v>
      </c>
      <c r="D1051" s="2">
        <v>0</v>
      </c>
      <c r="E1051" s="2">
        <v>0</v>
      </c>
      <c r="F1051" s="2">
        <v>0</v>
      </c>
      <c r="G1051" s="2">
        <v>0</v>
      </c>
    </row>
    <row r="1052" spans="1:7" x14ac:dyDescent="0.3">
      <c r="A1052" t="s">
        <v>1421</v>
      </c>
      <c r="B1052" t="s">
        <v>1397</v>
      </c>
      <c r="C1052" t="s">
        <v>1154</v>
      </c>
      <c r="D1052" s="2">
        <v>0</v>
      </c>
      <c r="E1052" s="2">
        <v>0</v>
      </c>
      <c r="F1052" s="2">
        <v>0</v>
      </c>
      <c r="G1052" s="2">
        <v>0</v>
      </c>
    </row>
    <row r="1053" spans="1:7" x14ac:dyDescent="0.3">
      <c r="A1053" t="s">
        <v>1421</v>
      </c>
      <c r="B1053" t="s">
        <v>1397</v>
      </c>
      <c r="C1053" t="s">
        <v>1155</v>
      </c>
      <c r="D1053" s="2">
        <v>0.51490000000000002</v>
      </c>
      <c r="E1053" s="2">
        <v>0.56000000000000005</v>
      </c>
      <c r="F1053" s="2">
        <v>0.67030000000000001</v>
      </c>
      <c r="G1053" s="2">
        <v>0.51290000000000002</v>
      </c>
    </row>
    <row r="1054" spans="1:7" x14ac:dyDescent="0.3">
      <c r="A1054" t="s">
        <v>1421</v>
      </c>
      <c r="B1054" t="s">
        <v>1395</v>
      </c>
      <c r="C1054" t="s">
        <v>1156</v>
      </c>
      <c r="D1054" s="2">
        <v>2.4895999999999998</v>
      </c>
      <c r="E1054" s="2">
        <v>2.2831999999999999</v>
      </c>
      <c r="F1054" s="2">
        <v>2.2162999999999999</v>
      </c>
      <c r="G1054" s="2">
        <v>2.4409000000000001</v>
      </c>
    </row>
    <row r="1055" spans="1:7" x14ac:dyDescent="0.3">
      <c r="A1055" t="s">
        <v>1421</v>
      </c>
      <c r="B1055" t="s">
        <v>1395</v>
      </c>
      <c r="C1055" t="s">
        <v>1157</v>
      </c>
      <c r="D1055" s="2">
        <v>0.15890000000000001</v>
      </c>
      <c r="E1055" s="2">
        <v>0.16850000000000001</v>
      </c>
      <c r="F1055" s="2">
        <v>0.14080000000000001</v>
      </c>
      <c r="G1055" s="2">
        <v>0.1472</v>
      </c>
    </row>
    <row r="1056" spans="1:7" x14ac:dyDescent="0.3">
      <c r="A1056" t="s">
        <v>1421</v>
      </c>
      <c r="B1056" t="s">
        <v>1395</v>
      </c>
      <c r="C1056" t="s">
        <v>1158</v>
      </c>
      <c r="D1056" s="2">
        <v>0</v>
      </c>
      <c r="E1056" s="2">
        <v>0</v>
      </c>
      <c r="F1056" s="2">
        <v>0</v>
      </c>
      <c r="G1056" s="2">
        <v>0</v>
      </c>
    </row>
    <row r="1057" spans="1:7" x14ac:dyDescent="0.3">
      <c r="A1057" t="s">
        <v>1421</v>
      </c>
      <c r="B1057" t="s">
        <v>1395</v>
      </c>
      <c r="C1057" t="s">
        <v>1159</v>
      </c>
      <c r="D1057" s="2">
        <v>6.3071999999999999</v>
      </c>
      <c r="E1057" s="2">
        <v>6.2396000000000003</v>
      </c>
      <c r="F1057" s="2">
        <v>6.1612999999999998</v>
      </c>
      <c r="G1057" s="2">
        <v>7.1361999999999997</v>
      </c>
    </row>
    <row r="1058" spans="1:7" x14ac:dyDescent="0.3">
      <c r="A1058" t="s">
        <v>1421</v>
      </c>
      <c r="B1058" t="s">
        <v>1395</v>
      </c>
      <c r="C1058" t="s">
        <v>1160</v>
      </c>
      <c r="D1058" s="2">
        <v>0</v>
      </c>
      <c r="E1058" s="2">
        <v>0</v>
      </c>
      <c r="F1058" s="2">
        <v>0</v>
      </c>
      <c r="G1058" s="2">
        <v>0</v>
      </c>
    </row>
    <row r="1059" spans="1:7" x14ac:dyDescent="0.3">
      <c r="A1059" t="s">
        <v>1421</v>
      </c>
      <c r="B1059" t="s">
        <v>1395</v>
      </c>
      <c r="C1059" t="s">
        <v>1161</v>
      </c>
      <c r="D1059" s="2">
        <v>1.1512</v>
      </c>
      <c r="E1059" s="2">
        <v>1.3091999999999999</v>
      </c>
      <c r="F1059" s="2">
        <v>1.1241000000000001</v>
      </c>
      <c r="G1059" s="2">
        <v>1.3073999999999999</v>
      </c>
    </row>
    <row r="1060" spans="1:7" x14ac:dyDescent="0.3">
      <c r="A1060" t="s">
        <v>1421</v>
      </c>
      <c r="B1060" t="s">
        <v>1395</v>
      </c>
      <c r="C1060" t="s">
        <v>1162</v>
      </c>
      <c r="D1060" s="2">
        <v>7.2641</v>
      </c>
      <c r="E1060" s="2">
        <v>7.1148999999999996</v>
      </c>
      <c r="F1060" s="2">
        <v>6.9527000000000001</v>
      </c>
      <c r="G1060" s="2">
        <v>7.0960000000000001</v>
      </c>
    </row>
    <row r="1061" spans="1:7" x14ac:dyDescent="0.3">
      <c r="A1061" t="s">
        <v>1421</v>
      </c>
      <c r="B1061" t="s">
        <v>1395</v>
      </c>
      <c r="C1061" t="s">
        <v>1164</v>
      </c>
      <c r="D1061" s="2">
        <v>0</v>
      </c>
      <c r="E1061" s="2">
        <v>0</v>
      </c>
      <c r="F1061" s="2">
        <v>0</v>
      </c>
      <c r="G1061" s="2">
        <v>0</v>
      </c>
    </row>
    <row r="1062" spans="1:7" x14ac:dyDescent="0.3">
      <c r="A1062" t="s">
        <v>1421</v>
      </c>
      <c r="B1062" t="s">
        <v>1395</v>
      </c>
      <c r="C1062" t="s">
        <v>1165</v>
      </c>
      <c r="D1062" s="2">
        <v>0</v>
      </c>
      <c r="E1062" s="2">
        <v>0</v>
      </c>
      <c r="F1062" s="2">
        <v>0</v>
      </c>
      <c r="G1062" s="2">
        <v>0</v>
      </c>
    </row>
    <row r="1063" spans="1:7" x14ac:dyDescent="0.3">
      <c r="A1063" t="s">
        <v>1421</v>
      </c>
      <c r="B1063" t="s">
        <v>1395</v>
      </c>
      <c r="C1063" t="s">
        <v>1166</v>
      </c>
      <c r="D1063" s="2">
        <v>6.3357000000000001</v>
      </c>
      <c r="E1063" s="2">
        <v>6.1978</v>
      </c>
      <c r="F1063" s="2">
        <v>6.3971</v>
      </c>
      <c r="G1063" s="2">
        <v>6.1753</v>
      </c>
    </row>
    <row r="1064" spans="1:7" x14ac:dyDescent="0.3">
      <c r="A1064" t="s">
        <v>1422</v>
      </c>
      <c r="B1064" t="s">
        <v>1391</v>
      </c>
      <c r="C1064" t="s">
        <v>1167</v>
      </c>
      <c r="D1064" s="2">
        <v>9.2999999999999992E-3</v>
      </c>
      <c r="E1064" s="2">
        <v>2.8E-3</v>
      </c>
      <c r="F1064" s="2">
        <v>5.1999999999999998E-3</v>
      </c>
      <c r="G1064" s="2">
        <v>6.7999999999999996E-3</v>
      </c>
    </row>
    <row r="1065" spans="1:7" x14ac:dyDescent="0.3">
      <c r="A1065" t="s">
        <v>1422</v>
      </c>
      <c r="B1065" t="s">
        <v>1391</v>
      </c>
      <c r="C1065" t="s">
        <v>1168</v>
      </c>
      <c r="D1065" s="2">
        <v>7.6935000000000002</v>
      </c>
      <c r="E1065" s="2">
        <v>8.1054999999999993</v>
      </c>
      <c r="F1065" s="2">
        <v>7.4871999999999996</v>
      </c>
      <c r="G1065" s="2">
        <v>8.7468000000000004</v>
      </c>
    </row>
    <row r="1066" spans="1:7" x14ac:dyDescent="0.3">
      <c r="A1066" t="s">
        <v>1422</v>
      </c>
      <c r="B1066" t="s">
        <v>1391</v>
      </c>
      <c r="C1066" t="s">
        <v>1169</v>
      </c>
      <c r="D1066" s="2">
        <v>0</v>
      </c>
      <c r="E1066" s="2">
        <v>0</v>
      </c>
      <c r="F1066" s="2">
        <v>0</v>
      </c>
      <c r="G1066" s="2">
        <v>0</v>
      </c>
    </row>
    <row r="1067" spans="1:7" x14ac:dyDescent="0.3">
      <c r="A1067" t="s">
        <v>1422</v>
      </c>
      <c r="B1067" t="s">
        <v>1391</v>
      </c>
      <c r="C1067" t="s">
        <v>1170</v>
      </c>
      <c r="D1067" s="2">
        <v>7.2782999999999998</v>
      </c>
      <c r="E1067" s="2">
        <v>6.7717000000000001</v>
      </c>
      <c r="F1067" s="2">
        <v>6.3460999999999999</v>
      </c>
      <c r="G1067" s="2">
        <v>6.1009000000000002</v>
      </c>
    </row>
    <row r="1068" spans="1:7" x14ac:dyDescent="0.3">
      <c r="A1068" t="s">
        <v>1422</v>
      </c>
      <c r="B1068" t="s">
        <v>1391</v>
      </c>
      <c r="C1068" t="s">
        <v>1171</v>
      </c>
      <c r="D1068" s="2">
        <v>0</v>
      </c>
      <c r="E1068" s="2">
        <v>0</v>
      </c>
      <c r="F1068" s="2">
        <v>0</v>
      </c>
      <c r="G1068" s="2">
        <v>0</v>
      </c>
    </row>
    <row r="1069" spans="1:7" x14ac:dyDescent="0.3">
      <c r="A1069" t="s">
        <v>1422</v>
      </c>
      <c r="B1069" t="s">
        <v>1391</v>
      </c>
      <c r="C1069" t="s">
        <v>1172</v>
      </c>
      <c r="D1069" s="2">
        <v>1.38E-2</v>
      </c>
      <c r="E1069" s="2">
        <v>1.23E-2</v>
      </c>
      <c r="F1069" s="2">
        <v>5.7999999999999996E-3</v>
      </c>
      <c r="G1069" s="2">
        <v>4.8999999999999998E-3</v>
      </c>
    </row>
    <row r="1070" spans="1:7" x14ac:dyDescent="0.3">
      <c r="A1070" t="s">
        <v>1422</v>
      </c>
      <c r="B1070" t="s">
        <v>1391</v>
      </c>
      <c r="C1070" t="s">
        <v>1173</v>
      </c>
      <c r="D1070" s="2">
        <v>2.6804000000000001</v>
      </c>
      <c r="E1070" s="2">
        <v>2.9855</v>
      </c>
      <c r="F1070" s="2">
        <v>2.3815</v>
      </c>
      <c r="G1070" s="2">
        <v>2.4104000000000001</v>
      </c>
    </row>
    <row r="1071" spans="1:7" x14ac:dyDescent="0.3">
      <c r="A1071" t="s">
        <v>1422</v>
      </c>
      <c r="B1071" t="s">
        <v>1391</v>
      </c>
      <c r="C1071" t="s">
        <v>1175</v>
      </c>
      <c r="D1071" s="2">
        <v>0</v>
      </c>
      <c r="E1071" s="2">
        <v>0</v>
      </c>
      <c r="F1071" s="2">
        <v>0</v>
      </c>
      <c r="G1071" s="2">
        <v>0</v>
      </c>
    </row>
    <row r="1072" spans="1:7" x14ac:dyDescent="0.3">
      <c r="A1072" t="s">
        <v>1422</v>
      </c>
      <c r="B1072" t="s">
        <v>1391</v>
      </c>
      <c r="C1072" t="s">
        <v>1176</v>
      </c>
      <c r="D1072" s="2">
        <v>0</v>
      </c>
      <c r="E1072" s="2">
        <v>0</v>
      </c>
      <c r="F1072" s="2">
        <v>0</v>
      </c>
      <c r="G1072" s="2">
        <v>0</v>
      </c>
    </row>
    <row r="1073" spans="1:7" x14ac:dyDescent="0.3">
      <c r="A1073" t="s">
        <v>1422</v>
      </c>
      <c r="B1073" t="s">
        <v>1391</v>
      </c>
      <c r="C1073" t="s">
        <v>1177</v>
      </c>
      <c r="D1073" s="2">
        <v>4.6764999999999999</v>
      </c>
      <c r="E1073" s="2">
        <v>3.8641000000000001</v>
      </c>
      <c r="F1073" s="2">
        <v>2.7833999999999999</v>
      </c>
      <c r="G1073" s="2">
        <v>3.0306999999999999</v>
      </c>
    </row>
    <row r="1074" spans="1:7" x14ac:dyDescent="0.3">
      <c r="A1074" t="s">
        <v>1422</v>
      </c>
      <c r="B1074" t="s">
        <v>1392</v>
      </c>
      <c r="C1074" t="s">
        <v>1178</v>
      </c>
      <c r="D1074" s="2">
        <v>6.5103999999999997</v>
      </c>
      <c r="E1074" s="2">
        <v>10.074</v>
      </c>
      <c r="F1074" s="2">
        <v>8.8564000000000007</v>
      </c>
      <c r="G1074" s="2">
        <v>8.6042000000000005</v>
      </c>
    </row>
    <row r="1075" spans="1:7" x14ac:dyDescent="0.3">
      <c r="A1075" t="s">
        <v>1422</v>
      </c>
      <c r="B1075" t="s">
        <v>1392</v>
      </c>
      <c r="C1075" t="s">
        <v>1179</v>
      </c>
      <c r="D1075" s="2">
        <v>0.53059999999999996</v>
      </c>
      <c r="E1075" s="2">
        <v>0.35809999999999997</v>
      </c>
      <c r="F1075" s="2">
        <v>0</v>
      </c>
      <c r="G1075" s="2">
        <v>0</v>
      </c>
    </row>
    <row r="1076" spans="1:7" x14ac:dyDescent="0.3">
      <c r="A1076" t="s">
        <v>1422</v>
      </c>
      <c r="B1076" t="s">
        <v>1392</v>
      </c>
      <c r="C1076" t="s">
        <v>1180</v>
      </c>
      <c r="D1076" s="2">
        <v>0</v>
      </c>
      <c r="E1076" s="2">
        <v>0</v>
      </c>
      <c r="F1076" s="2">
        <v>0</v>
      </c>
      <c r="G1076" s="2">
        <v>0</v>
      </c>
    </row>
    <row r="1077" spans="1:7" x14ac:dyDescent="0.3">
      <c r="A1077" t="s">
        <v>1422</v>
      </c>
      <c r="B1077" t="s">
        <v>1392</v>
      </c>
      <c r="C1077" t="s">
        <v>1181</v>
      </c>
      <c r="D1077" s="2">
        <v>10.7117</v>
      </c>
      <c r="E1077" s="2">
        <v>9.3902999999999999</v>
      </c>
      <c r="F1077" s="2">
        <v>12.2622</v>
      </c>
      <c r="G1077" s="2">
        <v>15.289</v>
      </c>
    </row>
    <row r="1078" spans="1:7" x14ac:dyDescent="0.3">
      <c r="A1078" t="s">
        <v>1422</v>
      </c>
      <c r="B1078" t="s">
        <v>1392</v>
      </c>
      <c r="C1078" t="s">
        <v>1182</v>
      </c>
      <c r="D1078" s="2">
        <v>0</v>
      </c>
      <c r="E1078" s="2">
        <v>0</v>
      </c>
      <c r="F1078" s="2">
        <v>0</v>
      </c>
      <c r="G1078" s="2">
        <v>0</v>
      </c>
    </row>
    <row r="1079" spans="1:7" x14ac:dyDescent="0.3">
      <c r="A1079" t="s">
        <v>1422</v>
      </c>
      <c r="B1079" t="s">
        <v>1392</v>
      </c>
      <c r="C1079" t="s">
        <v>1183</v>
      </c>
      <c r="D1079" s="2">
        <v>0.42570000000000002</v>
      </c>
      <c r="E1079" s="2">
        <v>0.375</v>
      </c>
      <c r="F1079" s="2">
        <v>8.3199999999999996E-2</v>
      </c>
      <c r="G1079" s="2">
        <v>0.1076</v>
      </c>
    </row>
    <row r="1080" spans="1:7" x14ac:dyDescent="0.3">
      <c r="A1080" t="s">
        <v>1422</v>
      </c>
      <c r="B1080" t="s">
        <v>1392</v>
      </c>
      <c r="C1080" t="s">
        <v>1184</v>
      </c>
      <c r="D1080" s="2">
        <v>0.21640000000000001</v>
      </c>
      <c r="E1080" s="2">
        <v>0.23749999999999999</v>
      </c>
      <c r="F1080" s="2">
        <v>0.19320000000000001</v>
      </c>
      <c r="G1080" s="2">
        <v>0.15559999999999999</v>
      </c>
    </row>
    <row r="1081" spans="1:7" x14ac:dyDescent="0.3">
      <c r="A1081" t="s">
        <v>1422</v>
      </c>
      <c r="B1081" t="s">
        <v>1392</v>
      </c>
      <c r="C1081" t="s">
        <v>1186</v>
      </c>
      <c r="D1081" s="2">
        <v>0</v>
      </c>
      <c r="E1081" s="2">
        <v>0</v>
      </c>
      <c r="F1081" s="2">
        <v>0</v>
      </c>
      <c r="G1081" s="2">
        <v>0</v>
      </c>
    </row>
    <row r="1082" spans="1:7" x14ac:dyDescent="0.3">
      <c r="A1082" t="s">
        <v>1422</v>
      </c>
      <c r="B1082" t="s">
        <v>1392</v>
      </c>
      <c r="C1082" t="s">
        <v>1187</v>
      </c>
      <c r="D1082" s="2">
        <v>0</v>
      </c>
      <c r="E1082" s="2">
        <v>0</v>
      </c>
      <c r="F1082" s="2">
        <v>0</v>
      </c>
      <c r="G1082" s="2">
        <v>0</v>
      </c>
    </row>
    <row r="1083" spans="1:7" x14ac:dyDescent="0.3">
      <c r="A1083" t="s">
        <v>1422</v>
      </c>
      <c r="B1083" t="s">
        <v>1392</v>
      </c>
      <c r="C1083" t="s">
        <v>1188</v>
      </c>
      <c r="D1083" s="2">
        <v>4.3209999999999997</v>
      </c>
      <c r="E1083" s="2">
        <v>3.2122999999999999</v>
      </c>
      <c r="F1083" s="2">
        <v>1.2250000000000001</v>
      </c>
      <c r="G1083" s="2">
        <v>1.1309</v>
      </c>
    </row>
    <row r="1084" spans="1:7" x14ac:dyDescent="0.3">
      <c r="A1084" t="s">
        <v>1422</v>
      </c>
      <c r="B1084" t="s">
        <v>1393</v>
      </c>
      <c r="C1084" t="s">
        <v>1189</v>
      </c>
      <c r="D1084" s="2">
        <v>6.2843</v>
      </c>
      <c r="E1084" s="2">
        <v>6.8211000000000004</v>
      </c>
      <c r="F1084" s="2">
        <v>6.5688000000000004</v>
      </c>
      <c r="G1084" s="2">
        <v>5.2610999999999999</v>
      </c>
    </row>
    <row r="1085" spans="1:7" x14ac:dyDescent="0.3">
      <c r="A1085" t="s">
        <v>1422</v>
      </c>
      <c r="B1085" t="s">
        <v>1393</v>
      </c>
      <c r="C1085" t="s">
        <v>1190</v>
      </c>
      <c r="D1085" s="2">
        <v>1.1991000000000001</v>
      </c>
      <c r="E1085" s="2">
        <v>1.5590999999999999</v>
      </c>
      <c r="F1085" s="2">
        <v>1.6051</v>
      </c>
      <c r="G1085" s="2">
        <v>2.5709</v>
      </c>
    </row>
    <row r="1086" spans="1:7" x14ac:dyDescent="0.3">
      <c r="A1086" t="s">
        <v>1422</v>
      </c>
      <c r="B1086" t="s">
        <v>1393</v>
      </c>
      <c r="C1086" t="s">
        <v>1191</v>
      </c>
      <c r="D1086" s="2">
        <v>0</v>
      </c>
      <c r="E1086" s="2">
        <v>0</v>
      </c>
      <c r="F1086" s="2">
        <v>0</v>
      </c>
      <c r="G1086" s="2">
        <v>0</v>
      </c>
    </row>
    <row r="1087" spans="1:7" x14ac:dyDescent="0.3">
      <c r="A1087" t="s">
        <v>1422</v>
      </c>
      <c r="B1087" t="s">
        <v>1393</v>
      </c>
      <c r="C1087" t="s">
        <v>1192</v>
      </c>
      <c r="D1087" s="2">
        <v>7.1006</v>
      </c>
      <c r="E1087" s="2">
        <v>5.8468</v>
      </c>
      <c r="F1087" s="2">
        <v>5.6304999999999996</v>
      </c>
      <c r="G1087" s="2">
        <v>6.1616999999999997</v>
      </c>
    </row>
    <row r="1088" spans="1:7" x14ac:dyDescent="0.3">
      <c r="A1088" t="s">
        <v>1422</v>
      </c>
      <c r="B1088" t="s">
        <v>1393</v>
      </c>
      <c r="C1088" t="s">
        <v>1193</v>
      </c>
      <c r="D1088" s="2">
        <v>0</v>
      </c>
      <c r="E1088" s="2">
        <v>0</v>
      </c>
      <c r="F1088" s="2">
        <v>0</v>
      </c>
      <c r="G1088" s="2">
        <v>0</v>
      </c>
    </row>
    <row r="1089" spans="1:7" x14ac:dyDescent="0.3">
      <c r="A1089" t="s">
        <v>1422</v>
      </c>
      <c r="B1089" t="s">
        <v>1393</v>
      </c>
      <c r="C1089" t="s">
        <v>1194</v>
      </c>
      <c r="D1089" s="2">
        <v>2.6526000000000001</v>
      </c>
      <c r="E1089" s="2">
        <v>2.383</v>
      </c>
      <c r="F1089" s="2">
        <v>5.37</v>
      </c>
      <c r="G1089" s="2">
        <v>6.0622999999999996</v>
      </c>
    </row>
    <row r="1090" spans="1:7" x14ac:dyDescent="0.3">
      <c r="A1090" t="s">
        <v>1422</v>
      </c>
      <c r="B1090" t="s">
        <v>1393</v>
      </c>
      <c r="C1090" t="s">
        <v>1195</v>
      </c>
      <c r="D1090" s="2">
        <v>1.0738000000000001</v>
      </c>
      <c r="E1090" s="2">
        <v>1.1742999999999999</v>
      </c>
      <c r="F1090" s="2">
        <v>1.2108000000000001</v>
      </c>
      <c r="G1090" s="2">
        <v>1.3326</v>
      </c>
    </row>
    <row r="1091" spans="1:7" x14ac:dyDescent="0.3">
      <c r="A1091" t="s">
        <v>1422</v>
      </c>
      <c r="B1091" t="s">
        <v>1393</v>
      </c>
      <c r="C1091" t="s">
        <v>1197</v>
      </c>
      <c r="D1091" s="2">
        <v>0</v>
      </c>
      <c r="E1091" s="2">
        <v>0</v>
      </c>
      <c r="F1091" s="2">
        <v>0</v>
      </c>
      <c r="G1091" s="2">
        <v>0</v>
      </c>
    </row>
    <row r="1092" spans="1:7" x14ac:dyDescent="0.3">
      <c r="A1092" t="s">
        <v>1422</v>
      </c>
      <c r="B1092" t="s">
        <v>1393</v>
      </c>
      <c r="C1092" t="s">
        <v>1198</v>
      </c>
      <c r="D1092" s="2">
        <v>0</v>
      </c>
      <c r="E1092" s="2">
        <v>0</v>
      </c>
      <c r="F1092" s="2">
        <v>0</v>
      </c>
      <c r="G1092" s="2">
        <v>0</v>
      </c>
    </row>
    <row r="1093" spans="1:7" x14ac:dyDescent="0.3">
      <c r="A1093" t="s">
        <v>1422</v>
      </c>
      <c r="B1093" t="s">
        <v>1393</v>
      </c>
      <c r="C1093" t="s">
        <v>1199</v>
      </c>
      <c r="D1093" s="2">
        <v>5.6599999999999998E-2</v>
      </c>
      <c r="E1093" s="2">
        <v>8.5000000000000006E-3</v>
      </c>
      <c r="F1093" s="2">
        <v>7.4499999999999997E-2</v>
      </c>
      <c r="G1093" s="2">
        <v>8.1100000000000005E-2</v>
      </c>
    </row>
    <row r="1094" spans="1:7" x14ac:dyDescent="0.3">
      <c r="A1094" t="s">
        <v>1422</v>
      </c>
      <c r="B1094" t="s">
        <v>1399</v>
      </c>
      <c r="C1094" t="s">
        <v>1200</v>
      </c>
      <c r="D1094" s="2">
        <v>4.5999999999999999E-3</v>
      </c>
      <c r="E1094" s="2">
        <v>1.47E-2</v>
      </c>
      <c r="F1094" s="2">
        <v>6.4000000000000003E-3</v>
      </c>
      <c r="G1094" s="2">
        <v>2.6800000000000001E-2</v>
      </c>
    </row>
    <row r="1095" spans="1:7" x14ac:dyDescent="0.3">
      <c r="A1095" t="s">
        <v>1422</v>
      </c>
      <c r="B1095" t="s">
        <v>1399</v>
      </c>
      <c r="C1095" t="s">
        <v>1201</v>
      </c>
      <c r="D1095" s="2">
        <v>0.83489999999999998</v>
      </c>
      <c r="E1095" s="2">
        <v>0.89890000000000003</v>
      </c>
      <c r="F1095" s="2">
        <v>0.8266</v>
      </c>
      <c r="G1095" s="2">
        <v>0.95660000000000001</v>
      </c>
    </row>
    <row r="1096" spans="1:7" x14ac:dyDescent="0.3">
      <c r="A1096" t="s">
        <v>1422</v>
      </c>
      <c r="B1096" t="s">
        <v>1399</v>
      </c>
      <c r="C1096" t="s">
        <v>1202</v>
      </c>
      <c r="D1096" s="2">
        <v>0</v>
      </c>
      <c r="E1096" s="2">
        <v>0</v>
      </c>
      <c r="F1096" s="2">
        <v>0</v>
      </c>
      <c r="G1096" s="2">
        <v>0</v>
      </c>
    </row>
    <row r="1097" spans="1:7" x14ac:dyDescent="0.3">
      <c r="A1097" t="s">
        <v>1422</v>
      </c>
      <c r="B1097" t="s">
        <v>1399</v>
      </c>
      <c r="C1097" t="s">
        <v>1203</v>
      </c>
      <c r="D1097" s="2">
        <v>4.3627000000000002</v>
      </c>
      <c r="E1097" s="2">
        <v>3.7277999999999998</v>
      </c>
      <c r="F1097" s="2">
        <v>3.5554000000000001</v>
      </c>
      <c r="G1097" s="2">
        <v>3.8304</v>
      </c>
    </row>
    <row r="1098" spans="1:7" x14ac:dyDescent="0.3">
      <c r="A1098" t="s">
        <v>1422</v>
      </c>
      <c r="B1098" t="s">
        <v>1399</v>
      </c>
      <c r="C1098" t="s">
        <v>1204</v>
      </c>
      <c r="D1098" s="2">
        <v>0</v>
      </c>
      <c r="E1098" s="2">
        <v>0</v>
      </c>
      <c r="F1098" s="2">
        <v>0</v>
      </c>
      <c r="G1098" s="2">
        <v>0</v>
      </c>
    </row>
    <row r="1099" spans="1:7" x14ac:dyDescent="0.3">
      <c r="A1099" t="s">
        <v>1422</v>
      </c>
      <c r="B1099" t="s">
        <v>1399</v>
      </c>
      <c r="C1099" t="s">
        <v>1205</v>
      </c>
      <c r="D1099" s="2">
        <v>4.3E-3</v>
      </c>
      <c r="E1099" s="2">
        <v>3.8999999999999998E-3</v>
      </c>
      <c r="F1099" s="2">
        <v>1.9E-3</v>
      </c>
      <c r="G1099" s="2">
        <v>1.6000000000000001E-3</v>
      </c>
    </row>
    <row r="1100" spans="1:7" x14ac:dyDescent="0.3">
      <c r="A1100" t="s">
        <v>1422</v>
      </c>
      <c r="B1100" t="s">
        <v>1399</v>
      </c>
      <c r="C1100" t="s">
        <v>1206</v>
      </c>
      <c r="D1100" s="2">
        <v>8.1229999999999993</v>
      </c>
      <c r="E1100" s="2">
        <v>7.3209</v>
      </c>
      <c r="F1100" s="2">
        <v>6.9608999999999996</v>
      </c>
      <c r="G1100" s="2">
        <v>7.4170999999999996</v>
      </c>
    </row>
    <row r="1101" spans="1:7" x14ac:dyDescent="0.3">
      <c r="A1101" t="s">
        <v>1422</v>
      </c>
      <c r="B1101" t="s">
        <v>1399</v>
      </c>
      <c r="C1101" t="s">
        <v>1208</v>
      </c>
      <c r="D1101" s="2">
        <v>0</v>
      </c>
      <c r="E1101" s="2">
        <v>0</v>
      </c>
      <c r="F1101" s="2">
        <v>0</v>
      </c>
      <c r="G1101" s="2">
        <v>0</v>
      </c>
    </row>
    <row r="1102" spans="1:7" x14ac:dyDescent="0.3">
      <c r="A1102" t="s">
        <v>1422</v>
      </c>
      <c r="B1102" t="s">
        <v>1399</v>
      </c>
      <c r="C1102" t="s">
        <v>1209</v>
      </c>
      <c r="D1102" s="2">
        <v>0</v>
      </c>
      <c r="E1102" s="2">
        <v>0</v>
      </c>
      <c r="F1102" s="2">
        <v>0</v>
      </c>
      <c r="G1102" s="2">
        <v>0</v>
      </c>
    </row>
    <row r="1103" spans="1:7" x14ac:dyDescent="0.3">
      <c r="A1103" t="s">
        <v>1422</v>
      </c>
      <c r="B1103" t="s">
        <v>1399</v>
      </c>
      <c r="C1103" t="s">
        <v>1210</v>
      </c>
      <c r="D1103" s="2">
        <v>3.0999999999999999E-3</v>
      </c>
      <c r="E1103" s="2">
        <v>1.1999999999999999E-3</v>
      </c>
      <c r="F1103" s="2">
        <v>8.9999999999999993E-3</v>
      </c>
      <c r="G1103" s="2">
        <v>1.0500000000000001E-2</v>
      </c>
    </row>
    <row r="1104" spans="1:7" x14ac:dyDescent="0.3">
      <c r="A1104" t="s">
        <v>1422</v>
      </c>
      <c r="B1104" t="s">
        <v>1395</v>
      </c>
      <c r="C1104" t="s">
        <v>1211</v>
      </c>
      <c r="D1104" s="2">
        <v>4.8959000000000001</v>
      </c>
      <c r="E1104" s="2">
        <v>5.2355999999999998</v>
      </c>
      <c r="F1104" s="2">
        <v>5.2900999999999998</v>
      </c>
      <c r="G1104" s="2">
        <v>5.8131000000000004</v>
      </c>
    </row>
    <row r="1105" spans="1:7" x14ac:dyDescent="0.3">
      <c r="A1105" t="s">
        <v>1422</v>
      </c>
      <c r="B1105" t="s">
        <v>1395</v>
      </c>
      <c r="C1105" t="s">
        <v>1212</v>
      </c>
      <c r="D1105" s="2">
        <v>1.9E-2</v>
      </c>
      <c r="E1105" s="2">
        <v>2.35E-2</v>
      </c>
      <c r="F1105" s="2">
        <v>2.1999999999999999E-2</v>
      </c>
      <c r="G1105" s="2">
        <v>2.9399999999999999E-2</v>
      </c>
    </row>
    <row r="1106" spans="1:7" x14ac:dyDescent="0.3">
      <c r="A1106" t="s">
        <v>1422</v>
      </c>
      <c r="B1106" t="s">
        <v>1395</v>
      </c>
      <c r="C1106" t="s">
        <v>1213</v>
      </c>
      <c r="D1106" s="2">
        <v>0</v>
      </c>
      <c r="E1106" s="2">
        <v>0</v>
      </c>
      <c r="F1106" s="2">
        <v>0</v>
      </c>
      <c r="G1106" s="2">
        <v>0</v>
      </c>
    </row>
    <row r="1107" spans="1:7" x14ac:dyDescent="0.3">
      <c r="A1107" t="s">
        <v>1422</v>
      </c>
      <c r="B1107" t="s">
        <v>1395</v>
      </c>
      <c r="C1107" t="s">
        <v>1214</v>
      </c>
      <c r="D1107" s="2">
        <v>17.3081</v>
      </c>
      <c r="E1107" s="2">
        <v>18.965399999999999</v>
      </c>
      <c r="F1107" s="2">
        <v>17.9895</v>
      </c>
      <c r="G1107" s="2">
        <v>19.210899999999999</v>
      </c>
    </row>
    <row r="1108" spans="1:7" x14ac:dyDescent="0.3">
      <c r="A1108" t="s">
        <v>1422</v>
      </c>
      <c r="B1108" t="s">
        <v>1395</v>
      </c>
      <c r="C1108" t="s">
        <v>1215</v>
      </c>
      <c r="D1108" s="2">
        <v>0</v>
      </c>
      <c r="E1108" s="2">
        <v>0</v>
      </c>
      <c r="F1108" s="2">
        <v>0</v>
      </c>
      <c r="G1108" s="2">
        <v>0</v>
      </c>
    </row>
    <row r="1109" spans="1:7" x14ac:dyDescent="0.3">
      <c r="A1109" t="s">
        <v>1422</v>
      </c>
      <c r="B1109" t="s">
        <v>1395</v>
      </c>
      <c r="C1109" t="s">
        <v>1216</v>
      </c>
      <c r="D1109" s="2">
        <v>4.0145999999999997</v>
      </c>
      <c r="E1109" s="2">
        <v>4.0007000000000001</v>
      </c>
      <c r="F1109" s="2">
        <v>3.3654999999999999</v>
      </c>
      <c r="G1109" s="2">
        <v>3.4026000000000001</v>
      </c>
    </row>
    <row r="1110" spans="1:7" x14ac:dyDescent="0.3">
      <c r="A1110" t="s">
        <v>1422</v>
      </c>
      <c r="B1110" t="s">
        <v>1395</v>
      </c>
      <c r="C1110" t="s">
        <v>1217</v>
      </c>
      <c r="D1110" s="2">
        <v>7.9248000000000003</v>
      </c>
      <c r="E1110" s="2">
        <v>7.6978</v>
      </c>
      <c r="F1110" s="2">
        <v>6.3089000000000004</v>
      </c>
      <c r="G1110" s="2">
        <v>6.8253000000000004</v>
      </c>
    </row>
    <row r="1111" spans="1:7" x14ac:dyDescent="0.3">
      <c r="A1111" t="s">
        <v>1422</v>
      </c>
      <c r="B1111" t="s">
        <v>1395</v>
      </c>
      <c r="C1111" t="s">
        <v>1219</v>
      </c>
      <c r="D1111" s="2">
        <v>0</v>
      </c>
      <c r="E1111" s="2">
        <v>0</v>
      </c>
      <c r="F1111" s="2">
        <v>0</v>
      </c>
      <c r="G1111" s="2">
        <v>0</v>
      </c>
    </row>
    <row r="1112" spans="1:7" x14ac:dyDescent="0.3">
      <c r="A1112" t="s">
        <v>1422</v>
      </c>
      <c r="B1112" t="s">
        <v>1395</v>
      </c>
      <c r="C1112" t="s">
        <v>1220</v>
      </c>
      <c r="D1112" s="2">
        <v>3.4599999999999999E-2</v>
      </c>
      <c r="E1112" s="2">
        <v>2.3E-2</v>
      </c>
      <c r="F1112" s="2">
        <v>2.4299999999999999E-2</v>
      </c>
      <c r="G1112" s="2">
        <v>3.0599999999999999E-2</v>
      </c>
    </row>
    <row r="1113" spans="1:7" x14ac:dyDescent="0.3">
      <c r="A1113" t="s">
        <v>1422</v>
      </c>
      <c r="B1113" t="s">
        <v>1395</v>
      </c>
      <c r="C1113" t="s">
        <v>1221</v>
      </c>
      <c r="D1113" s="2">
        <v>2.4214000000000002</v>
      </c>
      <c r="E1113" s="2">
        <v>2.4798</v>
      </c>
      <c r="F1113" s="2">
        <v>2.3614999999999999</v>
      </c>
      <c r="G1113" s="2">
        <v>2.3952</v>
      </c>
    </row>
    <row r="1114" spans="1:7" x14ac:dyDescent="0.3">
      <c r="A1114" t="s">
        <v>1423</v>
      </c>
      <c r="B1114" t="s">
        <v>1394</v>
      </c>
      <c r="C1114" t="s">
        <v>1222</v>
      </c>
      <c r="D1114" s="2">
        <v>5.4012000000000002</v>
      </c>
      <c r="E1114" s="2">
        <v>4.8947000000000003</v>
      </c>
      <c r="F1114" s="2">
        <v>6.1304999999999996</v>
      </c>
      <c r="G1114" s="2">
        <v>6.9764999999999997</v>
      </c>
    </row>
    <row r="1115" spans="1:7" x14ac:dyDescent="0.3">
      <c r="A1115" t="s">
        <v>1423</v>
      </c>
      <c r="B1115" t="s">
        <v>1394</v>
      </c>
      <c r="C1115" t="s">
        <v>1223</v>
      </c>
      <c r="D1115" s="2">
        <v>0.158</v>
      </c>
      <c r="E1115" s="2">
        <v>0.1472</v>
      </c>
      <c r="F1115" s="2">
        <v>8.6900000000000005E-2</v>
      </c>
      <c r="G1115" s="2">
        <v>5.8200000000000002E-2</v>
      </c>
    </row>
    <row r="1116" spans="1:7" x14ac:dyDescent="0.3">
      <c r="A1116" t="s">
        <v>1423</v>
      </c>
      <c r="B1116" t="s">
        <v>1394</v>
      </c>
      <c r="C1116" t="s">
        <v>1224</v>
      </c>
      <c r="D1116" s="2">
        <v>0</v>
      </c>
      <c r="E1116" s="2">
        <v>0</v>
      </c>
      <c r="F1116" s="2">
        <v>0</v>
      </c>
      <c r="G1116" s="2">
        <v>0</v>
      </c>
    </row>
    <row r="1117" spans="1:7" x14ac:dyDescent="0.3">
      <c r="A1117" t="s">
        <v>1423</v>
      </c>
      <c r="B1117" t="s">
        <v>1394</v>
      </c>
      <c r="C1117" t="s">
        <v>1225</v>
      </c>
      <c r="D1117" s="2">
        <v>1.3715999999999999</v>
      </c>
      <c r="E1117" s="2">
        <v>1.6263000000000001</v>
      </c>
      <c r="F1117" s="2">
        <v>1.3042</v>
      </c>
      <c r="G1117" s="2">
        <v>1.1046</v>
      </c>
    </row>
    <row r="1118" spans="1:7" x14ac:dyDescent="0.3">
      <c r="A1118" t="s">
        <v>1423</v>
      </c>
      <c r="B1118" t="s">
        <v>1394</v>
      </c>
      <c r="C1118" t="s">
        <v>1226</v>
      </c>
      <c r="D1118" s="2">
        <v>0</v>
      </c>
      <c r="E1118" s="2">
        <v>0</v>
      </c>
      <c r="F1118" s="2">
        <v>0</v>
      </c>
      <c r="G1118" s="2">
        <v>0</v>
      </c>
    </row>
    <row r="1119" spans="1:7" x14ac:dyDescent="0.3">
      <c r="A1119" t="s">
        <v>1423</v>
      </c>
      <c r="B1119" t="s">
        <v>1394</v>
      </c>
      <c r="C1119" t="s">
        <v>1227</v>
      </c>
      <c r="D1119" s="2">
        <v>104.97490000000001</v>
      </c>
      <c r="E1119" s="2">
        <v>107.1105</v>
      </c>
      <c r="F1119" s="2">
        <v>116.5941</v>
      </c>
      <c r="G1119" s="2">
        <v>115.01730000000001</v>
      </c>
    </row>
    <row r="1120" spans="1:7" x14ac:dyDescent="0.3">
      <c r="A1120" t="s">
        <v>1423</v>
      </c>
      <c r="B1120" t="s">
        <v>1394</v>
      </c>
      <c r="C1120" t="s">
        <v>1228</v>
      </c>
      <c r="D1120" s="2">
        <v>31.425799999999999</v>
      </c>
      <c r="E1120" s="2">
        <v>30.519300000000001</v>
      </c>
      <c r="F1120" s="2">
        <v>28.912600000000001</v>
      </c>
      <c r="G1120" s="2">
        <v>26.604900000000001</v>
      </c>
    </row>
    <row r="1121" spans="1:7" x14ac:dyDescent="0.3">
      <c r="A1121" t="s">
        <v>1423</v>
      </c>
      <c r="B1121" t="s">
        <v>1394</v>
      </c>
      <c r="C1121" t="s">
        <v>1230</v>
      </c>
      <c r="D1121" s="2">
        <v>0</v>
      </c>
      <c r="E1121" s="2">
        <v>0</v>
      </c>
      <c r="F1121" s="2">
        <v>0</v>
      </c>
      <c r="G1121" s="2">
        <v>0</v>
      </c>
    </row>
    <row r="1122" spans="1:7" x14ac:dyDescent="0.3">
      <c r="A1122" t="s">
        <v>1423</v>
      </c>
      <c r="B1122" t="s">
        <v>1394</v>
      </c>
      <c r="C1122" t="s">
        <v>1231</v>
      </c>
      <c r="D1122" s="2">
        <v>0</v>
      </c>
      <c r="E1122" s="2">
        <v>0</v>
      </c>
      <c r="F1122" s="2">
        <v>0</v>
      </c>
      <c r="G1122" s="2">
        <v>0</v>
      </c>
    </row>
    <row r="1123" spans="1:7" x14ac:dyDescent="0.3">
      <c r="A1123" t="s">
        <v>1423</v>
      </c>
      <c r="B1123" t="s">
        <v>1394</v>
      </c>
      <c r="C1123" t="s">
        <v>1232</v>
      </c>
      <c r="D1123" s="2">
        <v>0</v>
      </c>
      <c r="E1123" s="2">
        <v>0</v>
      </c>
      <c r="F1123" s="2">
        <v>2.3523999999999998</v>
      </c>
      <c r="G1123" s="2">
        <v>2.4377</v>
      </c>
    </row>
    <row r="1124" spans="1:7" x14ac:dyDescent="0.3">
      <c r="A1124" t="s">
        <v>1423</v>
      </c>
      <c r="B1124" t="s">
        <v>1392</v>
      </c>
      <c r="C1124" t="s">
        <v>1233</v>
      </c>
      <c r="D1124" s="2">
        <v>1.2052</v>
      </c>
      <c r="E1124" s="2">
        <v>1.1133999999999999</v>
      </c>
      <c r="F1124" s="2">
        <v>1.1173</v>
      </c>
      <c r="G1124" s="2">
        <v>0.98309999999999997</v>
      </c>
    </row>
    <row r="1125" spans="1:7" x14ac:dyDescent="0.3">
      <c r="A1125" t="s">
        <v>1423</v>
      </c>
      <c r="B1125" t="s">
        <v>1392</v>
      </c>
      <c r="C1125" t="s">
        <v>1234</v>
      </c>
      <c r="D1125" s="2">
        <v>6.4699999999999994E-2</v>
      </c>
      <c r="E1125" s="2">
        <v>6.5500000000000003E-2</v>
      </c>
      <c r="F1125" s="2">
        <v>6.5799999999999997E-2</v>
      </c>
      <c r="G1125" s="2">
        <v>2.4199999999999999E-2</v>
      </c>
    </row>
    <row r="1126" spans="1:7" x14ac:dyDescent="0.3">
      <c r="A1126" t="s">
        <v>1423</v>
      </c>
      <c r="B1126" t="s">
        <v>1392</v>
      </c>
      <c r="C1126" t="s">
        <v>1235</v>
      </c>
      <c r="D1126" s="2">
        <v>0</v>
      </c>
      <c r="E1126" s="2">
        <v>0</v>
      </c>
      <c r="F1126" s="2">
        <v>0</v>
      </c>
      <c r="G1126" s="2">
        <v>0</v>
      </c>
    </row>
    <row r="1127" spans="1:7" x14ac:dyDescent="0.3">
      <c r="A1127" t="s">
        <v>1423</v>
      </c>
      <c r="B1127" t="s">
        <v>1392</v>
      </c>
      <c r="C1127" t="s">
        <v>1236</v>
      </c>
      <c r="D1127" s="2">
        <v>2.0066999999999999</v>
      </c>
      <c r="E1127" s="2">
        <v>2.2757999999999998</v>
      </c>
      <c r="F1127" s="2">
        <v>2.5030000000000001</v>
      </c>
      <c r="G1127" s="2">
        <v>2.7124000000000001</v>
      </c>
    </row>
    <row r="1128" spans="1:7" x14ac:dyDescent="0.3">
      <c r="A1128" t="s">
        <v>1423</v>
      </c>
      <c r="B1128" t="s">
        <v>1392</v>
      </c>
      <c r="C1128" t="s">
        <v>1237</v>
      </c>
      <c r="D1128" s="2">
        <v>0</v>
      </c>
      <c r="E1128" s="2">
        <v>0</v>
      </c>
      <c r="F1128" s="2">
        <v>0</v>
      </c>
      <c r="G1128" s="2">
        <v>0</v>
      </c>
    </row>
    <row r="1129" spans="1:7" x14ac:dyDescent="0.3">
      <c r="A1129" t="s">
        <v>1423</v>
      </c>
      <c r="B1129" t="s">
        <v>1392</v>
      </c>
      <c r="C1129" t="s">
        <v>1238</v>
      </c>
      <c r="D1129" s="2">
        <v>0.35899999999999999</v>
      </c>
      <c r="E1129" s="2">
        <v>0.36420000000000002</v>
      </c>
      <c r="F1129" s="2">
        <v>0.98570000000000002</v>
      </c>
      <c r="G1129" s="2">
        <v>1.0972</v>
      </c>
    </row>
    <row r="1130" spans="1:7" x14ac:dyDescent="0.3">
      <c r="A1130" t="s">
        <v>1423</v>
      </c>
      <c r="B1130" t="s">
        <v>1392</v>
      </c>
      <c r="C1130" t="s">
        <v>1239</v>
      </c>
      <c r="D1130" s="2">
        <v>3.4670000000000001</v>
      </c>
      <c r="E1130" s="2">
        <v>3.2646999999999999</v>
      </c>
      <c r="F1130" s="2">
        <v>2.6772999999999998</v>
      </c>
      <c r="G1130" s="2">
        <v>2.4565000000000001</v>
      </c>
    </row>
    <row r="1131" spans="1:7" x14ac:dyDescent="0.3">
      <c r="A1131" t="s">
        <v>1423</v>
      </c>
      <c r="B1131" t="s">
        <v>1392</v>
      </c>
      <c r="C1131" t="s">
        <v>1241</v>
      </c>
      <c r="D1131" s="2">
        <v>0</v>
      </c>
      <c r="E1131" s="2">
        <v>0</v>
      </c>
      <c r="F1131" s="2">
        <v>0</v>
      </c>
      <c r="G1131" s="2">
        <v>0</v>
      </c>
    </row>
    <row r="1132" spans="1:7" x14ac:dyDescent="0.3">
      <c r="A1132" t="s">
        <v>1423</v>
      </c>
      <c r="B1132" t="s">
        <v>1392</v>
      </c>
      <c r="C1132" t="s">
        <v>1242</v>
      </c>
      <c r="D1132" s="2">
        <v>0</v>
      </c>
      <c r="E1132" s="2">
        <v>0</v>
      </c>
      <c r="F1132" s="2">
        <v>0</v>
      </c>
      <c r="G1132" s="2">
        <v>0</v>
      </c>
    </row>
    <row r="1133" spans="1:7" x14ac:dyDescent="0.3">
      <c r="A1133" t="s">
        <v>1423</v>
      </c>
      <c r="B1133" t="s">
        <v>1392</v>
      </c>
      <c r="C1133" t="s">
        <v>1243</v>
      </c>
      <c r="D1133" s="2">
        <v>0</v>
      </c>
      <c r="E1133" s="2">
        <v>0</v>
      </c>
      <c r="F1133" s="2">
        <v>3.4746000000000001</v>
      </c>
      <c r="G1133" s="2">
        <v>3.9773999999999998</v>
      </c>
    </row>
    <row r="1134" spans="1:7" x14ac:dyDescent="0.3">
      <c r="A1134" t="s">
        <v>1423</v>
      </c>
      <c r="B1134" t="s">
        <v>1391</v>
      </c>
      <c r="C1134" t="s">
        <v>1244</v>
      </c>
      <c r="D1134" s="2">
        <v>4.72</v>
      </c>
      <c r="E1134" s="2">
        <v>4.3898999999999999</v>
      </c>
      <c r="F1134" s="2">
        <v>3.5646</v>
      </c>
      <c r="G1134" s="2">
        <v>3.9300999999999999</v>
      </c>
    </row>
    <row r="1135" spans="1:7" x14ac:dyDescent="0.3">
      <c r="A1135" t="s">
        <v>1423</v>
      </c>
      <c r="B1135" t="s">
        <v>1391</v>
      </c>
      <c r="C1135" t="s">
        <v>1245</v>
      </c>
      <c r="D1135" s="2">
        <v>2.0716000000000001</v>
      </c>
      <c r="E1135" s="2">
        <v>2.1030000000000002</v>
      </c>
      <c r="F1135" s="2">
        <v>1.7652000000000001</v>
      </c>
      <c r="G1135" s="2">
        <v>2.0562</v>
      </c>
    </row>
    <row r="1136" spans="1:7" x14ac:dyDescent="0.3">
      <c r="A1136" t="s">
        <v>1423</v>
      </c>
      <c r="B1136" t="s">
        <v>1391</v>
      </c>
      <c r="C1136" t="s">
        <v>1246</v>
      </c>
      <c r="D1136" s="2">
        <v>0</v>
      </c>
      <c r="E1136" s="2">
        <v>0</v>
      </c>
      <c r="F1136" s="2">
        <v>0</v>
      </c>
      <c r="G1136" s="2">
        <v>0</v>
      </c>
    </row>
    <row r="1137" spans="1:7" x14ac:dyDescent="0.3">
      <c r="A1137" t="s">
        <v>1423</v>
      </c>
      <c r="B1137" t="s">
        <v>1391</v>
      </c>
      <c r="C1137" t="s">
        <v>1247</v>
      </c>
      <c r="D1137" s="2">
        <v>5.2045000000000003</v>
      </c>
      <c r="E1137" s="2">
        <v>5.9104999999999999</v>
      </c>
      <c r="F1137" s="2">
        <v>5.8573000000000004</v>
      </c>
      <c r="G1137" s="2">
        <v>5.2855999999999996</v>
      </c>
    </row>
    <row r="1138" spans="1:7" x14ac:dyDescent="0.3">
      <c r="A1138" t="s">
        <v>1423</v>
      </c>
      <c r="B1138" t="s">
        <v>1391</v>
      </c>
      <c r="C1138" t="s">
        <v>1248</v>
      </c>
      <c r="D1138" s="2">
        <v>0</v>
      </c>
      <c r="E1138" s="2">
        <v>0</v>
      </c>
      <c r="F1138" s="2">
        <v>0</v>
      </c>
      <c r="G1138" s="2">
        <v>0</v>
      </c>
    </row>
    <row r="1139" spans="1:7" x14ac:dyDescent="0.3">
      <c r="A1139" t="s">
        <v>1423</v>
      </c>
      <c r="B1139" t="s">
        <v>1391</v>
      </c>
      <c r="C1139" t="s">
        <v>1249</v>
      </c>
      <c r="D1139" s="2">
        <v>0</v>
      </c>
      <c r="E1139" s="2">
        <v>0</v>
      </c>
      <c r="F1139" s="2">
        <v>5.5999999999999999E-3</v>
      </c>
      <c r="G1139" s="2">
        <v>4.1999999999999997E-3</v>
      </c>
    </row>
    <row r="1140" spans="1:7" x14ac:dyDescent="0.3">
      <c r="A1140" t="s">
        <v>1423</v>
      </c>
      <c r="B1140" t="s">
        <v>1391</v>
      </c>
      <c r="C1140" t="s">
        <v>1250</v>
      </c>
      <c r="D1140" s="2">
        <v>9.4111999999999991</v>
      </c>
      <c r="E1140" s="2">
        <v>9.3617000000000008</v>
      </c>
      <c r="F1140" s="2">
        <v>8.6367999999999991</v>
      </c>
      <c r="G1140" s="2">
        <v>9.3211999999999993</v>
      </c>
    </row>
    <row r="1141" spans="1:7" x14ac:dyDescent="0.3">
      <c r="A1141" t="s">
        <v>1423</v>
      </c>
      <c r="B1141" t="s">
        <v>1391</v>
      </c>
      <c r="C1141" t="s">
        <v>1252</v>
      </c>
      <c r="D1141" s="2">
        <v>0</v>
      </c>
      <c r="E1141" s="2">
        <v>0</v>
      </c>
      <c r="F1141" s="2">
        <v>0</v>
      </c>
      <c r="G1141" s="2">
        <v>0</v>
      </c>
    </row>
    <row r="1142" spans="1:7" x14ac:dyDescent="0.3">
      <c r="A1142" t="s">
        <v>1423</v>
      </c>
      <c r="B1142" t="s">
        <v>1391</v>
      </c>
      <c r="C1142" t="s">
        <v>1253</v>
      </c>
      <c r="D1142" s="2">
        <v>0</v>
      </c>
      <c r="E1142" s="2">
        <v>0</v>
      </c>
      <c r="F1142" s="2">
        <v>0</v>
      </c>
      <c r="G1142" s="2">
        <v>0</v>
      </c>
    </row>
    <row r="1143" spans="1:7" x14ac:dyDescent="0.3">
      <c r="A1143" t="s">
        <v>1423</v>
      </c>
      <c r="B1143" t="s">
        <v>1391</v>
      </c>
      <c r="C1143" t="s">
        <v>1254</v>
      </c>
      <c r="D1143" s="2">
        <v>6.1944999999999997</v>
      </c>
      <c r="E1143" s="2">
        <v>5.2297000000000002</v>
      </c>
      <c r="F1143" s="2">
        <v>5.2229000000000001</v>
      </c>
      <c r="G1143" s="2">
        <v>5.4443000000000001</v>
      </c>
    </row>
    <row r="1144" spans="1:7" x14ac:dyDescent="0.3">
      <c r="A1144" t="s">
        <v>1423</v>
      </c>
      <c r="B1144" t="s">
        <v>1397</v>
      </c>
      <c r="C1144" t="s">
        <v>1255</v>
      </c>
      <c r="D1144" s="2">
        <v>0.79610000000000003</v>
      </c>
      <c r="E1144" s="2">
        <v>0.74780000000000002</v>
      </c>
      <c r="F1144" s="2">
        <v>0.78990000000000005</v>
      </c>
      <c r="G1144" s="2">
        <v>0.61929999999999996</v>
      </c>
    </row>
    <row r="1145" spans="1:7" x14ac:dyDescent="0.3">
      <c r="A1145" t="s">
        <v>1423</v>
      </c>
      <c r="B1145" t="s">
        <v>1397</v>
      </c>
      <c r="C1145" t="s">
        <v>1256</v>
      </c>
      <c r="D1145" s="2">
        <v>2.0799999999999999E-2</v>
      </c>
      <c r="E1145" s="2">
        <v>3.1099999999999999E-2</v>
      </c>
      <c r="F1145" s="2">
        <v>3.09E-2</v>
      </c>
      <c r="G1145" s="2">
        <v>4.1099999999999998E-2</v>
      </c>
    </row>
    <row r="1146" spans="1:7" x14ac:dyDescent="0.3">
      <c r="A1146" t="s">
        <v>1423</v>
      </c>
      <c r="B1146" t="s">
        <v>1397</v>
      </c>
      <c r="C1146" t="s">
        <v>1257</v>
      </c>
      <c r="D1146" s="2">
        <v>0</v>
      </c>
      <c r="E1146" s="2">
        <v>0</v>
      </c>
      <c r="F1146" s="2">
        <v>0</v>
      </c>
      <c r="G1146" s="2">
        <v>0</v>
      </c>
    </row>
    <row r="1147" spans="1:7" x14ac:dyDescent="0.3">
      <c r="A1147" t="s">
        <v>1423</v>
      </c>
      <c r="B1147" t="s">
        <v>1397</v>
      </c>
      <c r="C1147" t="s">
        <v>1258</v>
      </c>
      <c r="D1147" s="2">
        <v>1.3862000000000001</v>
      </c>
      <c r="E1147" s="2">
        <v>1.389</v>
      </c>
      <c r="F1147" s="2">
        <v>1.5789</v>
      </c>
      <c r="G1147" s="2">
        <v>1.4492</v>
      </c>
    </row>
    <row r="1148" spans="1:7" x14ac:dyDescent="0.3">
      <c r="A1148" t="s">
        <v>1423</v>
      </c>
      <c r="B1148" t="s">
        <v>1397</v>
      </c>
      <c r="C1148" t="s">
        <v>1259</v>
      </c>
      <c r="D1148" s="2">
        <v>0</v>
      </c>
      <c r="E1148" s="2">
        <v>0</v>
      </c>
      <c r="F1148" s="2">
        <v>0</v>
      </c>
      <c r="G1148" s="2">
        <v>0</v>
      </c>
    </row>
    <row r="1149" spans="1:7" x14ac:dyDescent="0.3">
      <c r="A1149" t="s">
        <v>1423</v>
      </c>
      <c r="B1149" t="s">
        <v>1397</v>
      </c>
      <c r="C1149" t="s">
        <v>1260</v>
      </c>
      <c r="D1149" s="2">
        <v>0.36820000000000003</v>
      </c>
      <c r="E1149" s="2">
        <v>0.4163</v>
      </c>
      <c r="F1149" s="2">
        <v>0.62119999999999997</v>
      </c>
      <c r="G1149" s="2">
        <v>0.50960000000000005</v>
      </c>
    </row>
    <row r="1150" spans="1:7" x14ac:dyDescent="0.3">
      <c r="A1150" t="s">
        <v>1423</v>
      </c>
      <c r="B1150" t="s">
        <v>1397</v>
      </c>
      <c r="C1150" t="s">
        <v>1261</v>
      </c>
      <c r="D1150" s="2">
        <v>2.4483999999999999</v>
      </c>
      <c r="E1150" s="2">
        <v>2.4698000000000002</v>
      </c>
      <c r="F1150" s="2">
        <v>2.4039999999999999</v>
      </c>
      <c r="G1150" s="2">
        <v>2.3675999999999999</v>
      </c>
    </row>
    <row r="1151" spans="1:7" x14ac:dyDescent="0.3">
      <c r="A1151" t="s">
        <v>1423</v>
      </c>
      <c r="B1151" t="s">
        <v>1397</v>
      </c>
      <c r="C1151" t="s">
        <v>1263</v>
      </c>
      <c r="D1151" s="2">
        <v>0</v>
      </c>
      <c r="E1151" s="2">
        <v>0</v>
      </c>
      <c r="F1151" s="2">
        <v>0</v>
      </c>
      <c r="G1151" s="2">
        <v>0</v>
      </c>
    </row>
    <row r="1152" spans="1:7" x14ac:dyDescent="0.3">
      <c r="A1152" t="s">
        <v>1423</v>
      </c>
      <c r="B1152" t="s">
        <v>1397</v>
      </c>
      <c r="C1152" t="s">
        <v>1264</v>
      </c>
      <c r="D1152" s="2">
        <v>0</v>
      </c>
      <c r="E1152" s="2">
        <v>0</v>
      </c>
      <c r="F1152" s="2">
        <v>0</v>
      </c>
      <c r="G1152" s="2">
        <v>0</v>
      </c>
    </row>
    <row r="1153" spans="1:7" x14ac:dyDescent="0.3">
      <c r="A1153" t="s">
        <v>1423</v>
      </c>
      <c r="B1153" t="s">
        <v>1397</v>
      </c>
      <c r="C1153" t="s">
        <v>1265</v>
      </c>
      <c r="D1153" s="2">
        <v>0</v>
      </c>
      <c r="E1153" s="2">
        <v>0</v>
      </c>
      <c r="F1153" s="2">
        <v>1.0605</v>
      </c>
      <c r="G1153" s="2">
        <v>1.2298</v>
      </c>
    </row>
    <row r="1154" spans="1:7" x14ac:dyDescent="0.3">
      <c r="A1154" t="s">
        <v>1423</v>
      </c>
      <c r="B1154" t="s">
        <v>1395</v>
      </c>
      <c r="C1154" t="s">
        <v>1266</v>
      </c>
      <c r="D1154" s="2">
        <v>9.0374999999999996</v>
      </c>
      <c r="E1154" s="2">
        <v>8.6042000000000005</v>
      </c>
      <c r="F1154" s="2">
        <v>7.6879</v>
      </c>
      <c r="G1154" s="2">
        <v>8.2195999999999998</v>
      </c>
    </row>
    <row r="1155" spans="1:7" x14ac:dyDescent="0.3">
      <c r="A1155" t="s">
        <v>1423</v>
      </c>
      <c r="B1155" t="s">
        <v>1395</v>
      </c>
      <c r="C1155" t="s">
        <v>1267</v>
      </c>
      <c r="D1155" s="2">
        <v>4.5312000000000001</v>
      </c>
      <c r="E1155" s="2">
        <v>3.972</v>
      </c>
      <c r="F1155" s="2">
        <v>3.3607</v>
      </c>
      <c r="G1155" s="2">
        <v>3.5733999999999999</v>
      </c>
    </row>
    <row r="1156" spans="1:7" x14ac:dyDescent="0.3">
      <c r="A1156" t="s">
        <v>1423</v>
      </c>
      <c r="B1156" t="s">
        <v>1395</v>
      </c>
      <c r="C1156" t="s">
        <v>1268</v>
      </c>
      <c r="D1156" s="2">
        <v>0</v>
      </c>
      <c r="E1156" s="2">
        <v>0</v>
      </c>
      <c r="F1156" s="2">
        <v>0</v>
      </c>
      <c r="G1156" s="2">
        <v>0</v>
      </c>
    </row>
    <row r="1157" spans="1:7" x14ac:dyDescent="0.3">
      <c r="A1157" t="s">
        <v>1423</v>
      </c>
      <c r="B1157" t="s">
        <v>1395</v>
      </c>
      <c r="C1157" t="s">
        <v>1269</v>
      </c>
      <c r="D1157" s="2">
        <v>1.9631000000000001</v>
      </c>
      <c r="E1157" s="2">
        <v>1.7197</v>
      </c>
      <c r="F1157" s="2">
        <v>1.7024999999999999</v>
      </c>
      <c r="G1157" s="2">
        <v>1.7636000000000001</v>
      </c>
    </row>
    <row r="1158" spans="1:7" x14ac:dyDescent="0.3">
      <c r="A1158" t="s">
        <v>1423</v>
      </c>
      <c r="B1158" t="s">
        <v>1395</v>
      </c>
      <c r="C1158" t="s">
        <v>1270</v>
      </c>
      <c r="D1158" s="2">
        <v>0</v>
      </c>
      <c r="E1158" s="2">
        <v>0</v>
      </c>
      <c r="F1158" s="2">
        <v>0</v>
      </c>
      <c r="G1158" s="2">
        <v>0</v>
      </c>
    </row>
    <row r="1159" spans="1:7" x14ac:dyDescent="0.3">
      <c r="A1159" t="s">
        <v>1423</v>
      </c>
      <c r="B1159" t="s">
        <v>1395</v>
      </c>
      <c r="C1159" t="s">
        <v>1271</v>
      </c>
      <c r="D1159" s="2">
        <v>7.0831999999999997</v>
      </c>
      <c r="E1159" s="2">
        <v>6.9413</v>
      </c>
      <c r="F1159" s="2">
        <v>8.3425999999999991</v>
      </c>
      <c r="G1159" s="2">
        <v>7.8354999999999997</v>
      </c>
    </row>
    <row r="1160" spans="1:7" x14ac:dyDescent="0.3">
      <c r="A1160" t="s">
        <v>1423</v>
      </c>
      <c r="B1160" t="s">
        <v>1395</v>
      </c>
      <c r="C1160" t="s">
        <v>1272</v>
      </c>
      <c r="D1160" s="2">
        <v>15.5443</v>
      </c>
      <c r="E1160" s="2">
        <v>14.958399999999999</v>
      </c>
      <c r="F1160" s="2">
        <v>14.1502</v>
      </c>
      <c r="G1160" s="2">
        <v>14.7072</v>
      </c>
    </row>
    <row r="1161" spans="1:7" x14ac:dyDescent="0.3">
      <c r="A1161" t="s">
        <v>1423</v>
      </c>
      <c r="B1161" t="s">
        <v>1395</v>
      </c>
      <c r="C1161" t="s">
        <v>1274</v>
      </c>
      <c r="D1161" s="2">
        <v>0</v>
      </c>
      <c r="E1161" s="2">
        <v>0</v>
      </c>
      <c r="F1161" s="2">
        <v>0</v>
      </c>
      <c r="G1161" s="2">
        <v>0</v>
      </c>
    </row>
    <row r="1162" spans="1:7" x14ac:dyDescent="0.3">
      <c r="A1162" t="s">
        <v>1423</v>
      </c>
      <c r="B1162" t="s">
        <v>1395</v>
      </c>
      <c r="C1162" t="s">
        <v>1275</v>
      </c>
      <c r="D1162" s="2">
        <v>0</v>
      </c>
      <c r="E1162" s="2">
        <v>0</v>
      </c>
      <c r="F1162" s="2">
        <v>0</v>
      </c>
      <c r="G1162" s="2">
        <v>0</v>
      </c>
    </row>
    <row r="1163" spans="1:7" x14ac:dyDescent="0.3">
      <c r="A1163" t="s">
        <v>1423</v>
      </c>
      <c r="B1163" t="s">
        <v>1395</v>
      </c>
      <c r="C1163" t="s">
        <v>1276</v>
      </c>
      <c r="D1163" s="2">
        <v>9.0742999999999991</v>
      </c>
      <c r="E1163" s="2">
        <v>8.7373999999999992</v>
      </c>
      <c r="F1163" s="2">
        <v>7.5509000000000004</v>
      </c>
      <c r="G1163" s="2">
        <v>7.9977</v>
      </c>
    </row>
    <row r="1164" spans="1:7" x14ac:dyDescent="0.3">
      <c r="A1164" t="s">
        <v>1424</v>
      </c>
      <c r="B1164" t="s">
        <v>1404</v>
      </c>
      <c r="C1164" t="s">
        <v>1277</v>
      </c>
      <c r="D1164" s="2">
        <v>0.31680000000000003</v>
      </c>
      <c r="E1164" s="2">
        <v>0.28649999999999998</v>
      </c>
      <c r="F1164" s="2">
        <v>0.216</v>
      </c>
      <c r="G1164" s="2">
        <v>0.23680000000000001</v>
      </c>
    </row>
    <row r="1165" spans="1:7" x14ac:dyDescent="0.3">
      <c r="A1165" t="s">
        <v>1424</v>
      </c>
      <c r="B1165" t="s">
        <v>1404</v>
      </c>
      <c r="C1165" t="s">
        <v>1278</v>
      </c>
      <c r="D1165" s="2">
        <v>2.0000000000000001E-4</v>
      </c>
      <c r="E1165" s="2">
        <v>0</v>
      </c>
      <c r="F1165" s="2">
        <v>0</v>
      </c>
      <c r="G1165" s="2">
        <v>0</v>
      </c>
    </row>
    <row r="1166" spans="1:7" x14ac:dyDescent="0.3">
      <c r="A1166" t="s">
        <v>1424</v>
      </c>
      <c r="B1166" t="s">
        <v>1404</v>
      </c>
      <c r="C1166" t="s">
        <v>1279</v>
      </c>
      <c r="D1166" s="2">
        <v>0</v>
      </c>
      <c r="E1166" s="2">
        <v>0</v>
      </c>
      <c r="F1166" s="2">
        <v>0</v>
      </c>
      <c r="G1166" s="2">
        <v>0</v>
      </c>
    </row>
    <row r="1167" spans="1:7" x14ac:dyDescent="0.3">
      <c r="A1167" t="s">
        <v>1424</v>
      </c>
      <c r="B1167" t="s">
        <v>1404</v>
      </c>
      <c r="C1167" t="s">
        <v>1280</v>
      </c>
      <c r="D1167" s="2">
        <v>1.2847</v>
      </c>
      <c r="E1167" s="2">
        <v>1.2270000000000001</v>
      </c>
      <c r="F1167" s="2">
        <v>1.2534000000000001</v>
      </c>
      <c r="G1167" s="2">
        <v>1.3213999999999999</v>
      </c>
    </row>
    <row r="1168" spans="1:7" x14ac:dyDescent="0.3">
      <c r="A1168" t="s">
        <v>1424</v>
      </c>
      <c r="B1168" t="s">
        <v>1404</v>
      </c>
      <c r="C1168" t="s">
        <v>1281</v>
      </c>
      <c r="D1168" s="2">
        <v>0</v>
      </c>
      <c r="E1168" s="2">
        <v>0</v>
      </c>
      <c r="F1168" s="2">
        <v>0</v>
      </c>
      <c r="G1168" s="2">
        <v>0</v>
      </c>
    </row>
    <row r="1169" spans="1:7" x14ac:dyDescent="0.3">
      <c r="A1169" t="s">
        <v>1424</v>
      </c>
      <c r="B1169" t="s">
        <v>1404</v>
      </c>
      <c r="C1169" t="s">
        <v>1282</v>
      </c>
      <c r="D1169" s="2">
        <v>4.1599999999999998E-2</v>
      </c>
      <c r="E1169" s="2">
        <v>5.5300000000000002E-2</v>
      </c>
      <c r="F1169" s="2">
        <v>7.0900000000000005E-2</v>
      </c>
      <c r="G1169" s="2">
        <v>7.8E-2</v>
      </c>
    </row>
    <row r="1170" spans="1:7" x14ac:dyDescent="0.3">
      <c r="A1170" t="s">
        <v>1424</v>
      </c>
      <c r="B1170" t="s">
        <v>1404</v>
      </c>
      <c r="C1170" t="s">
        <v>1283</v>
      </c>
      <c r="D1170" s="2">
        <v>1.2294</v>
      </c>
      <c r="E1170" s="2">
        <v>1.2786999999999999</v>
      </c>
      <c r="F1170" s="2">
        <v>1.2301</v>
      </c>
      <c r="G1170" s="2">
        <v>1.3465</v>
      </c>
    </row>
    <row r="1171" spans="1:7" x14ac:dyDescent="0.3">
      <c r="A1171" t="s">
        <v>1424</v>
      </c>
      <c r="B1171" t="s">
        <v>1404</v>
      </c>
      <c r="C1171" t="s">
        <v>1285</v>
      </c>
      <c r="D1171" s="2">
        <v>0</v>
      </c>
      <c r="E1171" s="2">
        <v>0</v>
      </c>
      <c r="F1171" s="2">
        <v>0</v>
      </c>
      <c r="G1171" s="2">
        <v>0</v>
      </c>
    </row>
    <row r="1172" spans="1:7" x14ac:dyDescent="0.3">
      <c r="A1172" t="s">
        <v>1424</v>
      </c>
      <c r="B1172" t="s">
        <v>1404</v>
      </c>
      <c r="C1172" t="s">
        <v>1286</v>
      </c>
      <c r="D1172" s="2">
        <v>0</v>
      </c>
      <c r="E1172" s="2">
        <v>0</v>
      </c>
      <c r="F1172" s="2">
        <v>0</v>
      </c>
      <c r="G1172" s="2">
        <v>0</v>
      </c>
    </row>
    <row r="1173" spans="1:7" x14ac:dyDescent="0.3">
      <c r="A1173" t="s">
        <v>1424</v>
      </c>
      <c r="B1173" t="s">
        <v>1404</v>
      </c>
      <c r="C1173" t="s">
        <v>1287</v>
      </c>
      <c r="D1173" s="2">
        <v>0.1777</v>
      </c>
      <c r="E1173" s="2">
        <v>0.17760000000000001</v>
      </c>
      <c r="F1173" s="2">
        <v>0.17430000000000001</v>
      </c>
      <c r="G1173" s="2">
        <v>0.18029999999999999</v>
      </c>
    </row>
    <row r="1174" spans="1:7" x14ac:dyDescent="0.3">
      <c r="A1174" t="s">
        <v>1424</v>
      </c>
      <c r="B1174" t="s">
        <v>1392</v>
      </c>
      <c r="C1174" t="s">
        <v>1288</v>
      </c>
      <c r="D1174" s="2">
        <v>6.9099999999999995E-2</v>
      </c>
      <c r="E1174" s="2">
        <v>6.3200000000000006E-2</v>
      </c>
      <c r="F1174" s="2">
        <v>6.4000000000000001E-2</v>
      </c>
      <c r="G1174" s="2">
        <v>5.7500000000000002E-2</v>
      </c>
    </row>
    <row r="1175" spans="1:7" x14ac:dyDescent="0.3">
      <c r="A1175" t="s">
        <v>1424</v>
      </c>
      <c r="B1175" t="s">
        <v>1392</v>
      </c>
      <c r="C1175" t="s">
        <v>1289</v>
      </c>
      <c r="D1175" s="2">
        <v>0</v>
      </c>
      <c r="E1175" s="2">
        <v>1E-4</v>
      </c>
      <c r="F1175" s="2">
        <v>0</v>
      </c>
      <c r="G1175" s="2">
        <v>0</v>
      </c>
    </row>
    <row r="1176" spans="1:7" x14ac:dyDescent="0.3">
      <c r="A1176" t="s">
        <v>1424</v>
      </c>
      <c r="B1176" t="s">
        <v>1392</v>
      </c>
      <c r="C1176" t="s">
        <v>1290</v>
      </c>
      <c r="D1176" s="2">
        <v>0</v>
      </c>
      <c r="E1176" s="2">
        <v>0</v>
      </c>
      <c r="F1176" s="2">
        <v>0</v>
      </c>
      <c r="G1176" s="2">
        <v>0</v>
      </c>
    </row>
    <row r="1177" spans="1:7" x14ac:dyDescent="0.3">
      <c r="A1177" t="s">
        <v>1424</v>
      </c>
      <c r="B1177" t="s">
        <v>1392</v>
      </c>
      <c r="C1177" t="s">
        <v>1291</v>
      </c>
      <c r="D1177" s="2">
        <v>0.80600000000000005</v>
      </c>
      <c r="E1177" s="2">
        <v>0.7792</v>
      </c>
      <c r="F1177" s="2">
        <v>0.87549999999999994</v>
      </c>
      <c r="G1177" s="2">
        <v>0.93340000000000001</v>
      </c>
    </row>
    <row r="1178" spans="1:7" x14ac:dyDescent="0.3">
      <c r="A1178" t="s">
        <v>1424</v>
      </c>
      <c r="B1178" t="s">
        <v>1392</v>
      </c>
      <c r="C1178" t="s">
        <v>1292</v>
      </c>
      <c r="D1178" s="2">
        <v>0</v>
      </c>
      <c r="E1178" s="2">
        <v>0</v>
      </c>
      <c r="F1178" s="2">
        <v>0</v>
      </c>
      <c r="G1178" s="2">
        <v>0</v>
      </c>
    </row>
    <row r="1179" spans="1:7" x14ac:dyDescent="0.3">
      <c r="A1179" t="s">
        <v>1424</v>
      </c>
      <c r="B1179" t="s">
        <v>1392</v>
      </c>
      <c r="C1179" t="s">
        <v>1293</v>
      </c>
      <c r="D1179" s="2">
        <v>0.35639999999999999</v>
      </c>
      <c r="E1179" s="2">
        <v>0.3634</v>
      </c>
      <c r="F1179" s="2">
        <v>0.35460000000000003</v>
      </c>
      <c r="G1179" s="2">
        <v>0.43269999999999997</v>
      </c>
    </row>
    <row r="1180" spans="1:7" x14ac:dyDescent="0.3">
      <c r="A1180" t="s">
        <v>1424</v>
      </c>
      <c r="B1180" t="s">
        <v>1392</v>
      </c>
      <c r="C1180" t="s">
        <v>1294</v>
      </c>
      <c r="D1180" s="2">
        <v>0.24299999999999999</v>
      </c>
      <c r="E1180" s="2">
        <v>0.25869999999999999</v>
      </c>
      <c r="F1180" s="2">
        <v>0.26400000000000001</v>
      </c>
      <c r="G1180" s="2">
        <v>0.26840000000000003</v>
      </c>
    </row>
    <row r="1181" spans="1:7" x14ac:dyDescent="0.3">
      <c r="A1181" t="s">
        <v>1424</v>
      </c>
      <c r="B1181" t="s">
        <v>1392</v>
      </c>
      <c r="C1181" t="s">
        <v>1296</v>
      </c>
      <c r="D1181" s="2">
        <v>0</v>
      </c>
      <c r="E1181" s="2">
        <v>0</v>
      </c>
      <c r="F1181" s="2">
        <v>0</v>
      </c>
      <c r="G1181" s="2">
        <v>0</v>
      </c>
    </row>
    <row r="1182" spans="1:7" x14ac:dyDescent="0.3">
      <c r="A1182" t="s">
        <v>1424</v>
      </c>
      <c r="B1182" t="s">
        <v>1392</v>
      </c>
      <c r="C1182" t="s">
        <v>1297</v>
      </c>
      <c r="D1182" s="2">
        <v>0</v>
      </c>
      <c r="E1182" s="2">
        <v>0</v>
      </c>
      <c r="F1182" s="2">
        <v>0</v>
      </c>
      <c r="G1182" s="2">
        <v>0</v>
      </c>
    </row>
    <row r="1183" spans="1:7" x14ac:dyDescent="0.3">
      <c r="A1183" t="s">
        <v>1424</v>
      </c>
      <c r="B1183" t="s">
        <v>1392</v>
      </c>
      <c r="C1183" t="s">
        <v>1298</v>
      </c>
      <c r="D1183" s="2">
        <v>0.68189999999999995</v>
      </c>
      <c r="E1183" s="2">
        <v>0.78939999999999999</v>
      </c>
      <c r="F1183" s="2">
        <v>0.79100000000000004</v>
      </c>
      <c r="G1183" s="2">
        <v>0.80779999999999996</v>
      </c>
    </row>
    <row r="1184" spans="1:7" x14ac:dyDescent="0.3">
      <c r="A1184" t="s">
        <v>1424</v>
      </c>
      <c r="B1184" t="s">
        <v>1393</v>
      </c>
      <c r="C1184" t="s">
        <v>1299</v>
      </c>
      <c r="D1184" s="2">
        <v>0.66400000000000003</v>
      </c>
      <c r="E1184" s="2">
        <v>0.64419999999999999</v>
      </c>
      <c r="F1184" s="2">
        <v>0.73140000000000005</v>
      </c>
      <c r="G1184" s="2">
        <v>0.79390000000000005</v>
      </c>
    </row>
    <row r="1185" spans="1:7" x14ac:dyDescent="0.3">
      <c r="A1185" t="s">
        <v>1424</v>
      </c>
      <c r="B1185" t="s">
        <v>1393</v>
      </c>
      <c r="C1185" t="s">
        <v>1300</v>
      </c>
      <c r="D1185" s="2">
        <v>0.19650000000000001</v>
      </c>
      <c r="E1185" s="2">
        <v>0.2072</v>
      </c>
      <c r="F1185" s="2">
        <v>0.1993</v>
      </c>
      <c r="G1185" s="2">
        <v>0.22550000000000001</v>
      </c>
    </row>
    <row r="1186" spans="1:7" x14ac:dyDescent="0.3">
      <c r="A1186" t="s">
        <v>1424</v>
      </c>
      <c r="B1186" t="s">
        <v>1393</v>
      </c>
      <c r="C1186" t="s">
        <v>1301</v>
      </c>
      <c r="D1186" s="2">
        <v>0</v>
      </c>
      <c r="E1186" s="2">
        <v>0</v>
      </c>
      <c r="F1186" s="2">
        <v>0</v>
      </c>
      <c r="G1186" s="2">
        <v>0</v>
      </c>
    </row>
    <row r="1187" spans="1:7" x14ac:dyDescent="0.3">
      <c r="A1187" t="s">
        <v>1424</v>
      </c>
      <c r="B1187" t="s">
        <v>1393</v>
      </c>
      <c r="C1187" t="s">
        <v>1302</v>
      </c>
      <c r="D1187" s="2">
        <v>1.4398</v>
      </c>
      <c r="E1187" s="2">
        <v>1.5325</v>
      </c>
      <c r="F1187" s="2">
        <v>1.2175</v>
      </c>
      <c r="G1187" s="2">
        <v>1.3777999999999999</v>
      </c>
    </row>
    <row r="1188" spans="1:7" x14ac:dyDescent="0.3">
      <c r="A1188" t="s">
        <v>1424</v>
      </c>
      <c r="B1188" t="s">
        <v>1393</v>
      </c>
      <c r="C1188" t="s">
        <v>1303</v>
      </c>
      <c r="D1188" s="2">
        <v>0</v>
      </c>
      <c r="E1188" s="2">
        <v>0</v>
      </c>
      <c r="F1188" s="2">
        <v>0</v>
      </c>
      <c r="G1188" s="2">
        <v>0</v>
      </c>
    </row>
    <row r="1189" spans="1:7" x14ac:dyDescent="0.3">
      <c r="A1189" t="s">
        <v>1424</v>
      </c>
      <c r="B1189" t="s">
        <v>1393</v>
      </c>
      <c r="C1189" t="s">
        <v>1304</v>
      </c>
      <c r="D1189" s="2">
        <v>1.0125</v>
      </c>
      <c r="E1189" s="2">
        <v>1.1013999999999999</v>
      </c>
      <c r="F1189" s="2">
        <v>0.96850000000000003</v>
      </c>
      <c r="G1189" s="2">
        <v>0.92230000000000001</v>
      </c>
    </row>
    <row r="1190" spans="1:7" x14ac:dyDescent="0.3">
      <c r="A1190" t="s">
        <v>1424</v>
      </c>
      <c r="B1190" t="s">
        <v>1393</v>
      </c>
      <c r="C1190" t="s">
        <v>1305</v>
      </c>
      <c r="D1190" s="2">
        <v>0.31969999999999998</v>
      </c>
      <c r="E1190" s="2">
        <v>0.30359999999999998</v>
      </c>
      <c r="F1190" s="2">
        <v>0.2782</v>
      </c>
      <c r="G1190" s="2">
        <v>0.3246</v>
      </c>
    </row>
    <row r="1191" spans="1:7" x14ac:dyDescent="0.3">
      <c r="A1191" t="s">
        <v>1424</v>
      </c>
      <c r="B1191" t="s">
        <v>1393</v>
      </c>
      <c r="C1191" t="s">
        <v>1307</v>
      </c>
      <c r="D1191" s="2">
        <v>0</v>
      </c>
      <c r="E1191" s="2">
        <v>0</v>
      </c>
      <c r="F1191" s="2">
        <v>0</v>
      </c>
      <c r="G1191" s="2">
        <v>0</v>
      </c>
    </row>
    <row r="1192" spans="1:7" x14ac:dyDescent="0.3">
      <c r="A1192" t="s">
        <v>1424</v>
      </c>
      <c r="B1192" t="s">
        <v>1393</v>
      </c>
      <c r="C1192" t="s">
        <v>1308</v>
      </c>
      <c r="D1192" s="2">
        <v>0</v>
      </c>
      <c r="E1192" s="2">
        <v>0</v>
      </c>
      <c r="F1192" s="2">
        <v>0</v>
      </c>
      <c r="G1192" s="2">
        <v>0</v>
      </c>
    </row>
    <row r="1193" spans="1:7" x14ac:dyDescent="0.3">
      <c r="A1193" t="s">
        <v>1424</v>
      </c>
      <c r="B1193" t="s">
        <v>1393</v>
      </c>
      <c r="C1193" t="s">
        <v>1309</v>
      </c>
      <c r="D1193" s="2">
        <v>2.9999999999999997E-4</v>
      </c>
      <c r="E1193" s="2">
        <v>2.0000000000000001E-4</v>
      </c>
      <c r="F1193" s="2">
        <v>2.0000000000000001E-4</v>
      </c>
      <c r="G1193" s="2">
        <v>4.0000000000000002E-4</v>
      </c>
    </row>
    <row r="1194" spans="1:7" x14ac:dyDescent="0.3">
      <c r="A1194" t="s">
        <v>1424</v>
      </c>
      <c r="B1194" t="s">
        <v>1391</v>
      </c>
      <c r="C1194" t="s">
        <v>1310</v>
      </c>
      <c r="D1194" s="2">
        <v>3.2599999999999997E-2</v>
      </c>
      <c r="E1194" s="2">
        <v>0.03</v>
      </c>
      <c r="F1194" s="2">
        <v>1.72E-2</v>
      </c>
      <c r="G1194" s="2">
        <v>1.7000000000000001E-2</v>
      </c>
    </row>
    <row r="1195" spans="1:7" x14ac:dyDescent="0.3">
      <c r="A1195" t="s">
        <v>1424</v>
      </c>
      <c r="B1195" t="s">
        <v>1391</v>
      </c>
      <c r="C1195" t="s">
        <v>1311</v>
      </c>
      <c r="D1195" s="2">
        <v>9.1899999999999996E-2</v>
      </c>
      <c r="E1195" s="2">
        <v>8.3599999999999994E-2</v>
      </c>
      <c r="F1195" s="2">
        <v>6.6500000000000004E-2</v>
      </c>
      <c r="G1195" s="2">
        <v>6.4799999999999996E-2</v>
      </c>
    </row>
    <row r="1196" spans="1:7" x14ac:dyDescent="0.3">
      <c r="A1196" t="s">
        <v>1424</v>
      </c>
      <c r="B1196" t="s">
        <v>1391</v>
      </c>
      <c r="C1196" t="s">
        <v>1312</v>
      </c>
      <c r="D1196" s="2">
        <v>0</v>
      </c>
      <c r="E1196" s="2">
        <v>0</v>
      </c>
      <c r="F1196" s="2">
        <v>0</v>
      </c>
      <c r="G1196" s="2">
        <v>0</v>
      </c>
    </row>
    <row r="1197" spans="1:7" x14ac:dyDescent="0.3">
      <c r="A1197" t="s">
        <v>1424</v>
      </c>
      <c r="B1197" t="s">
        <v>1391</v>
      </c>
      <c r="C1197" t="s">
        <v>1313</v>
      </c>
      <c r="D1197" s="2">
        <v>1.2927</v>
      </c>
      <c r="E1197" s="2">
        <v>1.3689</v>
      </c>
      <c r="F1197" s="2">
        <v>1.2684</v>
      </c>
      <c r="G1197" s="2">
        <v>1.4118999999999999</v>
      </c>
    </row>
    <row r="1198" spans="1:7" x14ac:dyDescent="0.3">
      <c r="A1198" t="s">
        <v>1424</v>
      </c>
      <c r="B1198" t="s">
        <v>1391</v>
      </c>
      <c r="C1198" t="s">
        <v>1314</v>
      </c>
      <c r="D1198" s="2">
        <v>0</v>
      </c>
      <c r="E1198" s="2">
        <v>0</v>
      </c>
      <c r="F1198" s="2">
        <v>0</v>
      </c>
      <c r="G1198" s="2">
        <v>0</v>
      </c>
    </row>
    <row r="1199" spans="1:7" x14ac:dyDescent="0.3">
      <c r="A1199" t="s">
        <v>1424</v>
      </c>
      <c r="B1199" t="s">
        <v>1391</v>
      </c>
      <c r="C1199" t="s">
        <v>1315</v>
      </c>
      <c r="D1199" s="2">
        <v>1E-4</v>
      </c>
      <c r="E1199" s="2">
        <v>1E-4</v>
      </c>
      <c r="F1199" s="2">
        <v>1E-4</v>
      </c>
      <c r="G1199" s="2">
        <v>0</v>
      </c>
    </row>
    <row r="1200" spans="1:7" x14ac:dyDescent="0.3">
      <c r="A1200" t="s">
        <v>1424</v>
      </c>
      <c r="B1200" t="s">
        <v>1391</v>
      </c>
      <c r="C1200" t="s">
        <v>1316</v>
      </c>
      <c r="D1200" s="2">
        <v>1.3947000000000001</v>
      </c>
      <c r="E1200" s="2">
        <v>1.4092</v>
      </c>
      <c r="F1200" s="2">
        <v>1.2739</v>
      </c>
      <c r="G1200" s="2">
        <v>1.4433</v>
      </c>
    </row>
    <row r="1201" spans="1:7" x14ac:dyDescent="0.3">
      <c r="A1201" t="s">
        <v>1424</v>
      </c>
      <c r="B1201" t="s">
        <v>1391</v>
      </c>
      <c r="C1201" t="s">
        <v>1318</v>
      </c>
      <c r="D1201" s="2">
        <v>0</v>
      </c>
      <c r="E1201" s="2">
        <v>0</v>
      </c>
      <c r="F1201" s="2">
        <v>0</v>
      </c>
      <c r="G1201" s="2">
        <v>0</v>
      </c>
    </row>
    <row r="1202" spans="1:7" x14ac:dyDescent="0.3">
      <c r="A1202" t="s">
        <v>1424</v>
      </c>
      <c r="B1202" t="s">
        <v>1391</v>
      </c>
      <c r="C1202" t="s">
        <v>1319</v>
      </c>
      <c r="D1202" s="2">
        <v>0</v>
      </c>
      <c r="E1202" s="2">
        <v>0</v>
      </c>
      <c r="F1202" s="2">
        <v>0</v>
      </c>
      <c r="G1202" s="2">
        <v>0</v>
      </c>
    </row>
    <row r="1203" spans="1:7" x14ac:dyDescent="0.3">
      <c r="A1203" t="s">
        <v>1424</v>
      </c>
      <c r="B1203" t="s">
        <v>1391</v>
      </c>
      <c r="C1203" t="s">
        <v>1320</v>
      </c>
      <c r="D1203" s="2">
        <v>3.0150999999999999</v>
      </c>
      <c r="E1203" s="2">
        <v>3.0954999999999999</v>
      </c>
      <c r="F1203" s="2">
        <v>2.8119000000000001</v>
      </c>
      <c r="G1203" s="2">
        <v>3.1446999999999998</v>
      </c>
    </row>
    <row r="1204" spans="1:7" x14ac:dyDescent="0.3">
      <c r="A1204" t="s">
        <v>1424</v>
      </c>
      <c r="B1204" t="s">
        <v>1395</v>
      </c>
      <c r="C1204" t="s">
        <v>1321</v>
      </c>
      <c r="D1204" s="2">
        <v>0.70899999999999996</v>
      </c>
      <c r="E1204" s="2">
        <v>0.66610000000000003</v>
      </c>
      <c r="F1204" s="2">
        <v>0.70250000000000001</v>
      </c>
      <c r="G1204" s="2">
        <v>0.67669999999999997</v>
      </c>
    </row>
    <row r="1205" spans="1:7" x14ac:dyDescent="0.3">
      <c r="A1205" t="s">
        <v>1424</v>
      </c>
      <c r="B1205" t="s">
        <v>1395</v>
      </c>
      <c r="C1205" t="s">
        <v>1322</v>
      </c>
      <c r="D1205" s="2">
        <v>0.66500000000000004</v>
      </c>
      <c r="E1205" s="2">
        <v>0.64670000000000005</v>
      </c>
      <c r="F1205" s="2">
        <v>0.35310000000000002</v>
      </c>
      <c r="G1205" s="2">
        <v>0.1081</v>
      </c>
    </row>
    <row r="1206" spans="1:7" x14ac:dyDescent="0.3">
      <c r="A1206" t="s">
        <v>1424</v>
      </c>
      <c r="B1206" t="s">
        <v>1395</v>
      </c>
      <c r="C1206" t="s">
        <v>1323</v>
      </c>
      <c r="D1206" s="2">
        <v>0</v>
      </c>
      <c r="E1206" s="2">
        <v>0</v>
      </c>
      <c r="F1206" s="2">
        <v>0</v>
      </c>
      <c r="G1206" s="2">
        <v>0</v>
      </c>
    </row>
    <row r="1207" spans="1:7" x14ac:dyDescent="0.3">
      <c r="A1207" t="s">
        <v>1424</v>
      </c>
      <c r="B1207" t="s">
        <v>1395</v>
      </c>
      <c r="C1207" t="s">
        <v>1324</v>
      </c>
      <c r="D1207" s="2">
        <v>4.8550000000000004</v>
      </c>
      <c r="E1207" s="2">
        <v>4.7756999999999996</v>
      </c>
      <c r="F1207" s="2">
        <v>4.9104999999999999</v>
      </c>
      <c r="G1207" s="2">
        <v>5.0872000000000002</v>
      </c>
    </row>
    <row r="1208" spans="1:7" x14ac:dyDescent="0.3">
      <c r="A1208" t="s">
        <v>1424</v>
      </c>
      <c r="B1208" t="s">
        <v>1395</v>
      </c>
      <c r="C1208" t="s">
        <v>1325</v>
      </c>
      <c r="D1208" s="2">
        <v>0</v>
      </c>
      <c r="E1208" s="2">
        <v>0</v>
      </c>
      <c r="F1208" s="2">
        <v>0</v>
      </c>
      <c r="G1208" s="2">
        <v>0</v>
      </c>
    </row>
    <row r="1209" spans="1:7" x14ac:dyDescent="0.3">
      <c r="A1209" t="s">
        <v>1424</v>
      </c>
      <c r="B1209" t="s">
        <v>1395</v>
      </c>
      <c r="C1209" t="s">
        <v>1326</v>
      </c>
      <c r="D1209" s="2">
        <v>0.91290000000000004</v>
      </c>
      <c r="E1209" s="2">
        <v>0.98770000000000002</v>
      </c>
      <c r="F1209" s="2">
        <v>1.0004999999999999</v>
      </c>
      <c r="G1209" s="2">
        <v>1.0066999999999999</v>
      </c>
    </row>
    <row r="1210" spans="1:7" x14ac:dyDescent="0.3">
      <c r="A1210" t="s">
        <v>1424</v>
      </c>
      <c r="B1210" t="s">
        <v>1395</v>
      </c>
      <c r="C1210" t="s">
        <v>1327</v>
      </c>
      <c r="D1210" s="2">
        <v>4.2506000000000004</v>
      </c>
      <c r="E1210" s="2">
        <v>4.1151999999999997</v>
      </c>
      <c r="F1210" s="2">
        <v>3.5350999999999999</v>
      </c>
      <c r="G1210" s="2">
        <v>3.1516999999999999</v>
      </c>
    </row>
    <row r="1211" spans="1:7" x14ac:dyDescent="0.3">
      <c r="A1211" t="s">
        <v>1424</v>
      </c>
      <c r="B1211" t="s">
        <v>1395</v>
      </c>
      <c r="C1211" t="s">
        <v>1329</v>
      </c>
      <c r="D1211" s="2">
        <v>0</v>
      </c>
      <c r="E1211" s="2">
        <v>0</v>
      </c>
      <c r="F1211" s="2">
        <v>0</v>
      </c>
      <c r="G1211" s="2">
        <v>0</v>
      </c>
    </row>
    <row r="1212" spans="1:7" x14ac:dyDescent="0.3">
      <c r="A1212" t="s">
        <v>1424</v>
      </c>
      <c r="B1212" t="s">
        <v>1395</v>
      </c>
      <c r="C1212" t="s">
        <v>1330</v>
      </c>
      <c r="D1212" s="2">
        <v>0</v>
      </c>
      <c r="E1212" s="2">
        <v>0</v>
      </c>
      <c r="F1212" s="2">
        <v>0</v>
      </c>
      <c r="G1212" s="2">
        <v>0</v>
      </c>
    </row>
    <row r="1213" spans="1:7" x14ac:dyDescent="0.3">
      <c r="A1213" t="s">
        <v>1424</v>
      </c>
      <c r="B1213" t="s">
        <v>1395</v>
      </c>
      <c r="C1213" t="s">
        <v>1331</v>
      </c>
      <c r="D1213" s="2">
        <v>0.21060000000000001</v>
      </c>
      <c r="E1213" s="2">
        <v>0.24079999999999999</v>
      </c>
      <c r="F1213" s="2">
        <v>0.2394</v>
      </c>
      <c r="G1213" s="2">
        <v>0.20699999999999999</v>
      </c>
    </row>
    <row r="1214" spans="1:7" x14ac:dyDescent="0.3">
      <c r="A1214" t="s">
        <v>1425</v>
      </c>
      <c r="B1214" t="s">
        <v>1391</v>
      </c>
      <c r="C1214" t="s">
        <v>1332</v>
      </c>
      <c r="D1214" s="2">
        <v>0</v>
      </c>
      <c r="E1214" s="2">
        <v>1.9199999999999998E-2</v>
      </c>
      <c r="F1214" s="2">
        <v>0</v>
      </c>
      <c r="G1214" s="2">
        <v>1.78E-2</v>
      </c>
    </row>
    <row r="1215" spans="1:7" x14ac:dyDescent="0.3">
      <c r="A1215" t="s">
        <v>1425</v>
      </c>
      <c r="B1215" t="s">
        <v>1391</v>
      </c>
      <c r="C1215" t="s">
        <v>1333</v>
      </c>
      <c r="D1215" s="2">
        <v>4.8357000000000001</v>
      </c>
      <c r="E1215" s="2">
        <v>4.2152000000000003</v>
      </c>
      <c r="F1215" s="2">
        <v>3.7530999999999999</v>
      </c>
      <c r="G1215" s="2">
        <v>3.9952999999999999</v>
      </c>
    </row>
    <row r="1216" spans="1:7" x14ac:dyDescent="0.3">
      <c r="A1216" t="s">
        <v>1425</v>
      </c>
      <c r="B1216" t="s">
        <v>1391</v>
      </c>
      <c r="C1216" t="s">
        <v>1334</v>
      </c>
      <c r="D1216" s="2">
        <v>0</v>
      </c>
      <c r="E1216" s="2">
        <v>0</v>
      </c>
      <c r="F1216" s="2">
        <v>0</v>
      </c>
      <c r="G1216" s="2">
        <v>0</v>
      </c>
    </row>
    <row r="1217" spans="1:7" x14ac:dyDescent="0.3">
      <c r="A1217" t="s">
        <v>1425</v>
      </c>
      <c r="B1217" t="s">
        <v>1391</v>
      </c>
      <c r="C1217" t="s">
        <v>1335</v>
      </c>
      <c r="D1217" s="2">
        <v>12.6267</v>
      </c>
      <c r="E1217" s="2">
        <v>10.1975</v>
      </c>
      <c r="F1217" s="2">
        <v>9.0650999999999993</v>
      </c>
      <c r="G1217" s="2">
        <v>11.653600000000001</v>
      </c>
    </row>
    <row r="1218" spans="1:7" x14ac:dyDescent="0.3">
      <c r="A1218" t="s">
        <v>1425</v>
      </c>
      <c r="B1218" t="s">
        <v>1391</v>
      </c>
      <c r="C1218" t="s">
        <v>1336</v>
      </c>
      <c r="D1218" s="2">
        <v>0</v>
      </c>
      <c r="E1218" s="2">
        <v>0</v>
      </c>
      <c r="F1218" s="2">
        <v>0</v>
      </c>
      <c r="G1218" s="2">
        <v>0</v>
      </c>
    </row>
    <row r="1219" spans="1:7" x14ac:dyDescent="0.3">
      <c r="A1219" t="s">
        <v>1425</v>
      </c>
      <c r="B1219" t="s">
        <v>1391</v>
      </c>
      <c r="C1219" t="s">
        <v>1337</v>
      </c>
      <c r="D1219" s="2">
        <v>0.13389999999999999</v>
      </c>
      <c r="E1219" s="2">
        <v>0.11070000000000001</v>
      </c>
      <c r="F1219" s="2">
        <v>0.1037</v>
      </c>
      <c r="G1219" s="2">
        <v>0.14050000000000001</v>
      </c>
    </row>
    <row r="1220" spans="1:7" x14ac:dyDescent="0.3">
      <c r="A1220" t="s">
        <v>1425</v>
      </c>
      <c r="B1220" t="s">
        <v>1391</v>
      </c>
      <c r="C1220" t="s">
        <v>1338</v>
      </c>
      <c r="D1220" s="2">
        <v>4.7558999999999996</v>
      </c>
      <c r="E1220" s="2">
        <v>4.1303000000000001</v>
      </c>
      <c r="F1220" s="2">
        <v>2.7181000000000002</v>
      </c>
      <c r="G1220" s="2">
        <v>3.0714999999999999</v>
      </c>
    </row>
    <row r="1221" spans="1:7" x14ac:dyDescent="0.3">
      <c r="A1221" t="s">
        <v>1425</v>
      </c>
      <c r="B1221" t="s">
        <v>1391</v>
      </c>
      <c r="C1221" t="s">
        <v>1340</v>
      </c>
      <c r="D1221" s="2">
        <v>0</v>
      </c>
      <c r="E1221" s="2">
        <v>0</v>
      </c>
      <c r="F1221" s="2">
        <v>0</v>
      </c>
      <c r="G1221" s="2">
        <v>0</v>
      </c>
    </row>
    <row r="1222" spans="1:7" x14ac:dyDescent="0.3">
      <c r="A1222" t="s">
        <v>1425</v>
      </c>
      <c r="B1222" t="s">
        <v>1391</v>
      </c>
      <c r="C1222" t="s">
        <v>1341</v>
      </c>
      <c r="D1222" s="2">
        <v>0</v>
      </c>
      <c r="E1222" s="2">
        <v>0</v>
      </c>
      <c r="F1222" s="2">
        <v>0</v>
      </c>
      <c r="G1222" s="2">
        <v>0</v>
      </c>
    </row>
    <row r="1223" spans="1:7" x14ac:dyDescent="0.3">
      <c r="A1223" t="s">
        <v>1425</v>
      </c>
      <c r="B1223" t="s">
        <v>1391</v>
      </c>
      <c r="C1223" t="s">
        <v>1342</v>
      </c>
      <c r="D1223" s="2">
        <v>0.66469999999999996</v>
      </c>
      <c r="E1223" s="2">
        <v>0.75429999999999997</v>
      </c>
      <c r="F1223" s="2">
        <v>0.38679999999999998</v>
      </c>
      <c r="G1223" s="2">
        <v>0.48530000000000001</v>
      </c>
    </row>
    <row r="1224" spans="1:7" x14ac:dyDescent="0.3">
      <c r="A1224" t="s">
        <v>1425</v>
      </c>
      <c r="B1224" t="s">
        <v>1392</v>
      </c>
      <c r="C1224" t="s">
        <v>1343</v>
      </c>
      <c r="D1224" s="2">
        <v>4.9984999999999999</v>
      </c>
      <c r="E1224" s="2">
        <v>4.8437000000000001</v>
      </c>
      <c r="F1224" s="2">
        <v>5.2743000000000002</v>
      </c>
      <c r="G1224" s="2">
        <v>5.5591999999999997</v>
      </c>
    </row>
    <row r="1225" spans="1:7" x14ac:dyDescent="0.3">
      <c r="A1225" t="s">
        <v>1425</v>
      </c>
      <c r="B1225" t="s">
        <v>1392</v>
      </c>
      <c r="C1225" t="s">
        <v>1344</v>
      </c>
      <c r="D1225" s="2">
        <v>0</v>
      </c>
      <c r="E1225" s="2">
        <v>0</v>
      </c>
      <c r="F1225" s="2">
        <v>0</v>
      </c>
      <c r="G1225" s="2">
        <v>1.3599999999999999E-2</v>
      </c>
    </row>
    <row r="1226" spans="1:7" x14ac:dyDescent="0.3">
      <c r="A1226" t="s">
        <v>1425</v>
      </c>
      <c r="B1226" t="s">
        <v>1392</v>
      </c>
      <c r="C1226" t="s">
        <v>1345</v>
      </c>
      <c r="D1226" s="2">
        <v>0</v>
      </c>
      <c r="E1226" s="2">
        <v>0</v>
      </c>
      <c r="F1226" s="2">
        <v>0</v>
      </c>
      <c r="G1226" s="2">
        <v>0</v>
      </c>
    </row>
    <row r="1227" spans="1:7" x14ac:dyDescent="0.3">
      <c r="A1227" t="s">
        <v>1425</v>
      </c>
      <c r="B1227" t="s">
        <v>1392</v>
      </c>
      <c r="C1227" t="s">
        <v>1346</v>
      </c>
      <c r="D1227" s="2">
        <v>3.1629999999999998</v>
      </c>
      <c r="E1227" s="2">
        <v>2.9489000000000001</v>
      </c>
      <c r="F1227" s="2">
        <v>2.7029999999999998</v>
      </c>
      <c r="G1227" s="2">
        <v>2.6082999999999998</v>
      </c>
    </row>
    <row r="1228" spans="1:7" x14ac:dyDescent="0.3">
      <c r="A1228" t="s">
        <v>1425</v>
      </c>
      <c r="B1228" t="s">
        <v>1392</v>
      </c>
      <c r="C1228" t="s">
        <v>1347</v>
      </c>
      <c r="D1228" s="2">
        <v>0</v>
      </c>
      <c r="E1228" s="2">
        <v>0</v>
      </c>
      <c r="F1228" s="2">
        <v>0</v>
      </c>
      <c r="G1228" s="2">
        <v>0</v>
      </c>
    </row>
    <row r="1229" spans="1:7" x14ac:dyDescent="0.3">
      <c r="A1229" t="s">
        <v>1425</v>
      </c>
      <c r="B1229" t="s">
        <v>1392</v>
      </c>
      <c r="C1229" t="s">
        <v>1348</v>
      </c>
      <c r="D1229" s="2">
        <v>0.58709999999999996</v>
      </c>
      <c r="E1229" s="2">
        <v>0.55769999999999997</v>
      </c>
      <c r="F1229" s="2">
        <v>0.48949999999999999</v>
      </c>
      <c r="G1229" s="2">
        <v>0.5131</v>
      </c>
    </row>
    <row r="1230" spans="1:7" x14ac:dyDescent="0.3">
      <c r="A1230" t="s">
        <v>1425</v>
      </c>
      <c r="B1230" t="s">
        <v>1392</v>
      </c>
      <c r="C1230" t="s">
        <v>1349</v>
      </c>
      <c r="D1230" s="2">
        <v>8.1900000000000001E-2</v>
      </c>
      <c r="E1230" s="2">
        <v>8.7400000000000005E-2</v>
      </c>
      <c r="F1230" s="2">
        <v>0.12479999999999999</v>
      </c>
      <c r="G1230" s="2">
        <v>0.18659999999999999</v>
      </c>
    </row>
    <row r="1231" spans="1:7" x14ac:dyDescent="0.3">
      <c r="A1231" t="s">
        <v>1425</v>
      </c>
      <c r="B1231" t="s">
        <v>1392</v>
      </c>
      <c r="C1231" t="s">
        <v>1351</v>
      </c>
      <c r="D1231" s="2">
        <v>0</v>
      </c>
      <c r="E1231" s="2">
        <v>0</v>
      </c>
      <c r="F1231" s="2">
        <v>0</v>
      </c>
      <c r="G1231" s="2">
        <v>0</v>
      </c>
    </row>
    <row r="1232" spans="1:7" x14ac:dyDescent="0.3">
      <c r="A1232" t="s">
        <v>1425</v>
      </c>
      <c r="B1232" t="s">
        <v>1392</v>
      </c>
      <c r="C1232" t="s">
        <v>1352</v>
      </c>
      <c r="D1232" s="2">
        <v>0</v>
      </c>
      <c r="E1232" s="2">
        <v>0</v>
      </c>
      <c r="F1232" s="2">
        <v>0</v>
      </c>
      <c r="G1232" s="2">
        <v>0</v>
      </c>
    </row>
    <row r="1233" spans="1:7" x14ac:dyDescent="0.3">
      <c r="A1233" t="s">
        <v>1425</v>
      </c>
      <c r="B1233" t="s">
        <v>1392</v>
      </c>
      <c r="C1233" t="s">
        <v>1353</v>
      </c>
      <c r="D1233" s="2">
        <v>0.32690000000000002</v>
      </c>
      <c r="E1233" s="2">
        <v>0.30199999999999999</v>
      </c>
      <c r="F1233" s="2">
        <v>0.26879999999999998</v>
      </c>
      <c r="G1233" s="2">
        <v>0.30790000000000001</v>
      </c>
    </row>
    <row r="1234" spans="1:7" x14ac:dyDescent="0.3">
      <c r="A1234" t="s">
        <v>1425</v>
      </c>
      <c r="B1234" t="s">
        <v>1393</v>
      </c>
      <c r="C1234" t="s">
        <v>1354</v>
      </c>
      <c r="D1234" s="2">
        <v>0.97289999999999999</v>
      </c>
      <c r="E1234" s="2">
        <v>1.0450999999999999</v>
      </c>
      <c r="F1234" s="2">
        <v>1.0846</v>
      </c>
      <c r="G1234" s="2">
        <v>1.2126999999999999</v>
      </c>
    </row>
    <row r="1235" spans="1:7" x14ac:dyDescent="0.3">
      <c r="A1235" t="s">
        <v>1425</v>
      </c>
      <c r="B1235" t="s">
        <v>1393</v>
      </c>
      <c r="C1235" t="s">
        <v>1355</v>
      </c>
      <c r="D1235" s="2">
        <v>0.98580000000000001</v>
      </c>
      <c r="E1235" s="2">
        <v>1.0601</v>
      </c>
      <c r="F1235" s="2">
        <v>1.0207999999999999</v>
      </c>
      <c r="G1235" s="2">
        <v>1.2271000000000001</v>
      </c>
    </row>
    <row r="1236" spans="1:7" x14ac:dyDescent="0.3">
      <c r="A1236" t="s">
        <v>1425</v>
      </c>
      <c r="B1236" t="s">
        <v>1393</v>
      </c>
      <c r="C1236" t="s">
        <v>1356</v>
      </c>
      <c r="D1236" s="2">
        <v>0</v>
      </c>
      <c r="E1236" s="2">
        <v>0</v>
      </c>
      <c r="F1236" s="2">
        <v>0</v>
      </c>
      <c r="G1236" s="2">
        <v>0</v>
      </c>
    </row>
    <row r="1237" spans="1:7" x14ac:dyDescent="0.3">
      <c r="A1237" t="s">
        <v>1425</v>
      </c>
      <c r="B1237" t="s">
        <v>1393</v>
      </c>
      <c r="C1237" t="s">
        <v>1357</v>
      </c>
      <c r="D1237" s="2">
        <v>2.1248</v>
      </c>
      <c r="E1237" s="2">
        <v>2.3410000000000002</v>
      </c>
      <c r="F1237" s="2">
        <v>2.1636000000000002</v>
      </c>
      <c r="G1237" s="2">
        <v>2.4270999999999998</v>
      </c>
    </row>
    <row r="1238" spans="1:7" x14ac:dyDescent="0.3">
      <c r="A1238" t="s">
        <v>1425</v>
      </c>
      <c r="B1238" t="s">
        <v>1393</v>
      </c>
      <c r="C1238" t="s">
        <v>1358</v>
      </c>
      <c r="D1238" s="2">
        <v>0</v>
      </c>
      <c r="E1238" s="2">
        <v>0</v>
      </c>
      <c r="F1238" s="2">
        <v>0</v>
      </c>
      <c r="G1238" s="2">
        <v>0</v>
      </c>
    </row>
    <row r="1239" spans="1:7" x14ac:dyDescent="0.3">
      <c r="A1239" t="s">
        <v>1425</v>
      </c>
      <c r="B1239" t="s">
        <v>1393</v>
      </c>
      <c r="C1239" t="s">
        <v>1359</v>
      </c>
      <c r="D1239" s="2">
        <v>2.9754999999999998</v>
      </c>
      <c r="E1239" s="2">
        <v>3.3658000000000001</v>
      </c>
      <c r="F1239" s="2">
        <v>3.9226000000000001</v>
      </c>
      <c r="G1239" s="2">
        <v>3.2639999999999998</v>
      </c>
    </row>
    <row r="1240" spans="1:7" x14ac:dyDescent="0.3">
      <c r="A1240" t="s">
        <v>1425</v>
      </c>
      <c r="B1240" t="s">
        <v>1393</v>
      </c>
      <c r="C1240" t="s">
        <v>1360</v>
      </c>
      <c r="D1240" s="2">
        <v>0.37769999999999998</v>
      </c>
      <c r="E1240" s="2">
        <v>0.42909999999999998</v>
      </c>
      <c r="F1240" s="2">
        <v>0.40849999999999997</v>
      </c>
      <c r="G1240" s="2">
        <v>0.46529999999999999</v>
      </c>
    </row>
    <row r="1241" spans="1:7" x14ac:dyDescent="0.3">
      <c r="A1241" t="s">
        <v>1425</v>
      </c>
      <c r="B1241" t="s">
        <v>1393</v>
      </c>
      <c r="C1241" t="s">
        <v>1362</v>
      </c>
      <c r="D1241" s="2">
        <v>0</v>
      </c>
      <c r="E1241" s="2">
        <v>0</v>
      </c>
      <c r="F1241" s="2">
        <v>0</v>
      </c>
      <c r="G1241" s="2">
        <v>0</v>
      </c>
    </row>
    <row r="1242" spans="1:7" x14ac:dyDescent="0.3">
      <c r="A1242" t="s">
        <v>1425</v>
      </c>
      <c r="B1242" t="s">
        <v>1393</v>
      </c>
      <c r="C1242" t="s">
        <v>1363</v>
      </c>
      <c r="D1242" s="2">
        <v>0</v>
      </c>
      <c r="E1242" s="2">
        <v>0</v>
      </c>
      <c r="F1242" s="2">
        <v>0</v>
      </c>
      <c r="G1242" s="2">
        <v>0</v>
      </c>
    </row>
    <row r="1243" spans="1:7" x14ac:dyDescent="0.3">
      <c r="A1243" t="s">
        <v>1425</v>
      </c>
      <c r="B1243" t="s">
        <v>1393</v>
      </c>
      <c r="C1243" t="s">
        <v>1364</v>
      </c>
      <c r="D1243" s="2">
        <v>9.9400000000000002E-2</v>
      </c>
      <c r="E1243" s="2">
        <v>0.11650000000000001</v>
      </c>
      <c r="F1243" s="2">
        <v>0.1157</v>
      </c>
      <c r="G1243" s="2">
        <v>0.126</v>
      </c>
    </row>
    <row r="1244" spans="1:7" x14ac:dyDescent="0.3">
      <c r="A1244" t="s">
        <v>1425</v>
      </c>
      <c r="B1244" t="s">
        <v>1394</v>
      </c>
      <c r="C1244" t="s">
        <v>1365</v>
      </c>
      <c r="D1244" s="2">
        <v>2.4199999999999999E-2</v>
      </c>
      <c r="E1244" s="2">
        <v>2.4199999999999999E-2</v>
      </c>
      <c r="F1244" s="2">
        <v>2.47E-2</v>
      </c>
      <c r="G1244" s="2">
        <v>0</v>
      </c>
    </row>
    <row r="1245" spans="1:7" x14ac:dyDescent="0.3">
      <c r="A1245" t="s">
        <v>1425</v>
      </c>
      <c r="B1245" t="s">
        <v>1394</v>
      </c>
      <c r="C1245" t="s">
        <v>1366</v>
      </c>
      <c r="D1245" s="2">
        <v>0</v>
      </c>
      <c r="E1245" s="2">
        <v>0</v>
      </c>
      <c r="F1245" s="2">
        <v>0</v>
      </c>
      <c r="G1245" s="2">
        <v>0</v>
      </c>
    </row>
    <row r="1246" spans="1:7" x14ac:dyDescent="0.3">
      <c r="A1246" t="s">
        <v>1425</v>
      </c>
      <c r="B1246" t="s">
        <v>1394</v>
      </c>
      <c r="C1246" t="s">
        <v>1367</v>
      </c>
      <c r="D1246" s="2">
        <v>0</v>
      </c>
      <c r="E1246" s="2">
        <v>0</v>
      </c>
      <c r="F1246" s="2">
        <v>0</v>
      </c>
      <c r="G1246" s="2">
        <v>0</v>
      </c>
    </row>
    <row r="1247" spans="1:7" x14ac:dyDescent="0.3">
      <c r="A1247" t="s">
        <v>1425</v>
      </c>
      <c r="B1247" t="s">
        <v>1394</v>
      </c>
      <c r="C1247" t="s">
        <v>1368</v>
      </c>
      <c r="D1247" s="2">
        <v>1.3737999999999999</v>
      </c>
      <c r="E1247" s="2">
        <v>1.8967000000000001</v>
      </c>
      <c r="F1247" s="2">
        <v>1.3734999999999999</v>
      </c>
      <c r="G1247" s="2">
        <v>1.4912000000000001</v>
      </c>
    </row>
    <row r="1248" spans="1:7" x14ac:dyDescent="0.3">
      <c r="A1248" t="s">
        <v>1425</v>
      </c>
      <c r="B1248" t="s">
        <v>1394</v>
      </c>
      <c r="C1248" t="s">
        <v>1369</v>
      </c>
      <c r="D1248" s="2">
        <v>0</v>
      </c>
      <c r="E1248" s="2">
        <v>0</v>
      </c>
      <c r="F1248" s="2">
        <v>0</v>
      </c>
      <c r="G1248" s="2">
        <v>0</v>
      </c>
    </row>
    <row r="1249" spans="1:7" x14ac:dyDescent="0.3">
      <c r="A1249" t="s">
        <v>1425</v>
      </c>
      <c r="B1249" t="s">
        <v>1394</v>
      </c>
      <c r="C1249" t="s">
        <v>1370</v>
      </c>
      <c r="D1249" s="2">
        <v>8.125</v>
      </c>
      <c r="E1249" s="2">
        <v>8.5204000000000004</v>
      </c>
      <c r="F1249" s="2">
        <v>6.2857000000000003</v>
      </c>
      <c r="G1249" s="2">
        <v>7.2073</v>
      </c>
    </row>
    <row r="1250" spans="1:7" x14ac:dyDescent="0.3">
      <c r="A1250" t="s">
        <v>1425</v>
      </c>
      <c r="B1250" t="s">
        <v>1394</v>
      </c>
      <c r="C1250" t="s">
        <v>1371</v>
      </c>
      <c r="D1250" s="2">
        <v>0.50990000000000002</v>
      </c>
      <c r="E1250" s="2">
        <v>0.4587</v>
      </c>
      <c r="F1250" s="2">
        <v>0.62780000000000002</v>
      </c>
      <c r="G1250" s="2">
        <v>0.68369999999999997</v>
      </c>
    </row>
    <row r="1251" spans="1:7" x14ac:dyDescent="0.3">
      <c r="A1251" t="s">
        <v>1425</v>
      </c>
      <c r="B1251" t="s">
        <v>1394</v>
      </c>
      <c r="C1251" t="s">
        <v>1373</v>
      </c>
      <c r="D1251" s="2">
        <v>0</v>
      </c>
      <c r="E1251" s="2">
        <v>0</v>
      </c>
      <c r="F1251" s="2">
        <v>0</v>
      </c>
      <c r="G1251" s="2">
        <v>0</v>
      </c>
    </row>
    <row r="1252" spans="1:7" x14ac:dyDescent="0.3">
      <c r="A1252" t="s">
        <v>1425</v>
      </c>
      <c r="B1252" t="s">
        <v>1394</v>
      </c>
      <c r="C1252" t="s">
        <v>1374</v>
      </c>
      <c r="D1252" s="2">
        <v>0</v>
      </c>
      <c r="E1252" s="2">
        <v>0</v>
      </c>
      <c r="F1252" s="2">
        <v>0</v>
      </c>
      <c r="G1252" s="2">
        <v>0</v>
      </c>
    </row>
    <row r="1253" spans="1:7" x14ac:dyDescent="0.3">
      <c r="A1253" t="s">
        <v>1425</v>
      </c>
      <c r="B1253" t="s">
        <v>1394</v>
      </c>
      <c r="C1253" t="s">
        <v>1375</v>
      </c>
      <c r="D1253" s="2">
        <v>0.91879999999999995</v>
      </c>
      <c r="E1253" s="2">
        <v>0.96619999999999995</v>
      </c>
      <c r="F1253" s="2">
        <v>0.92230000000000001</v>
      </c>
      <c r="G1253" s="2">
        <v>0.93740000000000001</v>
      </c>
    </row>
    <row r="1254" spans="1:7" x14ac:dyDescent="0.3">
      <c r="A1254" t="s">
        <v>1425</v>
      </c>
      <c r="B1254" t="s">
        <v>1395</v>
      </c>
      <c r="C1254" t="s">
        <v>1376</v>
      </c>
      <c r="D1254" s="2">
        <v>0.43969999999999998</v>
      </c>
      <c r="E1254" s="2">
        <v>0.36549999999999999</v>
      </c>
      <c r="F1254" s="2">
        <v>0.254</v>
      </c>
      <c r="G1254" s="2">
        <v>0.25840000000000002</v>
      </c>
    </row>
    <row r="1255" spans="1:7" x14ac:dyDescent="0.3">
      <c r="A1255" t="s">
        <v>1425</v>
      </c>
      <c r="B1255" t="s">
        <v>1395</v>
      </c>
      <c r="C1255" t="s">
        <v>1377</v>
      </c>
      <c r="D1255" s="2">
        <v>0.253</v>
      </c>
      <c r="E1255" s="2">
        <v>0.2397</v>
      </c>
      <c r="F1255" s="2">
        <v>0.23449999999999999</v>
      </c>
      <c r="G1255" s="2">
        <v>0.1132</v>
      </c>
    </row>
    <row r="1256" spans="1:7" x14ac:dyDescent="0.3">
      <c r="A1256" t="s">
        <v>1425</v>
      </c>
      <c r="B1256" t="s">
        <v>1395</v>
      </c>
      <c r="C1256" t="s">
        <v>1378</v>
      </c>
      <c r="D1256" s="2">
        <v>0</v>
      </c>
      <c r="E1256" s="2">
        <v>0</v>
      </c>
      <c r="F1256" s="2">
        <v>0</v>
      </c>
      <c r="G1256" s="2">
        <v>0</v>
      </c>
    </row>
    <row r="1257" spans="1:7" x14ac:dyDescent="0.3">
      <c r="A1257" t="s">
        <v>1425</v>
      </c>
      <c r="B1257" t="s">
        <v>1395</v>
      </c>
      <c r="C1257" t="s">
        <v>1379</v>
      </c>
      <c r="D1257" s="2">
        <v>8.7391000000000005</v>
      </c>
      <c r="E1257" s="2">
        <v>7.7367999999999997</v>
      </c>
      <c r="F1257" s="2">
        <v>7.9435000000000002</v>
      </c>
      <c r="G1257" s="2">
        <v>7.8884999999999996</v>
      </c>
    </row>
    <row r="1258" spans="1:7" x14ac:dyDescent="0.3">
      <c r="A1258" t="s">
        <v>1425</v>
      </c>
      <c r="B1258" t="s">
        <v>1395</v>
      </c>
      <c r="C1258" t="s">
        <v>1380</v>
      </c>
      <c r="D1258" s="2">
        <v>0</v>
      </c>
      <c r="E1258" s="2">
        <v>0</v>
      </c>
      <c r="F1258" s="2">
        <v>0</v>
      </c>
      <c r="G1258" s="2">
        <v>0</v>
      </c>
    </row>
    <row r="1259" spans="1:7" x14ac:dyDescent="0.3">
      <c r="A1259" t="s">
        <v>1425</v>
      </c>
      <c r="B1259" t="s">
        <v>1395</v>
      </c>
      <c r="C1259" t="s">
        <v>1381</v>
      </c>
      <c r="D1259" s="2">
        <v>0.90539999999999998</v>
      </c>
      <c r="E1259" s="2">
        <v>0.89400000000000002</v>
      </c>
      <c r="F1259" s="2">
        <v>0.76019999999999999</v>
      </c>
      <c r="G1259" s="2">
        <v>0.7258</v>
      </c>
    </row>
    <row r="1260" spans="1:7" x14ac:dyDescent="0.3">
      <c r="A1260" t="s">
        <v>1425</v>
      </c>
      <c r="B1260" t="s">
        <v>1395</v>
      </c>
      <c r="C1260" t="s">
        <v>1382</v>
      </c>
      <c r="D1260" s="2">
        <v>8.4126999999999992</v>
      </c>
      <c r="E1260" s="2">
        <v>8.4916</v>
      </c>
      <c r="F1260" s="2">
        <v>7.1944999999999997</v>
      </c>
      <c r="G1260" s="2">
        <v>7.9238999999999997</v>
      </c>
    </row>
    <row r="1261" spans="1:7" x14ac:dyDescent="0.3">
      <c r="A1261" t="s">
        <v>1425</v>
      </c>
      <c r="B1261" t="s">
        <v>1395</v>
      </c>
      <c r="C1261" t="s">
        <v>1384</v>
      </c>
      <c r="D1261" s="2">
        <v>0</v>
      </c>
      <c r="E1261" s="2">
        <v>0</v>
      </c>
      <c r="F1261" s="2">
        <v>0</v>
      </c>
      <c r="G1261" s="2">
        <v>0</v>
      </c>
    </row>
    <row r="1262" spans="1:7" x14ac:dyDescent="0.3">
      <c r="A1262" t="s">
        <v>1425</v>
      </c>
      <c r="B1262" t="s">
        <v>1395</v>
      </c>
      <c r="C1262" t="s">
        <v>1385</v>
      </c>
      <c r="D1262" s="2">
        <v>0</v>
      </c>
      <c r="E1262" s="2">
        <v>0</v>
      </c>
      <c r="F1262" s="2">
        <v>0</v>
      </c>
      <c r="G1262" s="2">
        <v>0</v>
      </c>
    </row>
    <row r="1263" spans="1:7" x14ac:dyDescent="0.3">
      <c r="A1263" t="s">
        <v>1425</v>
      </c>
      <c r="B1263" t="s">
        <v>1395</v>
      </c>
      <c r="C1263" t="s">
        <v>1386</v>
      </c>
      <c r="D1263" s="2">
        <v>0.36009999999999998</v>
      </c>
      <c r="E1263" s="2">
        <v>0.52839999999999998</v>
      </c>
      <c r="F1263" s="2">
        <v>0.47599999999999998</v>
      </c>
      <c r="G1263" s="2">
        <v>0.5343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D7AB-CB57-4E25-91DC-E7774BB8C87B}">
  <dimension ref="A3:E157"/>
  <sheetViews>
    <sheetView workbookViewId="0">
      <selection activeCell="D8" sqref="D8"/>
    </sheetView>
  </sheetViews>
  <sheetFormatPr defaultRowHeight="14.4" x14ac:dyDescent="0.3"/>
  <cols>
    <col min="1" max="1" width="12.77734375" bestFit="1" customWidth="1"/>
    <col min="2" max="5" width="11.44140625" bestFit="1" customWidth="1"/>
  </cols>
  <sheetData>
    <row r="3" spans="1:5" x14ac:dyDescent="0.3">
      <c r="A3" s="4" t="s">
        <v>1426</v>
      </c>
      <c r="B3" t="s">
        <v>1428</v>
      </c>
      <c r="C3" t="s">
        <v>1429</v>
      </c>
      <c r="D3" t="s">
        <v>1430</v>
      </c>
      <c r="E3" t="s">
        <v>1431</v>
      </c>
    </row>
    <row r="4" spans="1:5" x14ac:dyDescent="0.3">
      <c r="A4" s="5" t="s">
        <v>1390</v>
      </c>
      <c r="B4" s="7">
        <v>148.27289999999999</v>
      </c>
      <c r="C4" s="7">
        <v>150.7148</v>
      </c>
      <c r="D4" s="7">
        <v>145.4666</v>
      </c>
      <c r="E4" s="7">
        <v>153.5145</v>
      </c>
    </row>
    <row r="5" spans="1:5" x14ac:dyDescent="0.3">
      <c r="A5" s="6" t="s">
        <v>1392</v>
      </c>
      <c r="B5" s="7">
        <v>17.3979</v>
      </c>
      <c r="C5" s="7">
        <v>18.0991</v>
      </c>
      <c r="D5" s="7">
        <v>17.5031</v>
      </c>
      <c r="E5" s="7">
        <v>19.0304</v>
      </c>
    </row>
    <row r="6" spans="1:5" x14ac:dyDescent="0.3">
      <c r="A6" s="6" t="s">
        <v>1391</v>
      </c>
      <c r="B6" s="7">
        <v>22.256499999999999</v>
      </c>
      <c r="C6" s="7">
        <v>23.657499999999999</v>
      </c>
      <c r="D6" s="7">
        <v>22.755600000000001</v>
      </c>
      <c r="E6" s="7">
        <v>23.553899999999999</v>
      </c>
    </row>
    <row r="7" spans="1:5" x14ac:dyDescent="0.3">
      <c r="A7" s="6" t="s">
        <v>1393</v>
      </c>
      <c r="B7" s="7">
        <v>17.981399999999997</v>
      </c>
      <c r="C7" s="7">
        <v>17.985000000000003</v>
      </c>
      <c r="D7" s="7">
        <v>19.363199999999999</v>
      </c>
      <c r="E7" s="7">
        <v>20.325399999999998</v>
      </c>
    </row>
    <row r="8" spans="1:5" x14ac:dyDescent="0.3">
      <c r="A8" s="6" t="s">
        <v>1395</v>
      </c>
      <c r="B8" s="7">
        <v>40.8523</v>
      </c>
      <c r="C8" s="7">
        <v>38.878399999999999</v>
      </c>
      <c r="D8" s="7">
        <v>37.299099999999996</v>
      </c>
      <c r="E8" s="7">
        <v>39.884799999999998</v>
      </c>
    </row>
    <row r="9" spans="1:5" x14ac:dyDescent="0.3">
      <c r="A9" s="6" t="s">
        <v>1394</v>
      </c>
      <c r="B9" s="7">
        <v>49.78479999999999</v>
      </c>
      <c r="C9" s="7">
        <v>52.094799999999999</v>
      </c>
      <c r="D9" s="7">
        <v>48.5456</v>
      </c>
      <c r="E9" s="7">
        <v>50.72</v>
      </c>
    </row>
    <row r="10" spans="1:5" x14ac:dyDescent="0.3">
      <c r="A10" s="5" t="s">
        <v>1396</v>
      </c>
      <c r="B10" s="7">
        <v>197.61310000000003</v>
      </c>
      <c r="C10" s="7">
        <v>190.4357</v>
      </c>
      <c r="D10" s="7">
        <v>185.8639</v>
      </c>
      <c r="E10" s="7">
        <v>197.89320000000001</v>
      </c>
    </row>
    <row r="11" spans="1:5" x14ac:dyDescent="0.3">
      <c r="A11" s="6" t="s">
        <v>1392</v>
      </c>
      <c r="B11" s="7">
        <v>71.022600000000011</v>
      </c>
      <c r="C11" s="7">
        <v>67.001800000000003</v>
      </c>
      <c r="D11" s="7">
        <v>68.176500000000004</v>
      </c>
      <c r="E11" s="7">
        <v>73.165400000000005</v>
      </c>
    </row>
    <row r="12" spans="1:5" x14ac:dyDescent="0.3">
      <c r="A12" s="6" t="s">
        <v>1397</v>
      </c>
      <c r="B12" s="7">
        <v>26.452000000000002</v>
      </c>
      <c r="C12" s="7">
        <v>26.986499999999999</v>
      </c>
      <c r="D12" s="7">
        <v>26.131799999999998</v>
      </c>
      <c r="E12" s="7">
        <v>27.9618</v>
      </c>
    </row>
    <row r="13" spans="1:5" x14ac:dyDescent="0.3">
      <c r="A13" s="6" t="s">
        <v>1391</v>
      </c>
      <c r="B13" s="7">
        <v>30.803100000000001</v>
      </c>
      <c r="C13" s="7">
        <v>28.814900000000002</v>
      </c>
      <c r="D13" s="7">
        <v>28.0213</v>
      </c>
      <c r="E13" s="7">
        <v>28.751200000000004</v>
      </c>
    </row>
    <row r="14" spans="1:5" x14ac:dyDescent="0.3">
      <c r="A14" s="6" t="s">
        <v>1393</v>
      </c>
      <c r="B14" s="7">
        <v>26.7666</v>
      </c>
      <c r="C14" s="7">
        <v>27.254100000000001</v>
      </c>
      <c r="D14" s="7">
        <v>26.581400000000002</v>
      </c>
      <c r="E14" s="7">
        <v>27.477899999999998</v>
      </c>
    </row>
    <row r="15" spans="1:5" x14ac:dyDescent="0.3">
      <c r="A15" s="6" t="s">
        <v>1395</v>
      </c>
      <c r="B15" s="7">
        <v>42.568799999999996</v>
      </c>
      <c r="C15" s="7">
        <v>40.378399999999999</v>
      </c>
      <c r="D15" s="7">
        <v>36.952899999999993</v>
      </c>
      <c r="E15" s="7">
        <v>40.536900000000003</v>
      </c>
    </row>
    <row r="16" spans="1:5" x14ac:dyDescent="0.3">
      <c r="A16" s="5" t="s">
        <v>1398</v>
      </c>
      <c r="B16" s="7">
        <v>47.3703</v>
      </c>
      <c r="C16" s="7">
        <v>45.953400000000002</v>
      </c>
      <c r="D16" s="7">
        <v>45.3596</v>
      </c>
      <c r="E16" s="7">
        <v>48.578000000000003</v>
      </c>
    </row>
    <row r="17" spans="1:5" x14ac:dyDescent="0.3">
      <c r="A17" s="6" t="s">
        <v>1392</v>
      </c>
      <c r="B17" s="7">
        <v>15.411799999999999</v>
      </c>
      <c r="C17" s="7">
        <v>14.4954</v>
      </c>
      <c r="D17" s="7">
        <v>14.0344</v>
      </c>
      <c r="E17" s="7">
        <v>15.275500000000003</v>
      </c>
    </row>
    <row r="18" spans="1:5" x14ac:dyDescent="0.3">
      <c r="A18" s="6" t="s">
        <v>1397</v>
      </c>
      <c r="B18" s="7">
        <v>3.8310000000000004</v>
      </c>
      <c r="C18" s="7">
        <v>3.6951000000000001</v>
      </c>
      <c r="D18" s="7">
        <v>3.8191000000000002</v>
      </c>
      <c r="E18" s="7">
        <v>4.3237999999999994</v>
      </c>
    </row>
    <row r="19" spans="1:5" x14ac:dyDescent="0.3">
      <c r="A19" s="6" t="s">
        <v>1399</v>
      </c>
      <c r="B19" s="7">
        <v>2.6539999999999999</v>
      </c>
      <c r="C19" s="7">
        <v>2.6621999999999999</v>
      </c>
      <c r="D19" s="7">
        <v>2.7665000000000002</v>
      </c>
      <c r="E19" s="7">
        <v>2.7858000000000001</v>
      </c>
    </row>
    <row r="20" spans="1:5" x14ac:dyDescent="0.3">
      <c r="A20" s="6" t="s">
        <v>1393</v>
      </c>
      <c r="B20" s="7">
        <v>10.524500000000002</v>
      </c>
      <c r="C20" s="7">
        <v>10.332399999999998</v>
      </c>
      <c r="D20" s="7">
        <v>10.529900000000001</v>
      </c>
      <c r="E20" s="7">
        <v>11.380699999999999</v>
      </c>
    </row>
    <row r="21" spans="1:5" x14ac:dyDescent="0.3">
      <c r="A21" s="6" t="s">
        <v>1395</v>
      </c>
      <c r="B21" s="7">
        <v>14.949000000000002</v>
      </c>
      <c r="C21" s="7">
        <v>14.7683</v>
      </c>
      <c r="D21" s="7">
        <v>14.2097</v>
      </c>
      <c r="E21" s="7">
        <v>14.812200000000001</v>
      </c>
    </row>
    <row r="22" spans="1:5" x14ac:dyDescent="0.3">
      <c r="A22" s="5" t="s">
        <v>1400</v>
      </c>
      <c r="B22" s="7">
        <v>3.9154999999999998</v>
      </c>
      <c r="C22" s="7">
        <v>3.9487000000000001</v>
      </c>
      <c r="D22" s="7">
        <v>4.2949999999999999</v>
      </c>
      <c r="E22" s="7">
        <v>4.3347999999999995</v>
      </c>
    </row>
    <row r="23" spans="1:5" x14ac:dyDescent="0.3">
      <c r="A23" s="6" t="s">
        <v>1397</v>
      </c>
      <c r="B23" s="7">
        <v>0.63950000000000007</v>
      </c>
      <c r="C23" s="7">
        <v>0.66220000000000001</v>
      </c>
      <c r="D23" s="7">
        <v>0.62080000000000002</v>
      </c>
      <c r="E23" s="7">
        <v>0.63700000000000001</v>
      </c>
    </row>
    <row r="24" spans="1:5" x14ac:dyDescent="0.3">
      <c r="A24" s="6" t="s">
        <v>1393</v>
      </c>
      <c r="B24" s="7">
        <v>2.8150999999999997</v>
      </c>
      <c r="C24" s="7">
        <v>2.7528000000000001</v>
      </c>
      <c r="D24" s="7">
        <v>3.1851999999999996</v>
      </c>
      <c r="E24" s="7">
        <v>3.1879</v>
      </c>
    </row>
    <row r="25" spans="1:5" x14ac:dyDescent="0.3">
      <c r="A25" s="6" t="s">
        <v>1395</v>
      </c>
      <c r="B25" s="7">
        <v>0.46089999999999998</v>
      </c>
      <c r="C25" s="7">
        <v>0.53370000000000006</v>
      </c>
      <c r="D25" s="7">
        <v>0.48900000000000005</v>
      </c>
      <c r="E25" s="7">
        <v>0.50990000000000002</v>
      </c>
    </row>
    <row r="26" spans="1:5" x14ac:dyDescent="0.3">
      <c r="A26" s="5" t="s">
        <v>1401</v>
      </c>
      <c r="B26" s="7">
        <v>114.5213</v>
      </c>
      <c r="C26" s="7">
        <v>113.56480000000001</v>
      </c>
      <c r="D26" s="7">
        <v>113.9066</v>
      </c>
      <c r="E26" s="7">
        <v>122.2116</v>
      </c>
    </row>
    <row r="27" spans="1:5" x14ac:dyDescent="0.3">
      <c r="A27" s="6" t="s">
        <v>1392</v>
      </c>
      <c r="B27" s="7">
        <v>17.382100000000001</v>
      </c>
      <c r="C27" s="7">
        <v>17.691600000000001</v>
      </c>
      <c r="D27" s="7">
        <v>18.397400000000001</v>
      </c>
      <c r="E27" s="7">
        <v>19.103400000000001</v>
      </c>
    </row>
    <row r="28" spans="1:5" x14ac:dyDescent="0.3">
      <c r="A28" s="6" t="s">
        <v>1391</v>
      </c>
      <c r="B28" s="7">
        <v>23.494900000000001</v>
      </c>
      <c r="C28" s="7">
        <v>20.733899999999998</v>
      </c>
      <c r="D28" s="7">
        <v>20.966800000000003</v>
      </c>
      <c r="E28" s="7">
        <v>23.310399999999998</v>
      </c>
    </row>
    <row r="29" spans="1:5" x14ac:dyDescent="0.3">
      <c r="A29" s="6" t="s">
        <v>1393</v>
      </c>
      <c r="B29" s="7">
        <v>20.056600000000003</v>
      </c>
      <c r="C29" s="7">
        <v>20.578500000000002</v>
      </c>
      <c r="D29" s="7">
        <v>20.5458</v>
      </c>
      <c r="E29" s="7">
        <v>20.911200000000001</v>
      </c>
    </row>
    <row r="30" spans="1:5" x14ac:dyDescent="0.3">
      <c r="A30" s="6" t="s">
        <v>1395</v>
      </c>
      <c r="B30" s="7">
        <v>41.504800000000003</v>
      </c>
      <c r="C30" s="7">
        <v>40.8673</v>
      </c>
      <c r="D30" s="7">
        <v>39.933399999999999</v>
      </c>
      <c r="E30" s="7">
        <v>43.634000000000007</v>
      </c>
    </row>
    <row r="31" spans="1:5" x14ac:dyDescent="0.3">
      <c r="A31" s="6" t="s">
        <v>1394</v>
      </c>
      <c r="B31" s="7">
        <v>12.0829</v>
      </c>
      <c r="C31" s="7">
        <v>13.6935</v>
      </c>
      <c r="D31" s="7">
        <v>14.0632</v>
      </c>
      <c r="E31" s="7">
        <v>15.252600000000001</v>
      </c>
    </row>
    <row r="32" spans="1:5" x14ac:dyDescent="0.3">
      <c r="A32" s="5" t="s">
        <v>1402</v>
      </c>
      <c r="B32" s="7">
        <v>1113.9533000000001</v>
      </c>
      <c r="C32" s="7">
        <v>1083.5181000000002</v>
      </c>
      <c r="D32" s="7">
        <v>1075.1686999999999</v>
      </c>
      <c r="E32" s="7">
        <v>1111.1829000000002</v>
      </c>
    </row>
    <row r="33" spans="1:5" x14ac:dyDescent="0.3">
      <c r="A33" s="6" t="s">
        <v>1392</v>
      </c>
      <c r="B33" s="7">
        <v>261.4282</v>
      </c>
      <c r="C33" s="7">
        <v>247.17329999999998</v>
      </c>
      <c r="D33" s="7">
        <v>258.0745</v>
      </c>
      <c r="E33" s="7">
        <v>263.79179999999997</v>
      </c>
    </row>
    <row r="34" spans="1:5" x14ac:dyDescent="0.3">
      <c r="A34" s="6" t="s">
        <v>1391</v>
      </c>
      <c r="B34" s="7">
        <v>208.809</v>
      </c>
      <c r="C34" s="7">
        <v>193.96980000000002</v>
      </c>
      <c r="D34" s="7">
        <v>180.10670000000002</v>
      </c>
      <c r="E34" s="7">
        <v>193.821</v>
      </c>
    </row>
    <row r="35" spans="1:5" x14ac:dyDescent="0.3">
      <c r="A35" s="6" t="s">
        <v>1393</v>
      </c>
      <c r="B35" s="7">
        <v>139.64939999999999</v>
      </c>
      <c r="C35" s="7">
        <v>138.13740000000001</v>
      </c>
      <c r="D35" s="7">
        <v>151.01509999999999</v>
      </c>
      <c r="E35" s="7">
        <v>144.1343</v>
      </c>
    </row>
    <row r="36" spans="1:5" x14ac:dyDescent="0.3">
      <c r="A36" s="6" t="s">
        <v>1395</v>
      </c>
      <c r="B36" s="7">
        <v>349.83049999999997</v>
      </c>
      <c r="C36" s="7">
        <v>351.40090000000004</v>
      </c>
      <c r="D36" s="7">
        <v>336.52819999999997</v>
      </c>
      <c r="E36" s="7">
        <v>353.69160000000005</v>
      </c>
    </row>
    <row r="37" spans="1:5" x14ac:dyDescent="0.3">
      <c r="A37" s="6" t="s">
        <v>1394</v>
      </c>
      <c r="B37" s="7">
        <v>154.2362</v>
      </c>
      <c r="C37" s="7">
        <v>152.83670000000001</v>
      </c>
      <c r="D37" s="7">
        <v>149.44420000000002</v>
      </c>
      <c r="E37" s="7">
        <v>155.74420000000001</v>
      </c>
    </row>
    <row r="38" spans="1:5" x14ac:dyDescent="0.3">
      <c r="A38" s="5" t="s">
        <v>1403</v>
      </c>
      <c r="B38" s="7">
        <v>39.1554</v>
      </c>
      <c r="C38" s="7">
        <v>38.226900000000001</v>
      </c>
      <c r="D38" s="7">
        <v>39.325000000000003</v>
      </c>
      <c r="E38" s="7">
        <v>42.189900000000009</v>
      </c>
    </row>
    <row r="39" spans="1:5" x14ac:dyDescent="0.3">
      <c r="A39" s="6" t="s">
        <v>1404</v>
      </c>
      <c r="B39" s="7">
        <v>3.4521999999999999</v>
      </c>
      <c r="C39" s="7">
        <v>3.2753000000000001</v>
      </c>
      <c r="D39" s="7">
        <v>3.3519000000000001</v>
      </c>
      <c r="E39" s="7">
        <v>3.5929000000000002</v>
      </c>
    </row>
    <row r="40" spans="1:5" x14ac:dyDescent="0.3">
      <c r="A40" s="6" t="s">
        <v>1392</v>
      </c>
      <c r="B40" s="7">
        <v>4.3007</v>
      </c>
      <c r="C40" s="7">
        <v>4.3202999999999996</v>
      </c>
      <c r="D40" s="7">
        <v>4.5884</v>
      </c>
      <c r="E40" s="7">
        <v>5.6573000000000002</v>
      </c>
    </row>
    <row r="41" spans="1:5" x14ac:dyDescent="0.3">
      <c r="A41" s="6" t="s">
        <v>1397</v>
      </c>
      <c r="B41" s="7">
        <v>9.7215999999999987</v>
      </c>
      <c r="C41" s="7">
        <v>9.6814</v>
      </c>
      <c r="D41" s="7">
        <v>9.7325999999999997</v>
      </c>
      <c r="E41" s="7">
        <v>10.277900000000001</v>
      </c>
    </row>
    <row r="42" spans="1:5" x14ac:dyDescent="0.3">
      <c r="A42" s="6" t="s">
        <v>1393</v>
      </c>
      <c r="B42" s="7">
        <v>11.3421</v>
      </c>
      <c r="C42" s="7">
        <v>11.2056</v>
      </c>
      <c r="D42" s="7">
        <v>12.0343</v>
      </c>
      <c r="E42" s="7">
        <v>12.186500000000001</v>
      </c>
    </row>
    <row r="43" spans="1:5" x14ac:dyDescent="0.3">
      <c r="A43" s="6" t="s">
        <v>1395</v>
      </c>
      <c r="B43" s="7">
        <v>10.338799999999999</v>
      </c>
      <c r="C43" s="7">
        <v>9.7442999999999991</v>
      </c>
      <c r="D43" s="7">
        <v>9.6178000000000008</v>
      </c>
      <c r="E43" s="7">
        <v>10.475300000000001</v>
      </c>
    </row>
    <row r="44" spans="1:5" x14ac:dyDescent="0.3">
      <c r="A44" s="5" t="s">
        <v>1405</v>
      </c>
      <c r="B44" s="7">
        <v>7.3426</v>
      </c>
      <c r="C44" s="7">
        <v>6.8149999999999995</v>
      </c>
      <c r="D44" s="7">
        <v>6.0163000000000002</v>
      </c>
      <c r="E44" s="7">
        <v>5.7263000000000002</v>
      </c>
    </row>
    <row r="45" spans="1:5" x14ac:dyDescent="0.3">
      <c r="A45" s="6" t="s">
        <v>1404</v>
      </c>
      <c r="B45" s="7">
        <v>0.64400000000000002</v>
      </c>
      <c r="C45" s="7">
        <v>0.51780000000000004</v>
      </c>
      <c r="D45" s="7">
        <v>0.54559999999999997</v>
      </c>
      <c r="E45" s="7">
        <v>0.71489999999999998</v>
      </c>
    </row>
    <row r="46" spans="1:5" x14ac:dyDescent="0.3">
      <c r="A46" s="6" t="s">
        <v>1397</v>
      </c>
      <c r="B46" s="7">
        <v>0.89910000000000012</v>
      </c>
      <c r="C46" s="7">
        <v>1.0413999999999999</v>
      </c>
      <c r="D46" s="7">
        <v>1.1343000000000001</v>
      </c>
      <c r="E46" s="7">
        <v>1.0493999999999999</v>
      </c>
    </row>
    <row r="47" spans="1:5" x14ac:dyDescent="0.3">
      <c r="A47" s="6" t="s">
        <v>1395</v>
      </c>
      <c r="B47" s="7">
        <v>3.5455999999999994</v>
      </c>
      <c r="C47" s="7">
        <v>3.2127999999999997</v>
      </c>
      <c r="D47" s="7">
        <v>2.1329000000000002</v>
      </c>
      <c r="E47" s="7">
        <v>1.8966000000000003</v>
      </c>
    </row>
    <row r="48" spans="1:5" x14ac:dyDescent="0.3">
      <c r="A48" s="6" t="s">
        <v>1394</v>
      </c>
      <c r="B48" s="7">
        <v>1.8150000000000002</v>
      </c>
      <c r="C48" s="7">
        <v>1.5291999999999999</v>
      </c>
      <c r="D48" s="7">
        <v>1.5715000000000001</v>
      </c>
      <c r="E48" s="7">
        <v>1.5653999999999999</v>
      </c>
    </row>
    <row r="49" spans="1:5" x14ac:dyDescent="0.3">
      <c r="A49" s="6" t="s">
        <v>1406</v>
      </c>
      <c r="B49" s="7">
        <v>0.43890000000000001</v>
      </c>
      <c r="C49" s="7">
        <v>0.51380000000000003</v>
      </c>
      <c r="D49" s="7">
        <v>0.63200000000000001</v>
      </c>
      <c r="E49" s="7">
        <v>0.49999999999999994</v>
      </c>
    </row>
    <row r="50" spans="1:5" x14ac:dyDescent="0.3">
      <c r="A50" s="5" t="s">
        <v>1408</v>
      </c>
      <c r="B50" s="7">
        <v>406.75310000000002</v>
      </c>
      <c r="C50" s="7">
        <v>408.55869999999999</v>
      </c>
      <c r="D50" s="7">
        <v>371.86109999999996</v>
      </c>
      <c r="E50" s="7">
        <v>400.58130000000006</v>
      </c>
    </row>
    <row r="51" spans="1:5" x14ac:dyDescent="0.3">
      <c r="A51" s="6" t="s">
        <v>1392</v>
      </c>
      <c r="B51" s="7">
        <v>68.044300000000007</v>
      </c>
      <c r="C51" s="7">
        <v>69.685700000000011</v>
      </c>
      <c r="D51" s="7">
        <v>66.990199999999987</v>
      </c>
      <c r="E51" s="7">
        <v>72.133299999999991</v>
      </c>
    </row>
    <row r="52" spans="1:5" x14ac:dyDescent="0.3">
      <c r="A52" s="6" t="s">
        <v>1397</v>
      </c>
      <c r="B52" s="7">
        <v>41.396799999999999</v>
      </c>
      <c r="C52" s="7">
        <v>42.341699999999996</v>
      </c>
      <c r="D52" s="7">
        <v>40.167499999999997</v>
      </c>
      <c r="E52" s="7">
        <v>43.347200000000001</v>
      </c>
    </row>
    <row r="53" spans="1:5" x14ac:dyDescent="0.3">
      <c r="A53" s="6" t="s">
        <v>1391</v>
      </c>
      <c r="B53" s="7">
        <v>78.079700000000003</v>
      </c>
      <c r="C53" s="7">
        <v>72.469300000000004</v>
      </c>
      <c r="D53" s="7">
        <v>64.249499999999998</v>
      </c>
      <c r="E53" s="7">
        <v>72.107600000000005</v>
      </c>
    </row>
    <row r="54" spans="1:5" x14ac:dyDescent="0.3">
      <c r="A54" s="6" t="s">
        <v>1393</v>
      </c>
      <c r="B54" s="7">
        <v>86.707700000000003</v>
      </c>
      <c r="C54" s="7">
        <v>86.558799999999991</v>
      </c>
      <c r="D54" s="7">
        <v>78.813499999999991</v>
      </c>
      <c r="E54" s="7">
        <v>84.695400000000006</v>
      </c>
    </row>
    <row r="55" spans="1:5" x14ac:dyDescent="0.3">
      <c r="A55" s="6" t="s">
        <v>1395</v>
      </c>
      <c r="B55" s="7">
        <v>132.52459999999999</v>
      </c>
      <c r="C55" s="7">
        <v>137.50319999999999</v>
      </c>
      <c r="D55" s="7">
        <v>121.6404</v>
      </c>
      <c r="E55" s="7">
        <v>128.29780000000002</v>
      </c>
    </row>
    <row r="56" spans="1:5" x14ac:dyDescent="0.3">
      <c r="A56" s="5" t="s">
        <v>1409</v>
      </c>
      <c r="B56" s="7">
        <v>237.83610000000002</v>
      </c>
      <c r="C56" s="7">
        <v>237.78029999999998</v>
      </c>
      <c r="D56" s="7">
        <v>221.36710000000002</v>
      </c>
      <c r="E56" s="7">
        <v>234.89080000000001</v>
      </c>
    </row>
    <row r="57" spans="1:5" x14ac:dyDescent="0.3">
      <c r="A57" s="6" t="s">
        <v>1392</v>
      </c>
      <c r="B57" s="7">
        <v>19.0427</v>
      </c>
      <c r="C57" s="7">
        <v>18.4772</v>
      </c>
      <c r="D57" s="7">
        <v>17.8703</v>
      </c>
      <c r="E57" s="7">
        <v>18.237500000000001</v>
      </c>
    </row>
    <row r="58" spans="1:5" x14ac:dyDescent="0.3">
      <c r="A58" s="6" t="s">
        <v>1391</v>
      </c>
      <c r="B58" s="7">
        <v>20.8674</v>
      </c>
      <c r="C58" s="7">
        <v>20.727599999999999</v>
      </c>
      <c r="D58" s="7">
        <v>20.100200000000001</v>
      </c>
      <c r="E58" s="7">
        <v>22.8566</v>
      </c>
    </row>
    <row r="59" spans="1:5" x14ac:dyDescent="0.3">
      <c r="A59" s="6" t="s">
        <v>1395</v>
      </c>
      <c r="B59" s="7">
        <v>33.472999999999999</v>
      </c>
      <c r="C59" s="7">
        <v>33.077299999999994</v>
      </c>
      <c r="D59" s="7">
        <v>32.289100000000005</v>
      </c>
      <c r="E59" s="7">
        <v>34.162700000000001</v>
      </c>
    </row>
    <row r="60" spans="1:5" x14ac:dyDescent="0.3">
      <c r="A60" s="6" t="s">
        <v>1394</v>
      </c>
      <c r="B60" s="7">
        <v>156.64510000000001</v>
      </c>
      <c r="C60" s="7">
        <v>158.1071</v>
      </c>
      <c r="D60" s="7">
        <v>143.6345</v>
      </c>
      <c r="E60" s="7">
        <v>151.6995</v>
      </c>
    </row>
    <row r="61" spans="1:5" x14ac:dyDescent="0.3">
      <c r="A61" s="6" t="s">
        <v>1406</v>
      </c>
      <c r="B61" s="7">
        <v>7.8079000000000001</v>
      </c>
      <c r="C61" s="7">
        <v>7.3910999999999998</v>
      </c>
      <c r="D61" s="7">
        <v>7.4729999999999999</v>
      </c>
      <c r="E61" s="7">
        <v>7.9345000000000008</v>
      </c>
    </row>
    <row r="62" spans="1:5" x14ac:dyDescent="0.3">
      <c r="A62" s="5" t="s">
        <v>1410</v>
      </c>
      <c r="B62" s="7">
        <v>507.6026</v>
      </c>
      <c r="C62" s="7">
        <v>503.34979999999996</v>
      </c>
      <c r="D62" s="7">
        <v>466.57720000000006</v>
      </c>
      <c r="E62" s="7">
        <v>505.26940000000002</v>
      </c>
    </row>
    <row r="63" spans="1:5" x14ac:dyDescent="0.3">
      <c r="A63" s="6" t="s">
        <v>1392</v>
      </c>
      <c r="B63" s="7">
        <v>114.0981</v>
      </c>
      <c r="C63" s="7">
        <v>124.5051</v>
      </c>
      <c r="D63" s="7">
        <v>117.30549999999999</v>
      </c>
      <c r="E63" s="7">
        <v>111.4699</v>
      </c>
    </row>
    <row r="64" spans="1:5" x14ac:dyDescent="0.3">
      <c r="A64" s="6" t="s">
        <v>1397</v>
      </c>
      <c r="B64" s="7">
        <v>84.903199999999998</v>
      </c>
      <c r="C64" s="7">
        <v>79.147899999999993</v>
      </c>
      <c r="D64" s="7">
        <v>77.477900000000005</v>
      </c>
      <c r="E64" s="7">
        <v>84.768199999999993</v>
      </c>
    </row>
    <row r="65" spans="1:5" x14ac:dyDescent="0.3">
      <c r="A65" s="6" t="s">
        <v>1393</v>
      </c>
      <c r="B65" s="7">
        <v>85.048000000000002</v>
      </c>
      <c r="C65" s="7">
        <v>85.743799999999993</v>
      </c>
      <c r="D65" s="7">
        <v>82.197300000000013</v>
      </c>
      <c r="E65" s="7">
        <v>89.661100000000019</v>
      </c>
    </row>
    <row r="66" spans="1:5" x14ac:dyDescent="0.3">
      <c r="A66" s="6" t="s">
        <v>1395</v>
      </c>
      <c r="B66" s="7">
        <v>162.09650000000002</v>
      </c>
      <c r="C66" s="7">
        <v>155.30520000000004</v>
      </c>
      <c r="D66" s="7">
        <v>132.2954</v>
      </c>
      <c r="E66" s="7">
        <v>159.63589999999999</v>
      </c>
    </row>
    <row r="67" spans="1:5" x14ac:dyDescent="0.3">
      <c r="A67" s="6" t="s">
        <v>1394</v>
      </c>
      <c r="B67" s="7">
        <v>61.456799999999994</v>
      </c>
      <c r="C67" s="7">
        <v>58.647799999999989</v>
      </c>
      <c r="D67" s="7">
        <v>57.301099999999998</v>
      </c>
      <c r="E67" s="7">
        <v>59.734299999999998</v>
      </c>
    </row>
    <row r="68" spans="1:5" x14ac:dyDescent="0.3">
      <c r="A68" s="5" t="s">
        <v>1407</v>
      </c>
      <c r="B68" s="7">
        <v>50.380200000000002</v>
      </c>
      <c r="C68" s="7">
        <v>48.326799999999999</v>
      </c>
      <c r="D68" s="7">
        <v>46.883700000000005</v>
      </c>
      <c r="E68" s="7">
        <v>48.021100000000004</v>
      </c>
    </row>
    <row r="69" spans="1:5" x14ac:dyDescent="0.3">
      <c r="A69" s="6" t="s">
        <v>1397</v>
      </c>
      <c r="B69" s="7">
        <v>7.5606999999999998</v>
      </c>
      <c r="C69" s="7">
        <v>7.4778000000000002</v>
      </c>
      <c r="D69" s="7">
        <v>7.8684000000000003</v>
      </c>
      <c r="E69" s="7">
        <v>7.6262000000000008</v>
      </c>
    </row>
    <row r="70" spans="1:5" x14ac:dyDescent="0.3">
      <c r="A70" s="6" t="s">
        <v>1391</v>
      </c>
      <c r="B70" s="7">
        <v>5.8873999999999995</v>
      </c>
      <c r="C70" s="7">
        <v>6.5657999999999994</v>
      </c>
      <c r="D70" s="7">
        <v>6.8268000000000004</v>
      </c>
      <c r="E70" s="7">
        <v>6.5670000000000002</v>
      </c>
    </row>
    <row r="71" spans="1:5" x14ac:dyDescent="0.3">
      <c r="A71" s="6" t="s">
        <v>1399</v>
      </c>
      <c r="B71" s="7">
        <v>10.665899999999999</v>
      </c>
      <c r="C71" s="7">
        <v>9.6661000000000001</v>
      </c>
      <c r="D71" s="7">
        <v>10.766999999999999</v>
      </c>
      <c r="E71" s="7">
        <v>11.5793</v>
      </c>
    </row>
    <row r="72" spans="1:5" x14ac:dyDescent="0.3">
      <c r="A72" s="6" t="s">
        <v>1393</v>
      </c>
      <c r="B72" s="7">
        <v>13.3384</v>
      </c>
      <c r="C72" s="7">
        <v>13.1995</v>
      </c>
      <c r="D72" s="7">
        <v>11.290800000000001</v>
      </c>
      <c r="E72" s="7">
        <v>13.411799999999999</v>
      </c>
    </row>
    <row r="73" spans="1:5" x14ac:dyDescent="0.3">
      <c r="A73" s="6" t="s">
        <v>1395</v>
      </c>
      <c r="B73" s="7">
        <v>12.927800000000001</v>
      </c>
      <c r="C73" s="7">
        <v>11.417599999999998</v>
      </c>
      <c r="D73" s="7">
        <v>10.130700000000001</v>
      </c>
      <c r="E73" s="7">
        <v>8.8368000000000002</v>
      </c>
    </row>
    <row r="74" spans="1:5" x14ac:dyDescent="0.3">
      <c r="A74" s="5" t="s">
        <v>1411</v>
      </c>
      <c r="B74" s="7">
        <v>20.012900000000002</v>
      </c>
      <c r="C74" s="7">
        <v>20.1448</v>
      </c>
      <c r="D74" s="7">
        <v>20.300600000000003</v>
      </c>
      <c r="E74" s="7">
        <v>20.813800000000001</v>
      </c>
    </row>
    <row r="75" spans="1:5" x14ac:dyDescent="0.3">
      <c r="A75" s="6" t="s">
        <v>1392</v>
      </c>
      <c r="B75" s="7">
        <v>2.7640000000000002</v>
      </c>
      <c r="C75" s="7">
        <v>2.9044000000000008</v>
      </c>
      <c r="D75" s="7">
        <v>3.1772</v>
      </c>
      <c r="E75" s="7">
        <v>2.4411999999999998</v>
      </c>
    </row>
    <row r="76" spans="1:5" x14ac:dyDescent="0.3">
      <c r="A76" s="6" t="s">
        <v>1397</v>
      </c>
      <c r="B76" s="7">
        <v>3.1881000000000004</v>
      </c>
      <c r="C76" s="7">
        <v>3.2547999999999999</v>
      </c>
      <c r="D76" s="7">
        <v>2.9976000000000003</v>
      </c>
      <c r="E76" s="7">
        <v>2.7642000000000002</v>
      </c>
    </row>
    <row r="77" spans="1:5" x14ac:dyDescent="0.3">
      <c r="A77" s="6" t="s">
        <v>1393</v>
      </c>
      <c r="B77" s="7">
        <v>6.8281999999999989</v>
      </c>
      <c r="C77" s="7">
        <v>6.5590000000000002</v>
      </c>
      <c r="D77" s="7">
        <v>6.7433000000000005</v>
      </c>
      <c r="E77" s="7">
        <v>7.1567999999999996</v>
      </c>
    </row>
    <row r="78" spans="1:5" x14ac:dyDescent="0.3">
      <c r="A78" s="6" t="s">
        <v>1395</v>
      </c>
      <c r="B78" s="7">
        <v>5.6081000000000003</v>
      </c>
      <c r="C78" s="7">
        <v>5.6524000000000001</v>
      </c>
      <c r="D78" s="7">
        <v>5.4258000000000006</v>
      </c>
      <c r="E78" s="7">
        <v>6.4435000000000002</v>
      </c>
    </row>
    <row r="79" spans="1:5" x14ac:dyDescent="0.3">
      <c r="A79" s="6" t="s">
        <v>1394</v>
      </c>
      <c r="B79" s="7">
        <v>1.6245000000000001</v>
      </c>
      <c r="C79" s="7">
        <v>1.7741999999999998</v>
      </c>
      <c r="D79" s="7">
        <v>1.9566999999999999</v>
      </c>
      <c r="E79" s="7">
        <v>2.0080999999999998</v>
      </c>
    </row>
    <row r="80" spans="1:5" x14ac:dyDescent="0.3">
      <c r="A80" s="5" t="s">
        <v>1412</v>
      </c>
      <c r="B80" s="7">
        <v>72.294699999999992</v>
      </c>
      <c r="C80" s="7">
        <v>72.608199999999997</v>
      </c>
      <c r="D80" s="7">
        <v>72.438099999999991</v>
      </c>
      <c r="E80" s="7">
        <v>77.767099999999999</v>
      </c>
    </row>
    <row r="81" spans="1:5" x14ac:dyDescent="0.3">
      <c r="A81" s="6" t="s">
        <v>1404</v>
      </c>
      <c r="B81" s="7">
        <v>7.2803999999999993</v>
      </c>
      <c r="C81" s="7">
        <v>7.3284000000000011</v>
      </c>
      <c r="D81" s="7">
        <v>7.7500999999999998</v>
      </c>
      <c r="E81" s="7">
        <v>8.6497000000000011</v>
      </c>
    </row>
    <row r="82" spans="1:5" x14ac:dyDescent="0.3">
      <c r="A82" s="6" t="s">
        <v>1392</v>
      </c>
      <c r="B82" s="7">
        <v>18.447899999999997</v>
      </c>
      <c r="C82" s="7">
        <v>18.449200000000001</v>
      </c>
      <c r="D82" s="7">
        <v>19.2209</v>
      </c>
      <c r="E82" s="7">
        <v>20.712899999999998</v>
      </c>
    </row>
    <row r="83" spans="1:5" x14ac:dyDescent="0.3">
      <c r="A83" s="6" t="s">
        <v>1397</v>
      </c>
      <c r="B83" s="7">
        <v>10.815899999999997</v>
      </c>
      <c r="C83" s="7">
        <v>10.7706</v>
      </c>
      <c r="D83" s="7">
        <v>11.254799999999999</v>
      </c>
      <c r="E83" s="7">
        <v>11.859200000000001</v>
      </c>
    </row>
    <row r="84" spans="1:5" x14ac:dyDescent="0.3">
      <c r="A84" s="6" t="s">
        <v>1393</v>
      </c>
      <c r="B84" s="7">
        <v>10.810699999999999</v>
      </c>
      <c r="C84" s="7">
        <v>11.5556</v>
      </c>
      <c r="D84" s="7">
        <v>10.453499999999998</v>
      </c>
      <c r="E84" s="7">
        <v>11.265300000000002</v>
      </c>
    </row>
    <row r="85" spans="1:5" x14ac:dyDescent="0.3">
      <c r="A85" s="6" t="s">
        <v>1395</v>
      </c>
      <c r="B85" s="7">
        <v>24.939799999999998</v>
      </c>
      <c r="C85" s="7">
        <v>24.5044</v>
      </c>
      <c r="D85" s="7">
        <v>23.758800000000001</v>
      </c>
      <c r="E85" s="7">
        <v>25.279999999999998</v>
      </c>
    </row>
    <row r="86" spans="1:5" x14ac:dyDescent="0.3">
      <c r="A86" s="5" t="s">
        <v>1413</v>
      </c>
      <c r="B86" s="7">
        <v>38.631400000000006</v>
      </c>
      <c r="C86" s="7">
        <v>38.519000000000005</v>
      </c>
      <c r="D86" s="7">
        <v>38.512799999999999</v>
      </c>
      <c r="E86" s="7">
        <v>40.052099999999996</v>
      </c>
    </row>
    <row r="87" spans="1:5" x14ac:dyDescent="0.3">
      <c r="A87" s="6" t="s">
        <v>1392</v>
      </c>
      <c r="B87" s="7">
        <v>4.4777000000000005</v>
      </c>
      <c r="C87" s="7">
        <v>4.5524000000000004</v>
      </c>
      <c r="D87" s="7">
        <v>4.6781000000000006</v>
      </c>
      <c r="E87" s="7">
        <v>4.3770000000000007</v>
      </c>
    </row>
    <row r="88" spans="1:5" x14ac:dyDescent="0.3">
      <c r="A88" s="6" t="s">
        <v>1397</v>
      </c>
      <c r="B88" s="7">
        <v>8.5227000000000004</v>
      </c>
      <c r="C88" s="7">
        <v>8.202300000000001</v>
      </c>
      <c r="D88" s="7">
        <v>8.5221999999999998</v>
      </c>
      <c r="E88" s="7">
        <v>8.5447000000000006</v>
      </c>
    </row>
    <row r="89" spans="1:5" x14ac:dyDescent="0.3">
      <c r="A89" s="6" t="s">
        <v>1399</v>
      </c>
      <c r="B89" s="7">
        <v>9.2407000000000004</v>
      </c>
      <c r="C89" s="7">
        <v>9.5020000000000007</v>
      </c>
      <c r="D89" s="7">
        <v>9.2592999999999996</v>
      </c>
      <c r="E89" s="7">
        <v>9.3247999999999998</v>
      </c>
    </row>
    <row r="90" spans="1:5" x14ac:dyDescent="0.3">
      <c r="A90" s="6" t="s">
        <v>1393</v>
      </c>
      <c r="B90" s="7">
        <v>9.2154000000000007</v>
      </c>
      <c r="C90" s="7">
        <v>9.0560999999999989</v>
      </c>
      <c r="D90" s="7">
        <v>8.6562999999999981</v>
      </c>
      <c r="E90" s="7">
        <v>9.9290000000000003</v>
      </c>
    </row>
    <row r="91" spans="1:5" x14ac:dyDescent="0.3">
      <c r="A91" s="6" t="s">
        <v>1395</v>
      </c>
      <c r="B91" s="7">
        <v>7.1749000000000001</v>
      </c>
      <c r="C91" s="7">
        <v>7.2061999999999991</v>
      </c>
      <c r="D91" s="7">
        <v>7.3969000000000005</v>
      </c>
      <c r="E91" s="7">
        <v>7.8765999999999998</v>
      </c>
    </row>
    <row r="92" spans="1:5" x14ac:dyDescent="0.3">
      <c r="A92" s="5" t="s">
        <v>1414</v>
      </c>
      <c r="B92" s="7">
        <v>515.13909999999998</v>
      </c>
      <c r="C92" s="7">
        <v>516.72059999999999</v>
      </c>
      <c r="D92" s="7">
        <v>490.07749999999999</v>
      </c>
      <c r="E92" s="7">
        <v>593.43389999999999</v>
      </c>
    </row>
    <row r="93" spans="1:5" x14ac:dyDescent="0.3">
      <c r="A93" s="6" t="s">
        <v>1404</v>
      </c>
      <c r="B93" s="7">
        <v>56.878600000000006</v>
      </c>
      <c r="C93" s="7">
        <v>57.674799999999991</v>
      </c>
      <c r="D93" s="7">
        <v>54.129100000000001</v>
      </c>
      <c r="E93" s="7">
        <v>60.317399999999999</v>
      </c>
    </row>
    <row r="94" spans="1:5" x14ac:dyDescent="0.3">
      <c r="A94" s="6" t="s">
        <v>1392</v>
      </c>
      <c r="B94" s="7">
        <v>71.001199999999997</v>
      </c>
      <c r="C94" s="7">
        <v>69.267699999999991</v>
      </c>
      <c r="D94" s="7">
        <v>67.638400000000004</v>
      </c>
      <c r="E94" s="7">
        <v>81.671099999999996</v>
      </c>
    </row>
    <row r="95" spans="1:5" x14ac:dyDescent="0.3">
      <c r="A95" s="6" t="s">
        <v>1391</v>
      </c>
      <c r="B95" s="7">
        <v>148.35379999999998</v>
      </c>
      <c r="C95" s="7">
        <v>148.27879999999999</v>
      </c>
      <c r="D95" s="7">
        <v>132.90469999999999</v>
      </c>
      <c r="E95" s="7">
        <v>148.05889999999999</v>
      </c>
    </row>
    <row r="96" spans="1:5" x14ac:dyDescent="0.3">
      <c r="A96" s="6" t="s">
        <v>1393</v>
      </c>
      <c r="B96" s="7">
        <v>95.326300000000003</v>
      </c>
      <c r="C96" s="7">
        <v>93.817999999999998</v>
      </c>
      <c r="D96" s="7">
        <v>93.1571</v>
      </c>
      <c r="E96" s="7">
        <v>105.6219</v>
      </c>
    </row>
    <row r="97" spans="1:5" x14ac:dyDescent="0.3">
      <c r="A97" s="6" t="s">
        <v>1395</v>
      </c>
      <c r="B97" s="7">
        <v>143.57920000000001</v>
      </c>
      <c r="C97" s="7">
        <v>147.68129999999999</v>
      </c>
      <c r="D97" s="7">
        <v>142.2482</v>
      </c>
      <c r="E97" s="7">
        <v>197.7646</v>
      </c>
    </row>
    <row r="98" spans="1:5" x14ac:dyDescent="0.3">
      <c r="A98" s="5" t="s">
        <v>1415</v>
      </c>
      <c r="B98" s="7">
        <v>17.089399999999998</v>
      </c>
      <c r="C98" s="7">
        <v>17.250800000000002</v>
      </c>
      <c r="D98" s="7">
        <v>15.2639</v>
      </c>
      <c r="E98" s="7">
        <v>16.907999999999998</v>
      </c>
    </row>
    <row r="99" spans="1:5" x14ac:dyDescent="0.3">
      <c r="A99" s="6" t="s">
        <v>1392</v>
      </c>
      <c r="B99" s="7">
        <v>7.0702999999999996</v>
      </c>
      <c r="C99" s="7">
        <v>7.144400000000001</v>
      </c>
      <c r="D99" s="7">
        <v>5.4771000000000001</v>
      </c>
      <c r="E99" s="7">
        <v>6.1769999999999996</v>
      </c>
    </row>
    <row r="100" spans="1:5" x14ac:dyDescent="0.3">
      <c r="A100" s="6" t="s">
        <v>1397</v>
      </c>
      <c r="B100" s="7">
        <v>3.1306000000000003</v>
      </c>
      <c r="C100" s="7">
        <v>2.8965000000000001</v>
      </c>
      <c r="D100" s="7">
        <v>3.0369999999999999</v>
      </c>
      <c r="E100" s="7">
        <v>3.1046</v>
      </c>
    </row>
    <row r="101" spans="1:5" x14ac:dyDescent="0.3">
      <c r="A101" s="6" t="s">
        <v>1393</v>
      </c>
      <c r="B101" s="7">
        <v>2.5770000000000004</v>
      </c>
      <c r="C101" s="7">
        <v>2.8586999999999998</v>
      </c>
      <c r="D101" s="7">
        <v>2.4274000000000004</v>
      </c>
      <c r="E101" s="7">
        <v>2.8792999999999993</v>
      </c>
    </row>
    <row r="102" spans="1:5" x14ac:dyDescent="0.3">
      <c r="A102" s="6" t="s">
        <v>1395</v>
      </c>
      <c r="B102" s="7">
        <v>3.2452000000000001</v>
      </c>
      <c r="C102" s="7">
        <v>3.3241999999999998</v>
      </c>
      <c r="D102" s="7">
        <v>3.0762</v>
      </c>
      <c r="E102" s="7">
        <v>3.3983000000000003</v>
      </c>
    </row>
    <row r="103" spans="1:5" x14ac:dyDescent="0.3">
      <c r="A103" s="6" t="s">
        <v>1406</v>
      </c>
      <c r="B103" s="7">
        <v>1.0663</v>
      </c>
      <c r="C103" s="7">
        <v>1.0270000000000001</v>
      </c>
      <c r="D103" s="7">
        <v>1.2461999999999998</v>
      </c>
      <c r="E103" s="7">
        <v>1.3488</v>
      </c>
    </row>
    <row r="104" spans="1:5" x14ac:dyDescent="0.3">
      <c r="A104" s="5" t="s">
        <v>1416</v>
      </c>
      <c r="B104" s="7">
        <v>24.072399999999998</v>
      </c>
      <c r="C104" s="7">
        <v>22.664000000000001</v>
      </c>
      <c r="D104" s="7">
        <v>20.678599999999996</v>
      </c>
      <c r="E104" s="7">
        <v>19.417200000000001</v>
      </c>
    </row>
    <row r="105" spans="1:5" x14ac:dyDescent="0.3">
      <c r="A105" s="6" t="s">
        <v>1391</v>
      </c>
      <c r="B105" s="7">
        <v>19.036499999999997</v>
      </c>
      <c r="C105" s="7">
        <v>17.507300000000001</v>
      </c>
      <c r="D105" s="7">
        <v>16.035599999999999</v>
      </c>
      <c r="E105" s="7">
        <v>14.4358</v>
      </c>
    </row>
    <row r="106" spans="1:5" x14ac:dyDescent="0.3">
      <c r="A106" s="6" t="s">
        <v>1393</v>
      </c>
      <c r="B106" s="7">
        <v>3.0716000000000001</v>
      </c>
      <c r="C106" s="7">
        <v>3.1309</v>
      </c>
      <c r="D106" s="7">
        <v>2.7215000000000003</v>
      </c>
      <c r="E106" s="7">
        <v>2.4133999999999998</v>
      </c>
    </row>
    <row r="107" spans="1:5" x14ac:dyDescent="0.3">
      <c r="A107" s="6" t="s">
        <v>1395</v>
      </c>
      <c r="B107" s="7">
        <v>1.9642999999999999</v>
      </c>
      <c r="C107" s="7">
        <v>2.0257999999999998</v>
      </c>
      <c r="D107" s="7">
        <v>1.9215</v>
      </c>
      <c r="E107" s="7">
        <v>2.5680000000000001</v>
      </c>
    </row>
    <row r="108" spans="1:5" x14ac:dyDescent="0.3">
      <c r="A108" s="5" t="s">
        <v>1417</v>
      </c>
      <c r="B108" s="7">
        <v>14.704599999999999</v>
      </c>
      <c r="C108" s="7">
        <v>13.867100000000001</v>
      </c>
      <c r="D108" s="7">
        <v>14.271600000000001</v>
      </c>
      <c r="E108" s="7">
        <v>14.619699999999998</v>
      </c>
    </row>
    <row r="109" spans="1:5" x14ac:dyDescent="0.3">
      <c r="A109" s="6" t="s">
        <v>1397</v>
      </c>
      <c r="B109" s="7">
        <v>1.3963000000000001</v>
      </c>
      <c r="C109" s="7">
        <v>1.3006999999999997</v>
      </c>
      <c r="D109" s="7">
        <v>1.3351999999999999</v>
      </c>
      <c r="E109" s="7">
        <v>1.3167</v>
      </c>
    </row>
    <row r="110" spans="1:5" x14ac:dyDescent="0.3">
      <c r="A110" s="6" t="s">
        <v>1393</v>
      </c>
      <c r="B110" s="7">
        <v>3.5131999999999999</v>
      </c>
      <c r="C110" s="7">
        <v>3.3329</v>
      </c>
      <c r="D110" s="7">
        <v>3.7539000000000002</v>
      </c>
      <c r="E110" s="7">
        <v>3.5730999999999997</v>
      </c>
    </row>
    <row r="111" spans="1:5" x14ac:dyDescent="0.3">
      <c r="A111" s="6" t="s">
        <v>1395</v>
      </c>
      <c r="B111" s="7">
        <v>2.3203</v>
      </c>
      <c r="C111" s="7">
        <v>1.7787000000000002</v>
      </c>
      <c r="D111" s="7">
        <v>1.5898000000000001</v>
      </c>
      <c r="E111" s="7">
        <v>1.7622</v>
      </c>
    </row>
    <row r="112" spans="1:5" x14ac:dyDescent="0.3">
      <c r="A112" s="6" t="s">
        <v>1406</v>
      </c>
      <c r="B112" s="7">
        <v>7.4748000000000001</v>
      </c>
      <c r="C112" s="7">
        <v>7.4547999999999996</v>
      </c>
      <c r="D112" s="7">
        <v>7.5927000000000007</v>
      </c>
      <c r="E112" s="7">
        <v>7.9676999999999998</v>
      </c>
    </row>
    <row r="113" spans="1:5" x14ac:dyDescent="0.3">
      <c r="A113" s="5" t="s">
        <v>1418</v>
      </c>
      <c r="B113" s="7">
        <v>0.64910000000000001</v>
      </c>
      <c r="C113" s="7">
        <v>0.66649999999999998</v>
      </c>
      <c r="D113" s="7">
        <v>0.73340000000000005</v>
      </c>
      <c r="E113" s="7">
        <v>0.77350000000000008</v>
      </c>
    </row>
    <row r="114" spans="1:5" x14ac:dyDescent="0.3">
      <c r="A114" s="6" t="s">
        <v>1395</v>
      </c>
      <c r="B114" s="7">
        <v>0.64910000000000001</v>
      </c>
      <c r="C114" s="7">
        <v>0.66649999999999998</v>
      </c>
      <c r="D114" s="7">
        <v>0.73340000000000005</v>
      </c>
      <c r="E114" s="7">
        <v>0.77350000000000008</v>
      </c>
    </row>
    <row r="115" spans="1:5" x14ac:dyDescent="0.3">
      <c r="A115" s="5" t="s">
        <v>1419</v>
      </c>
      <c r="B115" s="7">
        <v>271.19900000000001</v>
      </c>
      <c r="C115" s="7">
        <v>265.74789999999996</v>
      </c>
      <c r="D115" s="7">
        <v>266.5564</v>
      </c>
      <c r="E115" s="7">
        <v>268.89089999999999</v>
      </c>
    </row>
    <row r="116" spans="1:5" x14ac:dyDescent="0.3">
      <c r="A116" s="6" t="s">
        <v>1392</v>
      </c>
      <c r="B116" s="7">
        <v>155.32400000000001</v>
      </c>
      <c r="C116" s="7">
        <v>153.85409999999999</v>
      </c>
      <c r="D116" s="7">
        <v>158.63569999999999</v>
      </c>
      <c r="E116" s="7">
        <v>160.75279999999998</v>
      </c>
    </row>
    <row r="117" spans="1:5" x14ac:dyDescent="0.3">
      <c r="A117" s="6" t="s">
        <v>1397</v>
      </c>
      <c r="B117" s="7">
        <v>34.435500000000005</v>
      </c>
      <c r="C117" s="7">
        <v>33.374499999999998</v>
      </c>
      <c r="D117" s="7">
        <v>32.890100000000004</v>
      </c>
      <c r="E117" s="7">
        <v>33.1693</v>
      </c>
    </row>
    <row r="118" spans="1:5" x14ac:dyDescent="0.3">
      <c r="A118" s="6" t="s">
        <v>1391</v>
      </c>
      <c r="B118" s="7">
        <v>19.588100000000001</v>
      </c>
      <c r="C118" s="7">
        <v>18.9526</v>
      </c>
      <c r="D118" s="7">
        <v>17.805500000000002</v>
      </c>
      <c r="E118" s="7">
        <v>18.749600000000001</v>
      </c>
    </row>
    <row r="119" spans="1:5" x14ac:dyDescent="0.3">
      <c r="A119" s="6" t="s">
        <v>1393</v>
      </c>
      <c r="B119" s="7">
        <v>13.477899999999998</v>
      </c>
      <c r="C119" s="7">
        <v>12.2104</v>
      </c>
      <c r="D119" s="7">
        <v>11.674399999999999</v>
      </c>
      <c r="E119" s="7">
        <v>11.7471</v>
      </c>
    </row>
    <row r="120" spans="1:5" x14ac:dyDescent="0.3">
      <c r="A120" s="6" t="s">
        <v>1395</v>
      </c>
      <c r="B120" s="7">
        <v>48.3735</v>
      </c>
      <c r="C120" s="7">
        <v>47.356299999999997</v>
      </c>
      <c r="D120" s="7">
        <v>45.550700000000006</v>
      </c>
      <c r="E120" s="7">
        <v>44.472099999999998</v>
      </c>
    </row>
    <row r="121" spans="1:5" x14ac:dyDescent="0.3">
      <c r="A121" s="5" t="s">
        <v>1420</v>
      </c>
      <c r="B121" s="7">
        <v>300.39890000000003</v>
      </c>
      <c r="C121" s="7">
        <v>302.88330000000002</v>
      </c>
      <c r="D121" s="7">
        <v>294.73570000000001</v>
      </c>
      <c r="E121" s="7">
        <v>301.83810000000005</v>
      </c>
    </row>
    <row r="122" spans="1:5" x14ac:dyDescent="0.3">
      <c r="A122" s="6" t="s">
        <v>1392</v>
      </c>
      <c r="B122" s="7">
        <v>50.610500000000002</v>
      </c>
      <c r="C122" s="7">
        <v>56.438700000000004</v>
      </c>
      <c r="D122" s="7">
        <v>57.494399999999999</v>
      </c>
      <c r="E122" s="7">
        <v>59.524500000000003</v>
      </c>
    </row>
    <row r="123" spans="1:5" x14ac:dyDescent="0.3">
      <c r="A123" s="6" t="s">
        <v>1397</v>
      </c>
      <c r="B123" s="7">
        <v>37.526200000000003</v>
      </c>
      <c r="C123" s="7">
        <v>36.920500000000004</v>
      </c>
      <c r="D123" s="7">
        <v>35.382199999999997</v>
      </c>
      <c r="E123" s="7">
        <v>35.516200000000005</v>
      </c>
    </row>
    <row r="124" spans="1:5" x14ac:dyDescent="0.3">
      <c r="A124" s="6" t="s">
        <v>1391</v>
      </c>
      <c r="B124" s="7">
        <v>55.108999999999995</v>
      </c>
      <c r="C124" s="7">
        <v>45.212499999999999</v>
      </c>
      <c r="D124" s="7">
        <v>41.688200000000002</v>
      </c>
      <c r="E124" s="7">
        <v>46.587800000000001</v>
      </c>
    </row>
    <row r="125" spans="1:5" x14ac:dyDescent="0.3">
      <c r="A125" s="6" t="s">
        <v>1393</v>
      </c>
      <c r="B125" s="7">
        <v>57.880400000000002</v>
      </c>
      <c r="C125" s="7">
        <v>59.568300000000001</v>
      </c>
      <c r="D125" s="7">
        <v>56.305000000000007</v>
      </c>
      <c r="E125" s="7">
        <v>61.110999999999997</v>
      </c>
    </row>
    <row r="126" spans="1:5" x14ac:dyDescent="0.3">
      <c r="A126" s="6" t="s">
        <v>1395</v>
      </c>
      <c r="B126" s="7">
        <v>99.272800000000004</v>
      </c>
      <c r="C126" s="7">
        <v>104.74329999999999</v>
      </c>
      <c r="D126" s="7">
        <v>103.8659</v>
      </c>
      <c r="E126" s="7">
        <v>99.098600000000005</v>
      </c>
    </row>
    <row r="127" spans="1:5" x14ac:dyDescent="0.3">
      <c r="A127" s="5" t="s">
        <v>1421</v>
      </c>
      <c r="B127" s="7">
        <v>90.643299999999996</v>
      </c>
      <c r="C127" s="7">
        <v>91.919899999999998</v>
      </c>
      <c r="D127" s="7">
        <v>89.273300000000006</v>
      </c>
      <c r="E127" s="7">
        <v>90.684699999999992</v>
      </c>
    </row>
    <row r="128" spans="1:5" x14ac:dyDescent="0.3">
      <c r="A128" s="6" t="s">
        <v>1392</v>
      </c>
      <c r="B128" s="7">
        <v>7.1576000000000004</v>
      </c>
      <c r="C128" s="7">
        <v>7.4865999999999993</v>
      </c>
      <c r="D128" s="7">
        <v>5.8291000000000004</v>
      </c>
      <c r="E128" s="7">
        <v>7.0535999999999994</v>
      </c>
    </row>
    <row r="129" spans="1:5" x14ac:dyDescent="0.3">
      <c r="A129" s="6" t="s">
        <v>1397</v>
      </c>
      <c r="B129" s="7">
        <v>7.2257999999999996</v>
      </c>
      <c r="C129" s="7">
        <v>7.4232000000000014</v>
      </c>
      <c r="D129" s="7">
        <v>7.4089999999999998</v>
      </c>
      <c r="E129" s="7">
        <v>7.6453000000000007</v>
      </c>
    </row>
    <row r="130" spans="1:5" x14ac:dyDescent="0.3">
      <c r="A130" s="6" t="s">
        <v>1393</v>
      </c>
      <c r="B130" s="7">
        <v>20.081899999999997</v>
      </c>
      <c r="C130" s="7">
        <v>20.624199999999998</v>
      </c>
      <c r="D130" s="7">
        <v>20.670300000000001</v>
      </c>
      <c r="E130" s="7">
        <v>20.089500000000001</v>
      </c>
    </row>
    <row r="131" spans="1:5" x14ac:dyDescent="0.3">
      <c r="A131" s="6" t="s">
        <v>1395</v>
      </c>
      <c r="B131" s="7">
        <v>23.706699999999998</v>
      </c>
      <c r="C131" s="7">
        <v>23.313200000000002</v>
      </c>
      <c r="D131" s="7">
        <v>22.9923</v>
      </c>
      <c r="E131" s="7">
        <v>24.302999999999997</v>
      </c>
    </row>
    <row r="132" spans="1:5" x14ac:dyDescent="0.3">
      <c r="A132" s="6" t="s">
        <v>1394</v>
      </c>
      <c r="B132" s="7">
        <v>32.471299999999999</v>
      </c>
      <c r="C132" s="7">
        <v>33.072699999999998</v>
      </c>
      <c r="D132" s="7">
        <v>32.372599999999998</v>
      </c>
      <c r="E132" s="7">
        <v>31.593299999999996</v>
      </c>
    </row>
    <row r="133" spans="1:5" x14ac:dyDescent="0.3">
      <c r="A133" s="5" t="s">
        <v>1422</v>
      </c>
      <c r="B133" s="7">
        <v>113.3856</v>
      </c>
      <c r="C133" s="7">
        <v>113.57509999999999</v>
      </c>
      <c r="D133" s="7">
        <v>108.8109</v>
      </c>
      <c r="E133" s="7">
        <v>117.0076</v>
      </c>
    </row>
    <row r="134" spans="1:5" x14ac:dyDescent="0.3">
      <c r="A134" s="6" t="s">
        <v>1392</v>
      </c>
      <c r="B134" s="7">
        <v>22.715800000000002</v>
      </c>
      <c r="C134" s="7">
        <v>23.647200000000002</v>
      </c>
      <c r="D134" s="7">
        <v>22.620000000000005</v>
      </c>
      <c r="E134" s="7">
        <v>25.287300000000002</v>
      </c>
    </row>
    <row r="135" spans="1:5" x14ac:dyDescent="0.3">
      <c r="A135" s="6" t="s">
        <v>1391</v>
      </c>
      <c r="B135" s="7">
        <v>22.351800000000001</v>
      </c>
      <c r="C135" s="7">
        <v>21.741900000000001</v>
      </c>
      <c r="D135" s="7">
        <v>19.0092</v>
      </c>
      <c r="E135" s="7">
        <v>20.3005</v>
      </c>
    </row>
    <row r="136" spans="1:5" x14ac:dyDescent="0.3">
      <c r="A136" s="6" t="s">
        <v>1399</v>
      </c>
      <c r="B136" s="7">
        <v>13.332599999999999</v>
      </c>
      <c r="C136" s="7">
        <v>11.967400000000001</v>
      </c>
      <c r="D136" s="7">
        <v>11.360199999999999</v>
      </c>
      <c r="E136" s="7">
        <v>12.243</v>
      </c>
    </row>
    <row r="137" spans="1:5" x14ac:dyDescent="0.3">
      <c r="A137" s="6" t="s">
        <v>1393</v>
      </c>
      <c r="B137" s="7">
        <v>18.366999999999997</v>
      </c>
      <c r="C137" s="7">
        <v>17.7928</v>
      </c>
      <c r="D137" s="7">
        <v>20.459699999999998</v>
      </c>
      <c r="E137" s="7">
        <v>21.4697</v>
      </c>
    </row>
    <row r="138" spans="1:5" x14ac:dyDescent="0.3">
      <c r="A138" s="6" t="s">
        <v>1395</v>
      </c>
      <c r="B138" s="7">
        <v>36.618399999999994</v>
      </c>
      <c r="C138" s="7">
        <v>38.425800000000002</v>
      </c>
      <c r="D138" s="7">
        <v>35.361799999999995</v>
      </c>
      <c r="E138" s="7">
        <v>37.707100000000004</v>
      </c>
    </row>
    <row r="139" spans="1:5" x14ac:dyDescent="0.3">
      <c r="A139" s="5" t="s">
        <v>1423</v>
      </c>
      <c r="B139" s="7">
        <v>230.28919999999999</v>
      </c>
      <c r="C139" s="7">
        <v>228.36340000000001</v>
      </c>
      <c r="D139" s="7">
        <v>240.53699999999998</v>
      </c>
      <c r="E139" s="7">
        <v>239.80520000000001</v>
      </c>
    </row>
    <row r="140" spans="1:5" x14ac:dyDescent="0.3">
      <c r="A140" s="6" t="s">
        <v>1392</v>
      </c>
      <c r="B140" s="7">
        <v>7.1026000000000007</v>
      </c>
      <c r="C140" s="7">
        <v>7.0835999999999997</v>
      </c>
      <c r="D140" s="7">
        <v>10.823700000000001</v>
      </c>
      <c r="E140" s="7">
        <v>11.2508</v>
      </c>
    </row>
    <row r="141" spans="1:5" x14ac:dyDescent="0.3">
      <c r="A141" s="6" t="s">
        <v>1397</v>
      </c>
      <c r="B141" s="7">
        <v>5.0197000000000003</v>
      </c>
      <c r="C141" s="7">
        <v>5.0540000000000003</v>
      </c>
      <c r="D141" s="7">
        <v>6.4854000000000003</v>
      </c>
      <c r="E141" s="7">
        <v>6.2166000000000006</v>
      </c>
    </row>
    <row r="142" spans="1:5" x14ac:dyDescent="0.3">
      <c r="A142" s="6" t="s">
        <v>1391</v>
      </c>
      <c r="B142" s="7">
        <v>27.601799999999997</v>
      </c>
      <c r="C142" s="7">
        <v>26.994800000000005</v>
      </c>
      <c r="D142" s="7">
        <v>25.052399999999999</v>
      </c>
      <c r="E142" s="7">
        <v>26.041599999999995</v>
      </c>
    </row>
    <row r="143" spans="1:5" x14ac:dyDescent="0.3">
      <c r="A143" s="6" t="s">
        <v>1395</v>
      </c>
      <c r="B143" s="7">
        <v>47.233600000000003</v>
      </c>
      <c r="C143" s="7">
        <v>44.933</v>
      </c>
      <c r="D143" s="7">
        <v>42.794799999999995</v>
      </c>
      <c r="E143" s="7">
        <v>44.097000000000001</v>
      </c>
    </row>
    <row r="144" spans="1:5" x14ac:dyDescent="0.3">
      <c r="A144" s="6" t="s">
        <v>1394</v>
      </c>
      <c r="B144" s="7">
        <v>143.33150000000001</v>
      </c>
      <c r="C144" s="7">
        <v>144.298</v>
      </c>
      <c r="D144" s="7">
        <v>155.38069999999999</v>
      </c>
      <c r="E144" s="7">
        <v>152.19920000000002</v>
      </c>
    </row>
    <row r="145" spans="1:5" x14ac:dyDescent="0.3">
      <c r="A145" s="5" t="s">
        <v>1424</v>
      </c>
      <c r="B145" s="7">
        <v>26.2698</v>
      </c>
      <c r="C145" s="7">
        <v>26.487699999999997</v>
      </c>
      <c r="D145" s="7">
        <v>24.867999999999999</v>
      </c>
      <c r="E145" s="7">
        <v>25.6264</v>
      </c>
    </row>
    <row r="146" spans="1:5" x14ac:dyDescent="0.3">
      <c r="A146" s="6" t="s">
        <v>1404</v>
      </c>
      <c r="B146" s="7">
        <v>3.0504000000000002</v>
      </c>
      <c r="C146" s="7">
        <v>3.0251000000000001</v>
      </c>
      <c r="D146" s="7">
        <v>2.9447000000000001</v>
      </c>
      <c r="E146" s="7">
        <v>3.1629999999999998</v>
      </c>
    </row>
    <row r="147" spans="1:5" x14ac:dyDescent="0.3">
      <c r="A147" s="6" t="s">
        <v>1392</v>
      </c>
      <c r="B147" s="7">
        <v>2.1563999999999997</v>
      </c>
      <c r="C147" s="7">
        <v>2.254</v>
      </c>
      <c r="D147" s="7">
        <v>2.3491</v>
      </c>
      <c r="E147" s="7">
        <v>2.4998</v>
      </c>
    </row>
    <row r="148" spans="1:5" x14ac:dyDescent="0.3">
      <c r="A148" s="6" t="s">
        <v>1391</v>
      </c>
      <c r="B148" s="7">
        <v>5.8270999999999997</v>
      </c>
      <c r="C148" s="7">
        <v>5.9872999999999994</v>
      </c>
      <c r="D148" s="7">
        <v>5.4380000000000006</v>
      </c>
      <c r="E148" s="7">
        <v>6.0816999999999997</v>
      </c>
    </row>
    <row r="149" spans="1:5" x14ac:dyDescent="0.3">
      <c r="A149" s="6" t="s">
        <v>1393</v>
      </c>
      <c r="B149" s="7">
        <v>3.6328000000000005</v>
      </c>
      <c r="C149" s="7">
        <v>3.7890999999999995</v>
      </c>
      <c r="D149" s="7">
        <v>3.3951000000000002</v>
      </c>
      <c r="E149" s="7">
        <v>3.6444999999999999</v>
      </c>
    </row>
    <row r="150" spans="1:5" x14ac:dyDescent="0.3">
      <c r="A150" s="6" t="s">
        <v>1395</v>
      </c>
      <c r="B150" s="7">
        <v>11.603100000000001</v>
      </c>
      <c r="C150" s="7">
        <v>11.4322</v>
      </c>
      <c r="D150" s="7">
        <v>10.741099999999999</v>
      </c>
      <c r="E150" s="7">
        <v>10.237400000000001</v>
      </c>
    </row>
    <row r="151" spans="1:5" x14ac:dyDescent="0.3">
      <c r="A151" s="5" t="s">
        <v>1425</v>
      </c>
      <c r="B151" s="7">
        <v>69.772099999999995</v>
      </c>
      <c r="C151" s="7">
        <v>66.646699999999996</v>
      </c>
      <c r="D151" s="7">
        <v>59.6997</v>
      </c>
      <c r="E151" s="7">
        <v>65.038599999999988</v>
      </c>
    </row>
    <row r="152" spans="1:5" x14ac:dyDescent="0.3">
      <c r="A152" s="6" t="s">
        <v>1392</v>
      </c>
      <c r="B152" s="7">
        <v>9.1573999999999991</v>
      </c>
      <c r="C152" s="7">
        <v>8.7397000000000009</v>
      </c>
      <c r="D152" s="7">
        <v>8.8604000000000003</v>
      </c>
      <c r="E152" s="7">
        <v>9.1887000000000008</v>
      </c>
    </row>
    <row r="153" spans="1:5" x14ac:dyDescent="0.3">
      <c r="A153" s="6" t="s">
        <v>1391</v>
      </c>
      <c r="B153" s="7">
        <v>23.0169</v>
      </c>
      <c r="C153" s="7">
        <v>19.427199999999999</v>
      </c>
      <c r="D153" s="7">
        <v>16.026799999999998</v>
      </c>
      <c r="E153" s="7">
        <v>19.363999999999997</v>
      </c>
    </row>
    <row r="154" spans="1:5" x14ac:dyDescent="0.3">
      <c r="A154" s="6" t="s">
        <v>1393</v>
      </c>
      <c r="B154" s="7">
        <v>7.5360999999999994</v>
      </c>
      <c r="C154" s="7">
        <v>8.3575999999999997</v>
      </c>
      <c r="D154" s="7">
        <v>8.7158000000000015</v>
      </c>
      <c r="E154" s="7">
        <v>8.7221999999999973</v>
      </c>
    </row>
    <row r="155" spans="1:5" x14ac:dyDescent="0.3">
      <c r="A155" s="6" t="s">
        <v>1395</v>
      </c>
      <c r="B155" s="7">
        <v>19.11</v>
      </c>
      <c r="C155" s="7">
        <v>18.256</v>
      </c>
      <c r="D155" s="7">
        <v>16.862699999999997</v>
      </c>
      <c r="E155" s="7">
        <v>17.444099999999999</v>
      </c>
    </row>
    <row r="156" spans="1:5" x14ac:dyDescent="0.3">
      <c r="A156" s="6" t="s">
        <v>1394</v>
      </c>
      <c r="B156" s="7">
        <v>10.951699999999999</v>
      </c>
      <c r="C156" s="7">
        <v>11.866200000000001</v>
      </c>
      <c r="D156" s="7">
        <v>9.234</v>
      </c>
      <c r="E156" s="7">
        <v>10.319599999999999</v>
      </c>
    </row>
    <row r="157" spans="1:5" x14ac:dyDescent="0.3">
      <c r="A157" s="5" t="s">
        <v>1427</v>
      </c>
      <c r="B157" s="7">
        <v>4679.2679000000016</v>
      </c>
      <c r="C157" s="7">
        <v>4629.2580000000025</v>
      </c>
      <c r="D157" s="7">
        <v>4478.8482999999987</v>
      </c>
      <c r="E157" s="7">
        <v>4767.0705999999982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40F9-0FB2-45F3-872E-4CB5F306545E}">
  <sheetPr>
    <tabColor theme="9"/>
  </sheetPr>
  <dimension ref="A1:AQ129"/>
  <sheetViews>
    <sheetView topLeftCell="O1" workbookViewId="0">
      <selection activeCell="C4" sqref="C4:AL129"/>
    </sheetView>
  </sheetViews>
  <sheetFormatPr defaultRowHeight="14.4" x14ac:dyDescent="0.3"/>
  <cols>
    <col min="2" max="2" width="10.77734375" bestFit="1" customWidth="1"/>
    <col min="3" max="3" width="10.77734375" customWidth="1"/>
    <col min="4" max="4" width="11.21875" bestFit="1" customWidth="1"/>
    <col min="5" max="7" width="8.88671875" customWidth="1"/>
    <col min="9" max="12" width="8.88671875" customWidth="1"/>
    <col min="14" max="17" width="8.88671875" customWidth="1"/>
    <col min="19" max="22" width="8.88671875" customWidth="1"/>
    <col min="24" max="27" width="8.88671875" customWidth="1"/>
    <col min="29" max="32" width="8.88671875" customWidth="1"/>
    <col min="34" max="37" width="8.88671875" customWidth="1"/>
    <col min="39" max="43" width="8.88671875" customWidth="1"/>
  </cols>
  <sheetData>
    <row r="1" spans="1:43" x14ac:dyDescent="0.3">
      <c r="A1" s="8" t="s">
        <v>1389</v>
      </c>
      <c r="B1" s="9"/>
      <c r="C1" s="9"/>
      <c r="D1" s="9"/>
    </row>
    <row r="2" spans="1:43" x14ac:dyDescent="0.3">
      <c r="D2" s="9"/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</row>
    <row r="3" spans="1:43" x14ac:dyDescent="0.3">
      <c r="A3" t="s">
        <v>1387</v>
      </c>
      <c r="B3" t="s">
        <v>1426</v>
      </c>
      <c r="C3" t="s">
        <v>1432</v>
      </c>
      <c r="D3" s="1">
        <v>2021</v>
      </c>
      <c r="E3" s="1">
        <v>2022</v>
      </c>
      <c r="F3" s="1">
        <v>2023</v>
      </c>
      <c r="G3" s="1">
        <v>2024</v>
      </c>
      <c r="H3" s="1">
        <v>2025</v>
      </c>
      <c r="I3" s="1">
        <v>2026</v>
      </c>
      <c r="J3" s="1">
        <v>2027</v>
      </c>
      <c r="K3" s="1">
        <v>2028</v>
      </c>
      <c r="L3" s="1">
        <v>2029</v>
      </c>
      <c r="M3" s="1">
        <v>2030</v>
      </c>
      <c r="N3" s="1">
        <v>2031</v>
      </c>
      <c r="O3" s="1">
        <v>2032</v>
      </c>
      <c r="P3" s="1">
        <v>2033</v>
      </c>
      <c r="Q3" s="1">
        <v>2034</v>
      </c>
      <c r="R3" s="1">
        <v>2035</v>
      </c>
      <c r="S3" s="1">
        <v>2036</v>
      </c>
      <c r="T3" s="1">
        <v>2037</v>
      </c>
      <c r="U3" s="1">
        <v>2038</v>
      </c>
      <c r="V3" s="1">
        <v>2039</v>
      </c>
      <c r="W3" s="1">
        <v>2040</v>
      </c>
      <c r="X3" s="1">
        <v>2041</v>
      </c>
      <c r="Y3" s="1">
        <v>2042</v>
      </c>
      <c r="Z3" s="1">
        <v>2043</v>
      </c>
      <c r="AA3" s="1">
        <v>2044</v>
      </c>
      <c r="AB3" s="1">
        <v>2045</v>
      </c>
      <c r="AC3" s="1">
        <v>2046</v>
      </c>
      <c r="AD3" s="1">
        <v>2047</v>
      </c>
      <c r="AE3" s="1">
        <v>2048</v>
      </c>
      <c r="AF3" s="1">
        <v>2049</v>
      </c>
      <c r="AG3" s="1">
        <v>2050</v>
      </c>
      <c r="AH3" s="1">
        <v>2051</v>
      </c>
      <c r="AI3" s="1">
        <v>2052</v>
      </c>
      <c r="AJ3" s="1">
        <v>2053</v>
      </c>
      <c r="AK3" s="1">
        <v>2054</v>
      </c>
      <c r="AL3" s="1">
        <v>2055</v>
      </c>
      <c r="AM3" s="1">
        <v>2056</v>
      </c>
      <c r="AN3" s="1">
        <v>2057</v>
      </c>
      <c r="AO3" s="1">
        <v>2058</v>
      </c>
      <c r="AP3" s="1">
        <v>2059</v>
      </c>
      <c r="AQ3" s="1">
        <v>2060</v>
      </c>
    </row>
    <row r="4" spans="1:43" x14ac:dyDescent="0.3">
      <c r="A4" t="s">
        <v>1405</v>
      </c>
      <c r="B4" t="s">
        <v>1406</v>
      </c>
      <c r="C4" t="str">
        <f t="shared" ref="C4:C35" si="0">A4&amp;"IUE"&amp;B4</f>
        <v>EEIUEW</v>
      </c>
      <c r="D4" s="2">
        <v>0.49999999999999994</v>
      </c>
      <c r="E4" s="7">
        <f>D4*VLOOKUP($A4,'EU Ref Sc 2020 Other industries'!$A$5:$AE$33,E$2)</f>
        <v>0.52094899110863124</v>
      </c>
      <c r="F4" s="7">
        <f>E4*VLOOKUP($A4,'EU Ref Sc 2020 Other industries'!$A$5:$AE$33,F$2)</f>
        <v>0.5418979822172626</v>
      </c>
      <c r="G4" s="7">
        <f>F4*VLOOKUP($A4,'EU Ref Sc 2020 Other industries'!$A$5:$AE$33,G$2)</f>
        <v>0.56284697332589395</v>
      </c>
      <c r="H4" s="7">
        <f>G4*VLOOKUP($A4,'EU Ref Sc 2020 Other industries'!$A$5:$AE$33,H$2)</f>
        <v>0.58379596443452542</v>
      </c>
      <c r="I4" s="7">
        <f>H4*VLOOKUP($A4,'EU Ref Sc 2020 Other industries'!$A$5:$AE$33,I$2)</f>
        <v>0.60460940219677661</v>
      </c>
      <c r="J4" s="7">
        <f>I4*VLOOKUP($A4,'EU Ref Sc 2020 Other industries'!$A$5:$AE$33,J$2)</f>
        <v>0.62542283995902781</v>
      </c>
      <c r="K4" s="7">
        <f>J4*VLOOKUP($A4,'EU Ref Sc 2020 Other industries'!$A$5:$AE$33,K$2)</f>
        <v>0.64623627772127901</v>
      </c>
      <c r="L4" s="7">
        <f>K4*VLOOKUP($A4,'EU Ref Sc 2020 Other industries'!$A$5:$AE$33,L$2)</f>
        <v>0.6670497154835302</v>
      </c>
      <c r="M4" s="7">
        <f>L4*VLOOKUP($A4,'EU Ref Sc 2020 Other industries'!$A$5:$AE$33,M$2)</f>
        <v>0.68786315324578151</v>
      </c>
      <c r="N4" s="7">
        <f>M4*VLOOKUP($A4,'EU Ref Sc 2020 Other industries'!$A$5:$AE$33,N$2)</f>
        <v>0.68835237372592728</v>
      </c>
      <c r="O4" s="7">
        <f>N4*VLOOKUP($A4,'EU Ref Sc 2020 Other industries'!$A$5:$AE$33,O$2)</f>
        <v>0.68884159420607294</v>
      </c>
      <c r="P4" s="7">
        <f>O4*VLOOKUP($A4,'EU Ref Sc 2020 Other industries'!$A$5:$AE$33,P$2)</f>
        <v>0.68933081468621871</v>
      </c>
      <c r="Q4" s="7">
        <f>P4*VLOOKUP($A4,'EU Ref Sc 2020 Other industries'!$A$5:$AE$33,Q$2)</f>
        <v>0.68982003516636436</v>
      </c>
      <c r="R4" s="7">
        <f>Q4*VLOOKUP($A4,'EU Ref Sc 2020 Other industries'!$A$5:$AE$33,R$2)</f>
        <v>0.69030925564651002</v>
      </c>
      <c r="S4" s="7">
        <f>R4*VLOOKUP($A4,'EU Ref Sc 2020 Other industries'!$A$5:$AE$33,S$2)</f>
        <v>0.68718551817455387</v>
      </c>
      <c r="T4" s="7">
        <f>S4*VLOOKUP($A4,'EU Ref Sc 2020 Other industries'!$A$5:$AE$33,T$2)</f>
        <v>0.6840617807025976</v>
      </c>
      <c r="U4" s="7">
        <f>T4*VLOOKUP($A4,'EU Ref Sc 2020 Other industries'!$A$5:$AE$33,U$2)</f>
        <v>0.68093804323064133</v>
      </c>
      <c r="V4" s="7">
        <f>U4*VLOOKUP($A4,'EU Ref Sc 2020 Other industries'!$A$5:$AE$33,V$2)</f>
        <v>0.67781430575868507</v>
      </c>
      <c r="W4" s="7">
        <f>V4*VLOOKUP($A4,'EU Ref Sc 2020 Other industries'!$A$5:$AE$33,W$2)</f>
        <v>0.67469056828672902</v>
      </c>
      <c r="X4" s="7">
        <f>W4*VLOOKUP($A4,'EU Ref Sc 2020 Other industries'!$A$5:$AE$33,X$2)</f>
        <v>0.6747097550675486</v>
      </c>
      <c r="Y4" s="7">
        <f>X4*VLOOKUP($A4,'EU Ref Sc 2020 Other industries'!$A$5:$AE$33,Y$2)</f>
        <v>0.67472894184836807</v>
      </c>
      <c r="Z4" s="7">
        <f>Y4*VLOOKUP($A4,'EU Ref Sc 2020 Other industries'!$A$5:$AE$33,Z$2)</f>
        <v>0.67474812862918765</v>
      </c>
      <c r="AA4" s="7">
        <f>Z4*VLOOKUP($A4,'EU Ref Sc 2020 Other industries'!$A$5:$AE$33,AA$2)</f>
        <v>0.67476731541000723</v>
      </c>
      <c r="AB4" s="7">
        <f>AA4*VLOOKUP($A4,'EU Ref Sc 2020 Other industries'!$A$5:$AE$33,AB$2)</f>
        <v>0.67478650219082692</v>
      </c>
      <c r="AC4" s="7">
        <f>AB4*VLOOKUP($A4,'EU Ref Sc 2020 Other industries'!$A$5:$AE$33,AC$2)</f>
        <v>0.67326940945934977</v>
      </c>
      <c r="AD4" s="7">
        <f>AC4*VLOOKUP($A4,'EU Ref Sc 2020 Other industries'!$A$5:$AE$33,AD$2)</f>
        <v>0.67175231672787272</v>
      </c>
      <c r="AE4" s="7">
        <f>AD4*VLOOKUP($A4,'EU Ref Sc 2020 Other industries'!$A$5:$AE$33,AE$2)</f>
        <v>0.67023522399639568</v>
      </c>
      <c r="AF4" s="7">
        <f>AE4*VLOOKUP($A4,'EU Ref Sc 2020 Other industries'!$A$5:$AE$33,AF$2)</f>
        <v>0.66871813126491852</v>
      </c>
      <c r="AG4" s="7">
        <f>AF4*VLOOKUP($A4,'EU Ref Sc 2020 Other industries'!$A$5:$AE$33,AG$2)</f>
        <v>0.66720103853344115</v>
      </c>
      <c r="AH4" s="13">
        <f t="shared" ref="AH4:AQ4" si="1">AG4</f>
        <v>0.66720103853344115</v>
      </c>
      <c r="AI4" s="13">
        <f t="shared" si="1"/>
        <v>0.66720103853344115</v>
      </c>
      <c r="AJ4" s="13">
        <f t="shared" si="1"/>
        <v>0.66720103853344115</v>
      </c>
      <c r="AK4" s="13">
        <f t="shared" si="1"/>
        <v>0.66720103853344115</v>
      </c>
      <c r="AL4" s="13">
        <f t="shared" si="1"/>
        <v>0.66720103853344115</v>
      </c>
      <c r="AM4" s="13">
        <f t="shared" si="1"/>
        <v>0.66720103853344115</v>
      </c>
      <c r="AN4" s="13">
        <f t="shared" si="1"/>
        <v>0.66720103853344115</v>
      </c>
      <c r="AO4" s="13">
        <f t="shared" si="1"/>
        <v>0.66720103853344115</v>
      </c>
      <c r="AP4" s="13">
        <f t="shared" si="1"/>
        <v>0.66720103853344115</v>
      </c>
      <c r="AQ4" s="13">
        <f t="shared" si="1"/>
        <v>0.66720103853344115</v>
      </c>
    </row>
    <row r="5" spans="1:43" x14ac:dyDescent="0.3">
      <c r="A5" t="s">
        <v>1409</v>
      </c>
      <c r="B5" t="s">
        <v>1406</v>
      </c>
      <c r="C5" t="str">
        <f t="shared" si="0"/>
        <v>FIIUEW</v>
      </c>
      <c r="D5" s="2">
        <v>7.9345000000000008</v>
      </c>
      <c r="E5" s="7">
        <f>D5*VLOOKUP($A5,'EU Ref Sc 2020 Other industries'!$A$5:$AE$33,E$2)</f>
        <v>8.2669395399028716</v>
      </c>
      <c r="F5" s="7">
        <f>E5*VLOOKUP($A5,'EU Ref Sc 2020 Other industries'!$A$5:$AE$33,F$2)</f>
        <v>8.5993790798057432</v>
      </c>
      <c r="G5" s="7">
        <f>F5*VLOOKUP($A5,'EU Ref Sc 2020 Other industries'!$A$5:$AE$33,G$2)</f>
        <v>8.9318186197086149</v>
      </c>
      <c r="H5" s="7">
        <f>G5*VLOOKUP($A5,'EU Ref Sc 2020 Other industries'!$A$5:$AE$33,H$2)</f>
        <v>9.2642581596114884</v>
      </c>
      <c r="I5" s="7">
        <f>H5*VLOOKUP($A5,'EU Ref Sc 2020 Other industries'!$A$5:$AE$33,I$2)</f>
        <v>9.5945466034606532</v>
      </c>
      <c r="J5" s="7">
        <f>I5*VLOOKUP($A5,'EU Ref Sc 2020 Other industries'!$A$5:$AE$33,J$2)</f>
        <v>9.9248350473098181</v>
      </c>
      <c r="K5" s="7">
        <f>J5*VLOOKUP($A5,'EU Ref Sc 2020 Other industries'!$A$5:$AE$33,K$2)</f>
        <v>10.255123491158983</v>
      </c>
      <c r="L5" s="7">
        <f>K5*VLOOKUP($A5,'EU Ref Sc 2020 Other industries'!$A$5:$AE$33,L$2)</f>
        <v>10.585411935008148</v>
      </c>
      <c r="M5" s="7">
        <f>L5*VLOOKUP($A5,'EU Ref Sc 2020 Other industries'!$A$5:$AE$33,M$2)</f>
        <v>10.915700378857315</v>
      </c>
      <c r="N5" s="7">
        <f>M5*VLOOKUP($A5,'EU Ref Sc 2020 Other industries'!$A$5:$AE$33,N$2)</f>
        <v>10.923463818656748</v>
      </c>
      <c r="O5" s="7">
        <f>N5*VLOOKUP($A5,'EU Ref Sc 2020 Other industries'!$A$5:$AE$33,O$2)</f>
        <v>10.931227258456179</v>
      </c>
      <c r="P5" s="7">
        <f>O5*VLOOKUP($A5,'EU Ref Sc 2020 Other industries'!$A$5:$AE$33,P$2)</f>
        <v>10.938990698255612</v>
      </c>
      <c r="Q5" s="7">
        <f>P5*VLOOKUP($A5,'EU Ref Sc 2020 Other industries'!$A$5:$AE$33,Q$2)</f>
        <v>10.946754138055045</v>
      </c>
      <c r="R5" s="7">
        <f>Q5*VLOOKUP($A5,'EU Ref Sc 2020 Other industries'!$A$5:$AE$33,R$2)</f>
        <v>10.954517577854476</v>
      </c>
      <c r="S5" s="7">
        <f>R5*VLOOKUP($A5,'EU Ref Sc 2020 Other industries'!$A$5:$AE$33,S$2)</f>
        <v>10.904946987912004</v>
      </c>
      <c r="T5" s="7">
        <f>S5*VLOOKUP($A5,'EU Ref Sc 2020 Other industries'!$A$5:$AE$33,T$2)</f>
        <v>10.855376397969531</v>
      </c>
      <c r="U5" s="7">
        <f>T5*VLOOKUP($A5,'EU Ref Sc 2020 Other industries'!$A$5:$AE$33,U$2)</f>
        <v>10.805805808027056</v>
      </c>
      <c r="V5" s="7">
        <f>U5*VLOOKUP($A5,'EU Ref Sc 2020 Other industries'!$A$5:$AE$33,V$2)</f>
        <v>10.756235218084583</v>
      </c>
      <c r="W5" s="7">
        <f>V5*VLOOKUP($A5,'EU Ref Sc 2020 Other industries'!$A$5:$AE$33,W$2)</f>
        <v>10.706664628142114</v>
      </c>
      <c r="X5" s="7">
        <f>W5*VLOOKUP($A5,'EU Ref Sc 2020 Other industries'!$A$5:$AE$33,X$2)</f>
        <v>10.706969103166941</v>
      </c>
      <c r="Y5" s="7">
        <f>X5*VLOOKUP($A5,'EU Ref Sc 2020 Other industries'!$A$5:$AE$33,Y$2)</f>
        <v>10.707273578191765</v>
      </c>
      <c r="Z5" s="7">
        <f>Y5*VLOOKUP($A5,'EU Ref Sc 2020 Other industries'!$A$5:$AE$33,Z$2)</f>
        <v>10.70757805321659</v>
      </c>
      <c r="AA5" s="7">
        <f>Z5*VLOOKUP($A5,'EU Ref Sc 2020 Other industries'!$A$5:$AE$33,AA$2)</f>
        <v>10.707882528241417</v>
      </c>
      <c r="AB5" s="7">
        <f>AA5*VLOOKUP($A5,'EU Ref Sc 2020 Other industries'!$A$5:$AE$33,AB$2)</f>
        <v>10.708187003266245</v>
      </c>
      <c r="AC5" s="7">
        <f>AB5*VLOOKUP($A5,'EU Ref Sc 2020 Other industries'!$A$5:$AE$33,AC$2)</f>
        <v>10.684112258710435</v>
      </c>
      <c r="AD5" s="7">
        <f>AC5*VLOOKUP($A5,'EU Ref Sc 2020 Other industries'!$A$5:$AE$33,AD$2)</f>
        <v>10.660037514154626</v>
      </c>
      <c r="AE5" s="7">
        <f>AD5*VLOOKUP($A5,'EU Ref Sc 2020 Other industries'!$A$5:$AE$33,AE$2)</f>
        <v>10.635962769598816</v>
      </c>
      <c r="AF5" s="7">
        <f>AE5*VLOOKUP($A5,'EU Ref Sc 2020 Other industries'!$A$5:$AE$33,AF$2)</f>
        <v>10.611888025043006</v>
      </c>
      <c r="AG5" s="7">
        <f>AF5*VLOOKUP($A5,'EU Ref Sc 2020 Other industries'!$A$5:$AE$33,AG$2)</f>
        <v>10.587813280487193</v>
      </c>
      <c r="AH5" s="13">
        <f t="shared" ref="AH5:AQ5" si="2">AG5</f>
        <v>10.587813280487193</v>
      </c>
      <c r="AI5" s="13">
        <f t="shared" si="2"/>
        <v>10.587813280487193</v>
      </c>
      <c r="AJ5" s="13">
        <f t="shared" si="2"/>
        <v>10.587813280487193</v>
      </c>
      <c r="AK5" s="13">
        <f t="shared" si="2"/>
        <v>10.587813280487193</v>
      </c>
      <c r="AL5" s="13">
        <f t="shared" si="2"/>
        <v>10.587813280487193</v>
      </c>
      <c r="AM5" s="13">
        <f t="shared" si="2"/>
        <v>10.587813280487193</v>
      </c>
      <c r="AN5" s="13">
        <f t="shared" si="2"/>
        <v>10.587813280487193</v>
      </c>
      <c r="AO5" s="13">
        <f t="shared" si="2"/>
        <v>10.587813280487193</v>
      </c>
      <c r="AP5" s="13">
        <f t="shared" si="2"/>
        <v>10.587813280487193</v>
      </c>
      <c r="AQ5" s="13">
        <f t="shared" si="2"/>
        <v>10.587813280487193</v>
      </c>
    </row>
    <row r="6" spans="1:43" x14ac:dyDescent="0.3">
      <c r="A6" t="s">
        <v>1415</v>
      </c>
      <c r="B6" t="s">
        <v>1406</v>
      </c>
      <c r="C6" t="str">
        <f t="shared" si="0"/>
        <v>LTIUEW</v>
      </c>
      <c r="D6" s="2">
        <v>1.3488</v>
      </c>
      <c r="E6" s="7">
        <f>D6*VLOOKUP($A6,'EU Ref Sc 2020 Other industries'!$A$5:$AE$33,E$2)</f>
        <v>1.3829323173259351</v>
      </c>
      <c r="F6" s="7">
        <f>E6*VLOOKUP($A6,'EU Ref Sc 2020 Other industries'!$A$5:$AE$33,F$2)</f>
        <v>1.4170646346518703</v>
      </c>
      <c r="G6" s="7">
        <f>F6*VLOOKUP($A6,'EU Ref Sc 2020 Other industries'!$A$5:$AE$33,G$2)</f>
        <v>1.4511969519778054</v>
      </c>
      <c r="H6" s="7">
        <f>G6*VLOOKUP($A6,'EU Ref Sc 2020 Other industries'!$A$5:$AE$33,H$2)</f>
        <v>1.485329269303741</v>
      </c>
      <c r="I6" s="7">
        <f>H6*VLOOKUP($A6,'EU Ref Sc 2020 Other industries'!$A$5:$AE$33,I$2)</f>
        <v>1.4840186889855258</v>
      </c>
      <c r="J6" s="7">
        <f>I6*VLOOKUP($A6,'EU Ref Sc 2020 Other industries'!$A$5:$AE$33,J$2)</f>
        <v>1.4827081086673106</v>
      </c>
      <c r="K6" s="7">
        <f>J6*VLOOKUP($A6,'EU Ref Sc 2020 Other industries'!$A$5:$AE$33,K$2)</f>
        <v>1.4813975283490954</v>
      </c>
      <c r="L6" s="7">
        <f>K6*VLOOKUP($A6,'EU Ref Sc 2020 Other industries'!$A$5:$AE$33,L$2)</f>
        <v>1.4800869480308803</v>
      </c>
      <c r="M6" s="7">
        <f>L6*VLOOKUP($A6,'EU Ref Sc 2020 Other industries'!$A$5:$AE$33,M$2)</f>
        <v>1.4787763677126653</v>
      </c>
      <c r="N6" s="7">
        <f>M6*VLOOKUP($A6,'EU Ref Sc 2020 Other industries'!$A$5:$AE$33,N$2)</f>
        <v>1.458301764263902</v>
      </c>
      <c r="O6" s="7">
        <f>N6*VLOOKUP($A6,'EU Ref Sc 2020 Other industries'!$A$5:$AE$33,O$2)</f>
        <v>1.4378271608151387</v>
      </c>
      <c r="P6" s="7">
        <f>O6*VLOOKUP($A6,'EU Ref Sc 2020 Other industries'!$A$5:$AE$33,P$2)</f>
        <v>1.4173525573663754</v>
      </c>
      <c r="Q6" s="7">
        <f>P6*VLOOKUP($A6,'EU Ref Sc 2020 Other industries'!$A$5:$AE$33,Q$2)</f>
        <v>1.3968779539176122</v>
      </c>
      <c r="R6" s="7">
        <f>Q6*VLOOKUP($A6,'EU Ref Sc 2020 Other industries'!$A$5:$AE$33,R$2)</f>
        <v>1.3764033504688489</v>
      </c>
      <c r="S6" s="7">
        <f>R6*VLOOKUP($A6,'EU Ref Sc 2020 Other industries'!$A$5:$AE$33,S$2)</f>
        <v>1.3789520161659434</v>
      </c>
      <c r="T6" s="7">
        <f>S6*VLOOKUP($A6,'EU Ref Sc 2020 Other industries'!$A$5:$AE$33,T$2)</f>
        <v>1.381500681863038</v>
      </c>
      <c r="U6" s="7">
        <f>T6*VLOOKUP($A6,'EU Ref Sc 2020 Other industries'!$A$5:$AE$33,U$2)</f>
        <v>1.3840493475601323</v>
      </c>
      <c r="V6" s="7">
        <f>U6*VLOOKUP($A6,'EU Ref Sc 2020 Other industries'!$A$5:$AE$33,V$2)</f>
        <v>1.3865980132572266</v>
      </c>
      <c r="W6" s="7">
        <f>V6*VLOOKUP($A6,'EU Ref Sc 2020 Other industries'!$A$5:$AE$33,W$2)</f>
        <v>1.3891466789543214</v>
      </c>
      <c r="X6" s="7">
        <f>W6*VLOOKUP($A6,'EU Ref Sc 2020 Other industries'!$A$5:$AE$33,X$2)</f>
        <v>1.4108506439616122</v>
      </c>
      <c r="Y6" s="7">
        <f>X6*VLOOKUP($A6,'EU Ref Sc 2020 Other industries'!$A$5:$AE$33,Y$2)</f>
        <v>1.4325546089689027</v>
      </c>
      <c r="Z6" s="7">
        <f>Y6*VLOOKUP($A6,'EU Ref Sc 2020 Other industries'!$A$5:$AE$33,Z$2)</f>
        <v>1.4542585739761931</v>
      </c>
      <c r="AA6" s="7">
        <f>Z6*VLOOKUP($A6,'EU Ref Sc 2020 Other industries'!$A$5:$AE$33,AA$2)</f>
        <v>1.4759625389834838</v>
      </c>
      <c r="AB6" s="7">
        <f>AA6*VLOOKUP($A6,'EU Ref Sc 2020 Other industries'!$A$5:$AE$33,AB$2)</f>
        <v>1.4976665039907748</v>
      </c>
      <c r="AC6" s="7">
        <f>AB6*VLOOKUP($A6,'EU Ref Sc 2020 Other industries'!$A$5:$AE$33,AC$2)</f>
        <v>1.5001805845298006</v>
      </c>
      <c r="AD6" s="7">
        <f>AC6*VLOOKUP($A6,'EU Ref Sc 2020 Other industries'!$A$5:$AE$33,AD$2)</f>
        <v>1.5026946650688264</v>
      </c>
      <c r="AE6" s="7">
        <f>AD6*VLOOKUP($A6,'EU Ref Sc 2020 Other industries'!$A$5:$AE$33,AE$2)</f>
        <v>1.5052087456078522</v>
      </c>
      <c r="AF6" s="7">
        <f>AE6*VLOOKUP($A6,'EU Ref Sc 2020 Other industries'!$A$5:$AE$33,AF$2)</f>
        <v>1.5077228261468778</v>
      </c>
      <c r="AG6" s="7">
        <f>AF6*VLOOKUP($A6,'EU Ref Sc 2020 Other industries'!$A$5:$AE$33,AG$2)</f>
        <v>1.5102369066859038</v>
      </c>
      <c r="AH6" s="13">
        <f t="shared" ref="AH6:AQ6" si="3">AG6</f>
        <v>1.5102369066859038</v>
      </c>
      <c r="AI6" s="13">
        <f t="shared" si="3"/>
        <v>1.5102369066859038</v>
      </c>
      <c r="AJ6" s="13">
        <f t="shared" si="3"/>
        <v>1.5102369066859038</v>
      </c>
      <c r="AK6" s="13">
        <f t="shared" si="3"/>
        <v>1.5102369066859038</v>
      </c>
      <c r="AL6" s="13">
        <f t="shared" si="3"/>
        <v>1.5102369066859038</v>
      </c>
      <c r="AM6" s="13">
        <f t="shared" si="3"/>
        <v>1.5102369066859038</v>
      </c>
      <c r="AN6" s="13">
        <f t="shared" si="3"/>
        <v>1.5102369066859038</v>
      </c>
      <c r="AO6" s="13">
        <f t="shared" si="3"/>
        <v>1.5102369066859038</v>
      </c>
      <c r="AP6" s="13">
        <f t="shared" si="3"/>
        <v>1.5102369066859038</v>
      </c>
      <c r="AQ6" s="13">
        <f t="shared" si="3"/>
        <v>1.5102369066859038</v>
      </c>
    </row>
    <row r="7" spans="1:43" x14ac:dyDescent="0.3">
      <c r="A7" t="s">
        <v>1417</v>
      </c>
      <c r="B7" t="s">
        <v>1406</v>
      </c>
      <c r="C7" t="str">
        <f t="shared" si="0"/>
        <v>LVIUEW</v>
      </c>
      <c r="D7" s="2">
        <v>7.9676999999999998</v>
      </c>
      <c r="E7" s="7">
        <f>D7*VLOOKUP($A7,'EU Ref Sc 2020 Other industries'!$A$5:$AE$33,E$2)</f>
        <v>8.0734612492386688</v>
      </c>
      <c r="F7" s="7">
        <f>E7*VLOOKUP($A7,'EU Ref Sc 2020 Other industries'!$A$5:$AE$33,F$2)</f>
        <v>8.179222498477337</v>
      </c>
      <c r="G7" s="7">
        <f>F7*VLOOKUP($A7,'EU Ref Sc 2020 Other industries'!$A$5:$AE$33,G$2)</f>
        <v>8.2849837477160069</v>
      </c>
      <c r="H7" s="7">
        <f>G7*VLOOKUP($A7,'EU Ref Sc 2020 Other industries'!$A$5:$AE$33,H$2)</f>
        <v>8.3907449969546732</v>
      </c>
      <c r="I7" s="7">
        <f>H7*VLOOKUP($A7,'EU Ref Sc 2020 Other industries'!$A$5:$AE$33,I$2)</f>
        <v>8.3961378251504808</v>
      </c>
      <c r="J7" s="7">
        <f>I7*VLOOKUP($A7,'EU Ref Sc 2020 Other industries'!$A$5:$AE$33,J$2)</f>
        <v>8.4015306533462883</v>
      </c>
      <c r="K7" s="7">
        <f>J7*VLOOKUP($A7,'EU Ref Sc 2020 Other industries'!$A$5:$AE$33,K$2)</f>
        <v>8.4069234815420959</v>
      </c>
      <c r="L7" s="7">
        <f>K7*VLOOKUP($A7,'EU Ref Sc 2020 Other industries'!$A$5:$AE$33,L$2)</f>
        <v>8.4123163097379035</v>
      </c>
      <c r="M7" s="7">
        <f>L7*VLOOKUP($A7,'EU Ref Sc 2020 Other industries'!$A$5:$AE$33,M$2)</f>
        <v>8.4177091379337075</v>
      </c>
      <c r="N7" s="7">
        <f>M7*VLOOKUP($A7,'EU Ref Sc 2020 Other industries'!$A$5:$AE$33,N$2)</f>
        <v>8.4317422657615886</v>
      </c>
      <c r="O7" s="7">
        <f>N7*VLOOKUP($A7,'EU Ref Sc 2020 Other industries'!$A$5:$AE$33,O$2)</f>
        <v>8.4457753935894697</v>
      </c>
      <c r="P7" s="7">
        <f>O7*VLOOKUP($A7,'EU Ref Sc 2020 Other industries'!$A$5:$AE$33,P$2)</f>
        <v>8.4598085214173508</v>
      </c>
      <c r="Q7" s="7">
        <f>P7*VLOOKUP($A7,'EU Ref Sc 2020 Other industries'!$A$5:$AE$33,Q$2)</f>
        <v>8.473841649245232</v>
      </c>
      <c r="R7" s="7">
        <f>Q7*VLOOKUP($A7,'EU Ref Sc 2020 Other industries'!$A$5:$AE$33,R$2)</f>
        <v>8.4878747770731167</v>
      </c>
      <c r="S7" s="7">
        <f>R7*VLOOKUP($A7,'EU Ref Sc 2020 Other industries'!$A$5:$AE$33,S$2)</f>
        <v>8.3775722332879674</v>
      </c>
      <c r="T7" s="7">
        <f>S7*VLOOKUP($A7,'EU Ref Sc 2020 Other industries'!$A$5:$AE$33,T$2)</f>
        <v>8.2672696895028182</v>
      </c>
      <c r="U7" s="7">
        <f>T7*VLOOKUP($A7,'EU Ref Sc 2020 Other industries'!$A$5:$AE$33,U$2)</f>
        <v>8.1569671457176689</v>
      </c>
      <c r="V7" s="7">
        <f>U7*VLOOKUP($A7,'EU Ref Sc 2020 Other industries'!$A$5:$AE$33,V$2)</f>
        <v>8.0466646019325196</v>
      </c>
      <c r="W7" s="7">
        <f>V7*VLOOKUP($A7,'EU Ref Sc 2020 Other industries'!$A$5:$AE$33,W$2)</f>
        <v>7.9363620581473704</v>
      </c>
      <c r="X7" s="7">
        <f>W7*VLOOKUP($A7,'EU Ref Sc 2020 Other industries'!$A$5:$AE$33,X$2)</f>
        <v>7.8433768050297648</v>
      </c>
      <c r="Y7" s="7">
        <f>X7*VLOOKUP($A7,'EU Ref Sc 2020 Other industries'!$A$5:$AE$33,Y$2)</f>
        <v>7.7503915519121591</v>
      </c>
      <c r="Z7" s="7">
        <f>Y7*VLOOKUP($A7,'EU Ref Sc 2020 Other industries'!$A$5:$AE$33,Z$2)</f>
        <v>7.6574062987945544</v>
      </c>
      <c r="AA7" s="7">
        <f>Z7*VLOOKUP($A7,'EU Ref Sc 2020 Other industries'!$A$5:$AE$33,AA$2)</f>
        <v>7.5644210456769487</v>
      </c>
      <c r="AB7" s="7">
        <f>AA7*VLOOKUP($A7,'EU Ref Sc 2020 Other industries'!$A$5:$AE$33,AB$2)</f>
        <v>7.4714357925593458</v>
      </c>
      <c r="AC7" s="7">
        <f>AB7*VLOOKUP($A7,'EU Ref Sc 2020 Other industries'!$A$5:$AE$33,AC$2)</f>
        <v>7.3927836363220125</v>
      </c>
      <c r="AD7" s="7">
        <f>AC7*VLOOKUP($A7,'EU Ref Sc 2020 Other industries'!$A$5:$AE$33,AD$2)</f>
        <v>7.3141314800846784</v>
      </c>
      <c r="AE7" s="7">
        <f>AD7*VLOOKUP($A7,'EU Ref Sc 2020 Other industries'!$A$5:$AE$33,AE$2)</f>
        <v>7.2354793238473452</v>
      </c>
      <c r="AF7" s="7">
        <f>AE7*VLOOKUP($A7,'EU Ref Sc 2020 Other industries'!$A$5:$AE$33,AF$2)</f>
        <v>7.156827167610011</v>
      </c>
      <c r="AG7" s="7">
        <f>AF7*VLOOKUP($A7,'EU Ref Sc 2020 Other industries'!$A$5:$AE$33,AG$2)</f>
        <v>7.078175011372676</v>
      </c>
      <c r="AH7" s="13">
        <f t="shared" ref="AH7:AQ7" si="4">AG7</f>
        <v>7.078175011372676</v>
      </c>
      <c r="AI7" s="13">
        <f t="shared" si="4"/>
        <v>7.078175011372676</v>
      </c>
      <c r="AJ7" s="13">
        <f t="shared" si="4"/>
        <v>7.078175011372676</v>
      </c>
      <c r="AK7" s="13">
        <f t="shared" si="4"/>
        <v>7.078175011372676</v>
      </c>
      <c r="AL7" s="13">
        <f t="shared" si="4"/>
        <v>7.078175011372676</v>
      </c>
      <c r="AM7" s="13">
        <f t="shared" si="4"/>
        <v>7.078175011372676</v>
      </c>
      <c r="AN7" s="13">
        <f t="shared" si="4"/>
        <v>7.078175011372676</v>
      </c>
      <c r="AO7" s="13">
        <f t="shared" si="4"/>
        <v>7.078175011372676</v>
      </c>
      <c r="AP7" s="13">
        <f t="shared" si="4"/>
        <v>7.078175011372676</v>
      </c>
      <c r="AQ7" s="13">
        <f t="shared" si="4"/>
        <v>7.078175011372676</v>
      </c>
    </row>
    <row r="8" spans="1:43" x14ac:dyDescent="0.3">
      <c r="A8" t="s">
        <v>1390</v>
      </c>
      <c r="B8" t="s">
        <v>1394</v>
      </c>
      <c r="C8" t="str">
        <f t="shared" si="0"/>
        <v>ATIUEP</v>
      </c>
      <c r="D8" s="2">
        <v>50.72</v>
      </c>
      <c r="E8" s="12">
        <f>D8*VLOOKUP($A8,'EU Ref Sc 2020 Energy intensive'!$A$5:$AE$33,E$2)</f>
        <v>51.101239757140128</v>
      </c>
      <c r="F8" s="12">
        <f>E8*VLOOKUP($A8,'EU Ref Sc 2020 Energy intensive'!$A$5:$AE$33,F$2)</f>
        <v>51.482479514280264</v>
      </c>
      <c r="G8" s="12">
        <f>F8*VLOOKUP($A8,'EU Ref Sc 2020 Energy intensive'!$A$5:$AE$33,G$2)</f>
        <v>51.863719271420393</v>
      </c>
      <c r="H8" s="12">
        <f>G8*VLOOKUP($A8,'EU Ref Sc 2020 Energy intensive'!$A$5:$AE$33,H$2)</f>
        <v>52.244959028560508</v>
      </c>
      <c r="I8" s="12">
        <f>H8*VLOOKUP($A8,'EU Ref Sc 2020 Energy intensive'!$A$5:$AE$33,I$2)</f>
        <v>51.837298749917657</v>
      </c>
      <c r="J8" s="12">
        <f>I8*VLOOKUP($A8,'EU Ref Sc 2020 Energy intensive'!$A$5:$AE$33,J$2)</f>
        <v>51.429638471274806</v>
      </c>
      <c r="K8" s="12">
        <f>J8*VLOOKUP($A8,'EU Ref Sc 2020 Energy intensive'!$A$5:$AE$33,K$2)</f>
        <v>51.021978192631948</v>
      </c>
      <c r="L8" s="12">
        <f>K8*VLOOKUP($A8,'EU Ref Sc 2020 Energy intensive'!$A$5:$AE$33,L$2)</f>
        <v>50.614317913989098</v>
      </c>
      <c r="M8" s="12">
        <f>L8*VLOOKUP($A8,'EU Ref Sc 2020 Energy intensive'!$A$5:$AE$33,M$2)</f>
        <v>50.206657635346247</v>
      </c>
      <c r="N8" s="12">
        <f>M8*VLOOKUP($A8,'EU Ref Sc 2020 Energy intensive'!$A$5:$AE$33,N$2)</f>
        <v>49.637724535567123</v>
      </c>
      <c r="O8" s="12">
        <f>N8*VLOOKUP($A8,'EU Ref Sc 2020 Energy intensive'!$A$5:$AE$33,O$2)</f>
        <v>49.068791435788</v>
      </c>
      <c r="P8" s="12">
        <f>O8*VLOOKUP($A8,'EU Ref Sc 2020 Energy intensive'!$A$5:$AE$33,P$2)</f>
        <v>48.499858336008884</v>
      </c>
      <c r="Q8" s="12">
        <f>P8*VLOOKUP($A8,'EU Ref Sc 2020 Energy intensive'!$A$5:$AE$33,Q$2)</f>
        <v>47.930925236229761</v>
      </c>
      <c r="R8" s="12">
        <f>Q8*VLOOKUP($A8,'EU Ref Sc 2020 Energy intensive'!$A$5:$AE$33,R$2)</f>
        <v>47.36199213645066</v>
      </c>
      <c r="S8" s="12">
        <f>R8*VLOOKUP($A8,'EU Ref Sc 2020 Energy intensive'!$A$5:$AE$33,S$2)</f>
        <v>46.910927015889079</v>
      </c>
      <c r="T8" s="12">
        <f>S8*VLOOKUP($A8,'EU Ref Sc 2020 Energy intensive'!$A$5:$AE$33,T$2)</f>
        <v>46.459861895327499</v>
      </c>
      <c r="U8" s="12">
        <f>T8*VLOOKUP($A8,'EU Ref Sc 2020 Energy intensive'!$A$5:$AE$33,U$2)</f>
        <v>46.008796774765919</v>
      </c>
      <c r="V8" s="12">
        <f>U8*VLOOKUP($A8,'EU Ref Sc 2020 Energy intensive'!$A$5:$AE$33,V$2)</f>
        <v>45.557731654204339</v>
      </c>
      <c r="W8" s="12">
        <f>V8*VLOOKUP($A8,'EU Ref Sc 2020 Energy intensive'!$A$5:$AE$33,W$2)</f>
        <v>45.10666653364278</v>
      </c>
      <c r="X8" s="12">
        <f>W8*VLOOKUP($A8,'EU Ref Sc 2020 Energy intensive'!$A$5:$AE$33,X$2)</f>
        <v>44.897323852094935</v>
      </c>
      <c r="Y8" s="12">
        <f>X8*VLOOKUP($A8,'EU Ref Sc 2020 Energy intensive'!$A$5:$AE$33,Y$2)</f>
        <v>44.687981170547083</v>
      </c>
      <c r="Z8" s="12">
        <f>Y8*VLOOKUP($A8,'EU Ref Sc 2020 Energy intensive'!$A$5:$AE$33,Z$2)</f>
        <v>44.478638488999238</v>
      </c>
      <c r="AA8" s="12">
        <f>Z8*VLOOKUP($A8,'EU Ref Sc 2020 Energy intensive'!$A$5:$AE$33,AA$2)</f>
        <v>44.269295807451392</v>
      </c>
      <c r="AB8" s="12">
        <f>AA8*VLOOKUP($A8,'EU Ref Sc 2020 Energy intensive'!$A$5:$AE$33,AB$2)</f>
        <v>44.059953125903554</v>
      </c>
      <c r="AC8" s="12">
        <f>AB8*VLOOKUP($A8,'EU Ref Sc 2020 Energy intensive'!$A$5:$AE$33,AC$2)</f>
        <v>43.951479665826113</v>
      </c>
      <c r="AD8" s="12">
        <f>AC8*VLOOKUP($A8,'EU Ref Sc 2020 Energy intensive'!$A$5:$AE$33,AD$2)</f>
        <v>43.843006205748672</v>
      </c>
      <c r="AE8" s="12">
        <f>AD8*VLOOKUP($A8,'EU Ref Sc 2020 Energy intensive'!$A$5:$AE$33,AE$2)</f>
        <v>43.734532745671231</v>
      </c>
      <c r="AF8" s="12">
        <f>AE8*VLOOKUP($A8,'EU Ref Sc 2020 Energy intensive'!$A$5:$AE$33,AF$2)</f>
        <v>43.62605928559379</v>
      </c>
      <c r="AG8" s="12">
        <f>AF8*VLOOKUP($A8,'EU Ref Sc 2020 Energy intensive'!$A$5:$AE$33,AG$2)</f>
        <v>43.517585825516356</v>
      </c>
      <c r="AH8" s="13">
        <f t="shared" ref="AH8:AQ8" si="5">AG8</f>
        <v>43.517585825516356</v>
      </c>
      <c r="AI8" s="13">
        <f t="shared" si="5"/>
        <v>43.517585825516356</v>
      </c>
      <c r="AJ8" s="13">
        <f t="shared" si="5"/>
        <v>43.517585825516356</v>
      </c>
      <c r="AK8" s="13">
        <f t="shared" si="5"/>
        <v>43.517585825516356</v>
      </c>
      <c r="AL8" s="13">
        <f t="shared" si="5"/>
        <v>43.517585825516356</v>
      </c>
      <c r="AM8" s="13">
        <f t="shared" si="5"/>
        <v>43.517585825516356</v>
      </c>
      <c r="AN8" s="13">
        <f t="shared" si="5"/>
        <v>43.517585825516356</v>
      </c>
      <c r="AO8" s="13">
        <f t="shared" si="5"/>
        <v>43.517585825516356</v>
      </c>
      <c r="AP8" s="13">
        <f t="shared" si="5"/>
        <v>43.517585825516356</v>
      </c>
      <c r="AQ8" s="13">
        <f t="shared" si="5"/>
        <v>43.517585825516356</v>
      </c>
    </row>
    <row r="9" spans="1:43" x14ac:dyDescent="0.3">
      <c r="A9" t="s">
        <v>1401</v>
      </c>
      <c r="B9" t="s">
        <v>1394</v>
      </c>
      <c r="C9" t="str">
        <f t="shared" si="0"/>
        <v>CZIUEP</v>
      </c>
      <c r="D9" s="2">
        <v>15.252600000000001</v>
      </c>
      <c r="E9" s="12">
        <f>D9*VLOOKUP($A9,'EU Ref Sc 2020 Energy intensive'!$A$5:$AE$33,E$2)</f>
        <v>15.290070094722839</v>
      </c>
      <c r="F9" s="12">
        <f>E9*VLOOKUP($A9,'EU Ref Sc 2020 Energy intensive'!$A$5:$AE$33,F$2)</f>
        <v>15.327540189445678</v>
      </c>
      <c r="G9" s="12">
        <f>F9*VLOOKUP($A9,'EU Ref Sc 2020 Energy intensive'!$A$5:$AE$33,G$2)</f>
        <v>15.365010284168514</v>
      </c>
      <c r="H9" s="12">
        <f>G9*VLOOKUP($A9,'EU Ref Sc 2020 Energy intensive'!$A$5:$AE$33,H$2)</f>
        <v>15.402480378891351</v>
      </c>
      <c r="I9" s="12">
        <f>H9*VLOOKUP($A9,'EU Ref Sc 2020 Energy intensive'!$A$5:$AE$33,I$2)</f>
        <v>15.113554413088714</v>
      </c>
      <c r="J9" s="12">
        <f>I9*VLOOKUP($A9,'EU Ref Sc 2020 Energy intensive'!$A$5:$AE$33,J$2)</f>
        <v>14.824628447286077</v>
      </c>
      <c r="K9" s="12">
        <f>J9*VLOOKUP($A9,'EU Ref Sc 2020 Energy intensive'!$A$5:$AE$33,K$2)</f>
        <v>14.535702481483442</v>
      </c>
      <c r="L9" s="12">
        <f>K9*VLOOKUP($A9,'EU Ref Sc 2020 Energy intensive'!$A$5:$AE$33,L$2)</f>
        <v>14.246776515680807</v>
      </c>
      <c r="M9" s="12">
        <f>L9*VLOOKUP($A9,'EU Ref Sc 2020 Energy intensive'!$A$5:$AE$33,M$2)</f>
        <v>13.957850549878176</v>
      </c>
      <c r="N9" s="12">
        <f>M9*VLOOKUP($A9,'EU Ref Sc 2020 Energy intensive'!$A$5:$AE$33,N$2)</f>
        <v>13.822398923575678</v>
      </c>
      <c r="O9" s="12">
        <f>N9*VLOOKUP($A9,'EU Ref Sc 2020 Energy intensive'!$A$5:$AE$33,O$2)</f>
        <v>13.68694729727318</v>
      </c>
      <c r="P9" s="12">
        <f>O9*VLOOKUP($A9,'EU Ref Sc 2020 Energy intensive'!$A$5:$AE$33,P$2)</f>
        <v>13.551495670970683</v>
      </c>
      <c r="Q9" s="12">
        <f>P9*VLOOKUP($A9,'EU Ref Sc 2020 Energy intensive'!$A$5:$AE$33,Q$2)</f>
        <v>13.416044044668185</v>
      </c>
      <c r="R9" s="12">
        <f>Q9*VLOOKUP($A9,'EU Ref Sc 2020 Energy intensive'!$A$5:$AE$33,R$2)</f>
        <v>13.280592418365691</v>
      </c>
      <c r="S9" s="12">
        <f>R9*VLOOKUP($A9,'EU Ref Sc 2020 Energy intensive'!$A$5:$AE$33,S$2)</f>
        <v>13.195917512212729</v>
      </c>
      <c r="T9" s="12">
        <f>S9*VLOOKUP($A9,'EU Ref Sc 2020 Energy intensive'!$A$5:$AE$33,T$2)</f>
        <v>13.111242606059767</v>
      </c>
      <c r="U9" s="12">
        <f>T9*VLOOKUP($A9,'EU Ref Sc 2020 Energy intensive'!$A$5:$AE$33,U$2)</f>
        <v>13.026567699906805</v>
      </c>
      <c r="V9" s="12">
        <f>U9*VLOOKUP($A9,'EU Ref Sc 2020 Energy intensive'!$A$5:$AE$33,V$2)</f>
        <v>12.941892793753842</v>
      </c>
      <c r="W9" s="12">
        <f>V9*VLOOKUP($A9,'EU Ref Sc 2020 Energy intensive'!$A$5:$AE$33,W$2)</f>
        <v>12.857217887600882</v>
      </c>
      <c r="X9" s="12">
        <f>W9*VLOOKUP($A9,'EU Ref Sc 2020 Energy intensive'!$A$5:$AE$33,X$2)</f>
        <v>12.752203639021552</v>
      </c>
      <c r="Y9" s="12">
        <f>X9*VLOOKUP($A9,'EU Ref Sc 2020 Energy intensive'!$A$5:$AE$33,Y$2)</f>
        <v>12.647189390442222</v>
      </c>
      <c r="Z9" s="12">
        <f>Y9*VLOOKUP($A9,'EU Ref Sc 2020 Energy intensive'!$A$5:$AE$33,Z$2)</f>
        <v>12.542175141862892</v>
      </c>
      <c r="AA9" s="12">
        <f>Z9*VLOOKUP($A9,'EU Ref Sc 2020 Energy intensive'!$A$5:$AE$33,AA$2)</f>
        <v>12.437160893283561</v>
      </c>
      <c r="AB9" s="12">
        <f>AA9*VLOOKUP($A9,'EU Ref Sc 2020 Energy intensive'!$A$5:$AE$33,AB$2)</f>
        <v>12.332146644704229</v>
      </c>
      <c r="AC9" s="12">
        <f>AB9*VLOOKUP($A9,'EU Ref Sc 2020 Energy intensive'!$A$5:$AE$33,AC$2)</f>
        <v>12.27066884961744</v>
      </c>
      <c r="AD9" s="12">
        <f>AC9*VLOOKUP($A9,'EU Ref Sc 2020 Energy intensive'!$A$5:$AE$33,AD$2)</f>
        <v>12.209191054530651</v>
      </c>
      <c r="AE9" s="12">
        <f>AD9*VLOOKUP($A9,'EU Ref Sc 2020 Energy intensive'!$A$5:$AE$33,AE$2)</f>
        <v>12.14771325944386</v>
      </c>
      <c r="AF9" s="12">
        <f>AE9*VLOOKUP($A9,'EU Ref Sc 2020 Energy intensive'!$A$5:$AE$33,AF$2)</f>
        <v>12.086235464357069</v>
      </c>
      <c r="AG9" s="12">
        <f>AF9*VLOOKUP($A9,'EU Ref Sc 2020 Energy intensive'!$A$5:$AE$33,AG$2)</f>
        <v>12.024757669270279</v>
      </c>
      <c r="AH9" s="13">
        <f t="shared" ref="AH9:AQ9" si="6">AG9</f>
        <v>12.024757669270279</v>
      </c>
      <c r="AI9" s="13">
        <f t="shared" si="6"/>
        <v>12.024757669270279</v>
      </c>
      <c r="AJ9" s="13">
        <f t="shared" si="6"/>
        <v>12.024757669270279</v>
      </c>
      <c r="AK9" s="13">
        <f t="shared" si="6"/>
        <v>12.024757669270279</v>
      </c>
      <c r="AL9" s="13">
        <f t="shared" si="6"/>
        <v>12.024757669270279</v>
      </c>
      <c r="AM9" s="13">
        <f t="shared" si="6"/>
        <v>12.024757669270279</v>
      </c>
      <c r="AN9" s="13">
        <f t="shared" si="6"/>
        <v>12.024757669270279</v>
      </c>
      <c r="AO9" s="13">
        <f t="shared" si="6"/>
        <v>12.024757669270279</v>
      </c>
      <c r="AP9" s="13">
        <f t="shared" si="6"/>
        <v>12.024757669270279</v>
      </c>
      <c r="AQ9" s="13">
        <f t="shared" si="6"/>
        <v>12.024757669270279</v>
      </c>
    </row>
    <row r="10" spans="1:43" x14ac:dyDescent="0.3">
      <c r="A10" t="s">
        <v>1402</v>
      </c>
      <c r="B10" t="s">
        <v>1394</v>
      </c>
      <c r="C10" t="str">
        <f t="shared" si="0"/>
        <v>DEIUEP</v>
      </c>
      <c r="D10" s="2">
        <v>155.74420000000001</v>
      </c>
      <c r="E10" s="12">
        <f>D10*VLOOKUP($A10,'EU Ref Sc 2020 Energy intensive'!$A$5:$AE$33,E$2)</f>
        <v>156.7292878308742</v>
      </c>
      <c r="F10" s="12">
        <f>E10*VLOOKUP($A10,'EU Ref Sc 2020 Energy intensive'!$A$5:$AE$33,F$2)</f>
        <v>157.71437566174839</v>
      </c>
      <c r="G10" s="12">
        <f>F10*VLOOKUP($A10,'EU Ref Sc 2020 Energy intensive'!$A$5:$AE$33,G$2)</f>
        <v>158.69946349262258</v>
      </c>
      <c r="H10" s="12">
        <f>G10*VLOOKUP($A10,'EU Ref Sc 2020 Energy intensive'!$A$5:$AE$33,H$2)</f>
        <v>159.68455132349675</v>
      </c>
      <c r="I10" s="12">
        <f>H10*VLOOKUP($A10,'EU Ref Sc 2020 Energy intensive'!$A$5:$AE$33,I$2)</f>
        <v>157.72456158259871</v>
      </c>
      <c r="J10" s="12">
        <f>I10*VLOOKUP($A10,'EU Ref Sc 2020 Energy intensive'!$A$5:$AE$33,J$2)</f>
        <v>155.76457184170067</v>
      </c>
      <c r="K10" s="12">
        <f>J10*VLOOKUP($A10,'EU Ref Sc 2020 Energy intensive'!$A$5:$AE$33,K$2)</f>
        <v>153.80458210080263</v>
      </c>
      <c r="L10" s="12">
        <f>K10*VLOOKUP($A10,'EU Ref Sc 2020 Energy intensive'!$A$5:$AE$33,L$2)</f>
        <v>151.8445923599046</v>
      </c>
      <c r="M10" s="12">
        <f>L10*VLOOKUP($A10,'EU Ref Sc 2020 Energy intensive'!$A$5:$AE$33,M$2)</f>
        <v>149.8846026190065</v>
      </c>
      <c r="N10" s="12">
        <f>M10*VLOOKUP($A10,'EU Ref Sc 2020 Energy intensive'!$A$5:$AE$33,N$2)</f>
        <v>147.18658989423054</v>
      </c>
      <c r="O10" s="12">
        <f>N10*VLOOKUP($A10,'EU Ref Sc 2020 Energy intensive'!$A$5:$AE$33,O$2)</f>
        <v>144.48857716945457</v>
      </c>
      <c r="P10" s="12">
        <f>O10*VLOOKUP($A10,'EU Ref Sc 2020 Energy intensive'!$A$5:$AE$33,P$2)</f>
        <v>141.79056444467861</v>
      </c>
      <c r="Q10" s="12">
        <f>P10*VLOOKUP($A10,'EU Ref Sc 2020 Energy intensive'!$A$5:$AE$33,Q$2)</f>
        <v>139.09255171990264</v>
      </c>
      <c r="R10" s="12">
        <f>Q10*VLOOKUP($A10,'EU Ref Sc 2020 Energy intensive'!$A$5:$AE$33,R$2)</f>
        <v>136.39453899512671</v>
      </c>
      <c r="S10" s="12">
        <f>R10*VLOOKUP($A10,'EU Ref Sc 2020 Energy intensive'!$A$5:$AE$33,S$2)</f>
        <v>135.0689316936639</v>
      </c>
      <c r="T10" s="12">
        <f>S10*VLOOKUP($A10,'EU Ref Sc 2020 Energy intensive'!$A$5:$AE$33,T$2)</f>
        <v>133.74332439220106</v>
      </c>
      <c r="U10" s="12">
        <f>T10*VLOOKUP($A10,'EU Ref Sc 2020 Energy intensive'!$A$5:$AE$33,U$2)</f>
        <v>132.41771709073825</v>
      </c>
      <c r="V10" s="12">
        <f>U10*VLOOKUP($A10,'EU Ref Sc 2020 Energy intensive'!$A$5:$AE$33,V$2)</f>
        <v>131.09210978927544</v>
      </c>
      <c r="W10" s="12">
        <f>V10*VLOOKUP($A10,'EU Ref Sc 2020 Energy intensive'!$A$5:$AE$33,W$2)</f>
        <v>129.76650248781257</v>
      </c>
      <c r="X10" s="12">
        <f>W10*VLOOKUP($A10,'EU Ref Sc 2020 Energy intensive'!$A$5:$AE$33,X$2)</f>
        <v>129.06749651836932</v>
      </c>
      <c r="Y10" s="12">
        <f>X10*VLOOKUP($A10,'EU Ref Sc 2020 Energy intensive'!$A$5:$AE$33,Y$2)</f>
        <v>128.36849054892608</v>
      </c>
      <c r="Z10" s="12">
        <f>Y10*VLOOKUP($A10,'EU Ref Sc 2020 Energy intensive'!$A$5:$AE$33,Z$2)</f>
        <v>127.66948457948284</v>
      </c>
      <c r="AA10" s="12">
        <f>Z10*VLOOKUP($A10,'EU Ref Sc 2020 Energy intensive'!$A$5:$AE$33,AA$2)</f>
        <v>126.97047861003959</v>
      </c>
      <c r="AB10" s="12">
        <f>AA10*VLOOKUP($A10,'EU Ref Sc 2020 Energy intensive'!$A$5:$AE$33,AB$2)</f>
        <v>126.27147264059631</v>
      </c>
      <c r="AC10" s="12">
        <f>AB10*VLOOKUP($A10,'EU Ref Sc 2020 Energy intensive'!$A$5:$AE$33,AC$2)</f>
        <v>125.76496687890695</v>
      </c>
      <c r="AD10" s="12">
        <f>AC10*VLOOKUP($A10,'EU Ref Sc 2020 Energy intensive'!$A$5:$AE$33,AD$2)</f>
        <v>125.25846111721758</v>
      </c>
      <c r="AE10" s="12">
        <f>AD10*VLOOKUP($A10,'EU Ref Sc 2020 Energy intensive'!$A$5:$AE$33,AE$2)</f>
        <v>124.75195535552821</v>
      </c>
      <c r="AF10" s="12">
        <f>AE10*VLOOKUP($A10,'EU Ref Sc 2020 Energy intensive'!$A$5:$AE$33,AF$2)</f>
        <v>124.24544959383884</v>
      </c>
      <c r="AG10" s="12">
        <f>AF10*VLOOKUP($A10,'EU Ref Sc 2020 Energy intensive'!$A$5:$AE$33,AG$2)</f>
        <v>123.73894383214946</v>
      </c>
      <c r="AH10" s="13">
        <f t="shared" ref="AH10:AQ10" si="7">AG10</f>
        <v>123.73894383214946</v>
      </c>
      <c r="AI10" s="13">
        <f t="shared" si="7"/>
        <v>123.73894383214946</v>
      </c>
      <c r="AJ10" s="13">
        <f t="shared" si="7"/>
        <v>123.73894383214946</v>
      </c>
      <c r="AK10" s="13">
        <f t="shared" si="7"/>
        <v>123.73894383214946</v>
      </c>
      <c r="AL10" s="13">
        <f t="shared" si="7"/>
        <v>123.73894383214946</v>
      </c>
      <c r="AM10" s="13">
        <f t="shared" si="7"/>
        <v>123.73894383214946</v>
      </c>
      <c r="AN10" s="13">
        <f t="shared" si="7"/>
        <v>123.73894383214946</v>
      </c>
      <c r="AO10" s="13">
        <f t="shared" si="7"/>
        <v>123.73894383214946</v>
      </c>
      <c r="AP10" s="13">
        <f t="shared" si="7"/>
        <v>123.73894383214946</v>
      </c>
      <c r="AQ10" s="13">
        <f t="shared" si="7"/>
        <v>123.73894383214946</v>
      </c>
    </row>
    <row r="11" spans="1:43" x14ac:dyDescent="0.3">
      <c r="A11" t="s">
        <v>1405</v>
      </c>
      <c r="B11" t="s">
        <v>1394</v>
      </c>
      <c r="C11" t="str">
        <f t="shared" si="0"/>
        <v>EEIUEP</v>
      </c>
      <c r="D11" s="2">
        <v>1.5653999999999999</v>
      </c>
      <c r="E11" s="12">
        <f>D11*VLOOKUP($A11,'EU Ref Sc 2020 Energy intensive'!$A$5:$AE$33,E$2)</f>
        <v>1.6373858911665056</v>
      </c>
      <c r="F11" s="12">
        <f>E11*VLOOKUP($A11,'EU Ref Sc 2020 Energy intensive'!$A$5:$AE$33,F$2)</f>
        <v>1.7093717823330115</v>
      </c>
      <c r="G11" s="12">
        <f>F11*VLOOKUP($A11,'EU Ref Sc 2020 Energy intensive'!$A$5:$AE$33,G$2)</f>
        <v>1.7813576734995171</v>
      </c>
      <c r="H11" s="12">
        <f>G11*VLOOKUP($A11,'EU Ref Sc 2020 Energy intensive'!$A$5:$AE$33,H$2)</f>
        <v>1.8533435646660228</v>
      </c>
      <c r="I11" s="12">
        <f>H11*VLOOKUP($A11,'EU Ref Sc 2020 Energy intensive'!$A$5:$AE$33,I$2)</f>
        <v>1.8625640849801246</v>
      </c>
      <c r="J11" s="12">
        <f>I11*VLOOKUP($A11,'EU Ref Sc 2020 Energy intensive'!$A$5:$AE$33,J$2)</f>
        <v>1.8717846052942264</v>
      </c>
      <c r="K11" s="12">
        <f>J11*VLOOKUP($A11,'EU Ref Sc 2020 Energy intensive'!$A$5:$AE$33,K$2)</f>
        <v>1.8810051256083282</v>
      </c>
      <c r="L11" s="12">
        <f>K11*VLOOKUP($A11,'EU Ref Sc 2020 Energy intensive'!$A$5:$AE$33,L$2)</f>
        <v>1.89022564592243</v>
      </c>
      <c r="M11" s="12">
        <f>L11*VLOOKUP($A11,'EU Ref Sc 2020 Energy intensive'!$A$5:$AE$33,M$2)</f>
        <v>1.8994461662365323</v>
      </c>
      <c r="N11" s="12">
        <f>M11*VLOOKUP($A11,'EU Ref Sc 2020 Energy intensive'!$A$5:$AE$33,N$2)</f>
        <v>1.8591377708392771</v>
      </c>
      <c r="O11" s="12">
        <f>N11*VLOOKUP($A11,'EU Ref Sc 2020 Energy intensive'!$A$5:$AE$33,O$2)</f>
        <v>1.8188293754420222</v>
      </c>
      <c r="P11" s="12">
        <f>O11*VLOOKUP($A11,'EU Ref Sc 2020 Energy intensive'!$A$5:$AE$33,P$2)</f>
        <v>1.778520980044767</v>
      </c>
      <c r="Q11" s="12">
        <f>P11*VLOOKUP($A11,'EU Ref Sc 2020 Energy intensive'!$A$5:$AE$33,Q$2)</f>
        <v>1.738212584647512</v>
      </c>
      <c r="R11" s="12">
        <f>Q11*VLOOKUP($A11,'EU Ref Sc 2020 Energy intensive'!$A$5:$AE$33,R$2)</f>
        <v>1.6979041892502567</v>
      </c>
      <c r="S11" s="12">
        <f>R11*VLOOKUP($A11,'EU Ref Sc 2020 Energy intensive'!$A$5:$AE$33,S$2)</f>
        <v>1.6842627676769186</v>
      </c>
      <c r="T11" s="12">
        <f>S11*VLOOKUP($A11,'EU Ref Sc 2020 Energy intensive'!$A$5:$AE$33,T$2)</f>
        <v>1.6706213461035808</v>
      </c>
      <c r="U11" s="12">
        <f>T11*VLOOKUP($A11,'EU Ref Sc 2020 Energy intensive'!$A$5:$AE$33,U$2)</f>
        <v>1.656979924530243</v>
      </c>
      <c r="V11" s="12">
        <f>U11*VLOOKUP($A11,'EU Ref Sc 2020 Energy intensive'!$A$5:$AE$33,V$2)</f>
        <v>1.643338502956905</v>
      </c>
      <c r="W11" s="12">
        <f>V11*VLOOKUP($A11,'EU Ref Sc 2020 Energy intensive'!$A$5:$AE$33,W$2)</f>
        <v>1.6296970813835669</v>
      </c>
      <c r="X11" s="12">
        <f>W11*VLOOKUP($A11,'EU Ref Sc 2020 Energy intensive'!$A$5:$AE$33,X$2)</f>
        <v>1.6179546808336505</v>
      </c>
      <c r="Y11" s="12">
        <f>X11*VLOOKUP($A11,'EU Ref Sc 2020 Energy intensive'!$A$5:$AE$33,Y$2)</f>
        <v>1.606212280283734</v>
      </c>
      <c r="Z11" s="12">
        <f>Y11*VLOOKUP($A11,'EU Ref Sc 2020 Energy intensive'!$A$5:$AE$33,Z$2)</f>
        <v>1.5944698797338175</v>
      </c>
      <c r="AA11" s="12">
        <f>Z11*VLOOKUP($A11,'EU Ref Sc 2020 Energy intensive'!$A$5:$AE$33,AA$2)</f>
        <v>1.5827274791839008</v>
      </c>
      <c r="AB11" s="12">
        <f>AA11*VLOOKUP($A11,'EU Ref Sc 2020 Energy intensive'!$A$5:$AE$33,AB$2)</f>
        <v>1.5709850786339843</v>
      </c>
      <c r="AC11" s="12">
        <f>AB11*VLOOKUP($A11,'EU Ref Sc 2020 Energy intensive'!$A$5:$AE$33,AC$2)</f>
        <v>1.5675836342783467</v>
      </c>
      <c r="AD11" s="12">
        <f>AC11*VLOOKUP($A11,'EU Ref Sc 2020 Energy intensive'!$A$5:$AE$33,AD$2)</f>
        <v>1.5641821899227091</v>
      </c>
      <c r="AE11" s="12">
        <f>AD11*VLOOKUP($A11,'EU Ref Sc 2020 Energy intensive'!$A$5:$AE$33,AE$2)</f>
        <v>1.5607807455670715</v>
      </c>
      <c r="AF11" s="12">
        <f>AE11*VLOOKUP($A11,'EU Ref Sc 2020 Energy intensive'!$A$5:$AE$33,AF$2)</f>
        <v>1.5573793012114339</v>
      </c>
      <c r="AG11" s="12">
        <f>AF11*VLOOKUP($A11,'EU Ref Sc 2020 Energy intensive'!$A$5:$AE$33,AG$2)</f>
        <v>1.5539778568557967</v>
      </c>
      <c r="AH11" s="13">
        <f t="shared" ref="AH11:AQ11" si="8">AG11</f>
        <v>1.5539778568557967</v>
      </c>
      <c r="AI11" s="13">
        <f t="shared" si="8"/>
        <v>1.5539778568557967</v>
      </c>
      <c r="AJ11" s="13">
        <f t="shared" si="8"/>
        <v>1.5539778568557967</v>
      </c>
      <c r="AK11" s="13">
        <f t="shared" si="8"/>
        <v>1.5539778568557967</v>
      </c>
      <c r="AL11" s="13">
        <f t="shared" si="8"/>
        <v>1.5539778568557967</v>
      </c>
      <c r="AM11" s="13">
        <f t="shared" si="8"/>
        <v>1.5539778568557967</v>
      </c>
      <c r="AN11" s="13">
        <f t="shared" si="8"/>
        <v>1.5539778568557967</v>
      </c>
      <c r="AO11" s="13">
        <f t="shared" si="8"/>
        <v>1.5539778568557967</v>
      </c>
      <c r="AP11" s="13">
        <f t="shared" si="8"/>
        <v>1.5539778568557967</v>
      </c>
      <c r="AQ11" s="13">
        <f t="shared" si="8"/>
        <v>1.5539778568557967</v>
      </c>
    </row>
    <row r="12" spans="1:43" x14ac:dyDescent="0.3">
      <c r="A12" t="s">
        <v>1409</v>
      </c>
      <c r="B12" t="s">
        <v>1394</v>
      </c>
      <c r="C12" t="str">
        <f t="shared" si="0"/>
        <v>FIIUEP</v>
      </c>
      <c r="D12" s="2">
        <v>151.6995</v>
      </c>
      <c r="E12" s="12">
        <f>D12*VLOOKUP($A12,'EU Ref Sc 2020 Energy intensive'!$A$5:$AE$33,E$2)</f>
        <v>158.67549571803585</v>
      </c>
      <c r="F12" s="12">
        <f>E12*VLOOKUP($A12,'EU Ref Sc 2020 Energy intensive'!$A$5:$AE$33,F$2)</f>
        <v>165.65149143607172</v>
      </c>
      <c r="G12" s="12">
        <f>F12*VLOOKUP($A12,'EU Ref Sc 2020 Energy intensive'!$A$5:$AE$33,G$2)</f>
        <v>172.62748715410757</v>
      </c>
      <c r="H12" s="12">
        <f>G12*VLOOKUP($A12,'EU Ref Sc 2020 Energy intensive'!$A$5:$AE$33,H$2)</f>
        <v>179.60348287214342</v>
      </c>
      <c r="I12" s="12">
        <f>H12*VLOOKUP($A12,'EU Ref Sc 2020 Energy intensive'!$A$5:$AE$33,I$2)</f>
        <v>180.49702338663752</v>
      </c>
      <c r="J12" s="12">
        <f>I12*VLOOKUP($A12,'EU Ref Sc 2020 Energy intensive'!$A$5:$AE$33,J$2)</f>
        <v>181.39056390113166</v>
      </c>
      <c r="K12" s="12">
        <f>J12*VLOOKUP($A12,'EU Ref Sc 2020 Energy intensive'!$A$5:$AE$33,K$2)</f>
        <v>182.28410441562579</v>
      </c>
      <c r="L12" s="12">
        <f>K12*VLOOKUP($A12,'EU Ref Sc 2020 Energy intensive'!$A$5:$AE$33,L$2)</f>
        <v>183.1776449301199</v>
      </c>
      <c r="M12" s="12">
        <f>L12*VLOOKUP($A12,'EU Ref Sc 2020 Energy intensive'!$A$5:$AE$33,M$2)</f>
        <v>184.07118544461406</v>
      </c>
      <c r="N12" s="12">
        <f>M12*VLOOKUP($A12,'EU Ref Sc 2020 Energy intensive'!$A$5:$AE$33,N$2)</f>
        <v>180.16498675573843</v>
      </c>
      <c r="O12" s="12">
        <f>N12*VLOOKUP($A12,'EU Ref Sc 2020 Energy intensive'!$A$5:$AE$33,O$2)</f>
        <v>176.25878806686282</v>
      </c>
      <c r="P12" s="12">
        <f>O12*VLOOKUP($A12,'EU Ref Sc 2020 Energy intensive'!$A$5:$AE$33,P$2)</f>
        <v>172.35258937798719</v>
      </c>
      <c r="Q12" s="12">
        <f>P12*VLOOKUP($A12,'EU Ref Sc 2020 Energy intensive'!$A$5:$AE$33,Q$2)</f>
        <v>168.44639068911158</v>
      </c>
      <c r="R12" s="12">
        <f>Q12*VLOOKUP($A12,'EU Ref Sc 2020 Energy intensive'!$A$5:$AE$33,R$2)</f>
        <v>164.54019200023595</v>
      </c>
      <c r="S12" s="12">
        <f>R12*VLOOKUP($A12,'EU Ref Sc 2020 Energy intensive'!$A$5:$AE$33,S$2)</f>
        <v>163.21823158630687</v>
      </c>
      <c r="T12" s="12">
        <f>S12*VLOOKUP($A12,'EU Ref Sc 2020 Energy intensive'!$A$5:$AE$33,T$2)</f>
        <v>161.89627117237779</v>
      </c>
      <c r="U12" s="12">
        <f>T12*VLOOKUP($A12,'EU Ref Sc 2020 Energy intensive'!$A$5:$AE$33,U$2)</f>
        <v>160.57431075844872</v>
      </c>
      <c r="V12" s="12">
        <f>U12*VLOOKUP($A12,'EU Ref Sc 2020 Energy intensive'!$A$5:$AE$33,V$2)</f>
        <v>159.25235034451964</v>
      </c>
      <c r="W12" s="12">
        <f>V12*VLOOKUP($A12,'EU Ref Sc 2020 Energy intensive'!$A$5:$AE$33,W$2)</f>
        <v>157.93038993059056</v>
      </c>
      <c r="X12" s="12">
        <f>W12*VLOOKUP($A12,'EU Ref Sc 2020 Energy intensive'!$A$5:$AE$33,X$2)</f>
        <v>156.79245950244308</v>
      </c>
      <c r="Y12" s="12">
        <f>X12*VLOOKUP($A12,'EU Ref Sc 2020 Energy intensive'!$A$5:$AE$33,Y$2)</f>
        <v>155.6545290742956</v>
      </c>
      <c r="Z12" s="12">
        <f>Y12*VLOOKUP($A12,'EU Ref Sc 2020 Energy intensive'!$A$5:$AE$33,Z$2)</f>
        <v>154.51659864614811</v>
      </c>
      <c r="AA12" s="12">
        <f>Z12*VLOOKUP($A12,'EU Ref Sc 2020 Energy intensive'!$A$5:$AE$33,AA$2)</f>
        <v>153.37866821800063</v>
      </c>
      <c r="AB12" s="12">
        <f>AA12*VLOOKUP($A12,'EU Ref Sc 2020 Energy intensive'!$A$5:$AE$33,AB$2)</f>
        <v>152.24073778985314</v>
      </c>
      <c r="AC12" s="12">
        <f>AB12*VLOOKUP($A12,'EU Ref Sc 2020 Energy intensive'!$A$5:$AE$33,AC$2)</f>
        <v>151.91111123559989</v>
      </c>
      <c r="AD12" s="12">
        <f>AC12*VLOOKUP($A12,'EU Ref Sc 2020 Energy intensive'!$A$5:$AE$33,AD$2)</f>
        <v>151.58148468134664</v>
      </c>
      <c r="AE12" s="12">
        <f>AD12*VLOOKUP($A12,'EU Ref Sc 2020 Energy intensive'!$A$5:$AE$33,AE$2)</f>
        <v>151.25185812709339</v>
      </c>
      <c r="AF12" s="12">
        <f>AE12*VLOOKUP($A12,'EU Ref Sc 2020 Energy intensive'!$A$5:$AE$33,AF$2)</f>
        <v>150.92223157284013</v>
      </c>
      <c r="AG12" s="12">
        <f>AF12*VLOOKUP($A12,'EU Ref Sc 2020 Energy intensive'!$A$5:$AE$33,AG$2)</f>
        <v>150.59260501858691</v>
      </c>
      <c r="AH12" s="13">
        <f t="shared" ref="AH12:AQ12" si="9">AG12</f>
        <v>150.59260501858691</v>
      </c>
      <c r="AI12" s="13">
        <f t="shared" si="9"/>
        <v>150.59260501858691</v>
      </c>
      <c r="AJ12" s="13">
        <f t="shared" si="9"/>
        <v>150.59260501858691</v>
      </c>
      <c r="AK12" s="13">
        <f t="shared" si="9"/>
        <v>150.59260501858691</v>
      </c>
      <c r="AL12" s="13">
        <f t="shared" si="9"/>
        <v>150.59260501858691</v>
      </c>
      <c r="AM12" s="13">
        <f t="shared" si="9"/>
        <v>150.59260501858691</v>
      </c>
      <c r="AN12" s="13">
        <f t="shared" si="9"/>
        <v>150.59260501858691</v>
      </c>
      <c r="AO12" s="13">
        <f t="shared" si="9"/>
        <v>150.59260501858691</v>
      </c>
      <c r="AP12" s="13">
        <f t="shared" si="9"/>
        <v>150.59260501858691</v>
      </c>
      <c r="AQ12" s="13">
        <f t="shared" si="9"/>
        <v>150.59260501858691</v>
      </c>
    </row>
    <row r="13" spans="1:43" x14ac:dyDescent="0.3">
      <c r="A13" t="s">
        <v>1410</v>
      </c>
      <c r="B13" t="s">
        <v>1394</v>
      </c>
      <c r="C13" t="str">
        <f t="shared" si="0"/>
        <v>FRIUEP</v>
      </c>
      <c r="D13" s="2">
        <v>59.734299999999998</v>
      </c>
      <c r="E13" s="12">
        <f>D13*VLOOKUP($A13,'EU Ref Sc 2020 Energy intensive'!$A$5:$AE$33,E$2)</f>
        <v>62.481218882526761</v>
      </c>
      <c r="F13" s="12">
        <f>E13*VLOOKUP($A13,'EU Ref Sc 2020 Energy intensive'!$A$5:$AE$33,F$2)</f>
        <v>65.228137765053532</v>
      </c>
      <c r="G13" s="12">
        <f>F13*VLOOKUP($A13,'EU Ref Sc 2020 Energy intensive'!$A$5:$AE$33,G$2)</f>
        <v>67.975056647580288</v>
      </c>
      <c r="H13" s="12">
        <f>G13*VLOOKUP($A13,'EU Ref Sc 2020 Energy intensive'!$A$5:$AE$33,H$2)</f>
        <v>70.721975530107059</v>
      </c>
      <c r="I13" s="12">
        <f>H13*VLOOKUP($A13,'EU Ref Sc 2020 Energy intensive'!$A$5:$AE$33,I$2)</f>
        <v>71.073822551059308</v>
      </c>
      <c r="J13" s="12">
        <f>I13*VLOOKUP($A13,'EU Ref Sc 2020 Energy intensive'!$A$5:$AE$33,J$2)</f>
        <v>71.425669572011557</v>
      </c>
      <c r="K13" s="12">
        <f>J13*VLOOKUP($A13,'EU Ref Sc 2020 Energy intensive'!$A$5:$AE$33,K$2)</f>
        <v>71.777516592963806</v>
      </c>
      <c r="L13" s="12">
        <f>K13*VLOOKUP($A13,'EU Ref Sc 2020 Energy intensive'!$A$5:$AE$33,L$2)</f>
        <v>72.129363613916055</v>
      </c>
      <c r="M13" s="12">
        <f>L13*VLOOKUP($A13,'EU Ref Sc 2020 Energy intensive'!$A$5:$AE$33,M$2)</f>
        <v>72.481210634868319</v>
      </c>
      <c r="N13" s="12">
        <f>M13*VLOOKUP($A13,'EU Ref Sc 2020 Energy intensive'!$A$5:$AE$33,N$2)</f>
        <v>70.943077388938676</v>
      </c>
      <c r="O13" s="12">
        <f>N13*VLOOKUP($A13,'EU Ref Sc 2020 Energy intensive'!$A$5:$AE$33,O$2)</f>
        <v>69.404944143009047</v>
      </c>
      <c r="P13" s="12">
        <f>O13*VLOOKUP($A13,'EU Ref Sc 2020 Energy intensive'!$A$5:$AE$33,P$2)</f>
        <v>67.866810897079404</v>
      </c>
      <c r="Q13" s="12">
        <f>P13*VLOOKUP($A13,'EU Ref Sc 2020 Energy intensive'!$A$5:$AE$33,Q$2)</f>
        <v>66.328677651149775</v>
      </c>
      <c r="R13" s="12">
        <f>Q13*VLOOKUP($A13,'EU Ref Sc 2020 Energy intensive'!$A$5:$AE$33,R$2)</f>
        <v>64.790544405220132</v>
      </c>
      <c r="S13" s="12">
        <f>R13*VLOOKUP($A13,'EU Ref Sc 2020 Energy intensive'!$A$5:$AE$33,S$2)</f>
        <v>64.269999644335854</v>
      </c>
      <c r="T13" s="12">
        <f>S13*VLOOKUP($A13,'EU Ref Sc 2020 Energy intensive'!$A$5:$AE$33,T$2)</f>
        <v>63.749454883451584</v>
      </c>
      <c r="U13" s="12">
        <f>T13*VLOOKUP($A13,'EU Ref Sc 2020 Energy intensive'!$A$5:$AE$33,U$2)</f>
        <v>63.228910122567314</v>
      </c>
      <c r="V13" s="12">
        <f>U13*VLOOKUP($A13,'EU Ref Sc 2020 Energy intensive'!$A$5:$AE$33,V$2)</f>
        <v>62.708365361683036</v>
      </c>
      <c r="W13" s="12">
        <f>V13*VLOOKUP($A13,'EU Ref Sc 2020 Energy intensive'!$A$5:$AE$33,W$2)</f>
        <v>62.187820600798759</v>
      </c>
      <c r="X13" s="12">
        <f>W13*VLOOKUP($A13,'EU Ref Sc 2020 Energy intensive'!$A$5:$AE$33,X$2)</f>
        <v>61.739740827469973</v>
      </c>
      <c r="Y13" s="12">
        <f>X13*VLOOKUP($A13,'EU Ref Sc 2020 Energy intensive'!$A$5:$AE$33,Y$2)</f>
        <v>61.291661054141187</v>
      </c>
      <c r="Z13" s="12">
        <f>Y13*VLOOKUP($A13,'EU Ref Sc 2020 Energy intensive'!$A$5:$AE$33,Z$2)</f>
        <v>60.843581280812401</v>
      </c>
      <c r="AA13" s="12">
        <f>Z13*VLOOKUP($A13,'EU Ref Sc 2020 Energy intensive'!$A$5:$AE$33,AA$2)</f>
        <v>60.395501507483615</v>
      </c>
      <c r="AB13" s="12">
        <f>AA13*VLOOKUP($A13,'EU Ref Sc 2020 Energy intensive'!$A$5:$AE$33,AB$2)</f>
        <v>59.94742173415483</v>
      </c>
      <c r="AC13" s="12">
        <f>AB13*VLOOKUP($A13,'EU Ref Sc 2020 Energy intensive'!$A$5:$AE$33,AC$2)</f>
        <v>59.8176255813677</v>
      </c>
      <c r="AD13" s="12">
        <f>AC13*VLOOKUP($A13,'EU Ref Sc 2020 Energy intensive'!$A$5:$AE$33,AD$2)</f>
        <v>59.687829428580578</v>
      </c>
      <c r="AE13" s="12">
        <f>AD13*VLOOKUP($A13,'EU Ref Sc 2020 Energy intensive'!$A$5:$AE$33,AE$2)</f>
        <v>59.558033275793456</v>
      </c>
      <c r="AF13" s="12">
        <f>AE13*VLOOKUP($A13,'EU Ref Sc 2020 Energy intensive'!$A$5:$AE$33,AF$2)</f>
        <v>59.428237123006333</v>
      </c>
      <c r="AG13" s="12">
        <f>AF13*VLOOKUP($A13,'EU Ref Sc 2020 Energy intensive'!$A$5:$AE$33,AG$2)</f>
        <v>59.298440970219225</v>
      </c>
      <c r="AH13" s="13">
        <f t="shared" ref="AH13:AQ13" si="10">AG13</f>
        <v>59.298440970219225</v>
      </c>
      <c r="AI13" s="13">
        <f t="shared" si="10"/>
        <v>59.298440970219225</v>
      </c>
      <c r="AJ13" s="13">
        <f t="shared" si="10"/>
        <v>59.298440970219225</v>
      </c>
      <c r="AK13" s="13">
        <f t="shared" si="10"/>
        <v>59.298440970219225</v>
      </c>
      <c r="AL13" s="13">
        <f t="shared" si="10"/>
        <v>59.298440970219225</v>
      </c>
      <c r="AM13" s="13">
        <f t="shared" si="10"/>
        <v>59.298440970219225</v>
      </c>
      <c r="AN13" s="13">
        <f t="shared" si="10"/>
        <v>59.298440970219225</v>
      </c>
      <c r="AO13" s="13">
        <f t="shared" si="10"/>
        <v>59.298440970219225</v>
      </c>
      <c r="AP13" s="13">
        <f t="shared" si="10"/>
        <v>59.298440970219225</v>
      </c>
      <c r="AQ13" s="13">
        <f t="shared" si="10"/>
        <v>59.298440970219225</v>
      </c>
    </row>
    <row r="14" spans="1:43" x14ac:dyDescent="0.3">
      <c r="A14" t="s">
        <v>1411</v>
      </c>
      <c r="B14" t="s">
        <v>1394</v>
      </c>
      <c r="C14" t="str">
        <f t="shared" si="0"/>
        <v>HRIUEP</v>
      </c>
      <c r="D14" s="2">
        <v>2.0080999999999998</v>
      </c>
      <c r="E14" s="12">
        <f>D14*VLOOKUP($A14,'EU Ref Sc 2020 Energy intensive'!$A$5:$AE$33,E$2)</f>
        <v>2.0304844547699124</v>
      </c>
      <c r="F14" s="12">
        <f>E14*VLOOKUP($A14,'EU Ref Sc 2020 Energy intensive'!$A$5:$AE$33,F$2)</f>
        <v>2.0528689095398249</v>
      </c>
      <c r="G14" s="12">
        <f>F14*VLOOKUP($A14,'EU Ref Sc 2020 Energy intensive'!$A$5:$AE$33,G$2)</f>
        <v>2.0752533643097379</v>
      </c>
      <c r="H14" s="12">
        <f>G14*VLOOKUP($A14,'EU Ref Sc 2020 Energy intensive'!$A$5:$AE$33,H$2)</f>
        <v>2.0976378190796501</v>
      </c>
      <c r="I14" s="12">
        <f>H14*VLOOKUP($A14,'EU Ref Sc 2020 Energy intensive'!$A$5:$AE$33,I$2)</f>
        <v>2.0613851641599612</v>
      </c>
      <c r="J14" s="12">
        <f>I14*VLOOKUP($A14,'EU Ref Sc 2020 Energy intensive'!$A$5:$AE$33,J$2)</f>
        <v>2.0251325092402723</v>
      </c>
      <c r="K14" s="12">
        <f>J14*VLOOKUP($A14,'EU Ref Sc 2020 Energy intensive'!$A$5:$AE$33,K$2)</f>
        <v>1.9888798543205835</v>
      </c>
      <c r="L14" s="12">
        <f>K14*VLOOKUP($A14,'EU Ref Sc 2020 Energy intensive'!$A$5:$AE$33,L$2)</f>
        <v>1.9526271994008948</v>
      </c>
      <c r="M14" s="12">
        <f>L14*VLOOKUP($A14,'EU Ref Sc 2020 Energy intensive'!$A$5:$AE$33,M$2)</f>
        <v>1.9163745444812059</v>
      </c>
      <c r="N14" s="12">
        <f>M14*VLOOKUP($A14,'EU Ref Sc 2020 Energy intensive'!$A$5:$AE$33,N$2)</f>
        <v>1.8993812679500828</v>
      </c>
      <c r="O14" s="12">
        <f>N14*VLOOKUP($A14,'EU Ref Sc 2020 Energy intensive'!$A$5:$AE$33,O$2)</f>
        <v>1.8823879914189594</v>
      </c>
      <c r="P14" s="12">
        <f>O14*VLOOKUP($A14,'EU Ref Sc 2020 Energy intensive'!$A$5:$AE$33,P$2)</f>
        <v>1.8653947148878363</v>
      </c>
      <c r="Q14" s="12">
        <f>P14*VLOOKUP($A14,'EU Ref Sc 2020 Energy intensive'!$A$5:$AE$33,Q$2)</f>
        <v>1.8484014383567129</v>
      </c>
      <c r="R14" s="12">
        <f>Q14*VLOOKUP($A14,'EU Ref Sc 2020 Energy intensive'!$A$5:$AE$33,R$2)</f>
        <v>1.8314081618255897</v>
      </c>
      <c r="S14" s="12">
        <f>R14*VLOOKUP($A14,'EU Ref Sc 2020 Energy intensive'!$A$5:$AE$33,S$2)</f>
        <v>1.8396952265460218</v>
      </c>
      <c r="T14" s="12">
        <f>S14*VLOOKUP($A14,'EU Ref Sc 2020 Energy intensive'!$A$5:$AE$33,T$2)</f>
        <v>1.8479822912664539</v>
      </c>
      <c r="U14" s="12">
        <f>T14*VLOOKUP($A14,'EU Ref Sc 2020 Energy intensive'!$A$5:$AE$33,U$2)</f>
        <v>1.8562693559868859</v>
      </c>
      <c r="V14" s="12">
        <f>U14*VLOOKUP($A14,'EU Ref Sc 2020 Energy intensive'!$A$5:$AE$33,V$2)</f>
        <v>1.864556420707318</v>
      </c>
      <c r="W14" s="12">
        <f>V14*VLOOKUP($A14,'EU Ref Sc 2020 Energy intensive'!$A$5:$AE$33,W$2)</f>
        <v>1.87284348542775</v>
      </c>
      <c r="X14" s="12">
        <f>W14*VLOOKUP($A14,'EU Ref Sc 2020 Energy intensive'!$A$5:$AE$33,X$2)</f>
        <v>1.8814224834487423</v>
      </c>
      <c r="Y14" s="12">
        <f>X14*VLOOKUP($A14,'EU Ref Sc 2020 Energy intensive'!$A$5:$AE$33,Y$2)</f>
        <v>1.8900014814697343</v>
      </c>
      <c r="Z14" s="12">
        <f>Y14*VLOOKUP($A14,'EU Ref Sc 2020 Energy intensive'!$A$5:$AE$33,Z$2)</f>
        <v>1.8985804794907266</v>
      </c>
      <c r="AA14" s="12">
        <f>Z14*VLOOKUP($A14,'EU Ref Sc 2020 Energy intensive'!$A$5:$AE$33,AA$2)</f>
        <v>1.9071594775117187</v>
      </c>
      <c r="AB14" s="12">
        <f>AA14*VLOOKUP($A14,'EU Ref Sc 2020 Energy intensive'!$A$5:$AE$33,AB$2)</f>
        <v>1.9157384755327105</v>
      </c>
      <c r="AC14" s="12">
        <f>AB14*VLOOKUP($A14,'EU Ref Sc 2020 Energy intensive'!$A$5:$AE$33,AC$2)</f>
        <v>1.9213495037620045</v>
      </c>
      <c r="AD14" s="12">
        <f>AC14*VLOOKUP($A14,'EU Ref Sc 2020 Energy intensive'!$A$5:$AE$33,AD$2)</f>
        <v>1.9269605319912988</v>
      </c>
      <c r="AE14" s="12">
        <f>AD14*VLOOKUP($A14,'EU Ref Sc 2020 Energy intensive'!$A$5:$AE$33,AE$2)</f>
        <v>1.9325715602205931</v>
      </c>
      <c r="AF14" s="12">
        <f>AE14*VLOOKUP($A14,'EU Ref Sc 2020 Energy intensive'!$A$5:$AE$33,AF$2)</f>
        <v>1.9381825884498871</v>
      </c>
      <c r="AG14" s="12">
        <f>AF14*VLOOKUP($A14,'EU Ref Sc 2020 Energy intensive'!$A$5:$AE$33,AG$2)</f>
        <v>1.9437936166791814</v>
      </c>
      <c r="AH14" s="13">
        <f t="shared" ref="AH14:AQ14" si="11">AG14</f>
        <v>1.9437936166791814</v>
      </c>
      <c r="AI14" s="13">
        <f t="shared" si="11"/>
        <v>1.9437936166791814</v>
      </c>
      <c r="AJ14" s="13">
        <f t="shared" si="11"/>
        <v>1.9437936166791814</v>
      </c>
      <c r="AK14" s="13">
        <f t="shared" si="11"/>
        <v>1.9437936166791814</v>
      </c>
      <c r="AL14" s="13">
        <f t="shared" si="11"/>
        <v>1.9437936166791814</v>
      </c>
      <c r="AM14" s="13">
        <f t="shared" si="11"/>
        <v>1.9437936166791814</v>
      </c>
      <c r="AN14" s="13">
        <f t="shared" si="11"/>
        <v>1.9437936166791814</v>
      </c>
      <c r="AO14" s="13">
        <f t="shared" si="11"/>
        <v>1.9437936166791814</v>
      </c>
      <c r="AP14" s="13">
        <f t="shared" si="11"/>
        <v>1.9437936166791814</v>
      </c>
      <c r="AQ14" s="13">
        <f t="shared" si="11"/>
        <v>1.9437936166791814</v>
      </c>
    </row>
    <row r="15" spans="1:43" x14ac:dyDescent="0.3">
      <c r="A15" t="s">
        <v>1421</v>
      </c>
      <c r="B15" t="s">
        <v>1394</v>
      </c>
      <c r="C15" t="str">
        <f t="shared" si="0"/>
        <v>PTIUEP</v>
      </c>
      <c r="D15" s="2">
        <v>31.593299999999996</v>
      </c>
      <c r="E15" s="12">
        <f>D15*VLOOKUP($A15,'EU Ref Sc 2020 Energy intensive'!$A$5:$AE$33,E$2)</f>
        <v>31.590187835376533</v>
      </c>
      <c r="F15" s="12">
        <f>E15*VLOOKUP($A15,'EU Ref Sc 2020 Energy intensive'!$A$5:$AE$33,F$2)</f>
        <v>31.58707567075307</v>
      </c>
      <c r="G15" s="12">
        <f>F15*VLOOKUP($A15,'EU Ref Sc 2020 Energy intensive'!$A$5:$AE$33,G$2)</f>
        <v>31.583963506129606</v>
      </c>
      <c r="H15" s="12">
        <f>G15*VLOOKUP($A15,'EU Ref Sc 2020 Energy intensive'!$A$5:$AE$33,H$2)</f>
        <v>31.580851341506147</v>
      </c>
      <c r="I15" s="12">
        <f>H15*VLOOKUP($A15,'EU Ref Sc 2020 Energy intensive'!$A$5:$AE$33,I$2)</f>
        <v>31.327006942032234</v>
      </c>
      <c r="J15" s="12">
        <f>I15*VLOOKUP($A15,'EU Ref Sc 2020 Energy intensive'!$A$5:$AE$33,J$2)</f>
        <v>31.073162542558322</v>
      </c>
      <c r="K15" s="12">
        <f>J15*VLOOKUP($A15,'EU Ref Sc 2020 Energy intensive'!$A$5:$AE$33,K$2)</f>
        <v>30.819318143084406</v>
      </c>
      <c r="L15" s="12">
        <f>K15*VLOOKUP($A15,'EU Ref Sc 2020 Energy intensive'!$A$5:$AE$33,L$2)</f>
        <v>30.565473743610493</v>
      </c>
      <c r="M15" s="12">
        <f>L15*VLOOKUP($A15,'EU Ref Sc 2020 Energy intensive'!$A$5:$AE$33,M$2)</f>
        <v>30.311629344136588</v>
      </c>
      <c r="N15" s="12">
        <f>M15*VLOOKUP($A15,'EU Ref Sc 2020 Energy intensive'!$A$5:$AE$33,N$2)</f>
        <v>29.897129325092106</v>
      </c>
      <c r="O15" s="12">
        <f>N15*VLOOKUP($A15,'EU Ref Sc 2020 Energy intensive'!$A$5:$AE$33,O$2)</f>
        <v>29.482629306047624</v>
      </c>
      <c r="P15" s="12">
        <f>O15*VLOOKUP($A15,'EU Ref Sc 2020 Energy intensive'!$A$5:$AE$33,P$2)</f>
        <v>29.068129287003142</v>
      </c>
      <c r="Q15" s="12">
        <f>P15*VLOOKUP($A15,'EU Ref Sc 2020 Energy intensive'!$A$5:$AE$33,Q$2)</f>
        <v>28.65362926795866</v>
      </c>
      <c r="R15" s="12">
        <f>Q15*VLOOKUP($A15,'EU Ref Sc 2020 Energy intensive'!$A$5:$AE$33,R$2)</f>
        <v>28.239129248914178</v>
      </c>
      <c r="S15" s="12">
        <f>R15*VLOOKUP($A15,'EU Ref Sc 2020 Energy intensive'!$A$5:$AE$33,S$2)</f>
        <v>27.678838420779012</v>
      </c>
      <c r="T15" s="12">
        <f>S15*VLOOKUP($A15,'EU Ref Sc 2020 Energy intensive'!$A$5:$AE$33,T$2)</f>
        <v>27.118547592643846</v>
      </c>
      <c r="U15" s="12">
        <f>T15*VLOOKUP($A15,'EU Ref Sc 2020 Energy intensive'!$A$5:$AE$33,U$2)</f>
        <v>26.55825676450868</v>
      </c>
      <c r="V15" s="12">
        <f>U15*VLOOKUP($A15,'EU Ref Sc 2020 Energy intensive'!$A$5:$AE$33,V$2)</f>
        <v>25.997965936373514</v>
      </c>
      <c r="W15" s="12">
        <f>V15*VLOOKUP($A15,'EU Ref Sc 2020 Energy intensive'!$A$5:$AE$33,W$2)</f>
        <v>25.437675108238356</v>
      </c>
      <c r="X15" s="12">
        <f>W15*VLOOKUP($A15,'EU Ref Sc 2020 Energy intensive'!$A$5:$AE$33,X$2)</f>
        <v>25.15386541251678</v>
      </c>
      <c r="Y15" s="12">
        <f>X15*VLOOKUP($A15,'EU Ref Sc 2020 Energy intensive'!$A$5:$AE$33,Y$2)</f>
        <v>24.870055716795203</v>
      </c>
      <c r="Z15" s="12">
        <f>Y15*VLOOKUP($A15,'EU Ref Sc 2020 Energy intensive'!$A$5:$AE$33,Z$2)</f>
        <v>24.586246021073631</v>
      </c>
      <c r="AA15" s="12">
        <f>Z15*VLOOKUP($A15,'EU Ref Sc 2020 Energy intensive'!$A$5:$AE$33,AA$2)</f>
        <v>24.302436325352055</v>
      </c>
      <c r="AB15" s="12">
        <f>AA15*VLOOKUP($A15,'EU Ref Sc 2020 Energy intensive'!$A$5:$AE$33,AB$2)</f>
        <v>24.018626629630472</v>
      </c>
      <c r="AC15" s="12">
        <f>AB15*VLOOKUP($A15,'EU Ref Sc 2020 Energy intensive'!$A$5:$AE$33,AC$2)</f>
        <v>23.784578715840723</v>
      </c>
      <c r="AD15" s="12">
        <f>AC15*VLOOKUP($A15,'EU Ref Sc 2020 Energy intensive'!$A$5:$AE$33,AD$2)</f>
        <v>23.550530802050972</v>
      </c>
      <c r="AE15" s="12">
        <f>AD15*VLOOKUP($A15,'EU Ref Sc 2020 Energy intensive'!$A$5:$AE$33,AE$2)</f>
        <v>23.31648288826122</v>
      </c>
      <c r="AF15" s="12">
        <f>AE15*VLOOKUP($A15,'EU Ref Sc 2020 Energy intensive'!$A$5:$AE$33,AF$2)</f>
        <v>23.082434974471468</v>
      </c>
      <c r="AG15" s="12">
        <f>AF15*VLOOKUP($A15,'EU Ref Sc 2020 Energy intensive'!$A$5:$AE$33,AG$2)</f>
        <v>22.848387060681727</v>
      </c>
      <c r="AH15" s="13">
        <f t="shared" ref="AH15:AQ15" si="12">AG15</f>
        <v>22.848387060681727</v>
      </c>
      <c r="AI15" s="13">
        <f t="shared" si="12"/>
        <v>22.848387060681727</v>
      </c>
      <c r="AJ15" s="13">
        <f t="shared" si="12"/>
        <v>22.848387060681727</v>
      </c>
      <c r="AK15" s="13">
        <f t="shared" si="12"/>
        <v>22.848387060681727</v>
      </c>
      <c r="AL15" s="13">
        <f t="shared" si="12"/>
        <v>22.848387060681727</v>
      </c>
      <c r="AM15" s="13">
        <f t="shared" si="12"/>
        <v>22.848387060681727</v>
      </c>
      <c r="AN15" s="13">
        <f t="shared" si="12"/>
        <v>22.848387060681727</v>
      </c>
      <c r="AO15" s="13">
        <f t="shared" si="12"/>
        <v>22.848387060681727</v>
      </c>
      <c r="AP15" s="13">
        <f t="shared" si="12"/>
        <v>22.848387060681727</v>
      </c>
      <c r="AQ15" s="13">
        <f t="shared" si="12"/>
        <v>22.848387060681727</v>
      </c>
    </row>
    <row r="16" spans="1:43" x14ac:dyDescent="0.3">
      <c r="A16" t="s">
        <v>1423</v>
      </c>
      <c r="B16" t="s">
        <v>1394</v>
      </c>
      <c r="C16" t="str">
        <f t="shared" si="0"/>
        <v>SEIUEP</v>
      </c>
      <c r="D16" s="2">
        <v>152.19920000000002</v>
      </c>
      <c r="E16" s="12">
        <f>D16*VLOOKUP($A16,'EU Ref Sc 2020 Energy intensive'!$A$5:$AE$33,E$2)</f>
        <v>152.18862443047246</v>
      </c>
      <c r="F16" s="12">
        <f>E16*VLOOKUP($A16,'EU Ref Sc 2020 Energy intensive'!$A$5:$AE$33,F$2)</f>
        <v>152.1780488609449</v>
      </c>
      <c r="G16" s="12">
        <f>F16*VLOOKUP($A16,'EU Ref Sc 2020 Energy intensive'!$A$5:$AE$33,G$2)</f>
        <v>152.16747329141734</v>
      </c>
      <c r="H16" s="12">
        <f>G16*VLOOKUP($A16,'EU Ref Sc 2020 Energy intensive'!$A$5:$AE$33,H$2)</f>
        <v>152.15689772188975</v>
      </c>
      <c r="I16" s="12">
        <f>H16*VLOOKUP($A16,'EU Ref Sc 2020 Energy intensive'!$A$5:$AE$33,I$2)</f>
        <v>151.95890962420904</v>
      </c>
      <c r="J16" s="12">
        <f>I16*VLOOKUP($A16,'EU Ref Sc 2020 Energy intensive'!$A$5:$AE$33,J$2)</f>
        <v>151.76092152652834</v>
      </c>
      <c r="K16" s="12">
        <f>J16*VLOOKUP($A16,'EU Ref Sc 2020 Energy intensive'!$A$5:$AE$33,K$2)</f>
        <v>151.5629334288476</v>
      </c>
      <c r="L16" s="12">
        <f>K16*VLOOKUP($A16,'EU Ref Sc 2020 Energy intensive'!$A$5:$AE$33,L$2)</f>
        <v>151.36494533116689</v>
      </c>
      <c r="M16" s="12">
        <f>L16*VLOOKUP($A16,'EU Ref Sc 2020 Energy intensive'!$A$5:$AE$33,M$2)</f>
        <v>151.16695723348616</v>
      </c>
      <c r="N16" s="12">
        <f>M16*VLOOKUP($A16,'EU Ref Sc 2020 Energy intensive'!$A$5:$AE$33,N$2)</f>
        <v>148.55379202218603</v>
      </c>
      <c r="O16" s="12">
        <f>N16*VLOOKUP($A16,'EU Ref Sc 2020 Energy intensive'!$A$5:$AE$33,O$2)</f>
        <v>145.94062681088593</v>
      </c>
      <c r="P16" s="12">
        <f>O16*VLOOKUP($A16,'EU Ref Sc 2020 Energy intensive'!$A$5:$AE$33,P$2)</f>
        <v>143.32746159958583</v>
      </c>
      <c r="Q16" s="12">
        <f>P16*VLOOKUP($A16,'EU Ref Sc 2020 Energy intensive'!$A$5:$AE$33,Q$2)</f>
        <v>140.71429638828573</v>
      </c>
      <c r="R16" s="12">
        <f>Q16*VLOOKUP($A16,'EU Ref Sc 2020 Energy intensive'!$A$5:$AE$33,R$2)</f>
        <v>138.1011311769856</v>
      </c>
      <c r="S16" s="12">
        <f>R16*VLOOKUP($A16,'EU Ref Sc 2020 Energy intensive'!$A$5:$AE$33,S$2)</f>
        <v>135.17432673569579</v>
      </c>
      <c r="T16" s="12">
        <f>S16*VLOOKUP($A16,'EU Ref Sc 2020 Energy intensive'!$A$5:$AE$33,T$2)</f>
        <v>132.24752229440597</v>
      </c>
      <c r="U16" s="12">
        <f>T16*VLOOKUP($A16,'EU Ref Sc 2020 Energy intensive'!$A$5:$AE$33,U$2)</f>
        <v>129.32071785311615</v>
      </c>
      <c r="V16" s="12">
        <f>U16*VLOOKUP($A16,'EU Ref Sc 2020 Energy intensive'!$A$5:$AE$33,V$2)</f>
        <v>126.39391341182633</v>
      </c>
      <c r="W16" s="12">
        <f>V16*VLOOKUP($A16,'EU Ref Sc 2020 Energy intensive'!$A$5:$AE$33,W$2)</f>
        <v>123.46710897053654</v>
      </c>
      <c r="X16" s="12">
        <f>W16*VLOOKUP($A16,'EU Ref Sc 2020 Energy intensive'!$A$5:$AE$33,X$2)</f>
        <v>123.48939813481923</v>
      </c>
      <c r="Y16" s="12">
        <f>X16*VLOOKUP($A16,'EU Ref Sc 2020 Energy intensive'!$A$5:$AE$33,Y$2)</f>
        <v>123.51168729910192</v>
      </c>
      <c r="Z16" s="12">
        <f>Y16*VLOOKUP($A16,'EU Ref Sc 2020 Energy intensive'!$A$5:$AE$33,Z$2)</f>
        <v>123.5339764633846</v>
      </c>
      <c r="AA16" s="12">
        <f>Z16*VLOOKUP($A16,'EU Ref Sc 2020 Energy intensive'!$A$5:$AE$33,AA$2)</f>
        <v>123.5562656276673</v>
      </c>
      <c r="AB16" s="12">
        <f>AA16*VLOOKUP($A16,'EU Ref Sc 2020 Energy intensive'!$A$5:$AE$33,AB$2)</f>
        <v>123.57855479195</v>
      </c>
      <c r="AC16" s="12">
        <f>AB16*VLOOKUP($A16,'EU Ref Sc 2020 Energy intensive'!$A$5:$AE$33,AC$2)</f>
        <v>123.47391535232438</v>
      </c>
      <c r="AD16" s="12">
        <f>AC16*VLOOKUP($A16,'EU Ref Sc 2020 Energy intensive'!$A$5:$AE$33,AD$2)</f>
        <v>123.36927591269877</v>
      </c>
      <c r="AE16" s="12">
        <f>AD16*VLOOKUP($A16,'EU Ref Sc 2020 Energy intensive'!$A$5:$AE$33,AE$2)</f>
        <v>123.26463647307315</v>
      </c>
      <c r="AF16" s="12">
        <f>AE16*VLOOKUP($A16,'EU Ref Sc 2020 Energy intensive'!$A$5:$AE$33,AF$2)</f>
        <v>123.15999703344754</v>
      </c>
      <c r="AG16" s="12">
        <f>AF16*VLOOKUP($A16,'EU Ref Sc 2020 Energy intensive'!$A$5:$AE$33,AG$2)</f>
        <v>123.0553575938219</v>
      </c>
      <c r="AH16" s="13">
        <f t="shared" ref="AH16:AQ16" si="13">AG16</f>
        <v>123.0553575938219</v>
      </c>
      <c r="AI16" s="13">
        <f t="shared" si="13"/>
        <v>123.0553575938219</v>
      </c>
      <c r="AJ16" s="13">
        <f t="shared" si="13"/>
        <v>123.0553575938219</v>
      </c>
      <c r="AK16" s="13">
        <f t="shared" si="13"/>
        <v>123.0553575938219</v>
      </c>
      <c r="AL16" s="13">
        <f t="shared" si="13"/>
        <v>123.0553575938219</v>
      </c>
      <c r="AM16" s="13">
        <f t="shared" si="13"/>
        <v>123.0553575938219</v>
      </c>
      <c r="AN16" s="13">
        <f t="shared" si="13"/>
        <v>123.0553575938219</v>
      </c>
      <c r="AO16" s="13">
        <f t="shared" si="13"/>
        <v>123.0553575938219</v>
      </c>
      <c r="AP16" s="13">
        <f t="shared" si="13"/>
        <v>123.0553575938219</v>
      </c>
      <c r="AQ16" s="13">
        <f t="shared" si="13"/>
        <v>123.0553575938219</v>
      </c>
    </row>
    <row r="17" spans="1:43" x14ac:dyDescent="0.3">
      <c r="A17" t="s">
        <v>1425</v>
      </c>
      <c r="B17" t="s">
        <v>1394</v>
      </c>
      <c r="C17" t="str">
        <f t="shared" si="0"/>
        <v>SKIUEP</v>
      </c>
      <c r="D17" s="2">
        <v>10.319599999999999</v>
      </c>
      <c r="E17" s="12">
        <f>D17*VLOOKUP($A17,'EU Ref Sc 2020 Energy intensive'!$A$5:$AE$33,E$2)</f>
        <v>10.359155183133833</v>
      </c>
      <c r="F17" s="12">
        <f>E17*VLOOKUP($A17,'EU Ref Sc 2020 Energy intensive'!$A$5:$AE$33,F$2)</f>
        <v>10.398710366267666</v>
      </c>
      <c r="G17" s="12">
        <f>F17*VLOOKUP($A17,'EU Ref Sc 2020 Energy intensive'!$A$5:$AE$33,G$2)</f>
        <v>10.4382655494015</v>
      </c>
      <c r="H17" s="12">
        <f>G17*VLOOKUP($A17,'EU Ref Sc 2020 Energy intensive'!$A$5:$AE$33,H$2)</f>
        <v>10.477820732535333</v>
      </c>
      <c r="I17" s="12">
        <f>H17*VLOOKUP($A17,'EU Ref Sc 2020 Energy intensive'!$A$5:$AE$33,I$2)</f>
        <v>10.368162595251059</v>
      </c>
      <c r="J17" s="12">
        <f>I17*VLOOKUP($A17,'EU Ref Sc 2020 Energy intensive'!$A$5:$AE$33,J$2)</f>
        <v>10.258504457966785</v>
      </c>
      <c r="K17" s="12">
        <f>J17*VLOOKUP($A17,'EU Ref Sc 2020 Energy intensive'!$A$5:$AE$33,K$2)</f>
        <v>10.148846320682511</v>
      </c>
      <c r="L17" s="12">
        <f>K17*VLOOKUP($A17,'EU Ref Sc 2020 Energy intensive'!$A$5:$AE$33,L$2)</f>
        <v>10.039188183398236</v>
      </c>
      <c r="M17" s="12">
        <f>L17*VLOOKUP($A17,'EU Ref Sc 2020 Energy intensive'!$A$5:$AE$33,M$2)</f>
        <v>9.9295300461139657</v>
      </c>
      <c r="N17" s="12">
        <f>M17*VLOOKUP($A17,'EU Ref Sc 2020 Energy intensive'!$A$5:$AE$33,N$2)</f>
        <v>9.8622642150198558</v>
      </c>
      <c r="O17" s="12">
        <f>N17*VLOOKUP($A17,'EU Ref Sc 2020 Energy intensive'!$A$5:$AE$33,O$2)</f>
        <v>9.7949983839257442</v>
      </c>
      <c r="P17" s="12">
        <f>O17*VLOOKUP($A17,'EU Ref Sc 2020 Energy intensive'!$A$5:$AE$33,P$2)</f>
        <v>9.7277325528316325</v>
      </c>
      <c r="Q17" s="12">
        <f>P17*VLOOKUP($A17,'EU Ref Sc 2020 Energy intensive'!$A$5:$AE$33,Q$2)</f>
        <v>9.6604667217375209</v>
      </c>
      <c r="R17" s="12">
        <f>Q17*VLOOKUP($A17,'EU Ref Sc 2020 Energy intensive'!$A$5:$AE$33,R$2)</f>
        <v>9.5932008906434056</v>
      </c>
      <c r="S17" s="12">
        <f>R17*VLOOKUP($A17,'EU Ref Sc 2020 Energy intensive'!$A$5:$AE$33,S$2)</f>
        <v>9.4209250839709409</v>
      </c>
      <c r="T17" s="12">
        <f>S17*VLOOKUP($A17,'EU Ref Sc 2020 Energy intensive'!$A$5:$AE$33,T$2)</f>
        <v>9.2486492772984779</v>
      </c>
      <c r="U17" s="12">
        <f>T17*VLOOKUP($A17,'EU Ref Sc 2020 Energy intensive'!$A$5:$AE$33,U$2)</f>
        <v>9.0763734706260148</v>
      </c>
      <c r="V17" s="12">
        <f>U17*VLOOKUP($A17,'EU Ref Sc 2020 Energy intensive'!$A$5:$AE$33,V$2)</f>
        <v>8.9040976639535501</v>
      </c>
      <c r="W17" s="12">
        <f>V17*VLOOKUP($A17,'EU Ref Sc 2020 Energy intensive'!$A$5:$AE$33,W$2)</f>
        <v>8.7318218572810817</v>
      </c>
      <c r="X17" s="12">
        <f>W17*VLOOKUP($A17,'EU Ref Sc 2020 Energy intensive'!$A$5:$AE$33,X$2)</f>
        <v>8.599197042669223</v>
      </c>
      <c r="Y17" s="12">
        <f>X17*VLOOKUP($A17,'EU Ref Sc 2020 Energy intensive'!$A$5:$AE$33,Y$2)</f>
        <v>8.4665722280573643</v>
      </c>
      <c r="Z17" s="12">
        <f>Y17*VLOOKUP($A17,'EU Ref Sc 2020 Energy intensive'!$A$5:$AE$33,Z$2)</f>
        <v>8.3339474134455056</v>
      </c>
      <c r="AA17" s="12">
        <f>Z17*VLOOKUP($A17,'EU Ref Sc 2020 Energy intensive'!$A$5:$AE$33,AA$2)</f>
        <v>8.2013225988336469</v>
      </c>
      <c r="AB17" s="12">
        <f>AA17*VLOOKUP($A17,'EU Ref Sc 2020 Energy intensive'!$A$5:$AE$33,AB$2)</f>
        <v>8.0686977842217882</v>
      </c>
      <c r="AC17" s="12">
        <f>AB17*VLOOKUP($A17,'EU Ref Sc 2020 Energy intensive'!$A$5:$AE$33,AC$2)</f>
        <v>7.9385234730106733</v>
      </c>
      <c r="AD17" s="12">
        <f>AC17*VLOOKUP($A17,'EU Ref Sc 2020 Energy intensive'!$A$5:$AE$33,AD$2)</f>
        <v>7.8083491617995593</v>
      </c>
      <c r="AE17" s="12">
        <f>AD17*VLOOKUP($A17,'EU Ref Sc 2020 Energy intensive'!$A$5:$AE$33,AE$2)</f>
        <v>7.6781748505884453</v>
      </c>
      <c r="AF17" s="12">
        <f>AE17*VLOOKUP($A17,'EU Ref Sc 2020 Energy intensive'!$A$5:$AE$33,AF$2)</f>
        <v>7.5480005393773313</v>
      </c>
      <c r="AG17" s="12">
        <f>AF17*VLOOKUP($A17,'EU Ref Sc 2020 Energy intensive'!$A$5:$AE$33,AG$2)</f>
        <v>7.4178262281662155</v>
      </c>
      <c r="AH17" s="13">
        <f t="shared" ref="AH17:AQ17" si="14">AG17</f>
        <v>7.4178262281662155</v>
      </c>
      <c r="AI17" s="13">
        <f t="shared" si="14"/>
        <v>7.4178262281662155</v>
      </c>
      <c r="AJ17" s="13">
        <f t="shared" si="14"/>
        <v>7.4178262281662155</v>
      </c>
      <c r="AK17" s="13">
        <f t="shared" si="14"/>
        <v>7.4178262281662155</v>
      </c>
      <c r="AL17" s="13">
        <f t="shared" si="14"/>
        <v>7.4178262281662155</v>
      </c>
      <c r="AM17" s="13">
        <f t="shared" si="14"/>
        <v>7.4178262281662155</v>
      </c>
      <c r="AN17" s="13">
        <f t="shared" si="14"/>
        <v>7.4178262281662155</v>
      </c>
      <c r="AO17" s="13">
        <f t="shared" si="14"/>
        <v>7.4178262281662155</v>
      </c>
      <c r="AP17" s="13">
        <f t="shared" si="14"/>
        <v>7.4178262281662155</v>
      </c>
      <c r="AQ17" s="13">
        <f t="shared" si="14"/>
        <v>7.4178262281662155</v>
      </c>
    </row>
    <row r="18" spans="1:43" x14ac:dyDescent="0.3">
      <c r="A18" t="s">
        <v>1390</v>
      </c>
      <c r="B18" t="s">
        <v>1395</v>
      </c>
      <c r="C18" t="str">
        <f t="shared" si="0"/>
        <v>ATIUEO</v>
      </c>
      <c r="D18" s="2">
        <v>39.884799999999998</v>
      </c>
      <c r="E18" s="7">
        <f>D18*VLOOKUP($A18,'EU Ref Sc 2020 Other industries'!$A$5:$AE$33,E$2)</f>
        <v>40.513259312908176</v>
      </c>
      <c r="F18" s="7">
        <f>E18*VLOOKUP($A18,'EU Ref Sc 2020 Other industries'!$A$5:$AE$33,F$2)</f>
        <v>41.141718625816353</v>
      </c>
      <c r="G18" s="7">
        <f>F18*VLOOKUP($A18,'EU Ref Sc 2020 Other industries'!$A$5:$AE$33,G$2)</f>
        <v>41.770177938724522</v>
      </c>
      <c r="H18" s="7">
        <f>G18*VLOOKUP($A18,'EU Ref Sc 2020 Other industries'!$A$5:$AE$33,H$2)</f>
        <v>42.398637251632692</v>
      </c>
      <c r="I18" s="7">
        <f>H18*VLOOKUP($A18,'EU Ref Sc 2020 Other industries'!$A$5:$AE$33,I$2)</f>
        <v>42.108528771491066</v>
      </c>
      <c r="J18" s="7">
        <f>I18*VLOOKUP($A18,'EU Ref Sc 2020 Other industries'!$A$5:$AE$33,J$2)</f>
        <v>41.818420291349447</v>
      </c>
      <c r="K18" s="7">
        <f>J18*VLOOKUP($A18,'EU Ref Sc 2020 Other industries'!$A$5:$AE$33,K$2)</f>
        <v>41.528311811207821</v>
      </c>
      <c r="L18" s="7">
        <f>K18*VLOOKUP($A18,'EU Ref Sc 2020 Other industries'!$A$5:$AE$33,L$2)</f>
        <v>41.238203331066195</v>
      </c>
      <c r="M18" s="7">
        <f>L18*VLOOKUP($A18,'EU Ref Sc 2020 Other industries'!$A$5:$AE$33,M$2)</f>
        <v>40.948094850924583</v>
      </c>
      <c r="N18" s="7">
        <f>M18*VLOOKUP($A18,'EU Ref Sc 2020 Other industries'!$A$5:$AE$33,N$2)</f>
        <v>41.42124033156783</v>
      </c>
      <c r="O18" s="7">
        <f>N18*VLOOKUP($A18,'EU Ref Sc 2020 Other industries'!$A$5:$AE$33,O$2)</f>
        <v>41.894385812211077</v>
      </c>
      <c r="P18" s="7">
        <f>O18*VLOOKUP($A18,'EU Ref Sc 2020 Other industries'!$A$5:$AE$33,P$2)</f>
        <v>42.367531292854324</v>
      </c>
      <c r="Q18" s="7">
        <f>P18*VLOOKUP($A18,'EU Ref Sc 2020 Other industries'!$A$5:$AE$33,Q$2)</f>
        <v>42.84067677349757</v>
      </c>
      <c r="R18" s="7">
        <f>Q18*VLOOKUP($A18,'EU Ref Sc 2020 Other industries'!$A$5:$AE$33,R$2)</f>
        <v>43.313822254140824</v>
      </c>
      <c r="S18" s="7">
        <f>R18*VLOOKUP($A18,'EU Ref Sc 2020 Other industries'!$A$5:$AE$33,S$2)</f>
        <v>43.857398795179478</v>
      </c>
      <c r="T18" s="7">
        <f>S18*VLOOKUP($A18,'EU Ref Sc 2020 Other industries'!$A$5:$AE$33,T$2)</f>
        <v>44.400975336218131</v>
      </c>
      <c r="U18" s="7">
        <f>T18*VLOOKUP($A18,'EU Ref Sc 2020 Other industries'!$A$5:$AE$33,U$2)</f>
        <v>44.944551877256785</v>
      </c>
      <c r="V18" s="7">
        <f>U18*VLOOKUP($A18,'EU Ref Sc 2020 Other industries'!$A$5:$AE$33,V$2)</f>
        <v>45.488128418295432</v>
      </c>
      <c r="W18" s="7">
        <f>V18*VLOOKUP($A18,'EU Ref Sc 2020 Other industries'!$A$5:$AE$33,W$2)</f>
        <v>46.031704959334093</v>
      </c>
      <c r="X18" s="7">
        <f>W18*VLOOKUP($A18,'EU Ref Sc 2020 Other industries'!$A$5:$AE$33,X$2)</f>
        <v>46.45016683309403</v>
      </c>
      <c r="Y18" s="7">
        <f>X18*VLOOKUP($A18,'EU Ref Sc 2020 Other industries'!$A$5:$AE$33,Y$2)</f>
        <v>46.868628706853961</v>
      </c>
      <c r="Z18" s="7">
        <f>Y18*VLOOKUP($A18,'EU Ref Sc 2020 Other industries'!$A$5:$AE$33,Z$2)</f>
        <v>47.287090580613899</v>
      </c>
      <c r="AA18" s="7">
        <f>Z18*VLOOKUP($A18,'EU Ref Sc 2020 Other industries'!$A$5:$AE$33,AA$2)</f>
        <v>47.70555245437383</v>
      </c>
      <c r="AB18" s="7">
        <f>AA18*VLOOKUP($A18,'EU Ref Sc 2020 Other industries'!$A$5:$AE$33,AB$2)</f>
        <v>48.124014328133761</v>
      </c>
      <c r="AC18" s="7">
        <f>AB18*VLOOKUP($A18,'EU Ref Sc 2020 Other industries'!$A$5:$AE$33,AC$2)</f>
        <v>48.528508186041194</v>
      </c>
      <c r="AD18" s="7">
        <f>AC18*VLOOKUP($A18,'EU Ref Sc 2020 Other industries'!$A$5:$AE$33,AD$2)</f>
        <v>48.933002043948626</v>
      </c>
      <c r="AE18" s="7">
        <f>AD18*VLOOKUP($A18,'EU Ref Sc 2020 Other industries'!$A$5:$AE$33,AE$2)</f>
        <v>49.337495901856059</v>
      </c>
      <c r="AF18" s="7">
        <f>AE18*VLOOKUP($A18,'EU Ref Sc 2020 Other industries'!$A$5:$AE$33,AF$2)</f>
        <v>49.741989759763491</v>
      </c>
      <c r="AG18" s="7">
        <f>AF18*VLOOKUP($A18,'EU Ref Sc 2020 Other industries'!$A$5:$AE$33,AG$2)</f>
        <v>50.146483617670931</v>
      </c>
      <c r="AH18" s="13">
        <f t="shared" ref="AH18:AQ18" si="15">AG18</f>
        <v>50.146483617670931</v>
      </c>
      <c r="AI18" s="13">
        <f t="shared" si="15"/>
        <v>50.146483617670931</v>
      </c>
      <c r="AJ18" s="13">
        <f t="shared" si="15"/>
        <v>50.146483617670931</v>
      </c>
      <c r="AK18" s="13">
        <f t="shared" si="15"/>
        <v>50.146483617670931</v>
      </c>
      <c r="AL18" s="13">
        <f t="shared" si="15"/>
        <v>50.146483617670931</v>
      </c>
      <c r="AM18" s="13">
        <f t="shared" si="15"/>
        <v>50.146483617670931</v>
      </c>
      <c r="AN18" s="13">
        <f t="shared" si="15"/>
        <v>50.146483617670931</v>
      </c>
      <c r="AO18" s="13">
        <f t="shared" si="15"/>
        <v>50.146483617670931</v>
      </c>
      <c r="AP18" s="13">
        <f t="shared" si="15"/>
        <v>50.146483617670931</v>
      </c>
      <c r="AQ18" s="13">
        <f t="shared" si="15"/>
        <v>50.146483617670931</v>
      </c>
    </row>
    <row r="19" spans="1:43" x14ac:dyDescent="0.3">
      <c r="A19" t="s">
        <v>1396</v>
      </c>
      <c r="B19" t="s">
        <v>1395</v>
      </c>
      <c r="C19" t="str">
        <f t="shared" si="0"/>
        <v>BEIUEO</v>
      </c>
      <c r="D19" s="2">
        <v>40.536900000000003</v>
      </c>
      <c r="E19" s="7">
        <f>D19*VLOOKUP($A19,'EU Ref Sc 2020 Other industries'!$A$5:$AE$33,E$2)</f>
        <v>41.592446359503299</v>
      </c>
      <c r="F19" s="7">
        <f>E19*VLOOKUP($A19,'EU Ref Sc 2020 Other industries'!$A$5:$AE$33,F$2)</f>
        <v>42.647992719006588</v>
      </c>
      <c r="G19" s="7">
        <f>F19*VLOOKUP($A19,'EU Ref Sc 2020 Other industries'!$A$5:$AE$33,G$2)</f>
        <v>43.703539078509877</v>
      </c>
      <c r="H19" s="7">
        <f>G19*VLOOKUP($A19,'EU Ref Sc 2020 Other industries'!$A$5:$AE$33,H$2)</f>
        <v>44.759085438013173</v>
      </c>
      <c r="I19" s="7">
        <f>H19*VLOOKUP($A19,'EU Ref Sc 2020 Other industries'!$A$5:$AE$33,I$2)</f>
        <v>44.60342359059252</v>
      </c>
      <c r="J19" s="7">
        <f>I19*VLOOKUP($A19,'EU Ref Sc 2020 Other industries'!$A$5:$AE$33,J$2)</f>
        <v>44.447761743171867</v>
      </c>
      <c r="K19" s="7">
        <f>J19*VLOOKUP($A19,'EU Ref Sc 2020 Other industries'!$A$5:$AE$33,K$2)</f>
        <v>44.292099895751214</v>
      </c>
      <c r="L19" s="7">
        <f>K19*VLOOKUP($A19,'EU Ref Sc 2020 Other industries'!$A$5:$AE$33,L$2)</f>
        <v>44.136438048330561</v>
      </c>
      <c r="M19" s="7">
        <f>L19*VLOOKUP($A19,'EU Ref Sc 2020 Other industries'!$A$5:$AE$33,M$2)</f>
        <v>43.980776200909908</v>
      </c>
      <c r="N19" s="7">
        <f>M19*VLOOKUP($A19,'EU Ref Sc 2020 Other industries'!$A$5:$AE$33,N$2)</f>
        <v>43.480891307107697</v>
      </c>
      <c r="O19" s="7">
        <f>N19*VLOOKUP($A19,'EU Ref Sc 2020 Other industries'!$A$5:$AE$33,O$2)</f>
        <v>42.981006413305487</v>
      </c>
      <c r="P19" s="7">
        <f>O19*VLOOKUP($A19,'EU Ref Sc 2020 Other industries'!$A$5:$AE$33,P$2)</f>
        <v>42.481121519503276</v>
      </c>
      <c r="Q19" s="7">
        <f>P19*VLOOKUP($A19,'EU Ref Sc 2020 Other industries'!$A$5:$AE$33,Q$2)</f>
        <v>41.981236625701065</v>
      </c>
      <c r="R19" s="7">
        <f>Q19*VLOOKUP($A19,'EU Ref Sc 2020 Other industries'!$A$5:$AE$33,R$2)</f>
        <v>41.481351731898854</v>
      </c>
      <c r="S19" s="7">
        <f>R19*VLOOKUP($A19,'EU Ref Sc 2020 Other industries'!$A$5:$AE$33,S$2)</f>
        <v>41.748218024512354</v>
      </c>
      <c r="T19" s="7">
        <f>S19*VLOOKUP($A19,'EU Ref Sc 2020 Other industries'!$A$5:$AE$33,T$2)</f>
        <v>42.015084317125847</v>
      </c>
      <c r="U19" s="7">
        <f>T19*VLOOKUP($A19,'EU Ref Sc 2020 Other industries'!$A$5:$AE$33,U$2)</f>
        <v>42.281950609739347</v>
      </c>
      <c r="V19" s="7">
        <f>U19*VLOOKUP($A19,'EU Ref Sc 2020 Other industries'!$A$5:$AE$33,V$2)</f>
        <v>42.548816902352847</v>
      </c>
      <c r="W19" s="7">
        <f>V19*VLOOKUP($A19,'EU Ref Sc 2020 Other industries'!$A$5:$AE$33,W$2)</f>
        <v>42.81568319496634</v>
      </c>
      <c r="X19" s="7">
        <f>W19*VLOOKUP($A19,'EU Ref Sc 2020 Other industries'!$A$5:$AE$33,X$2)</f>
        <v>43.279937667175908</v>
      </c>
      <c r="Y19" s="7">
        <f>X19*VLOOKUP($A19,'EU Ref Sc 2020 Other industries'!$A$5:$AE$33,Y$2)</f>
        <v>43.744192139385476</v>
      </c>
      <c r="Z19" s="7">
        <f>Y19*VLOOKUP($A19,'EU Ref Sc 2020 Other industries'!$A$5:$AE$33,Z$2)</f>
        <v>44.208446611595043</v>
      </c>
      <c r="AA19" s="7">
        <f>Z19*VLOOKUP($A19,'EU Ref Sc 2020 Other industries'!$A$5:$AE$33,AA$2)</f>
        <v>44.672701083804611</v>
      </c>
      <c r="AB19" s="7">
        <f>AA19*VLOOKUP($A19,'EU Ref Sc 2020 Other industries'!$A$5:$AE$33,AB$2)</f>
        <v>45.136955556014172</v>
      </c>
      <c r="AC19" s="7">
        <f>AB19*VLOOKUP($A19,'EU Ref Sc 2020 Other industries'!$A$5:$AE$33,AC$2)</f>
        <v>45.609346332026782</v>
      </c>
      <c r="AD19" s="7">
        <f>AC19*VLOOKUP($A19,'EU Ref Sc 2020 Other industries'!$A$5:$AE$33,AD$2)</f>
        <v>46.081737108039384</v>
      </c>
      <c r="AE19" s="7">
        <f>AD19*VLOOKUP($A19,'EU Ref Sc 2020 Other industries'!$A$5:$AE$33,AE$2)</f>
        <v>46.554127884051987</v>
      </c>
      <c r="AF19" s="7">
        <f>AE19*VLOOKUP($A19,'EU Ref Sc 2020 Other industries'!$A$5:$AE$33,AF$2)</f>
        <v>47.026518660064589</v>
      </c>
      <c r="AG19" s="7">
        <f>AF19*VLOOKUP($A19,'EU Ref Sc 2020 Other industries'!$A$5:$AE$33,AG$2)</f>
        <v>47.498909436077206</v>
      </c>
      <c r="AH19" s="13">
        <f t="shared" ref="AH19:AQ19" si="16">AG19</f>
        <v>47.498909436077206</v>
      </c>
      <c r="AI19" s="13">
        <f t="shared" si="16"/>
        <v>47.498909436077206</v>
      </c>
      <c r="AJ19" s="13">
        <f t="shared" si="16"/>
        <v>47.498909436077206</v>
      </c>
      <c r="AK19" s="13">
        <f t="shared" si="16"/>
        <v>47.498909436077206</v>
      </c>
      <c r="AL19" s="13">
        <f t="shared" si="16"/>
        <v>47.498909436077206</v>
      </c>
      <c r="AM19" s="13">
        <f t="shared" si="16"/>
        <v>47.498909436077206</v>
      </c>
      <c r="AN19" s="13">
        <f t="shared" si="16"/>
        <v>47.498909436077206</v>
      </c>
      <c r="AO19" s="13">
        <f t="shared" si="16"/>
        <v>47.498909436077206</v>
      </c>
      <c r="AP19" s="13">
        <f t="shared" si="16"/>
        <v>47.498909436077206</v>
      </c>
      <c r="AQ19" s="13">
        <f t="shared" si="16"/>
        <v>47.498909436077206</v>
      </c>
    </row>
    <row r="20" spans="1:43" x14ac:dyDescent="0.3">
      <c r="A20" t="s">
        <v>1398</v>
      </c>
      <c r="B20" t="s">
        <v>1395</v>
      </c>
      <c r="C20" s="3" t="str">
        <f t="shared" si="0"/>
        <v>BGIUEO</v>
      </c>
      <c r="D20" s="14">
        <f>14.8122-2.3008</f>
        <v>12.5114</v>
      </c>
      <c r="E20" s="7">
        <f>D20*VLOOKUP($A20,'EU Ref Sc 2020 Other industries'!$A$5:$AE$33,E$2)</f>
        <v>12.952462227418323</v>
      </c>
      <c r="F20" s="7">
        <f>E20*VLOOKUP($A20,'EU Ref Sc 2020 Other industries'!$A$5:$AE$33,F$2)</f>
        <v>13.393524454836648</v>
      </c>
      <c r="G20" s="7">
        <f>F20*VLOOKUP($A20,'EU Ref Sc 2020 Other industries'!$A$5:$AE$33,G$2)</f>
        <v>13.834586682254971</v>
      </c>
      <c r="H20" s="7">
        <f>G20*VLOOKUP($A20,'EU Ref Sc 2020 Other industries'!$A$5:$AE$33,H$2)</f>
        <v>14.275648909673295</v>
      </c>
      <c r="I20" s="7">
        <f>H20*VLOOKUP($A20,'EU Ref Sc 2020 Other industries'!$A$5:$AE$33,I$2)</f>
        <v>14.699205815947559</v>
      </c>
      <c r="J20" s="7">
        <f>I20*VLOOKUP($A20,'EU Ref Sc 2020 Other industries'!$A$5:$AE$33,J$2)</f>
        <v>15.122762722221823</v>
      </c>
      <c r="K20" s="7">
        <f>J20*VLOOKUP($A20,'EU Ref Sc 2020 Other industries'!$A$5:$AE$33,K$2)</f>
        <v>15.546319628496088</v>
      </c>
      <c r="L20" s="7">
        <f>K20*VLOOKUP($A20,'EU Ref Sc 2020 Other industries'!$A$5:$AE$33,L$2)</f>
        <v>15.969876534770354</v>
      </c>
      <c r="M20" s="7">
        <f>L20*VLOOKUP($A20,'EU Ref Sc 2020 Other industries'!$A$5:$AE$33,M$2)</f>
        <v>16.393433441044618</v>
      </c>
      <c r="N20" s="7">
        <f>M20*VLOOKUP($A20,'EU Ref Sc 2020 Other industries'!$A$5:$AE$33,N$2)</f>
        <v>16.281048910573123</v>
      </c>
      <c r="O20" s="7">
        <f>N20*VLOOKUP($A20,'EU Ref Sc 2020 Other industries'!$A$5:$AE$33,O$2)</f>
        <v>16.168664380101628</v>
      </c>
      <c r="P20" s="7">
        <f>O20*VLOOKUP($A20,'EU Ref Sc 2020 Other industries'!$A$5:$AE$33,P$2)</f>
        <v>16.056279849630133</v>
      </c>
      <c r="Q20" s="7">
        <f>P20*VLOOKUP($A20,'EU Ref Sc 2020 Other industries'!$A$5:$AE$33,Q$2)</f>
        <v>15.943895319158639</v>
      </c>
      <c r="R20" s="7">
        <f>Q20*VLOOKUP($A20,'EU Ref Sc 2020 Other industries'!$A$5:$AE$33,R$2)</f>
        <v>15.831510788687138</v>
      </c>
      <c r="S20" s="7">
        <f>R20*VLOOKUP($A20,'EU Ref Sc 2020 Other industries'!$A$5:$AE$33,S$2)</f>
        <v>15.80699380446702</v>
      </c>
      <c r="T20" s="7">
        <f>S20*VLOOKUP($A20,'EU Ref Sc 2020 Other industries'!$A$5:$AE$33,T$2)</f>
        <v>15.782476820246901</v>
      </c>
      <c r="U20" s="7">
        <f>T20*VLOOKUP($A20,'EU Ref Sc 2020 Other industries'!$A$5:$AE$33,U$2)</f>
        <v>15.757959836026783</v>
      </c>
      <c r="V20" s="7">
        <f>U20*VLOOKUP($A20,'EU Ref Sc 2020 Other industries'!$A$5:$AE$33,V$2)</f>
        <v>15.733442851806664</v>
      </c>
      <c r="W20" s="7">
        <f>V20*VLOOKUP($A20,'EU Ref Sc 2020 Other industries'!$A$5:$AE$33,W$2)</f>
        <v>15.708925867586546</v>
      </c>
      <c r="X20" s="7">
        <f>W20*VLOOKUP($A20,'EU Ref Sc 2020 Other industries'!$A$5:$AE$33,X$2)</f>
        <v>15.846847697229004</v>
      </c>
      <c r="Y20" s="7">
        <f>X20*VLOOKUP($A20,'EU Ref Sc 2020 Other industries'!$A$5:$AE$33,Y$2)</f>
        <v>15.984769526871462</v>
      </c>
      <c r="Z20" s="7">
        <f>Y20*VLOOKUP($A20,'EU Ref Sc 2020 Other industries'!$A$5:$AE$33,Z$2)</f>
        <v>16.122691356513922</v>
      </c>
      <c r="AA20" s="7">
        <f>Z20*VLOOKUP($A20,'EU Ref Sc 2020 Other industries'!$A$5:$AE$33,AA$2)</f>
        <v>16.26061318615638</v>
      </c>
      <c r="AB20" s="7">
        <f>AA20*VLOOKUP($A20,'EU Ref Sc 2020 Other industries'!$A$5:$AE$33,AB$2)</f>
        <v>16.398535015798839</v>
      </c>
      <c r="AC20" s="7">
        <f>AB20*VLOOKUP($A20,'EU Ref Sc 2020 Other industries'!$A$5:$AE$33,AC$2)</f>
        <v>16.374803096562449</v>
      </c>
      <c r="AD20" s="7">
        <f>AC20*VLOOKUP($A20,'EU Ref Sc 2020 Other industries'!$A$5:$AE$33,AD$2)</f>
        <v>16.351071177326055</v>
      </c>
      <c r="AE20" s="7">
        <f>AD20*VLOOKUP($A20,'EU Ref Sc 2020 Other industries'!$A$5:$AE$33,AE$2)</f>
        <v>16.327339258089662</v>
      </c>
      <c r="AF20" s="7">
        <f>AE20*VLOOKUP($A20,'EU Ref Sc 2020 Other industries'!$A$5:$AE$33,AF$2)</f>
        <v>16.303607338853272</v>
      </c>
      <c r="AG20" s="7">
        <f>AF20*VLOOKUP($A20,'EU Ref Sc 2020 Other industries'!$A$5:$AE$33,AG$2)</f>
        <v>16.279875419616882</v>
      </c>
      <c r="AH20" s="13">
        <f t="shared" ref="AH20:AQ20" si="17">AG20</f>
        <v>16.279875419616882</v>
      </c>
      <c r="AI20" s="13">
        <f t="shared" si="17"/>
        <v>16.279875419616882</v>
      </c>
      <c r="AJ20" s="13">
        <f t="shared" si="17"/>
        <v>16.279875419616882</v>
      </c>
      <c r="AK20" s="13">
        <f t="shared" si="17"/>
        <v>16.279875419616882</v>
      </c>
      <c r="AL20" s="13">
        <f t="shared" si="17"/>
        <v>16.279875419616882</v>
      </c>
      <c r="AM20" s="13">
        <f t="shared" si="17"/>
        <v>16.279875419616882</v>
      </c>
      <c r="AN20" s="13">
        <f t="shared" si="17"/>
        <v>16.279875419616882</v>
      </c>
      <c r="AO20" s="13">
        <f t="shared" si="17"/>
        <v>16.279875419616882</v>
      </c>
      <c r="AP20" s="13">
        <f t="shared" si="17"/>
        <v>16.279875419616882</v>
      </c>
      <c r="AQ20" s="13">
        <f t="shared" si="17"/>
        <v>16.279875419616882</v>
      </c>
    </row>
    <row r="21" spans="1:43" x14ac:dyDescent="0.3">
      <c r="A21" t="s">
        <v>1400</v>
      </c>
      <c r="B21" t="s">
        <v>1395</v>
      </c>
      <c r="C21" t="str">
        <f t="shared" si="0"/>
        <v>CYIUEO</v>
      </c>
      <c r="D21" s="2">
        <v>0.50990000000000002</v>
      </c>
      <c r="E21" s="7">
        <f>D21*VLOOKUP($A21,'EU Ref Sc 2020 Other industries'!$A$5:$AE$33,E$2)</f>
        <v>0.515771530138318</v>
      </c>
      <c r="F21" s="7">
        <f>E21*VLOOKUP($A21,'EU Ref Sc 2020 Other industries'!$A$5:$AE$33,F$2)</f>
        <v>0.52164306027663598</v>
      </c>
      <c r="G21" s="7">
        <f>F21*VLOOKUP($A21,'EU Ref Sc 2020 Other industries'!$A$5:$AE$33,G$2)</f>
        <v>0.52751459041495397</v>
      </c>
      <c r="H21" s="7">
        <f>G21*VLOOKUP($A21,'EU Ref Sc 2020 Other industries'!$A$5:$AE$33,H$2)</f>
        <v>0.53338612055327195</v>
      </c>
      <c r="I21" s="7">
        <f>H21*VLOOKUP($A21,'EU Ref Sc 2020 Other industries'!$A$5:$AE$33,I$2)</f>
        <v>0.52507405811892005</v>
      </c>
      <c r="J21" s="7">
        <f>I21*VLOOKUP($A21,'EU Ref Sc 2020 Other industries'!$A$5:$AE$33,J$2)</f>
        <v>0.51676199568456815</v>
      </c>
      <c r="K21" s="7">
        <f>J21*VLOOKUP($A21,'EU Ref Sc 2020 Other industries'!$A$5:$AE$33,K$2)</f>
        <v>0.50844993325021626</v>
      </c>
      <c r="L21" s="7">
        <f>K21*VLOOKUP($A21,'EU Ref Sc 2020 Other industries'!$A$5:$AE$33,L$2)</f>
        <v>0.50013787081586436</v>
      </c>
      <c r="M21" s="7">
        <f>L21*VLOOKUP($A21,'EU Ref Sc 2020 Other industries'!$A$5:$AE$33,M$2)</f>
        <v>0.4918258083815123</v>
      </c>
      <c r="N21" s="7">
        <f>M21*VLOOKUP($A21,'EU Ref Sc 2020 Other industries'!$A$5:$AE$33,N$2)</f>
        <v>0.49590597818825805</v>
      </c>
      <c r="O21" s="7">
        <f>N21*VLOOKUP($A21,'EU Ref Sc 2020 Other industries'!$A$5:$AE$33,O$2)</f>
        <v>0.49998614799500379</v>
      </c>
      <c r="P21" s="7">
        <f>O21*VLOOKUP($A21,'EU Ref Sc 2020 Other industries'!$A$5:$AE$33,P$2)</f>
        <v>0.50406631780174949</v>
      </c>
      <c r="Q21" s="7">
        <f>P21*VLOOKUP($A21,'EU Ref Sc 2020 Other industries'!$A$5:$AE$33,Q$2)</f>
        <v>0.50814648760849523</v>
      </c>
      <c r="R21" s="7">
        <f>Q21*VLOOKUP($A21,'EU Ref Sc 2020 Other industries'!$A$5:$AE$33,R$2)</f>
        <v>0.51222665741524109</v>
      </c>
      <c r="S21" s="7">
        <f>R21*VLOOKUP($A21,'EU Ref Sc 2020 Other industries'!$A$5:$AE$33,S$2)</f>
        <v>0.50718344743327248</v>
      </c>
      <c r="T21" s="7">
        <f>S21*VLOOKUP($A21,'EU Ref Sc 2020 Other industries'!$A$5:$AE$33,T$2)</f>
        <v>0.50214023745130387</v>
      </c>
      <c r="U21" s="7">
        <f>T21*VLOOKUP($A21,'EU Ref Sc 2020 Other industries'!$A$5:$AE$33,U$2)</f>
        <v>0.49709702746933521</v>
      </c>
      <c r="V21" s="7">
        <f>U21*VLOOKUP($A21,'EU Ref Sc 2020 Other industries'!$A$5:$AE$33,V$2)</f>
        <v>0.4920538174873666</v>
      </c>
      <c r="W21" s="7">
        <f>V21*VLOOKUP($A21,'EU Ref Sc 2020 Other industries'!$A$5:$AE$33,W$2)</f>
        <v>0.48701060750539787</v>
      </c>
      <c r="X21" s="7">
        <f>W21*VLOOKUP($A21,'EU Ref Sc 2020 Other industries'!$A$5:$AE$33,X$2)</f>
        <v>0.5036036104464291</v>
      </c>
      <c r="Y21" s="7">
        <f>X21*VLOOKUP($A21,'EU Ref Sc 2020 Other industries'!$A$5:$AE$33,Y$2)</f>
        <v>0.52019661338746026</v>
      </c>
      <c r="Z21" s="7">
        <f>Y21*VLOOKUP($A21,'EU Ref Sc 2020 Other industries'!$A$5:$AE$33,Z$2)</f>
        <v>0.53678961632849165</v>
      </c>
      <c r="AA21" s="7">
        <f>Z21*VLOOKUP($A21,'EU Ref Sc 2020 Other industries'!$A$5:$AE$33,AA$2)</f>
        <v>0.55338261926952292</v>
      </c>
      <c r="AB21" s="7">
        <f>AA21*VLOOKUP($A21,'EU Ref Sc 2020 Other industries'!$A$5:$AE$33,AB$2)</f>
        <v>0.56997562221055409</v>
      </c>
      <c r="AC21" s="7">
        <f>AB21*VLOOKUP($A21,'EU Ref Sc 2020 Other industries'!$A$5:$AE$33,AC$2)</f>
        <v>0.56008213787409211</v>
      </c>
      <c r="AD21" s="7">
        <f>AC21*VLOOKUP($A21,'EU Ref Sc 2020 Other industries'!$A$5:$AE$33,AD$2)</f>
        <v>0.55018865353763025</v>
      </c>
      <c r="AE21" s="7">
        <f>AD21*VLOOKUP($A21,'EU Ref Sc 2020 Other industries'!$A$5:$AE$33,AE$2)</f>
        <v>0.54029516920116827</v>
      </c>
      <c r="AF21" s="7">
        <f>AE21*VLOOKUP($A21,'EU Ref Sc 2020 Other industries'!$A$5:$AE$33,AF$2)</f>
        <v>0.53040168486470629</v>
      </c>
      <c r="AG21" s="7">
        <f>AF21*VLOOKUP($A21,'EU Ref Sc 2020 Other industries'!$A$5:$AE$33,AG$2)</f>
        <v>0.52050820052824465</v>
      </c>
      <c r="AH21" s="13">
        <f t="shared" ref="AH21:AQ21" si="18">AG21</f>
        <v>0.52050820052824465</v>
      </c>
      <c r="AI21" s="13">
        <f t="shared" si="18"/>
        <v>0.52050820052824465</v>
      </c>
      <c r="AJ21" s="13">
        <f t="shared" si="18"/>
        <v>0.52050820052824465</v>
      </c>
      <c r="AK21" s="13">
        <f t="shared" si="18"/>
        <v>0.52050820052824465</v>
      </c>
      <c r="AL21" s="13">
        <f t="shared" si="18"/>
        <v>0.52050820052824465</v>
      </c>
      <c r="AM21" s="13">
        <f t="shared" si="18"/>
        <v>0.52050820052824465</v>
      </c>
      <c r="AN21" s="13">
        <f t="shared" si="18"/>
        <v>0.52050820052824465</v>
      </c>
      <c r="AO21" s="13">
        <f t="shared" si="18"/>
        <v>0.52050820052824465</v>
      </c>
      <c r="AP21" s="13">
        <f t="shared" si="18"/>
        <v>0.52050820052824465</v>
      </c>
      <c r="AQ21" s="13">
        <f t="shared" si="18"/>
        <v>0.52050820052824465</v>
      </c>
    </row>
    <row r="22" spans="1:43" x14ac:dyDescent="0.3">
      <c r="A22" t="s">
        <v>1401</v>
      </c>
      <c r="B22" t="s">
        <v>1395</v>
      </c>
      <c r="C22" t="str">
        <f t="shared" si="0"/>
        <v>CZIUEO</v>
      </c>
      <c r="D22" s="2">
        <v>43.634000000000007</v>
      </c>
      <c r="E22" s="7">
        <f>D22*VLOOKUP($A22,'EU Ref Sc 2020 Other industries'!$A$5:$AE$33,E$2)</f>
        <v>45.075776197982478</v>
      </c>
      <c r="F22" s="7">
        <f>E22*VLOOKUP($A22,'EU Ref Sc 2020 Other industries'!$A$5:$AE$33,F$2)</f>
        <v>46.517552395964948</v>
      </c>
      <c r="G22" s="7">
        <f>F22*VLOOKUP($A22,'EU Ref Sc 2020 Other industries'!$A$5:$AE$33,G$2)</f>
        <v>47.959328593947426</v>
      </c>
      <c r="H22" s="7">
        <f>G22*VLOOKUP($A22,'EU Ref Sc 2020 Other industries'!$A$5:$AE$33,H$2)</f>
        <v>49.40110479192991</v>
      </c>
      <c r="I22" s="7">
        <f>H22*VLOOKUP($A22,'EU Ref Sc 2020 Other industries'!$A$5:$AE$33,I$2)</f>
        <v>49.84787362300694</v>
      </c>
      <c r="J22" s="7">
        <f>I22*VLOOKUP($A22,'EU Ref Sc 2020 Other industries'!$A$5:$AE$33,J$2)</f>
        <v>50.294642454083963</v>
      </c>
      <c r="K22" s="7">
        <f>J22*VLOOKUP($A22,'EU Ref Sc 2020 Other industries'!$A$5:$AE$33,K$2)</f>
        <v>50.741411285160986</v>
      </c>
      <c r="L22" s="7">
        <f>K22*VLOOKUP($A22,'EU Ref Sc 2020 Other industries'!$A$5:$AE$33,L$2)</f>
        <v>51.188180116238009</v>
      </c>
      <c r="M22" s="7">
        <f>L22*VLOOKUP($A22,'EU Ref Sc 2020 Other industries'!$A$5:$AE$33,M$2)</f>
        <v>51.634948947315024</v>
      </c>
      <c r="N22" s="7">
        <f>M22*VLOOKUP($A22,'EU Ref Sc 2020 Other industries'!$A$5:$AE$33,N$2)</f>
        <v>51.775034235862037</v>
      </c>
      <c r="O22" s="7">
        <f>N22*VLOOKUP($A22,'EU Ref Sc 2020 Other industries'!$A$5:$AE$33,O$2)</f>
        <v>51.91511952440905</v>
      </c>
      <c r="P22" s="7">
        <f>O22*VLOOKUP($A22,'EU Ref Sc 2020 Other industries'!$A$5:$AE$33,P$2)</f>
        <v>52.055204812956063</v>
      </c>
      <c r="Q22" s="7">
        <f>P22*VLOOKUP($A22,'EU Ref Sc 2020 Other industries'!$A$5:$AE$33,Q$2)</f>
        <v>52.195290101503076</v>
      </c>
      <c r="R22" s="7">
        <f>Q22*VLOOKUP($A22,'EU Ref Sc 2020 Other industries'!$A$5:$AE$33,R$2)</f>
        <v>52.335375390050075</v>
      </c>
      <c r="S22" s="7">
        <f>R22*VLOOKUP($A22,'EU Ref Sc 2020 Other industries'!$A$5:$AE$33,S$2)</f>
        <v>52.640558581327561</v>
      </c>
      <c r="T22" s="7">
        <f>S22*VLOOKUP($A22,'EU Ref Sc 2020 Other industries'!$A$5:$AE$33,T$2)</f>
        <v>52.945741772605054</v>
      </c>
      <c r="U22" s="7">
        <f>T22*VLOOKUP($A22,'EU Ref Sc 2020 Other industries'!$A$5:$AE$33,U$2)</f>
        <v>53.250924963882539</v>
      </c>
      <c r="V22" s="7">
        <f>U22*VLOOKUP($A22,'EU Ref Sc 2020 Other industries'!$A$5:$AE$33,V$2)</f>
        <v>53.556108155160032</v>
      </c>
      <c r="W22" s="7">
        <f>V22*VLOOKUP($A22,'EU Ref Sc 2020 Other industries'!$A$5:$AE$33,W$2)</f>
        <v>53.861291346437532</v>
      </c>
      <c r="X22" s="7">
        <f>W22*VLOOKUP($A22,'EU Ref Sc 2020 Other industries'!$A$5:$AE$33,X$2)</f>
        <v>54.200995725986857</v>
      </c>
      <c r="Y22" s="7">
        <f>X22*VLOOKUP($A22,'EU Ref Sc 2020 Other industries'!$A$5:$AE$33,Y$2)</f>
        <v>54.540700105536182</v>
      </c>
      <c r="Z22" s="7">
        <f>Y22*VLOOKUP($A22,'EU Ref Sc 2020 Other industries'!$A$5:$AE$33,Z$2)</f>
        <v>54.880404485085513</v>
      </c>
      <c r="AA22" s="7">
        <f>Z22*VLOOKUP($A22,'EU Ref Sc 2020 Other industries'!$A$5:$AE$33,AA$2)</f>
        <v>55.220108864634845</v>
      </c>
      <c r="AB22" s="7">
        <f>AA22*VLOOKUP($A22,'EU Ref Sc 2020 Other industries'!$A$5:$AE$33,AB$2)</f>
        <v>55.559813244184177</v>
      </c>
      <c r="AC22" s="7">
        <f>AB22*VLOOKUP($A22,'EU Ref Sc 2020 Other industries'!$A$5:$AE$33,AC$2)</f>
        <v>55.993797108848867</v>
      </c>
      <c r="AD22" s="7">
        <f>AC22*VLOOKUP($A22,'EU Ref Sc 2020 Other industries'!$A$5:$AE$33,AD$2)</f>
        <v>56.427780973513549</v>
      </c>
      <c r="AE22" s="7">
        <f>AD22*VLOOKUP($A22,'EU Ref Sc 2020 Other industries'!$A$5:$AE$33,AE$2)</f>
        <v>56.861764838178232</v>
      </c>
      <c r="AF22" s="7">
        <f>AE22*VLOOKUP($A22,'EU Ref Sc 2020 Other industries'!$A$5:$AE$33,AF$2)</f>
        <v>57.295748702842907</v>
      </c>
      <c r="AG22" s="7">
        <f>AF22*VLOOKUP($A22,'EU Ref Sc 2020 Other industries'!$A$5:$AE$33,AG$2)</f>
        <v>57.729732567507604</v>
      </c>
      <c r="AH22" s="13">
        <f t="shared" ref="AH22:AQ22" si="19">AG22</f>
        <v>57.729732567507604</v>
      </c>
      <c r="AI22" s="13">
        <f t="shared" si="19"/>
        <v>57.729732567507604</v>
      </c>
      <c r="AJ22" s="13">
        <f t="shared" si="19"/>
        <v>57.729732567507604</v>
      </c>
      <c r="AK22" s="13">
        <f t="shared" si="19"/>
        <v>57.729732567507604</v>
      </c>
      <c r="AL22" s="13">
        <f t="shared" si="19"/>
        <v>57.729732567507604</v>
      </c>
      <c r="AM22" s="13">
        <f t="shared" si="19"/>
        <v>57.729732567507604</v>
      </c>
      <c r="AN22" s="13">
        <f t="shared" si="19"/>
        <v>57.729732567507604</v>
      </c>
      <c r="AO22" s="13">
        <f t="shared" si="19"/>
        <v>57.729732567507604</v>
      </c>
      <c r="AP22" s="13">
        <f t="shared" si="19"/>
        <v>57.729732567507604</v>
      </c>
      <c r="AQ22" s="13">
        <f t="shared" si="19"/>
        <v>57.729732567507604</v>
      </c>
    </row>
    <row r="23" spans="1:43" x14ac:dyDescent="0.3">
      <c r="A23" t="s">
        <v>1402</v>
      </c>
      <c r="B23" t="s">
        <v>1395</v>
      </c>
      <c r="C23" t="str">
        <f t="shared" si="0"/>
        <v>DEIUEO</v>
      </c>
      <c r="D23" s="2">
        <v>353.69160000000005</v>
      </c>
      <c r="E23" s="7">
        <f>D23*VLOOKUP($A23,'EU Ref Sc 2020 Other industries'!$A$5:$AE$33,E$2)</f>
        <v>355.74594479221042</v>
      </c>
      <c r="F23" s="7">
        <f>E23*VLOOKUP($A23,'EU Ref Sc 2020 Other industries'!$A$5:$AE$33,F$2)</f>
        <v>357.8002895844208</v>
      </c>
      <c r="G23" s="7">
        <f>F23*VLOOKUP($A23,'EU Ref Sc 2020 Other industries'!$A$5:$AE$33,G$2)</f>
        <v>359.85463437663117</v>
      </c>
      <c r="H23" s="7">
        <f>G23*VLOOKUP($A23,'EU Ref Sc 2020 Other industries'!$A$5:$AE$33,H$2)</f>
        <v>361.90897916884154</v>
      </c>
      <c r="I23" s="7">
        <f>H23*VLOOKUP($A23,'EU Ref Sc 2020 Other industries'!$A$5:$AE$33,I$2)</f>
        <v>357.72193103273258</v>
      </c>
      <c r="J23" s="7">
        <f>I23*VLOOKUP($A23,'EU Ref Sc 2020 Other industries'!$A$5:$AE$33,J$2)</f>
        <v>353.53488289662363</v>
      </c>
      <c r="K23" s="7">
        <f>J23*VLOOKUP($A23,'EU Ref Sc 2020 Other industries'!$A$5:$AE$33,K$2)</f>
        <v>349.34783476051467</v>
      </c>
      <c r="L23" s="7">
        <f>K23*VLOOKUP($A23,'EU Ref Sc 2020 Other industries'!$A$5:$AE$33,L$2)</f>
        <v>345.16078662440566</v>
      </c>
      <c r="M23" s="7">
        <f>L23*VLOOKUP($A23,'EU Ref Sc 2020 Other industries'!$A$5:$AE$33,M$2)</f>
        <v>340.97373848829676</v>
      </c>
      <c r="N23" s="7">
        <f>M23*VLOOKUP($A23,'EU Ref Sc 2020 Other industries'!$A$5:$AE$33,N$2)</f>
        <v>339.58891806559524</v>
      </c>
      <c r="O23" s="7">
        <f>N23*VLOOKUP($A23,'EU Ref Sc 2020 Other industries'!$A$5:$AE$33,O$2)</f>
        <v>338.20409764289371</v>
      </c>
      <c r="P23" s="7">
        <f>O23*VLOOKUP($A23,'EU Ref Sc 2020 Other industries'!$A$5:$AE$33,P$2)</f>
        <v>336.81927722019219</v>
      </c>
      <c r="Q23" s="7">
        <f>P23*VLOOKUP($A23,'EU Ref Sc 2020 Other industries'!$A$5:$AE$33,Q$2)</f>
        <v>335.43445679749067</v>
      </c>
      <c r="R23" s="7">
        <f>Q23*VLOOKUP($A23,'EU Ref Sc 2020 Other industries'!$A$5:$AE$33,R$2)</f>
        <v>334.04963637478915</v>
      </c>
      <c r="S23" s="7">
        <f>R23*VLOOKUP($A23,'EU Ref Sc 2020 Other industries'!$A$5:$AE$33,S$2)</f>
        <v>332.91687183597327</v>
      </c>
      <c r="T23" s="7">
        <f>S23*VLOOKUP($A23,'EU Ref Sc 2020 Other industries'!$A$5:$AE$33,T$2)</f>
        <v>331.78410729715739</v>
      </c>
      <c r="U23" s="7">
        <f>T23*VLOOKUP($A23,'EU Ref Sc 2020 Other industries'!$A$5:$AE$33,U$2)</f>
        <v>330.65134275834151</v>
      </c>
      <c r="V23" s="7">
        <f>U23*VLOOKUP($A23,'EU Ref Sc 2020 Other industries'!$A$5:$AE$33,V$2)</f>
        <v>329.51857821952564</v>
      </c>
      <c r="W23" s="7">
        <f>V23*VLOOKUP($A23,'EU Ref Sc 2020 Other industries'!$A$5:$AE$33,W$2)</f>
        <v>328.3858136807097</v>
      </c>
      <c r="X23" s="7">
        <f>W23*VLOOKUP($A23,'EU Ref Sc 2020 Other industries'!$A$5:$AE$33,X$2)</f>
        <v>328.25962060154751</v>
      </c>
      <c r="Y23" s="7">
        <f>X23*VLOOKUP($A23,'EU Ref Sc 2020 Other industries'!$A$5:$AE$33,Y$2)</f>
        <v>328.13342752238526</v>
      </c>
      <c r="Z23" s="7">
        <f>Y23*VLOOKUP($A23,'EU Ref Sc 2020 Other industries'!$A$5:$AE$33,Z$2)</f>
        <v>328.00723444322301</v>
      </c>
      <c r="AA23" s="7">
        <f>Z23*VLOOKUP($A23,'EU Ref Sc 2020 Other industries'!$A$5:$AE$33,AA$2)</f>
        <v>327.88104136406076</v>
      </c>
      <c r="AB23" s="7">
        <f>AA23*VLOOKUP($A23,'EU Ref Sc 2020 Other industries'!$A$5:$AE$33,AB$2)</f>
        <v>327.75484828489851</v>
      </c>
      <c r="AC23" s="7">
        <f>AB23*VLOOKUP($A23,'EU Ref Sc 2020 Other industries'!$A$5:$AE$33,AC$2)</f>
        <v>328.46215206772609</v>
      </c>
      <c r="AD23" s="7">
        <f>AC23*VLOOKUP($A23,'EU Ref Sc 2020 Other industries'!$A$5:$AE$33,AD$2)</f>
        <v>329.16945585055362</v>
      </c>
      <c r="AE23" s="7">
        <f>AD23*VLOOKUP($A23,'EU Ref Sc 2020 Other industries'!$A$5:$AE$33,AE$2)</f>
        <v>329.8767596333812</v>
      </c>
      <c r="AF23" s="7">
        <f>AE23*VLOOKUP($A23,'EU Ref Sc 2020 Other industries'!$A$5:$AE$33,AF$2)</f>
        <v>330.58406341620883</v>
      </c>
      <c r="AG23" s="7">
        <f>AF23*VLOOKUP($A23,'EU Ref Sc 2020 Other industries'!$A$5:$AE$33,AG$2)</f>
        <v>331.29136719903636</v>
      </c>
      <c r="AH23" s="13">
        <f t="shared" ref="AH23:AQ23" si="20">AG23</f>
        <v>331.29136719903636</v>
      </c>
      <c r="AI23" s="13">
        <f t="shared" si="20"/>
        <v>331.29136719903636</v>
      </c>
      <c r="AJ23" s="13">
        <f t="shared" si="20"/>
        <v>331.29136719903636</v>
      </c>
      <c r="AK23" s="13">
        <f t="shared" si="20"/>
        <v>331.29136719903636</v>
      </c>
      <c r="AL23" s="13">
        <f t="shared" si="20"/>
        <v>331.29136719903636</v>
      </c>
      <c r="AM23" s="13">
        <f t="shared" si="20"/>
        <v>331.29136719903636</v>
      </c>
      <c r="AN23" s="13">
        <f t="shared" si="20"/>
        <v>331.29136719903636</v>
      </c>
      <c r="AO23" s="13">
        <f t="shared" si="20"/>
        <v>331.29136719903636</v>
      </c>
      <c r="AP23" s="13">
        <f t="shared" si="20"/>
        <v>331.29136719903636</v>
      </c>
      <c r="AQ23" s="13">
        <f t="shared" si="20"/>
        <v>331.29136719903636</v>
      </c>
    </row>
    <row r="24" spans="1:43" x14ac:dyDescent="0.3">
      <c r="A24" t="s">
        <v>1403</v>
      </c>
      <c r="B24" t="s">
        <v>1395</v>
      </c>
      <c r="C24" s="3" t="str">
        <f t="shared" si="0"/>
        <v>DKIUEO</v>
      </c>
      <c r="D24" s="14">
        <f>10.4753-1.8336</f>
        <v>8.6417000000000002</v>
      </c>
      <c r="E24" s="7">
        <f>D24*VLOOKUP($A24,'EU Ref Sc 2020 Other industries'!$A$5:$AE$33,E$2)</f>
        <v>8.7557958097067843</v>
      </c>
      <c r="F24" s="7">
        <f>E24*VLOOKUP($A24,'EU Ref Sc 2020 Other industries'!$A$5:$AE$33,F$2)</f>
        <v>8.8698916194135684</v>
      </c>
      <c r="G24" s="7">
        <f>F24*VLOOKUP($A24,'EU Ref Sc 2020 Other industries'!$A$5:$AE$33,G$2)</f>
        <v>8.9839874291203525</v>
      </c>
      <c r="H24" s="7">
        <f>G24*VLOOKUP($A24,'EU Ref Sc 2020 Other industries'!$A$5:$AE$33,H$2)</f>
        <v>9.0980832388271331</v>
      </c>
      <c r="I24" s="7">
        <f>H24*VLOOKUP($A24,'EU Ref Sc 2020 Other industries'!$A$5:$AE$33,I$2)</f>
        <v>9.419874001269509</v>
      </c>
      <c r="J24" s="7">
        <f>I24*VLOOKUP($A24,'EU Ref Sc 2020 Other industries'!$A$5:$AE$33,J$2)</f>
        <v>9.7416647637118867</v>
      </c>
      <c r="K24" s="7">
        <f>J24*VLOOKUP($A24,'EU Ref Sc 2020 Other industries'!$A$5:$AE$33,K$2)</f>
        <v>10.063455526154264</v>
      </c>
      <c r="L24" s="7">
        <f>K24*VLOOKUP($A24,'EU Ref Sc 2020 Other industries'!$A$5:$AE$33,L$2)</f>
        <v>10.385246288596642</v>
      </c>
      <c r="M24" s="7">
        <f>L24*VLOOKUP($A24,'EU Ref Sc 2020 Other industries'!$A$5:$AE$33,M$2)</f>
        <v>10.707037051039023</v>
      </c>
      <c r="N24" s="7">
        <f>M24*VLOOKUP($A24,'EU Ref Sc 2020 Other industries'!$A$5:$AE$33,N$2)</f>
        <v>10.72804454632765</v>
      </c>
      <c r="O24" s="7">
        <f>N24*VLOOKUP($A24,'EU Ref Sc 2020 Other industries'!$A$5:$AE$33,O$2)</f>
        <v>10.749052041616276</v>
      </c>
      <c r="P24" s="7">
        <f>O24*VLOOKUP($A24,'EU Ref Sc 2020 Other industries'!$A$5:$AE$33,P$2)</f>
        <v>10.770059536904901</v>
      </c>
      <c r="Q24" s="7">
        <f>P24*VLOOKUP($A24,'EU Ref Sc 2020 Other industries'!$A$5:$AE$33,Q$2)</f>
        <v>10.791067032193528</v>
      </c>
      <c r="R24" s="7">
        <f>Q24*VLOOKUP($A24,'EU Ref Sc 2020 Other industries'!$A$5:$AE$33,R$2)</f>
        <v>10.812074527482151</v>
      </c>
      <c r="S24" s="7">
        <f>R24*VLOOKUP($A24,'EU Ref Sc 2020 Other industries'!$A$5:$AE$33,S$2)</f>
        <v>10.913044033261892</v>
      </c>
      <c r="T24" s="7">
        <f>S24*VLOOKUP($A24,'EU Ref Sc 2020 Other industries'!$A$5:$AE$33,T$2)</f>
        <v>11.014013539041633</v>
      </c>
      <c r="U24" s="7">
        <f>T24*VLOOKUP($A24,'EU Ref Sc 2020 Other industries'!$A$5:$AE$33,U$2)</f>
        <v>11.114983044821374</v>
      </c>
      <c r="V24" s="7">
        <f>U24*VLOOKUP($A24,'EU Ref Sc 2020 Other industries'!$A$5:$AE$33,V$2)</f>
        <v>11.215952550601115</v>
      </c>
      <c r="W24" s="7">
        <f>V24*VLOOKUP($A24,'EU Ref Sc 2020 Other industries'!$A$5:$AE$33,W$2)</f>
        <v>11.316922056380854</v>
      </c>
      <c r="X24" s="7">
        <f>W24*VLOOKUP($A24,'EU Ref Sc 2020 Other industries'!$A$5:$AE$33,X$2)</f>
        <v>11.457827969371325</v>
      </c>
      <c r="Y24" s="7">
        <f>X24*VLOOKUP($A24,'EU Ref Sc 2020 Other industries'!$A$5:$AE$33,Y$2)</f>
        <v>11.598733882361795</v>
      </c>
      <c r="Z24" s="7">
        <f>Y24*VLOOKUP($A24,'EU Ref Sc 2020 Other industries'!$A$5:$AE$33,Z$2)</f>
        <v>11.739639795352264</v>
      </c>
      <c r="AA24" s="7">
        <f>Z24*VLOOKUP($A24,'EU Ref Sc 2020 Other industries'!$A$5:$AE$33,AA$2)</f>
        <v>11.880545708342733</v>
      </c>
      <c r="AB24" s="7">
        <f>AA24*VLOOKUP($A24,'EU Ref Sc 2020 Other industries'!$A$5:$AE$33,AB$2)</f>
        <v>12.021451621333204</v>
      </c>
      <c r="AC24" s="7">
        <f>AB24*VLOOKUP($A24,'EU Ref Sc 2020 Other industries'!$A$5:$AE$33,AC$2)</f>
        <v>12.155224641586189</v>
      </c>
      <c r="AD24" s="7">
        <f>AC24*VLOOKUP($A24,'EU Ref Sc 2020 Other industries'!$A$5:$AE$33,AD$2)</f>
        <v>12.288997661839174</v>
      </c>
      <c r="AE24" s="7">
        <f>AD24*VLOOKUP($A24,'EU Ref Sc 2020 Other industries'!$A$5:$AE$33,AE$2)</f>
        <v>12.422770682092159</v>
      </c>
      <c r="AF24" s="7">
        <f>AE24*VLOOKUP($A24,'EU Ref Sc 2020 Other industries'!$A$5:$AE$33,AF$2)</f>
        <v>12.556543702345143</v>
      </c>
      <c r="AG24" s="7">
        <f>AF24*VLOOKUP($A24,'EU Ref Sc 2020 Other industries'!$A$5:$AE$33,AG$2)</f>
        <v>12.690316722598128</v>
      </c>
      <c r="AH24" s="13">
        <f t="shared" ref="AH24:AQ24" si="21">AG24</f>
        <v>12.690316722598128</v>
      </c>
      <c r="AI24" s="13">
        <f t="shared" si="21"/>
        <v>12.690316722598128</v>
      </c>
      <c r="AJ24" s="13">
        <f t="shared" si="21"/>
        <v>12.690316722598128</v>
      </c>
      <c r="AK24" s="13">
        <f t="shared" si="21"/>
        <v>12.690316722598128</v>
      </c>
      <c r="AL24" s="13">
        <f t="shared" si="21"/>
        <v>12.690316722598128</v>
      </c>
      <c r="AM24" s="13">
        <f t="shared" si="21"/>
        <v>12.690316722598128</v>
      </c>
      <c r="AN24" s="13">
        <f t="shared" si="21"/>
        <v>12.690316722598128</v>
      </c>
      <c r="AO24" s="13">
        <f t="shared" si="21"/>
        <v>12.690316722598128</v>
      </c>
      <c r="AP24" s="13">
        <f t="shared" si="21"/>
        <v>12.690316722598128</v>
      </c>
      <c r="AQ24" s="13">
        <f t="shared" si="21"/>
        <v>12.690316722598128</v>
      </c>
    </row>
    <row r="25" spans="1:43" x14ac:dyDescent="0.3">
      <c r="A25" t="s">
        <v>1405</v>
      </c>
      <c r="B25" t="s">
        <v>1395</v>
      </c>
      <c r="C25" t="str">
        <f t="shared" si="0"/>
        <v>EEIUEO</v>
      </c>
      <c r="D25" s="2">
        <v>1.8966000000000003</v>
      </c>
      <c r="E25" s="7">
        <f>D25*VLOOKUP($A25,'EU Ref Sc 2020 Other industries'!$A$5:$AE$33,E$2)</f>
        <v>1.9760637130732608</v>
      </c>
      <c r="F25" s="7">
        <f>E25*VLOOKUP($A25,'EU Ref Sc 2020 Other industries'!$A$5:$AE$33,F$2)</f>
        <v>2.0555274261465213</v>
      </c>
      <c r="G25" s="7">
        <f>F25*VLOOKUP($A25,'EU Ref Sc 2020 Other industries'!$A$5:$AE$33,G$2)</f>
        <v>2.1349911392197818</v>
      </c>
      <c r="H25" s="7">
        <f>G25*VLOOKUP($A25,'EU Ref Sc 2020 Other industries'!$A$5:$AE$33,H$2)</f>
        <v>2.2144548522930427</v>
      </c>
      <c r="I25" s="7">
        <f>H25*VLOOKUP($A25,'EU Ref Sc 2020 Other industries'!$A$5:$AE$33,I$2)</f>
        <v>2.2934043844128138</v>
      </c>
      <c r="J25" s="7">
        <f>I25*VLOOKUP($A25,'EU Ref Sc 2020 Other industries'!$A$5:$AE$33,J$2)</f>
        <v>2.3723539165325853</v>
      </c>
      <c r="K25" s="7">
        <f>J25*VLOOKUP($A25,'EU Ref Sc 2020 Other industries'!$A$5:$AE$33,K$2)</f>
        <v>2.4513034486523568</v>
      </c>
      <c r="L25" s="7">
        <f>K25*VLOOKUP($A25,'EU Ref Sc 2020 Other industries'!$A$5:$AE$33,L$2)</f>
        <v>2.5302529807721279</v>
      </c>
      <c r="M25" s="7">
        <f>L25*VLOOKUP($A25,'EU Ref Sc 2020 Other industries'!$A$5:$AE$33,M$2)</f>
        <v>2.6092025128918999</v>
      </c>
      <c r="N25" s="7">
        <f>M25*VLOOKUP($A25,'EU Ref Sc 2020 Other industries'!$A$5:$AE$33,N$2)</f>
        <v>2.6110582240171887</v>
      </c>
      <c r="O25" s="7">
        <f>N25*VLOOKUP($A25,'EU Ref Sc 2020 Other industries'!$A$5:$AE$33,O$2)</f>
        <v>2.6129139351424775</v>
      </c>
      <c r="P25" s="7">
        <f>O25*VLOOKUP($A25,'EU Ref Sc 2020 Other industries'!$A$5:$AE$33,P$2)</f>
        <v>2.6147696462677663</v>
      </c>
      <c r="Q25" s="7">
        <f>P25*VLOOKUP($A25,'EU Ref Sc 2020 Other industries'!$A$5:$AE$33,Q$2)</f>
        <v>2.6166253573930551</v>
      </c>
      <c r="R25" s="7">
        <f>Q25*VLOOKUP($A25,'EU Ref Sc 2020 Other industries'!$A$5:$AE$33,R$2)</f>
        <v>2.6184810685183435</v>
      </c>
      <c r="S25" s="7">
        <f>R25*VLOOKUP($A25,'EU Ref Sc 2020 Other industries'!$A$5:$AE$33,S$2)</f>
        <v>2.6066321075397192</v>
      </c>
      <c r="T25" s="7">
        <f>S25*VLOOKUP($A25,'EU Ref Sc 2020 Other industries'!$A$5:$AE$33,T$2)</f>
        <v>2.5947831465610949</v>
      </c>
      <c r="U25" s="7">
        <f>T25*VLOOKUP($A25,'EU Ref Sc 2020 Other industries'!$A$5:$AE$33,U$2)</f>
        <v>2.5829341855824706</v>
      </c>
      <c r="V25" s="7">
        <f>U25*VLOOKUP($A25,'EU Ref Sc 2020 Other industries'!$A$5:$AE$33,V$2)</f>
        <v>2.5710852246038463</v>
      </c>
      <c r="W25" s="7">
        <f>V25*VLOOKUP($A25,'EU Ref Sc 2020 Other industries'!$A$5:$AE$33,W$2)</f>
        <v>2.5592362636252228</v>
      </c>
      <c r="X25" s="7">
        <f>W25*VLOOKUP($A25,'EU Ref Sc 2020 Other industries'!$A$5:$AE$33,X$2)</f>
        <v>2.5593090429222278</v>
      </c>
      <c r="Y25" s="7">
        <f>X25*VLOOKUP($A25,'EU Ref Sc 2020 Other industries'!$A$5:$AE$33,Y$2)</f>
        <v>2.5593818222192324</v>
      </c>
      <c r="Z25" s="7">
        <f>Y25*VLOOKUP($A25,'EU Ref Sc 2020 Other industries'!$A$5:$AE$33,Z$2)</f>
        <v>2.5594546015162369</v>
      </c>
      <c r="AA25" s="7">
        <f>Z25*VLOOKUP($A25,'EU Ref Sc 2020 Other industries'!$A$5:$AE$33,AA$2)</f>
        <v>2.5595273808132415</v>
      </c>
      <c r="AB25" s="7">
        <f>AA25*VLOOKUP($A25,'EU Ref Sc 2020 Other industries'!$A$5:$AE$33,AB$2)</f>
        <v>2.5596001601102469</v>
      </c>
      <c r="AC25" s="7">
        <f>AB25*VLOOKUP($A25,'EU Ref Sc 2020 Other industries'!$A$5:$AE$33,AC$2)</f>
        <v>2.5538455239612081</v>
      </c>
      <c r="AD25" s="7">
        <f>AC25*VLOOKUP($A25,'EU Ref Sc 2020 Other industries'!$A$5:$AE$33,AD$2)</f>
        <v>2.5480908878121693</v>
      </c>
      <c r="AE25" s="7">
        <f>AD25*VLOOKUP($A25,'EU Ref Sc 2020 Other industries'!$A$5:$AE$33,AE$2)</f>
        <v>2.5423362516631305</v>
      </c>
      <c r="AF25" s="7">
        <f>AE25*VLOOKUP($A25,'EU Ref Sc 2020 Other industries'!$A$5:$AE$33,AF$2)</f>
        <v>2.5365816155140917</v>
      </c>
      <c r="AG25" s="7">
        <f>AF25*VLOOKUP($A25,'EU Ref Sc 2020 Other industries'!$A$5:$AE$33,AG$2)</f>
        <v>2.530826979365052</v>
      </c>
      <c r="AH25" s="13">
        <f t="shared" ref="AH25:AQ25" si="22">AG25</f>
        <v>2.530826979365052</v>
      </c>
      <c r="AI25" s="13">
        <f t="shared" si="22"/>
        <v>2.530826979365052</v>
      </c>
      <c r="AJ25" s="13">
        <f t="shared" si="22"/>
        <v>2.530826979365052</v>
      </c>
      <c r="AK25" s="13">
        <f t="shared" si="22"/>
        <v>2.530826979365052</v>
      </c>
      <c r="AL25" s="13">
        <f t="shared" si="22"/>
        <v>2.530826979365052</v>
      </c>
      <c r="AM25" s="13">
        <f t="shared" si="22"/>
        <v>2.530826979365052</v>
      </c>
      <c r="AN25" s="13">
        <f t="shared" si="22"/>
        <v>2.530826979365052</v>
      </c>
      <c r="AO25" s="13">
        <f t="shared" si="22"/>
        <v>2.530826979365052</v>
      </c>
      <c r="AP25" s="13">
        <f t="shared" si="22"/>
        <v>2.530826979365052</v>
      </c>
      <c r="AQ25" s="13">
        <f t="shared" si="22"/>
        <v>2.530826979365052</v>
      </c>
    </row>
    <row r="26" spans="1:43" x14ac:dyDescent="0.3">
      <c r="A26" t="s">
        <v>1408</v>
      </c>
      <c r="B26" t="s">
        <v>1395</v>
      </c>
      <c r="C26" t="str">
        <f t="shared" si="0"/>
        <v>ESIUEO</v>
      </c>
      <c r="D26" s="2">
        <v>128.29780000000002</v>
      </c>
      <c r="E26" s="7">
        <f>D26*VLOOKUP($A26,'EU Ref Sc 2020 Other industries'!$A$5:$AE$33,E$2)</f>
        <v>133.67321894291396</v>
      </c>
      <c r="F26" s="7">
        <f>E26*VLOOKUP($A26,'EU Ref Sc 2020 Other industries'!$A$5:$AE$33,F$2)</f>
        <v>139.0486378858279</v>
      </c>
      <c r="G26" s="7">
        <f>F26*VLOOKUP($A26,'EU Ref Sc 2020 Other industries'!$A$5:$AE$33,G$2)</f>
        <v>144.42405682874184</v>
      </c>
      <c r="H26" s="7">
        <f>G26*VLOOKUP($A26,'EU Ref Sc 2020 Other industries'!$A$5:$AE$33,H$2)</f>
        <v>149.79947577165581</v>
      </c>
      <c r="I26" s="7">
        <f>H26*VLOOKUP($A26,'EU Ref Sc 2020 Other industries'!$A$5:$AE$33,I$2)</f>
        <v>155.14011232232332</v>
      </c>
      <c r="J26" s="7">
        <f>I26*VLOOKUP($A26,'EU Ref Sc 2020 Other industries'!$A$5:$AE$33,J$2)</f>
        <v>160.48074887299083</v>
      </c>
      <c r="K26" s="7">
        <f>J26*VLOOKUP($A26,'EU Ref Sc 2020 Other industries'!$A$5:$AE$33,K$2)</f>
        <v>165.82138542365834</v>
      </c>
      <c r="L26" s="7">
        <f>K26*VLOOKUP($A26,'EU Ref Sc 2020 Other industries'!$A$5:$AE$33,L$2)</f>
        <v>171.16202197432585</v>
      </c>
      <c r="M26" s="7">
        <f>L26*VLOOKUP($A26,'EU Ref Sc 2020 Other industries'!$A$5:$AE$33,M$2)</f>
        <v>176.50265852499339</v>
      </c>
      <c r="N26" s="7">
        <f>M26*VLOOKUP($A26,'EU Ref Sc 2020 Other industries'!$A$5:$AE$33,N$2)</f>
        <v>176.62819034762867</v>
      </c>
      <c r="O26" s="7">
        <f>N26*VLOOKUP($A26,'EU Ref Sc 2020 Other industries'!$A$5:$AE$33,O$2)</f>
        <v>176.75372217026396</v>
      </c>
      <c r="P26" s="7">
        <f>O26*VLOOKUP($A26,'EU Ref Sc 2020 Other industries'!$A$5:$AE$33,P$2)</f>
        <v>176.87925399289924</v>
      </c>
      <c r="Q26" s="7">
        <f>P26*VLOOKUP($A26,'EU Ref Sc 2020 Other industries'!$A$5:$AE$33,Q$2)</f>
        <v>177.00478581553452</v>
      </c>
      <c r="R26" s="7">
        <f>Q26*VLOOKUP($A26,'EU Ref Sc 2020 Other industries'!$A$5:$AE$33,R$2)</f>
        <v>177.13031763816977</v>
      </c>
      <c r="S26" s="7">
        <f>R26*VLOOKUP($A26,'EU Ref Sc 2020 Other industries'!$A$5:$AE$33,S$2)</f>
        <v>176.3287803473107</v>
      </c>
      <c r="T26" s="7">
        <f>S26*VLOOKUP($A26,'EU Ref Sc 2020 Other industries'!$A$5:$AE$33,T$2)</f>
        <v>175.5272430564516</v>
      </c>
      <c r="U26" s="7">
        <f>T26*VLOOKUP($A26,'EU Ref Sc 2020 Other industries'!$A$5:$AE$33,U$2)</f>
        <v>174.72570576559249</v>
      </c>
      <c r="V26" s="7">
        <f>U26*VLOOKUP($A26,'EU Ref Sc 2020 Other industries'!$A$5:$AE$33,V$2)</f>
        <v>173.92416847473339</v>
      </c>
      <c r="W26" s="7">
        <f>V26*VLOOKUP($A26,'EU Ref Sc 2020 Other industries'!$A$5:$AE$33,W$2)</f>
        <v>173.12263118387435</v>
      </c>
      <c r="X26" s="7">
        <f>W26*VLOOKUP($A26,'EU Ref Sc 2020 Other industries'!$A$5:$AE$33,X$2)</f>
        <v>173.12755442741081</v>
      </c>
      <c r="Y26" s="7">
        <f>X26*VLOOKUP($A26,'EU Ref Sc 2020 Other industries'!$A$5:$AE$33,Y$2)</f>
        <v>173.13247767094725</v>
      </c>
      <c r="Z26" s="7">
        <f>Y26*VLOOKUP($A26,'EU Ref Sc 2020 Other industries'!$A$5:$AE$33,Z$2)</f>
        <v>173.13740091448372</v>
      </c>
      <c r="AA26" s="7">
        <f>Z26*VLOOKUP($A26,'EU Ref Sc 2020 Other industries'!$A$5:$AE$33,AA$2)</f>
        <v>173.14232415802019</v>
      </c>
      <c r="AB26" s="7">
        <f>AA26*VLOOKUP($A26,'EU Ref Sc 2020 Other industries'!$A$5:$AE$33,AB$2)</f>
        <v>173.14724740155668</v>
      </c>
      <c r="AC26" s="7">
        <f>AB26*VLOOKUP($A26,'EU Ref Sc 2020 Other industries'!$A$5:$AE$33,AC$2)</f>
        <v>172.75796808186769</v>
      </c>
      <c r="AD26" s="7">
        <f>AC26*VLOOKUP($A26,'EU Ref Sc 2020 Other industries'!$A$5:$AE$33,AD$2)</f>
        <v>172.36868876217869</v>
      </c>
      <c r="AE26" s="7">
        <f>AD26*VLOOKUP($A26,'EU Ref Sc 2020 Other industries'!$A$5:$AE$33,AE$2)</f>
        <v>171.9794094424897</v>
      </c>
      <c r="AF26" s="7">
        <f>AE26*VLOOKUP($A26,'EU Ref Sc 2020 Other industries'!$A$5:$AE$33,AF$2)</f>
        <v>171.5901301228007</v>
      </c>
      <c r="AG26" s="7">
        <f>AF26*VLOOKUP($A26,'EU Ref Sc 2020 Other industries'!$A$5:$AE$33,AG$2)</f>
        <v>171.20085080311165</v>
      </c>
      <c r="AH26" s="13">
        <f t="shared" ref="AH26:AQ26" si="23">AG26</f>
        <v>171.20085080311165</v>
      </c>
      <c r="AI26" s="13">
        <f t="shared" si="23"/>
        <v>171.20085080311165</v>
      </c>
      <c r="AJ26" s="13">
        <f t="shared" si="23"/>
        <v>171.20085080311165</v>
      </c>
      <c r="AK26" s="13">
        <f t="shared" si="23"/>
        <v>171.20085080311165</v>
      </c>
      <c r="AL26" s="13">
        <f t="shared" si="23"/>
        <v>171.20085080311165</v>
      </c>
      <c r="AM26" s="13">
        <f t="shared" si="23"/>
        <v>171.20085080311165</v>
      </c>
      <c r="AN26" s="13">
        <f t="shared" si="23"/>
        <v>171.20085080311165</v>
      </c>
      <c r="AO26" s="13">
        <f t="shared" si="23"/>
        <v>171.20085080311165</v>
      </c>
      <c r="AP26" s="13">
        <f t="shared" si="23"/>
        <v>171.20085080311165</v>
      </c>
      <c r="AQ26" s="13">
        <f t="shared" si="23"/>
        <v>171.20085080311165</v>
      </c>
    </row>
    <row r="27" spans="1:43" x14ac:dyDescent="0.3">
      <c r="A27" t="s">
        <v>1409</v>
      </c>
      <c r="B27" t="s">
        <v>1395</v>
      </c>
      <c r="C27" t="str">
        <f t="shared" si="0"/>
        <v>FIIUEO</v>
      </c>
      <c r="D27" s="2">
        <v>34.162700000000001</v>
      </c>
      <c r="E27" s="7">
        <f>D27*VLOOKUP($A27,'EU Ref Sc 2020 Other industries'!$A$5:$AE$33,E$2)</f>
        <v>35.594048197093684</v>
      </c>
      <c r="F27" s="7">
        <f>E27*VLOOKUP($A27,'EU Ref Sc 2020 Other industries'!$A$5:$AE$33,F$2)</f>
        <v>37.025396394187368</v>
      </c>
      <c r="G27" s="7">
        <f>F27*VLOOKUP($A27,'EU Ref Sc 2020 Other industries'!$A$5:$AE$33,G$2)</f>
        <v>38.456744591281051</v>
      </c>
      <c r="H27" s="7">
        <f>G27*VLOOKUP($A27,'EU Ref Sc 2020 Other industries'!$A$5:$AE$33,H$2)</f>
        <v>39.888092788374742</v>
      </c>
      <c r="I27" s="7">
        <f>H27*VLOOKUP($A27,'EU Ref Sc 2020 Other industries'!$A$5:$AE$33,I$2)</f>
        <v>41.310179248855661</v>
      </c>
      <c r="J27" s="7">
        <f>I27*VLOOKUP($A27,'EU Ref Sc 2020 Other industries'!$A$5:$AE$33,J$2)</f>
        <v>42.732265709336581</v>
      </c>
      <c r="K27" s="7">
        <f>J27*VLOOKUP($A27,'EU Ref Sc 2020 Other industries'!$A$5:$AE$33,K$2)</f>
        <v>44.1543521698175</v>
      </c>
      <c r="L27" s="7">
        <f>K27*VLOOKUP($A27,'EU Ref Sc 2020 Other industries'!$A$5:$AE$33,L$2)</f>
        <v>45.576438630298419</v>
      </c>
      <c r="M27" s="7">
        <f>L27*VLOOKUP($A27,'EU Ref Sc 2020 Other industries'!$A$5:$AE$33,M$2)</f>
        <v>46.998525090779346</v>
      </c>
      <c r="N27" s="7">
        <f>M27*VLOOKUP($A27,'EU Ref Sc 2020 Other industries'!$A$5:$AE$33,N$2)</f>
        <v>47.031951275773494</v>
      </c>
      <c r="O27" s="7">
        <f>N27*VLOOKUP($A27,'EU Ref Sc 2020 Other industries'!$A$5:$AE$33,O$2)</f>
        <v>47.065377460767643</v>
      </c>
      <c r="P27" s="7">
        <f>O27*VLOOKUP($A27,'EU Ref Sc 2020 Other industries'!$A$5:$AE$33,P$2)</f>
        <v>47.098803645761791</v>
      </c>
      <c r="Q27" s="7">
        <f>P27*VLOOKUP($A27,'EU Ref Sc 2020 Other industries'!$A$5:$AE$33,Q$2)</f>
        <v>47.132229830755939</v>
      </c>
      <c r="R27" s="7">
        <f>Q27*VLOOKUP($A27,'EU Ref Sc 2020 Other industries'!$A$5:$AE$33,R$2)</f>
        <v>47.165656015750081</v>
      </c>
      <c r="S27" s="7">
        <f>R27*VLOOKUP($A27,'EU Ref Sc 2020 Other industries'!$A$5:$AE$33,S$2)</f>
        <v>46.952225403483688</v>
      </c>
      <c r="T27" s="7">
        <f>S27*VLOOKUP($A27,'EU Ref Sc 2020 Other industries'!$A$5:$AE$33,T$2)</f>
        <v>46.738794791217288</v>
      </c>
      <c r="U27" s="7">
        <f>T27*VLOOKUP($A27,'EU Ref Sc 2020 Other industries'!$A$5:$AE$33,U$2)</f>
        <v>46.525364178950888</v>
      </c>
      <c r="V27" s="7">
        <f>U27*VLOOKUP($A27,'EU Ref Sc 2020 Other industries'!$A$5:$AE$33,V$2)</f>
        <v>46.311933566684488</v>
      </c>
      <c r="W27" s="7">
        <f>V27*VLOOKUP($A27,'EU Ref Sc 2020 Other industries'!$A$5:$AE$33,W$2)</f>
        <v>46.098502954418102</v>
      </c>
      <c r="X27" s="7">
        <f>W27*VLOOKUP($A27,'EU Ref Sc 2020 Other industries'!$A$5:$AE$33,X$2)</f>
        <v>46.099813898892315</v>
      </c>
      <c r="Y27" s="7">
        <f>X27*VLOOKUP($A27,'EU Ref Sc 2020 Other industries'!$A$5:$AE$33,Y$2)</f>
        <v>46.10112484336652</v>
      </c>
      <c r="Z27" s="7">
        <f>Y27*VLOOKUP($A27,'EU Ref Sc 2020 Other industries'!$A$5:$AE$33,Z$2)</f>
        <v>46.102435787840726</v>
      </c>
      <c r="AA27" s="7">
        <f>Z27*VLOOKUP($A27,'EU Ref Sc 2020 Other industries'!$A$5:$AE$33,AA$2)</f>
        <v>46.103746732314931</v>
      </c>
      <c r="AB27" s="7">
        <f>AA27*VLOOKUP($A27,'EU Ref Sc 2020 Other industries'!$A$5:$AE$33,AB$2)</f>
        <v>46.105057676789151</v>
      </c>
      <c r="AC27" s="7">
        <f>AB27*VLOOKUP($A27,'EU Ref Sc 2020 Other industries'!$A$5:$AE$33,AC$2)</f>
        <v>46.001401709073882</v>
      </c>
      <c r="AD27" s="7">
        <f>AC27*VLOOKUP($A27,'EU Ref Sc 2020 Other industries'!$A$5:$AE$33,AD$2)</f>
        <v>45.897745741358619</v>
      </c>
      <c r="AE27" s="7">
        <f>AD27*VLOOKUP($A27,'EU Ref Sc 2020 Other industries'!$A$5:$AE$33,AE$2)</f>
        <v>45.794089773643357</v>
      </c>
      <c r="AF27" s="7">
        <f>AE27*VLOOKUP($A27,'EU Ref Sc 2020 Other industries'!$A$5:$AE$33,AF$2)</f>
        <v>45.690433805928095</v>
      </c>
      <c r="AG27" s="7">
        <f>AF27*VLOOKUP($A27,'EU Ref Sc 2020 Other industries'!$A$5:$AE$33,AG$2)</f>
        <v>45.586777838212811</v>
      </c>
      <c r="AH27" s="13">
        <f t="shared" ref="AH27:AQ27" si="24">AG27</f>
        <v>45.586777838212811</v>
      </c>
      <c r="AI27" s="13">
        <f t="shared" si="24"/>
        <v>45.586777838212811</v>
      </c>
      <c r="AJ27" s="13">
        <f t="shared" si="24"/>
        <v>45.586777838212811</v>
      </c>
      <c r="AK27" s="13">
        <f t="shared" si="24"/>
        <v>45.586777838212811</v>
      </c>
      <c r="AL27" s="13">
        <f t="shared" si="24"/>
        <v>45.586777838212811</v>
      </c>
      <c r="AM27" s="13">
        <f t="shared" si="24"/>
        <v>45.586777838212811</v>
      </c>
      <c r="AN27" s="13">
        <f t="shared" si="24"/>
        <v>45.586777838212811</v>
      </c>
      <c r="AO27" s="13">
        <f t="shared" si="24"/>
        <v>45.586777838212811</v>
      </c>
      <c r="AP27" s="13">
        <f t="shared" si="24"/>
        <v>45.586777838212811</v>
      </c>
      <c r="AQ27" s="13">
        <f t="shared" si="24"/>
        <v>45.586777838212811</v>
      </c>
    </row>
    <row r="28" spans="1:43" x14ac:dyDescent="0.3">
      <c r="A28" t="s">
        <v>1410</v>
      </c>
      <c r="B28" t="s">
        <v>1395</v>
      </c>
      <c r="C28" s="3" t="str">
        <f t="shared" si="0"/>
        <v>FRIUEO</v>
      </c>
      <c r="D28" s="14">
        <f>159.6359-11.8031</f>
        <v>147.83279999999999</v>
      </c>
      <c r="E28" s="7">
        <f>D28*VLOOKUP($A28,'EU Ref Sc 2020 Other industries'!$A$5:$AE$33,E$2)</f>
        <v>154.02669602552814</v>
      </c>
      <c r="F28" s="7">
        <f>E28*VLOOKUP($A28,'EU Ref Sc 2020 Other industries'!$A$5:$AE$33,F$2)</f>
        <v>160.22059205105629</v>
      </c>
      <c r="G28" s="7">
        <f>F28*VLOOKUP($A28,'EU Ref Sc 2020 Other industries'!$A$5:$AE$33,G$2)</f>
        <v>166.41448807658446</v>
      </c>
      <c r="H28" s="7">
        <f>G28*VLOOKUP($A28,'EU Ref Sc 2020 Other industries'!$A$5:$AE$33,H$2)</f>
        <v>172.60838410211267</v>
      </c>
      <c r="I28" s="7">
        <f>H28*VLOOKUP($A28,'EU Ref Sc 2020 Other industries'!$A$5:$AE$33,I$2)</f>
        <v>178.76220166615133</v>
      </c>
      <c r="J28" s="7">
        <f>I28*VLOOKUP($A28,'EU Ref Sc 2020 Other industries'!$A$5:$AE$33,J$2)</f>
        <v>184.91601923018999</v>
      </c>
      <c r="K28" s="7">
        <f>J28*VLOOKUP($A28,'EU Ref Sc 2020 Other industries'!$A$5:$AE$33,K$2)</f>
        <v>191.06983679422865</v>
      </c>
      <c r="L28" s="7">
        <f>K28*VLOOKUP($A28,'EU Ref Sc 2020 Other industries'!$A$5:$AE$33,L$2)</f>
        <v>197.22365435826731</v>
      </c>
      <c r="M28" s="7">
        <f>L28*VLOOKUP($A28,'EU Ref Sc 2020 Other industries'!$A$5:$AE$33,M$2)</f>
        <v>203.37747192230603</v>
      </c>
      <c r="N28" s="7">
        <f>M28*VLOOKUP($A28,'EU Ref Sc 2020 Other industries'!$A$5:$AE$33,N$2)</f>
        <v>203.52211758910059</v>
      </c>
      <c r="O28" s="7">
        <f>N28*VLOOKUP($A28,'EU Ref Sc 2020 Other industries'!$A$5:$AE$33,O$2)</f>
        <v>203.66676325589515</v>
      </c>
      <c r="P28" s="7">
        <f>O28*VLOOKUP($A28,'EU Ref Sc 2020 Other industries'!$A$5:$AE$33,P$2)</f>
        <v>203.81140892268974</v>
      </c>
      <c r="Q28" s="7">
        <f>P28*VLOOKUP($A28,'EU Ref Sc 2020 Other industries'!$A$5:$AE$33,Q$2)</f>
        <v>203.9560545894843</v>
      </c>
      <c r="R28" s="7">
        <f>Q28*VLOOKUP($A28,'EU Ref Sc 2020 Other industries'!$A$5:$AE$33,R$2)</f>
        <v>204.10070025627886</v>
      </c>
      <c r="S28" s="7">
        <f>R28*VLOOKUP($A28,'EU Ref Sc 2020 Other industries'!$A$5:$AE$33,S$2)</f>
        <v>203.17711854239045</v>
      </c>
      <c r="T28" s="7">
        <f>S28*VLOOKUP($A28,'EU Ref Sc 2020 Other industries'!$A$5:$AE$33,T$2)</f>
        <v>202.25353682850204</v>
      </c>
      <c r="U28" s="7">
        <f>T28*VLOOKUP($A28,'EU Ref Sc 2020 Other industries'!$A$5:$AE$33,U$2)</f>
        <v>201.3299551146136</v>
      </c>
      <c r="V28" s="7">
        <f>U28*VLOOKUP($A28,'EU Ref Sc 2020 Other industries'!$A$5:$AE$33,V$2)</f>
        <v>200.40637340072519</v>
      </c>
      <c r="W28" s="7">
        <f>V28*VLOOKUP($A28,'EU Ref Sc 2020 Other industries'!$A$5:$AE$33,W$2)</f>
        <v>199.48279168683683</v>
      </c>
      <c r="X28" s="7">
        <f>W28*VLOOKUP($A28,'EU Ref Sc 2020 Other industries'!$A$5:$AE$33,X$2)</f>
        <v>199.48846455789993</v>
      </c>
      <c r="Y28" s="7">
        <f>X28*VLOOKUP($A28,'EU Ref Sc 2020 Other industries'!$A$5:$AE$33,Y$2)</f>
        <v>199.494137428963</v>
      </c>
      <c r="Z28" s="7">
        <f>Y28*VLOOKUP($A28,'EU Ref Sc 2020 Other industries'!$A$5:$AE$33,Z$2)</f>
        <v>199.49981030002607</v>
      </c>
      <c r="AA28" s="7">
        <f>Z28*VLOOKUP($A28,'EU Ref Sc 2020 Other industries'!$A$5:$AE$33,AA$2)</f>
        <v>199.50548317108917</v>
      </c>
      <c r="AB28" s="7">
        <f>AA28*VLOOKUP($A28,'EU Ref Sc 2020 Other industries'!$A$5:$AE$33,AB$2)</f>
        <v>199.51115604215229</v>
      </c>
      <c r="AC28" s="7">
        <f>AB28*VLOOKUP($A28,'EU Ref Sc 2020 Other industries'!$A$5:$AE$33,AC$2)</f>
        <v>199.06260390944448</v>
      </c>
      <c r="AD28" s="7">
        <f>AC28*VLOOKUP($A28,'EU Ref Sc 2020 Other industries'!$A$5:$AE$33,AD$2)</f>
        <v>198.61405177673666</v>
      </c>
      <c r="AE28" s="7">
        <f>AD28*VLOOKUP($A28,'EU Ref Sc 2020 Other industries'!$A$5:$AE$33,AE$2)</f>
        <v>198.16549964402884</v>
      </c>
      <c r="AF28" s="7">
        <f>AE28*VLOOKUP($A28,'EU Ref Sc 2020 Other industries'!$A$5:$AE$33,AF$2)</f>
        <v>197.71694751132102</v>
      </c>
      <c r="AG28" s="7">
        <f>AF28*VLOOKUP($A28,'EU Ref Sc 2020 Other industries'!$A$5:$AE$33,AG$2)</f>
        <v>197.26839537861315</v>
      </c>
      <c r="AH28" s="13">
        <f t="shared" ref="AH28:AQ28" si="25">AG28</f>
        <v>197.26839537861315</v>
      </c>
      <c r="AI28" s="13">
        <f t="shared" si="25"/>
        <v>197.26839537861315</v>
      </c>
      <c r="AJ28" s="13">
        <f t="shared" si="25"/>
        <v>197.26839537861315</v>
      </c>
      <c r="AK28" s="13">
        <f t="shared" si="25"/>
        <v>197.26839537861315</v>
      </c>
      <c r="AL28" s="13">
        <f t="shared" si="25"/>
        <v>197.26839537861315</v>
      </c>
      <c r="AM28" s="13">
        <f t="shared" si="25"/>
        <v>197.26839537861315</v>
      </c>
      <c r="AN28" s="13">
        <f t="shared" si="25"/>
        <v>197.26839537861315</v>
      </c>
      <c r="AO28" s="13">
        <f t="shared" si="25"/>
        <v>197.26839537861315</v>
      </c>
      <c r="AP28" s="13">
        <f t="shared" si="25"/>
        <v>197.26839537861315</v>
      </c>
      <c r="AQ28" s="13">
        <f t="shared" si="25"/>
        <v>197.26839537861315</v>
      </c>
    </row>
    <row r="29" spans="1:43" x14ac:dyDescent="0.3">
      <c r="A29" t="s">
        <v>1407</v>
      </c>
      <c r="B29" t="s">
        <v>1395</v>
      </c>
      <c r="C29" t="str">
        <f t="shared" si="0"/>
        <v>GRIUEO</v>
      </c>
      <c r="D29" s="2">
        <v>8.8368000000000002</v>
      </c>
      <c r="E29" s="7">
        <f>D29*VLOOKUP($A29,'EU Ref Sc 2020 Other industries'!$A$5:$AE$33,E$2)</f>
        <v>9.0377977170839063</v>
      </c>
      <c r="F29" s="7">
        <f>E29*VLOOKUP($A29,'EU Ref Sc 2020 Other industries'!$A$5:$AE$33,F$2)</f>
        <v>9.2387954341678125</v>
      </c>
      <c r="G29" s="7">
        <f>F29*VLOOKUP($A29,'EU Ref Sc 2020 Other industries'!$A$5:$AE$33,G$2)</f>
        <v>9.4397931512517186</v>
      </c>
      <c r="H29" s="7">
        <f>G29*VLOOKUP($A29,'EU Ref Sc 2020 Other industries'!$A$5:$AE$33,H$2)</f>
        <v>9.6407908683356283</v>
      </c>
      <c r="I29" s="7">
        <f>H29*VLOOKUP($A29,'EU Ref Sc 2020 Other industries'!$A$5:$AE$33,I$2)</f>
        <v>9.3628332536263628</v>
      </c>
      <c r="J29" s="7">
        <f>I29*VLOOKUP($A29,'EU Ref Sc 2020 Other industries'!$A$5:$AE$33,J$2)</f>
        <v>9.0848756389170973</v>
      </c>
      <c r="K29" s="7">
        <f>J29*VLOOKUP($A29,'EU Ref Sc 2020 Other industries'!$A$5:$AE$33,K$2)</f>
        <v>8.8069180242078335</v>
      </c>
      <c r="L29" s="7">
        <f>K29*VLOOKUP($A29,'EU Ref Sc 2020 Other industries'!$A$5:$AE$33,L$2)</f>
        <v>8.5289604094985698</v>
      </c>
      <c r="M29" s="7">
        <f>L29*VLOOKUP($A29,'EU Ref Sc 2020 Other industries'!$A$5:$AE$33,M$2)</f>
        <v>8.2510027947893061</v>
      </c>
      <c r="N29" s="7">
        <f>M29*VLOOKUP($A29,'EU Ref Sc 2020 Other industries'!$A$5:$AE$33,N$2)</f>
        <v>8.3903026288705878</v>
      </c>
      <c r="O29" s="7">
        <f>N29*VLOOKUP($A29,'EU Ref Sc 2020 Other industries'!$A$5:$AE$33,O$2)</f>
        <v>8.5296024629518694</v>
      </c>
      <c r="P29" s="7">
        <f>O29*VLOOKUP($A29,'EU Ref Sc 2020 Other industries'!$A$5:$AE$33,P$2)</f>
        <v>8.6689022970331493</v>
      </c>
      <c r="Q29" s="7">
        <f>P29*VLOOKUP($A29,'EU Ref Sc 2020 Other industries'!$A$5:$AE$33,Q$2)</f>
        <v>8.8082021311144292</v>
      </c>
      <c r="R29" s="7">
        <f>Q29*VLOOKUP($A29,'EU Ref Sc 2020 Other industries'!$A$5:$AE$33,R$2)</f>
        <v>8.9475019651957126</v>
      </c>
      <c r="S29" s="7">
        <f>R29*VLOOKUP($A29,'EU Ref Sc 2020 Other industries'!$A$5:$AE$33,S$2)</f>
        <v>8.9622200272896286</v>
      </c>
      <c r="T29" s="7">
        <f>S29*VLOOKUP($A29,'EU Ref Sc 2020 Other industries'!$A$5:$AE$33,T$2)</f>
        <v>8.9769380893835446</v>
      </c>
      <c r="U29" s="7">
        <f>T29*VLOOKUP($A29,'EU Ref Sc 2020 Other industries'!$A$5:$AE$33,U$2)</f>
        <v>8.9916561514774607</v>
      </c>
      <c r="V29" s="7">
        <f>U29*VLOOKUP($A29,'EU Ref Sc 2020 Other industries'!$A$5:$AE$33,V$2)</f>
        <v>9.0063742135713767</v>
      </c>
      <c r="W29" s="7">
        <f>V29*VLOOKUP($A29,'EU Ref Sc 2020 Other industries'!$A$5:$AE$33,W$2)</f>
        <v>9.0210922756652892</v>
      </c>
      <c r="X29" s="7">
        <f>W29*VLOOKUP($A29,'EU Ref Sc 2020 Other industries'!$A$5:$AE$33,X$2)</f>
        <v>9.0649076219436679</v>
      </c>
      <c r="Y29" s="7">
        <f>X29*VLOOKUP($A29,'EU Ref Sc 2020 Other industries'!$A$5:$AE$33,Y$2)</f>
        <v>9.1087229682220467</v>
      </c>
      <c r="Z29" s="7">
        <f>Y29*VLOOKUP($A29,'EU Ref Sc 2020 Other industries'!$A$5:$AE$33,Z$2)</f>
        <v>9.1525383145004255</v>
      </c>
      <c r="AA29" s="7">
        <f>Z29*VLOOKUP($A29,'EU Ref Sc 2020 Other industries'!$A$5:$AE$33,AA$2)</f>
        <v>9.1963536607788043</v>
      </c>
      <c r="AB29" s="7">
        <f>AA29*VLOOKUP($A29,'EU Ref Sc 2020 Other industries'!$A$5:$AE$33,AB$2)</f>
        <v>9.2401690070571831</v>
      </c>
      <c r="AC29" s="7">
        <f>AB29*VLOOKUP($A29,'EU Ref Sc 2020 Other industries'!$A$5:$AE$33,AC$2)</f>
        <v>9.2695489554939048</v>
      </c>
      <c r="AD29" s="7">
        <f>AC29*VLOOKUP($A29,'EU Ref Sc 2020 Other industries'!$A$5:$AE$33,AD$2)</f>
        <v>9.2989289039306282</v>
      </c>
      <c r="AE29" s="7">
        <f>AD29*VLOOKUP($A29,'EU Ref Sc 2020 Other industries'!$A$5:$AE$33,AE$2)</f>
        <v>9.3283088523673516</v>
      </c>
      <c r="AF29" s="7">
        <f>AE29*VLOOKUP($A29,'EU Ref Sc 2020 Other industries'!$A$5:$AE$33,AF$2)</f>
        <v>9.3576888008040733</v>
      </c>
      <c r="AG29" s="7">
        <f>AF29*VLOOKUP($A29,'EU Ref Sc 2020 Other industries'!$A$5:$AE$33,AG$2)</f>
        <v>9.3870687492407967</v>
      </c>
      <c r="AH29" s="13">
        <f t="shared" ref="AH29:AQ29" si="26">AG29</f>
        <v>9.3870687492407967</v>
      </c>
      <c r="AI29" s="13">
        <f t="shared" si="26"/>
        <v>9.3870687492407967</v>
      </c>
      <c r="AJ29" s="13">
        <f t="shared" si="26"/>
        <v>9.3870687492407967</v>
      </c>
      <c r="AK29" s="13">
        <f t="shared" si="26"/>
        <v>9.3870687492407967</v>
      </c>
      <c r="AL29" s="13">
        <f t="shared" si="26"/>
        <v>9.3870687492407967</v>
      </c>
      <c r="AM29" s="13">
        <f t="shared" si="26"/>
        <v>9.3870687492407967</v>
      </c>
      <c r="AN29" s="13">
        <f t="shared" si="26"/>
        <v>9.3870687492407967</v>
      </c>
      <c r="AO29" s="13">
        <f t="shared" si="26"/>
        <v>9.3870687492407967</v>
      </c>
      <c r="AP29" s="13">
        <f t="shared" si="26"/>
        <v>9.3870687492407967</v>
      </c>
      <c r="AQ29" s="13">
        <f t="shared" si="26"/>
        <v>9.3870687492407967</v>
      </c>
    </row>
    <row r="30" spans="1:43" x14ac:dyDescent="0.3">
      <c r="A30" t="s">
        <v>1411</v>
      </c>
      <c r="B30" t="s">
        <v>1395</v>
      </c>
      <c r="C30" s="3" t="str">
        <f t="shared" si="0"/>
        <v>HRIUEO</v>
      </c>
      <c r="D30" s="14">
        <f>6.4435-0.5869</f>
        <v>5.8566000000000003</v>
      </c>
      <c r="E30" s="7">
        <f>D30*VLOOKUP($A30,'EU Ref Sc 2020 Other industries'!$A$5:$AE$33,E$2)</f>
        <v>5.8814618390112026</v>
      </c>
      <c r="F30" s="7">
        <f>E30*VLOOKUP($A30,'EU Ref Sc 2020 Other industries'!$A$5:$AE$33,F$2)</f>
        <v>5.906323678022404</v>
      </c>
      <c r="G30" s="7">
        <f>F30*VLOOKUP($A30,'EU Ref Sc 2020 Other industries'!$A$5:$AE$33,G$2)</f>
        <v>5.9311855170336063</v>
      </c>
      <c r="H30" s="7">
        <f>G30*VLOOKUP($A30,'EU Ref Sc 2020 Other industries'!$A$5:$AE$33,H$2)</f>
        <v>5.956047356044806</v>
      </c>
      <c r="I30" s="7">
        <f>H30*VLOOKUP($A30,'EU Ref Sc 2020 Other industries'!$A$5:$AE$33,I$2)</f>
        <v>5.9140052954822053</v>
      </c>
      <c r="J30" s="7">
        <f>I30*VLOOKUP($A30,'EU Ref Sc 2020 Other industries'!$A$5:$AE$33,J$2)</f>
        <v>5.8719632349196047</v>
      </c>
      <c r="K30" s="7">
        <f>J30*VLOOKUP($A30,'EU Ref Sc 2020 Other industries'!$A$5:$AE$33,K$2)</f>
        <v>5.829921174357005</v>
      </c>
      <c r="L30" s="7">
        <f>K30*VLOOKUP($A30,'EU Ref Sc 2020 Other industries'!$A$5:$AE$33,L$2)</f>
        <v>5.7878791137944043</v>
      </c>
      <c r="M30" s="7">
        <f>L30*VLOOKUP($A30,'EU Ref Sc 2020 Other industries'!$A$5:$AE$33,M$2)</f>
        <v>5.7458370532318037</v>
      </c>
      <c r="N30" s="7">
        <f>M30*VLOOKUP($A30,'EU Ref Sc 2020 Other industries'!$A$5:$AE$33,N$2)</f>
        <v>5.7061314350183476</v>
      </c>
      <c r="O30" s="7">
        <f>N30*VLOOKUP($A30,'EU Ref Sc 2020 Other industries'!$A$5:$AE$33,O$2)</f>
        <v>5.6664258168048915</v>
      </c>
      <c r="P30" s="7">
        <f>O30*VLOOKUP($A30,'EU Ref Sc 2020 Other industries'!$A$5:$AE$33,P$2)</f>
        <v>5.6267201985914355</v>
      </c>
      <c r="Q30" s="7">
        <f>P30*VLOOKUP($A30,'EU Ref Sc 2020 Other industries'!$A$5:$AE$33,Q$2)</f>
        <v>5.5870145803779794</v>
      </c>
      <c r="R30" s="7">
        <f>Q30*VLOOKUP($A30,'EU Ref Sc 2020 Other industries'!$A$5:$AE$33,R$2)</f>
        <v>5.5473089621645233</v>
      </c>
      <c r="S30" s="7">
        <f>R30*VLOOKUP($A30,'EU Ref Sc 2020 Other industries'!$A$5:$AE$33,S$2)</f>
        <v>5.5691568927726953</v>
      </c>
      <c r="T30" s="7">
        <f>S30*VLOOKUP($A30,'EU Ref Sc 2020 Other industries'!$A$5:$AE$33,T$2)</f>
        <v>5.5910048233808674</v>
      </c>
      <c r="U30" s="7">
        <f>T30*VLOOKUP($A30,'EU Ref Sc 2020 Other industries'!$A$5:$AE$33,U$2)</f>
        <v>5.6128527539890394</v>
      </c>
      <c r="V30" s="7">
        <f>U30*VLOOKUP($A30,'EU Ref Sc 2020 Other industries'!$A$5:$AE$33,V$2)</f>
        <v>5.6347006845972114</v>
      </c>
      <c r="W30" s="7">
        <f>V30*VLOOKUP($A30,'EU Ref Sc 2020 Other industries'!$A$5:$AE$33,W$2)</f>
        <v>5.6565486152053825</v>
      </c>
      <c r="X30" s="7">
        <f>W30*VLOOKUP($A30,'EU Ref Sc 2020 Other industries'!$A$5:$AE$33,X$2)</f>
        <v>5.6500766325757441</v>
      </c>
      <c r="Y30" s="7">
        <f>X30*VLOOKUP($A30,'EU Ref Sc 2020 Other industries'!$A$5:$AE$33,Y$2)</f>
        <v>5.6436046499461057</v>
      </c>
      <c r="Z30" s="7">
        <f>Y30*VLOOKUP($A30,'EU Ref Sc 2020 Other industries'!$A$5:$AE$33,Z$2)</f>
        <v>5.6371326673164672</v>
      </c>
      <c r="AA30" s="7">
        <f>Z30*VLOOKUP($A30,'EU Ref Sc 2020 Other industries'!$A$5:$AE$33,AA$2)</f>
        <v>5.6306606846868288</v>
      </c>
      <c r="AB30" s="7">
        <f>AA30*VLOOKUP($A30,'EU Ref Sc 2020 Other industries'!$A$5:$AE$33,AB$2)</f>
        <v>5.6241887020571903</v>
      </c>
      <c r="AC30" s="7">
        <f>AB30*VLOOKUP($A30,'EU Ref Sc 2020 Other industries'!$A$5:$AE$33,AC$2)</f>
        <v>5.6533326139336761</v>
      </c>
      <c r="AD30" s="7">
        <f>AC30*VLOOKUP($A30,'EU Ref Sc 2020 Other industries'!$A$5:$AE$33,AD$2)</f>
        <v>5.6824765258101602</v>
      </c>
      <c r="AE30" s="7">
        <f>AD30*VLOOKUP($A30,'EU Ref Sc 2020 Other industries'!$A$5:$AE$33,AE$2)</f>
        <v>5.7116204376866451</v>
      </c>
      <c r="AF30" s="7">
        <f>AE30*VLOOKUP($A30,'EU Ref Sc 2020 Other industries'!$A$5:$AE$33,AF$2)</f>
        <v>5.74076434956313</v>
      </c>
      <c r="AG30" s="7">
        <f>AF30*VLOOKUP($A30,'EU Ref Sc 2020 Other industries'!$A$5:$AE$33,AG$2)</f>
        <v>5.769908261439614</v>
      </c>
      <c r="AH30" s="13">
        <f t="shared" ref="AH30:AQ30" si="27">AG30</f>
        <v>5.769908261439614</v>
      </c>
      <c r="AI30" s="13">
        <f t="shared" si="27"/>
        <v>5.769908261439614</v>
      </c>
      <c r="AJ30" s="13">
        <f t="shared" si="27"/>
        <v>5.769908261439614</v>
      </c>
      <c r="AK30" s="13">
        <f t="shared" si="27"/>
        <v>5.769908261439614</v>
      </c>
      <c r="AL30" s="13">
        <f t="shared" si="27"/>
        <v>5.769908261439614</v>
      </c>
      <c r="AM30" s="13">
        <f t="shared" si="27"/>
        <v>5.769908261439614</v>
      </c>
      <c r="AN30" s="13">
        <f t="shared" si="27"/>
        <v>5.769908261439614</v>
      </c>
      <c r="AO30" s="13">
        <f t="shared" si="27"/>
        <v>5.769908261439614</v>
      </c>
      <c r="AP30" s="13">
        <f t="shared" si="27"/>
        <v>5.769908261439614</v>
      </c>
      <c r="AQ30" s="13">
        <f t="shared" si="27"/>
        <v>5.769908261439614</v>
      </c>
    </row>
    <row r="31" spans="1:43" x14ac:dyDescent="0.3">
      <c r="A31" t="s">
        <v>1412</v>
      </c>
      <c r="B31" t="s">
        <v>1395</v>
      </c>
      <c r="C31" s="3" t="str">
        <f t="shared" si="0"/>
        <v>HUIUEO</v>
      </c>
      <c r="D31" s="14">
        <f>25.28-0.4426</f>
        <v>24.837400000000002</v>
      </c>
      <c r="E31" s="7">
        <f>D31*VLOOKUP($A31,'EU Ref Sc 2020 Other industries'!$A$5:$AE$33,E$2)</f>
        <v>25.21368799773678</v>
      </c>
      <c r="F31" s="7">
        <f>E31*VLOOKUP($A31,'EU Ref Sc 2020 Other industries'!$A$5:$AE$33,F$2)</f>
        <v>25.589975995473559</v>
      </c>
      <c r="G31" s="7">
        <f>F31*VLOOKUP($A31,'EU Ref Sc 2020 Other industries'!$A$5:$AE$33,G$2)</f>
        <v>25.966263993210337</v>
      </c>
      <c r="H31" s="7">
        <f>G31*VLOOKUP($A31,'EU Ref Sc 2020 Other industries'!$A$5:$AE$33,H$2)</f>
        <v>26.342551990947118</v>
      </c>
      <c r="I31" s="7">
        <f>H31*VLOOKUP($A31,'EU Ref Sc 2020 Other industries'!$A$5:$AE$33,I$2)</f>
        <v>27.532907398694125</v>
      </c>
      <c r="J31" s="7">
        <f>I31*VLOOKUP($A31,'EU Ref Sc 2020 Other industries'!$A$5:$AE$33,J$2)</f>
        <v>28.723262806441131</v>
      </c>
      <c r="K31" s="7">
        <f>J31*VLOOKUP($A31,'EU Ref Sc 2020 Other industries'!$A$5:$AE$33,K$2)</f>
        <v>29.913618214188137</v>
      </c>
      <c r="L31" s="7">
        <f>K31*VLOOKUP($A31,'EU Ref Sc 2020 Other industries'!$A$5:$AE$33,L$2)</f>
        <v>31.10397362193514</v>
      </c>
      <c r="M31" s="7">
        <f>L31*VLOOKUP($A31,'EU Ref Sc 2020 Other industries'!$A$5:$AE$33,M$2)</f>
        <v>32.294329029682153</v>
      </c>
      <c r="N31" s="7">
        <f>M31*VLOOKUP($A31,'EU Ref Sc 2020 Other industries'!$A$5:$AE$33,N$2)</f>
        <v>32.42072021354852</v>
      </c>
      <c r="O31" s="7">
        <f>N31*VLOOKUP($A31,'EU Ref Sc 2020 Other industries'!$A$5:$AE$33,O$2)</f>
        <v>32.547111397414888</v>
      </c>
      <c r="P31" s="7">
        <f>O31*VLOOKUP($A31,'EU Ref Sc 2020 Other industries'!$A$5:$AE$33,P$2)</f>
        <v>32.673502581281255</v>
      </c>
      <c r="Q31" s="7">
        <f>P31*VLOOKUP($A31,'EU Ref Sc 2020 Other industries'!$A$5:$AE$33,Q$2)</f>
        <v>32.799893765147623</v>
      </c>
      <c r="R31" s="7">
        <f>Q31*VLOOKUP($A31,'EU Ref Sc 2020 Other industries'!$A$5:$AE$33,R$2)</f>
        <v>32.926284949013983</v>
      </c>
      <c r="S31" s="7">
        <f>R31*VLOOKUP($A31,'EU Ref Sc 2020 Other industries'!$A$5:$AE$33,S$2)</f>
        <v>32.760226671343212</v>
      </c>
      <c r="T31" s="7">
        <f>S31*VLOOKUP($A31,'EU Ref Sc 2020 Other industries'!$A$5:$AE$33,T$2)</f>
        <v>32.59416839367244</v>
      </c>
      <c r="U31" s="7">
        <f>T31*VLOOKUP($A31,'EU Ref Sc 2020 Other industries'!$A$5:$AE$33,U$2)</f>
        <v>32.428110116001669</v>
      </c>
      <c r="V31" s="7">
        <f>U31*VLOOKUP($A31,'EU Ref Sc 2020 Other industries'!$A$5:$AE$33,V$2)</f>
        <v>32.262051838330898</v>
      </c>
      <c r="W31" s="7">
        <f>V31*VLOOKUP($A31,'EU Ref Sc 2020 Other industries'!$A$5:$AE$33,W$2)</f>
        <v>32.095993560660141</v>
      </c>
      <c r="X31" s="7">
        <f>W31*VLOOKUP($A31,'EU Ref Sc 2020 Other industries'!$A$5:$AE$33,X$2)</f>
        <v>31.880178639243894</v>
      </c>
      <c r="Y31" s="7">
        <f>X31*VLOOKUP($A31,'EU Ref Sc 2020 Other industries'!$A$5:$AE$33,Y$2)</f>
        <v>31.664363717827648</v>
      </c>
      <c r="Z31" s="7">
        <f>Y31*VLOOKUP($A31,'EU Ref Sc 2020 Other industries'!$A$5:$AE$33,Z$2)</f>
        <v>31.448548796411401</v>
      </c>
      <c r="AA31" s="7">
        <f>Z31*VLOOKUP($A31,'EU Ref Sc 2020 Other industries'!$A$5:$AE$33,AA$2)</f>
        <v>31.232733874995155</v>
      </c>
      <c r="AB31" s="7">
        <f>AA31*VLOOKUP($A31,'EU Ref Sc 2020 Other industries'!$A$5:$AE$33,AB$2)</f>
        <v>31.016918953578902</v>
      </c>
      <c r="AC31" s="7">
        <f>AB31*VLOOKUP($A31,'EU Ref Sc 2020 Other industries'!$A$5:$AE$33,AC$2)</f>
        <v>31.36618600712756</v>
      </c>
      <c r="AD31" s="7">
        <f>AC31*VLOOKUP($A31,'EU Ref Sc 2020 Other industries'!$A$5:$AE$33,AD$2)</f>
        <v>31.715453060676214</v>
      </c>
      <c r="AE31" s="7">
        <f>AD31*VLOOKUP($A31,'EU Ref Sc 2020 Other industries'!$A$5:$AE$33,AE$2)</f>
        <v>32.064720114224869</v>
      </c>
      <c r="AF31" s="7">
        <f>AE31*VLOOKUP($A31,'EU Ref Sc 2020 Other industries'!$A$5:$AE$33,AF$2)</f>
        <v>32.41398716777352</v>
      </c>
      <c r="AG31" s="7">
        <f>AF31*VLOOKUP($A31,'EU Ref Sc 2020 Other industries'!$A$5:$AE$33,AG$2)</f>
        <v>32.763254221322178</v>
      </c>
      <c r="AH31" s="13">
        <f t="shared" ref="AH31:AQ31" si="28">AG31</f>
        <v>32.763254221322178</v>
      </c>
      <c r="AI31" s="13">
        <f t="shared" si="28"/>
        <v>32.763254221322178</v>
      </c>
      <c r="AJ31" s="13">
        <f t="shared" si="28"/>
        <v>32.763254221322178</v>
      </c>
      <c r="AK31" s="13">
        <f t="shared" si="28"/>
        <v>32.763254221322178</v>
      </c>
      <c r="AL31" s="13">
        <f t="shared" si="28"/>
        <v>32.763254221322178</v>
      </c>
      <c r="AM31" s="13">
        <f t="shared" si="28"/>
        <v>32.763254221322178</v>
      </c>
      <c r="AN31" s="13">
        <f t="shared" si="28"/>
        <v>32.763254221322178</v>
      </c>
      <c r="AO31" s="13">
        <f t="shared" si="28"/>
        <v>32.763254221322178</v>
      </c>
      <c r="AP31" s="13">
        <f t="shared" si="28"/>
        <v>32.763254221322178</v>
      </c>
      <c r="AQ31" s="13">
        <f t="shared" si="28"/>
        <v>32.763254221322178</v>
      </c>
    </row>
    <row r="32" spans="1:43" x14ac:dyDescent="0.3">
      <c r="A32" t="s">
        <v>1413</v>
      </c>
      <c r="B32" t="s">
        <v>1395</v>
      </c>
      <c r="C32" t="str">
        <f t="shared" si="0"/>
        <v>IEIUEO</v>
      </c>
      <c r="D32" s="2">
        <v>7.8765999999999998</v>
      </c>
      <c r="E32" s="7">
        <f>D32*VLOOKUP($A32,'EU Ref Sc 2020 Other industries'!$A$5:$AE$33,E$2)</f>
        <v>8.0951366052282037</v>
      </c>
      <c r="F32" s="7">
        <f>E32*VLOOKUP($A32,'EU Ref Sc 2020 Other industries'!$A$5:$AE$33,F$2)</f>
        <v>8.3136732104564075</v>
      </c>
      <c r="G32" s="7">
        <f>F32*VLOOKUP($A32,'EU Ref Sc 2020 Other industries'!$A$5:$AE$33,G$2)</f>
        <v>8.5322098156846113</v>
      </c>
      <c r="H32" s="7">
        <f>G32*VLOOKUP($A32,'EU Ref Sc 2020 Other industries'!$A$5:$AE$33,H$2)</f>
        <v>8.7507464209128134</v>
      </c>
      <c r="I32" s="7">
        <f>H32*VLOOKUP($A32,'EU Ref Sc 2020 Other industries'!$A$5:$AE$33,I$2)</f>
        <v>8.9172187993814056</v>
      </c>
      <c r="J32" s="7">
        <f>I32*VLOOKUP($A32,'EU Ref Sc 2020 Other industries'!$A$5:$AE$33,J$2)</f>
        <v>9.0836911778499996</v>
      </c>
      <c r="K32" s="7">
        <f>J32*VLOOKUP($A32,'EU Ref Sc 2020 Other industries'!$A$5:$AE$33,K$2)</f>
        <v>9.2501635563185935</v>
      </c>
      <c r="L32" s="7">
        <f>K32*VLOOKUP($A32,'EU Ref Sc 2020 Other industries'!$A$5:$AE$33,L$2)</f>
        <v>9.4166359347871875</v>
      </c>
      <c r="M32" s="7">
        <f>L32*VLOOKUP($A32,'EU Ref Sc 2020 Other industries'!$A$5:$AE$33,M$2)</f>
        <v>9.5831083132557797</v>
      </c>
      <c r="N32" s="7">
        <f>M32*VLOOKUP($A32,'EU Ref Sc 2020 Other industries'!$A$5:$AE$33,N$2)</f>
        <v>9.5157050968383157</v>
      </c>
      <c r="O32" s="7">
        <f>N32*VLOOKUP($A32,'EU Ref Sc 2020 Other industries'!$A$5:$AE$33,O$2)</f>
        <v>9.4483018804208516</v>
      </c>
      <c r="P32" s="7">
        <f>O32*VLOOKUP($A32,'EU Ref Sc 2020 Other industries'!$A$5:$AE$33,P$2)</f>
        <v>9.3808986640033876</v>
      </c>
      <c r="Q32" s="7">
        <f>P32*VLOOKUP($A32,'EU Ref Sc 2020 Other industries'!$A$5:$AE$33,Q$2)</f>
        <v>9.3134954475859235</v>
      </c>
      <c r="R32" s="7">
        <f>Q32*VLOOKUP($A32,'EU Ref Sc 2020 Other industries'!$A$5:$AE$33,R$2)</f>
        <v>9.2460922311684577</v>
      </c>
      <c r="S32" s="7">
        <f>R32*VLOOKUP($A32,'EU Ref Sc 2020 Other industries'!$A$5:$AE$33,S$2)</f>
        <v>9.2421475970430027</v>
      </c>
      <c r="T32" s="7">
        <f>S32*VLOOKUP($A32,'EU Ref Sc 2020 Other industries'!$A$5:$AE$33,T$2)</f>
        <v>9.2382029629175477</v>
      </c>
      <c r="U32" s="7">
        <f>T32*VLOOKUP($A32,'EU Ref Sc 2020 Other industries'!$A$5:$AE$33,U$2)</f>
        <v>9.2342583287920927</v>
      </c>
      <c r="V32" s="7">
        <f>U32*VLOOKUP($A32,'EU Ref Sc 2020 Other industries'!$A$5:$AE$33,V$2)</f>
        <v>9.2303136946666395</v>
      </c>
      <c r="W32" s="7">
        <f>V32*VLOOKUP($A32,'EU Ref Sc 2020 Other industries'!$A$5:$AE$33,W$2)</f>
        <v>9.2263690605411881</v>
      </c>
      <c r="X32" s="7">
        <f>W32*VLOOKUP($A32,'EU Ref Sc 2020 Other industries'!$A$5:$AE$33,X$2)</f>
        <v>9.2426654007398117</v>
      </c>
      <c r="Y32" s="7">
        <f>X32*VLOOKUP($A32,'EU Ref Sc 2020 Other industries'!$A$5:$AE$33,Y$2)</f>
        <v>9.258961740938437</v>
      </c>
      <c r="Z32" s="7">
        <f>Y32*VLOOKUP($A32,'EU Ref Sc 2020 Other industries'!$A$5:$AE$33,Z$2)</f>
        <v>9.2752580811370606</v>
      </c>
      <c r="AA32" s="7">
        <f>Z32*VLOOKUP($A32,'EU Ref Sc 2020 Other industries'!$A$5:$AE$33,AA$2)</f>
        <v>9.291554421335686</v>
      </c>
      <c r="AB32" s="7">
        <f>AA32*VLOOKUP($A32,'EU Ref Sc 2020 Other industries'!$A$5:$AE$33,AB$2)</f>
        <v>9.3078507615343096</v>
      </c>
      <c r="AC32" s="7">
        <f>AB32*VLOOKUP($A32,'EU Ref Sc 2020 Other industries'!$A$5:$AE$33,AC$2)</f>
        <v>9.3260159939012333</v>
      </c>
      <c r="AD32" s="7">
        <f>AC32*VLOOKUP($A32,'EU Ref Sc 2020 Other industries'!$A$5:$AE$33,AD$2)</f>
        <v>9.3441812262681552</v>
      </c>
      <c r="AE32" s="7">
        <f>AD32*VLOOKUP($A32,'EU Ref Sc 2020 Other industries'!$A$5:$AE$33,AE$2)</f>
        <v>9.3623464586350789</v>
      </c>
      <c r="AF32" s="7">
        <f>AE32*VLOOKUP($A32,'EU Ref Sc 2020 Other industries'!$A$5:$AE$33,AF$2)</f>
        <v>9.3805116910020026</v>
      </c>
      <c r="AG32" s="7">
        <f>AF32*VLOOKUP($A32,'EU Ref Sc 2020 Other industries'!$A$5:$AE$33,AG$2)</f>
        <v>9.398676923368928</v>
      </c>
      <c r="AH32" s="13">
        <f t="shared" ref="AH32:AQ32" si="29">AG32</f>
        <v>9.398676923368928</v>
      </c>
      <c r="AI32" s="13">
        <f t="shared" si="29"/>
        <v>9.398676923368928</v>
      </c>
      <c r="AJ32" s="13">
        <f t="shared" si="29"/>
        <v>9.398676923368928</v>
      </c>
      <c r="AK32" s="13">
        <f t="shared" si="29"/>
        <v>9.398676923368928</v>
      </c>
      <c r="AL32" s="13">
        <f t="shared" si="29"/>
        <v>9.398676923368928</v>
      </c>
      <c r="AM32" s="13">
        <f t="shared" si="29"/>
        <v>9.398676923368928</v>
      </c>
      <c r="AN32" s="13">
        <f t="shared" si="29"/>
        <v>9.398676923368928</v>
      </c>
      <c r="AO32" s="13">
        <f t="shared" si="29"/>
        <v>9.398676923368928</v>
      </c>
      <c r="AP32" s="13">
        <f t="shared" si="29"/>
        <v>9.398676923368928</v>
      </c>
      <c r="AQ32" s="13">
        <f t="shared" si="29"/>
        <v>9.398676923368928</v>
      </c>
    </row>
    <row r="33" spans="1:43" x14ac:dyDescent="0.3">
      <c r="A33" t="s">
        <v>1414</v>
      </c>
      <c r="B33" t="s">
        <v>1395</v>
      </c>
      <c r="C33" t="str">
        <f t="shared" si="0"/>
        <v>ITIUEO</v>
      </c>
      <c r="D33" s="2">
        <v>197.7646</v>
      </c>
      <c r="E33" s="7">
        <f>D33*VLOOKUP($A33,'EU Ref Sc 2020 Other industries'!$A$5:$AE$33,E$2)</f>
        <v>200.125122562961</v>
      </c>
      <c r="F33" s="7">
        <f>E33*VLOOKUP($A33,'EU Ref Sc 2020 Other industries'!$A$5:$AE$33,F$2)</f>
        <v>202.48564512592199</v>
      </c>
      <c r="G33" s="7">
        <f>F33*VLOOKUP($A33,'EU Ref Sc 2020 Other industries'!$A$5:$AE$33,G$2)</f>
        <v>204.84616768888299</v>
      </c>
      <c r="H33" s="7">
        <f>G33*VLOOKUP($A33,'EU Ref Sc 2020 Other industries'!$A$5:$AE$33,H$2)</f>
        <v>207.20669025184398</v>
      </c>
      <c r="I33" s="7">
        <f>H33*VLOOKUP($A33,'EU Ref Sc 2020 Other industries'!$A$5:$AE$33,I$2)</f>
        <v>205.37477566079104</v>
      </c>
      <c r="J33" s="7">
        <f>I33*VLOOKUP($A33,'EU Ref Sc 2020 Other industries'!$A$5:$AE$33,J$2)</f>
        <v>203.54286106973814</v>
      </c>
      <c r="K33" s="7">
        <f>J33*VLOOKUP($A33,'EU Ref Sc 2020 Other industries'!$A$5:$AE$33,K$2)</f>
        <v>201.7109464786852</v>
      </c>
      <c r="L33" s="7">
        <f>K33*VLOOKUP($A33,'EU Ref Sc 2020 Other industries'!$A$5:$AE$33,L$2)</f>
        <v>199.87903188763229</v>
      </c>
      <c r="M33" s="7">
        <f>L33*VLOOKUP($A33,'EU Ref Sc 2020 Other industries'!$A$5:$AE$33,M$2)</f>
        <v>198.04711729657933</v>
      </c>
      <c r="N33" s="7">
        <f>M33*VLOOKUP($A33,'EU Ref Sc 2020 Other industries'!$A$5:$AE$33,N$2)</f>
        <v>196.16984895627641</v>
      </c>
      <c r="O33" s="7">
        <f>N33*VLOOKUP($A33,'EU Ref Sc 2020 Other industries'!$A$5:$AE$33,O$2)</f>
        <v>194.29258061597352</v>
      </c>
      <c r="P33" s="7">
        <f>O33*VLOOKUP($A33,'EU Ref Sc 2020 Other industries'!$A$5:$AE$33,P$2)</f>
        <v>192.41531227567063</v>
      </c>
      <c r="Q33" s="7">
        <f>P33*VLOOKUP($A33,'EU Ref Sc 2020 Other industries'!$A$5:$AE$33,Q$2)</f>
        <v>190.53804393536774</v>
      </c>
      <c r="R33" s="7">
        <f>Q33*VLOOKUP($A33,'EU Ref Sc 2020 Other industries'!$A$5:$AE$33,R$2)</f>
        <v>188.66077559506482</v>
      </c>
      <c r="S33" s="7">
        <f>R33*VLOOKUP($A33,'EU Ref Sc 2020 Other industries'!$A$5:$AE$33,S$2)</f>
        <v>188.63317711199764</v>
      </c>
      <c r="T33" s="7">
        <f>S33*VLOOKUP($A33,'EU Ref Sc 2020 Other industries'!$A$5:$AE$33,T$2)</f>
        <v>188.60557862893046</v>
      </c>
      <c r="U33" s="7">
        <f>T33*VLOOKUP($A33,'EU Ref Sc 2020 Other industries'!$A$5:$AE$33,U$2)</f>
        <v>188.57798014586328</v>
      </c>
      <c r="V33" s="7">
        <f>U33*VLOOKUP($A33,'EU Ref Sc 2020 Other industries'!$A$5:$AE$33,V$2)</f>
        <v>188.5503816627961</v>
      </c>
      <c r="W33" s="7">
        <f>V33*VLOOKUP($A33,'EU Ref Sc 2020 Other industries'!$A$5:$AE$33,W$2)</f>
        <v>188.522783179729</v>
      </c>
      <c r="X33" s="7">
        <f>W33*VLOOKUP($A33,'EU Ref Sc 2020 Other industries'!$A$5:$AE$33,X$2)</f>
        <v>188.47742395655101</v>
      </c>
      <c r="Y33" s="7">
        <f>X33*VLOOKUP($A33,'EU Ref Sc 2020 Other industries'!$A$5:$AE$33,Y$2)</f>
        <v>188.43206473337301</v>
      </c>
      <c r="Z33" s="7">
        <f>Y33*VLOOKUP($A33,'EU Ref Sc 2020 Other industries'!$A$5:$AE$33,Z$2)</f>
        <v>188.38670551019504</v>
      </c>
      <c r="AA33" s="7">
        <f>Z33*VLOOKUP($A33,'EU Ref Sc 2020 Other industries'!$A$5:$AE$33,AA$2)</f>
        <v>188.34134628701707</v>
      </c>
      <c r="AB33" s="7">
        <f>AA33*VLOOKUP($A33,'EU Ref Sc 2020 Other industries'!$A$5:$AE$33,AB$2)</f>
        <v>188.29598706383916</v>
      </c>
      <c r="AC33" s="7">
        <f>AB33*VLOOKUP($A33,'EU Ref Sc 2020 Other industries'!$A$5:$AE$33,AC$2)</f>
        <v>189.0103652839384</v>
      </c>
      <c r="AD33" s="7">
        <f>AC33*VLOOKUP($A33,'EU Ref Sc 2020 Other industries'!$A$5:$AE$33,AD$2)</f>
        <v>189.72474350403763</v>
      </c>
      <c r="AE33" s="7">
        <f>AD33*VLOOKUP($A33,'EU Ref Sc 2020 Other industries'!$A$5:$AE$33,AE$2)</f>
        <v>190.43912172413687</v>
      </c>
      <c r="AF33" s="7">
        <f>AE33*VLOOKUP($A33,'EU Ref Sc 2020 Other industries'!$A$5:$AE$33,AF$2)</f>
        <v>191.1534999442361</v>
      </c>
      <c r="AG33" s="7">
        <f>AF33*VLOOKUP($A33,'EU Ref Sc 2020 Other industries'!$A$5:$AE$33,AG$2)</f>
        <v>191.86787816433528</v>
      </c>
      <c r="AH33" s="13">
        <f t="shared" ref="AH33:AQ33" si="30">AG33</f>
        <v>191.86787816433528</v>
      </c>
      <c r="AI33" s="13">
        <f t="shared" si="30"/>
        <v>191.86787816433528</v>
      </c>
      <c r="AJ33" s="13">
        <f t="shared" si="30"/>
        <v>191.86787816433528</v>
      </c>
      <c r="AK33" s="13">
        <f t="shared" si="30"/>
        <v>191.86787816433528</v>
      </c>
      <c r="AL33" s="13">
        <f t="shared" si="30"/>
        <v>191.86787816433528</v>
      </c>
      <c r="AM33" s="13">
        <f t="shared" si="30"/>
        <v>191.86787816433528</v>
      </c>
      <c r="AN33" s="13">
        <f t="shared" si="30"/>
        <v>191.86787816433528</v>
      </c>
      <c r="AO33" s="13">
        <f t="shared" si="30"/>
        <v>191.86787816433528</v>
      </c>
      <c r="AP33" s="13">
        <f t="shared" si="30"/>
        <v>191.86787816433528</v>
      </c>
      <c r="AQ33" s="13">
        <f t="shared" si="30"/>
        <v>191.86787816433528</v>
      </c>
    </row>
    <row r="34" spans="1:43" x14ac:dyDescent="0.3">
      <c r="A34" t="s">
        <v>1415</v>
      </c>
      <c r="B34" t="s">
        <v>1395</v>
      </c>
      <c r="C34" t="str">
        <f t="shared" si="0"/>
        <v>LTIUEO</v>
      </c>
      <c r="D34" s="2">
        <v>3.3983000000000003</v>
      </c>
      <c r="E34" s="7">
        <f>D34*VLOOKUP($A34,'EU Ref Sc 2020 Other industries'!$A$5:$AE$33,E$2)</f>
        <v>3.484296333013587</v>
      </c>
      <c r="F34" s="7">
        <f>E34*VLOOKUP($A34,'EU Ref Sc 2020 Other industries'!$A$5:$AE$33,F$2)</f>
        <v>3.5702926660271732</v>
      </c>
      <c r="G34" s="7">
        <f>F34*VLOOKUP($A34,'EU Ref Sc 2020 Other industries'!$A$5:$AE$33,G$2)</f>
        <v>3.6562889990407594</v>
      </c>
      <c r="H34" s="7">
        <f>G34*VLOOKUP($A34,'EU Ref Sc 2020 Other industries'!$A$5:$AE$33,H$2)</f>
        <v>3.742285332054347</v>
      </c>
      <c r="I34" s="7">
        <f>H34*VLOOKUP($A34,'EU Ref Sc 2020 Other industries'!$A$5:$AE$33,I$2)</f>
        <v>3.7389833264972663</v>
      </c>
      <c r="J34" s="7">
        <f>I34*VLOOKUP($A34,'EU Ref Sc 2020 Other industries'!$A$5:$AE$33,J$2)</f>
        <v>3.7356813209401851</v>
      </c>
      <c r="K34" s="7">
        <f>J34*VLOOKUP($A34,'EU Ref Sc 2020 Other industries'!$A$5:$AE$33,K$2)</f>
        <v>3.732379315383104</v>
      </c>
      <c r="L34" s="7">
        <f>K34*VLOOKUP($A34,'EU Ref Sc 2020 Other industries'!$A$5:$AE$33,L$2)</f>
        <v>3.7290773098260233</v>
      </c>
      <c r="M34" s="7">
        <f>L34*VLOOKUP($A34,'EU Ref Sc 2020 Other industries'!$A$5:$AE$33,M$2)</f>
        <v>3.725775304268943</v>
      </c>
      <c r="N34" s="7">
        <f>M34*VLOOKUP($A34,'EU Ref Sc 2020 Other industries'!$A$5:$AE$33,N$2)</f>
        <v>3.6741895651675698</v>
      </c>
      <c r="O34" s="7">
        <f>N34*VLOOKUP($A34,'EU Ref Sc 2020 Other industries'!$A$5:$AE$33,O$2)</f>
        <v>3.6226038260661966</v>
      </c>
      <c r="P34" s="7">
        <f>O34*VLOOKUP($A34,'EU Ref Sc 2020 Other industries'!$A$5:$AE$33,P$2)</f>
        <v>3.5710180869648234</v>
      </c>
      <c r="Q34" s="7">
        <f>P34*VLOOKUP($A34,'EU Ref Sc 2020 Other industries'!$A$5:$AE$33,Q$2)</f>
        <v>3.5194323478634502</v>
      </c>
      <c r="R34" s="7">
        <f>Q34*VLOOKUP($A34,'EU Ref Sc 2020 Other industries'!$A$5:$AE$33,R$2)</f>
        <v>3.4678466087620765</v>
      </c>
      <c r="S34" s="7">
        <f>R34*VLOOKUP($A34,'EU Ref Sc 2020 Other industries'!$A$5:$AE$33,S$2)</f>
        <v>3.4742679689625779</v>
      </c>
      <c r="T34" s="7">
        <f>S34*VLOOKUP($A34,'EU Ref Sc 2020 Other industries'!$A$5:$AE$33,T$2)</f>
        <v>3.4806893291630794</v>
      </c>
      <c r="U34" s="7">
        <f>T34*VLOOKUP($A34,'EU Ref Sc 2020 Other industries'!$A$5:$AE$33,U$2)</f>
        <v>3.4871106893635804</v>
      </c>
      <c r="V34" s="7">
        <f>U34*VLOOKUP($A34,'EU Ref Sc 2020 Other industries'!$A$5:$AE$33,V$2)</f>
        <v>3.4935320495640814</v>
      </c>
      <c r="W34" s="7">
        <f>V34*VLOOKUP($A34,'EU Ref Sc 2020 Other industries'!$A$5:$AE$33,W$2)</f>
        <v>3.4999534097645832</v>
      </c>
      <c r="X34" s="7">
        <f>W34*VLOOKUP($A34,'EU Ref Sc 2020 Other industries'!$A$5:$AE$33,X$2)</f>
        <v>3.5546365238543487</v>
      </c>
      <c r="Y34" s="7">
        <f>X34*VLOOKUP($A34,'EU Ref Sc 2020 Other industries'!$A$5:$AE$33,Y$2)</f>
        <v>3.6093196379441141</v>
      </c>
      <c r="Z34" s="7">
        <f>Y34*VLOOKUP($A34,'EU Ref Sc 2020 Other industries'!$A$5:$AE$33,Z$2)</f>
        <v>3.6640027520338792</v>
      </c>
      <c r="AA34" s="7">
        <f>Z34*VLOOKUP($A34,'EU Ref Sc 2020 Other industries'!$A$5:$AE$33,AA$2)</f>
        <v>3.718685866123645</v>
      </c>
      <c r="AB34" s="7">
        <f>AA34*VLOOKUP($A34,'EU Ref Sc 2020 Other industries'!$A$5:$AE$33,AB$2)</f>
        <v>3.7733689802134114</v>
      </c>
      <c r="AC34" s="7">
        <f>AB34*VLOOKUP($A34,'EU Ref Sc 2020 Other industries'!$A$5:$AE$33,AC$2)</f>
        <v>3.7797032031491846</v>
      </c>
      <c r="AD34" s="7">
        <f>AC34*VLOOKUP($A34,'EU Ref Sc 2020 Other industries'!$A$5:$AE$33,AD$2)</f>
        <v>3.7860374260849583</v>
      </c>
      <c r="AE34" s="7">
        <f>AD34*VLOOKUP($A34,'EU Ref Sc 2020 Other industries'!$A$5:$AE$33,AE$2)</f>
        <v>3.792371649020732</v>
      </c>
      <c r="AF34" s="7">
        <f>AE34*VLOOKUP($A34,'EU Ref Sc 2020 Other industries'!$A$5:$AE$33,AF$2)</f>
        <v>3.7987058719565052</v>
      </c>
      <c r="AG34" s="7">
        <f>AF34*VLOOKUP($A34,'EU Ref Sc 2020 Other industries'!$A$5:$AE$33,AG$2)</f>
        <v>3.8050400948922793</v>
      </c>
      <c r="AH34" s="13">
        <f t="shared" ref="AH34:AQ34" si="31">AG34</f>
        <v>3.8050400948922793</v>
      </c>
      <c r="AI34" s="13">
        <f t="shared" si="31"/>
        <v>3.8050400948922793</v>
      </c>
      <c r="AJ34" s="13">
        <f t="shared" si="31"/>
        <v>3.8050400948922793</v>
      </c>
      <c r="AK34" s="13">
        <f t="shared" si="31"/>
        <v>3.8050400948922793</v>
      </c>
      <c r="AL34" s="13">
        <f t="shared" si="31"/>
        <v>3.8050400948922793</v>
      </c>
      <c r="AM34" s="13">
        <f t="shared" si="31"/>
        <v>3.8050400948922793</v>
      </c>
      <c r="AN34" s="13">
        <f t="shared" si="31"/>
        <v>3.8050400948922793</v>
      </c>
      <c r="AO34" s="13">
        <f t="shared" si="31"/>
        <v>3.8050400948922793</v>
      </c>
      <c r="AP34" s="13">
        <f t="shared" si="31"/>
        <v>3.8050400948922793</v>
      </c>
      <c r="AQ34" s="13">
        <f t="shared" si="31"/>
        <v>3.8050400948922793</v>
      </c>
    </row>
    <row r="35" spans="1:43" x14ac:dyDescent="0.3">
      <c r="A35" t="s">
        <v>1416</v>
      </c>
      <c r="B35" t="s">
        <v>1395</v>
      </c>
      <c r="C35" t="str">
        <f t="shared" si="0"/>
        <v>LUIUEO</v>
      </c>
      <c r="D35" s="2">
        <v>2.5680000000000001</v>
      </c>
      <c r="E35" s="7">
        <f>D35*VLOOKUP($A35,'EU Ref Sc 2020 Other industries'!$A$5:$AE$33,E$2)</f>
        <v>2.6130663686466624</v>
      </c>
      <c r="F35" s="7">
        <f>E35*VLOOKUP($A35,'EU Ref Sc 2020 Other industries'!$A$5:$AE$33,F$2)</f>
        <v>2.6581327372933248</v>
      </c>
      <c r="G35" s="7">
        <f>F35*VLOOKUP($A35,'EU Ref Sc 2020 Other industries'!$A$5:$AE$33,G$2)</f>
        <v>2.7031991059399876</v>
      </c>
      <c r="H35" s="7">
        <f>G35*VLOOKUP($A35,'EU Ref Sc 2020 Other industries'!$A$5:$AE$33,H$2)</f>
        <v>2.7482654745866513</v>
      </c>
      <c r="I35" s="7">
        <f>H35*VLOOKUP($A35,'EU Ref Sc 2020 Other industries'!$A$5:$AE$33,I$2)</f>
        <v>2.749057226798441</v>
      </c>
      <c r="J35" s="7">
        <f>I35*VLOOKUP($A35,'EU Ref Sc 2020 Other industries'!$A$5:$AE$33,J$2)</f>
        <v>2.7498489790102303</v>
      </c>
      <c r="K35" s="7">
        <f>J35*VLOOKUP($A35,'EU Ref Sc 2020 Other industries'!$A$5:$AE$33,K$2)</f>
        <v>2.75064073122202</v>
      </c>
      <c r="L35" s="7">
        <f>K35*VLOOKUP($A35,'EU Ref Sc 2020 Other industries'!$A$5:$AE$33,L$2)</f>
        <v>2.7514324834338093</v>
      </c>
      <c r="M35" s="7">
        <f>L35*VLOOKUP($A35,'EU Ref Sc 2020 Other industries'!$A$5:$AE$33,M$2)</f>
        <v>2.752224235645599</v>
      </c>
      <c r="N35" s="7">
        <f>M35*VLOOKUP($A35,'EU Ref Sc 2020 Other industries'!$A$5:$AE$33,N$2)</f>
        <v>2.7394452619289695</v>
      </c>
      <c r="O35" s="7">
        <f>N35*VLOOKUP($A35,'EU Ref Sc 2020 Other industries'!$A$5:$AE$33,O$2)</f>
        <v>2.7266662882123396</v>
      </c>
      <c r="P35" s="7">
        <f>O35*VLOOKUP($A35,'EU Ref Sc 2020 Other industries'!$A$5:$AE$33,P$2)</f>
        <v>2.7138873144957101</v>
      </c>
      <c r="Q35" s="7">
        <f>P35*VLOOKUP($A35,'EU Ref Sc 2020 Other industries'!$A$5:$AE$33,Q$2)</f>
        <v>2.7011083407790806</v>
      </c>
      <c r="R35" s="7">
        <f>Q35*VLOOKUP($A35,'EU Ref Sc 2020 Other industries'!$A$5:$AE$33,R$2)</f>
        <v>2.688329367062452</v>
      </c>
      <c r="S35" s="7">
        <f>R35*VLOOKUP($A35,'EU Ref Sc 2020 Other industries'!$A$5:$AE$33,S$2)</f>
        <v>2.6860813690733707</v>
      </c>
      <c r="T35" s="7">
        <f>S35*VLOOKUP($A35,'EU Ref Sc 2020 Other industries'!$A$5:$AE$33,T$2)</f>
        <v>2.6838333710842894</v>
      </c>
      <c r="U35" s="7">
        <f>T35*VLOOKUP($A35,'EU Ref Sc 2020 Other industries'!$A$5:$AE$33,U$2)</f>
        <v>2.6815853730952086</v>
      </c>
      <c r="V35" s="7">
        <f>U35*VLOOKUP($A35,'EU Ref Sc 2020 Other industries'!$A$5:$AE$33,V$2)</f>
        <v>2.6793373751061274</v>
      </c>
      <c r="W35" s="7">
        <f>V35*VLOOKUP($A35,'EU Ref Sc 2020 Other industries'!$A$5:$AE$33,W$2)</f>
        <v>2.6770893771170452</v>
      </c>
      <c r="X35" s="7">
        <f>W35*VLOOKUP($A35,'EU Ref Sc 2020 Other industries'!$A$5:$AE$33,X$2)</f>
        <v>2.6810621250582827</v>
      </c>
      <c r="Y35" s="7">
        <f>X35*VLOOKUP($A35,'EU Ref Sc 2020 Other industries'!$A$5:$AE$33,Y$2)</f>
        <v>2.6850348729995202</v>
      </c>
      <c r="Z35" s="7">
        <f>Y35*VLOOKUP($A35,'EU Ref Sc 2020 Other industries'!$A$5:$AE$33,Z$2)</f>
        <v>2.6890076209407576</v>
      </c>
      <c r="AA35" s="7">
        <f>Z35*VLOOKUP($A35,'EU Ref Sc 2020 Other industries'!$A$5:$AE$33,AA$2)</f>
        <v>2.6929803688819951</v>
      </c>
      <c r="AB35" s="7">
        <f>AA35*VLOOKUP($A35,'EU Ref Sc 2020 Other industries'!$A$5:$AE$33,AB$2)</f>
        <v>2.6969531168232321</v>
      </c>
      <c r="AC35" s="7">
        <f>AB35*VLOOKUP($A35,'EU Ref Sc 2020 Other industries'!$A$5:$AE$33,AC$2)</f>
        <v>2.7026190279005031</v>
      </c>
      <c r="AD35" s="7">
        <f>AC35*VLOOKUP($A35,'EU Ref Sc 2020 Other industries'!$A$5:$AE$33,AD$2)</f>
        <v>2.7082849389777741</v>
      </c>
      <c r="AE35" s="7">
        <f>AD35*VLOOKUP($A35,'EU Ref Sc 2020 Other industries'!$A$5:$AE$33,AE$2)</f>
        <v>2.7139508500550447</v>
      </c>
      <c r="AF35" s="7">
        <f>AE35*VLOOKUP($A35,'EU Ref Sc 2020 Other industries'!$A$5:$AE$33,AF$2)</f>
        <v>2.7196167611323157</v>
      </c>
      <c r="AG35" s="7">
        <f>AF35*VLOOKUP($A35,'EU Ref Sc 2020 Other industries'!$A$5:$AE$33,AG$2)</f>
        <v>2.7252826722095875</v>
      </c>
      <c r="AH35" s="13">
        <f t="shared" ref="AH35:AQ35" si="32">AG35</f>
        <v>2.7252826722095875</v>
      </c>
      <c r="AI35" s="13">
        <f t="shared" si="32"/>
        <v>2.7252826722095875</v>
      </c>
      <c r="AJ35" s="13">
        <f t="shared" si="32"/>
        <v>2.7252826722095875</v>
      </c>
      <c r="AK35" s="13">
        <f t="shared" si="32"/>
        <v>2.7252826722095875</v>
      </c>
      <c r="AL35" s="13">
        <f t="shared" si="32"/>
        <v>2.7252826722095875</v>
      </c>
      <c r="AM35" s="13">
        <f t="shared" si="32"/>
        <v>2.7252826722095875</v>
      </c>
      <c r="AN35" s="13">
        <f t="shared" si="32"/>
        <v>2.7252826722095875</v>
      </c>
      <c r="AO35" s="13">
        <f t="shared" si="32"/>
        <v>2.7252826722095875</v>
      </c>
      <c r="AP35" s="13">
        <f t="shared" si="32"/>
        <v>2.7252826722095875</v>
      </c>
      <c r="AQ35" s="13">
        <f t="shared" si="32"/>
        <v>2.7252826722095875</v>
      </c>
    </row>
    <row r="36" spans="1:43" x14ac:dyDescent="0.3">
      <c r="A36" t="s">
        <v>1417</v>
      </c>
      <c r="B36" t="s">
        <v>1395</v>
      </c>
      <c r="C36" t="str">
        <f t="shared" ref="C36:C67" si="33">A36&amp;"IUE"&amp;B36</f>
        <v>LVIUEO</v>
      </c>
      <c r="D36" s="2">
        <v>1.7622</v>
      </c>
      <c r="E36" s="7">
        <f>D36*VLOOKUP($A36,'EU Ref Sc 2020 Other industries'!$A$5:$AE$33,E$2)</f>
        <v>1.7855910003399202</v>
      </c>
      <c r="F36" s="7">
        <f>E36*VLOOKUP($A36,'EU Ref Sc 2020 Other industries'!$A$5:$AE$33,F$2)</f>
        <v>1.8089820006798403</v>
      </c>
      <c r="G36" s="7">
        <f>F36*VLOOKUP($A36,'EU Ref Sc 2020 Other industries'!$A$5:$AE$33,G$2)</f>
        <v>1.8323730010197607</v>
      </c>
      <c r="H36" s="7">
        <f>G36*VLOOKUP($A36,'EU Ref Sc 2020 Other industries'!$A$5:$AE$33,H$2)</f>
        <v>1.8557640013596806</v>
      </c>
      <c r="I36" s="7">
        <f>H36*VLOOKUP($A36,'EU Ref Sc 2020 Other industries'!$A$5:$AE$33,I$2)</f>
        <v>1.8569567222009087</v>
      </c>
      <c r="J36" s="7">
        <f>I36*VLOOKUP($A36,'EU Ref Sc 2020 Other industries'!$A$5:$AE$33,J$2)</f>
        <v>1.8581494430421366</v>
      </c>
      <c r="K36" s="7">
        <f>J36*VLOOKUP($A36,'EU Ref Sc 2020 Other industries'!$A$5:$AE$33,K$2)</f>
        <v>1.8593421638833643</v>
      </c>
      <c r="L36" s="7">
        <f>K36*VLOOKUP($A36,'EU Ref Sc 2020 Other industries'!$A$5:$AE$33,L$2)</f>
        <v>1.8605348847245922</v>
      </c>
      <c r="M36" s="7">
        <f>L36*VLOOKUP($A36,'EU Ref Sc 2020 Other industries'!$A$5:$AE$33,M$2)</f>
        <v>1.8617276055658194</v>
      </c>
      <c r="N36" s="7">
        <f>M36*VLOOKUP($A36,'EU Ref Sc 2020 Other industries'!$A$5:$AE$33,N$2)</f>
        <v>1.8648312838993779</v>
      </c>
      <c r="O36" s="7">
        <f>N36*VLOOKUP($A36,'EU Ref Sc 2020 Other industries'!$A$5:$AE$33,O$2)</f>
        <v>1.8679349622329362</v>
      </c>
      <c r="P36" s="7">
        <f>O36*VLOOKUP($A36,'EU Ref Sc 2020 Other industries'!$A$5:$AE$33,P$2)</f>
        <v>1.8710386405664945</v>
      </c>
      <c r="Q36" s="7">
        <f>P36*VLOOKUP($A36,'EU Ref Sc 2020 Other industries'!$A$5:$AE$33,Q$2)</f>
        <v>1.8741423189000528</v>
      </c>
      <c r="R36" s="7">
        <f>Q36*VLOOKUP($A36,'EU Ref Sc 2020 Other industries'!$A$5:$AE$33,R$2)</f>
        <v>1.8772459972336117</v>
      </c>
      <c r="S36" s="7">
        <f>R36*VLOOKUP($A36,'EU Ref Sc 2020 Other industries'!$A$5:$AE$33,S$2)</f>
        <v>1.8528506080173774</v>
      </c>
      <c r="T36" s="7">
        <f>S36*VLOOKUP($A36,'EU Ref Sc 2020 Other industries'!$A$5:$AE$33,T$2)</f>
        <v>1.8284552188011431</v>
      </c>
      <c r="U36" s="7">
        <f>T36*VLOOKUP($A36,'EU Ref Sc 2020 Other industries'!$A$5:$AE$33,U$2)</f>
        <v>1.8040598295849086</v>
      </c>
      <c r="V36" s="7">
        <f>U36*VLOOKUP($A36,'EU Ref Sc 2020 Other industries'!$A$5:$AE$33,V$2)</f>
        <v>1.7796644403686743</v>
      </c>
      <c r="W36" s="7">
        <f>V36*VLOOKUP($A36,'EU Ref Sc 2020 Other industries'!$A$5:$AE$33,W$2)</f>
        <v>1.75526905115244</v>
      </c>
      <c r="X36" s="7">
        <f>W36*VLOOKUP($A36,'EU Ref Sc 2020 Other industries'!$A$5:$AE$33,X$2)</f>
        <v>1.7347036918839127</v>
      </c>
      <c r="Y36" s="7">
        <f>X36*VLOOKUP($A36,'EU Ref Sc 2020 Other industries'!$A$5:$AE$33,Y$2)</f>
        <v>1.7141383326153854</v>
      </c>
      <c r="Z36" s="7">
        <f>Y36*VLOOKUP($A36,'EU Ref Sc 2020 Other industries'!$A$5:$AE$33,Z$2)</f>
        <v>1.6935729733468583</v>
      </c>
      <c r="AA36" s="7">
        <f>Z36*VLOOKUP($A36,'EU Ref Sc 2020 Other industries'!$A$5:$AE$33,AA$2)</f>
        <v>1.6730076140783312</v>
      </c>
      <c r="AB36" s="7">
        <f>AA36*VLOOKUP($A36,'EU Ref Sc 2020 Other industries'!$A$5:$AE$33,AB$2)</f>
        <v>1.6524422548098046</v>
      </c>
      <c r="AC36" s="7">
        <f>AB36*VLOOKUP($A36,'EU Ref Sc 2020 Other industries'!$A$5:$AE$33,AC$2)</f>
        <v>1.6350469174199143</v>
      </c>
      <c r="AD36" s="7">
        <f>AC36*VLOOKUP($A36,'EU Ref Sc 2020 Other industries'!$A$5:$AE$33,AD$2)</f>
        <v>1.6176515800300237</v>
      </c>
      <c r="AE36" s="7">
        <f>AD36*VLOOKUP($A36,'EU Ref Sc 2020 Other industries'!$A$5:$AE$33,AE$2)</f>
        <v>1.6002562426401334</v>
      </c>
      <c r="AF36" s="7">
        <f>AE36*VLOOKUP($A36,'EU Ref Sc 2020 Other industries'!$A$5:$AE$33,AF$2)</f>
        <v>1.5828609052502429</v>
      </c>
      <c r="AG36" s="7">
        <f>AF36*VLOOKUP($A36,'EU Ref Sc 2020 Other industries'!$A$5:$AE$33,AG$2)</f>
        <v>1.5654655678603522</v>
      </c>
      <c r="AH36" s="13">
        <f t="shared" ref="AH36:AQ36" si="34">AG36</f>
        <v>1.5654655678603522</v>
      </c>
      <c r="AI36" s="13">
        <f t="shared" si="34"/>
        <v>1.5654655678603522</v>
      </c>
      <c r="AJ36" s="13">
        <f t="shared" si="34"/>
        <v>1.5654655678603522</v>
      </c>
      <c r="AK36" s="13">
        <f t="shared" si="34"/>
        <v>1.5654655678603522</v>
      </c>
      <c r="AL36" s="13">
        <f t="shared" si="34"/>
        <v>1.5654655678603522</v>
      </c>
      <c r="AM36" s="13">
        <f t="shared" si="34"/>
        <v>1.5654655678603522</v>
      </c>
      <c r="AN36" s="13">
        <f t="shared" si="34"/>
        <v>1.5654655678603522</v>
      </c>
      <c r="AO36" s="13">
        <f t="shared" si="34"/>
        <v>1.5654655678603522</v>
      </c>
      <c r="AP36" s="13">
        <f t="shared" si="34"/>
        <v>1.5654655678603522</v>
      </c>
      <c r="AQ36" s="13">
        <f t="shared" si="34"/>
        <v>1.5654655678603522</v>
      </c>
    </row>
    <row r="37" spans="1:43" x14ac:dyDescent="0.3">
      <c r="A37" t="s">
        <v>1418</v>
      </c>
      <c r="B37" t="s">
        <v>1395</v>
      </c>
      <c r="C37" t="str">
        <f t="shared" si="33"/>
        <v>MTIUEO</v>
      </c>
      <c r="D37" s="2">
        <v>0.77350000000000008</v>
      </c>
      <c r="E37" s="7">
        <f>D37*VLOOKUP($A37,'EU Ref Sc 2020 Other industries'!$A$5:$AE$33,E$2)</f>
        <v>0.81225838989311439</v>
      </c>
      <c r="F37" s="7">
        <f>E37*VLOOKUP($A37,'EU Ref Sc 2020 Other industries'!$A$5:$AE$33,F$2)</f>
        <v>0.85101677978622869</v>
      </c>
      <c r="G37" s="7">
        <f>F37*VLOOKUP($A37,'EU Ref Sc 2020 Other industries'!$A$5:$AE$33,G$2)</f>
        <v>0.88977516967934311</v>
      </c>
      <c r="H37" s="7">
        <f>G37*VLOOKUP($A37,'EU Ref Sc 2020 Other industries'!$A$5:$AE$33,H$2)</f>
        <v>0.92853355957245776</v>
      </c>
      <c r="I37" s="7">
        <f>H37*VLOOKUP($A37,'EU Ref Sc 2020 Other industries'!$A$5:$AE$33,I$2)</f>
        <v>0.97130296763945978</v>
      </c>
      <c r="J37" s="7">
        <f>I37*VLOOKUP($A37,'EU Ref Sc 2020 Other industries'!$A$5:$AE$33,J$2)</f>
        <v>1.0140723757064618</v>
      </c>
      <c r="K37" s="7">
        <f>J37*VLOOKUP($A37,'EU Ref Sc 2020 Other industries'!$A$5:$AE$33,K$2)</f>
        <v>1.0568417837734638</v>
      </c>
      <c r="L37" s="7">
        <f>K37*VLOOKUP($A37,'EU Ref Sc 2020 Other industries'!$A$5:$AE$33,L$2)</f>
        <v>1.0996111918404659</v>
      </c>
      <c r="M37" s="7">
        <f>L37*VLOOKUP($A37,'EU Ref Sc 2020 Other industries'!$A$5:$AE$33,M$2)</f>
        <v>1.1423805999074681</v>
      </c>
      <c r="N37" s="7">
        <f>M37*VLOOKUP($A37,'EU Ref Sc 2020 Other industries'!$A$5:$AE$33,N$2)</f>
        <v>1.1458557163933596</v>
      </c>
      <c r="O37" s="7">
        <f>N37*VLOOKUP($A37,'EU Ref Sc 2020 Other industries'!$A$5:$AE$33,O$2)</f>
        <v>1.1493308328792509</v>
      </c>
      <c r="P37" s="7">
        <f>O37*VLOOKUP($A37,'EU Ref Sc 2020 Other industries'!$A$5:$AE$33,P$2)</f>
        <v>1.1528059493651421</v>
      </c>
      <c r="Q37" s="7">
        <f>P37*VLOOKUP($A37,'EU Ref Sc 2020 Other industries'!$A$5:$AE$33,Q$2)</f>
        <v>1.1562810658510336</v>
      </c>
      <c r="R37" s="7">
        <f>Q37*VLOOKUP($A37,'EU Ref Sc 2020 Other industries'!$A$5:$AE$33,R$2)</f>
        <v>1.1597561823369253</v>
      </c>
      <c r="S37" s="7">
        <f>R37*VLOOKUP($A37,'EU Ref Sc 2020 Other industries'!$A$5:$AE$33,S$2)</f>
        <v>1.1724897092214384</v>
      </c>
      <c r="T37" s="7">
        <f>S37*VLOOKUP($A37,'EU Ref Sc 2020 Other industries'!$A$5:$AE$33,T$2)</f>
        <v>1.1852232361059512</v>
      </c>
      <c r="U37" s="7">
        <f>T37*VLOOKUP($A37,'EU Ref Sc 2020 Other industries'!$A$5:$AE$33,U$2)</f>
        <v>1.1979567629904639</v>
      </c>
      <c r="V37" s="7">
        <f>U37*VLOOKUP($A37,'EU Ref Sc 2020 Other industries'!$A$5:$AE$33,V$2)</f>
        <v>1.2106902898749767</v>
      </c>
      <c r="W37" s="7">
        <f>V37*VLOOKUP($A37,'EU Ref Sc 2020 Other industries'!$A$5:$AE$33,W$2)</f>
        <v>1.2234238167594895</v>
      </c>
      <c r="X37" s="7">
        <f>W37*VLOOKUP($A37,'EU Ref Sc 2020 Other industries'!$A$5:$AE$33,X$2)</f>
        <v>1.2395187734958708</v>
      </c>
      <c r="Y37" s="7">
        <f>X37*VLOOKUP($A37,'EU Ref Sc 2020 Other industries'!$A$5:$AE$33,Y$2)</f>
        <v>1.2556137302322523</v>
      </c>
      <c r="Z37" s="7">
        <f>Y37*VLOOKUP($A37,'EU Ref Sc 2020 Other industries'!$A$5:$AE$33,Z$2)</f>
        <v>1.2717086869686336</v>
      </c>
      <c r="AA37" s="7">
        <f>Z37*VLOOKUP($A37,'EU Ref Sc 2020 Other industries'!$A$5:$AE$33,AA$2)</f>
        <v>1.2878036437050149</v>
      </c>
      <c r="AB37" s="7">
        <f>AA37*VLOOKUP($A37,'EU Ref Sc 2020 Other industries'!$A$5:$AE$33,AB$2)</f>
        <v>1.3038986004413957</v>
      </c>
      <c r="AC37" s="7">
        <f>AB37*VLOOKUP($A37,'EU Ref Sc 2020 Other industries'!$A$5:$AE$33,AC$2)</f>
        <v>1.3071014081882197</v>
      </c>
      <c r="AD37" s="7">
        <f>AC37*VLOOKUP($A37,'EU Ref Sc 2020 Other industries'!$A$5:$AE$33,AD$2)</f>
        <v>1.3103042159350435</v>
      </c>
      <c r="AE37" s="7">
        <f>AD37*VLOOKUP($A37,'EU Ref Sc 2020 Other industries'!$A$5:$AE$33,AE$2)</f>
        <v>1.3135070236818676</v>
      </c>
      <c r="AF37" s="7">
        <f>AE37*VLOOKUP($A37,'EU Ref Sc 2020 Other industries'!$A$5:$AE$33,AF$2)</f>
        <v>1.3167098314286914</v>
      </c>
      <c r="AG37" s="7">
        <f>AF37*VLOOKUP($A37,'EU Ref Sc 2020 Other industries'!$A$5:$AE$33,AG$2)</f>
        <v>1.3199126391755152</v>
      </c>
      <c r="AH37" s="13">
        <f t="shared" ref="AH37:AQ37" si="35">AG37</f>
        <v>1.3199126391755152</v>
      </c>
      <c r="AI37" s="13">
        <f t="shared" si="35"/>
        <v>1.3199126391755152</v>
      </c>
      <c r="AJ37" s="13">
        <f t="shared" si="35"/>
        <v>1.3199126391755152</v>
      </c>
      <c r="AK37" s="13">
        <f t="shared" si="35"/>
        <v>1.3199126391755152</v>
      </c>
      <c r="AL37" s="13">
        <f t="shared" si="35"/>
        <v>1.3199126391755152</v>
      </c>
      <c r="AM37" s="13">
        <f t="shared" si="35"/>
        <v>1.3199126391755152</v>
      </c>
      <c r="AN37" s="13">
        <f t="shared" si="35"/>
        <v>1.3199126391755152</v>
      </c>
      <c r="AO37" s="13">
        <f t="shared" si="35"/>
        <v>1.3199126391755152</v>
      </c>
      <c r="AP37" s="13">
        <f t="shared" si="35"/>
        <v>1.3199126391755152</v>
      </c>
      <c r="AQ37" s="13">
        <f t="shared" si="35"/>
        <v>1.3199126391755152</v>
      </c>
    </row>
    <row r="38" spans="1:43" x14ac:dyDescent="0.3">
      <c r="A38" t="s">
        <v>1419</v>
      </c>
      <c r="B38" t="s">
        <v>1395</v>
      </c>
      <c r="C38" t="str">
        <f t="shared" si="33"/>
        <v>NLIUEO</v>
      </c>
      <c r="D38" s="2">
        <v>44.472099999999998</v>
      </c>
      <c r="E38" s="7">
        <f>D38*VLOOKUP($A38,'EU Ref Sc 2020 Other industries'!$A$5:$AE$33,E$2)</f>
        <v>45.234345747184356</v>
      </c>
      <c r="F38" s="7">
        <f>E38*VLOOKUP($A38,'EU Ref Sc 2020 Other industries'!$A$5:$AE$33,F$2)</f>
        <v>45.996591494368715</v>
      </c>
      <c r="G38" s="7">
        <f>F38*VLOOKUP($A38,'EU Ref Sc 2020 Other industries'!$A$5:$AE$33,G$2)</f>
        <v>46.758837241553067</v>
      </c>
      <c r="H38" s="7">
        <f>G38*VLOOKUP($A38,'EU Ref Sc 2020 Other industries'!$A$5:$AE$33,H$2)</f>
        <v>47.521082988737412</v>
      </c>
      <c r="I38" s="7">
        <f>H38*VLOOKUP($A38,'EU Ref Sc 2020 Other industries'!$A$5:$AE$33,I$2)</f>
        <v>47.045758084804262</v>
      </c>
      <c r="J38" s="7">
        <f>I38*VLOOKUP($A38,'EU Ref Sc 2020 Other industries'!$A$5:$AE$33,J$2)</f>
        <v>46.570433180871106</v>
      </c>
      <c r="K38" s="7">
        <f>J38*VLOOKUP($A38,'EU Ref Sc 2020 Other industries'!$A$5:$AE$33,K$2)</f>
        <v>46.09510827693795</v>
      </c>
      <c r="L38" s="7">
        <f>K38*VLOOKUP($A38,'EU Ref Sc 2020 Other industries'!$A$5:$AE$33,L$2)</f>
        <v>45.6197833730048</v>
      </c>
      <c r="M38" s="7">
        <f>L38*VLOOKUP($A38,'EU Ref Sc 2020 Other industries'!$A$5:$AE$33,M$2)</f>
        <v>45.144458469071658</v>
      </c>
      <c r="N38" s="7">
        <f>M38*VLOOKUP($A38,'EU Ref Sc 2020 Other industries'!$A$5:$AE$33,N$2)</f>
        <v>44.504253518029927</v>
      </c>
      <c r="O38" s="7">
        <f>N38*VLOOKUP($A38,'EU Ref Sc 2020 Other industries'!$A$5:$AE$33,O$2)</f>
        <v>43.864048566988195</v>
      </c>
      <c r="P38" s="7">
        <f>O38*VLOOKUP($A38,'EU Ref Sc 2020 Other industries'!$A$5:$AE$33,P$2)</f>
        <v>43.223843615946464</v>
      </c>
      <c r="Q38" s="7">
        <f>P38*VLOOKUP($A38,'EU Ref Sc 2020 Other industries'!$A$5:$AE$33,Q$2)</f>
        <v>42.583638664904726</v>
      </c>
      <c r="R38" s="7">
        <f>Q38*VLOOKUP($A38,'EU Ref Sc 2020 Other industries'!$A$5:$AE$33,R$2)</f>
        <v>41.943433713862994</v>
      </c>
      <c r="S38" s="7">
        <f>R38*VLOOKUP($A38,'EU Ref Sc 2020 Other industries'!$A$5:$AE$33,S$2)</f>
        <v>42.089786146563064</v>
      </c>
      <c r="T38" s="7">
        <f>S38*VLOOKUP($A38,'EU Ref Sc 2020 Other industries'!$A$5:$AE$33,T$2)</f>
        <v>42.236138579263134</v>
      </c>
      <c r="U38" s="7">
        <f>T38*VLOOKUP($A38,'EU Ref Sc 2020 Other industries'!$A$5:$AE$33,U$2)</f>
        <v>42.382491011963211</v>
      </c>
      <c r="V38" s="7">
        <f>U38*VLOOKUP($A38,'EU Ref Sc 2020 Other industries'!$A$5:$AE$33,V$2)</f>
        <v>42.528843444663281</v>
      </c>
      <c r="W38" s="7">
        <f>V38*VLOOKUP($A38,'EU Ref Sc 2020 Other industries'!$A$5:$AE$33,W$2)</f>
        <v>42.675195877363358</v>
      </c>
      <c r="X38" s="7">
        <f>W38*VLOOKUP($A38,'EU Ref Sc 2020 Other industries'!$A$5:$AE$33,X$2)</f>
        <v>43.034391493886339</v>
      </c>
      <c r="Y38" s="7">
        <f>X38*VLOOKUP($A38,'EU Ref Sc 2020 Other industries'!$A$5:$AE$33,Y$2)</f>
        <v>43.393587110409328</v>
      </c>
      <c r="Z38" s="7">
        <f>Y38*VLOOKUP($A38,'EU Ref Sc 2020 Other industries'!$A$5:$AE$33,Z$2)</f>
        <v>43.752782726932317</v>
      </c>
      <c r="AA38" s="7">
        <f>Z38*VLOOKUP($A38,'EU Ref Sc 2020 Other industries'!$A$5:$AE$33,AA$2)</f>
        <v>44.111978343455306</v>
      </c>
      <c r="AB38" s="7">
        <f>AA38*VLOOKUP($A38,'EU Ref Sc 2020 Other industries'!$A$5:$AE$33,AB$2)</f>
        <v>44.471173959978309</v>
      </c>
      <c r="AC38" s="7">
        <f>AB38*VLOOKUP($A38,'EU Ref Sc 2020 Other industries'!$A$5:$AE$33,AC$2)</f>
        <v>44.967486533718471</v>
      </c>
      <c r="AD38" s="7">
        <f>AC38*VLOOKUP($A38,'EU Ref Sc 2020 Other industries'!$A$5:$AE$33,AD$2)</f>
        <v>45.463799107458634</v>
      </c>
      <c r="AE38" s="7">
        <f>AD38*VLOOKUP($A38,'EU Ref Sc 2020 Other industries'!$A$5:$AE$33,AE$2)</f>
        <v>45.960111681198796</v>
      </c>
      <c r="AF38" s="7">
        <f>AE38*VLOOKUP($A38,'EU Ref Sc 2020 Other industries'!$A$5:$AE$33,AF$2)</f>
        <v>46.456424254938952</v>
      </c>
      <c r="AG38" s="7">
        <f>AF38*VLOOKUP($A38,'EU Ref Sc 2020 Other industries'!$A$5:$AE$33,AG$2)</f>
        <v>46.952736828679114</v>
      </c>
      <c r="AH38" s="13">
        <f t="shared" ref="AH38:AQ38" si="36">AG38</f>
        <v>46.952736828679114</v>
      </c>
      <c r="AI38" s="13">
        <f t="shared" si="36"/>
        <v>46.952736828679114</v>
      </c>
      <c r="AJ38" s="13">
        <f t="shared" si="36"/>
        <v>46.952736828679114</v>
      </c>
      <c r="AK38" s="13">
        <f t="shared" si="36"/>
        <v>46.952736828679114</v>
      </c>
      <c r="AL38" s="13">
        <f t="shared" si="36"/>
        <v>46.952736828679114</v>
      </c>
      <c r="AM38" s="13">
        <f t="shared" si="36"/>
        <v>46.952736828679114</v>
      </c>
      <c r="AN38" s="13">
        <f t="shared" si="36"/>
        <v>46.952736828679114</v>
      </c>
      <c r="AO38" s="13">
        <f t="shared" si="36"/>
        <v>46.952736828679114</v>
      </c>
      <c r="AP38" s="13">
        <f t="shared" si="36"/>
        <v>46.952736828679114</v>
      </c>
      <c r="AQ38" s="13">
        <f t="shared" si="36"/>
        <v>46.952736828679114</v>
      </c>
    </row>
    <row r="39" spans="1:43" x14ac:dyDescent="0.3">
      <c r="A39" t="s">
        <v>1420</v>
      </c>
      <c r="B39" t="s">
        <v>1395</v>
      </c>
      <c r="C39" t="str">
        <f t="shared" si="33"/>
        <v>PLIUEO</v>
      </c>
      <c r="D39" s="2">
        <v>99.098600000000005</v>
      </c>
      <c r="E39" s="7">
        <f>D39*VLOOKUP($A39,'EU Ref Sc 2020 Other industries'!$A$5:$AE$33,E$2)</f>
        <v>99.23612336547798</v>
      </c>
      <c r="F39" s="7">
        <f>E39*VLOOKUP($A39,'EU Ref Sc 2020 Other industries'!$A$5:$AE$33,F$2)</f>
        <v>99.373646730955969</v>
      </c>
      <c r="G39" s="7">
        <f>F39*VLOOKUP($A39,'EU Ref Sc 2020 Other industries'!$A$5:$AE$33,G$2)</f>
        <v>99.511170096433943</v>
      </c>
      <c r="H39" s="7">
        <f>G39*VLOOKUP($A39,'EU Ref Sc 2020 Other industries'!$A$5:$AE$33,H$2)</f>
        <v>99.648693461911932</v>
      </c>
      <c r="I39" s="7">
        <f>H39*VLOOKUP($A39,'EU Ref Sc 2020 Other industries'!$A$5:$AE$33,I$2)</f>
        <v>102.17090166201356</v>
      </c>
      <c r="J39" s="7">
        <f>I39*VLOOKUP($A39,'EU Ref Sc 2020 Other industries'!$A$5:$AE$33,J$2)</f>
        <v>104.69310986211518</v>
      </c>
      <c r="K39" s="7">
        <f>J39*VLOOKUP($A39,'EU Ref Sc 2020 Other industries'!$A$5:$AE$33,K$2)</f>
        <v>107.21531806221681</v>
      </c>
      <c r="L39" s="7">
        <f>K39*VLOOKUP($A39,'EU Ref Sc 2020 Other industries'!$A$5:$AE$33,L$2)</f>
        <v>109.73752626231844</v>
      </c>
      <c r="M39" s="7">
        <f>L39*VLOOKUP($A39,'EU Ref Sc 2020 Other industries'!$A$5:$AE$33,M$2)</f>
        <v>112.25973446242008</v>
      </c>
      <c r="N39" s="7">
        <f>M39*VLOOKUP($A39,'EU Ref Sc 2020 Other industries'!$A$5:$AE$33,N$2)</f>
        <v>112.79718521145041</v>
      </c>
      <c r="O39" s="7">
        <f>N39*VLOOKUP($A39,'EU Ref Sc 2020 Other industries'!$A$5:$AE$33,O$2)</f>
        <v>113.33463596048074</v>
      </c>
      <c r="P39" s="7">
        <f>O39*VLOOKUP($A39,'EU Ref Sc 2020 Other industries'!$A$5:$AE$33,P$2)</f>
        <v>113.87208670951108</v>
      </c>
      <c r="Q39" s="7">
        <f>P39*VLOOKUP($A39,'EU Ref Sc 2020 Other industries'!$A$5:$AE$33,Q$2)</f>
        <v>114.40953745854141</v>
      </c>
      <c r="R39" s="7">
        <f>Q39*VLOOKUP($A39,'EU Ref Sc 2020 Other industries'!$A$5:$AE$33,R$2)</f>
        <v>114.94698820757172</v>
      </c>
      <c r="S39" s="7">
        <f>R39*VLOOKUP($A39,'EU Ref Sc 2020 Other industries'!$A$5:$AE$33,S$2)</f>
        <v>115.67710667951532</v>
      </c>
      <c r="T39" s="7">
        <f>S39*VLOOKUP($A39,'EU Ref Sc 2020 Other industries'!$A$5:$AE$33,T$2)</f>
        <v>116.40722515145892</v>
      </c>
      <c r="U39" s="7">
        <f>T39*VLOOKUP($A39,'EU Ref Sc 2020 Other industries'!$A$5:$AE$33,U$2)</f>
        <v>117.13734362340251</v>
      </c>
      <c r="V39" s="7">
        <f>U39*VLOOKUP($A39,'EU Ref Sc 2020 Other industries'!$A$5:$AE$33,V$2)</f>
        <v>117.86746209534613</v>
      </c>
      <c r="W39" s="7">
        <f>V39*VLOOKUP($A39,'EU Ref Sc 2020 Other industries'!$A$5:$AE$33,W$2)</f>
        <v>118.59758056728971</v>
      </c>
      <c r="X39" s="7">
        <f>W39*VLOOKUP($A39,'EU Ref Sc 2020 Other industries'!$A$5:$AE$33,X$2)</f>
        <v>118.79975217819809</v>
      </c>
      <c r="Y39" s="7">
        <f>X39*VLOOKUP($A39,'EU Ref Sc 2020 Other industries'!$A$5:$AE$33,Y$2)</f>
        <v>119.00192378910647</v>
      </c>
      <c r="Z39" s="7">
        <f>Y39*VLOOKUP($A39,'EU Ref Sc 2020 Other industries'!$A$5:$AE$33,Z$2)</f>
        <v>119.20409540001485</v>
      </c>
      <c r="AA39" s="7">
        <f>Z39*VLOOKUP($A39,'EU Ref Sc 2020 Other industries'!$A$5:$AE$33,AA$2)</f>
        <v>119.40626701092322</v>
      </c>
      <c r="AB39" s="7">
        <f>AA39*VLOOKUP($A39,'EU Ref Sc 2020 Other industries'!$A$5:$AE$33,AB$2)</f>
        <v>119.60843862183158</v>
      </c>
      <c r="AC39" s="7">
        <f>AB39*VLOOKUP($A39,'EU Ref Sc 2020 Other industries'!$A$5:$AE$33,AC$2)</f>
        <v>119.84944613427565</v>
      </c>
      <c r="AD39" s="7">
        <f>AC39*VLOOKUP($A39,'EU Ref Sc 2020 Other industries'!$A$5:$AE$33,AD$2)</f>
        <v>120.09045364671972</v>
      </c>
      <c r="AE39" s="7">
        <f>AD39*VLOOKUP($A39,'EU Ref Sc 2020 Other industries'!$A$5:$AE$33,AE$2)</f>
        <v>120.33146115916379</v>
      </c>
      <c r="AF39" s="7">
        <f>AE39*VLOOKUP($A39,'EU Ref Sc 2020 Other industries'!$A$5:$AE$33,AF$2)</f>
        <v>120.57246867160788</v>
      </c>
      <c r="AG39" s="7">
        <f>AF39*VLOOKUP($A39,'EU Ref Sc 2020 Other industries'!$A$5:$AE$33,AG$2)</f>
        <v>120.81347618405196</v>
      </c>
      <c r="AH39" s="13">
        <f t="shared" ref="AH39:AQ39" si="37">AG39</f>
        <v>120.81347618405196</v>
      </c>
      <c r="AI39" s="13">
        <f t="shared" si="37"/>
        <v>120.81347618405196</v>
      </c>
      <c r="AJ39" s="13">
        <f t="shared" si="37"/>
        <v>120.81347618405196</v>
      </c>
      <c r="AK39" s="13">
        <f t="shared" si="37"/>
        <v>120.81347618405196</v>
      </c>
      <c r="AL39" s="13">
        <f t="shared" si="37"/>
        <v>120.81347618405196</v>
      </c>
      <c r="AM39" s="13">
        <f t="shared" si="37"/>
        <v>120.81347618405196</v>
      </c>
      <c r="AN39" s="13">
        <f t="shared" si="37"/>
        <v>120.81347618405196</v>
      </c>
      <c r="AO39" s="13">
        <f t="shared" si="37"/>
        <v>120.81347618405196</v>
      </c>
      <c r="AP39" s="13">
        <f t="shared" si="37"/>
        <v>120.81347618405196</v>
      </c>
      <c r="AQ39" s="13">
        <f t="shared" si="37"/>
        <v>120.81347618405196</v>
      </c>
    </row>
    <row r="40" spans="1:43" x14ac:dyDescent="0.3">
      <c r="A40" t="s">
        <v>1421</v>
      </c>
      <c r="B40" t="s">
        <v>1395</v>
      </c>
      <c r="C40" s="3" t="str">
        <f t="shared" si="33"/>
        <v>PTIUEO</v>
      </c>
      <c r="D40" s="14">
        <f>24.303-5.377</f>
        <v>18.926000000000002</v>
      </c>
      <c r="E40" s="7">
        <f>D40*VLOOKUP($A40,'EU Ref Sc 2020 Other industries'!$A$5:$AE$33,E$2)</f>
        <v>19.015445184858947</v>
      </c>
      <c r="F40" s="7">
        <f>E40*VLOOKUP($A40,'EU Ref Sc 2020 Other industries'!$A$5:$AE$33,F$2)</f>
        <v>19.104890369717893</v>
      </c>
      <c r="G40" s="7">
        <f>F40*VLOOKUP($A40,'EU Ref Sc 2020 Other industries'!$A$5:$AE$33,G$2)</f>
        <v>19.194335554576838</v>
      </c>
      <c r="H40" s="7">
        <f>G40*VLOOKUP($A40,'EU Ref Sc 2020 Other industries'!$A$5:$AE$33,H$2)</f>
        <v>19.28378073943578</v>
      </c>
      <c r="I40" s="7">
        <f>H40*VLOOKUP($A40,'EU Ref Sc 2020 Other industries'!$A$5:$AE$33,I$2)</f>
        <v>19.119584405394225</v>
      </c>
      <c r="J40" s="7">
        <f>I40*VLOOKUP($A40,'EU Ref Sc 2020 Other industries'!$A$5:$AE$33,J$2)</f>
        <v>18.955388071352669</v>
      </c>
      <c r="K40" s="7">
        <f>J40*VLOOKUP($A40,'EU Ref Sc 2020 Other industries'!$A$5:$AE$33,K$2)</f>
        <v>18.791191737311113</v>
      </c>
      <c r="L40" s="7">
        <f>K40*VLOOKUP($A40,'EU Ref Sc 2020 Other industries'!$A$5:$AE$33,L$2)</f>
        <v>18.626995403269557</v>
      </c>
      <c r="M40" s="7">
        <f>L40*VLOOKUP($A40,'EU Ref Sc 2020 Other industries'!$A$5:$AE$33,M$2)</f>
        <v>18.462799069228005</v>
      </c>
      <c r="N40" s="7">
        <f>M40*VLOOKUP($A40,'EU Ref Sc 2020 Other industries'!$A$5:$AE$33,N$2)</f>
        <v>18.263612008459564</v>
      </c>
      <c r="O40" s="7">
        <f>N40*VLOOKUP($A40,'EU Ref Sc 2020 Other industries'!$A$5:$AE$33,O$2)</f>
        <v>18.064424947691123</v>
      </c>
      <c r="P40" s="7">
        <f>O40*VLOOKUP($A40,'EU Ref Sc 2020 Other industries'!$A$5:$AE$33,P$2)</f>
        <v>17.865237886922682</v>
      </c>
      <c r="Q40" s="7">
        <f>P40*VLOOKUP($A40,'EU Ref Sc 2020 Other industries'!$A$5:$AE$33,Q$2)</f>
        <v>17.66605082615424</v>
      </c>
      <c r="R40" s="7">
        <f>Q40*VLOOKUP($A40,'EU Ref Sc 2020 Other industries'!$A$5:$AE$33,R$2)</f>
        <v>17.466863765385806</v>
      </c>
      <c r="S40" s="7">
        <f>R40*VLOOKUP($A40,'EU Ref Sc 2020 Other industries'!$A$5:$AE$33,S$2)</f>
        <v>17.4687881177672</v>
      </c>
      <c r="T40" s="7">
        <f>S40*VLOOKUP($A40,'EU Ref Sc 2020 Other industries'!$A$5:$AE$33,T$2)</f>
        <v>17.470712470148595</v>
      </c>
      <c r="U40" s="7">
        <f>T40*VLOOKUP($A40,'EU Ref Sc 2020 Other industries'!$A$5:$AE$33,U$2)</f>
        <v>17.472636822529989</v>
      </c>
      <c r="V40" s="7">
        <f>U40*VLOOKUP($A40,'EU Ref Sc 2020 Other industries'!$A$5:$AE$33,V$2)</f>
        <v>17.474561174911386</v>
      </c>
      <c r="W40" s="7">
        <f>V40*VLOOKUP($A40,'EU Ref Sc 2020 Other industries'!$A$5:$AE$33,W$2)</f>
        <v>17.476485527292773</v>
      </c>
      <c r="X40" s="7">
        <f>W40*VLOOKUP($A40,'EU Ref Sc 2020 Other industries'!$A$5:$AE$33,X$2)</f>
        <v>17.400630713640549</v>
      </c>
      <c r="Y40" s="7">
        <f>X40*VLOOKUP($A40,'EU Ref Sc 2020 Other industries'!$A$5:$AE$33,Y$2)</f>
        <v>17.324775899988328</v>
      </c>
      <c r="Z40" s="7">
        <f>Y40*VLOOKUP($A40,'EU Ref Sc 2020 Other industries'!$A$5:$AE$33,Z$2)</f>
        <v>17.248921086336107</v>
      </c>
      <c r="AA40" s="7">
        <f>Z40*VLOOKUP($A40,'EU Ref Sc 2020 Other industries'!$A$5:$AE$33,AA$2)</f>
        <v>17.173066272683887</v>
      </c>
      <c r="AB40" s="7">
        <f>AA40*VLOOKUP($A40,'EU Ref Sc 2020 Other industries'!$A$5:$AE$33,AB$2)</f>
        <v>17.097211459031666</v>
      </c>
      <c r="AC40" s="7">
        <f>AB40*VLOOKUP($A40,'EU Ref Sc 2020 Other industries'!$A$5:$AE$33,AC$2)</f>
        <v>17.04767580294418</v>
      </c>
      <c r="AD40" s="7">
        <f>AC40*VLOOKUP($A40,'EU Ref Sc 2020 Other industries'!$A$5:$AE$33,AD$2)</f>
        <v>16.998140146856695</v>
      </c>
      <c r="AE40" s="7">
        <f>AD40*VLOOKUP($A40,'EU Ref Sc 2020 Other industries'!$A$5:$AE$33,AE$2)</f>
        <v>16.94860449076921</v>
      </c>
      <c r="AF40" s="7">
        <f>AE40*VLOOKUP($A40,'EU Ref Sc 2020 Other industries'!$A$5:$AE$33,AF$2)</f>
        <v>16.899068834681724</v>
      </c>
      <c r="AG40" s="7">
        <f>AF40*VLOOKUP($A40,'EU Ref Sc 2020 Other industries'!$A$5:$AE$33,AG$2)</f>
        <v>16.849533178594243</v>
      </c>
      <c r="AH40" s="13">
        <f t="shared" ref="AH40:AQ40" si="38">AG40</f>
        <v>16.849533178594243</v>
      </c>
      <c r="AI40" s="13">
        <f t="shared" si="38"/>
        <v>16.849533178594243</v>
      </c>
      <c r="AJ40" s="13">
        <f t="shared" si="38"/>
        <v>16.849533178594243</v>
      </c>
      <c r="AK40" s="13">
        <f t="shared" si="38"/>
        <v>16.849533178594243</v>
      </c>
      <c r="AL40" s="13">
        <f t="shared" si="38"/>
        <v>16.849533178594243</v>
      </c>
      <c r="AM40" s="13">
        <f t="shared" si="38"/>
        <v>16.849533178594243</v>
      </c>
      <c r="AN40" s="13">
        <f t="shared" si="38"/>
        <v>16.849533178594243</v>
      </c>
      <c r="AO40" s="13">
        <f t="shared" si="38"/>
        <v>16.849533178594243</v>
      </c>
      <c r="AP40" s="13">
        <f t="shared" si="38"/>
        <v>16.849533178594243</v>
      </c>
      <c r="AQ40" s="13">
        <f t="shared" si="38"/>
        <v>16.849533178594243</v>
      </c>
    </row>
    <row r="41" spans="1:43" x14ac:dyDescent="0.3">
      <c r="A41" t="s">
        <v>1422</v>
      </c>
      <c r="B41" t="s">
        <v>1395</v>
      </c>
      <c r="C41" t="str">
        <f t="shared" si="33"/>
        <v>ROIUEO</v>
      </c>
      <c r="D41" s="2">
        <v>37.707100000000004</v>
      </c>
      <c r="E41" s="7">
        <f>D41*VLOOKUP($A41,'EU Ref Sc 2020 Other industries'!$A$5:$AE$33,E$2)</f>
        <v>39.766339848182938</v>
      </c>
      <c r="F41" s="7">
        <f>E41*VLOOKUP($A41,'EU Ref Sc 2020 Other industries'!$A$5:$AE$33,F$2)</f>
        <v>41.825579696365878</v>
      </c>
      <c r="G41" s="7">
        <f>F41*VLOOKUP($A41,'EU Ref Sc 2020 Other industries'!$A$5:$AE$33,G$2)</f>
        <v>43.884819544548819</v>
      </c>
      <c r="H41" s="7">
        <f>G41*VLOOKUP($A41,'EU Ref Sc 2020 Other industries'!$A$5:$AE$33,H$2)</f>
        <v>45.944059392731766</v>
      </c>
      <c r="I41" s="7">
        <f>H41*VLOOKUP($A41,'EU Ref Sc 2020 Other industries'!$A$5:$AE$33,I$2)</f>
        <v>46.920342606326436</v>
      </c>
      <c r="J41" s="7">
        <f>I41*VLOOKUP($A41,'EU Ref Sc 2020 Other industries'!$A$5:$AE$33,J$2)</f>
        <v>47.896625819921098</v>
      </c>
      <c r="K41" s="7">
        <f>J41*VLOOKUP($A41,'EU Ref Sc 2020 Other industries'!$A$5:$AE$33,K$2)</f>
        <v>48.872909033515768</v>
      </c>
      <c r="L41" s="7">
        <f>K41*VLOOKUP($A41,'EU Ref Sc 2020 Other industries'!$A$5:$AE$33,L$2)</f>
        <v>49.849192247110437</v>
      </c>
      <c r="M41" s="7">
        <f>L41*VLOOKUP($A41,'EU Ref Sc 2020 Other industries'!$A$5:$AE$33,M$2)</f>
        <v>50.825475460705121</v>
      </c>
      <c r="N41" s="7">
        <f>M41*VLOOKUP($A41,'EU Ref Sc 2020 Other industries'!$A$5:$AE$33,N$2)</f>
        <v>51.0045034145705</v>
      </c>
      <c r="O41" s="7">
        <f>N41*VLOOKUP($A41,'EU Ref Sc 2020 Other industries'!$A$5:$AE$33,O$2)</f>
        <v>51.183531368435879</v>
      </c>
      <c r="P41" s="7">
        <f>O41*VLOOKUP($A41,'EU Ref Sc 2020 Other industries'!$A$5:$AE$33,P$2)</f>
        <v>51.362559322301259</v>
      </c>
      <c r="Q41" s="7">
        <f>P41*VLOOKUP($A41,'EU Ref Sc 2020 Other industries'!$A$5:$AE$33,Q$2)</f>
        <v>51.541587276166645</v>
      </c>
      <c r="R41" s="7">
        <f>Q41*VLOOKUP($A41,'EU Ref Sc 2020 Other industries'!$A$5:$AE$33,R$2)</f>
        <v>51.720615230032031</v>
      </c>
      <c r="S41" s="7">
        <f>R41*VLOOKUP($A41,'EU Ref Sc 2020 Other industries'!$A$5:$AE$33,S$2)</f>
        <v>51.667567655668662</v>
      </c>
      <c r="T41" s="7">
        <f>S41*VLOOKUP($A41,'EU Ref Sc 2020 Other industries'!$A$5:$AE$33,T$2)</f>
        <v>51.614520081305294</v>
      </c>
      <c r="U41" s="7">
        <f>T41*VLOOKUP($A41,'EU Ref Sc 2020 Other industries'!$A$5:$AE$33,U$2)</f>
        <v>51.561472506941932</v>
      </c>
      <c r="V41" s="7">
        <f>U41*VLOOKUP($A41,'EU Ref Sc 2020 Other industries'!$A$5:$AE$33,V$2)</f>
        <v>51.508424932578563</v>
      </c>
      <c r="W41" s="7">
        <f>V41*VLOOKUP($A41,'EU Ref Sc 2020 Other industries'!$A$5:$AE$33,W$2)</f>
        <v>51.455377358215202</v>
      </c>
      <c r="X41" s="7">
        <f>W41*VLOOKUP($A41,'EU Ref Sc 2020 Other industries'!$A$5:$AE$33,X$2)</f>
        <v>51.41907586974866</v>
      </c>
      <c r="Y41" s="7">
        <f>X41*VLOOKUP($A41,'EU Ref Sc 2020 Other industries'!$A$5:$AE$33,Y$2)</f>
        <v>51.382774381282118</v>
      </c>
      <c r="Z41" s="7">
        <f>Y41*VLOOKUP($A41,'EU Ref Sc 2020 Other industries'!$A$5:$AE$33,Z$2)</f>
        <v>51.346472892815576</v>
      </c>
      <c r="AA41" s="7">
        <f>Z41*VLOOKUP($A41,'EU Ref Sc 2020 Other industries'!$A$5:$AE$33,AA$2)</f>
        <v>51.310171404349035</v>
      </c>
      <c r="AB41" s="7">
        <f>AA41*VLOOKUP($A41,'EU Ref Sc 2020 Other industries'!$A$5:$AE$33,AB$2)</f>
        <v>51.273869915882507</v>
      </c>
      <c r="AC41" s="7">
        <f>AB41*VLOOKUP($A41,'EU Ref Sc 2020 Other industries'!$A$5:$AE$33,AC$2)</f>
        <v>51.139098956382185</v>
      </c>
      <c r="AD41" s="7">
        <f>AC41*VLOOKUP($A41,'EU Ref Sc 2020 Other industries'!$A$5:$AE$33,AD$2)</f>
        <v>51.004327996881862</v>
      </c>
      <c r="AE41" s="7">
        <f>AD41*VLOOKUP($A41,'EU Ref Sc 2020 Other industries'!$A$5:$AE$33,AE$2)</f>
        <v>50.86955703738154</v>
      </c>
      <c r="AF41" s="7">
        <f>AE41*VLOOKUP($A41,'EU Ref Sc 2020 Other industries'!$A$5:$AE$33,AF$2)</f>
        <v>50.734786077881218</v>
      </c>
      <c r="AG41" s="7">
        <f>AF41*VLOOKUP($A41,'EU Ref Sc 2020 Other industries'!$A$5:$AE$33,AG$2)</f>
        <v>50.600015118380895</v>
      </c>
      <c r="AH41" s="13">
        <f t="shared" ref="AH41:AQ41" si="39">AG41</f>
        <v>50.600015118380895</v>
      </c>
      <c r="AI41" s="13">
        <f t="shared" si="39"/>
        <v>50.600015118380895</v>
      </c>
      <c r="AJ41" s="13">
        <f t="shared" si="39"/>
        <v>50.600015118380895</v>
      </c>
      <c r="AK41" s="13">
        <f t="shared" si="39"/>
        <v>50.600015118380895</v>
      </c>
      <c r="AL41" s="13">
        <f t="shared" si="39"/>
        <v>50.600015118380895</v>
      </c>
      <c r="AM41" s="13">
        <f t="shared" si="39"/>
        <v>50.600015118380895</v>
      </c>
      <c r="AN41" s="13">
        <f t="shared" si="39"/>
        <v>50.600015118380895</v>
      </c>
      <c r="AO41" s="13">
        <f t="shared" si="39"/>
        <v>50.600015118380895</v>
      </c>
      <c r="AP41" s="13">
        <f t="shared" si="39"/>
        <v>50.600015118380895</v>
      </c>
      <c r="AQ41" s="13">
        <f t="shared" si="39"/>
        <v>50.600015118380895</v>
      </c>
    </row>
    <row r="42" spans="1:43" x14ac:dyDescent="0.3">
      <c r="A42" t="s">
        <v>1423</v>
      </c>
      <c r="B42" t="s">
        <v>1395</v>
      </c>
      <c r="C42" t="str">
        <f t="shared" si="33"/>
        <v>SEIUEO</v>
      </c>
      <c r="D42" s="2">
        <v>44.097000000000001</v>
      </c>
      <c r="E42" s="7">
        <f>D42*VLOOKUP($A42,'EU Ref Sc 2020 Other industries'!$A$5:$AE$33,E$2)</f>
        <v>44.268844477728408</v>
      </c>
      <c r="F42" s="7">
        <f>E42*VLOOKUP($A42,'EU Ref Sc 2020 Other industries'!$A$5:$AE$33,F$2)</f>
        <v>44.440688955456814</v>
      </c>
      <c r="G42" s="7">
        <f>F42*VLOOKUP($A42,'EU Ref Sc 2020 Other industries'!$A$5:$AE$33,G$2)</f>
        <v>44.61253343318522</v>
      </c>
      <c r="H42" s="7">
        <f>G42*VLOOKUP($A42,'EU Ref Sc 2020 Other industries'!$A$5:$AE$33,H$2)</f>
        <v>44.784377910913626</v>
      </c>
      <c r="I42" s="7">
        <f>H42*VLOOKUP($A42,'EU Ref Sc 2020 Other industries'!$A$5:$AE$33,I$2)</f>
        <v>45.452662922130756</v>
      </c>
      <c r="J42" s="7">
        <f>I42*VLOOKUP($A42,'EU Ref Sc 2020 Other industries'!$A$5:$AE$33,J$2)</f>
        <v>46.120947933347885</v>
      </c>
      <c r="K42" s="7">
        <f>J42*VLOOKUP($A42,'EU Ref Sc 2020 Other industries'!$A$5:$AE$33,K$2)</f>
        <v>46.789232944565008</v>
      </c>
      <c r="L42" s="7">
        <f>K42*VLOOKUP($A42,'EU Ref Sc 2020 Other industries'!$A$5:$AE$33,L$2)</f>
        <v>47.457517955782137</v>
      </c>
      <c r="M42" s="7">
        <f>L42*VLOOKUP($A42,'EU Ref Sc 2020 Other industries'!$A$5:$AE$33,M$2)</f>
        <v>48.125802966999274</v>
      </c>
      <c r="N42" s="7">
        <f>M42*VLOOKUP($A42,'EU Ref Sc 2020 Other industries'!$A$5:$AE$33,N$2)</f>
        <v>48.14002035210153</v>
      </c>
      <c r="O42" s="7">
        <f>N42*VLOOKUP($A42,'EU Ref Sc 2020 Other industries'!$A$5:$AE$33,O$2)</f>
        <v>48.154237737203793</v>
      </c>
      <c r="P42" s="7">
        <f>O42*VLOOKUP($A42,'EU Ref Sc 2020 Other industries'!$A$5:$AE$33,P$2)</f>
        <v>48.16845512230605</v>
      </c>
      <c r="Q42" s="7">
        <f>P42*VLOOKUP($A42,'EU Ref Sc 2020 Other industries'!$A$5:$AE$33,Q$2)</f>
        <v>48.182672507408313</v>
      </c>
      <c r="R42" s="7">
        <f>Q42*VLOOKUP($A42,'EU Ref Sc 2020 Other industries'!$A$5:$AE$33,R$2)</f>
        <v>48.196889892510569</v>
      </c>
      <c r="S42" s="7">
        <f>R42*VLOOKUP($A42,'EU Ref Sc 2020 Other industries'!$A$5:$AE$33,S$2)</f>
        <v>48.3443181537125</v>
      </c>
      <c r="T42" s="7">
        <f>S42*VLOOKUP($A42,'EU Ref Sc 2020 Other industries'!$A$5:$AE$33,T$2)</f>
        <v>48.491746414914424</v>
      </c>
      <c r="U42" s="7">
        <f>T42*VLOOKUP($A42,'EU Ref Sc 2020 Other industries'!$A$5:$AE$33,U$2)</f>
        <v>48.639174676116347</v>
      </c>
      <c r="V42" s="7">
        <f>U42*VLOOKUP($A42,'EU Ref Sc 2020 Other industries'!$A$5:$AE$33,V$2)</f>
        <v>48.786602937318271</v>
      </c>
      <c r="W42" s="7">
        <f>V42*VLOOKUP($A42,'EU Ref Sc 2020 Other industries'!$A$5:$AE$33,W$2)</f>
        <v>48.934031198520174</v>
      </c>
      <c r="X42" s="7">
        <f>W42*VLOOKUP($A42,'EU Ref Sc 2020 Other industries'!$A$5:$AE$33,X$2)</f>
        <v>49.444446018755457</v>
      </c>
      <c r="Y42" s="7">
        <f>X42*VLOOKUP($A42,'EU Ref Sc 2020 Other industries'!$A$5:$AE$33,Y$2)</f>
        <v>49.954860838990747</v>
      </c>
      <c r="Z42" s="7">
        <f>Y42*VLOOKUP($A42,'EU Ref Sc 2020 Other industries'!$A$5:$AE$33,Z$2)</f>
        <v>50.465275659226037</v>
      </c>
      <c r="AA42" s="7">
        <f>Z42*VLOOKUP($A42,'EU Ref Sc 2020 Other industries'!$A$5:$AE$33,AA$2)</f>
        <v>50.975690479461328</v>
      </c>
      <c r="AB42" s="7">
        <f>AA42*VLOOKUP($A42,'EU Ref Sc 2020 Other industries'!$A$5:$AE$33,AB$2)</f>
        <v>51.486105299696632</v>
      </c>
      <c r="AC42" s="7">
        <f>AB42*VLOOKUP($A42,'EU Ref Sc 2020 Other industries'!$A$5:$AE$33,AC$2)</f>
        <v>51.963480688284605</v>
      </c>
      <c r="AD42" s="7">
        <f>AC42*VLOOKUP($A42,'EU Ref Sc 2020 Other industries'!$A$5:$AE$33,AD$2)</f>
        <v>52.440856076872585</v>
      </c>
      <c r="AE42" s="7">
        <f>AD42*VLOOKUP($A42,'EU Ref Sc 2020 Other industries'!$A$5:$AE$33,AE$2)</f>
        <v>52.918231465460551</v>
      </c>
      <c r="AF42" s="7">
        <f>AE42*VLOOKUP($A42,'EU Ref Sc 2020 Other industries'!$A$5:$AE$33,AF$2)</f>
        <v>53.395606854048516</v>
      </c>
      <c r="AG42" s="7">
        <f>AF42*VLOOKUP($A42,'EU Ref Sc 2020 Other industries'!$A$5:$AE$33,AG$2)</f>
        <v>53.872982242636475</v>
      </c>
      <c r="AH42" s="13">
        <f t="shared" ref="AH42:AQ42" si="40">AG42</f>
        <v>53.872982242636475</v>
      </c>
      <c r="AI42" s="13">
        <f t="shared" si="40"/>
        <v>53.872982242636475</v>
      </c>
      <c r="AJ42" s="13">
        <f t="shared" si="40"/>
        <v>53.872982242636475</v>
      </c>
      <c r="AK42" s="13">
        <f t="shared" si="40"/>
        <v>53.872982242636475</v>
      </c>
      <c r="AL42" s="13">
        <f t="shared" si="40"/>
        <v>53.872982242636475</v>
      </c>
      <c r="AM42" s="13">
        <f t="shared" si="40"/>
        <v>53.872982242636475</v>
      </c>
      <c r="AN42" s="13">
        <f t="shared" si="40"/>
        <v>53.872982242636475</v>
      </c>
      <c r="AO42" s="13">
        <f t="shared" si="40"/>
        <v>53.872982242636475</v>
      </c>
      <c r="AP42" s="13">
        <f t="shared" si="40"/>
        <v>53.872982242636475</v>
      </c>
      <c r="AQ42" s="13">
        <f t="shared" si="40"/>
        <v>53.872982242636475</v>
      </c>
    </row>
    <row r="43" spans="1:43" x14ac:dyDescent="0.3">
      <c r="A43" t="s">
        <v>1424</v>
      </c>
      <c r="B43" t="s">
        <v>1395</v>
      </c>
      <c r="C43" t="str">
        <f t="shared" si="33"/>
        <v>SIIUEO</v>
      </c>
      <c r="D43" s="2">
        <v>10.237400000000001</v>
      </c>
      <c r="E43" s="7">
        <f>D43*VLOOKUP($A43,'EU Ref Sc 2020 Other industries'!$A$5:$AE$33,E$2)</f>
        <v>10.575812791211376</v>
      </c>
      <c r="F43" s="7">
        <f>E43*VLOOKUP($A43,'EU Ref Sc 2020 Other industries'!$A$5:$AE$33,F$2)</f>
        <v>10.914225582422752</v>
      </c>
      <c r="G43" s="7">
        <f>F43*VLOOKUP($A43,'EU Ref Sc 2020 Other industries'!$A$5:$AE$33,G$2)</f>
        <v>11.252638373634127</v>
      </c>
      <c r="H43" s="7">
        <f>G43*VLOOKUP($A43,'EU Ref Sc 2020 Other industries'!$A$5:$AE$33,H$2)</f>
        <v>11.591051164845501</v>
      </c>
      <c r="I43" s="7">
        <f>H43*VLOOKUP($A43,'EU Ref Sc 2020 Other industries'!$A$5:$AE$33,I$2)</f>
        <v>11.794466315517463</v>
      </c>
      <c r="J43" s="7">
        <f>I43*VLOOKUP($A43,'EU Ref Sc 2020 Other industries'!$A$5:$AE$33,J$2)</f>
        <v>11.997881466189424</v>
      </c>
      <c r="K43" s="7">
        <f>J43*VLOOKUP($A43,'EU Ref Sc 2020 Other industries'!$A$5:$AE$33,K$2)</f>
        <v>12.201296616861388</v>
      </c>
      <c r="L43" s="7">
        <f>K43*VLOOKUP($A43,'EU Ref Sc 2020 Other industries'!$A$5:$AE$33,L$2)</f>
        <v>12.404711767533351</v>
      </c>
      <c r="M43" s="7">
        <f>L43*VLOOKUP($A43,'EU Ref Sc 2020 Other industries'!$A$5:$AE$33,M$2)</f>
        <v>12.608126918205311</v>
      </c>
      <c r="N43" s="7">
        <f>M43*VLOOKUP($A43,'EU Ref Sc 2020 Other industries'!$A$5:$AE$33,N$2)</f>
        <v>12.754990064687769</v>
      </c>
      <c r="O43" s="7">
        <f>N43*VLOOKUP($A43,'EU Ref Sc 2020 Other industries'!$A$5:$AE$33,O$2)</f>
        <v>12.901853211170227</v>
      </c>
      <c r="P43" s="7">
        <f>O43*VLOOKUP($A43,'EU Ref Sc 2020 Other industries'!$A$5:$AE$33,P$2)</f>
        <v>13.048716357652685</v>
      </c>
      <c r="Q43" s="7">
        <f>P43*VLOOKUP($A43,'EU Ref Sc 2020 Other industries'!$A$5:$AE$33,Q$2)</f>
        <v>13.195579504135143</v>
      </c>
      <c r="R43" s="7">
        <f>Q43*VLOOKUP($A43,'EU Ref Sc 2020 Other industries'!$A$5:$AE$33,R$2)</f>
        <v>13.342442650617603</v>
      </c>
      <c r="S43" s="7">
        <f>R43*VLOOKUP($A43,'EU Ref Sc 2020 Other industries'!$A$5:$AE$33,S$2)</f>
        <v>13.431495007437192</v>
      </c>
      <c r="T43" s="7">
        <f>S43*VLOOKUP($A43,'EU Ref Sc 2020 Other industries'!$A$5:$AE$33,T$2)</f>
        <v>13.520547364256783</v>
      </c>
      <c r="U43" s="7">
        <f>T43*VLOOKUP($A43,'EU Ref Sc 2020 Other industries'!$A$5:$AE$33,U$2)</f>
        <v>13.609599721076373</v>
      </c>
      <c r="V43" s="7">
        <f>U43*VLOOKUP($A43,'EU Ref Sc 2020 Other industries'!$A$5:$AE$33,V$2)</f>
        <v>13.698652077895963</v>
      </c>
      <c r="W43" s="7">
        <f>V43*VLOOKUP($A43,'EU Ref Sc 2020 Other industries'!$A$5:$AE$33,W$2)</f>
        <v>13.78770443471555</v>
      </c>
      <c r="X43" s="7">
        <f>W43*VLOOKUP($A43,'EU Ref Sc 2020 Other industries'!$A$5:$AE$33,X$2)</f>
        <v>13.870265271731183</v>
      </c>
      <c r="Y43" s="7">
        <f>X43*VLOOKUP($A43,'EU Ref Sc 2020 Other industries'!$A$5:$AE$33,Y$2)</f>
        <v>13.952826108746816</v>
      </c>
      <c r="Z43" s="7">
        <f>Y43*VLOOKUP($A43,'EU Ref Sc 2020 Other industries'!$A$5:$AE$33,Z$2)</f>
        <v>14.035386945762449</v>
      </c>
      <c r="AA43" s="7">
        <f>Z43*VLOOKUP($A43,'EU Ref Sc 2020 Other industries'!$A$5:$AE$33,AA$2)</f>
        <v>14.117947782778081</v>
      </c>
      <c r="AB43" s="7">
        <f>AA43*VLOOKUP($A43,'EU Ref Sc 2020 Other industries'!$A$5:$AE$33,AB$2)</f>
        <v>14.200508619793712</v>
      </c>
      <c r="AC43" s="7">
        <f>AB43*VLOOKUP($A43,'EU Ref Sc 2020 Other industries'!$A$5:$AE$33,AC$2)</f>
        <v>14.318454834537331</v>
      </c>
      <c r="AD43" s="7">
        <f>AC43*VLOOKUP($A43,'EU Ref Sc 2020 Other industries'!$A$5:$AE$33,AD$2)</f>
        <v>14.436401049280949</v>
      </c>
      <c r="AE43" s="7">
        <f>AD43*VLOOKUP($A43,'EU Ref Sc 2020 Other industries'!$A$5:$AE$33,AE$2)</f>
        <v>14.554347264024567</v>
      </c>
      <c r="AF43" s="7">
        <f>AE43*VLOOKUP($A43,'EU Ref Sc 2020 Other industries'!$A$5:$AE$33,AF$2)</f>
        <v>14.672293478768188</v>
      </c>
      <c r="AG43" s="7">
        <f>AF43*VLOOKUP($A43,'EU Ref Sc 2020 Other industries'!$A$5:$AE$33,AG$2)</f>
        <v>14.790239693511804</v>
      </c>
      <c r="AH43" s="13">
        <f t="shared" ref="AH43:AQ43" si="41">AG43</f>
        <v>14.790239693511804</v>
      </c>
      <c r="AI43" s="13">
        <f t="shared" si="41"/>
        <v>14.790239693511804</v>
      </c>
      <c r="AJ43" s="13">
        <f t="shared" si="41"/>
        <v>14.790239693511804</v>
      </c>
      <c r="AK43" s="13">
        <f t="shared" si="41"/>
        <v>14.790239693511804</v>
      </c>
      <c r="AL43" s="13">
        <f t="shared" si="41"/>
        <v>14.790239693511804</v>
      </c>
      <c r="AM43" s="13">
        <f t="shared" si="41"/>
        <v>14.790239693511804</v>
      </c>
      <c r="AN43" s="13">
        <f t="shared" si="41"/>
        <v>14.790239693511804</v>
      </c>
      <c r="AO43" s="13">
        <f t="shared" si="41"/>
        <v>14.790239693511804</v>
      </c>
      <c r="AP43" s="13">
        <f t="shared" si="41"/>
        <v>14.790239693511804</v>
      </c>
      <c r="AQ43" s="13">
        <f t="shared" si="41"/>
        <v>14.790239693511804</v>
      </c>
    </row>
    <row r="44" spans="1:43" x14ac:dyDescent="0.3">
      <c r="A44" t="s">
        <v>1425</v>
      </c>
      <c r="B44" t="s">
        <v>1395</v>
      </c>
      <c r="C44" t="str">
        <f t="shared" si="33"/>
        <v>SKIUEO</v>
      </c>
      <c r="D44" s="2">
        <v>17.444099999999999</v>
      </c>
      <c r="E44" s="7">
        <f>D44*VLOOKUP($A44,'EU Ref Sc 2020 Other industries'!$A$5:$AE$33,E$2)</f>
        <v>17.535660892727645</v>
      </c>
      <c r="F44" s="7">
        <f>E44*VLOOKUP($A44,'EU Ref Sc 2020 Other industries'!$A$5:$AE$33,F$2)</f>
        <v>17.627221785455291</v>
      </c>
      <c r="G44" s="7">
        <f>F44*VLOOKUP($A44,'EU Ref Sc 2020 Other industries'!$A$5:$AE$33,G$2)</f>
        <v>17.718782678182937</v>
      </c>
      <c r="H44" s="7">
        <f>G44*VLOOKUP($A44,'EU Ref Sc 2020 Other industries'!$A$5:$AE$33,H$2)</f>
        <v>17.810343570910582</v>
      </c>
      <c r="I44" s="7">
        <f>H44*VLOOKUP($A44,'EU Ref Sc 2020 Other industries'!$A$5:$AE$33,I$2)</f>
        <v>17.819268046008681</v>
      </c>
      <c r="J44" s="7">
        <f>I44*VLOOKUP($A44,'EU Ref Sc 2020 Other industries'!$A$5:$AE$33,J$2)</f>
        <v>17.828192521106782</v>
      </c>
      <c r="K44" s="7">
        <f>J44*VLOOKUP($A44,'EU Ref Sc 2020 Other industries'!$A$5:$AE$33,K$2)</f>
        <v>17.837116996204884</v>
      </c>
      <c r="L44" s="7">
        <f>K44*VLOOKUP($A44,'EU Ref Sc 2020 Other industries'!$A$5:$AE$33,L$2)</f>
        <v>17.846041471302986</v>
      </c>
      <c r="M44" s="7">
        <f>L44*VLOOKUP($A44,'EU Ref Sc 2020 Other industries'!$A$5:$AE$33,M$2)</f>
        <v>17.854965946401091</v>
      </c>
      <c r="N44" s="7">
        <f>M44*VLOOKUP($A44,'EU Ref Sc 2020 Other industries'!$A$5:$AE$33,N$2)</f>
        <v>18.038677642182805</v>
      </c>
      <c r="O44" s="7">
        <f>N44*VLOOKUP($A44,'EU Ref Sc 2020 Other industries'!$A$5:$AE$33,O$2)</f>
        <v>18.222389337964522</v>
      </c>
      <c r="P44" s="7">
        <f>O44*VLOOKUP($A44,'EU Ref Sc 2020 Other industries'!$A$5:$AE$33,P$2)</f>
        <v>18.406101033746239</v>
      </c>
      <c r="Q44" s="7">
        <f>P44*VLOOKUP($A44,'EU Ref Sc 2020 Other industries'!$A$5:$AE$33,Q$2)</f>
        <v>18.589812729527956</v>
      </c>
      <c r="R44" s="7">
        <f>Q44*VLOOKUP($A44,'EU Ref Sc 2020 Other industries'!$A$5:$AE$33,R$2)</f>
        <v>18.77352442530967</v>
      </c>
      <c r="S44" s="7">
        <f>R44*VLOOKUP($A44,'EU Ref Sc 2020 Other industries'!$A$5:$AE$33,S$2)</f>
        <v>18.772903731637687</v>
      </c>
      <c r="T44" s="7">
        <f>S44*VLOOKUP($A44,'EU Ref Sc 2020 Other industries'!$A$5:$AE$33,T$2)</f>
        <v>18.772283037965703</v>
      </c>
      <c r="U44" s="7">
        <f>T44*VLOOKUP($A44,'EU Ref Sc 2020 Other industries'!$A$5:$AE$33,U$2)</f>
        <v>18.77166234429372</v>
      </c>
      <c r="V44" s="7">
        <f>U44*VLOOKUP($A44,'EU Ref Sc 2020 Other industries'!$A$5:$AE$33,V$2)</f>
        <v>18.771041650621736</v>
      </c>
      <c r="W44" s="7">
        <f>V44*VLOOKUP($A44,'EU Ref Sc 2020 Other industries'!$A$5:$AE$33,W$2)</f>
        <v>18.770420956949756</v>
      </c>
      <c r="X44" s="7">
        <f>W44*VLOOKUP($A44,'EU Ref Sc 2020 Other industries'!$A$5:$AE$33,X$2)</f>
        <v>18.737162076198807</v>
      </c>
      <c r="Y44" s="7">
        <f>X44*VLOOKUP($A44,'EU Ref Sc 2020 Other industries'!$A$5:$AE$33,Y$2)</f>
        <v>18.703903195447854</v>
      </c>
      <c r="Z44" s="7">
        <f>Y44*VLOOKUP($A44,'EU Ref Sc 2020 Other industries'!$A$5:$AE$33,Z$2)</f>
        <v>18.670644314696904</v>
      </c>
      <c r="AA44" s="7">
        <f>Z44*VLOOKUP($A44,'EU Ref Sc 2020 Other industries'!$A$5:$AE$33,AA$2)</f>
        <v>18.637385433945955</v>
      </c>
      <c r="AB44" s="7">
        <f>AA44*VLOOKUP($A44,'EU Ref Sc 2020 Other industries'!$A$5:$AE$33,AB$2)</f>
        <v>18.604126553195002</v>
      </c>
      <c r="AC44" s="7">
        <f>AB44*VLOOKUP($A44,'EU Ref Sc 2020 Other industries'!$A$5:$AE$33,AC$2)</f>
        <v>18.615271615089991</v>
      </c>
      <c r="AD44" s="7">
        <f>AC44*VLOOKUP($A44,'EU Ref Sc 2020 Other industries'!$A$5:$AE$33,AD$2)</f>
        <v>18.626416676984977</v>
      </c>
      <c r="AE44" s="7">
        <f>AD44*VLOOKUP($A44,'EU Ref Sc 2020 Other industries'!$A$5:$AE$33,AE$2)</f>
        <v>18.637561738879963</v>
      </c>
      <c r="AF44" s="7">
        <f>AE44*VLOOKUP($A44,'EU Ref Sc 2020 Other industries'!$A$5:$AE$33,AF$2)</f>
        <v>18.648706800774949</v>
      </c>
      <c r="AG44" s="7">
        <f>AF44*VLOOKUP($A44,'EU Ref Sc 2020 Other industries'!$A$5:$AE$33,AG$2)</f>
        <v>18.659851862669939</v>
      </c>
      <c r="AH44" s="13">
        <f t="shared" ref="AH44:AQ44" si="42">AG44</f>
        <v>18.659851862669939</v>
      </c>
      <c r="AI44" s="13">
        <f t="shared" si="42"/>
        <v>18.659851862669939</v>
      </c>
      <c r="AJ44" s="13">
        <f t="shared" si="42"/>
        <v>18.659851862669939</v>
      </c>
      <c r="AK44" s="13">
        <f t="shared" si="42"/>
        <v>18.659851862669939</v>
      </c>
      <c r="AL44" s="13">
        <f t="shared" si="42"/>
        <v>18.659851862669939</v>
      </c>
      <c r="AM44" s="13">
        <f t="shared" si="42"/>
        <v>18.659851862669939</v>
      </c>
      <c r="AN44" s="13">
        <f t="shared" si="42"/>
        <v>18.659851862669939</v>
      </c>
      <c r="AO44" s="13">
        <f t="shared" si="42"/>
        <v>18.659851862669939</v>
      </c>
      <c r="AP44" s="13">
        <f t="shared" si="42"/>
        <v>18.659851862669939</v>
      </c>
      <c r="AQ44" s="13">
        <f t="shared" si="42"/>
        <v>18.659851862669939</v>
      </c>
    </row>
    <row r="45" spans="1:43" x14ac:dyDescent="0.3">
      <c r="A45" t="s">
        <v>1390</v>
      </c>
      <c r="B45" t="s">
        <v>1393</v>
      </c>
      <c r="C45" t="str">
        <f t="shared" si="33"/>
        <v>ATIUEN</v>
      </c>
      <c r="D45" s="2">
        <v>20.325399999999998</v>
      </c>
      <c r="E45" s="12">
        <f>D45*VLOOKUP($A45,'EU Ref Sc 2020 Energy intensive'!$A$5:$AE$33,E$2)</f>
        <v>20.478177022077602</v>
      </c>
      <c r="F45" s="12">
        <f>E45*VLOOKUP($A45,'EU Ref Sc 2020 Energy intensive'!$A$5:$AE$33,F$2)</f>
        <v>20.630954044155207</v>
      </c>
      <c r="G45" s="12">
        <f>F45*VLOOKUP($A45,'EU Ref Sc 2020 Energy intensive'!$A$5:$AE$33,G$2)</f>
        <v>20.783731066232807</v>
      </c>
      <c r="H45" s="12">
        <f>G45*VLOOKUP($A45,'EU Ref Sc 2020 Energy intensive'!$A$5:$AE$33,H$2)</f>
        <v>20.936508088310404</v>
      </c>
      <c r="I45" s="12">
        <f>H45*VLOOKUP($A45,'EU Ref Sc 2020 Energy intensive'!$A$5:$AE$33,I$2)</f>
        <v>20.77314337562256</v>
      </c>
      <c r="J45" s="12">
        <f>I45*VLOOKUP($A45,'EU Ref Sc 2020 Energy intensive'!$A$5:$AE$33,J$2)</f>
        <v>20.609778662934715</v>
      </c>
      <c r="K45" s="12">
        <f>J45*VLOOKUP($A45,'EU Ref Sc 2020 Energy intensive'!$A$5:$AE$33,K$2)</f>
        <v>20.446413950246871</v>
      </c>
      <c r="L45" s="12">
        <f>K45*VLOOKUP($A45,'EU Ref Sc 2020 Energy intensive'!$A$5:$AE$33,L$2)</f>
        <v>20.283049237559027</v>
      </c>
      <c r="M45" s="12">
        <f>L45*VLOOKUP($A45,'EU Ref Sc 2020 Energy intensive'!$A$5:$AE$33,M$2)</f>
        <v>20.119684524871182</v>
      </c>
      <c r="N45" s="12">
        <f>M45*VLOOKUP($A45,'EU Ref Sc 2020 Energy intensive'!$A$5:$AE$33,N$2)</f>
        <v>19.891691764101257</v>
      </c>
      <c r="O45" s="12">
        <f>N45*VLOOKUP($A45,'EU Ref Sc 2020 Energy intensive'!$A$5:$AE$33,O$2)</f>
        <v>19.663699003331331</v>
      </c>
      <c r="P45" s="12">
        <f>O45*VLOOKUP($A45,'EU Ref Sc 2020 Energy intensive'!$A$5:$AE$33,P$2)</f>
        <v>19.435706242561409</v>
      </c>
      <c r="Q45" s="12">
        <f>P45*VLOOKUP($A45,'EU Ref Sc 2020 Energy intensive'!$A$5:$AE$33,Q$2)</f>
        <v>19.207713481791483</v>
      </c>
      <c r="R45" s="12">
        <f>Q45*VLOOKUP($A45,'EU Ref Sc 2020 Energy intensive'!$A$5:$AE$33,R$2)</f>
        <v>18.979720721021565</v>
      </c>
      <c r="S45" s="12">
        <f>R45*VLOOKUP($A45,'EU Ref Sc 2020 Energy intensive'!$A$5:$AE$33,S$2)</f>
        <v>18.798962065629958</v>
      </c>
      <c r="T45" s="12">
        <f>S45*VLOOKUP($A45,'EU Ref Sc 2020 Energy intensive'!$A$5:$AE$33,T$2)</f>
        <v>18.618203410238348</v>
      </c>
      <c r="U45" s="12">
        <f>T45*VLOOKUP($A45,'EU Ref Sc 2020 Energy intensive'!$A$5:$AE$33,U$2)</f>
        <v>18.437444754846741</v>
      </c>
      <c r="V45" s="12">
        <f>U45*VLOOKUP($A45,'EU Ref Sc 2020 Energy intensive'!$A$5:$AE$33,V$2)</f>
        <v>18.256686099455134</v>
      </c>
      <c r="W45" s="12">
        <f>V45*VLOOKUP($A45,'EU Ref Sc 2020 Energy intensive'!$A$5:$AE$33,W$2)</f>
        <v>18.075927444063534</v>
      </c>
      <c r="X45" s="12">
        <f>W45*VLOOKUP($A45,'EU Ref Sc 2020 Energy intensive'!$A$5:$AE$33,X$2)</f>
        <v>17.992036005981266</v>
      </c>
      <c r="Y45" s="12">
        <f>X45*VLOOKUP($A45,'EU Ref Sc 2020 Energy intensive'!$A$5:$AE$33,Y$2)</f>
        <v>17.908144567898997</v>
      </c>
      <c r="Z45" s="12">
        <f>Y45*VLOOKUP($A45,'EU Ref Sc 2020 Energy intensive'!$A$5:$AE$33,Z$2)</f>
        <v>17.824253129816729</v>
      </c>
      <c r="AA45" s="12">
        <f>Z45*VLOOKUP($A45,'EU Ref Sc 2020 Energy intensive'!$A$5:$AE$33,AA$2)</f>
        <v>17.74036169173446</v>
      </c>
      <c r="AB45" s="12">
        <f>AA45*VLOOKUP($A45,'EU Ref Sc 2020 Energy intensive'!$A$5:$AE$33,AB$2)</f>
        <v>17.656470253652195</v>
      </c>
      <c r="AC45" s="12">
        <f>AB45*VLOOKUP($A45,'EU Ref Sc 2020 Energy intensive'!$A$5:$AE$33,AC$2)</f>
        <v>17.613000883276445</v>
      </c>
      <c r="AD45" s="12">
        <f>AC45*VLOOKUP($A45,'EU Ref Sc 2020 Energy intensive'!$A$5:$AE$33,AD$2)</f>
        <v>17.569531512900696</v>
      </c>
      <c r="AE45" s="12">
        <f>AD45*VLOOKUP($A45,'EU Ref Sc 2020 Energy intensive'!$A$5:$AE$33,AE$2)</f>
        <v>17.526062142524946</v>
      </c>
      <c r="AF45" s="12">
        <f>AE45*VLOOKUP($A45,'EU Ref Sc 2020 Energy intensive'!$A$5:$AE$33,AF$2)</f>
        <v>17.482592772149196</v>
      </c>
      <c r="AG45" s="12">
        <f>AF45*VLOOKUP($A45,'EU Ref Sc 2020 Energy intensive'!$A$5:$AE$33,AG$2)</f>
        <v>17.43912340177345</v>
      </c>
      <c r="AH45" s="13">
        <f t="shared" ref="AH45:AQ45" si="43">AG45</f>
        <v>17.43912340177345</v>
      </c>
      <c r="AI45" s="13">
        <f t="shared" si="43"/>
        <v>17.43912340177345</v>
      </c>
      <c r="AJ45" s="13">
        <f t="shared" si="43"/>
        <v>17.43912340177345</v>
      </c>
      <c r="AK45" s="13">
        <f t="shared" si="43"/>
        <v>17.43912340177345</v>
      </c>
      <c r="AL45" s="13">
        <f t="shared" si="43"/>
        <v>17.43912340177345</v>
      </c>
      <c r="AM45" s="13">
        <f t="shared" si="43"/>
        <v>17.43912340177345</v>
      </c>
      <c r="AN45" s="13">
        <f t="shared" si="43"/>
        <v>17.43912340177345</v>
      </c>
      <c r="AO45" s="13">
        <f t="shared" si="43"/>
        <v>17.43912340177345</v>
      </c>
      <c r="AP45" s="13">
        <f t="shared" si="43"/>
        <v>17.43912340177345</v>
      </c>
      <c r="AQ45" s="13">
        <f t="shared" si="43"/>
        <v>17.43912340177345</v>
      </c>
    </row>
    <row r="46" spans="1:43" x14ac:dyDescent="0.3">
      <c r="A46" t="s">
        <v>1396</v>
      </c>
      <c r="B46" t="s">
        <v>1393</v>
      </c>
      <c r="C46" t="str">
        <f t="shared" si="33"/>
        <v>BEIUEN</v>
      </c>
      <c r="D46" s="2">
        <v>27.477899999999998</v>
      </c>
      <c r="E46" s="12">
        <f>D46*VLOOKUP($A46,'EU Ref Sc 2020 Energy intensive'!$A$5:$AE$33,E$2)</f>
        <v>28.361694135120366</v>
      </c>
      <c r="F46" s="12">
        <f>E46*VLOOKUP($A46,'EU Ref Sc 2020 Energy intensive'!$A$5:$AE$33,F$2)</f>
        <v>29.245488270240735</v>
      </c>
      <c r="G46" s="12">
        <f>F46*VLOOKUP($A46,'EU Ref Sc 2020 Energy intensive'!$A$5:$AE$33,G$2)</f>
        <v>30.129282405361103</v>
      </c>
      <c r="H46" s="12">
        <f>G46*VLOOKUP($A46,'EU Ref Sc 2020 Energy intensive'!$A$5:$AE$33,H$2)</f>
        <v>31.013076540481471</v>
      </c>
      <c r="I46" s="12">
        <f>H46*VLOOKUP($A46,'EU Ref Sc 2020 Energy intensive'!$A$5:$AE$33,I$2)</f>
        <v>31.951441715829592</v>
      </c>
      <c r="J46" s="12">
        <f>I46*VLOOKUP($A46,'EU Ref Sc 2020 Energy intensive'!$A$5:$AE$33,J$2)</f>
        <v>32.889806891177713</v>
      </c>
      <c r="K46" s="12">
        <f>J46*VLOOKUP($A46,'EU Ref Sc 2020 Energy intensive'!$A$5:$AE$33,K$2)</f>
        <v>33.828172066525838</v>
      </c>
      <c r="L46" s="12">
        <f>K46*VLOOKUP($A46,'EU Ref Sc 2020 Energy intensive'!$A$5:$AE$33,L$2)</f>
        <v>34.766537241873962</v>
      </c>
      <c r="M46" s="12">
        <f>L46*VLOOKUP($A46,'EU Ref Sc 2020 Energy intensive'!$A$5:$AE$33,M$2)</f>
        <v>35.704902417222101</v>
      </c>
      <c r="N46" s="12">
        <f>M46*VLOOKUP($A46,'EU Ref Sc 2020 Energy intensive'!$A$5:$AE$33,N$2)</f>
        <v>35.482621788067775</v>
      </c>
      <c r="O46" s="12">
        <f>N46*VLOOKUP($A46,'EU Ref Sc 2020 Energy intensive'!$A$5:$AE$33,O$2)</f>
        <v>35.260341158913448</v>
      </c>
      <c r="P46" s="12">
        <f>O46*VLOOKUP($A46,'EU Ref Sc 2020 Energy intensive'!$A$5:$AE$33,P$2)</f>
        <v>35.038060529759122</v>
      </c>
      <c r="Q46" s="12">
        <f>P46*VLOOKUP($A46,'EU Ref Sc 2020 Energy intensive'!$A$5:$AE$33,Q$2)</f>
        <v>34.815779900604795</v>
      </c>
      <c r="R46" s="12">
        <f>Q46*VLOOKUP($A46,'EU Ref Sc 2020 Energy intensive'!$A$5:$AE$33,R$2)</f>
        <v>34.593499271450469</v>
      </c>
      <c r="S46" s="12">
        <f>R46*VLOOKUP($A46,'EU Ref Sc 2020 Energy intensive'!$A$5:$AE$33,S$2)</f>
        <v>34.412709826405631</v>
      </c>
      <c r="T46" s="12">
        <f>S46*VLOOKUP($A46,'EU Ref Sc 2020 Energy intensive'!$A$5:$AE$33,T$2)</f>
        <v>34.231920381360794</v>
      </c>
      <c r="U46" s="12">
        <f>T46*VLOOKUP($A46,'EU Ref Sc 2020 Energy intensive'!$A$5:$AE$33,U$2)</f>
        <v>34.051130936315957</v>
      </c>
      <c r="V46" s="12">
        <f>U46*VLOOKUP($A46,'EU Ref Sc 2020 Energy intensive'!$A$5:$AE$33,V$2)</f>
        <v>33.87034149127112</v>
      </c>
      <c r="W46" s="12">
        <f>V46*VLOOKUP($A46,'EU Ref Sc 2020 Energy intensive'!$A$5:$AE$33,W$2)</f>
        <v>33.689552046226282</v>
      </c>
      <c r="X46" s="12">
        <f>W46*VLOOKUP($A46,'EU Ref Sc 2020 Energy intensive'!$A$5:$AE$33,X$2)</f>
        <v>33.684013202671046</v>
      </c>
      <c r="Y46" s="12">
        <f>X46*VLOOKUP($A46,'EU Ref Sc 2020 Energy intensive'!$A$5:$AE$33,Y$2)</f>
        <v>33.67847435911581</v>
      </c>
      <c r="Z46" s="12">
        <f>Y46*VLOOKUP($A46,'EU Ref Sc 2020 Energy intensive'!$A$5:$AE$33,Z$2)</f>
        <v>33.672935515560575</v>
      </c>
      <c r="AA46" s="12">
        <f>Z46*VLOOKUP($A46,'EU Ref Sc 2020 Energy intensive'!$A$5:$AE$33,AA$2)</f>
        <v>33.667396672005339</v>
      </c>
      <c r="AB46" s="12">
        <f>AA46*VLOOKUP($A46,'EU Ref Sc 2020 Energy intensive'!$A$5:$AE$33,AB$2)</f>
        <v>33.661857828450117</v>
      </c>
      <c r="AC46" s="12">
        <f>AB46*VLOOKUP($A46,'EU Ref Sc 2020 Energy intensive'!$A$5:$AE$33,AC$2)</f>
        <v>33.644022113608244</v>
      </c>
      <c r="AD46" s="12">
        <f>AC46*VLOOKUP($A46,'EU Ref Sc 2020 Energy intensive'!$A$5:$AE$33,AD$2)</f>
        <v>33.626186398766372</v>
      </c>
      <c r="AE46" s="12">
        <f>AD46*VLOOKUP($A46,'EU Ref Sc 2020 Energy intensive'!$A$5:$AE$33,AE$2)</f>
        <v>33.608350683924499</v>
      </c>
      <c r="AF46" s="12">
        <f>AE46*VLOOKUP($A46,'EU Ref Sc 2020 Energy intensive'!$A$5:$AE$33,AF$2)</f>
        <v>33.590514969082626</v>
      </c>
      <c r="AG46" s="12">
        <f>AF46*VLOOKUP($A46,'EU Ref Sc 2020 Energy intensive'!$A$5:$AE$33,AG$2)</f>
        <v>33.572679254240768</v>
      </c>
      <c r="AH46" s="13">
        <f t="shared" ref="AH46:AQ46" si="44">AG46</f>
        <v>33.572679254240768</v>
      </c>
      <c r="AI46" s="13">
        <f t="shared" si="44"/>
        <v>33.572679254240768</v>
      </c>
      <c r="AJ46" s="13">
        <f t="shared" si="44"/>
        <v>33.572679254240768</v>
      </c>
      <c r="AK46" s="13">
        <f t="shared" si="44"/>
        <v>33.572679254240768</v>
      </c>
      <c r="AL46" s="13">
        <f t="shared" si="44"/>
        <v>33.572679254240768</v>
      </c>
      <c r="AM46" s="13">
        <f t="shared" si="44"/>
        <v>33.572679254240768</v>
      </c>
      <c r="AN46" s="13">
        <f t="shared" si="44"/>
        <v>33.572679254240768</v>
      </c>
      <c r="AO46" s="13">
        <f t="shared" si="44"/>
        <v>33.572679254240768</v>
      </c>
      <c r="AP46" s="13">
        <f t="shared" si="44"/>
        <v>33.572679254240768</v>
      </c>
      <c r="AQ46" s="13">
        <f t="shared" si="44"/>
        <v>33.572679254240768</v>
      </c>
    </row>
    <row r="47" spans="1:43" x14ac:dyDescent="0.3">
      <c r="A47" t="s">
        <v>1398</v>
      </c>
      <c r="B47" t="s">
        <v>1393</v>
      </c>
      <c r="C47" t="str">
        <f t="shared" si="33"/>
        <v>BGIUEN</v>
      </c>
      <c r="D47" s="2">
        <v>11.380699999999999</v>
      </c>
      <c r="E47" s="12">
        <f>D47*VLOOKUP($A47,'EU Ref Sc 2020 Energy intensive'!$A$5:$AE$33,E$2)</f>
        <v>11.540627713586757</v>
      </c>
      <c r="F47" s="12">
        <f>E47*VLOOKUP($A47,'EU Ref Sc 2020 Energy intensive'!$A$5:$AE$33,F$2)</f>
        <v>11.700555427173512</v>
      </c>
      <c r="G47" s="12">
        <f>F47*VLOOKUP($A47,'EU Ref Sc 2020 Energy intensive'!$A$5:$AE$33,G$2)</f>
        <v>11.86048314076027</v>
      </c>
      <c r="H47" s="12">
        <f>G47*VLOOKUP($A47,'EU Ref Sc 2020 Energy intensive'!$A$5:$AE$33,H$2)</f>
        <v>12.020410854347025</v>
      </c>
      <c r="I47" s="12">
        <f>H47*VLOOKUP($A47,'EU Ref Sc 2020 Energy intensive'!$A$5:$AE$33,I$2)</f>
        <v>11.967248043591182</v>
      </c>
      <c r="J47" s="12">
        <f>I47*VLOOKUP($A47,'EU Ref Sc 2020 Energy intensive'!$A$5:$AE$33,J$2)</f>
        <v>11.914085232835339</v>
      </c>
      <c r="K47" s="12">
        <f>J47*VLOOKUP($A47,'EU Ref Sc 2020 Energy intensive'!$A$5:$AE$33,K$2)</f>
        <v>11.860922422079495</v>
      </c>
      <c r="L47" s="12">
        <f>K47*VLOOKUP($A47,'EU Ref Sc 2020 Energy intensive'!$A$5:$AE$33,L$2)</f>
        <v>11.807759611323652</v>
      </c>
      <c r="M47" s="12">
        <f>L47*VLOOKUP($A47,'EU Ref Sc 2020 Energy intensive'!$A$5:$AE$33,M$2)</f>
        <v>11.754596800567812</v>
      </c>
      <c r="N47" s="12">
        <f>M47*VLOOKUP($A47,'EU Ref Sc 2020 Energy intensive'!$A$5:$AE$33,N$2)</f>
        <v>11.519405866452251</v>
      </c>
      <c r="O47" s="12">
        <f>N47*VLOOKUP($A47,'EU Ref Sc 2020 Energy intensive'!$A$5:$AE$33,O$2)</f>
        <v>11.28421493233669</v>
      </c>
      <c r="P47" s="12">
        <f>O47*VLOOKUP($A47,'EU Ref Sc 2020 Energy intensive'!$A$5:$AE$33,P$2)</f>
        <v>11.049023998221129</v>
      </c>
      <c r="Q47" s="12">
        <f>P47*VLOOKUP($A47,'EU Ref Sc 2020 Energy intensive'!$A$5:$AE$33,Q$2)</f>
        <v>10.813833064105568</v>
      </c>
      <c r="R47" s="12">
        <f>Q47*VLOOKUP($A47,'EU Ref Sc 2020 Energy intensive'!$A$5:$AE$33,R$2)</f>
        <v>10.57864212999001</v>
      </c>
      <c r="S47" s="12">
        <f>R47*VLOOKUP($A47,'EU Ref Sc 2020 Energy intensive'!$A$5:$AE$33,S$2)</f>
        <v>10.508795735332912</v>
      </c>
      <c r="T47" s="12">
        <f>S47*VLOOKUP($A47,'EU Ref Sc 2020 Energy intensive'!$A$5:$AE$33,T$2)</f>
        <v>10.438949340675814</v>
      </c>
      <c r="U47" s="12">
        <f>T47*VLOOKUP($A47,'EU Ref Sc 2020 Energy intensive'!$A$5:$AE$33,U$2)</f>
        <v>10.369102946018716</v>
      </c>
      <c r="V47" s="12">
        <f>U47*VLOOKUP($A47,'EU Ref Sc 2020 Energy intensive'!$A$5:$AE$33,V$2)</f>
        <v>10.299256551361617</v>
      </c>
      <c r="W47" s="12">
        <f>V47*VLOOKUP($A47,'EU Ref Sc 2020 Energy intensive'!$A$5:$AE$33,W$2)</f>
        <v>10.229410156704517</v>
      </c>
      <c r="X47" s="12">
        <f>W47*VLOOKUP($A47,'EU Ref Sc 2020 Energy intensive'!$A$5:$AE$33,X$2)</f>
        <v>10.209852022488528</v>
      </c>
      <c r="Y47" s="12">
        <f>X47*VLOOKUP($A47,'EU Ref Sc 2020 Energy intensive'!$A$5:$AE$33,Y$2)</f>
        <v>10.190293888272539</v>
      </c>
      <c r="Z47" s="12">
        <f>Y47*VLOOKUP($A47,'EU Ref Sc 2020 Energy intensive'!$A$5:$AE$33,Z$2)</f>
        <v>10.170735754056549</v>
      </c>
      <c r="AA47" s="12">
        <f>Z47*VLOOKUP($A47,'EU Ref Sc 2020 Energy intensive'!$A$5:$AE$33,AA$2)</f>
        <v>10.15117761984056</v>
      </c>
      <c r="AB47" s="12">
        <f>AA47*VLOOKUP($A47,'EU Ref Sc 2020 Energy intensive'!$A$5:$AE$33,AB$2)</f>
        <v>10.13161948562457</v>
      </c>
      <c r="AC47" s="12">
        <f>AB47*VLOOKUP($A47,'EU Ref Sc 2020 Energy intensive'!$A$5:$AE$33,AC$2)</f>
        <v>10.099672191102622</v>
      </c>
      <c r="AD47" s="12">
        <f>AC47*VLOOKUP($A47,'EU Ref Sc 2020 Energy intensive'!$A$5:$AE$33,AD$2)</f>
        <v>10.067724896580673</v>
      </c>
      <c r="AE47" s="12">
        <f>AD47*VLOOKUP($A47,'EU Ref Sc 2020 Energy intensive'!$A$5:$AE$33,AE$2)</f>
        <v>10.035777602058724</v>
      </c>
      <c r="AF47" s="12">
        <f>AE47*VLOOKUP($A47,'EU Ref Sc 2020 Energy intensive'!$A$5:$AE$33,AF$2)</f>
        <v>10.003830307536775</v>
      </c>
      <c r="AG47" s="12">
        <f>AF47*VLOOKUP($A47,'EU Ref Sc 2020 Energy intensive'!$A$5:$AE$33,AG$2)</f>
        <v>9.971883013014823</v>
      </c>
      <c r="AH47" s="13">
        <f t="shared" ref="AH47:AQ47" si="45">AG47</f>
        <v>9.971883013014823</v>
      </c>
      <c r="AI47" s="13">
        <f t="shared" si="45"/>
        <v>9.971883013014823</v>
      </c>
      <c r="AJ47" s="13">
        <f t="shared" si="45"/>
        <v>9.971883013014823</v>
      </c>
      <c r="AK47" s="13">
        <f t="shared" si="45"/>
        <v>9.971883013014823</v>
      </c>
      <c r="AL47" s="13">
        <f t="shared" si="45"/>
        <v>9.971883013014823</v>
      </c>
      <c r="AM47" s="13">
        <f t="shared" si="45"/>
        <v>9.971883013014823</v>
      </c>
      <c r="AN47" s="13">
        <f t="shared" si="45"/>
        <v>9.971883013014823</v>
      </c>
      <c r="AO47" s="13">
        <f t="shared" si="45"/>
        <v>9.971883013014823</v>
      </c>
      <c r="AP47" s="13">
        <f t="shared" si="45"/>
        <v>9.971883013014823</v>
      </c>
      <c r="AQ47" s="13">
        <f t="shared" si="45"/>
        <v>9.971883013014823</v>
      </c>
    </row>
    <row r="48" spans="1:43" x14ac:dyDescent="0.3">
      <c r="A48" t="s">
        <v>1400</v>
      </c>
      <c r="B48" t="s">
        <v>1393</v>
      </c>
      <c r="C48" t="str">
        <f t="shared" si="33"/>
        <v>CYIUEN</v>
      </c>
      <c r="D48" s="2">
        <v>3.1879</v>
      </c>
      <c r="E48" s="12">
        <f>D48*VLOOKUP($A48,'EU Ref Sc 2020 Energy intensive'!$A$5:$AE$33,E$2)</f>
        <v>3.2256847257262922</v>
      </c>
      <c r="F48" s="12">
        <f>E48*VLOOKUP($A48,'EU Ref Sc 2020 Energy intensive'!$A$5:$AE$33,F$2)</f>
        <v>3.2634694514525848</v>
      </c>
      <c r="G48" s="12">
        <f>F48*VLOOKUP($A48,'EU Ref Sc 2020 Energy intensive'!$A$5:$AE$33,G$2)</f>
        <v>3.301254177178877</v>
      </c>
      <c r="H48" s="12">
        <f>G48*VLOOKUP($A48,'EU Ref Sc 2020 Energy intensive'!$A$5:$AE$33,H$2)</f>
        <v>3.3390389029051697</v>
      </c>
      <c r="I48" s="12">
        <f>H48*VLOOKUP($A48,'EU Ref Sc 2020 Energy intensive'!$A$5:$AE$33,I$2)</f>
        <v>3.2821850489356148</v>
      </c>
      <c r="J48" s="12">
        <f>I48*VLOOKUP($A48,'EU Ref Sc 2020 Energy intensive'!$A$5:$AE$33,J$2)</f>
        <v>3.2253311949660595</v>
      </c>
      <c r="K48" s="12">
        <f>J48*VLOOKUP($A48,'EU Ref Sc 2020 Energy intensive'!$A$5:$AE$33,K$2)</f>
        <v>3.1684773409965041</v>
      </c>
      <c r="L48" s="12">
        <f>K48*VLOOKUP($A48,'EU Ref Sc 2020 Energy intensive'!$A$5:$AE$33,L$2)</f>
        <v>3.1116234870269488</v>
      </c>
      <c r="M48" s="12">
        <f>L48*VLOOKUP($A48,'EU Ref Sc 2020 Energy intensive'!$A$5:$AE$33,M$2)</f>
        <v>3.0547696330573926</v>
      </c>
      <c r="N48" s="12">
        <f>M48*VLOOKUP($A48,'EU Ref Sc 2020 Energy intensive'!$A$5:$AE$33,N$2)</f>
        <v>3.0507455407686046</v>
      </c>
      <c r="O48" s="12">
        <f>N48*VLOOKUP($A48,'EU Ref Sc 2020 Energy intensive'!$A$5:$AE$33,O$2)</f>
        <v>3.0467214484798166</v>
      </c>
      <c r="P48" s="12">
        <f>O48*VLOOKUP($A48,'EU Ref Sc 2020 Energy intensive'!$A$5:$AE$33,P$2)</f>
        <v>3.0426973561910287</v>
      </c>
      <c r="Q48" s="12">
        <f>P48*VLOOKUP($A48,'EU Ref Sc 2020 Energy intensive'!$A$5:$AE$33,Q$2)</f>
        <v>3.0386732639022407</v>
      </c>
      <c r="R48" s="12">
        <f>Q48*VLOOKUP($A48,'EU Ref Sc 2020 Energy intensive'!$A$5:$AE$33,R$2)</f>
        <v>3.0346491716134536</v>
      </c>
      <c r="S48" s="12">
        <f>R48*VLOOKUP($A48,'EU Ref Sc 2020 Energy intensive'!$A$5:$AE$33,S$2)</f>
        <v>3.06065633332432</v>
      </c>
      <c r="T48" s="12">
        <f>S48*VLOOKUP($A48,'EU Ref Sc 2020 Energy intensive'!$A$5:$AE$33,T$2)</f>
        <v>3.0866634950351859</v>
      </c>
      <c r="U48" s="12">
        <f>T48*VLOOKUP($A48,'EU Ref Sc 2020 Energy intensive'!$A$5:$AE$33,U$2)</f>
        <v>3.1126706567460523</v>
      </c>
      <c r="V48" s="12">
        <f>U48*VLOOKUP($A48,'EU Ref Sc 2020 Energy intensive'!$A$5:$AE$33,V$2)</f>
        <v>3.1386778184569182</v>
      </c>
      <c r="W48" s="12">
        <f>V48*VLOOKUP($A48,'EU Ref Sc 2020 Energy intensive'!$A$5:$AE$33,W$2)</f>
        <v>3.1646849801677832</v>
      </c>
      <c r="X48" s="12">
        <f>W48*VLOOKUP($A48,'EU Ref Sc 2020 Energy intensive'!$A$5:$AE$33,X$2)</f>
        <v>3.1707982336373384</v>
      </c>
      <c r="Y48" s="12">
        <f>X48*VLOOKUP($A48,'EU Ref Sc 2020 Energy intensive'!$A$5:$AE$33,Y$2)</f>
        <v>3.176911487106894</v>
      </c>
      <c r="Z48" s="12">
        <f>Y48*VLOOKUP($A48,'EU Ref Sc 2020 Energy intensive'!$A$5:$AE$33,Z$2)</f>
        <v>3.1830247405764491</v>
      </c>
      <c r="AA48" s="12">
        <f>Z48*VLOOKUP($A48,'EU Ref Sc 2020 Energy intensive'!$A$5:$AE$33,AA$2)</f>
        <v>3.1891379940460047</v>
      </c>
      <c r="AB48" s="12">
        <f>AA48*VLOOKUP($A48,'EU Ref Sc 2020 Energy intensive'!$A$5:$AE$33,AB$2)</f>
        <v>3.1952512475155603</v>
      </c>
      <c r="AC48" s="12">
        <f>AB48*VLOOKUP($A48,'EU Ref Sc 2020 Energy intensive'!$A$5:$AE$33,AC$2)</f>
        <v>3.2068251006363093</v>
      </c>
      <c r="AD48" s="12">
        <f>AC48*VLOOKUP($A48,'EU Ref Sc 2020 Energy intensive'!$A$5:$AE$33,AD$2)</f>
        <v>3.2183989537570588</v>
      </c>
      <c r="AE48" s="12">
        <f>AD48*VLOOKUP($A48,'EU Ref Sc 2020 Energy intensive'!$A$5:$AE$33,AE$2)</f>
        <v>3.2299728068778082</v>
      </c>
      <c r="AF48" s="12">
        <f>AE48*VLOOKUP($A48,'EU Ref Sc 2020 Energy intensive'!$A$5:$AE$33,AF$2)</f>
        <v>3.2415466599985576</v>
      </c>
      <c r="AG48" s="12">
        <f>AF48*VLOOKUP($A48,'EU Ref Sc 2020 Energy intensive'!$A$5:$AE$33,AG$2)</f>
        <v>3.2531205131193057</v>
      </c>
      <c r="AH48" s="13">
        <f t="shared" ref="AH48:AQ48" si="46">AG48</f>
        <v>3.2531205131193057</v>
      </c>
      <c r="AI48" s="13">
        <f t="shared" si="46"/>
        <v>3.2531205131193057</v>
      </c>
      <c r="AJ48" s="13">
        <f t="shared" si="46"/>
        <v>3.2531205131193057</v>
      </c>
      <c r="AK48" s="13">
        <f t="shared" si="46"/>
        <v>3.2531205131193057</v>
      </c>
      <c r="AL48" s="13">
        <f t="shared" si="46"/>
        <v>3.2531205131193057</v>
      </c>
      <c r="AM48" s="13">
        <f t="shared" si="46"/>
        <v>3.2531205131193057</v>
      </c>
      <c r="AN48" s="13">
        <f t="shared" si="46"/>
        <v>3.2531205131193057</v>
      </c>
      <c r="AO48" s="13">
        <f t="shared" si="46"/>
        <v>3.2531205131193057</v>
      </c>
      <c r="AP48" s="13">
        <f t="shared" si="46"/>
        <v>3.2531205131193057</v>
      </c>
      <c r="AQ48" s="13">
        <f t="shared" si="46"/>
        <v>3.2531205131193057</v>
      </c>
    </row>
    <row r="49" spans="1:43" x14ac:dyDescent="0.3">
      <c r="A49" t="s">
        <v>1401</v>
      </c>
      <c r="B49" t="s">
        <v>1393</v>
      </c>
      <c r="C49" t="str">
        <f t="shared" si="33"/>
        <v>CZIUEN</v>
      </c>
      <c r="D49" s="2">
        <v>20.911200000000001</v>
      </c>
      <c r="E49" s="12">
        <f>D49*VLOOKUP($A49,'EU Ref Sc 2020 Energy intensive'!$A$5:$AE$33,E$2)</f>
        <v>20.96257121833446</v>
      </c>
      <c r="F49" s="12">
        <f>E49*VLOOKUP($A49,'EU Ref Sc 2020 Energy intensive'!$A$5:$AE$33,F$2)</f>
        <v>21.013942436668923</v>
      </c>
      <c r="G49" s="12">
        <f>F49*VLOOKUP($A49,'EU Ref Sc 2020 Energy intensive'!$A$5:$AE$33,G$2)</f>
        <v>21.065313655003383</v>
      </c>
      <c r="H49" s="12">
        <f>G49*VLOOKUP($A49,'EU Ref Sc 2020 Energy intensive'!$A$5:$AE$33,H$2)</f>
        <v>21.116684873337842</v>
      </c>
      <c r="I49" s="12">
        <f>H49*VLOOKUP($A49,'EU Ref Sc 2020 Energy intensive'!$A$5:$AE$33,I$2)</f>
        <v>20.720569545059902</v>
      </c>
      <c r="J49" s="12">
        <f>I49*VLOOKUP($A49,'EU Ref Sc 2020 Energy intensive'!$A$5:$AE$33,J$2)</f>
        <v>20.324454216781962</v>
      </c>
      <c r="K49" s="12">
        <f>J49*VLOOKUP($A49,'EU Ref Sc 2020 Energy intensive'!$A$5:$AE$33,K$2)</f>
        <v>19.928338888504026</v>
      </c>
      <c r="L49" s="12">
        <f>K49*VLOOKUP($A49,'EU Ref Sc 2020 Energy intensive'!$A$5:$AE$33,L$2)</f>
        <v>19.53222356022609</v>
      </c>
      <c r="M49" s="12">
        <f>L49*VLOOKUP($A49,'EU Ref Sc 2020 Energy intensive'!$A$5:$AE$33,M$2)</f>
        <v>19.136108231948157</v>
      </c>
      <c r="N49" s="12">
        <f>M49*VLOOKUP($A49,'EU Ref Sc 2020 Energy intensive'!$A$5:$AE$33,N$2)</f>
        <v>18.950405069999587</v>
      </c>
      <c r="O49" s="12">
        <f>N49*VLOOKUP($A49,'EU Ref Sc 2020 Energy intensive'!$A$5:$AE$33,O$2)</f>
        <v>18.764701908051016</v>
      </c>
      <c r="P49" s="12">
        <f>O49*VLOOKUP($A49,'EU Ref Sc 2020 Energy intensive'!$A$5:$AE$33,P$2)</f>
        <v>18.578998746102446</v>
      </c>
      <c r="Q49" s="12">
        <f>P49*VLOOKUP($A49,'EU Ref Sc 2020 Energy intensive'!$A$5:$AE$33,Q$2)</f>
        <v>18.393295584153872</v>
      </c>
      <c r="R49" s="12">
        <f>Q49*VLOOKUP($A49,'EU Ref Sc 2020 Energy intensive'!$A$5:$AE$33,R$2)</f>
        <v>18.207592422205305</v>
      </c>
      <c r="S49" s="12">
        <f>R49*VLOOKUP($A49,'EU Ref Sc 2020 Energy intensive'!$A$5:$AE$33,S$2)</f>
        <v>18.091503762072225</v>
      </c>
      <c r="T49" s="12">
        <f>S49*VLOOKUP($A49,'EU Ref Sc 2020 Energy intensive'!$A$5:$AE$33,T$2)</f>
        <v>17.975415101939145</v>
      </c>
      <c r="U49" s="12">
        <f>T49*VLOOKUP($A49,'EU Ref Sc 2020 Energy intensive'!$A$5:$AE$33,U$2)</f>
        <v>17.859326441806065</v>
      </c>
      <c r="V49" s="12">
        <f>U49*VLOOKUP($A49,'EU Ref Sc 2020 Energy intensive'!$A$5:$AE$33,V$2)</f>
        <v>17.743237781672985</v>
      </c>
      <c r="W49" s="12">
        <f>V49*VLOOKUP($A49,'EU Ref Sc 2020 Energy intensive'!$A$5:$AE$33,W$2)</f>
        <v>17.627149121539908</v>
      </c>
      <c r="X49" s="12">
        <f>W49*VLOOKUP($A49,'EU Ref Sc 2020 Energy intensive'!$A$5:$AE$33,X$2)</f>
        <v>17.48317537575938</v>
      </c>
      <c r="Y49" s="12">
        <f>X49*VLOOKUP($A49,'EU Ref Sc 2020 Energy intensive'!$A$5:$AE$33,Y$2)</f>
        <v>17.339201629978852</v>
      </c>
      <c r="Z49" s="12">
        <f>Y49*VLOOKUP($A49,'EU Ref Sc 2020 Energy intensive'!$A$5:$AE$33,Z$2)</f>
        <v>17.195227884198324</v>
      </c>
      <c r="AA49" s="12">
        <f>Z49*VLOOKUP($A49,'EU Ref Sc 2020 Energy intensive'!$A$5:$AE$33,AA$2)</f>
        <v>17.051254138417796</v>
      </c>
      <c r="AB49" s="12">
        <f>AA49*VLOOKUP($A49,'EU Ref Sc 2020 Energy intensive'!$A$5:$AE$33,AB$2)</f>
        <v>16.907280392637265</v>
      </c>
      <c r="AC49" s="12">
        <f>AB49*VLOOKUP($A49,'EU Ref Sc 2020 Energy intensive'!$A$5:$AE$33,AC$2)</f>
        <v>16.822994797485038</v>
      </c>
      <c r="AD49" s="12">
        <f>AC49*VLOOKUP($A49,'EU Ref Sc 2020 Energy intensive'!$A$5:$AE$33,AD$2)</f>
        <v>16.73870920233281</v>
      </c>
      <c r="AE49" s="12">
        <f>AD49*VLOOKUP($A49,'EU Ref Sc 2020 Energy intensive'!$A$5:$AE$33,AE$2)</f>
        <v>16.654423607180583</v>
      </c>
      <c r="AF49" s="12">
        <f>AE49*VLOOKUP($A49,'EU Ref Sc 2020 Energy intensive'!$A$5:$AE$33,AF$2)</f>
        <v>16.570138012028352</v>
      </c>
      <c r="AG49" s="12">
        <f>AF49*VLOOKUP($A49,'EU Ref Sc 2020 Energy intensive'!$A$5:$AE$33,AG$2)</f>
        <v>16.485852416876124</v>
      </c>
      <c r="AH49" s="13">
        <f t="shared" ref="AH49:AQ49" si="47">AG49</f>
        <v>16.485852416876124</v>
      </c>
      <c r="AI49" s="13">
        <f t="shared" si="47"/>
        <v>16.485852416876124</v>
      </c>
      <c r="AJ49" s="13">
        <f t="shared" si="47"/>
        <v>16.485852416876124</v>
      </c>
      <c r="AK49" s="13">
        <f t="shared" si="47"/>
        <v>16.485852416876124</v>
      </c>
      <c r="AL49" s="13">
        <f t="shared" si="47"/>
        <v>16.485852416876124</v>
      </c>
      <c r="AM49" s="13">
        <f t="shared" si="47"/>
        <v>16.485852416876124</v>
      </c>
      <c r="AN49" s="13">
        <f t="shared" si="47"/>
        <v>16.485852416876124</v>
      </c>
      <c r="AO49" s="13">
        <f t="shared" si="47"/>
        <v>16.485852416876124</v>
      </c>
      <c r="AP49" s="13">
        <f t="shared" si="47"/>
        <v>16.485852416876124</v>
      </c>
      <c r="AQ49" s="13">
        <f t="shared" si="47"/>
        <v>16.485852416876124</v>
      </c>
    </row>
    <row r="50" spans="1:43" x14ac:dyDescent="0.3">
      <c r="A50" t="s">
        <v>1402</v>
      </c>
      <c r="B50" t="s">
        <v>1393</v>
      </c>
      <c r="C50" t="str">
        <f t="shared" si="33"/>
        <v>DEIUEN</v>
      </c>
      <c r="D50" s="2">
        <v>144.1343</v>
      </c>
      <c r="E50" s="12">
        <f>D50*VLOOKUP($A50,'EU Ref Sc 2020 Energy intensive'!$A$5:$AE$33,E$2)</f>
        <v>145.04595478355898</v>
      </c>
      <c r="F50" s="12">
        <f>E50*VLOOKUP($A50,'EU Ref Sc 2020 Energy intensive'!$A$5:$AE$33,F$2)</f>
        <v>145.95760956711797</v>
      </c>
      <c r="G50" s="12">
        <f>F50*VLOOKUP($A50,'EU Ref Sc 2020 Energy intensive'!$A$5:$AE$33,G$2)</f>
        <v>146.86926435067696</v>
      </c>
      <c r="H50" s="12">
        <f>G50*VLOOKUP($A50,'EU Ref Sc 2020 Energy intensive'!$A$5:$AE$33,H$2)</f>
        <v>147.78091913423592</v>
      </c>
      <c r="I50" s="12">
        <f>H50*VLOOKUP($A50,'EU Ref Sc 2020 Energy intensive'!$A$5:$AE$33,I$2)</f>
        <v>145.96703618185938</v>
      </c>
      <c r="J50" s="12">
        <f>I50*VLOOKUP($A50,'EU Ref Sc 2020 Energy intensive'!$A$5:$AE$33,J$2)</f>
        <v>144.15315322948285</v>
      </c>
      <c r="K50" s="12">
        <f>J50*VLOOKUP($A50,'EU Ref Sc 2020 Energy intensive'!$A$5:$AE$33,K$2)</f>
        <v>142.33927027710632</v>
      </c>
      <c r="L50" s="12">
        <f>K50*VLOOKUP($A50,'EU Ref Sc 2020 Energy intensive'!$A$5:$AE$33,L$2)</f>
        <v>140.52538732472979</v>
      </c>
      <c r="M50" s="12">
        <f>L50*VLOOKUP($A50,'EU Ref Sc 2020 Energy intensive'!$A$5:$AE$33,M$2)</f>
        <v>138.7115043723532</v>
      </c>
      <c r="N50" s="12">
        <f>M50*VLOOKUP($A50,'EU Ref Sc 2020 Energy intensive'!$A$5:$AE$33,N$2)</f>
        <v>136.21461411591557</v>
      </c>
      <c r="O50" s="12">
        <f>N50*VLOOKUP($A50,'EU Ref Sc 2020 Energy intensive'!$A$5:$AE$33,O$2)</f>
        <v>133.71772385947793</v>
      </c>
      <c r="P50" s="12">
        <f>O50*VLOOKUP($A50,'EU Ref Sc 2020 Energy intensive'!$A$5:$AE$33,P$2)</f>
        <v>131.22083360304029</v>
      </c>
      <c r="Q50" s="12">
        <f>P50*VLOOKUP($A50,'EU Ref Sc 2020 Energy intensive'!$A$5:$AE$33,Q$2)</f>
        <v>128.72394334660265</v>
      </c>
      <c r="R50" s="12">
        <f>Q50*VLOOKUP($A50,'EU Ref Sc 2020 Energy intensive'!$A$5:$AE$33,R$2)</f>
        <v>126.22705309016503</v>
      </c>
      <c r="S50" s="12">
        <f>R50*VLOOKUP($A50,'EU Ref Sc 2020 Energy intensive'!$A$5:$AE$33,S$2)</f>
        <v>125.0002627475954</v>
      </c>
      <c r="T50" s="12">
        <f>S50*VLOOKUP($A50,'EU Ref Sc 2020 Energy intensive'!$A$5:$AE$33,T$2)</f>
        <v>123.77347240502577</v>
      </c>
      <c r="U50" s="12">
        <f>T50*VLOOKUP($A50,'EU Ref Sc 2020 Energy intensive'!$A$5:$AE$33,U$2)</f>
        <v>122.54668206245616</v>
      </c>
      <c r="V50" s="12">
        <f>U50*VLOOKUP($A50,'EU Ref Sc 2020 Energy intensive'!$A$5:$AE$33,V$2)</f>
        <v>121.31989171988653</v>
      </c>
      <c r="W50" s="12">
        <f>V50*VLOOKUP($A50,'EU Ref Sc 2020 Energy intensive'!$A$5:$AE$33,W$2)</f>
        <v>120.09310137731687</v>
      </c>
      <c r="X50" s="12">
        <f>W50*VLOOKUP($A50,'EU Ref Sc 2020 Energy intensive'!$A$5:$AE$33,X$2)</f>
        <v>119.44620257722336</v>
      </c>
      <c r="Y50" s="12">
        <f>X50*VLOOKUP($A50,'EU Ref Sc 2020 Energy intensive'!$A$5:$AE$33,Y$2)</f>
        <v>118.79930377712985</v>
      </c>
      <c r="Z50" s="12">
        <f>Y50*VLOOKUP($A50,'EU Ref Sc 2020 Energy intensive'!$A$5:$AE$33,Z$2)</f>
        <v>118.15240497703635</v>
      </c>
      <c r="AA50" s="12">
        <f>Z50*VLOOKUP($A50,'EU Ref Sc 2020 Energy intensive'!$A$5:$AE$33,AA$2)</f>
        <v>117.50550617694284</v>
      </c>
      <c r="AB50" s="12">
        <f>AA50*VLOOKUP($A50,'EU Ref Sc 2020 Energy intensive'!$A$5:$AE$33,AB$2)</f>
        <v>116.85860737684931</v>
      </c>
      <c r="AC50" s="12">
        <f>AB50*VLOOKUP($A50,'EU Ref Sc 2020 Energy intensive'!$A$5:$AE$33,AC$2)</f>
        <v>116.38985892003959</v>
      </c>
      <c r="AD50" s="12">
        <f>AC50*VLOOKUP($A50,'EU Ref Sc 2020 Energy intensive'!$A$5:$AE$33,AD$2)</f>
        <v>115.92111046322987</v>
      </c>
      <c r="AE50" s="12">
        <f>AD50*VLOOKUP($A50,'EU Ref Sc 2020 Energy intensive'!$A$5:$AE$33,AE$2)</f>
        <v>115.45236200642016</v>
      </c>
      <c r="AF50" s="12">
        <f>AE50*VLOOKUP($A50,'EU Ref Sc 2020 Energy intensive'!$A$5:$AE$33,AF$2)</f>
        <v>114.98361354961044</v>
      </c>
      <c r="AG50" s="12">
        <f>AF50*VLOOKUP($A50,'EU Ref Sc 2020 Energy intensive'!$A$5:$AE$33,AG$2)</f>
        <v>114.5148650928007</v>
      </c>
      <c r="AH50" s="13">
        <f t="shared" ref="AH50:AQ50" si="48">AG50</f>
        <v>114.5148650928007</v>
      </c>
      <c r="AI50" s="13">
        <f t="shared" si="48"/>
        <v>114.5148650928007</v>
      </c>
      <c r="AJ50" s="13">
        <f t="shared" si="48"/>
        <v>114.5148650928007</v>
      </c>
      <c r="AK50" s="13">
        <f t="shared" si="48"/>
        <v>114.5148650928007</v>
      </c>
      <c r="AL50" s="13">
        <f t="shared" si="48"/>
        <v>114.5148650928007</v>
      </c>
      <c r="AM50" s="13">
        <f t="shared" si="48"/>
        <v>114.5148650928007</v>
      </c>
      <c r="AN50" s="13">
        <f t="shared" si="48"/>
        <v>114.5148650928007</v>
      </c>
      <c r="AO50" s="13">
        <f t="shared" si="48"/>
        <v>114.5148650928007</v>
      </c>
      <c r="AP50" s="13">
        <f t="shared" si="48"/>
        <v>114.5148650928007</v>
      </c>
      <c r="AQ50" s="13">
        <f t="shared" si="48"/>
        <v>114.5148650928007</v>
      </c>
    </row>
    <row r="51" spans="1:43" x14ac:dyDescent="0.3">
      <c r="A51" t="s">
        <v>1403</v>
      </c>
      <c r="B51" t="s">
        <v>1393</v>
      </c>
      <c r="C51" t="str">
        <f t="shared" si="33"/>
        <v>DKIUEN</v>
      </c>
      <c r="D51" s="2">
        <v>12.186500000000001</v>
      </c>
      <c r="E51" s="12">
        <f>D51*VLOOKUP($A51,'EU Ref Sc 2020 Energy intensive'!$A$5:$AE$33,E$2)</f>
        <v>12.402920170207326</v>
      </c>
      <c r="F51" s="12">
        <f>E51*VLOOKUP($A51,'EU Ref Sc 2020 Energy intensive'!$A$5:$AE$33,F$2)</f>
        <v>12.619340340414649</v>
      </c>
      <c r="G51" s="12">
        <f>F51*VLOOKUP($A51,'EU Ref Sc 2020 Energy intensive'!$A$5:$AE$33,G$2)</f>
        <v>12.835760510621972</v>
      </c>
      <c r="H51" s="12">
        <f>G51*VLOOKUP($A51,'EU Ref Sc 2020 Energy intensive'!$A$5:$AE$33,H$2)</f>
        <v>13.052180680829299</v>
      </c>
      <c r="I51" s="12">
        <f>H51*VLOOKUP($A51,'EU Ref Sc 2020 Energy intensive'!$A$5:$AE$33,I$2)</f>
        <v>13.105018547431406</v>
      </c>
      <c r="J51" s="12">
        <f>I51*VLOOKUP($A51,'EU Ref Sc 2020 Energy intensive'!$A$5:$AE$33,J$2)</f>
        <v>13.157856414033516</v>
      </c>
      <c r="K51" s="12">
        <f>J51*VLOOKUP($A51,'EU Ref Sc 2020 Energy intensive'!$A$5:$AE$33,K$2)</f>
        <v>13.210694280635625</v>
      </c>
      <c r="L51" s="12">
        <f>K51*VLOOKUP($A51,'EU Ref Sc 2020 Energy intensive'!$A$5:$AE$33,L$2)</f>
        <v>13.263532147237733</v>
      </c>
      <c r="M51" s="12">
        <f>L51*VLOOKUP($A51,'EU Ref Sc 2020 Energy intensive'!$A$5:$AE$33,M$2)</f>
        <v>13.316370013839839</v>
      </c>
      <c r="N51" s="12">
        <f>M51*VLOOKUP($A51,'EU Ref Sc 2020 Energy intensive'!$A$5:$AE$33,N$2)</f>
        <v>13.046234251776539</v>
      </c>
      <c r="O51" s="12">
        <f>N51*VLOOKUP($A51,'EU Ref Sc 2020 Energy intensive'!$A$5:$AE$33,O$2)</f>
        <v>12.77609848971324</v>
      </c>
      <c r="P51" s="12">
        <f>O51*VLOOKUP($A51,'EU Ref Sc 2020 Energy intensive'!$A$5:$AE$33,P$2)</f>
        <v>12.505962727649941</v>
      </c>
      <c r="Q51" s="12">
        <f>P51*VLOOKUP($A51,'EU Ref Sc 2020 Energy intensive'!$A$5:$AE$33,Q$2)</f>
        <v>12.235826965586641</v>
      </c>
      <c r="R51" s="12">
        <f>Q51*VLOOKUP($A51,'EU Ref Sc 2020 Energy intensive'!$A$5:$AE$33,R$2)</f>
        <v>11.965691203523338</v>
      </c>
      <c r="S51" s="12">
        <f>R51*VLOOKUP($A51,'EU Ref Sc 2020 Energy intensive'!$A$5:$AE$33,S$2)</f>
        <v>12.200315721685268</v>
      </c>
      <c r="T51" s="12">
        <f>S51*VLOOKUP($A51,'EU Ref Sc 2020 Energy intensive'!$A$5:$AE$33,T$2)</f>
        <v>12.434940239847197</v>
      </c>
      <c r="U51" s="12">
        <f>T51*VLOOKUP($A51,'EU Ref Sc 2020 Energy intensive'!$A$5:$AE$33,U$2)</f>
        <v>12.669564758009125</v>
      </c>
      <c r="V51" s="12">
        <f>U51*VLOOKUP($A51,'EU Ref Sc 2020 Energy intensive'!$A$5:$AE$33,V$2)</f>
        <v>12.904189276171056</v>
      </c>
      <c r="W51" s="12">
        <f>V51*VLOOKUP($A51,'EU Ref Sc 2020 Energy intensive'!$A$5:$AE$33,W$2)</f>
        <v>13.138813794332982</v>
      </c>
      <c r="X51" s="12">
        <f>W51*VLOOKUP($A51,'EU Ref Sc 2020 Energy intensive'!$A$5:$AE$33,X$2)</f>
        <v>13.045004086549481</v>
      </c>
      <c r="Y51" s="12">
        <f>X51*VLOOKUP($A51,'EU Ref Sc 2020 Energy intensive'!$A$5:$AE$33,Y$2)</f>
        <v>12.95119437876598</v>
      </c>
      <c r="Z51" s="12">
        <f>Y51*VLOOKUP($A51,'EU Ref Sc 2020 Energy intensive'!$A$5:$AE$33,Z$2)</f>
        <v>12.857384670982478</v>
      </c>
      <c r="AA51" s="12">
        <f>Z51*VLOOKUP($A51,'EU Ref Sc 2020 Energy intensive'!$A$5:$AE$33,AA$2)</f>
        <v>12.763574963198977</v>
      </c>
      <c r="AB51" s="12">
        <f>AA51*VLOOKUP($A51,'EU Ref Sc 2020 Energy intensive'!$A$5:$AE$33,AB$2)</f>
        <v>12.669765255415477</v>
      </c>
      <c r="AC51" s="12">
        <f>AB51*VLOOKUP($A51,'EU Ref Sc 2020 Energy intensive'!$A$5:$AE$33,AC$2)</f>
        <v>12.706485074282147</v>
      </c>
      <c r="AD51" s="12">
        <f>AC51*VLOOKUP($A51,'EU Ref Sc 2020 Energy intensive'!$A$5:$AE$33,AD$2)</f>
        <v>12.743204893148819</v>
      </c>
      <c r="AE51" s="12">
        <f>AD51*VLOOKUP($A51,'EU Ref Sc 2020 Energy intensive'!$A$5:$AE$33,AE$2)</f>
        <v>12.779924712015491</v>
      </c>
      <c r="AF51" s="12">
        <f>AE51*VLOOKUP($A51,'EU Ref Sc 2020 Energy intensive'!$A$5:$AE$33,AF$2)</f>
        <v>12.816644530882161</v>
      </c>
      <c r="AG51" s="12">
        <f>AF51*VLOOKUP($A51,'EU Ref Sc 2020 Energy intensive'!$A$5:$AE$33,AG$2)</f>
        <v>12.853364349748835</v>
      </c>
      <c r="AH51" s="13">
        <f t="shared" ref="AH51:AQ51" si="49">AG51</f>
        <v>12.853364349748835</v>
      </c>
      <c r="AI51" s="13">
        <f t="shared" si="49"/>
        <v>12.853364349748835</v>
      </c>
      <c r="AJ51" s="13">
        <f t="shared" si="49"/>
        <v>12.853364349748835</v>
      </c>
      <c r="AK51" s="13">
        <f t="shared" si="49"/>
        <v>12.853364349748835</v>
      </c>
      <c r="AL51" s="13">
        <f t="shared" si="49"/>
        <v>12.853364349748835</v>
      </c>
      <c r="AM51" s="13">
        <f t="shared" si="49"/>
        <v>12.853364349748835</v>
      </c>
      <c r="AN51" s="13">
        <f t="shared" si="49"/>
        <v>12.853364349748835</v>
      </c>
      <c r="AO51" s="13">
        <f t="shared" si="49"/>
        <v>12.853364349748835</v>
      </c>
      <c r="AP51" s="13">
        <f t="shared" si="49"/>
        <v>12.853364349748835</v>
      </c>
      <c r="AQ51" s="13">
        <f t="shared" si="49"/>
        <v>12.853364349748835</v>
      </c>
    </row>
    <row r="52" spans="1:43" x14ac:dyDescent="0.3">
      <c r="A52" t="s">
        <v>1408</v>
      </c>
      <c r="B52" t="s">
        <v>1393</v>
      </c>
      <c r="C52" t="str">
        <f t="shared" si="33"/>
        <v>ESIUEN</v>
      </c>
      <c r="D52" s="2">
        <v>84.695400000000006</v>
      </c>
      <c r="E52" s="12">
        <f>D52*VLOOKUP($A52,'EU Ref Sc 2020 Energy intensive'!$A$5:$AE$33,E$2)</f>
        <v>88.590170567716669</v>
      </c>
      <c r="F52" s="12">
        <f>E52*VLOOKUP($A52,'EU Ref Sc 2020 Energy intensive'!$A$5:$AE$33,F$2)</f>
        <v>92.484941135433345</v>
      </c>
      <c r="G52" s="12">
        <f>F52*VLOOKUP($A52,'EU Ref Sc 2020 Energy intensive'!$A$5:$AE$33,G$2)</f>
        <v>96.379711703150008</v>
      </c>
      <c r="H52" s="12">
        <f>G52*VLOOKUP($A52,'EU Ref Sc 2020 Energy intensive'!$A$5:$AE$33,H$2)</f>
        <v>100.27448227086667</v>
      </c>
      <c r="I52" s="12">
        <f>H52*VLOOKUP($A52,'EU Ref Sc 2020 Energy intensive'!$A$5:$AE$33,I$2)</f>
        <v>100.7733551827173</v>
      </c>
      <c r="J52" s="12">
        <f>I52*VLOOKUP($A52,'EU Ref Sc 2020 Energy intensive'!$A$5:$AE$33,J$2)</f>
        <v>101.27222809456794</v>
      </c>
      <c r="K52" s="12">
        <f>J52*VLOOKUP($A52,'EU Ref Sc 2020 Energy intensive'!$A$5:$AE$33,K$2)</f>
        <v>101.77110100641858</v>
      </c>
      <c r="L52" s="12">
        <f>K52*VLOOKUP($A52,'EU Ref Sc 2020 Energy intensive'!$A$5:$AE$33,L$2)</f>
        <v>102.2699739182692</v>
      </c>
      <c r="M52" s="12">
        <f>L52*VLOOKUP($A52,'EU Ref Sc 2020 Energy intensive'!$A$5:$AE$33,M$2)</f>
        <v>102.76884683011986</v>
      </c>
      <c r="N52" s="12">
        <f>M52*VLOOKUP($A52,'EU Ref Sc 2020 Energy intensive'!$A$5:$AE$33,N$2)</f>
        <v>100.58797569716427</v>
      </c>
      <c r="O52" s="12">
        <f>N52*VLOOKUP($A52,'EU Ref Sc 2020 Energy intensive'!$A$5:$AE$33,O$2)</f>
        <v>98.40710456420868</v>
      </c>
      <c r="P52" s="12">
        <f>O52*VLOOKUP($A52,'EU Ref Sc 2020 Energy intensive'!$A$5:$AE$33,P$2)</f>
        <v>96.226233431253092</v>
      </c>
      <c r="Q52" s="12">
        <f>P52*VLOOKUP($A52,'EU Ref Sc 2020 Energy intensive'!$A$5:$AE$33,Q$2)</f>
        <v>94.045362298297505</v>
      </c>
      <c r="R52" s="12">
        <f>Q52*VLOOKUP($A52,'EU Ref Sc 2020 Energy intensive'!$A$5:$AE$33,R$2)</f>
        <v>91.864491165341903</v>
      </c>
      <c r="S52" s="12">
        <f>R52*VLOOKUP($A52,'EU Ref Sc 2020 Energy intensive'!$A$5:$AE$33,S$2)</f>
        <v>91.126426992144957</v>
      </c>
      <c r="T52" s="12">
        <f>S52*VLOOKUP($A52,'EU Ref Sc 2020 Energy intensive'!$A$5:$AE$33,T$2)</f>
        <v>90.388362818948025</v>
      </c>
      <c r="U52" s="12">
        <f>T52*VLOOKUP($A52,'EU Ref Sc 2020 Energy intensive'!$A$5:$AE$33,U$2)</f>
        <v>89.650298645751093</v>
      </c>
      <c r="V52" s="12">
        <f>U52*VLOOKUP($A52,'EU Ref Sc 2020 Energy intensive'!$A$5:$AE$33,V$2)</f>
        <v>88.912234472554147</v>
      </c>
      <c r="W52" s="12">
        <f>V52*VLOOKUP($A52,'EU Ref Sc 2020 Energy intensive'!$A$5:$AE$33,W$2)</f>
        <v>88.174170299357201</v>
      </c>
      <c r="X52" s="12">
        <f>W52*VLOOKUP($A52,'EU Ref Sc 2020 Energy intensive'!$A$5:$AE$33,X$2)</f>
        <v>87.538851970792365</v>
      </c>
      <c r="Y52" s="12">
        <f>X52*VLOOKUP($A52,'EU Ref Sc 2020 Energy intensive'!$A$5:$AE$33,Y$2)</f>
        <v>86.903533642227529</v>
      </c>
      <c r="Z52" s="12">
        <f>Y52*VLOOKUP($A52,'EU Ref Sc 2020 Energy intensive'!$A$5:$AE$33,Z$2)</f>
        <v>86.268215313662694</v>
      </c>
      <c r="AA52" s="12">
        <f>Z52*VLOOKUP($A52,'EU Ref Sc 2020 Energy intensive'!$A$5:$AE$33,AA$2)</f>
        <v>85.632896985097844</v>
      </c>
      <c r="AB52" s="12">
        <f>AA52*VLOOKUP($A52,'EU Ref Sc 2020 Energy intensive'!$A$5:$AE$33,AB$2)</f>
        <v>84.997578656533008</v>
      </c>
      <c r="AC52" s="12">
        <f>AB52*VLOOKUP($A52,'EU Ref Sc 2020 Energy intensive'!$A$5:$AE$33,AC$2)</f>
        <v>84.81354474170071</v>
      </c>
      <c r="AD52" s="12">
        <f>AC52*VLOOKUP($A52,'EU Ref Sc 2020 Energy intensive'!$A$5:$AE$33,AD$2)</f>
        <v>84.629510826868412</v>
      </c>
      <c r="AE52" s="12">
        <f>AD52*VLOOKUP($A52,'EU Ref Sc 2020 Energy intensive'!$A$5:$AE$33,AE$2)</f>
        <v>84.445476912036128</v>
      </c>
      <c r="AF52" s="12">
        <f>AE52*VLOOKUP($A52,'EU Ref Sc 2020 Energy intensive'!$A$5:$AE$33,AF$2)</f>
        <v>84.261442997203829</v>
      </c>
      <c r="AG52" s="12">
        <f>AF52*VLOOKUP($A52,'EU Ref Sc 2020 Energy intensive'!$A$5:$AE$33,AG$2)</f>
        <v>84.07740908237156</v>
      </c>
      <c r="AH52" s="13">
        <f t="shared" ref="AH52:AQ52" si="50">AG52</f>
        <v>84.07740908237156</v>
      </c>
      <c r="AI52" s="13">
        <f t="shared" si="50"/>
        <v>84.07740908237156</v>
      </c>
      <c r="AJ52" s="13">
        <f t="shared" si="50"/>
        <v>84.07740908237156</v>
      </c>
      <c r="AK52" s="13">
        <f t="shared" si="50"/>
        <v>84.07740908237156</v>
      </c>
      <c r="AL52" s="13">
        <f t="shared" si="50"/>
        <v>84.07740908237156</v>
      </c>
      <c r="AM52" s="13">
        <f t="shared" si="50"/>
        <v>84.07740908237156</v>
      </c>
      <c r="AN52" s="13">
        <f t="shared" si="50"/>
        <v>84.07740908237156</v>
      </c>
      <c r="AO52" s="13">
        <f t="shared" si="50"/>
        <v>84.07740908237156</v>
      </c>
      <c r="AP52" s="13">
        <f t="shared" si="50"/>
        <v>84.07740908237156</v>
      </c>
      <c r="AQ52" s="13">
        <f t="shared" si="50"/>
        <v>84.07740908237156</v>
      </c>
    </row>
    <row r="53" spans="1:43" x14ac:dyDescent="0.3">
      <c r="A53" t="s">
        <v>1410</v>
      </c>
      <c r="B53" t="s">
        <v>1393</v>
      </c>
      <c r="C53" t="str">
        <f t="shared" si="33"/>
        <v>FRIUEN</v>
      </c>
      <c r="D53" s="2">
        <v>89.661100000000019</v>
      </c>
      <c r="E53" s="12">
        <f>D53*VLOOKUP($A53,'EU Ref Sc 2020 Energy intensive'!$A$5:$AE$33,E$2)</f>
        <v>93.78422136608485</v>
      </c>
      <c r="F53" s="12">
        <f>E53*VLOOKUP($A53,'EU Ref Sc 2020 Energy intensive'!$A$5:$AE$33,F$2)</f>
        <v>97.907342732169681</v>
      </c>
      <c r="G53" s="12">
        <f>F53*VLOOKUP($A53,'EU Ref Sc 2020 Energy intensive'!$A$5:$AE$33,G$2)</f>
        <v>102.0304640982545</v>
      </c>
      <c r="H53" s="12">
        <f>G53*VLOOKUP($A53,'EU Ref Sc 2020 Energy intensive'!$A$5:$AE$33,H$2)</f>
        <v>106.15358546433933</v>
      </c>
      <c r="I53" s="12">
        <f>H53*VLOOKUP($A53,'EU Ref Sc 2020 Energy intensive'!$A$5:$AE$33,I$2)</f>
        <v>106.68170734624474</v>
      </c>
      <c r="J53" s="12">
        <f>I53*VLOOKUP($A53,'EU Ref Sc 2020 Energy intensive'!$A$5:$AE$33,J$2)</f>
        <v>107.20982922815014</v>
      </c>
      <c r="K53" s="12">
        <f>J53*VLOOKUP($A53,'EU Ref Sc 2020 Energy intensive'!$A$5:$AE$33,K$2)</f>
        <v>107.73795111005555</v>
      </c>
      <c r="L53" s="12">
        <f>K53*VLOOKUP($A53,'EU Ref Sc 2020 Energy intensive'!$A$5:$AE$33,L$2)</f>
        <v>108.26607299196094</v>
      </c>
      <c r="M53" s="12">
        <f>L53*VLOOKUP($A53,'EU Ref Sc 2020 Energy intensive'!$A$5:$AE$33,M$2)</f>
        <v>108.79419487386636</v>
      </c>
      <c r="N53" s="12">
        <f>M53*VLOOKUP($A53,'EU Ref Sc 2020 Energy intensive'!$A$5:$AE$33,N$2)</f>
        <v>106.48545904241573</v>
      </c>
      <c r="O53" s="12">
        <f>N53*VLOOKUP($A53,'EU Ref Sc 2020 Energy intensive'!$A$5:$AE$33,O$2)</f>
        <v>104.17672321096509</v>
      </c>
      <c r="P53" s="12">
        <f>O53*VLOOKUP($A53,'EU Ref Sc 2020 Energy intensive'!$A$5:$AE$33,P$2)</f>
        <v>101.86798737951446</v>
      </c>
      <c r="Q53" s="12">
        <f>P53*VLOOKUP($A53,'EU Ref Sc 2020 Energy intensive'!$A$5:$AE$33,Q$2)</f>
        <v>99.559251548063827</v>
      </c>
      <c r="R53" s="12">
        <f>Q53*VLOOKUP($A53,'EU Ref Sc 2020 Energy intensive'!$A$5:$AE$33,R$2)</f>
        <v>97.25051571661318</v>
      </c>
      <c r="S53" s="12">
        <f>R53*VLOOKUP($A53,'EU Ref Sc 2020 Energy intensive'!$A$5:$AE$33,S$2)</f>
        <v>96.469178765144406</v>
      </c>
      <c r="T53" s="12">
        <f>S53*VLOOKUP($A53,'EU Ref Sc 2020 Energy intensive'!$A$5:$AE$33,T$2)</f>
        <v>95.687841813675632</v>
      </c>
      <c r="U53" s="12">
        <f>T53*VLOOKUP($A53,'EU Ref Sc 2020 Energy intensive'!$A$5:$AE$33,U$2)</f>
        <v>94.906504862206859</v>
      </c>
      <c r="V53" s="12">
        <f>U53*VLOOKUP($A53,'EU Ref Sc 2020 Energy intensive'!$A$5:$AE$33,V$2)</f>
        <v>94.125167910738085</v>
      </c>
      <c r="W53" s="12">
        <f>V53*VLOOKUP($A53,'EU Ref Sc 2020 Energy intensive'!$A$5:$AE$33,W$2)</f>
        <v>93.343830959269312</v>
      </c>
      <c r="X53" s="12">
        <f>W53*VLOOKUP($A53,'EU Ref Sc 2020 Energy intensive'!$A$5:$AE$33,X$2)</f>
        <v>92.671263851855159</v>
      </c>
      <c r="Y53" s="12">
        <f>X53*VLOOKUP($A53,'EU Ref Sc 2020 Energy intensive'!$A$5:$AE$33,Y$2)</f>
        <v>91.998696744441006</v>
      </c>
      <c r="Z53" s="12">
        <f>Y53*VLOOKUP($A53,'EU Ref Sc 2020 Energy intensive'!$A$5:$AE$33,Z$2)</f>
        <v>91.326129637026852</v>
      </c>
      <c r="AA53" s="12">
        <f>Z53*VLOOKUP($A53,'EU Ref Sc 2020 Energy intensive'!$A$5:$AE$33,AA$2)</f>
        <v>90.653562529612685</v>
      </c>
      <c r="AB53" s="12">
        <f>AA53*VLOOKUP($A53,'EU Ref Sc 2020 Energy intensive'!$A$5:$AE$33,AB$2)</f>
        <v>89.980995422198532</v>
      </c>
      <c r="AC53" s="12">
        <f>AB53*VLOOKUP($A53,'EU Ref Sc 2020 Energy intensive'!$A$5:$AE$33,AC$2)</f>
        <v>89.786171580039806</v>
      </c>
      <c r="AD53" s="12">
        <f>AC53*VLOOKUP($A53,'EU Ref Sc 2020 Energy intensive'!$A$5:$AE$33,AD$2)</f>
        <v>89.59134773788108</v>
      </c>
      <c r="AE53" s="12">
        <f>AD53*VLOOKUP($A53,'EU Ref Sc 2020 Energy intensive'!$A$5:$AE$33,AE$2)</f>
        <v>89.396523895722368</v>
      </c>
      <c r="AF53" s="12">
        <f>AE53*VLOOKUP($A53,'EU Ref Sc 2020 Energy intensive'!$A$5:$AE$33,AF$2)</f>
        <v>89.201700053563641</v>
      </c>
      <c r="AG53" s="12">
        <f>AF53*VLOOKUP($A53,'EU Ref Sc 2020 Energy intensive'!$A$5:$AE$33,AG$2)</f>
        <v>89.006876211404943</v>
      </c>
      <c r="AH53" s="13">
        <f t="shared" ref="AH53:AQ53" si="51">AG53</f>
        <v>89.006876211404943</v>
      </c>
      <c r="AI53" s="13">
        <f t="shared" si="51"/>
        <v>89.006876211404943</v>
      </c>
      <c r="AJ53" s="13">
        <f t="shared" si="51"/>
        <v>89.006876211404943</v>
      </c>
      <c r="AK53" s="13">
        <f t="shared" si="51"/>
        <v>89.006876211404943</v>
      </c>
      <c r="AL53" s="13">
        <f t="shared" si="51"/>
        <v>89.006876211404943</v>
      </c>
      <c r="AM53" s="13">
        <f t="shared" si="51"/>
        <v>89.006876211404943</v>
      </c>
      <c r="AN53" s="13">
        <f t="shared" si="51"/>
        <v>89.006876211404943</v>
      </c>
      <c r="AO53" s="13">
        <f t="shared" si="51"/>
        <v>89.006876211404943</v>
      </c>
      <c r="AP53" s="13">
        <f t="shared" si="51"/>
        <v>89.006876211404943</v>
      </c>
      <c r="AQ53" s="13">
        <f t="shared" si="51"/>
        <v>89.006876211404943</v>
      </c>
    </row>
    <row r="54" spans="1:43" x14ac:dyDescent="0.3">
      <c r="A54" t="s">
        <v>1407</v>
      </c>
      <c r="B54" t="s">
        <v>1393</v>
      </c>
      <c r="C54" t="str">
        <f t="shared" si="33"/>
        <v>GRIUEN</v>
      </c>
      <c r="D54" s="2">
        <v>13.411799999999999</v>
      </c>
      <c r="E54" s="12">
        <f>D54*VLOOKUP($A54,'EU Ref Sc 2020 Energy intensive'!$A$5:$AE$33,E$2)</f>
        <v>13.894408925905687</v>
      </c>
      <c r="F54" s="12">
        <f>E54*VLOOKUP($A54,'EU Ref Sc 2020 Energy intensive'!$A$5:$AE$33,F$2)</f>
        <v>14.377017851811374</v>
      </c>
      <c r="G54" s="12">
        <f>F54*VLOOKUP($A54,'EU Ref Sc 2020 Energy intensive'!$A$5:$AE$33,G$2)</f>
        <v>14.859626777717063</v>
      </c>
      <c r="H54" s="12">
        <f>G54*VLOOKUP($A54,'EU Ref Sc 2020 Energy intensive'!$A$5:$AE$33,H$2)</f>
        <v>15.34223570362275</v>
      </c>
      <c r="I54" s="12">
        <f>H54*VLOOKUP($A54,'EU Ref Sc 2020 Energy intensive'!$A$5:$AE$33,I$2)</f>
        <v>15.239054597558912</v>
      </c>
      <c r="J54" s="12">
        <f>I54*VLOOKUP($A54,'EU Ref Sc 2020 Energy intensive'!$A$5:$AE$33,J$2)</f>
        <v>15.135873491495072</v>
      </c>
      <c r="K54" s="12">
        <f>J54*VLOOKUP($A54,'EU Ref Sc 2020 Energy intensive'!$A$5:$AE$33,K$2)</f>
        <v>15.032692385431233</v>
      </c>
      <c r="L54" s="12">
        <f>K54*VLOOKUP($A54,'EU Ref Sc 2020 Energy intensive'!$A$5:$AE$33,L$2)</f>
        <v>14.929511279367395</v>
      </c>
      <c r="M54" s="12">
        <f>L54*VLOOKUP($A54,'EU Ref Sc 2020 Energy intensive'!$A$5:$AE$33,M$2)</f>
        <v>14.826330173303555</v>
      </c>
      <c r="N54" s="12">
        <f>M54*VLOOKUP($A54,'EU Ref Sc 2020 Energy intensive'!$A$5:$AE$33,N$2)</f>
        <v>14.72874158862567</v>
      </c>
      <c r="O54" s="12">
        <f>N54*VLOOKUP($A54,'EU Ref Sc 2020 Energy intensive'!$A$5:$AE$33,O$2)</f>
        <v>14.631153003947786</v>
      </c>
      <c r="P54" s="12">
        <f>O54*VLOOKUP($A54,'EU Ref Sc 2020 Energy intensive'!$A$5:$AE$33,P$2)</f>
        <v>14.533564419269901</v>
      </c>
      <c r="Q54" s="12">
        <f>P54*VLOOKUP($A54,'EU Ref Sc 2020 Energy intensive'!$A$5:$AE$33,Q$2)</f>
        <v>14.435975834592018</v>
      </c>
      <c r="R54" s="12">
        <f>Q54*VLOOKUP($A54,'EU Ref Sc 2020 Energy intensive'!$A$5:$AE$33,R$2)</f>
        <v>14.338387249914131</v>
      </c>
      <c r="S54" s="12">
        <f>R54*VLOOKUP($A54,'EU Ref Sc 2020 Energy intensive'!$A$5:$AE$33,S$2)</f>
        <v>14.280275626306956</v>
      </c>
      <c r="T54" s="12">
        <f>S54*VLOOKUP($A54,'EU Ref Sc 2020 Energy intensive'!$A$5:$AE$33,T$2)</f>
        <v>14.222164002699781</v>
      </c>
      <c r="U54" s="12">
        <f>T54*VLOOKUP($A54,'EU Ref Sc 2020 Energy intensive'!$A$5:$AE$33,U$2)</f>
        <v>14.164052379092606</v>
      </c>
      <c r="V54" s="12">
        <f>U54*VLOOKUP($A54,'EU Ref Sc 2020 Energy intensive'!$A$5:$AE$33,V$2)</f>
        <v>14.105940755485431</v>
      </c>
      <c r="W54" s="12">
        <f>V54*VLOOKUP($A54,'EU Ref Sc 2020 Energy intensive'!$A$5:$AE$33,W$2)</f>
        <v>14.047829131878254</v>
      </c>
      <c r="X54" s="12">
        <f>W54*VLOOKUP($A54,'EU Ref Sc 2020 Energy intensive'!$A$5:$AE$33,X$2)</f>
        <v>14.077859847302623</v>
      </c>
      <c r="Y54" s="12">
        <f>X54*VLOOKUP($A54,'EU Ref Sc 2020 Energy intensive'!$A$5:$AE$33,Y$2)</f>
        <v>14.10789056272699</v>
      </c>
      <c r="Z54" s="12">
        <f>Y54*VLOOKUP($A54,'EU Ref Sc 2020 Energy intensive'!$A$5:$AE$33,Z$2)</f>
        <v>14.137921278151358</v>
      </c>
      <c r="AA54" s="12">
        <f>Z54*VLOOKUP($A54,'EU Ref Sc 2020 Energy intensive'!$A$5:$AE$33,AA$2)</f>
        <v>14.167951993575727</v>
      </c>
      <c r="AB54" s="12">
        <f>AA54*VLOOKUP($A54,'EU Ref Sc 2020 Energy intensive'!$A$5:$AE$33,AB$2)</f>
        <v>14.197982709000092</v>
      </c>
      <c r="AC54" s="12">
        <f>AB54*VLOOKUP($A54,'EU Ref Sc 2020 Energy intensive'!$A$5:$AE$33,AC$2)</f>
        <v>14.138498088178336</v>
      </c>
      <c r="AD54" s="12">
        <f>AC54*VLOOKUP($A54,'EU Ref Sc 2020 Energy intensive'!$A$5:$AE$33,AD$2)</f>
        <v>14.079013467356578</v>
      </c>
      <c r="AE54" s="12">
        <f>AD54*VLOOKUP($A54,'EU Ref Sc 2020 Energy intensive'!$A$5:$AE$33,AE$2)</f>
        <v>14.019528846534822</v>
      </c>
      <c r="AF54" s="12">
        <f>AE54*VLOOKUP($A54,'EU Ref Sc 2020 Energy intensive'!$A$5:$AE$33,AF$2)</f>
        <v>13.960044225713064</v>
      </c>
      <c r="AG54" s="12">
        <f>AF54*VLOOKUP($A54,'EU Ref Sc 2020 Energy intensive'!$A$5:$AE$33,AG$2)</f>
        <v>13.90055960489131</v>
      </c>
      <c r="AH54" s="13">
        <f t="shared" ref="AH54:AQ54" si="52">AG54</f>
        <v>13.90055960489131</v>
      </c>
      <c r="AI54" s="13">
        <f t="shared" si="52"/>
        <v>13.90055960489131</v>
      </c>
      <c r="AJ54" s="13">
        <f t="shared" si="52"/>
        <v>13.90055960489131</v>
      </c>
      <c r="AK54" s="13">
        <f t="shared" si="52"/>
        <v>13.90055960489131</v>
      </c>
      <c r="AL54" s="13">
        <f t="shared" si="52"/>
        <v>13.90055960489131</v>
      </c>
      <c r="AM54" s="13">
        <f t="shared" si="52"/>
        <v>13.90055960489131</v>
      </c>
      <c r="AN54" s="13">
        <f t="shared" si="52"/>
        <v>13.90055960489131</v>
      </c>
      <c r="AO54" s="13">
        <f t="shared" si="52"/>
        <v>13.90055960489131</v>
      </c>
      <c r="AP54" s="13">
        <f t="shared" si="52"/>
        <v>13.90055960489131</v>
      </c>
      <c r="AQ54" s="13">
        <f t="shared" si="52"/>
        <v>13.90055960489131</v>
      </c>
    </row>
    <row r="55" spans="1:43" x14ac:dyDescent="0.3">
      <c r="A55" t="s">
        <v>1411</v>
      </c>
      <c r="B55" t="s">
        <v>1393</v>
      </c>
      <c r="C55" t="str">
        <f t="shared" si="33"/>
        <v>HRIUEN</v>
      </c>
      <c r="D55" s="2">
        <v>7.1567999999999996</v>
      </c>
      <c r="E55" s="12">
        <f>D55*VLOOKUP($A55,'EU Ref Sc 2020 Energy intensive'!$A$5:$AE$33,E$2)</f>
        <v>7.2365774343395799</v>
      </c>
      <c r="F55" s="12">
        <f>E55*VLOOKUP($A55,'EU Ref Sc 2020 Energy intensive'!$A$5:$AE$33,F$2)</f>
        <v>7.3163548686791602</v>
      </c>
      <c r="G55" s="12">
        <f>F55*VLOOKUP($A55,'EU Ref Sc 2020 Energy intensive'!$A$5:$AE$33,G$2)</f>
        <v>7.3961323030187405</v>
      </c>
      <c r="H55" s="12">
        <f>G55*VLOOKUP($A55,'EU Ref Sc 2020 Energy intensive'!$A$5:$AE$33,H$2)</f>
        <v>7.475909737358319</v>
      </c>
      <c r="I55" s="12">
        <f>H55*VLOOKUP($A55,'EU Ref Sc 2020 Energy intensive'!$A$5:$AE$33,I$2)</f>
        <v>7.3467065100642452</v>
      </c>
      <c r="J55" s="12">
        <f>I55*VLOOKUP($A55,'EU Ref Sc 2020 Energy intensive'!$A$5:$AE$33,J$2)</f>
        <v>7.2175032827701715</v>
      </c>
      <c r="K55" s="12">
        <f>J55*VLOOKUP($A55,'EU Ref Sc 2020 Energy intensive'!$A$5:$AE$33,K$2)</f>
        <v>7.0883000554760978</v>
      </c>
      <c r="L55" s="12">
        <f>K55*VLOOKUP($A55,'EU Ref Sc 2020 Energy intensive'!$A$5:$AE$33,L$2)</f>
        <v>6.9590968281820249</v>
      </c>
      <c r="M55" s="12">
        <f>L55*VLOOKUP($A55,'EU Ref Sc 2020 Energy intensive'!$A$5:$AE$33,M$2)</f>
        <v>6.8298936008879512</v>
      </c>
      <c r="N55" s="12">
        <f>M55*VLOOKUP($A55,'EU Ref Sc 2020 Energy intensive'!$A$5:$AE$33,N$2)</f>
        <v>6.769330142156841</v>
      </c>
      <c r="O55" s="12">
        <f>N55*VLOOKUP($A55,'EU Ref Sc 2020 Energy intensive'!$A$5:$AE$33,O$2)</f>
        <v>6.7087666834257309</v>
      </c>
      <c r="P55" s="12">
        <f>O55*VLOOKUP($A55,'EU Ref Sc 2020 Energy intensive'!$A$5:$AE$33,P$2)</f>
        <v>6.6482032246946208</v>
      </c>
      <c r="Q55" s="12">
        <f>P55*VLOOKUP($A55,'EU Ref Sc 2020 Energy intensive'!$A$5:$AE$33,Q$2)</f>
        <v>6.5876397659635106</v>
      </c>
      <c r="R55" s="12">
        <f>Q55*VLOOKUP($A55,'EU Ref Sc 2020 Energy intensive'!$A$5:$AE$33,R$2)</f>
        <v>6.5270763072324005</v>
      </c>
      <c r="S55" s="12">
        <f>R55*VLOOKUP($A55,'EU Ref Sc 2020 Energy intensive'!$A$5:$AE$33,S$2)</f>
        <v>6.556611123621618</v>
      </c>
      <c r="T55" s="12">
        <f>S55*VLOOKUP($A55,'EU Ref Sc 2020 Energy intensive'!$A$5:$AE$33,T$2)</f>
        <v>6.5861459400108364</v>
      </c>
      <c r="U55" s="12">
        <f>T55*VLOOKUP($A55,'EU Ref Sc 2020 Energy intensive'!$A$5:$AE$33,U$2)</f>
        <v>6.6156807564000539</v>
      </c>
      <c r="V55" s="12">
        <f>U55*VLOOKUP($A55,'EU Ref Sc 2020 Energy intensive'!$A$5:$AE$33,V$2)</f>
        <v>6.6452155727892714</v>
      </c>
      <c r="W55" s="12">
        <f>V55*VLOOKUP($A55,'EU Ref Sc 2020 Energy intensive'!$A$5:$AE$33,W$2)</f>
        <v>6.6747503891784898</v>
      </c>
      <c r="X55" s="12">
        <f>W55*VLOOKUP($A55,'EU Ref Sc 2020 Energy intensive'!$A$5:$AE$33,X$2)</f>
        <v>6.7053256459070578</v>
      </c>
      <c r="Y55" s="12">
        <f>X55*VLOOKUP($A55,'EU Ref Sc 2020 Energy intensive'!$A$5:$AE$33,Y$2)</f>
        <v>6.7359009026356249</v>
      </c>
      <c r="Z55" s="12">
        <f>Y55*VLOOKUP($A55,'EU Ref Sc 2020 Energy intensive'!$A$5:$AE$33,Z$2)</f>
        <v>6.7664761593641929</v>
      </c>
      <c r="AA55" s="12">
        <f>Z55*VLOOKUP($A55,'EU Ref Sc 2020 Energy intensive'!$A$5:$AE$33,AA$2)</f>
        <v>6.79705141609276</v>
      </c>
      <c r="AB55" s="12">
        <f>AA55*VLOOKUP($A55,'EU Ref Sc 2020 Energy intensive'!$A$5:$AE$33,AB$2)</f>
        <v>6.8276266728213262</v>
      </c>
      <c r="AC55" s="12">
        <f>AB55*VLOOKUP($A55,'EU Ref Sc 2020 Energy intensive'!$A$5:$AE$33,AC$2)</f>
        <v>6.8476241863074137</v>
      </c>
      <c r="AD55" s="12">
        <f>AC55*VLOOKUP($A55,'EU Ref Sc 2020 Energy intensive'!$A$5:$AE$33,AD$2)</f>
        <v>6.8676216997935011</v>
      </c>
      <c r="AE55" s="12">
        <f>AD55*VLOOKUP($A55,'EU Ref Sc 2020 Energy intensive'!$A$5:$AE$33,AE$2)</f>
        <v>6.8876192132795886</v>
      </c>
      <c r="AF55" s="12">
        <f>AE55*VLOOKUP($A55,'EU Ref Sc 2020 Energy intensive'!$A$5:$AE$33,AF$2)</f>
        <v>6.9076167267656761</v>
      </c>
      <c r="AG55" s="12">
        <f>AF55*VLOOKUP($A55,'EU Ref Sc 2020 Energy intensive'!$A$5:$AE$33,AG$2)</f>
        <v>6.9276142402517644</v>
      </c>
      <c r="AH55" s="13">
        <f t="shared" ref="AH55:AQ55" si="53">AG55</f>
        <v>6.9276142402517644</v>
      </c>
      <c r="AI55" s="13">
        <f t="shared" si="53"/>
        <v>6.9276142402517644</v>
      </c>
      <c r="AJ55" s="13">
        <f t="shared" si="53"/>
        <v>6.9276142402517644</v>
      </c>
      <c r="AK55" s="13">
        <f t="shared" si="53"/>
        <v>6.9276142402517644</v>
      </c>
      <c r="AL55" s="13">
        <f t="shared" si="53"/>
        <v>6.9276142402517644</v>
      </c>
      <c r="AM55" s="13">
        <f t="shared" si="53"/>
        <v>6.9276142402517644</v>
      </c>
      <c r="AN55" s="13">
        <f t="shared" si="53"/>
        <v>6.9276142402517644</v>
      </c>
      <c r="AO55" s="13">
        <f t="shared" si="53"/>
        <v>6.9276142402517644</v>
      </c>
      <c r="AP55" s="13">
        <f t="shared" si="53"/>
        <v>6.9276142402517644</v>
      </c>
      <c r="AQ55" s="13">
        <f t="shared" si="53"/>
        <v>6.9276142402517644</v>
      </c>
    </row>
    <row r="56" spans="1:43" x14ac:dyDescent="0.3">
      <c r="A56" t="s">
        <v>1412</v>
      </c>
      <c r="B56" t="s">
        <v>1393</v>
      </c>
      <c r="C56" t="str">
        <f t="shared" si="33"/>
        <v>HUIUEN</v>
      </c>
      <c r="D56" s="2">
        <v>11.265300000000002</v>
      </c>
      <c r="E56" s="12">
        <f>D56*VLOOKUP($A56,'EU Ref Sc 2020 Energy intensive'!$A$5:$AE$33,E$2)</f>
        <v>11.573077739409493</v>
      </c>
      <c r="F56" s="12">
        <f>E56*VLOOKUP($A56,'EU Ref Sc 2020 Energy intensive'!$A$5:$AE$33,F$2)</f>
        <v>11.880855478818987</v>
      </c>
      <c r="G56" s="12">
        <f>F56*VLOOKUP($A56,'EU Ref Sc 2020 Energy intensive'!$A$5:$AE$33,G$2)</f>
        <v>12.18863321822848</v>
      </c>
      <c r="H56" s="12">
        <f>G56*VLOOKUP($A56,'EU Ref Sc 2020 Energy intensive'!$A$5:$AE$33,H$2)</f>
        <v>12.496410957637973</v>
      </c>
      <c r="I56" s="12">
        <f>H56*VLOOKUP($A56,'EU Ref Sc 2020 Energy intensive'!$A$5:$AE$33,I$2)</f>
        <v>12.705332751313302</v>
      </c>
      <c r="J56" s="12">
        <f>I56*VLOOKUP($A56,'EU Ref Sc 2020 Energy intensive'!$A$5:$AE$33,J$2)</f>
        <v>12.91425454498863</v>
      </c>
      <c r="K56" s="12">
        <f>J56*VLOOKUP($A56,'EU Ref Sc 2020 Energy intensive'!$A$5:$AE$33,K$2)</f>
        <v>13.123176338663958</v>
      </c>
      <c r="L56" s="12">
        <f>K56*VLOOKUP($A56,'EU Ref Sc 2020 Energy intensive'!$A$5:$AE$33,L$2)</f>
        <v>13.332098132339286</v>
      </c>
      <c r="M56" s="12">
        <f>L56*VLOOKUP($A56,'EU Ref Sc 2020 Energy intensive'!$A$5:$AE$33,M$2)</f>
        <v>13.541019926014611</v>
      </c>
      <c r="N56" s="12">
        <f>M56*VLOOKUP($A56,'EU Ref Sc 2020 Energy intensive'!$A$5:$AE$33,N$2)</f>
        <v>13.073230266814212</v>
      </c>
      <c r="O56" s="12">
        <f>N56*VLOOKUP($A56,'EU Ref Sc 2020 Energy intensive'!$A$5:$AE$33,O$2)</f>
        <v>12.605440607613813</v>
      </c>
      <c r="P56" s="12">
        <f>O56*VLOOKUP($A56,'EU Ref Sc 2020 Energy intensive'!$A$5:$AE$33,P$2)</f>
        <v>12.137650948413414</v>
      </c>
      <c r="Q56" s="12">
        <f>P56*VLOOKUP($A56,'EU Ref Sc 2020 Energy intensive'!$A$5:$AE$33,Q$2)</f>
        <v>11.669861289213015</v>
      </c>
      <c r="R56" s="12">
        <f>Q56*VLOOKUP($A56,'EU Ref Sc 2020 Energy intensive'!$A$5:$AE$33,R$2)</f>
        <v>11.202071630012622</v>
      </c>
      <c r="S56" s="12">
        <f>R56*VLOOKUP($A56,'EU Ref Sc 2020 Energy intensive'!$A$5:$AE$33,S$2)</f>
        <v>11.117455976458483</v>
      </c>
      <c r="T56" s="12">
        <f>S56*VLOOKUP($A56,'EU Ref Sc 2020 Energy intensive'!$A$5:$AE$33,T$2)</f>
        <v>11.032840322904343</v>
      </c>
      <c r="U56" s="12">
        <f>T56*VLOOKUP($A56,'EU Ref Sc 2020 Energy intensive'!$A$5:$AE$33,U$2)</f>
        <v>10.948224669350203</v>
      </c>
      <c r="V56" s="12">
        <f>U56*VLOOKUP($A56,'EU Ref Sc 2020 Energy intensive'!$A$5:$AE$33,V$2)</f>
        <v>10.863609015796063</v>
      </c>
      <c r="W56" s="12">
        <f>V56*VLOOKUP($A56,'EU Ref Sc 2020 Energy intensive'!$A$5:$AE$33,W$2)</f>
        <v>10.778993362241925</v>
      </c>
      <c r="X56" s="12">
        <f>W56*VLOOKUP($A56,'EU Ref Sc 2020 Energy intensive'!$A$5:$AE$33,X$2)</f>
        <v>10.736697065774335</v>
      </c>
      <c r="Y56" s="12">
        <f>X56*VLOOKUP($A56,'EU Ref Sc 2020 Energy intensive'!$A$5:$AE$33,Y$2)</f>
        <v>10.694400769306744</v>
      </c>
      <c r="Z56" s="12">
        <f>Y56*VLOOKUP($A56,'EU Ref Sc 2020 Energy intensive'!$A$5:$AE$33,Z$2)</f>
        <v>10.652104472839154</v>
      </c>
      <c r="AA56" s="12">
        <f>Z56*VLOOKUP($A56,'EU Ref Sc 2020 Energy intensive'!$A$5:$AE$33,AA$2)</f>
        <v>10.609808176371564</v>
      </c>
      <c r="AB56" s="12">
        <f>AA56*VLOOKUP($A56,'EU Ref Sc 2020 Energy intensive'!$A$5:$AE$33,AB$2)</f>
        <v>10.567511879903973</v>
      </c>
      <c r="AC56" s="12">
        <f>AB56*VLOOKUP($A56,'EU Ref Sc 2020 Energy intensive'!$A$5:$AE$33,AC$2)</f>
        <v>10.57439548035431</v>
      </c>
      <c r="AD56" s="12">
        <f>AC56*VLOOKUP($A56,'EU Ref Sc 2020 Energy intensive'!$A$5:$AE$33,AD$2)</f>
        <v>10.581279080804649</v>
      </c>
      <c r="AE56" s="12">
        <f>AD56*VLOOKUP($A56,'EU Ref Sc 2020 Energy intensive'!$A$5:$AE$33,AE$2)</f>
        <v>10.588162681254985</v>
      </c>
      <c r="AF56" s="12">
        <f>AE56*VLOOKUP($A56,'EU Ref Sc 2020 Energy intensive'!$A$5:$AE$33,AF$2)</f>
        <v>10.595046281705322</v>
      </c>
      <c r="AG56" s="12">
        <f>AF56*VLOOKUP($A56,'EU Ref Sc 2020 Energy intensive'!$A$5:$AE$33,AG$2)</f>
        <v>10.601929882155659</v>
      </c>
      <c r="AH56" s="13">
        <f t="shared" ref="AH56:AQ56" si="54">AG56</f>
        <v>10.601929882155659</v>
      </c>
      <c r="AI56" s="13">
        <f t="shared" si="54"/>
        <v>10.601929882155659</v>
      </c>
      <c r="AJ56" s="13">
        <f t="shared" si="54"/>
        <v>10.601929882155659</v>
      </c>
      <c r="AK56" s="13">
        <f t="shared" si="54"/>
        <v>10.601929882155659</v>
      </c>
      <c r="AL56" s="13">
        <f t="shared" si="54"/>
        <v>10.601929882155659</v>
      </c>
      <c r="AM56" s="13">
        <f t="shared" si="54"/>
        <v>10.601929882155659</v>
      </c>
      <c r="AN56" s="13">
        <f t="shared" si="54"/>
        <v>10.601929882155659</v>
      </c>
      <c r="AO56" s="13">
        <f t="shared" si="54"/>
        <v>10.601929882155659</v>
      </c>
      <c r="AP56" s="13">
        <f t="shared" si="54"/>
        <v>10.601929882155659</v>
      </c>
      <c r="AQ56" s="13">
        <f t="shared" si="54"/>
        <v>10.601929882155659</v>
      </c>
    </row>
    <row r="57" spans="1:43" x14ac:dyDescent="0.3">
      <c r="A57" t="s">
        <v>1413</v>
      </c>
      <c r="B57" t="s">
        <v>1393</v>
      </c>
      <c r="C57" t="str">
        <f t="shared" si="33"/>
        <v>IEIUEN</v>
      </c>
      <c r="D57" s="2">
        <v>9.9290000000000003</v>
      </c>
      <c r="E57" s="12">
        <f>D57*VLOOKUP($A57,'EU Ref Sc 2020 Energy intensive'!$A$5:$AE$33,E$2)</f>
        <v>9.9125022529188644</v>
      </c>
      <c r="F57" s="12">
        <f>E57*VLOOKUP($A57,'EU Ref Sc 2020 Energy intensive'!$A$5:$AE$33,F$2)</f>
        <v>9.8960045058377268</v>
      </c>
      <c r="G57" s="12">
        <f>F57*VLOOKUP($A57,'EU Ref Sc 2020 Energy intensive'!$A$5:$AE$33,G$2)</f>
        <v>9.879506758756591</v>
      </c>
      <c r="H57" s="12">
        <f>G57*VLOOKUP($A57,'EU Ref Sc 2020 Energy intensive'!$A$5:$AE$33,H$2)</f>
        <v>9.863009011675457</v>
      </c>
      <c r="I57" s="12">
        <f>H57*VLOOKUP($A57,'EU Ref Sc 2020 Energy intensive'!$A$5:$AE$33,I$2)</f>
        <v>9.9133662968557523</v>
      </c>
      <c r="J57" s="12">
        <f>I57*VLOOKUP($A57,'EU Ref Sc 2020 Energy intensive'!$A$5:$AE$33,J$2)</f>
        <v>9.9637235820360477</v>
      </c>
      <c r="K57" s="12">
        <f>J57*VLOOKUP($A57,'EU Ref Sc 2020 Energy intensive'!$A$5:$AE$33,K$2)</f>
        <v>10.014080867216341</v>
      </c>
      <c r="L57" s="12">
        <f>K57*VLOOKUP($A57,'EU Ref Sc 2020 Energy intensive'!$A$5:$AE$33,L$2)</f>
        <v>10.064438152396637</v>
      </c>
      <c r="M57" s="12">
        <f>L57*VLOOKUP($A57,'EU Ref Sc 2020 Energy intensive'!$A$5:$AE$33,M$2)</f>
        <v>10.114795437576936</v>
      </c>
      <c r="N57" s="12">
        <f>M57*VLOOKUP($A57,'EU Ref Sc 2020 Energy intensive'!$A$5:$AE$33,N$2)</f>
        <v>9.8359813073179172</v>
      </c>
      <c r="O57" s="12">
        <f>N57*VLOOKUP($A57,'EU Ref Sc 2020 Energy intensive'!$A$5:$AE$33,O$2)</f>
        <v>9.5571671770588988</v>
      </c>
      <c r="P57" s="12">
        <f>O57*VLOOKUP($A57,'EU Ref Sc 2020 Energy intensive'!$A$5:$AE$33,P$2)</f>
        <v>9.2783530467998805</v>
      </c>
      <c r="Q57" s="12">
        <f>P57*VLOOKUP($A57,'EU Ref Sc 2020 Energy intensive'!$A$5:$AE$33,Q$2)</f>
        <v>8.9995389165408621</v>
      </c>
      <c r="R57" s="12">
        <f>Q57*VLOOKUP($A57,'EU Ref Sc 2020 Energy intensive'!$A$5:$AE$33,R$2)</f>
        <v>8.7207247862818438</v>
      </c>
      <c r="S57" s="12">
        <f>R57*VLOOKUP($A57,'EU Ref Sc 2020 Energy intensive'!$A$5:$AE$33,S$2)</f>
        <v>8.7165850027129146</v>
      </c>
      <c r="T57" s="12">
        <f>S57*VLOOKUP($A57,'EU Ref Sc 2020 Energy intensive'!$A$5:$AE$33,T$2)</f>
        <v>8.7124452191439854</v>
      </c>
      <c r="U57" s="12">
        <f>T57*VLOOKUP($A57,'EU Ref Sc 2020 Energy intensive'!$A$5:$AE$33,U$2)</f>
        <v>8.7083054355750544</v>
      </c>
      <c r="V57" s="12">
        <f>U57*VLOOKUP($A57,'EU Ref Sc 2020 Energy intensive'!$A$5:$AE$33,V$2)</f>
        <v>8.7041656520061252</v>
      </c>
      <c r="W57" s="12">
        <f>V57*VLOOKUP($A57,'EU Ref Sc 2020 Energy intensive'!$A$5:$AE$33,W$2)</f>
        <v>8.7000258684371925</v>
      </c>
      <c r="X57" s="12">
        <f>W57*VLOOKUP($A57,'EU Ref Sc 2020 Energy intensive'!$A$5:$AE$33,X$2)</f>
        <v>8.6744164811507307</v>
      </c>
      <c r="Y57" s="12">
        <f>X57*VLOOKUP($A57,'EU Ref Sc 2020 Energy intensive'!$A$5:$AE$33,Y$2)</f>
        <v>8.6488070938642689</v>
      </c>
      <c r="Z57" s="12">
        <f>Y57*VLOOKUP($A57,'EU Ref Sc 2020 Energy intensive'!$A$5:$AE$33,Z$2)</f>
        <v>8.6231977065778072</v>
      </c>
      <c r="AA57" s="12">
        <f>Z57*VLOOKUP($A57,'EU Ref Sc 2020 Energy intensive'!$A$5:$AE$33,AA$2)</f>
        <v>8.5975883192913471</v>
      </c>
      <c r="AB57" s="12">
        <f>AA57*VLOOKUP($A57,'EU Ref Sc 2020 Energy intensive'!$A$5:$AE$33,AB$2)</f>
        <v>8.5719789320048836</v>
      </c>
      <c r="AC57" s="12">
        <f>AB57*VLOOKUP($A57,'EU Ref Sc 2020 Energy intensive'!$A$5:$AE$33,AC$2)</f>
        <v>8.5533932853795847</v>
      </c>
      <c r="AD57" s="12">
        <f>AC57*VLOOKUP($A57,'EU Ref Sc 2020 Energy intensive'!$A$5:$AE$33,AD$2)</f>
        <v>8.5348076387542857</v>
      </c>
      <c r="AE57" s="12">
        <f>AD57*VLOOKUP($A57,'EU Ref Sc 2020 Energy intensive'!$A$5:$AE$33,AE$2)</f>
        <v>8.5162219921289868</v>
      </c>
      <c r="AF57" s="12">
        <f>AE57*VLOOKUP($A57,'EU Ref Sc 2020 Energy intensive'!$A$5:$AE$33,AF$2)</f>
        <v>8.4976363455036878</v>
      </c>
      <c r="AG57" s="12">
        <f>AF57*VLOOKUP($A57,'EU Ref Sc 2020 Energy intensive'!$A$5:$AE$33,AG$2)</f>
        <v>8.4790506988783925</v>
      </c>
      <c r="AH57" s="13">
        <f t="shared" ref="AH57:AQ57" si="55">AG57</f>
        <v>8.4790506988783925</v>
      </c>
      <c r="AI57" s="13">
        <f t="shared" si="55"/>
        <v>8.4790506988783925</v>
      </c>
      <c r="AJ57" s="13">
        <f t="shared" si="55"/>
        <v>8.4790506988783925</v>
      </c>
      <c r="AK57" s="13">
        <f t="shared" si="55"/>
        <v>8.4790506988783925</v>
      </c>
      <c r="AL57" s="13">
        <f t="shared" si="55"/>
        <v>8.4790506988783925</v>
      </c>
      <c r="AM57" s="13">
        <f t="shared" si="55"/>
        <v>8.4790506988783925</v>
      </c>
      <c r="AN57" s="13">
        <f t="shared" si="55"/>
        <v>8.4790506988783925</v>
      </c>
      <c r="AO57" s="13">
        <f t="shared" si="55"/>
        <v>8.4790506988783925</v>
      </c>
      <c r="AP57" s="13">
        <f t="shared" si="55"/>
        <v>8.4790506988783925</v>
      </c>
      <c r="AQ57" s="13">
        <f t="shared" si="55"/>
        <v>8.4790506988783925</v>
      </c>
    </row>
    <row r="58" spans="1:43" x14ac:dyDescent="0.3">
      <c r="A58" t="s">
        <v>1414</v>
      </c>
      <c r="B58" t="s">
        <v>1393</v>
      </c>
      <c r="C58" t="str">
        <f t="shared" si="33"/>
        <v>ITIUEN</v>
      </c>
      <c r="D58" s="2">
        <v>105.6219</v>
      </c>
      <c r="E58" s="12">
        <f>D58*VLOOKUP($A58,'EU Ref Sc 2020 Energy intensive'!$A$5:$AE$33,E$2)</f>
        <v>106.34102177473163</v>
      </c>
      <c r="F58" s="12">
        <f>E58*VLOOKUP($A58,'EU Ref Sc 2020 Energy intensive'!$A$5:$AE$33,F$2)</f>
        <v>107.06014354946328</v>
      </c>
      <c r="G58" s="12">
        <f>F58*VLOOKUP($A58,'EU Ref Sc 2020 Energy intensive'!$A$5:$AE$33,G$2)</f>
        <v>107.77926532419492</v>
      </c>
      <c r="H58" s="12">
        <f>G58*VLOOKUP($A58,'EU Ref Sc 2020 Energy intensive'!$A$5:$AE$33,H$2)</f>
        <v>108.49838709892657</v>
      </c>
      <c r="I58" s="12">
        <f>H58*VLOOKUP($A58,'EU Ref Sc 2020 Energy intensive'!$A$5:$AE$33,I$2)</f>
        <v>107.80849702404247</v>
      </c>
      <c r="J58" s="12">
        <f>I58*VLOOKUP($A58,'EU Ref Sc 2020 Energy intensive'!$A$5:$AE$33,J$2)</f>
        <v>107.11860694915836</v>
      </c>
      <c r="K58" s="12">
        <f>J58*VLOOKUP($A58,'EU Ref Sc 2020 Energy intensive'!$A$5:$AE$33,K$2)</f>
        <v>106.42871687427426</v>
      </c>
      <c r="L58" s="12">
        <f>K58*VLOOKUP($A58,'EU Ref Sc 2020 Energy intensive'!$A$5:$AE$33,L$2)</f>
        <v>105.73882679939015</v>
      </c>
      <c r="M58" s="12">
        <f>L58*VLOOKUP($A58,'EU Ref Sc 2020 Energy intensive'!$A$5:$AE$33,M$2)</f>
        <v>105.04893672450606</v>
      </c>
      <c r="N58" s="12">
        <f>M58*VLOOKUP($A58,'EU Ref Sc 2020 Energy intensive'!$A$5:$AE$33,N$2)</f>
        <v>103.58189840647645</v>
      </c>
      <c r="O58" s="12">
        <f>N58*VLOOKUP($A58,'EU Ref Sc 2020 Energy intensive'!$A$5:$AE$33,O$2)</f>
        <v>102.11486008844685</v>
      </c>
      <c r="P58" s="12">
        <f>O58*VLOOKUP($A58,'EU Ref Sc 2020 Energy intensive'!$A$5:$AE$33,P$2)</f>
        <v>100.64782177041724</v>
      </c>
      <c r="Q58" s="12">
        <f>P58*VLOOKUP($A58,'EU Ref Sc 2020 Energy intensive'!$A$5:$AE$33,Q$2)</f>
        <v>99.180783452387629</v>
      </c>
      <c r="R58" s="12">
        <f>Q58*VLOOKUP($A58,'EU Ref Sc 2020 Energy intensive'!$A$5:$AE$33,R$2)</f>
        <v>97.713745134358035</v>
      </c>
      <c r="S58" s="12">
        <f>R58*VLOOKUP($A58,'EU Ref Sc 2020 Energy intensive'!$A$5:$AE$33,S$2)</f>
        <v>96.141421022674606</v>
      </c>
      <c r="T58" s="12">
        <f>S58*VLOOKUP($A58,'EU Ref Sc 2020 Energy intensive'!$A$5:$AE$33,T$2)</f>
        <v>94.569096910991178</v>
      </c>
      <c r="U58" s="12">
        <f>T58*VLOOKUP($A58,'EU Ref Sc 2020 Energy intensive'!$A$5:$AE$33,U$2)</f>
        <v>92.996772799307735</v>
      </c>
      <c r="V58" s="12">
        <f>U58*VLOOKUP($A58,'EU Ref Sc 2020 Energy intensive'!$A$5:$AE$33,V$2)</f>
        <v>91.424448687624306</v>
      </c>
      <c r="W58" s="12">
        <f>V58*VLOOKUP($A58,'EU Ref Sc 2020 Energy intensive'!$A$5:$AE$33,W$2)</f>
        <v>89.852124575940863</v>
      </c>
      <c r="X58" s="12">
        <f>W58*VLOOKUP($A58,'EU Ref Sc 2020 Energy intensive'!$A$5:$AE$33,X$2)</f>
        <v>88.758885804746441</v>
      </c>
      <c r="Y58" s="12">
        <f>X58*VLOOKUP($A58,'EU Ref Sc 2020 Energy intensive'!$A$5:$AE$33,Y$2)</f>
        <v>87.66564703355202</v>
      </c>
      <c r="Z58" s="12">
        <f>Y58*VLOOKUP($A58,'EU Ref Sc 2020 Energy intensive'!$A$5:$AE$33,Z$2)</f>
        <v>86.572408262357598</v>
      </c>
      <c r="AA58" s="12">
        <f>Z58*VLOOKUP($A58,'EU Ref Sc 2020 Energy intensive'!$A$5:$AE$33,AA$2)</f>
        <v>85.479169491163177</v>
      </c>
      <c r="AB58" s="12">
        <f>AA58*VLOOKUP($A58,'EU Ref Sc 2020 Energy intensive'!$A$5:$AE$33,AB$2)</f>
        <v>84.385930719968727</v>
      </c>
      <c r="AC58" s="12">
        <f>AB58*VLOOKUP($A58,'EU Ref Sc 2020 Energy intensive'!$A$5:$AE$33,AC$2)</f>
        <v>85.526337164679859</v>
      </c>
      <c r="AD58" s="12">
        <f>AC58*VLOOKUP($A58,'EU Ref Sc 2020 Energy intensive'!$A$5:$AE$33,AD$2)</f>
        <v>86.666743609390991</v>
      </c>
      <c r="AE58" s="12">
        <f>AD58*VLOOKUP($A58,'EU Ref Sc 2020 Energy intensive'!$A$5:$AE$33,AE$2)</f>
        <v>87.807150054102124</v>
      </c>
      <c r="AF58" s="12">
        <f>AE58*VLOOKUP($A58,'EU Ref Sc 2020 Energy intensive'!$A$5:$AE$33,AF$2)</f>
        <v>88.947556498813256</v>
      </c>
      <c r="AG58" s="12">
        <f>AF58*VLOOKUP($A58,'EU Ref Sc 2020 Energy intensive'!$A$5:$AE$33,AG$2)</f>
        <v>90.087962943524417</v>
      </c>
      <c r="AH58" s="13">
        <f t="shared" ref="AH58:AQ58" si="56">AG58</f>
        <v>90.087962943524417</v>
      </c>
      <c r="AI58" s="13">
        <f t="shared" si="56"/>
        <v>90.087962943524417</v>
      </c>
      <c r="AJ58" s="13">
        <f t="shared" si="56"/>
        <v>90.087962943524417</v>
      </c>
      <c r="AK58" s="13">
        <f t="shared" si="56"/>
        <v>90.087962943524417</v>
      </c>
      <c r="AL58" s="13">
        <f t="shared" si="56"/>
        <v>90.087962943524417</v>
      </c>
      <c r="AM58" s="13">
        <f t="shared" si="56"/>
        <v>90.087962943524417</v>
      </c>
      <c r="AN58" s="13">
        <f t="shared" si="56"/>
        <v>90.087962943524417</v>
      </c>
      <c r="AO58" s="13">
        <f t="shared" si="56"/>
        <v>90.087962943524417</v>
      </c>
      <c r="AP58" s="13">
        <f t="shared" si="56"/>
        <v>90.087962943524417</v>
      </c>
      <c r="AQ58" s="13">
        <f t="shared" si="56"/>
        <v>90.087962943524417</v>
      </c>
    </row>
    <row r="59" spans="1:43" x14ac:dyDescent="0.3">
      <c r="A59" t="s">
        <v>1415</v>
      </c>
      <c r="B59" t="s">
        <v>1393</v>
      </c>
      <c r="C59" t="str">
        <f t="shared" si="33"/>
        <v>LTIUEN</v>
      </c>
      <c r="D59" s="2">
        <v>2.8792999999999993</v>
      </c>
      <c r="E59" s="12">
        <f>D59*VLOOKUP($A59,'EU Ref Sc 2020 Energy intensive'!$A$5:$AE$33,E$2)</f>
        <v>2.9010759285096408</v>
      </c>
      <c r="F59" s="12">
        <f>E59*VLOOKUP($A59,'EU Ref Sc 2020 Energy intensive'!$A$5:$AE$33,F$2)</f>
        <v>2.9228518570192827</v>
      </c>
      <c r="G59" s="12">
        <f>F59*VLOOKUP($A59,'EU Ref Sc 2020 Energy intensive'!$A$5:$AE$33,G$2)</f>
        <v>2.9446277855289247</v>
      </c>
      <c r="H59" s="12">
        <f>G59*VLOOKUP($A59,'EU Ref Sc 2020 Energy intensive'!$A$5:$AE$33,H$2)</f>
        <v>2.9664037140385671</v>
      </c>
      <c r="I59" s="12">
        <f>H59*VLOOKUP($A59,'EU Ref Sc 2020 Energy intensive'!$A$5:$AE$33,I$2)</f>
        <v>2.9404739059484477</v>
      </c>
      <c r="J59" s="12">
        <f>I59*VLOOKUP($A59,'EU Ref Sc 2020 Energy intensive'!$A$5:$AE$33,J$2)</f>
        <v>2.9145440978583284</v>
      </c>
      <c r="K59" s="12">
        <f>J59*VLOOKUP($A59,'EU Ref Sc 2020 Energy intensive'!$A$5:$AE$33,K$2)</f>
        <v>2.888614289768209</v>
      </c>
      <c r="L59" s="12">
        <f>K59*VLOOKUP($A59,'EU Ref Sc 2020 Energy intensive'!$A$5:$AE$33,L$2)</f>
        <v>2.8626844816780896</v>
      </c>
      <c r="M59" s="12">
        <f>L59*VLOOKUP($A59,'EU Ref Sc 2020 Energy intensive'!$A$5:$AE$33,M$2)</f>
        <v>2.8367546735879694</v>
      </c>
      <c r="N59" s="12">
        <f>M59*VLOOKUP($A59,'EU Ref Sc 2020 Energy intensive'!$A$5:$AE$33,N$2)</f>
        <v>2.7815335749432277</v>
      </c>
      <c r="O59" s="12">
        <f>N59*VLOOKUP($A59,'EU Ref Sc 2020 Energy intensive'!$A$5:$AE$33,O$2)</f>
        <v>2.7263124762984865</v>
      </c>
      <c r="P59" s="12">
        <f>O59*VLOOKUP($A59,'EU Ref Sc 2020 Energy intensive'!$A$5:$AE$33,P$2)</f>
        <v>2.6710913776537453</v>
      </c>
      <c r="Q59" s="12">
        <f>P59*VLOOKUP($A59,'EU Ref Sc 2020 Energy intensive'!$A$5:$AE$33,Q$2)</f>
        <v>2.6158702790090045</v>
      </c>
      <c r="R59" s="12">
        <f>Q59*VLOOKUP($A59,'EU Ref Sc 2020 Energy intensive'!$A$5:$AE$33,R$2)</f>
        <v>2.5606491803642637</v>
      </c>
      <c r="S59" s="12">
        <f>R59*VLOOKUP($A59,'EU Ref Sc 2020 Energy intensive'!$A$5:$AE$33,S$2)</f>
        <v>2.516089684880352</v>
      </c>
      <c r="T59" s="12">
        <f>S59*VLOOKUP($A59,'EU Ref Sc 2020 Energy intensive'!$A$5:$AE$33,T$2)</f>
        <v>2.4715301893964403</v>
      </c>
      <c r="U59" s="12">
        <f>T59*VLOOKUP($A59,'EU Ref Sc 2020 Energy intensive'!$A$5:$AE$33,U$2)</f>
        <v>2.4269706939125286</v>
      </c>
      <c r="V59" s="12">
        <f>U59*VLOOKUP($A59,'EU Ref Sc 2020 Energy intensive'!$A$5:$AE$33,V$2)</f>
        <v>2.3824111984286169</v>
      </c>
      <c r="W59" s="12">
        <f>V59*VLOOKUP($A59,'EU Ref Sc 2020 Energy intensive'!$A$5:$AE$33,W$2)</f>
        <v>2.3378517029447048</v>
      </c>
      <c r="X59" s="12">
        <f>W59*VLOOKUP($A59,'EU Ref Sc 2020 Energy intensive'!$A$5:$AE$33,X$2)</f>
        <v>2.3013855544059023</v>
      </c>
      <c r="Y59" s="12">
        <f>X59*VLOOKUP($A59,'EU Ref Sc 2020 Energy intensive'!$A$5:$AE$33,Y$2)</f>
        <v>2.2649194058670998</v>
      </c>
      <c r="Z59" s="12">
        <f>Y59*VLOOKUP($A59,'EU Ref Sc 2020 Energy intensive'!$A$5:$AE$33,Z$2)</f>
        <v>2.2284532573282974</v>
      </c>
      <c r="AA59" s="12">
        <f>Z59*VLOOKUP($A59,'EU Ref Sc 2020 Energy intensive'!$A$5:$AE$33,AA$2)</f>
        <v>2.1919871087894944</v>
      </c>
      <c r="AB59" s="12">
        <f>AA59*VLOOKUP($A59,'EU Ref Sc 2020 Energy intensive'!$A$5:$AE$33,AB$2)</f>
        <v>2.1555209602506911</v>
      </c>
      <c r="AC59" s="12">
        <f>AB59*VLOOKUP($A59,'EU Ref Sc 2020 Energy intensive'!$A$5:$AE$33,AC$2)</f>
        <v>2.1770831966440691</v>
      </c>
      <c r="AD59" s="12">
        <f>AC59*VLOOKUP($A59,'EU Ref Sc 2020 Energy intensive'!$A$5:$AE$33,AD$2)</f>
        <v>2.1986454330374472</v>
      </c>
      <c r="AE59" s="12">
        <f>AD59*VLOOKUP($A59,'EU Ref Sc 2020 Energy intensive'!$A$5:$AE$33,AE$2)</f>
        <v>2.2202076694308257</v>
      </c>
      <c r="AF59" s="12">
        <f>AE59*VLOOKUP($A59,'EU Ref Sc 2020 Energy intensive'!$A$5:$AE$33,AF$2)</f>
        <v>2.2417699058242042</v>
      </c>
      <c r="AG59" s="12">
        <f>AF59*VLOOKUP($A59,'EU Ref Sc 2020 Energy intensive'!$A$5:$AE$33,AG$2)</f>
        <v>2.2633321422175827</v>
      </c>
      <c r="AH59" s="13">
        <f t="shared" ref="AH59:AQ59" si="57">AG59</f>
        <v>2.2633321422175827</v>
      </c>
      <c r="AI59" s="13">
        <f t="shared" si="57"/>
        <v>2.2633321422175827</v>
      </c>
      <c r="AJ59" s="13">
        <f t="shared" si="57"/>
        <v>2.2633321422175827</v>
      </c>
      <c r="AK59" s="13">
        <f t="shared" si="57"/>
        <v>2.2633321422175827</v>
      </c>
      <c r="AL59" s="13">
        <f t="shared" si="57"/>
        <v>2.2633321422175827</v>
      </c>
      <c r="AM59" s="13">
        <f t="shared" si="57"/>
        <v>2.2633321422175827</v>
      </c>
      <c r="AN59" s="13">
        <f t="shared" si="57"/>
        <v>2.2633321422175827</v>
      </c>
      <c r="AO59" s="13">
        <f t="shared" si="57"/>
        <v>2.2633321422175827</v>
      </c>
      <c r="AP59" s="13">
        <f t="shared" si="57"/>
        <v>2.2633321422175827</v>
      </c>
      <c r="AQ59" s="13">
        <f t="shared" si="57"/>
        <v>2.2633321422175827</v>
      </c>
    </row>
    <row r="60" spans="1:43" x14ac:dyDescent="0.3">
      <c r="A60" t="s">
        <v>1416</v>
      </c>
      <c r="B60" t="s">
        <v>1393</v>
      </c>
      <c r="C60" t="str">
        <f t="shared" si="33"/>
        <v>LUIUEN</v>
      </c>
      <c r="D60" s="2">
        <v>2.4133999999999998</v>
      </c>
      <c r="E60" s="12">
        <f>D60*VLOOKUP($A60,'EU Ref Sc 2020 Energy intensive'!$A$5:$AE$33,E$2)</f>
        <v>2.4092294506908338</v>
      </c>
      <c r="F60" s="12">
        <f>E60*VLOOKUP($A60,'EU Ref Sc 2020 Energy intensive'!$A$5:$AE$33,F$2)</f>
        <v>2.4050589013816679</v>
      </c>
      <c r="G60" s="12">
        <f>F60*VLOOKUP($A60,'EU Ref Sc 2020 Energy intensive'!$A$5:$AE$33,G$2)</f>
        <v>2.400888352072502</v>
      </c>
      <c r="H60" s="12">
        <f>G60*VLOOKUP($A60,'EU Ref Sc 2020 Energy intensive'!$A$5:$AE$33,H$2)</f>
        <v>2.396717802763336</v>
      </c>
      <c r="I60" s="12">
        <f>H60*VLOOKUP($A60,'EU Ref Sc 2020 Energy intensive'!$A$5:$AE$33,I$2)</f>
        <v>2.372001618502483</v>
      </c>
      <c r="J60" s="12">
        <f>I60*VLOOKUP($A60,'EU Ref Sc 2020 Energy intensive'!$A$5:$AE$33,J$2)</f>
        <v>2.3472854342416301</v>
      </c>
      <c r="K60" s="12">
        <f>J60*VLOOKUP($A60,'EU Ref Sc 2020 Energy intensive'!$A$5:$AE$33,K$2)</f>
        <v>2.3225692499807771</v>
      </c>
      <c r="L60" s="12">
        <f>K60*VLOOKUP($A60,'EU Ref Sc 2020 Energy intensive'!$A$5:$AE$33,L$2)</f>
        <v>2.2978530657199241</v>
      </c>
      <c r="M60" s="12">
        <f>L60*VLOOKUP($A60,'EU Ref Sc 2020 Energy intensive'!$A$5:$AE$33,M$2)</f>
        <v>2.273136881459072</v>
      </c>
      <c r="N60" s="12">
        <f>M60*VLOOKUP($A60,'EU Ref Sc 2020 Energy intensive'!$A$5:$AE$33,N$2)</f>
        <v>2.2452485854499162</v>
      </c>
      <c r="O60" s="12">
        <f>N60*VLOOKUP($A60,'EU Ref Sc 2020 Energy intensive'!$A$5:$AE$33,O$2)</f>
        <v>2.2173602894407605</v>
      </c>
      <c r="P60" s="12">
        <f>O60*VLOOKUP($A60,'EU Ref Sc 2020 Energy intensive'!$A$5:$AE$33,P$2)</f>
        <v>2.1894719934316047</v>
      </c>
      <c r="Q60" s="12">
        <f>P60*VLOOKUP($A60,'EU Ref Sc 2020 Energy intensive'!$A$5:$AE$33,Q$2)</f>
        <v>2.1615836974224489</v>
      </c>
      <c r="R60" s="12">
        <f>Q60*VLOOKUP($A60,'EU Ref Sc 2020 Energy intensive'!$A$5:$AE$33,R$2)</f>
        <v>2.1336954014132932</v>
      </c>
      <c r="S60" s="12">
        <f>R60*VLOOKUP($A60,'EU Ref Sc 2020 Energy intensive'!$A$5:$AE$33,S$2)</f>
        <v>2.1088726198165375</v>
      </c>
      <c r="T60" s="12">
        <f>S60*VLOOKUP($A60,'EU Ref Sc 2020 Energy intensive'!$A$5:$AE$33,T$2)</f>
        <v>2.0840498382197818</v>
      </c>
      <c r="U60" s="12">
        <f>T60*VLOOKUP($A60,'EU Ref Sc 2020 Energy intensive'!$A$5:$AE$33,U$2)</f>
        <v>2.0592270566230262</v>
      </c>
      <c r="V60" s="12">
        <f>U60*VLOOKUP($A60,'EU Ref Sc 2020 Energy intensive'!$A$5:$AE$33,V$2)</f>
        <v>2.0344042750262705</v>
      </c>
      <c r="W60" s="12">
        <f>V60*VLOOKUP($A60,'EU Ref Sc 2020 Energy intensive'!$A$5:$AE$33,W$2)</f>
        <v>2.0095814934295144</v>
      </c>
      <c r="X60" s="12">
        <f>W60*VLOOKUP($A60,'EU Ref Sc 2020 Energy intensive'!$A$5:$AE$33,X$2)</f>
        <v>1.9917687904867294</v>
      </c>
      <c r="Y60" s="12">
        <f>X60*VLOOKUP($A60,'EU Ref Sc 2020 Energy intensive'!$A$5:$AE$33,Y$2)</f>
        <v>1.9739560875439441</v>
      </c>
      <c r="Z60" s="12">
        <f>Y60*VLOOKUP($A60,'EU Ref Sc 2020 Energy intensive'!$A$5:$AE$33,Z$2)</f>
        <v>1.9561433846011589</v>
      </c>
      <c r="AA60" s="12">
        <f>Z60*VLOOKUP($A60,'EU Ref Sc 2020 Energy intensive'!$A$5:$AE$33,AA$2)</f>
        <v>1.9383306816583736</v>
      </c>
      <c r="AB60" s="12">
        <f>AA60*VLOOKUP($A60,'EU Ref Sc 2020 Energy intensive'!$A$5:$AE$33,AB$2)</f>
        <v>1.9205179787155886</v>
      </c>
      <c r="AC60" s="12">
        <f>AB60*VLOOKUP($A60,'EU Ref Sc 2020 Energy intensive'!$A$5:$AE$33,AC$2)</f>
        <v>1.8972208818103136</v>
      </c>
      <c r="AD60" s="12">
        <f>AC60*VLOOKUP($A60,'EU Ref Sc 2020 Energy intensive'!$A$5:$AE$33,AD$2)</f>
        <v>1.8739237849050383</v>
      </c>
      <c r="AE60" s="12">
        <f>AD60*VLOOKUP($A60,'EU Ref Sc 2020 Energy intensive'!$A$5:$AE$33,AE$2)</f>
        <v>1.850626687999763</v>
      </c>
      <c r="AF60" s="12">
        <f>AE60*VLOOKUP($A60,'EU Ref Sc 2020 Energy intensive'!$A$5:$AE$33,AF$2)</f>
        <v>1.827329591094488</v>
      </c>
      <c r="AG60" s="12">
        <f>AF60*VLOOKUP($A60,'EU Ref Sc 2020 Energy intensive'!$A$5:$AE$33,AG$2)</f>
        <v>1.8040324941892127</v>
      </c>
      <c r="AH60" s="13">
        <f t="shared" ref="AH60:AQ60" si="58">AG60</f>
        <v>1.8040324941892127</v>
      </c>
      <c r="AI60" s="13">
        <f t="shared" si="58"/>
        <v>1.8040324941892127</v>
      </c>
      <c r="AJ60" s="13">
        <f t="shared" si="58"/>
        <v>1.8040324941892127</v>
      </c>
      <c r="AK60" s="13">
        <f t="shared" si="58"/>
        <v>1.8040324941892127</v>
      </c>
      <c r="AL60" s="13">
        <f t="shared" si="58"/>
        <v>1.8040324941892127</v>
      </c>
      <c r="AM60" s="13">
        <f t="shared" si="58"/>
        <v>1.8040324941892127</v>
      </c>
      <c r="AN60" s="13">
        <f t="shared" si="58"/>
        <v>1.8040324941892127</v>
      </c>
      <c r="AO60" s="13">
        <f t="shared" si="58"/>
        <v>1.8040324941892127</v>
      </c>
      <c r="AP60" s="13">
        <f t="shared" si="58"/>
        <v>1.8040324941892127</v>
      </c>
      <c r="AQ60" s="13">
        <f t="shared" si="58"/>
        <v>1.8040324941892127</v>
      </c>
    </row>
    <row r="61" spans="1:43" x14ac:dyDescent="0.3">
      <c r="A61" t="s">
        <v>1417</v>
      </c>
      <c r="B61" t="s">
        <v>1393</v>
      </c>
      <c r="C61" t="str">
        <f t="shared" si="33"/>
        <v>LVIUEN</v>
      </c>
      <c r="D61" s="2">
        <v>3.5730999999999997</v>
      </c>
      <c r="E61" s="12">
        <f>D61*VLOOKUP($A61,'EU Ref Sc 2020 Energy intensive'!$A$5:$AE$33,E$2)</f>
        <v>3.5838613797573879</v>
      </c>
      <c r="F61" s="12">
        <f>E61*VLOOKUP($A61,'EU Ref Sc 2020 Energy intensive'!$A$5:$AE$33,F$2)</f>
        <v>3.5946227595147762</v>
      </c>
      <c r="G61" s="12">
        <f>F61*VLOOKUP($A61,'EU Ref Sc 2020 Energy intensive'!$A$5:$AE$33,G$2)</f>
        <v>3.6053841392721639</v>
      </c>
      <c r="H61" s="12">
        <f>G61*VLOOKUP($A61,'EU Ref Sc 2020 Energy intensive'!$A$5:$AE$33,H$2)</f>
        <v>3.6161455190295531</v>
      </c>
      <c r="I61" s="12">
        <f>H61*VLOOKUP($A61,'EU Ref Sc 2020 Energy intensive'!$A$5:$AE$33,I$2)</f>
        <v>3.5223411157044953</v>
      </c>
      <c r="J61" s="12">
        <f>I61*VLOOKUP($A61,'EU Ref Sc 2020 Energy intensive'!$A$5:$AE$33,J$2)</f>
        <v>3.4285367123794375</v>
      </c>
      <c r="K61" s="12">
        <f>J61*VLOOKUP($A61,'EU Ref Sc 2020 Energy intensive'!$A$5:$AE$33,K$2)</f>
        <v>3.3347323090543797</v>
      </c>
      <c r="L61" s="12">
        <f>K61*VLOOKUP($A61,'EU Ref Sc 2020 Energy intensive'!$A$5:$AE$33,L$2)</f>
        <v>3.2409279057293223</v>
      </c>
      <c r="M61" s="12">
        <f>L61*VLOOKUP($A61,'EU Ref Sc 2020 Energy intensive'!$A$5:$AE$33,M$2)</f>
        <v>3.1471235024042659</v>
      </c>
      <c r="N61" s="12">
        <f>M61*VLOOKUP($A61,'EU Ref Sc 2020 Energy intensive'!$A$5:$AE$33,N$2)</f>
        <v>3.1344132419125836</v>
      </c>
      <c r="O61" s="12">
        <f>N61*VLOOKUP($A61,'EU Ref Sc 2020 Energy intensive'!$A$5:$AE$33,O$2)</f>
        <v>3.1217029814209014</v>
      </c>
      <c r="P61" s="12">
        <f>O61*VLOOKUP($A61,'EU Ref Sc 2020 Energy intensive'!$A$5:$AE$33,P$2)</f>
        <v>3.1089927209292192</v>
      </c>
      <c r="Q61" s="12">
        <f>P61*VLOOKUP($A61,'EU Ref Sc 2020 Energy intensive'!$A$5:$AE$33,Q$2)</f>
        <v>3.096282460437537</v>
      </c>
      <c r="R61" s="12">
        <f>Q61*VLOOKUP($A61,'EU Ref Sc 2020 Energy intensive'!$A$5:$AE$33,R$2)</f>
        <v>3.0835721999458552</v>
      </c>
      <c r="S61" s="12">
        <f>R61*VLOOKUP($A61,'EU Ref Sc 2020 Energy intensive'!$A$5:$AE$33,S$2)</f>
        <v>3.0181177197681759</v>
      </c>
      <c r="T61" s="12">
        <f>S61*VLOOKUP($A61,'EU Ref Sc 2020 Energy intensive'!$A$5:$AE$33,T$2)</f>
        <v>2.9526632395904966</v>
      </c>
      <c r="U61" s="12">
        <f>T61*VLOOKUP($A61,'EU Ref Sc 2020 Energy intensive'!$A$5:$AE$33,U$2)</f>
        <v>2.8872087594128173</v>
      </c>
      <c r="V61" s="12">
        <f>U61*VLOOKUP($A61,'EU Ref Sc 2020 Energy intensive'!$A$5:$AE$33,V$2)</f>
        <v>2.8217542792351384</v>
      </c>
      <c r="W61" s="12">
        <f>V61*VLOOKUP($A61,'EU Ref Sc 2020 Energy intensive'!$A$5:$AE$33,W$2)</f>
        <v>2.75629979905746</v>
      </c>
      <c r="X61" s="12">
        <f>W61*VLOOKUP($A61,'EU Ref Sc 2020 Energy intensive'!$A$5:$AE$33,X$2)</f>
        <v>2.7120112677073909</v>
      </c>
      <c r="Y61" s="12">
        <f>X61*VLOOKUP($A61,'EU Ref Sc 2020 Energy intensive'!$A$5:$AE$33,Y$2)</f>
        <v>2.6677227363573217</v>
      </c>
      <c r="Z61" s="12">
        <f>Y61*VLOOKUP($A61,'EU Ref Sc 2020 Energy intensive'!$A$5:$AE$33,Z$2)</f>
        <v>2.6234342050072526</v>
      </c>
      <c r="AA61" s="12">
        <f>Z61*VLOOKUP($A61,'EU Ref Sc 2020 Energy intensive'!$A$5:$AE$33,AA$2)</f>
        <v>2.5791456736571834</v>
      </c>
      <c r="AB61" s="12">
        <f>AA61*VLOOKUP($A61,'EU Ref Sc 2020 Energy intensive'!$A$5:$AE$33,AB$2)</f>
        <v>2.5348571423071138</v>
      </c>
      <c r="AC61" s="12">
        <f>AB61*VLOOKUP($A61,'EU Ref Sc 2020 Energy intensive'!$A$5:$AE$33,AC$2)</f>
        <v>2.5131278278465841</v>
      </c>
      <c r="AD61" s="12">
        <f>AC61*VLOOKUP($A61,'EU Ref Sc 2020 Energy intensive'!$A$5:$AE$33,AD$2)</f>
        <v>2.4913985133860543</v>
      </c>
      <c r="AE61" s="12">
        <f>AD61*VLOOKUP($A61,'EU Ref Sc 2020 Energy intensive'!$A$5:$AE$33,AE$2)</f>
        <v>2.4696691989255246</v>
      </c>
      <c r="AF61" s="12">
        <f>AE61*VLOOKUP($A61,'EU Ref Sc 2020 Energy intensive'!$A$5:$AE$33,AF$2)</f>
        <v>2.4479398844649949</v>
      </c>
      <c r="AG61" s="12">
        <f>AF61*VLOOKUP($A61,'EU Ref Sc 2020 Energy intensive'!$A$5:$AE$33,AG$2)</f>
        <v>2.4262105700044656</v>
      </c>
      <c r="AH61" s="13">
        <f t="shared" ref="AH61:AQ61" si="59">AG61</f>
        <v>2.4262105700044656</v>
      </c>
      <c r="AI61" s="13">
        <f t="shared" si="59"/>
        <v>2.4262105700044656</v>
      </c>
      <c r="AJ61" s="13">
        <f t="shared" si="59"/>
        <v>2.4262105700044656</v>
      </c>
      <c r="AK61" s="13">
        <f t="shared" si="59"/>
        <v>2.4262105700044656</v>
      </c>
      <c r="AL61" s="13">
        <f t="shared" si="59"/>
        <v>2.4262105700044656</v>
      </c>
      <c r="AM61" s="13">
        <f t="shared" si="59"/>
        <v>2.4262105700044656</v>
      </c>
      <c r="AN61" s="13">
        <f t="shared" si="59"/>
        <v>2.4262105700044656</v>
      </c>
      <c r="AO61" s="13">
        <f t="shared" si="59"/>
        <v>2.4262105700044656</v>
      </c>
      <c r="AP61" s="13">
        <f t="shared" si="59"/>
        <v>2.4262105700044656</v>
      </c>
      <c r="AQ61" s="13">
        <f t="shared" si="59"/>
        <v>2.4262105700044656</v>
      </c>
    </row>
    <row r="62" spans="1:43" x14ac:dyDescent="0.3">
      <c r="A62" t="s">
        <v>1419</v>
      </c>
      <c r="B62" t="s">
        <v>1393</v>
      </c>
      <c r="C62" t="str">
        <f t="shared" si="33"/>
        <v>NLIUEN</v>
      </c>
      <c r="D62" s="2">
        <v>11.7471</v>
      </c>
      <c r="E62" s="12">
        <f>D62*VLOOKUP($A62,'EU Ref Sc 2020 Energy intensive'!$A$5:$AE$33,E$2)</f>
        <v>11.801880575669362</v>
      </c>
      <c r="F62" s="12">
        <f>E62*VLOOKUP($A62,'EU Ref Sc 2020 Energy intensive'!$A$5:$AE$33,F$2)</f>
        <v>11.856661151338724</v>
      </c>
      <c r="G62" s="12">
        <f>F62*VLOOKUP($A62,'EU Ref Sc 2020 Energy intensive'!$A$5:$AE$33,G$2)</f>
        <v>11.911441727008086</v>
      </c>
      <c r="H62" s="12">
        <f>G62*VLOOKUP($A62,'EU Ref Sc 2020 Energy intensive'!$A$5:$AE$33,H$2)</f>
        <v>11.966222302677449</v>
      </c>
      <c r="I62" s="12">
        <f>H62*VLOOKUP($A62,'EU Ref Sc 2020 Energy intensive'!$A$5:$AE$33,I$2)</f>
        <v>11.725923661661833</v>
      </c>
      <c r="J62" s="12">
        <f>I62*VLOOKUP($A62,'EU Ref Sc 2020 Energy intensive'!$A$5:$AE$33,J$2)</f>
        <v>11.485625020646216</v>
      </c>
      <c r="K62" s="12">
        <f>J62*VLOOKUP($A62,'EU Ref Sc 2020 Energy intensive'!$A$5:$AE$33,K$2)</f>
        <v>11.245326379630599</v>
      </c>
      <c r="L62" s="12">
        <f>K62*VLOOKUP($A62,'EU Ref Sc 2020 Energy intensive'!$A$5:$AE$33,L$2)</f>
        <v>11.005027738614983</v>
      </c>
      <c r="M62" s="12">
        <f>L62*VLOOKUP($A62,'EU Ref Sc 2020 Energy intensive'!$A$5:$AE$33,M$2)</f>
        <v>10.764729097599364</v>
      </c>
      <c r="N62" s="12">
        <f>M62*VLOOKUP($A62,'EU Ref Sc 2020 Energy intensive'!$A$5:$AE$33,N$2)</f>
        <v>10.656853278234186</v>
      </c>
      <c r="O62" s="12">
        <f>N62*VLOOKUP($A62,'EU Ref Sc 2020 Energy intensive'!$A$5:$AE$33,O$2)</f>
        <v>10.548977458869008</v>
      </c>
      <c r="P62" s="12">
        <f>O62*VLOOKUP($A62,'EU Ref Sc 2020 Energy intensive'!$A$5:$AE$33,P$2)</f>
        <v>10.441101639503829</v>
      </c>
      <c r="Q62" s="12">
        <f>P62*VLOOKUP($A62,'EU Ref Sc 2020 Energy intensive'!$A$5:$AE$33,Q$2)</f>
        <v>10.333225820138651</v>
      </c>
      <c r="R62" s="12">
        <f>Q62*VLOOKUP($A62,'EU Ref Sc 2020 Energy intensive'!$A$5:$AE$33,R$2)</f>
        <v>10.225350000773473</v>
      </c>
      <c r="S62" s="12">
        <f>R62*VLOOKUP($A62,'EU Ref Sc 2020 Energy intensive'!$A$5:$AE$33,S$2)</f>
        <v>9.9209069765615663</v>
      </c>
      <c r="T62" s="12">
        <f>S62*VLOOKUP($A62,'EU Ref Sc 2020 Energy intensive'!$A$5:$AE$33,T$2)</f>
        <v>9.61646395234966</v>
      </c>
      <c r="U62" s="12">
        <f>T62*VLOOKUP($A62,'EU Ref Sc 2020 Energy intensive'!$A$5:$AE$33,U$2)</f>
        <v>9.3120209281377555</v>
      </c>
      <c r="V62" s="12">
        <f>U62*VLOOKUP($A62,'EU Ref Sc 2020 Energy intensive'!$A$5:$AE$33,V$2)</f>
        <v>9.0075779039258492</v>
      </c>
      <c r="W62" s="12">
        <f>V62*VLOOKUP($A62,'EU Ref Sc 2020 Energy intensive'!$A$5:$AE$33,W$2)</f>
        <v>8.703134879713943</v>
      </c>
      <c r="X62" s="12">
        <f>W62*VLOOKUP($A62,'EU Ref Sc 2020 Energy intensive'!$A$5:$AE$33,X$2)</f>
        <v>8.7104031109369213</v>
      </c>
      <c r="Y62" s="12">
        <f>X62*VLOOKUP($A62,'EU Ref Sc 2020 Energy intensive'!$A$5:$AE$33,Y$2)</f>
        <v>8.7176713421598997</v>
      </c>
      <c r="Z62" s="12">
        <f>Y62*VLOOKUP($A62,'EU Ref Sc 2020 Energy intensive'!$A$5:$AE$33,Z$2)</f>
        <v>8.7249395733828781</v>
      </c>
      <c r="AA62" s="12">
        <f>Z62*VLOOKUP($A62,'EU Ref Sc 2020 Energy intensive'!$A$5:$AE$33,AA$2)</f>
        <v>8.7322078046058582</v>
      </c>
      <c r="AB62" s="12">
        <f>AA62*VLOOKUP($A62,'EU Ref Sc 2020 Energy intensive'!$A$5:$AE$33,AB$2)</f>
        <v>8.7394760358288384</v>
      </c>
      <c r="AC62" s="12">
        <f>AB62*VLOOKUP($A62,'EU Ref Sc 2020 Energy intensive'!$A$5:$AE$33,AC$2)</f>
        <v>8.786575190603914</v>
      </c>
      <c r="AD62" s="12">
        <f>AC62*VLOOKUP($A62,'EU Ref Sc 2020 Energy intensive'!$A$5:$AE$33,AD$2)</f>
        <v>8.8336743453789897</v>
      </c>
      <c r="AE62" s="12">
        <f>AD62*VLOOKUP($A62,'EU Ref Sc 2020 Energy intensive'!$A$5:$AE$33,AE$2)</f>
        <v>8.8807735001540653</v>
      </c>
      <c r="AF62" s="12">
        <f>AE62*VLOOKUP($A62,'EU Ref Sc 2020 Energy intensive'!$A$5:$AE$33,AF$2)</f>
        <v>8.9278726549291409</v>
      </c>
      <c r="AG62" s="12">
        <f>AF62*VLOOKUP($A62,'EU Ref Sc 2020 Energy intensive'!$A$5:$AE$33,AG$2)</f>
        <v>8.9749718097042166</v>
      </c>
      <c r="AH62" s="13">
        <f t="shared" ref="AH62:AQ62" si="60">AG62</f>
        <v>8.9749718097042166</v>
      </c>
      <c r="AI62" s="13">
        <f t="shared" si="60"/>
        <v>8.9749718097042166</v>
      </c>
      <c r="AJ62" s="13">
        <f t="shared" si="60"/>
        <v>8.9749718097042166</v>
      </c>
      <c r="AK62" s="13">
        <f t="shared" si="60"/>
        <v>8.9749718097042166</v>
      </c>
      <c r="AL62" s="13">
        <f t="shared" si="60"/>
        <v>8.9749718097042166</v>
      </c>
      <c r="AM62" s="13">
        <f t="shared" si="60"/>
        <v>8.9749718097042166</v>
      </c>
      <c r="AN62" s="13">
        <f t="shared" si="60"/>
        <v>8.9749718097042166</v>
      </c>
      <c r="AO62" s="13">
        <f t="shared" si="60"/>
        <v>8.9749718097042166</v>
      </c>
      <c r="AP62" s="13">
        <f t="shared" si="60"/>
        <v>8.9749718097042166</v>
      </c>
      <c r="AQ62" s="13">
        <f t="shared" si="60"/>
        <v>8.9749718097042166</v>
      </c>
    </row>
    <row r="63" spans="1:43" x14ac:dyDescent="0.3">
      <c r="A63" t="s">
        <v>1420</v>
      </c>
      <c r="B63" t="s">
        <v>1393</v>
      </c>
      <c r="C63" t="str">
        <f t="shared" si="33"/>
        <v>PLIUEN</v>
      </c>
      <c r="D63" s="2">
        <v>61.110999999999997</v>
      </c>
      <c r="E63" s="12">
        <f>D63*VLOOKUP($A63,'EU Ref Sc 2020 Energy intensive'!$A$5:$AE$33,E$2)</f>
        <v>61.191874810634928</v>
      </c>
      <c r="F63" s="12">
        <f>E63*VLOOKUP($A63,'EU Ref Sc 2020 Energy intensive'!$A$5:$AE$33,F$2)</f>
        <v>61.27274962126986</v>
      </c>
      <c r="G63" s="12">
        <f>F63*VLOOKUP($A63,'EU Ref Sc 2020 Energy intensive'!$A$5:$AE$33,G$2)</f>
        <v>61.353624431904798</v>
      </c>
      <c r="H63" s="12">
        <f>G63*VLOOKUP($A63,'EU Ref Sc 2020 Energy intensive'!$A$5:$AE$33,H$2)</f>
        <v>61.434499242539722</v>
      </c>
      <c r="I63" s="12">
        <f>H63*VLOOKUP($A63,'EU Ref Sc 2020 Energy intensive'!$A$5:$AE$33,I$2)</f>
        <v>61.527563536137407</v>
      </c>
      <c r="J63" s="12">
        <f>I63*VLOOKUP($A63,'EU Ref Sc 2020 Energy intensive'!$A$5:$AE$33,J$2)</f>
        <v>61.620627829735092</v>
      </c>
      <c r="K63" s="12">
        <f>J63*VLOOKUP($A63,'EU Ref Sc 2020 Energy intensive'!$A$5:$AE$33,K$2)</f>
        <v>61.713692123332777</v>
      </c>
      <c r="L63" s="12">
        <f>K63*VLOOKUP($A63,'EU Ref Sc 2020 Energy intensive'!$A$5:$AE$33,L$2)</f>
        <v>61.806756416930455</v>
      </c>
      <c r="M63" s="12">
        <f>L63*VLOOKUP($A63,'EU Ref Sc 2020 Energy intensive'!$A$5:$AE$33,M$2)</f>
        <v>61.899820710528161</v>
      </c>
      <c r="N63" s="12">
        <f>M63*VLOOKUP($A63,'EU Ref Sc 2020 Energy intensive'!$A$5:$AE$33,N$2)</f>
        <v>60.604487584428746</v>
      </c>
      <c r="O63" s="12">
        <f>N63*VLOOKUP($A63,'EU Ref Sc 2020 Energy intensive'!$A$5:$AE$33,O$2)</f>
        <v>59.309154458329331</v>
      </c>
      <c r="P63" s="12">
        <f>O63*VLOOKUP($A63,'EU Ref Sc 2020 Energy intensive'!$A$5:$AE$33,P$2)</f>
        <v>58.013821332229917</v>
      </c>
      <c r="Q63" s="12">
        <f>P63*VLOOKUP($A63,'EU Ref Sc 2020 Energy intensive'!$A$5:$AE$33,Q$2)</f>
        <v>56.718488206130502</v>
      </c>
      <c r="R63" s="12">
        <f>Q63*VLOOKUP($A63,'EU Ref Sc 2020 Energy intensive'!$A$5:$AE$33,R$2)</f>
        <v>55.423155080031066</v>
      </c>
      <c r="S63" s="12">
        <f>R63*VLOOKUP($A63,'EU Ref Sc 2020 Energy intensive'!$A$5:$AE$33,S$2)</f>
        <v>55.209862660156816</v>
      </c>
      <c r="T63" s="12">
        <f>S63*VLOOKUP($A63,'EU Ref Sc 2020 Energy intensive'!$A$5:$AE$33,T$2)</f>
        <v>54.996570240282566</v>
      </c>
      <c r="U63" s="12">
        <f>T63*VLOOKUP($A63,'EU Ref Sc 2020 Energy intensive'!$A$5:$AE$33,U$2)</f>
        <v>54.783277820408316</v>
      </c>
      <c r="V63" s="12">
        <f>U63*VLOOKUP($A63,'EU Ref Sc 2020 Energy intensive'!$A$5:$AE$33,V$2)</f>
        <v>54.569985400534065</v>
      </c>
      <c r="W63" s="12">
        <f>V63*VLOOKUP($A63,'EU Ref Sc 2020 Energy intensive'!$A$5:$AE$33,W$2)</f>
        <v>54.356692980659808</v>
      </c>
      <c r="X63" s="12">
        <f>W63*VLOOKUP($A63,'EU Ref Sc 2020 Energy intensive'!$A$5:$AE$33,X$2)</f>
        <v>54.294371893425115</v>
      </c>
      <c r="Y63" s="12">
        <f>X63*VLOOKUP($A63,'EU Ref Sc 2020 Energy intensive'!$A$5:$AE$33,Y$2)</f>
        <v>54.232050806190422</v>
      </c>
      <c r="Z63" s="12">
        <f>Y63*VLOOKUP($A63,'EU Ref Sc 2020 Energy intensive'!$A$5:$AE$33,Z$2)</f>
        <v>54.169729718955722</v>
      </c>
      <c r="AA63" s="12">
        <f>Z63*VLOOKUP($A63,'EU Ref Sc 2020 Energy intensive'!$A$5:$AE$33,AA$2)</f>
        <v>54.107408631721022</v>
      </c>
      <c r="AB63" s="12">
        <f>AA63*VLOOKUP($A63,'EU Ref Sc 2020 Energy intensive'!$A$5:$AE$33,AB$2)</f>
        <v>54.045087544486321</v>
      </c>
      <c r="AC63" s="12">
        <f>AB63*VLOOKUP($A63,'EU Ref Sc 2020 Energy intensive'!$A$5:$AE$33,AC$2)</f>
        <v>53.914875060279101</v>
      </c>
      <c r="AD63" s="12">
        <f>AC63*VLOOKUP($A63,'EU Ref Sc 2020 Energy intensive'!$A$5:$AE$33,AD$2)</f>
        <v>53.784662576071881</v>
      </c>
      <c r="AE63" s="12">
        <f>AD63*VLOOKUP($A63,'EU Ref Sc 2020 Energy intensive'!$A$5:$AE$33,AE$2)</f>
        <v>53.654450091864661</v>
      </c>
      <c r="AF63" s="12">
        <f>AE63*VLOOKUP($A63,'EU Ref Sc 2020 Energy intensive'!$A$5:$AE$33,AF$2)</f>
        <v>53.52423760765744</v>
      </c>
      <c r="AG63" s="12">
        <f>AF63*VLOOKUP($A63,'EU Ref Sc 2020 Energy intensive'!$A$5:$AE$33,AG$2)</f>
        <v>53.394025123450206</v>
      </c>
      <c r="AH63" s="13">
        <f t="shared" ref="AH63:AQ63" si="61">AG63</f>
        <v>53.394025123450206</v>
      </c>
      <c r="AI63" s="13">
        <f t="shared" si="61"/>
        <v>53.394025123450206</v>
      </c>
      <c r="AJ63" s="13">
        <f t="shared" si="61"/>
        <v>53.394025123450206</v>
      </c>
      <c r="AK63" s="13">
        <f t="shared" si="61"/>
        <v>53.394025123450206</v>
      </c>
      <c r="AL63" s="13">
        <f t="shared" si="61"/>
        <v>53.394025123450206</v>
      </c>
      <c r="AM63" s="13">
        <f t="shared" si="61"/>
        <v>53.394025123450206</v>
      </c>
      <c r="AN63" s="13">
        <f t="shared" si="61"/>
        <v>53.394025123450206</v>
      </c>
      <c r="AO63" s="13">
        <f t="shared" si="61"/>
        <v>53.394025123450206</v>
      </c>
      <c r="AP63" s="13">
        <f t="shared" si="61"/>
        <v>53.394025123450206</v>
      </c>
      <c r="AQ63" s="13">
        <f t="shared" si="61"/>
        <v>53.394025123450206</v>
      </c>
    </row>
    <row r="64" spans="1:43" x14ac:dyDescent="0.3">
      <c r="A64" t="s">
        <v>1421</v>
      </c>
      <c r="B64" t="s">
        <v>1393</v>
      </c>
      <c r="C64" t="str">
        <f t="shared" si="33"/>
        <v>PTIUEN</v>
      </c>
      <c r="D64" s="2">
        <v>20.089500000000001</v>
      </c>
      <c r="E64" s="12">
        <f>D64*VLOOKUP($A64,'EU Ref Sc 2020 Energy intensive'!$A$5:$AE$33,E$2)</f>
        <v>20.087521041448564</v>
      </c>
      <c r="F64" s="12">
        <f>E64*VLOOKUP($A64,'EU Ref Sc 2020 Energy intensive'!$A$5:$AE$33,F$2)</f>
        <v>20.085542082897128</v>
      </c>
      <c r="G64" s="12">
        <f>F64*VLOOKUP($A64,'EU Ref Sc 2020 Energy intensive'!$A$5:$AE$33,G$2)</f>
        <v>20.083563124345691</v>
      </c>
      <c r="H64" s="12">
        <f>G64*VLOOKUP($A64,'EU Ref Sc 2020 Energy intensive'!$A$5:$AE$33,H$2)</f>
        <v>20.081584165794258</v>
      </c>
      <c r="I64" s="12">
        <f>H64*VLOOKUP($A64,'EU Ref Sc 2020 Energy intensive'!$A$5:$AE$33,I$2)</f>
        <v>19.920169971543224</v>
      </c>
      <c r="J64" s="12">
        <f>I64*VLOOKUP($A64,'EU Ref Sc 2020 Energy intensive'!$A$5:$AE$33,J$2)</f>
        <v>19.75875577729219</v>
      </c>
      <c r="K64" s="12">
        <f>J64*VLOOKUP($A64,'EU Ref Sc 2020 Energy intensive'!$A$5:$AE$33,K$2)</f>
        <v>19.597341583041157</v>
      </c>
      <c r="L64" s="12">
        <f>K64*VLOOKUP($A64,'EU Ref Sc 2020 Energy intensive'!$A$5:$AE$33,L$2)</f>
        <v>19.435927388790123</v>
      </c>
      <c r="M64" s="12">
        <f>L64*VLOOKUP($A64,'EU Ref Sc 2020 Energy intensive'!$A$5:$AE$33,M$2)</f>
        <v>19.274513194539097</v>
      </c>
      <c r="N64" s="12">
        <f>M64*VLOOKUP($A64,'EU Ref Sc 2020 Energy intensive'!$A$5:$AE$33,N$2)</f>
        <v>19.010941546987429</v>
      </c>
      <c r="O64" s="12">
        <f>N64*VLOOKUP($A64,'EU Ref Sc 2020 Energy intensive'!$A$5:$AE$33,O$2)</f>
        <v>18.74736989943576</v>
      </c>
      <c r="P64" s="12">
        <f>O64*VLOOKUP($A64,'EU Ref Sc 2020 Energy intensive'!$A$5:$AE$33,P$2)</f>
        <v>18.483798251884092</v>
      </c>
      <c r="Q64" s="12">
        <f>P64*VLOOKUP($A64,'EU Ref Sc 2020 Energy intensive'!$A$5:$AE$33,Q$2)</f>
        <v>18.220226604332424</v>
      </c>
      <c r="R64" s="12">
        <f>Q64*VLOOKUP($A64,'EU Ref Sc 2020 Energy intensive'!$A$5:$AE$33,R$2)</f>
        <v>17.956654956780756</v>
      </c>
      <c r="S64" s="12">
        <f>R64*VLOOKUP($A64,'EU Ref Sc 2020 Energy intensive'!$A$5:$AE$33,S$2)</f>
        <v>17.600378069218475</v>
      </c>
      <c r="T64" s="12">
        <f>S64*VLOOKUP($A64,'EU Ref Sc 2020 Energy intensive'!$A$5:$AE$33,T$2)</f>
        <v>17.244101181656195</v>
      </c>
      <c r="U64" s="12">
        <f>T64*VLOOKUP($A64,'EU Ref Sc 2020 Energy intensive'!$A$5:$AE$33,U$2)</f>
        <v>16.887824294093914</v>
      </c>
      <c r="V64" s="12">
        <f>U64*VLOOKUP($A64,'EU Ref Sc 2020 Energy intensive'!$A$5:$AE$33,V$2)</f>
        <v>16.531547406531633</v>
      </c>
      <c r="W64" s="12">
        <f>V64*VLOOKUP($A64,'EU Ref Sc 2020 Energy intensive'!$A$5:$AE$33,W$2)</f>
        <v>16.175270518969356</v>
      </c>
      <c r="X64" s="12">
        <f>W64*VLOOKUP($A64,'EU Ref Sc 2020 Energy intensive'!$A$5:$AE$33,X$2)</f>
        <v>15.994802037291324</v>
      </c>
      <c r="Y64" s="12">
        <f>X64*VLOOKUP($A64,'EU Ref Sc 2020 Energy intensive'!$A$5:$AE$33,Y$2)</f>
        <v>15.814333555613292</v>
      </c>
      <c r="Z64" s="12">
        <f>Y64*VLOOKUP($A64,'EU Ref Sc 2020 Energy intensive'!$A$5:$AE$33,Z$2)</f>
        <v>15.63386507393526</v>
      </c>
      <c r="AA64" s="12">
        <f>Z64*VLOOKUP($A64,'EU Ref Sc 2020 Energy intensive'!$A$5:$AE$33,AA$2)</f>
        <v>15.453396592257228</v>
      </c>
      <c r="AB64" s="12">
        <f>AA64*VLOOKUP($A64,'EU Ref Sc 2020 Energy intensive'!$A$5:$AE$33,AB$2)</f>
        <v>15.272928110579191</v>
      </c>
      <c r="AC64" s="12">
        <f>AB64*VLOOKUP($A64,'EU Ref Sc 2020 Energy intensive'!$A$5:$AE$33,AC$2)</f>
        <v>15.12410207581615</v>
      </c>
      <c r="AD64" s="12">
        <f>AC64*VLOOKUP($A64,'EU Ref Sc 2020 Energy intensive'!$A$5:$AE$33,AD$2)</f>
        <v>14.975276041053109</v>
      </c>
      <c r="AE64" s="12">
        <f>AD64*VLOOKUP($A64,'EU Ref Sc 2020 Energy intensive'!$A$5:$AE$33,AE$2)</f>
        <v>14.826450006290067</v>
      </c>
      <c r="AF64" s="12">
        <f>AE64*VLOOKUP($A64,'EU Ref Sc 2020 Energy intensive'!$A$5:$AE$33,AF$2)</f>
        <v>14.677623971527025</v>
      </c>
      <c r="AG64" s="12">
        <f>AF64*VLOOKUP($A64,'EU Ref Sc 2020 Energy intensive'!$A$5:$AE$33,AG$2)</f>
        <v>14.52879793676399</v>
      </c>
      <c r="AH64" s="13">
        <f t="shared" ref="AH64:AQ64" si="62">AG64</f>
        <v>14.52879793676399</v>
      </c>
      <c r="AI64" s="13">
        <f t="shared" si="62"/>
        <v>14.52879793676399</v>
      </c>
      <c r="AJ64" s="13">
        <f t="shared" si="62"/>
        <v>14.52879793676399</v>
      </c>
      <c r="AK64" s="13">
        <f t="shared" si="62"/>
        <v>14.52879793676399</v>
      </c>
      <c r="AL64" s="13">
        <f t="shared" si="62"/>
        <v>14.52879793676399</v>
      </c>
      <c r="AM64" s="13">
        <f t="shared" si="62"/>
        <v>14.52879793676399</v>
      </c>
      <c r="AN64" s="13">
        <f t="shared" si="62"/>
        <v>14.52879793676399</v>
      </c>
      <c r="AO64" s="13">
        <f t="shared" si="62"/>
        <v>14.52879793676399</v>
      </c>
      <c r="AP64" s="13">
        <f t="shared" si="62"/>
        <v>14.52879793676399</v>
      </c>
      <c r="AQ64" s="13">
        <f t="shared" si="62"/>
        <v>14.52879793676399</v>
      </c>
    </row>
    <row r="65" spans="1:43" x14ac:dyDescent="0.3">
      <c r="A65" t="s">
        <v>1422</v>
      </c>
      <c r="B65" t="s">
        <v>1393</v>
      </c>
      <c r="C65" t="str">
        <f t="shared" si="33"/>
        <v>ROIUEN</v>
      </c>
      <c r="D65" s="2">
        <v>21.4697</v>
      </c>
      <c r="E65" s="12">
        <f>D65*VLOOKUP($A65,'EU Ref Sc 2020 Energy intensive'!$A$5:$AE$33,E$2)</f>
        <v>21.976594400645098</v>
      </c>
      <c r="F65" s="12">
        <f>E65*VLOOKUP($A65,'EU Ref Sc 2020 Energy intensive'!$A$5:$AE$33,F$2)</f>
        <v>22.483488801290196</v>
      </c>
      <c r="G65" s="12">
        <f>F65*VLOOKUP($A65,'EU Ref Sc 2020 Energy intensive'!$A$5:$AE$33,G$2)</f>
        <v>22.990383201935298</v>
      </c>
      <c r="H65" s="12">
        <f>G65*VLOOKUP($A65,'EU Ref Sc 2020 Energy intensive'!$A$5:$AE$33,H$2)</f>
        <v>23.497277602580397</v>
      </c>
      <c r="I65" s="12">
        <f>H65*VLOOKUP($A65,'EU Ref Sc 2020 Energy intensive'!$A$5:$AE$33,I$2)</f>
        <v>23.441717942710238</v>
      </c>
      <c r="J65" s="12">
        <f>I65*VLOOKUP($A65,'EU Ref Sc 2020 Energy intensive'!$A$5:$AE$33,J$2)</f>
        <v>23.386158282840082</v>
      </c>
      <c r="K65" s="12">
        <f>J65*VLOOKUP($A65,'EU Ref Sc 2020 Energy intensive'!$A$5:$AE$33,K$2)</f>
        <v>23.330598622969923</v>
      </c>
      <c r="L65" s="12">
        <f>K65*VLOOKUP($A65,'EU Ref Sc 2020 Energy intensive'!$A$5:$AE$33,L$2)</f>
        <v>23.275038963099764</v>
      </c>
      <c r="M65" s="12">
        <f>L65*VLOOKUP($A65,'EU Ref Sc 2020 Energy intensive'!$A$5:$AE$33,M$2)</f>
        <v>23.219479303229601</v>
      </c>
      <c r="N65" s="12">
        <f>M65*VLOOKUP($A65,'EU Ref Sc 2020 Energy intensive'!$A$5:$AE$33,N$2)</f>
        <v>23.012674565158036</v>
      </c>
      <c r="O65" s="12">
        <f>N65*VLOOKUP($A65,'EU Ref Sc 2020 Energy intensive'!$A$5:$AE$33,O$2)</f>
        <v>22.805869827086468</v>
      </c>
      <c r="P65" s="12">
        <f>O65*VLOOKUP($A65,'EU Ref Sc 2020 Energy intensive'!$A$5:$AE$33,P$2)</f>
        <v>22.599065089014903</v>
      </c>
      <c r="Q65" s="12">
        <f>P65*VLOOKUP($A65,'EU Ref Sc 2020 Energy intensive'!$A$5:$AE$33,Q$2)</f>
        <v>22.392260350943339</v>
      </c>
      <c r="R65" s="12">
        <f>Q65*VLOOKUP($A65,'EU Ref Sc 2020 Energy intensive'!$A$5:$AE$33,R$2)</f>
        <v>22.185455612871774</v>
      </c>
      <c r="S65" s="12">
        <f>R65*VLOOKUP($A65,'EU Ref Sc 2020 Energy intensive'!$A$5:$AE$33,S$2)</f>
        <v>21.894921292733482</v>
      </c>
      <c r="T65" s="12">
        <f>S65*VLOOKUP($A65,'EU Ref Sc 2020 Energy intensive'!$A$5:$AE$33,T$2)</f>
        <v>21.60438697259519</v>
      </c>
      <c r="U65" s="12">
        <f>T65*VLOOKUP($A65,'EU Ref Sc 2020 Energy intensive'!$A$5:$AE$33,U$2)</f>
        <v>21.313852652456902</v>
      </c>
      <c r="V65" s="12">
        <f>U65*VLOOKUP($A65,'EU Ref Sc 2020 Energy intensive'!$A$5:$AE$33,V$2)</f>
        <v>21.02331833231861</v>
      </c>
      <c r="W65" s="12">
        <f>V65*VLOOKUP($A65,'EU Ref Sc 2020 Energy intensive'!$A$5:$AE$33,W$2)</f>
        <v>20.732784012180318</v>
      </c>
      <c r="X65" s="12">
        <f>W65*VLOOKUP($A65,'EU Ref Sc 2020 Energy intensive'!$A$5:$AE$33,X$2)</f>
        <v>20.527359099940846</v>
      </c>
      <c r="Y65" s="12">
        <f>X65*VLOOKUP($A65,'EU Ref Sc 2020 Energy intensive'!$A$5:$AE$33,Y$2)</f>
        <v>20.321934187701373</v>
      </c>
      <c r="Z65" s="12">
        <f>Y65*VLOOKUP($A65,'EU Ref Sc 2020 Energy intensive'!$A$5:$AE$33,Z$2)</f>
        <v>20.116509275461901</v>
      </c>
      <c r="AA65" s="12">
        <f>Z65*VLOOKUP($A65,'EU Ref Sc 2020 Energy intensive'!$A$5:$AE$33,AA$2)</f>
        <v>19.911084363222429</v>
      </c>
      <c r="AB65" s="12">
        <f>AA65*VLOOKUP($A65,'EU Ref Sc 2020 Energy intensive'!$A$5:$AE$33,AB$2)</f>
        <v>19.70565945098296</v>
      </c>
      <c r="AC65" s="12">
        <f>AB65*VLOOKUP($A65,'EU Ref Sc 2020 Energy intensive'!$A$5:$AE$33,AC$2)</f>
        <v>19.597095952555389</v>
      </c>
      <c r="AD65" s="12">
        <f>AC65*VLOOKUP($A65,'EU Ref Sc 2020 Energy intensive'!$A$5:$AE$33,AD$2)</f>
        <v>19.488532454127817</v>
      </c>
      <c r="AE65" s="12">
        <f>AD65*VLOOKUP($A65,'EU Ref Sc 2020 Energy intensive'!$A$5:$AE$33,AE$2)</f>
        <v>19.379968955700246</v>
      </c>
      <c r="AF65" s="12">
        <f>AE65*VLOOKUP($A65,'EU Ref Sc 2020 Energy intensive'!$A$5:$AE$33,AF$2)</f>
        <v>19.271405457272671</v>
      </c>
      <c r="AG65" s="12">
        <f>AF65*VLOOKUP($A65,'EU Ref Sc 2020 Energy intensive'!$A$5:$AE$33,AG$2)</f>
        <v>19.1628419588451</v>
      </c>
      <c r="AH65" s="13">
        <f t="shared" ref="AH65:AQ65" si="63">AG65</f>
        <v>19.1628419588451</v>
      </c>
      <c r="AI65" s="13">
        <f t="shared" si="63"/>
        <v>19.1628419588451</v>
      </c>
      <c r="AJ65" s="13">
        <f t="shared" si="63"/>
        <v>19.1628419588451</v>
      </c>
      <c r="AK65" s="13">
        <f t="shared" si="63"/>
        <v>19.1628419588451</v>
      </c>
      <c r="AL65" s="13">
        <f t="shared" si="63"/>
        <v>19.1628419588451</v>
      </c>
      <c r="AM65" s="13">
        <f t="shared" si="63"/>
        <v>19.1628419588451</v>
      </c>
      <c r="AN65" s="13">
        <f t="shared" si="63"/>
        <v>19.1628419588451</v>
      </c>
      <c r="AO65" s="13">
        <f t="shared" si="63"/>
        <v>19.1628419588451</v>
      </c>
      <c r="AP65" s="13">
        <f t="shared" si="63"/>
        <v>19.1628419588451</v>
      </c>
      <c r="AQ65" s="13">
        <f t="shared" si="63"/>
        <v>19.1628419588451</v>
      </c>
    </row>
    <row r="66" spans="1:43" x14ac:dyDescent="0.3">
      <c r="A66" t="s">
        <v>1424</v>
      </c>
      <c r="B66" t="s">
        <v>1393</v>
      </c>
      <c r="C66" t="str">
        <f t="shared" si="33"/>
        <v>SIIUEN</v>
      </c>
      <c r="D66" s="2">
        <v>3.6444999999999999</v>
      </c>
      <c r="E66" s="12">
        <f>D66*VLOOKUP($A66,'EU Ref Sc 2020 Energy intensive'!$A$5:$AE$33,E$2)</f>
        <v>3.7098848811289589</v>
      </c>
      <c r="F66" s="12">
        <f>E66*VLOOKUP($A66,'EU Ref Sc 2020 Energy intensive'!$A$5:$AE$33,F$2)</f>
        <v>3.7752697622579179</v>
      </c>
      <c r="G66" s="12">
        <f>F66*VLOOKUP($A66,'EU Ref Sc 2020 Energy intensive'!$A$5:$AE$33,G$2)</f>
        <v>3.8406546433868765</v>
      </c>
      <c r="H66" s="12">
        <f>G66*VLOOKUP($A66,'EU Ref Sc 2020 Energy intensive'!$A$5:$AE$33,H$2)</f>
        <v>3.9060395245158368</v>
      </c>
      <c r="I66" s="12">
        <f>H66*VLOOKUP($A66,'EU Ref Sc 2020 Energy intensive'!$A$5:$AE$33,I$2)</f>
        <v>3.9771476482630197</v>
      </c>
      <c r="J66" s="12">
        <f>I66*VLOOKUP($A66,'EU Ref Sc 2020 Energy intensive'!$A$5:$AE$33,J$2)</f>
        <v>4.0482557720102026</v>
      </c>
      <c r="K66" s="12">
        <f>J66*VLOOKUP($A66,'EU Ref Sc 2020 Energy intensive'!$A$5:$AE$33,K$2)</f>
        <v>4.1193638957573855</v>
      </c>
      <c r="L66" s="12">
        <f>K66*VLOOKUP($A66,'EU Ref Sc 2020 Energy intensive'!$A$5:$AE$33,L$2)</f>
        <v>4.1904720195045684</v>
      </c>
      <c r="M66" s="12">
        <f>L66*VLOOKUP($A66,'EU Ref Sc 2020 Energy intensive'!$A$5:$AE$33,M$2)</f>
        <v>4.2615801432517513</v>
      </c>
      <c r="N66" s="12">
        <f>M66*VLOOKUP($A66,'EU Ref Sc 2020 Energy intensive'!$A$5:$AE$33,N$2)</f>
        <v>4.200998810783477</v>
      </c>
      <c r="O66" s="12">
        <f>N66*VLOOKUP($A66,'EU Ref Sc 2020 Energy intensive'!$A$5:$AE$33,O$2)</f>
        <v>4.1404174783152028</v>
      </c>
      <c r="P66" s="12">
        <f>O66*VLOOKUP($A66,'EU Ref Sc 2020 Energy intensive'!$A$5:$AE$33,P$2)</f>
        <v>4.0798361458469286</v>
      </c>
      <c r="Q66" s="12">
        <f>P66*VLOOKUP($A66,'EU Ref Sc 2020 Energy intensive'!$A$5:$AE$33,Q$2)</f>
        <v>4.0192548133786543</v>
      </c>
      <c r="R66" s="12">
        <f>Q66*VLOOKUP($A66,'EU Ref Sc 2020 Energy intensive'!$A$5:$AE$33,R$2)</f>
        <v>3.9586734809103796</v>
      </c>
      <c r="S66" s="12">
        <f>R66*VLOOKUP($A66,'EU Ref Sc 2020 Energy intensive'!$A$5:$AE$33,S$2)</f>
        <v>3.9705401338809763</v>
      </c>
      <c r="T66" s="12">
        <f>S66*VLOOKUP($A66,'EU Ref Sc 2020 Energy intensive'!$A$5:$AE$33,T$2)</f>
        <v>3.9824067868515725</v>
      </c>
      <c r="U66" s="12">
        <f>T66*VLOOKUP($A66,'EU Ref Sc 2020 Energy intensive'!$A$5:$AE$33,U$2)</f>
        <v>3.9942734398221695</v>
      </c>
      <c r="V66" s="12">
        <f>U66*VLOOKUP($A66,'EU Ref Sc 2020 Energy intensive'!$A$5:$AE$33,V$2)</f>
        <v>4.0061400927927666</v>
      </c>
      <c r="W66" s="12">
        <f>V66*VLOOKUP($A66,'EU Ref Sc 2020 Energy intensive'!$A$5:$AE$33,W$2)</f>
        <v>4.0180067457633637</v>
      </c>
      <c r="X66" s="12">
        <f>W66*VLOOKUP($A66,'EU Ref Sc 2020 Energy intensive'!$A$5:$AE$33,X$2)</f>
        <v>4.008980592103053</v>
      </c>
      <c r="Y66" s="12">
        <f>X66*VLOOKUP($A66,'EU Ref Sc 2020 Energy intensive'!$A$5:$AE$33,Y$2)</f>
        <v>3.9999544384427428</v>
      </c>
      <c r="Z66" s="12">
        <f>Y66*VLOOKUP($A66,'EU Ref Sc 2020 Energy intensive'!$A$5:$AE$33,Z$2)</f>
        <v>3.9909282847824321</v>
      </c>
      <c r="AA66" s="12">
        <f>Z66*VLOOKUP($A66,'EU Ref Sc 2020 Energy intensive'!$A$5:$AE$33,AA$2)</f>
        <v>3.9819021311221214</v>
      </c>
      <c r="AB66" s="12">
        <f>AA66*VLOOKUP($A66,'EU Ref Sc 2020 Energy intensive'!$A$5:$AE$33,AB$2)</f>
        <v>3.9728759774618099</v>
      </c>
      <c r="AC66" s="12">
        <f>AB66*VLOOKUP($A66,'EU Ref Sc 2020 Energy intensive'!$A$5:$AE$33,AC$2)</f>
        <v>3.9639119804340388</v>
      </c>
      <c r="AD66" s="12">
        <f>AC66*VLOOKUP($A66,'EU Ref Sc 2020 Energy intensive'!$A$5:$AE$33,AD$2)</f>
        <v>3.9549479834062673</v>
      </c>
      <c r="AE66" s="12">
        <f>AD66*VLOOKUP($A66,'EU Ref Sc 2020 Energy intensive'!$A$5:$AE$33,AE$2)</f>
        <v>3.9459839863784962</v>
      </c>
      <c r="AF66" s="12">
        <f>AE66*VLOOKUP($A66,'EU Ref Sc 2020 Energy intensive'!$A$5:$AE$33,AF$2)</f>
        <v>3.9370199893507252</v>
      </c>
      <c r="AG66" s="12">
        <f>AF66*VLOOKUP($A66,'EU Ref Sc 2020 Energy intensive'!$A$5:$AE$33,AG$2)</f>
        <v>3.9280559923229545</v>
      </c>
      <c r="AH66" s="13">
        <f t="shared" ref="AH66:AQ66" si="64">AG66</f>
        <v>3.9280559923229545</v>
      </c>
      <c r="AI66" s="13">
        <f t="shared" si="64"/>
        <v>3.9280559923229545</v>
      </c>
      <c r="AJ66" s="13">
        <f t="shared" si="64"/>
        <v>3.9280559923229545</v>
      </c>
      <c r="AK66" s="13">
        <f t="shared" si="64"/>
        <v>3.9280559923229545</v>
      </c>
      <c r="AL66" s="13">
        <f t="shared" si="64"/>
        <v>3.9280559923229545</v>
      </c>
      <c r="AM66" s="13">
        <f t="shared" si="64"/>
        <v>3.9280559923229545</v>
      </c>
      <c r="AN66" s="13">
        <f t="shared" si="64"/>
        <v>3.9280559923229545</v>
      </c>
      <c r="AO66" s="13">
        <f t="shared" si="64"/>
        <v>3.9280559923229545</v>
      </c>
      <c r="AP66" s="13">
        <f t="shared" si="64"/>
        <v>3.9280559923229545</v>
      </c>
      <c r="AQ66" s="13">
        <f t="shared" si="64"/>
        <v>3.9280559923229545</v>
      </c>
    </row>
    <row r="67" spans="1:43" x14ac:dyDescent="0.3">
      <c r="A67" t="s">
        <v>1425</v>
      </c>
      <c r="B67" t="s">
        <v>1393</v>
      </c>
      <c r="C67" t="str">
        <f t="shared" si="33"/>
        <v>SKIUEN</v>
      </c>
      <c r="D67" s="2">
        <v>8.7221999999999973</v>
      </c>
      <c r="E67" s="12">
        <f>D67*VLOOKUP($A67,'EU Ref Sc 2020 Energy intensive'!$A$5:$AE$33,E$2)</f>
        <v>8.7556323247344761</v>
      </c>
      <c r="F67" s="12">
        <f>E67*VLOOKUP($A67,'EU Ref Sc 2020 Energy intensive'!$A$5:$AE$33,F$2)</f>
        <v>8.7890646494689548</v>
      </c>
      <c r="G67" s="12">
        <f>F67*VLOOKUP($A67,'EU Ref Sc 2020 Energy intensive'!$A$5:$AE$33,G$2)</f>
        <v>8.8224969742034336</v>
      </c>
      <c r="H67" s="12">
        <f>G67*VLOOKUP($A67,'EU Ref Sc 2020 Energy intensive'!$A$5:$AE$33,H$2)</f>
        <v>8.8559292989379124</v>
      </c>
      <c r="I67" s="12">
        <f>H67*VLOOKUP($A67,'EU Ref Sc 2020 Energy intensive'!$A$5:$AE$33,I$2)</f>
        <v>8.7632454541163209</v>
      </c>
      <c r="J67" s="12">
        <f>I67*VLOOKUP($A67,'EU Ref Sc 2020 Energy intensive'!$A$5:$AE$33,J$2)</f>
        <v>8.6705616092947295</v>
      </c>
      <c r="K67" s="12">
        <f>J67*VLOOKUP($A67,'EU Ref Sc 2020 Energy intensive'!$A$5:$AE$33,K$2)</f>
        <v>8.5778777644731381</v>
      </c>
      <c r="L67" s="12">
        <f>K67*VLOOKUP($A67,'EU Ref Sc 2020 Energy intensive'!$A$5:$AE$33,L$2)</f>
        <v>8.4851939196515467</v>
      </c>
      <c r="M67" s="12">
        <f>L67*VLOOKUP($A67,'EU Ref Sc 2020 Energy intensive'!$A$5:$AE$33,M$2)</f>
        <v>8.392510074829957</v>
      </c>
      <c r="N67" s="12">
        <f>M67*VLOOKUP($A67,'EU Ref Sc 2020 Energy intensive'!$A$5:$AE$33,N$2)</f>
        <v>8.3356565115165484</v>
      </c>
      <c r="O67" s="12">
        <f>N67*VLOOKUP($A67,'EU Ref Sc 2020 Energy intensive'!$A$5:$AE$33,O$2)</f>
        <v>8.2788029482031398</v>
      </c>
      <c r="P67" s="12">
        <f>O67*VLOOKUP($A67,'EU Ref Sc 2020 Energy intensive'!$A$5:$AE$33,P$2)</f>
        <v>8.2219493848897311</v>
      </c>
      <c r="Q67" s="12">
        <f>P67*VLOOKUP($A67,'EU Ref Sc 2020 Energy intensive'!$A$5:$AE$33,Q$2)</f>
        <v>8.1650958215763225</v>
      </c>
      <c r="R67" s="12">
        <f>Q67*VLOOKUP($A67,'EU Ref Sc 2020 Energy intensive'!$A$5:$AE$33,R$2)</f>
        <v>8.1082422582629103</v>
      </c>
      <c r="S67" s="12">
        <f>R67*VLOOKUP($A67,'EU Ref Sc 2020 Energy intensive'!$A$5:$AE$33,S$2)</f>
        <v>7.9626335097689216</v>
      </c>
      <c r="T67" s="12">
        <f>S67*VLOOKUP($A67,'EU Ref Sc 2020 Energy intensive'!$A$5:$AE$33,T$2)</f>
        <v>7.8170247612749337</v>
      </c>
      <c r="U67" s="12">
        <f>T67*VLOOKUP($A67,'EU Ref Sc 2020 Energy intensive'!$A$5:$AE$33,U$2)</f>
        <v>7.6714160127809459</v>
      </c>
      <c r="V67" s="12">
        <f>U67*VLOOKUP($A67,'EU Ref Sc 2020 Energy intensive'!$A$5:$AE$33,V$2)</f>
        <v>7.5258072642869571</v>
      </c>
      <c r="W67" s="12">
        <f>V67*VLOOKUP($A67,'EU Ref Sc 2020 Energy intensive'!$A$5:$AE$33,W$2)</f>
        <v>7.3801985157929648</v>
      </c>
      <c r="X67" s="12">
        <f>W67*VLOOKUP($A67,'EU Ref Sc 2020 Energy intensive'!$A$5:$AE$33,X$2)</f>
        <v>7.2681030704261333</v>
      </c>
      <c r="Y67" s="12">
        <f>X67*VLOOKUP($A67,'EU Ref Sc 2020 Energy intensive'!$A$5:$AE$33,Y$2)</f>
        <v>7.156007625059301</v>
      </c>
      <c r="Z67" s="12">
        <f>Y67*VLOOKUP($A67,'EU Ref Sc 2020 Energy intensive'!$A$5:$AE$33,Z$2)</f>
        <v>7.0439121796924686</v>
      </c>
      <c r="AA67" s="12">
        <f>Z67*VLOOKUP($A67,'EU Ref Sc 2020 Energy intensive'!$A$5:$AE$33,AA$2)</f>
        <v>6.9318167343256372</v>
      </c>
      <c r="AB67" s="12">
        <f>AA67*VLOOKUP($A67,'EU Ref Sc 2020 Energy intensive'!$A$5:$AE$33,AB$2)</f>
        <v>6.8197212889588066</v>
      </c>
      <c r="AC67" s="12">
        <f>AB67*VLOOKUP($A67,'EU Ref Sc 2020 Energy intensive'!$A$5:$AE$33,AC$2)</f>
        <v>6.709697026657401</v>
      </c>
      <c r="AD67" s="12">
        <f>AC67*VLOOKUP($A67,'EU Ref Sc 2020 Energy intensive'!$A$5:$AE$33,AD$2)</f>
        <v>6.5996727643559963</v>
      </c>
      <c r="AE67" s="12">
        <f>AD67*VLOOKUP($A67,'EU Ref Sc 2020 Energy intensive'!$A$5:$AE$33,AE$2)</f>
        <v>6.4896485020545915</v>
      </c>
      <c r="AF67" s="12">
        <f>AE67*VLOOKUP($A67,'EU Ref Sc 2020 Energy intensive'!$A$5:$AE$33,AF$2)</f>
        <v>6.3796242397531859</v>
      </c>
      <c r="AG67" s="12">
        <f>AF67*VLOOKUP($A67,'EU Ref Sc 2020 Energy intensive'!$A$5:$AE$33,AG$2)</f>
        <v>6.2695999774517794</v>
      </c>
      <c r="AH67" s="13">
        <f t="shared" ref="AH67:AQ67" si="65">AG67</f>
        <v>6.2695999774517794</v>
      </c>
      <c r="AI67" s="13">
        <f t="shared" si="65"/>
        <v>6.2695999774517794</v>
      </c>
      <c r="AJ67" s="13">
        <f t="shared" si="65"/>
        <v>6.2695999774517794</v>
      </c>
      <c r="AK67" s="13">
        <f t="shared" si="65"/>
        <v>6.2695999774517794</v>
      </c>
      <c r="AL67" s="13">
        <f t="shared" si="65"/>
        <v>6.2695999774517794</v>
      </c>
      <c r="AM67" s="13">
        <f t="shared" si="65"/>
        <v>6.2695999774517794</v>
      </c>
      <c r="AN67" s="13">
        <f t="shared" si="65"/>
        <v>6.2695999774517794</v>
      </c>
      <c r="AO67" s="13">
        <f t="shared" si="65"/>
        <v>6.2695999774517794</v>
      </c>
      <c r="AP67" s="13">
        <f t="shared" si="65"/>
        <v>6.2695999774517794</v>
      </c>
      <c r="AQ67" s="13">
        <f t="shared" si="65"/>
        <v>6.2695999774517794</v>
      </c>
    </row>
    <row r="68" spans="1:43" x14ac:dyDescent="0.3">
      <c r="A68" t="s">
        <v>1398</v>
      </c>
      <c r="B68" t="s">
        <v>1399</v>
      </c>
      <c r="C68" t="str">
        <f t="shared" ref="C68:C99" si="66">A68&amp;"IUE"&amp;B68</f>
        <v>BGIUEM</v>
      </c>
      <c r="D68" s="2">
        <v>2.7858000000000001</v>
      </c>
      <c r="E68" s="12">
        <f>D68*VLOOKUP($A68,'EU Ref Sc 2020 Energy intensive'!$A$5:$AE$33,E$2)</f>
        <v>2.824947558982311</v>
      </c>
      <c r="F68" s="12">
        <f>E68*VLOOKUP($A68,'EU Ref Sc 2020 Energy intensive'!$A$5:$AE$33,F$2)</f>
        <v>2.8640951179646219</v>
      </c>
      <c r="G68" s="12">
        <f>F68*VLOOKUP($A68,'EU Ref Sc 2020 Energy intensive'!$A$5:$AE$33,G$2)</f>
        <v>2.9032426769469328</v>
      </c>
      <c r="H68" s="12">
        <f>G68*VLOOKUP($A68,'EU Ref Sc 2020 Energy intensive'!$A$5:$AE$33,H$2)</f>
        <v>2.9423902359292438</v>
      </c>
      <c r="I68" s="12">
        <f>H68*VLOOKUP($A68,'EU Ref Sc 2020 Energy intensive'!$A$5:$AE$33,I$2)</f>
        <v>2.9293768924439023</v>
      </c>
      <c r="J68" s="12">
        <f>I68*VLOOKUP($A68,'EU Ref Sc 2020 Energy intensive'!$A$5:$AE$33,J$2)</f>
        <v>2.9163635489585609</v>
      </c>
      <c r="K68" s="12">
        <f>J68*VLOOKUP($A68,'EU Ref Sc 2020 Energy intensive'!$A$5:$AE$33,K$2)</f>
        <v>2.903350205473219</v>
      </c>
      <c r="L68" s="12">
        <f>K68*VLOOKUP($A68,'EU Ref Sc 2020 Energy intensive'!$A$5:$AE$33,L$2)</f>
        <v>2.8903368619878771</v>
      </c>
      <c r="M68" s="12">
        <f>L68*VLOOKUP($A68,'EU Ref Sc 2020 Energy intensive'!$A$5:$AE$33,M$2)</f>
        <v>2.8773235185025361</v>
      </c>
      <c r="N68" s="12">
        <f>M68*VLOOKUP($A68,'EU Ref Sc 2020 Energy intensive'!$A$5:$AE$33,N$2)</f>
        <v>2.8197528150959679</v>
      </c>
      <c r="O68" s="12">
        <f>N68*VLOOKUP($A68,'EU Ref Sc 2020 Energy intensive'!$A$5:$AE$33,O$2)</f>
        <v>2.7621821116894001</v>
      </c>
      <c r="P68" s="12">
        <f>O68*VLOOKUP($A68,'EU Ref Sc 2020 Energy intensive'!$A$5:$AE$33,P$2)</f>
        <v>2.7046114082828319</v>
      </c>
      <c r="Q68" s="12">
        <f>P68*VLOOKUP($A68,'EU Ref Sc 2020 Energy intensive'!$A$5:$AE$33,Q$2)</f>
        <v>2.6470407048762636</v>
      </c>
      <c r="R68" s="12">
        <f>Q68*VLOOKUP($A68,'EU Ref Sc 2020 Energy intensive'!$A$5:$AE$33,R$2)</f>
        <v>2.5894700014696963</v>
      </c>
      <c r="S68" s="12">
        <f>R68*VLOOKUP($A68,'EU Ref Sc 2020 Energy intensive'!$A$5:$AE$33,S$2)</f>
        <v>2.5723728030341215</v>
      </c>
      <c r="T68" s="12">
        <f>S68*VLOOKUP($A68,'EU Ref Sc 2020 Energy intensive'!$A$5:$AE$33,T$2)</f>
        <v>2.5552756045985467</v>
      </c>
      <c r="U68" s="12">
        <f>T68*VLOOKUP($A68,'EU Ref Sc 2020 Energy intensive'!$A$5:$AE$33,U$2)</f>
        <v>2.538178406162972</v>
      </c>
      <c r="V68" s="12">
        <f>U68*VLOOKUP($A68,'EU Ref Sc 2020 Energy intensive'!$A$5:$AE$33,V$2)</f>
        <v>2.5210812077273972</v>
      </c>
      <c r="W68" s="12">
        <f>V68*VLOOKUP($A68,'EU Ref Sc 2020 Energy intensive'!$A$5:$AE$33,W$2)</f>
        <v>2.503984009291822</v>
      </c>
      <c r="X68" s="12">
        <f>W68*VLOOKUP($A68,'EU Ref Sc 2020 Energy intensive'!$A$5:$AE$33,X$2)</f>
        <v>2.4991965137687955</v>
      </c>
      <c r="Y68" s="12">
        <f>X68*VLOOKUP($A68,'EU Ref Sc 2020 Energy intensive'!$A$5:$AE$33,Y$2)</f>
        <v>2.4944090182457694</v>
      </c>
      <c r="Z68" s="12">
        <f>Y68*VLOOKUP($A68,'EU Ref Sc 2020 Energy intensive'!$A$5:$AE$33,Z$2)</f>
        <v>2.4896215227227434</v>
      </c>
      <c r="AA68" s="12">
        <f>Z68*VLOOKUP($A68,'EU Ref Sc 2020 Energy intensive'!$A$5:$AE$33,AA$2)</f>
        <v>2.4848340271997169</v>
      </c>
      <c r="AB68" s="12">
        <f>AA68*VLOOKUP($A68,'EU Ref Sc 2020 Energy intensive'!$A$5:$AE$33,AB$2)</f>
        <v>2.4800465316766909</v>
      </c>
      <c r="AC68" s="12">
        <f>AB68*VLOOKUP($A68,'EU Ref Sc 2020 Energy intensive'!$A$5:$AE$33,AC$2)</f>
        <v>2.4722263823818982</v>
      </c>
      <c r="AD68" s="12">
        <f>AC68*VLOOKUP($A68,'EU Ref Sc 2020 Energy intensive'!$A$5:$AE$33,AD$2)</f>
        <v>2.4644062330871055</v>
      </c>
      <c r="AE68" s="12">
        <f>AD68*VLOOKUP($A68,'EU Ref Sc 2020 Energy intensive'!$A$5:$AE$33,AE$2)</f>
        <v>2.4565860837923128</v>
      </c>
      <c r="AF68" s="12">
        <f>AE68*VLOOKUP($A68,'EU Ref Sc 2020 Energy intensive'!$A$5:$AE$33,AF$2)</f>
        <v>2.4487659344975201</v>
      </c>
      <c r="AG68" s="12">
        <f>AF68*VLOOKUP($A68,'EU Ref Sc 2020 Energy intensive'!$A$5:$AE$33,AG$2)</f>
        <v>2.440945785202727</v>
      </c>
      <c r="AH68" s="13">
        <f t="shared" ref="AH68:AQ68" si="67">AG68</f>
        <v>2.440945785202727</v>
      </c>
      <c r="AI68" s="13">
        <f t="shared" si="67"/>
        <v>2.440945785202727</v>
      </c>
      <c r="AJ68" s="13">
        <f t="shared" si="67"/>
        <v>2.440945785202727</v>
      </c>
      <c r="AK68" s="13">
        <f t="shared" si="67"/>
        <v>2.440945785202727</v>
      </c>
      <c r="AL68" s="13">
        <f t="shared" si="67"/>
        <v>2.440945785202727</v>
      </c>
      <c r="AM68" s="13">
        <f t="shared" si="67"/>
        <v>2.440945785202727</v>
      </c>
      <c r="AN68" s="13">
        <f t="shared" si="67"/>
        <v>2.440945785202727</v>
      </c>
      <c r="AO68" s="13">
        <f t="shared" si="67"/>
        <v>2.440945785202727</v>
      </c>
      <c r="AP68" s="13">
        <f t="shared" si="67"/>
        <v>2.440945785202727</v>
      </c>
      <c r="AQ68" s="13">
        <f t="shared" si="67"/>
        <v>2.440945785202727</v>
      </c>
    </row>
    <row r="69" spans="1:43" x14ac:dyDescent="0.3">
      <c r="A69" t="s">
        <v>1407</v>
      </c>
      <c r="B69" t="s">
        <v>1399</v>
      </c>
      <c r="C69" t="str">
        <f t="shared" si="66"/>
        <v>GRIUEM</v>
      </c>
      <c r="D69" s="2">
        <v>11.5793</v>
      </c>
      <c r="E69" s="12">
        <f>D69*VLOOKUP($A69,'EU Ref Sc 2020 Energy intensive'!$A$5:$AE$33,E$2)</f>
        <v>11.995968421519835</v>
      </c>
      <c r="F69" s="12">
        <f>E69*VLOOKUP($A69,'EU Ref Sc 2020 Energy intensive'!$A$5:$AE$33,F$2)</f>
        <v>12.412636843039671</v>
      </c>
      <c r="G69" s="12">
        <f>F69*VLOOKUP($A69,'EU Ref Sc 2020 Energy intensive'!$A$5:$AE$33,G$2)</f>
        <v>12.829305264559508</v>
      </c>
      <c r="H69" s="12">
        <f>G69*VLOOKUP($A69,'EU Ref Sc 2020 Energy intensive'!$A$5:$AE$33,H$2)</f>
        <v>13.245973686079344</v>
      </c>
      <c r="I69" s="12">
        <f>H69*VLOOKUP($A69,'EU Ref Sc 2020 Energy intensive'!$A$5:$AE$33,I$2)</f>
        <v>13.156890566628935</v>
      </c>
      <c r="J69" s="12">
        <f>I69*VLOOKUP($A69,'EU Ref Sc 2020 Energy intensive'!$A$5:$AE$33,J$2)</f>
        <v>13.067807447178524</v>
      </c>
      <c r="K69" s="12">
        <f>J69*VLOOKUP($A69,'EU Ref Sc 2020 Energy intensive'!$A$5:$AE$33,K$2)</f>
        <v>12.978724327728113</v>
      </c>
      <c r="L69" s="12">
        <f>K69*VLOOKUP($A69,'EU Ref Sc 2020 Energy intensive'!$A$5:$AE$33,L$2)</f>
        <v>12.889641208277704</v>
      </c>
      <c r="M69" s="12">
        <f>L69*VLOOKUP($A69,'EU Ref Sc 2020 Energy intensive'!$A$5:$AE$33,M$2)</f>
        <v>12.800558088827293</v>
      </c>
      <c r="N69" s="12">
        <f>M69*VLOOKUP($A69,'EU Ref Sc 2020 Energy intensive'!$A$5:$AE$33,N$2)</f>
        <v>12.716303365482132</v>
      </c>
      <c r="O69" s="12">
        <f>N69*VLOOKUP($A69,'EU Ref Sc 2020 Energy intensive'!$A$5:$AE$33,O$2)</f>
        <v>12.63204864213697</v>
      </c>
      <c r="P69" s="12">
        <f>O69*VLOOKUP($A69,'EU Ref Sc 2020 Energy intensive'!$A$5:$AE$33,P$2)</f>
        <v>12.547793918791809</v>
      </c>
      <c r="Q69" s="12">
        <f>P69*VLOOKUP($A69,'EU Ref Sc 2020 Energy intensive'!$A$5:$AE$33,Q$2)</f>
        <v>12.46353919544665</v>
      </c>
      <c r="R69" s="12">
        <f>Q69*VLOOKUP($A69,'EU Ref Sc 2020 Energy intensive'!$A$5:$AE$33,R$2)</f>
        <v>12.379284472101487</v>
      </c>
      <c r="S69" s="12">
        <f>R69*VLOOKUP($A69,'EU Ref Sc 2020 Energy intensive'!$A$5:$AE$33,S$2)</f>
        <v>12.329112837926019</v>
      </c>
      <c r="T69" s="12">
        <f>S69*VLOOKUP($A69,'EU Ref Sc 2020 Energy intensive'!$A$5:$AE$33,T$2)</f>
        <v>12.27894120375055</v>
      </c>
      <c r="U69" s="12">
        <f>T69*VLOOKUP($A69,'EU Ref Sc 2020 Energy intensive'!$A$5:$AE$33,U$2)</f>
        <v>12.228769569575082</v>
      </c>
      <c r="V69" s="12">
        <f>U69*VLOOKUP($A69,'EU Ref Sc 2020 Energy intensive'!$A$5:$AE$33,V$2)</f>
        <v>12.178597935399612</v>
      </c>
      <c r="W69" s="12">
        <f>V69*VLOOKUP($A69,'EU Ref Sc 2020 Energy intensive'!$A$5:$AE$33,W$2)</f>
        <v>12.128426301224142</v>
      </c>
      <c r="X69" s="12">
        <f>W69*VLOOKUP($A69,'EU Ref Sc 2020 Energy intensive'!$A$5:$AE$33,X$2)</f>
        <v>12.154353817524219</v>
      </c>
      <c r="Y69" s="12">
        <f>X69*VLOOKUP($A69,'EU Ref Sc 2020 Energy intensive'!$A$5:$AE$33,Y$2)</f>
        <v>12.180281333824297</v>
      </c>
      <c r="Z69" s="12">
        <f>Y69*VLOOKUP($A69,'EU Ref Sc 2020 Energy intensive'!$A$5:$AE$33,Z$2)</f>
        <v>12.206208850124376</v>
      </c>
      <c r="AA69" s="12">
        <f>Z69*VLOOKUP($A69,'EU Ref Sc 2020 Energy intensive'!$A$5:$AE$33,AA$2)</f>
        <v>12.232136366424454</v>
      </c>
      <c r="AB69" s="12">
        <f>AA69*VLOOKUP($A69,'EU Ref Sc 2020 Energy intensive'!$A$5:$AE$33,AB$2)</f>
        <v>12.258063882724528</v>
      </c>
      <c r="AC69" s="12">
        <f>AB69*VLOOKUP($A69,'EU Ref Sc 2020 Energy intensive'!$A$5:$AE$33,AC$2)</f>
        <v>12.206706848629077</v>
      </c>
      <c r="AD69" s="12">
        <f>AC69*VLOOKUP($A69,'EU Ref Sc 2020 Energy intensive'!$A$5:$AE$33,AD$2)</f>
        <v>12.155349814533626</v>
      </c>
      <c r="AE69" s="12">
        <f>AD69*VLOOKUP($A69,'EU Ref Sc 2020 Energy intensive'!$A$5:$AE$33,AE$2)</f>
        <v>12.103992780438174</v>
      </c>
      <c r="AF69" s="12">
        <f>AE69*VLOOKUP($A69,'EU Ref Sc 2020 Energy intensive'!$A$5:$AE$33,AF$2)</f>
        <v>12.052635746342723</v>
      </c>
      <c r="AG69" s="12">
        <f>AF69*VLOOKUP($A69,'EU Ref Sc 2020 Energy intensive'!$A$5:$AE$33,AG$2)</f>
        <v>12.001278712247274</v>
      </c>
      <c r="AH69" s="13">
        <f t="shared" ref="AH69:AQ69" si="68">AG69</f>
        <v>12.001278712247274</v>
      </c>
      <c r="AI69" s="13">
        <f t="shared" si="68"/>
        <v>12.001278712247274</v>
      </c>
      <c r="AJ69" s="13">
        <f t="shared" si="68"/>
        <v>12.001278712247274</v>
      </c>
      <c r="AK69" s="13">
        <f t="shared" si="68"/>
        <v>12.001278712247274</v>
      </c>
      <c r="AL69" s="13">
        <f t="shared" si="68"/>
        <v>12.001278712247274</v>
      </c>
      <c r="AM69" s="13">
        <f t="shared" si="68"/>
        <v>12.001278712247274</v>
      </c>
      <c r="AN69" s="13">
        <f t="shared" si="68"/>
        <v>12.001278712247274</v>
      </c>
      <c r="AO69" s="13">
        <f t="shared" si="68"/>
        <v>12.001278712247274</v>
      </c>
      <c r="AP69" s="13">
        <f t="shared" si="68"/>
        <v>12.001278712247274</v>
      </c>
      <c r="AQ69" s="13">
        <f t="shared" si="68"/>
        <v>12.001278712247274</v>
      </c>
    </row>
    <row r="70" spans="1:43" x14ac:dyDescent="0.3">
      <c r="A70" t="s">
        <v>1413</v>
      </c>
      <c r="B70" t="s">
        <v>1399</v>
      </c>
      <c r="C70" t="str">
        <f t="shared" si="66"/>
        <v>IEIUEM</v>
      </c>
      <c r="D70" s="2">
        <v>9.3247999999999998</v>
      </c>
      <c r="E70" s="12">
        <f>D70*VLOOKUP($A70,'EU Ref Sc 2020 Energy intensive'!$A$5:$AE$33,E$2)</f>
        <v>9.3093061746417387</v>
      </c>
      <c r="F70" s="12">
        <f>E70*VLOOKUP($A70,'EU Ref Sc 2020 Energy intensive'!$A$5:$AE$33,F$2)</f>
        <v>9.2938123492834759</v>
      </c>
      <c r="G70" s="12">
        <f>F70*VLOOKUP($A70,'EU Ref Sc 2020 Energy intensive'!$A$5:$AE$33,G$2)</f>
        <v>9.2783185239252148</v>
      </c>
      <c r="H70" s="12">
        <f>G70*VLOOKUP($A70,'EU Ref Sc 2020 Energy intensive'!$A$5:$AE$33,H$2)</f>
        <v>9.2628246985669556</v>
      </c>
      <c r="I70" s="12">
        <f>H70*VLOOKUP($A70,'EU Ref Sc 2020 Energy intensive'!$A$5:$AE$33,I$2)</f>
        <v>9.3101176397341643</v>
      </c>
      <c r="J70" s="12">
        <f>I70*VLOOKUP($A70,'EU Ref Sc 2020 Energy intensive'!$A$5:$AE$33,J$2)</f>
        <v>9.357410580901373</v>
      </c>
      <c r="K70" s="12">
        <f>J70*VLOOKUP($A70,'EU Ref Sc 2020 Energy intensive'!$A$5:$AE$33,K$2)</f>
        <v>9.4047035220685817</v>
      </c>
      <c r="L70" s="12">
        <f>K70*VLOOKUP($A70,'EU Ref Sc 2020 Energy intensive'!$A$5:$AE$33,L$2)</f>
        <v>9.4519964632357905</v>
      </c>
      <c r="M70" s="12">
        <f>L70*VLOOKUP($A70,'EU Ref Sc 2020 Energy intensive'!$A$5:$AE$33,M$2)</f>
        <v>9.4992894044030027</v>
      </c>
      <c r="N70" s="12">
        <f>M70*VLOOKUP($A70,'EU Ref Sc 2020 Energy intensive'!$A$5:$AE$33,N$2)</f>
        <v>9.2374416854142538</v>
      </c>
      <c r="O70" s="12">
        <f>N70*VLOOKUP($A70,'EU Ref Sc 2020 Energy intensive'!$A$5:$AE$33,O$2)</f>
        <v>8.9755939664255049</v>
      </c>
      <c r="P70" s="12">
        <f>O70*VLOOKUP($A70,'EU Ref Sc 2020 Energy intensive'!$A$5:$AE$33,P$2)</f>
        <v>8.713746247436756</v>
      </c>
      <c r="Q70" s="12">
        <f>P70*VLOOKUP($A70,'EU Ref Sc 2020 Energy intensive'!$A$5:$AE$33,Q$2)</f>
        <v>8.451898528448007</v>
      </c>
      <c r="R70" s="12">
        <f>Q70*VLOOKUP($A70,'EU Ref Sc 2020 Energy intensive'!$A$5:$AE$33,R$2)</f>
        <v>8.1900508094592581</v>
      </c>
      <c r="S70" s="12">
        <f>R70*VLOOKUP($A70,'EU Ref Sc 2020 Energy intensive'!$A$5:$AE$33,S$2)</f>
        <v>8.1861629402051985</v>
      </c>
      <c r="T70" s="12">
        <f>S70*VLOOKUP($A70,'EU Ref Sc 2020 Energy intensive'!$A$5:$AE$33,T$2)</f>
        <v>8.1822750709511389</v>
      </c>
      <c r="U70" s="12">
        <f>T70*VLOOKUP($A70,'EU Ref Sc 2020 Energy intensive'!$A$5:$AE$33,U$2)</f>
        <v>8.1783872016970793</v>
      </c>
      <c r="V70" s="12">
        <f>U70*VLOOKUP($A70,'EU Ref Sc 2020 Energy intensive'!$A$5:$AE$33,V$2)</f>
        <v>8.1744993324430197</v>
      </c>
      <c r="W70" s="12">
        <f>V70*VLOOKUP($A70,'EU Ref Sc 2020 Energy intensive'!$A$5:$AE$33,W$2)</f>
        <v>8.1706114631889566</v>
      </c>
      <c r="X70" s="12">
        <f>W70*VLOOKUP($A70,'EU Ref Sc 2020 Energy intensive'!$A$5:$AE$33,X$2)</f>
        <v>8.1465604596066434</v>
      </c>
      <c r="Y70" s="12">
        <f>X70*VLOOKUP($A70,'EU Ref Sc 2020 Energy intensive'!$A$5:$AE$33,Y$2)</f>
        <v>8.1225094560243303</v>
      </c>
      <c r="Z70" s="12">
        <f>Y70*VLOOKUP($A70,'EU Ref Sc 2020 Energy intensive'!$A$5:$AE$33,Z$2)</f>
        <v>8.0984584524420171</v>
      </c>
      <c r="AA70" s="12">
        <f>Z70*VLOOKUP($A70,'EU Ref Sc 2020 Energy intensive'!$A$5:$AE$33,AA$2)</f>
        <v>8.074407448859704</v>
      </c>
      <c r="AB70" s="12">
        <f>AA70*VLOOKUP($A70,'EU Ref Sc 2020 Energy intensive'!$A$5:$AE$33,AB$2)</f>
        <v>8.050356445277389</v>
      </c>
      <c r="AC70" s="12">
        <f>AB70*VLOOKUP($A70,'EU Ref Sc 2020 Energy intensive'!$A$5:$AE$33,AC$2)</f>
        <v>8.0329017733414858</v>
      </c>
      <c r="AD70" s="12">
        <f>AC70*VLOOKUP($A70,'EU Ref Sc 2020 Energy intensive'!$A$5:$AE$33,AD$2)</f>
        <v>8.0154471014055826</v>
      </c>
      <c r="AE70" s="12">
        <f>AD70*VLOOKUP($A70,'EU Ref Sc 2020 Energy intensive'!$A$5:$AE$33,AE$2)</f>
        <v>7.9979924294696794</v>
      </c>
      <c r="AF70" s="12">
        <f>AE70*VLOOKUP($A70,'EU Ref Sc 2020 Energy intensive'!$A$5:$AE$33,AF$2)</f>
        <v>7.9805377575337761</v>
      </c>
      <c r="AG70" s="12">
        <f>AF70*VLOOKUP($A70,'EU Ref Sc 2020 Energy intensive'!$A$5:$AE$33,AG$2)</f>
        <v>7.9630830855978765</v>
      </c>
      <c r="AH70" s="13">
        <f t="shared" ref="AH70:AQ70" si="69">AG70</f>
        <v>7.9630830855978765</v>
      </c>
      <c r="AI70" s="13">
        <f t="shared" si="69"/>
        <v>7.9630830855978765</v>
      </c>
      <c r="AJ70" s="13">
        <f t="shared" si="69"/>
        <v>7.9630830855978765</v>
      </c>
      <c r="AK70" s="13">
        <f t="shared" si="69"/>
        <v>7.9630830855978765</v>
      </c>
      <c r="AL70" s="13">
        <f t="shared" si="69"/>
        <v>7.9630830855978765</v>
      </c>
      <c r="AM70" s="13">
        <f t="shared" si="69"/>
        <v>7.9630830855978765</v>
      </c>
      <c r="AN70" s="13">
        <f t="shared" si="69"/>
        <v>7.9630830855978765</v>
      </c>
      <c r="AO70" s="13">
        <f t="shared" si="69"/>
        <v>7.9630830855978765</v>
      </c>
      <c r="AP70" s="13">
        <f t="shared" si="69"/>
        <v>7.9630830855978765</v>
      </c>
      <c r="AQ70" s="13">
        <f t="shared" si="69"/>
        <v>7.9630830855978765</v>
      </c>
    </row>
    <row r="71" spans="1:43" x14ac:dyDescent="0.3">
      <c r="A71" t="s">
        <v>1422</v>
      </c>
      <c r="B71" t="s">
        <v>1399</v>
      </c>
      <c r="C71" t="str">
        <f t="shared" si="66"/>
        <v>ROIUEM</v>
      </c>
      <c r="D71" s="2">
        <v>12.243</v>
      </c>
      <c r="E71" s="12">
        <f>D71*VLOOKUP($A71,'EU Ref Sc 2020 Energy intensive'!$A$5:$AE$33,E$2)</f>
        <v>12.532054255397044</v>
      </c>
      <c r="F71" s="12">
        <f>E71*VLOOKUP($A71,'EU Ref Sc 2020 Energy intensive'!$A$5:$AE$33,F$2)</f>
        <v>12.821108510794089</v>
      </c>
      <c r="G71" s="12">
        <f>F71*VLOOKUP($A71,'EU Ref Sc 2020 Energy intensive'!$A$5:$AE$33,G$2)</f>
        <v>13.110162766191136</v>
      </c>
      <c r="H71" s="12">
        <f>G71*VLOOKUP($A71,'EU Ref Sc 2020 Energy intensive'!$A$5:$AE$33,H$2)</f>
        <v>13.39921702158818</v>
      </c>
      <c r="I71" s="12">
        <f>H71*VLOOKUP($A71,'EU Ref Sc 2020 Energy intensive'!$A$5:$AE$33,I$2)</f>
        <v>13.367534375077499</v>
      </c>
      <c r="J71" s="12">
        <f>I71*VLOOKUP($A71,'EU Ref Sc 2020 Energy intensive'!$A$5:$AE$33,J$2)</f>
        <v>13.335851728566819</v>
      </c>
      <c r="K71" s="12">
        <f>J71*VLOOKUP($A71,'EU Ref Sc 2020 Energy intensive'!$A$5:$AE$33,K$2)</f>
        <v>13.30416908205614</v>
      </c>
      <c r="L71" s="12">
        <f>K71*VLOOKUP($A71,'EU Ref Sc 2020 Energy intensive'!$A$5:$AE$33,L$2)</f>
        <v>13.27248643554546</v>
      </c>
      <c r="M71" s="12">
        <f>L71*VLOOKUP($A71,'EU Ref Sc 2020 Energy intensive'!$A$5:$AE$33,M$2)</f>
        <v>13.240803789034777</v>
      </c>
      <c r="N71" s="12">
        <f>M71*VLOOKUP($A71,'EU Ref Sc 2020 Energy intensive'!$A$5:$AE$33,N$2)</f>
        <v>13.122874315953636</v>
      </c>
      <c r="O71" s="12">
        <f>N71*VLOOKUP($A71,'EU Ref Sc 2020 Energy intensive'!$A$5:$AE$33,O$2)</f>
        <v>13.004944842872494</v>
      </c>
      <c r="P71" s="12">
        <f>O71*VLOOKUP($A71,'EU Ref Sc 2020 Energy intensive'!$A$5:$AE$33,P$2)</f>
        <v>12.887015369791351</v>
      </c>
      <c r="Q71" s="12">
        <f>P71*VLOOKUP($A71,'EU Ref Sc 2020 Energy intensive'!$A$5:$AE$33,Q$2)</f>
        <v>12.769085896710211</v>
      </c>
      <c r="R71" s="12">
        <f>Q71*VLOOKUP($A71,'EU Ref Sc 2020 Energy intensive'!$A$5:$AE$33,R$2)</f>
        <v>12.65115642362907</v>
      </c>
      <c r="S71" s="12">
        <f>R71*VLOOKUP($A71,'EU Ref Sc 2020 Energy intensive'!$A$5:$AE$33,S$2)</f>
        <v>12.485480532421782</v>
      </c>
      <c r="T71" s="12">
        <f>S71*VLOOKUP($A71,'EU Ref Sc 2020 Energy intensive'!$A$5:$AE$33,T$2)</f>
        <v>12.319804641214494</v>
      </c>
      <c r="U71" s="12">
        <f>T71*VLOOKUP($A71,'EU Ref Sc 2020 Energy intensive'!$A$5:$AE$33,U$2)</f>
        <v>12.154128750007208</v>
      </c>
      <c r="V71" s="12">
        <f>U71*VLOOKUP($A71,'EU Ref Sc 2020 Energy intensive'!$A$5:$AE$33,V$2)</f>
        <v>11.988452858799921</v>
      </c>
      <c r="W71" s="12">
        <f>V71*VLOOKUP($A71,'EU Ref Sc 2020 Energy intensive'!$A$5:$AE$33,W$2)</f>
        <v>11.822776967592633</v>
      </c>
      <c r="X71" s="12">
        <f>W71*VLOOKUP($A71,'EU Ref Sc 2020 Energy intensive'!$A$5:$AE$33,X$2)</f>
        <v>11.705634333995151</v>
      </c>
      <c r="Y71" s="12">
        <f>X71*VLOOKUP($A71,'EU Ref Sc 2020 Energy intensive'!$A$5:$AE$33,Y$2)</f>
        <v>11.58849170039767</v>
      </c>
      <c r="Z71" s="12">
        <f>Y71*VLOOKUP($A71,'EU Ref Sc 2020 Energy intensive'!$A$5:$AE$33,Z$2)</f>
        <v>11.471349066800189</v>
      </c>
      <c r="AA71" s="12">
        <f>Z71*VLOOKUP($A71,'EU Ref Sc 2020 Energy intensive'!$A$5:$AE$33,AA$2)</f>
        <v>11.354206433202707</v>
      </c>
      <c r="AB71" s="12">
        <f>AA71*VLOOKUP($A71,'EU Ref Sc 2020 Energy intensive'!$A$5:$AE$33,AB$2)</f>
        <v>11.237063799605227</v>
      </c>
      <c r="AC71" s="12">
        <f>AB71*VLOOKUP($A71,'EU Ref Sc 2020 Energy intensive'!$A$5:$AE$33,AC$2)</f>
        <v>11.175155952208721</v>
      </c>
      <c r="AD71" s="12">
        <f>AC71*VLOOKUP($A71,'EU Ref Sc 2020 Energy intensive'!$A$5:$AE$33,AD$2)</f>
        <v>11.113248104812214</v>
      </c>
      <c r="AE71" s="12">
        <f>AD71*VLOOKUP($A71,'EU Ref Sc 2020 Energy intensive'!$A$5:$AE$33,AE$2)</f>
        <v>11.051340257415708</v>
      </c>
      <c r="AF71" s="12">
        <f>AE71*VLOOKUP($A71,'EU Ref Sc 2020 Energy intensive'!$A$5:$AE$33,AF$2)</f>
        <v>10.989432410019202</v>
      </c>
      <c r="AG71" s="12">
        <f>AF71*VLOOKUP($A71,'EU Ref Sc 2020 Energy intensive'!$A$5:$AE$33,AG$2)</f>
        <v>10.927524562622697</v>
      </c>
      <c r="AH71" s="13">
        <f t="shared" ref="AH71:AQ71" si="70">AG71</f>
        <v>10.927524562622697</v>
      </c>
      <c r="AI71" s="13">
        <f t="shared" si="70"/>
        <v>10.927524562622697</v>
      </c>
      <c r="AJ71" s="13">
        <f t="shared" si="70"/>
        <v>10.927524562622697</v>
      </c>
      <c r="AK71" s="13">
        <f t="shared" si="70"/>
        <v>10.927524562622697</v>
      </c>
      <c r="AL71" s="13">
        <f t="shared" si="70"/>
        <v>10.927524562622697</v>
      </c>
      <c r="AM71" s="13">
        <f t="shared" si="70"/>
        <v>10.927524562622697</v>
      </c>
      <c r="AN71" s="13">
        <f t="shared" si="70"/>
        <v>10.927524562622697</v>
      </c>
      <c r="AO71" s="13">
        <f t="shared" si="70"/>
        <v>10.927524562622697</v>
      </c>
      <c r="AP71" s="13">
        <f t="shared" si="70"/>
        <v>10.927524562622697</v>
      </c>
      <c r="AQ71" s="13">
        <f t="shared" si="70"/>
        <v>10.927524562622697</v>
      </c>
    </row>
    <row r="72" spans="1:43" x14ac:dyDescent="0.3">
      <c r="A72" t="s">
        <v>1390</v>
      </c>
      <c r="B72" t="s">
        <v>1391</v>
      </c>
      <c r="C72" s="3" t="str">
        <f t="shared" si="66"/>
        <v>ATIUEI</v>
      </c>
      <c r="D72" s="14">
        <f>23.5539-1.95753</f>
        <v>21.59637</v>
      </c>
      <c r="E72" s="12">
        <f>D72*VLOOKUP($A72,'EU Ref Sc 2020 Energy intensive'!$A$5:$AE$33,E$2)</f>
        <v>21.758700340179583</v>
      </c>
      <c r="F72" s="12">
        <f>E72*VLOOKUP($A72,'EU Ref Sc 2020 Energy intensive'!$A$5:$AE$33,F$2)</f>
        <v>21.921030680359166</v>
      </c>
      <c r="G72" s="12">
        <f>F72*VLOOKUP($A72,'EU Ref Sc 2020 Energy intensive'!$A$5:$AE$33,G$2)</f>
        <v>22.083361020538749</v>
      </c>
      <c r="H72" s="12">
        <f>G72*VLOOKUP($A72,'EU Ref Sc 2020 Energy intensive'!$A$5:$AE$33,H$2)</f>
        <v>22.245691360718325</v>
      </c>
      <c r="I72" s="12">
        <f>H72*VLOOKUP($A72,'EU Ref Sc 2020 Energy intensive'!$A$5:$AE$33,I$2)</f>
        <v>22.072111269790206</v>
      </c>
      <c r="J72" s="12">
        <f>I72*VLOOKUP($A72,'EU Ref Sc 2020 Energy intensive'!$A$5:$AE$33,J$2)</f>
        <v>21.898531178862086</v>
      </c>
      <c r="K72" s="12">
        <f>J72*VLOOKUP($A72,'EU Ref Sc 2020 Energy intensive'!$A$5:$AE$33,K$2)</f>
        <v>21.724951087933967</v>
      </c>
      <c r="L72" s="12">
        <f>K72*VLOOKUP($A72,'EU Ref Sc 2020 Energy intensive'!$A$5:$AE$33,L$2)</f>
        <v>21.551370997005847</v>
      </c>
      <c r="M72" s="12">
        <f>L72*VLOOKUP($A72,'EU Ref Sc 2020 Energy intensive'!$A$5:$AE$33,M$2)</f>
        <v>21.377790906077731</v>
      </c>
      <c r="N72" s="12">
        <f>M72*VLOOKUP($A72,'EU Ref Sc 2020 Energy intensive'!$A$5:$AE$33,N$2)</f>
        <v>21.135541502921644</v>
      </c>
      <c r="O72" s="12">
        <f>N72*VLOOKUP($A72,'EU Ref Sc 2020 Energy intensive'!$A$5:$AE$33,O$2)</f>
        <v>20.893292099765553</v>
      </c>
      <c r="P72" s="12">
        <f>O72*VLOOKUP($A72,'EU Ref Sc 2020 Energy intensive'!$A$5:$AE$33,P$2)</f>
        <v>20.651042696609466</v>
      </c>
      <c r="Q72" s="12">
        <f>P72*VLOOKUP($A72,'EU Ref Sc 2020 Energy intensive'!$A$5:$AE$33,Q$2)</f>
        <v>20.408793293453378</v>
      </c>
      <c r="R72" s="12">
        <f>Q72*VLOOKUP($A72,'EU Ref Sc 2020 Energy intensive'!$A$5:$AE$33,R$2)</f>
        <v>20.166543890297298</v>
      </c>
      <c r="S72" s="12">
        <f>R72*VLOOKUP($A72,'EU Ref Sc 2020 Energy intensive'!$A$5:$AE$33,S$2)</f>
        <v>19.974482193969568</v>
      </c>
      <c r="T72" s="12">
        <f>S72*VLOOKUP($A72,'EU Ref Sc 2020 Energy intensive'!$A$5:$AE$33,T$2)</f>
        <v>19.782420497641837</v>
      </c>
      <c r="U72" s="12">
        <f>T72*VLOOKUP($A72,'EU Ref Sc 2020 Energy intensive'!$A$5:$AE$33,U$2)</f>
        <v>19.590358801314107</v>
      </c>
      <c r="V72" s="12">
        <f>U72*VLOOKUP($A72,'EU Ref Sc 2020 Energy intensive'!$A$5:$AE$33,V$2)</f>
        <v>19.398297104986376</v>
      </c>
      <c r="W72" s="12">
        <f>V72*VLOOKUP($A72,'EU Ref Sc 2020 Energy intensive'!$A$5:$AE$33,W$2)</f>
        <v>19.206235408658653</v>
      </c>
      <c r="X72" s="12">
        <f>W72*VLOOKUP($A72,'EU Ref Sc 2020 Energy intensive'!$A$5:$AE$33,X$2)</f>
        <v>19.117098145103853</v>
      </c>
      <c r="Y72" s="12">
        <f>X72*VLOOKUP($A72,'EU Ref Sc 2020 Energy intensive'!$A$5:$AE$33,Y$2)</f>
        <v>19.027960881549053</v>
      </c>
      <c r="Z72" s="12">
        <f>Y72*VLOOKUP($A72,'EU Ref Sc 2020 Energy intensive'!$A$5:$AE$33,Z$2)</f>
        <v>18.938823617994252</v>
      </c>
      <c r="AA72" s="12">
        <f>Z72*VLOOKUP($A72,'EU Ref Sc 2020 Energy intensive'!$A$5:$AE$33,AA$2)</f>
        <v>18.849686354439452</v>
      </c>
      <c r="AB72" s="12">
        <f>AA72*VLOOKUP($A72,'EU Ref Sc 2020 Energy intensive'!$A$5:$AE$33,AB$2)</f>
        <v>18.760549090884655</v>
      </c>
      <c r="AC72" s="12">
        <f>AB72*VLOOKUP($A72,'EU Ref Sc 2020 Energy intensive'!$A$5:$AE$33,AC$2)</f>
        <v>18.714361532150178</v>
      </c>
      <c r="AD72" s="12">
        <f>AC72*VLOOKUP($A72,'EU Ref Sc 2020 Energy intensive'!$A$5:$AE$33,AD$2)</f>
        <v>18.668173973415701</v>
      </c>
      <c r="AE72" s="12">
        <f>AD72*VLOOKUP($A72,'EU Ref Sc 2020 Energy intensive'!$A$5:$AE$33,AE$2)</f>
        <v>18.621986414681224</v>
      </c>
      <c r="AF72" s="12">
        <f>AE72*VLOOKUP($A72,'EU Ref Sc 2020 Energy intensive'!$A$5:$AE$33,AF$2)</f>
        <v>18.575798855946747</v>
      </c>
      <c r="AG72" s="12">
        <f>AF72*VLOOKUP($A72,'EU Ref Sc 2020 Energy intensive'!$A$5:$AE$33,AG$2)</f>
        <v>18.529611297212274</v>
      </c>
      <c r="AH72" s="13">
        <f t="shared" ref="AH72:AQ72" si="71">AG72</f>
        <v>18.529611297212274</v>
      </c>
      <c r="AI72" s="13">
        <f t="shared" si="71"/>
        <v>18.529611297212274</v>
      </c>
      <c r="AJ72" s="13">
        <f t="shared" si="71"/>
        <v>18.529611297212274</v>
      </c>
      <c r="AK72" s="13">
        <f t="shared" si="71"/>
        <v>18.529611297212274</v>
      </c>
      <c r="AL72" s="13">
        <f t="shared" si="71"/>
        <v>18.529611297212274</v>
      </c>
      <c r="AM72" s="13">
        <f t="shared" si="71"/>
        <v>18.529611297212274</v>
      </c>
      <c r="AN72" s="13">
        <f t="shared" si="71"/>
        <v>18.529611297212274</v>
      </c>
      <c r="AO72" s="13">
        <f t="shared" si="71"/>
        <v>18.529611297212274</v>
      </c>
      <c r="AP72" s="13">
        <f t="shared" si="71"/>
        <v>18.529611297212274</v>
      </c>
      <c r="AQ72" s="13">
        <f t="shared" si="71"/>
        <v>18.529611297212274</v>
      </c>
    </row>
    <row r="73" spans="1:43" x14ac:dyDescent="0.3">
      <c r="A73" t="s">
        <v>1396</v>
      </c>
      <c r="B73" t="s">
        <v>1391</v>
      </c>
      <c r="C73" s="3" t="str">
        <f t="shared" si="66"/>
        <v>BEIUEI</v>
      </c>
      <c r="D73" s="14">
        <f>28.7512-5.1823</f>
        <v>23.568899999999999</v>
      </c>
      <c r="E73" s="12">
        <f>D73*VLOOKUP($A73,'EU Ref Sc 2020 Energy intensive'!$A$5:$AE$33,E$2)</f>
        <v>24.326965776177889</v>
      </c>
      <c r="F73" s="12">
        <f>E73*VLOOKUP($A73,'EU Ref Sc 2020 Energy intensive'!$A$5:$AE$33,F$2)</f>
        <v>25.08503155235578</v>
      </c>
      <c r="G73" s="12">
        <f>F73*VLOOKUP($A73,'EU Ref Sc 2020 Energy intensive'!$A$5:$AE$33,G$2)</f>
        <v>25.84309732853367</v>
      </c>
      <c r="H73" s="12">
        <f>G73*VLOOKUP($A73,'EU Ref Sc 2020 Energy intensive'!$A$5:$AE$33,H$2)</f>
        <v>26.60116310471156</v>
      </c>
      <c r="I73" s="12">
        <f>H73*VLOOKUP($A73,'EU Ref Sc 2020 Energy intensive'!$A$5:$AE$33,I$2)</f>
        <v>27.406036656957632</v>
      </c>
      <c r="J73" s="12">
        <f>I73*VLOOKUP($A73,'EU Ref Sc 2020 Energy intensive'!$A$5:$AE$33,J$2)</f>
        <v>28.2109102092037</v>
      </c>
      <c r="K73" s="12">
        <f>J73*VLOOKUP($A73,'EU Ref Sc 2020 Energy intensive'!$A$5:$AE$33,K$2)</f>
        <v>29.015783761449772</v>
      </c>
      <c r="L73" s="12">
        <f>K73*VLOOKUP($A73,'EU Ref Sc 2020 Energy intensive'!$A$5:$AE$33,L$2)</f>
        <v>29.820657313695843</v>
      </c>
      <c r="M73" s="12">
        <f>L73*VLOOKUP($A73,'EU Ref Sc 2020 Energy intensive'!$A$5:$AE$33,M$2)</f>
        <v>30.625530865941929</v>
      </c>
      <c r="N73" s="12">
        <f>M73*VLOOKUP($A73,'EU Ref Sc 2020 Energy intensive'!$A$5:$AE$33,N$2)</f>
        <v>30.434871830117672</v>
      </c>
      <c r="O73" s="12">
        <f>N73*VLOOKUP($A73,'EU Ref Sc 2020 Energy intensive'!$A$5:$AE$33,O$2)</f>
        <v>30.244212794293414</v>
      </c>
      <c r="P73" s="12">
        <f>O73*VLOOKUP($A73,'EU Ref Sc 2020 Energy intensive'!$A$5:$AE$33,P$2)</f>
        <v>30.053553758469157</v>
      </c>
      <c r="Q73" s="12">
        <f>P73*VLOOKUP($A73,'EU Ref Sc 2020 Energy intensive'!$A$5:$AE$33,Q$2)</f>
        <v>29.862894722644899</v>
      </c>
      <c r="R73" s="12">
        <f>Q73*VLOOKUP($A73,'EU Ref Sc 2020 Energy intensive'!$A$5:$AE$33,R$2)</f>
        <v>29.672235686820642</v>
      </c>
      <c r="S73" s="12">
        <f>R73*VLOOKUP($A73,'EU Ref Sc 2020 Energy intensive'!$A$5:$AE$33,S$2)</f>
        <v>29.517165308395896</v>
      </c>
      <c r="T73" s="12">
        <f>S73*VLOOKUP($A73,'EU Ref Sc 2020 Energy intensive'!$A$5:$AE$33,T$2)</f>
        <v>29.36209492997115</v>
      </c>
      <c r="U73" s="12">
        <f>T73*VLOOKUP($A73,'EU Ref Sc 2020 Energy intensive'!$A$5:$AE$33,U$2)</f>
        <v>29.207024551546404</v>
      </c>
      <c r="V73" s="12">
        <f>U73*VLOOKUP($A73,'EU Ref Sc 2020 Energy intensive'!$A$5:$AE$33,V$2)</f>
        <v>29.051954173121658</v>
      </c>
      <c r="W73" s="12">
        <f>V73*VLOOKUP($A73,'EU Ref Sc 2020 Energy intensive'!$A$5:$AE$33,W$2)</f>
        <v>28.896883794696912</v>
      </c>
      <c r="X73" s="12">
        <f>W73*VLOOKUP($A73,'EU Ref Sc 2020 Energy intensive'!$A$5:$AE$33,X$2)</f>
        <v>28.892132905805511</v>
      </c>
      <c r="Y73" s="12">
        <f>X73*VLOOKUP($A73,'EU Ref Sc 2020 Energy intensive'!$A$5:$AE$33,Y$2)</f>
        <v>28.88738201691411</v>
      </c>
      <c r="Z73" s="12">
        <f>Y73*VLOOKUP($A73,'EU Ref Sc 2020 Energy intensive'!$A$5:$AE$33,Z$2)</f>
        <v>28.882631128022709</v>
      </c>
      <c r="AA73" s="12">
        <f>Z73*VLOOKUP($A73,'EU Ref Sc 2020 Energy intensive'!$A$5:$AE$33,AA$2)</f>
        <v>28.877880239131308</v>
      </c>
      <c r="AB73" s="12">
        <f>AA73*VLOOKUP($A73,'EU Ref Sc 2020 Energy intensive'!$A$5:$AE$33,AB$2)</f>
        <v>28.873129350239918</v>
      </c>
      <c r="AC73" s="12">
        <f>AB73*VLOOKUP($A73,'EU Ref Sc 2020 Energy intensive'!$A$5:$AE$33,AC$2)</f>
        <v>28.857830940261842</v>
      </c>
      <c r="AD73" s="12">
        <f>AC73*VLOOKUP($A73,'EU Ref Sc 2020 Energy intensive'!$A$5:$AE$33,AD$2)</f>
        <v>28.842532530283766</v>
      </c>
      <c r="AE73" s="12">
        <f>AD73*VLOOKUP($A73,'EU Ref Sc 2020 Energy intensive'!$A$5:$AE$33,AE$2)</f>
        <v>28.82723412030569</v>
      </c>
      <c r="AF73" s="12">
        <f>AE73*VLOOKUP($A73,'EU Ref Sc 2020 Energy intensive'!$A$5:$AE$33,AF$2)</f>
        <v>28.811935710327614</v>
      </c>
      <c r="AG73" s="12">
        <f>AF73*VLOOKUP($A73,'EU Ref Sc 2020 Energy intensive'!$A$5:$AE$33,AG$2)</f>
        <v>28.796637300349548</v>
      </c>
      <c r="AH73" s="13">
        <f t="shared" ref="AH73:AQ73" si="72">AG73</f>
        <v>28.796637300349548</v>
      </c>
      <c r="AI73" s="13">
        <f t="shared" si="72"/>
        <v>28.796637300349548</v>
      </c>
      <c r="AJ73" s="13">
        <f t="shared" si="72"/>
        <v>28.796637300349548</v>
      </c>
      <c r="AK73" s="13">
        <f t="shared" si="72"/>
        <v>28.796637300349548</v>
      </c>
      <c r="AL73" s="13">
        <f t="shared" si="72"/>
        <v>28.796637300349548</v>
      </c>
      <c r="AM73" s="13">
        <f t="shared" si="72"/>
        <v>28.796637300349548</v>
      </c>
      <c r="AN73" s="13">
        <f t="shared" si="72"/>
        <v>28.796637300349548</v>
      </c>
      <c r="AO73" s="13">
        <f t="shared" si="72"/>
        <v>28.796637300349548</v>
      </c>
      <c r="AP73" s="13">
        <f t="shared" si="72"/>
        <v>28.796637300349548</v>
      </c>
      <c r="AQ73" s="13">
        <f t="shared" si="72"/>
        <v>28.796637300349548</v>
      </c>
    </row>
    <row r="74" spans="1:43" x14ac:dyDescent="0.3">
      <c r="A74" t="s">
        <v>1401</v>
      </c>
      <c r="B74" t="s">
        <v>1391</v>
      </c>
      <c r="C74" s="3" t="str">
        <f t="shared" si="66"/>
        <v>CZIUEI</v>
      </c>
      <c r="D74" s="14">
        <f>23.3104-0.5767</f>
        <v>22.733700000000002</v>
      </c>
      <c r="E74" s="12">
        <f>D74*VLOOKUP($A74,'EU Ref Sc 2020 Energy intensive'!$A$5:$AE$33,E$2)</f>
        <v>22.789548438456436</v>
      </c>
      <c r="F74" s="12">
        <f>E74*VLOOKUP($A74,'EU Ref Sc 2020 Energy intensive'!$A$5:$AE$33,F$2)</f>
        <v>22.845396876912869</v>
      </c>
      <c r="G74" s="12">
        <f>F74*VLOOKUP($A74,'EU Ref Sc 2020 Energy intensive'!$A$5:$AE$33,G$2)</f>
        <v>22.901245315369298</v>
      </c>
      <c r="H74" s="12">
        <f>G74*VLOOKUP($A74,'EU Ref Sc 2020 Energy intensive'!$A$5:$AE$33,H$2)</f>
        <v>22.957093753825728</v>
      </c>
      <c r="I74" s="12">
        <f>H74*VLOOKUP($A74,'EU Ref Sc 2020 Energy intensive'!$A$5:$AE$33,I$2)</f>
        <v>22.526455290300333</v>
      </c>
      <c r="J74" s="12">
        <f>I74*VLOOKUP($A74,'EU Ref Sc 2020 Energy intensive'!$A$5:$AE$33,J$2)</f>
        <v>22.095816826774943</v>
      </c>
      <c r="K74" s="12">
        <f>J74*VLOOKUP($A74,'EU Ref Sc 2020 Energy intensive'!$A$5:$AE$33,K$2)</f>
        <v>21.665178363249552</v>
      </c>
      <c r="L74" s="12">
        <f>K74*VLOOKUP($A74,'EU Ref Sc 2020 Energy intensive'!$A$5:$AE$33,L$2)</f>
        <v>21.234539899724162</v>
      </c>
      <c r="M74" s="12">
        <f>L74*VLOOKUP($A74,'EU Ref Sc 2020 Energy intensive'!$A$5:$AE$33,M$2)</f>
        <v>20.803901436198775</v>
      </c>
      <c r="N74" s="12">
        <f>M74*VLOOKUP($A74,'EU Ref Sc 2020 Energy intensive'!$A$5:$AE$33,N$2)</f>
        <v>20.602013454027009</v>
      </c>
      <c r="O74" s="12">
        <f>N74*VLOOKUP($A74,'EU Ref Sc 2020 Energy intensive'!$A$5:$AE$33,O$2)</f>
        <v>20.400125471855244</v>
      </c>
      <c r="P74" s="12">
        <f>O74*VLOOKUP($A74,'EU Ref Sc 2020 Energy intensive'!$A$5:$AE$33,P$2)</f>
        <v>20.198237489683478</v>
      </c>
      <c r="Q74" s="12">
        <f>P74*VLOOKUP($A74,'EU Ref Sc 2020 Energy intensive'!$A$5:$AE$33,Q$2)</f>
        <v>19.996349507511709</v>
      </c>
      <c r="R74" s="12">
        <f>Q74*VLOOKUP($A74,'EU Ref Sc 2020 Energy intensive'!$A$5:$AE$33,R$2)</f>
        <v>19.794461525339948</v>
      </c>
      <c r="S74" s="12">
        <f>R74*VLOOKUP($A74,'EU Ref Sc 2020 Energy intensive'!$A$5:$AE$33,S$2)</f>
        <v>19.66825524483632</v>
      </c>
      <c r="T74" s="12">
        <f>S74*VLOOKUP($A74,'EU Ref Sc 2020 Energy intensive'!$A$5:$AE$33,T$2)</f>
        <v>19.542048964332697</v>
      </c>
      <c r="U74" s="12">
        <f>T74*VLOOKUP($A74,'EU Ref Sc 2020 Energy intensive'!$A$5:$AE$33,U$2)</f>
        <v>19.415842683829073</v>
      </c>
      <c r="V74" s="12">
        <f>U74*VLOOKUP($A74,'EU Ref Sc 2020 Energy intensive'!$A$5:$AE$33,V$2)</f>
        <v>19.289636403325449</v>
      </c>
      <c r="W74" s="12">
        <f>V74*VLOOKUP($A74,'EU Ref Sc 2020 Energy intensive'!$A$5:$AE$33,W$2)</f>
        <v>19.163430122821826</v>
      </c>
      <c r="X74" s="12">
        <f>W74*VLOOKUP($A74,'EU Ref Sc 2020 Energy intensive'!$A$5:$AE$33,X$2)</f>
        <v>19.006908452881756</v>
      </c>
      <c r="Y74" s="12">
        <f>X74*VLOOKUP($A74,'EU Ref Sc 2020 Energy intensive'!$A$5:$AE$33,Y$2)</f>
        <v>18.850386782941683</v>
      </c>
      <c r="Z74" s="12">
        <f>Y74*VLOOKUP($A74,'EU Ref Sc 2020 Energy intensive'!$A$5:$AE$33,Z$2)</f>
        <v>18.693865113001614</v>
      </c>
      <c r="AA74" s="12">
        <f>Z74*VLOOKUP($A74,'EU Ref Sc 2020 Energy intensive'!$A$5:$AE$33,AA$2)</f>
        <v>18.537343443061545</v>
      </c>
      <c r="AB74" s="12">
        <f>AA74*VLOOKUP($A74,'EU Ref Sc 2020 Energy intensive'!$A$5:$AE$33,AB$2)</f>
        <v>18.380821773121472</v>
      </c>
      <c r="AC74" s="12">
        <f>AB74*VLOOKUP($A74,'EU Ref Sc 2020 Energy intensive'!$A$5:$AE$33,AC$2)</f>
        <v>18.289190329946894</v>
      </c>
      <c r="AD74" s="12">
        <f>AC74*VLOOKUP($A74,'EU Ref Sc 2020 Energy intensive'!$A$5:$AE$33,AD$2)</f>
        <v>18.197558886772317</v>
      </c>
      <c r="AE74" s="12">
        <f>AD74*VLOOKUP($A74,'EU Ref Sc 2020 Energy intensive'!$A$5:$AE$33,AE$2)</f>
        <v>18.105927443597739</v>
      </c>
      <c r="AF74" s="12">
        <f>AE74*VLOOKUP($A74,'EU Ref Sc 2020 Energy intensive'!$A$5:$AE$33,AF$2)</f>
        <v>18.014296000423162</v>
      </c>
      <c r="AG74" s="12">
        <f>AF74*VLOOKUP($A74,'EU Ref Sc 2020 Energy intensive'!$A$5:$AE$33,AG$2)</f>
        <v>17.922664557248584</v>
      </c>
      <c r="AH74" s="13">
        <f t="shared" ref="AH74:AQ74" si="73">AG74</f>
        <v>17.922664557248584</v>
      </c>
      <c r="AI74" s="13">
        <f t="shared" si="73"/>
        <v>17.922664557248584</v>
      </c>
      <c r="AJ74" s="13">
        <f t="shared" si="73"/>
        <v>17.922664557248584</v>
      </c>
      <c r="AK74" s="13">
        <f t="shared" si="73"/>
        <v>17.922664557248584</v>
      </c>
      <c r="AL74" s="13">
        <f t="shared" si="73"/>
        <v>17.922664557248584</v>
      </c>
      <c r="AM74" s="13">
        <f t="shared" si="73"/>
        <v>17.922664557248584</v>
      </c>
      <c r="AN74" s="13">
        <f t="shared" si="73"/>
        <v>17.922664557248584</v>
      </c>
      <c r="AO74" s="13">
        <f t="shared" si="73"/>
        <v>17.922664557248584</v>
      </c>
      <c r="AP74" s="13">
        <f t="shared" si="73"/>
        <v>17.922664557248584</v>
      </c>
      <c r="AQ74" s="13">
        <f t="shared" si="73"/>
        <v>17.922664557248584</v>
      </c>
    </row>
    <row r="75" spans="1:43" x14ac:dyDescent="0.3">
      <c r="A75" t="s">
        <v>1402</v>
      </c>
      <c r="B75" t="s">
        <v>1391</v>
      </c>
      <c r="C75" s="3" t="str">
        <f t="shared" si="66"/>
        <v>DEIUEI</v>
      </c>
      <c r="D75" s="14">
        <f>193.821-35.04142</f>
        <v>158.77958000000001</v>
      </c>
      <c r="E75" s="12">
        <f>D75*VLOOKUP($A75,'EU Ref Sc 2020 Energy intensive'!$A$5:$AE$33,E$2)</f>
        <v>159.78386672174832</v>
      </c>
      <c r="F75" s="12">
        <f>E75*VLOOKUP($A75,'EU Ref Sc 2020 Energy intensive'!$A$5:$AE$33,F$2)</f>
        <v>160.78815344349664</v>
      </c>
      <c r="G75" s="12">
        <f>F75*VLOOKUP($A75,'EU Ref Sc 2020 Energy intensive'!$A$5:$AE$33,G$2)</f>
        <v>161.79244016524495</v>
      </c>
      <c r="H75" s="12">
        <f>G75*VLOOKUP($A75,'EU Ref Sc 2020 Energy intensive'!$A$5:$AE$33,H$2)</f>
        <v>162.79672688699324</v>
      </c>
      <c r="I75" s="12">
        <f>H75*VLOOKUP($A75,'EU Ref Sc 2020 Energy intensive'!$A$5:$AE$33,I$2)</f>
        <v>160.79853788307463</v>
      </c>
      <c r="J75" s="12">
        <f>I75*VLOOKUP($A75,'EU Ref Sc 2020 Energy intensive'!$A$5:$AE$33,J$2)</f>
        <v>158.80034887915602</v>
      </c>
      <c r="K75" s="12">
        <f>J75*VLOOKUP($A75,'EU Ref Sc 2020 Energy intensive'!$A$5:$AE$33,K$2)</f>
        <v>156.80215987523744</v>
      </c>
      <c r="L75" s="12">
        <f>K75*VLOOKUP($A75,'EU Ref Sc 2020 Energy intensive'!$A$5:$AE$33,L$2)</f>
        <v>154.80397087131882</v>
      </c>
      <c r="M75" s="12">
        <f>L75*VLOOKUP($A75,'EU Ref Sc 2020 Energy intensive'!$A$5:$AE$33,M$2)</f>
        <v>152.80578186740016</v>
      </c>
      <c r="N75" s="12">
        <f>M75*VLOOKUP($A75,'EU Ref Sc 2020 Energy intensive'!$A$5:$AE$33,N$2)</f>
        <v>150.055186164481</v>
      </c>
      <c r="O75" s="12">
        <f>N75*VLOOKUP($A75,'EU Ref Sc 2020 Energy intensive'!$A$5:$AE$33,O$2)</f>
        <v>147.30459046156184</v>
      </c>
      <c r="P75" s="12">
        <f>O75*VLOOKUP($A75,'EU Ref Sc 2020 Energy intensive'!$A$5:$AE$33,P$2)</f>
        <v>144.55399475864269</v>
      </c>
      <c r="Q75" s="12">
        <f>P75*VLOOKUP($A75,'EU Ref Sc 2020 Energy intensive'!$A$5:$AE$33,Q$2)</f>
        <v>141.80339905572353</v>
      </c>
      <c r="R75" s="12">
        <f>Q75*VLOOKUP($A75,'EU Ref Sc 2020 Energy intensive'!$A$5:$AE$33,R$2)</f>
        <v>139.0528033528044</v>
      </c>
      <c r="S75" s="12">
        <f>R75*VLOOKUP($A75,'EU Ref Sc 2020 Energy intensive'!$A$5:$AE$33,S$2)</f>
        <v>137.70136059878081</v>
      </c>
      <c r="T75" s="12">
        <f>S75*VLOOKUP($A75,'EU Ref Sc 2020 Energy intensive'!$A$5:$AE$33,T$2)</f>
        <v>136.34991784475721</v>
      </c>
      <c r="U75" s="12">
        <f>T75*VLOOKUP($A75,'EU Ref Sc 2020 Energy intensive'!$A$5:$AE$33,U$2)</f>
        <v>134.99847509073365</v>
      </c>
      <c r="V75" s="12">
        <f>U75*VLOOKUP($A75,'EU Ref Sc 2020 Energy intensive'!$A$5:$AE$33,V$2)</f>
        <v>133.64703233671005</v>
      </c>
      <c r="W75" s="12">
        <f>V75*VLOOKUP($A75,'EU Ref Sc 2020 Energy intensive'!$A$5:$AE$33,W$2)</f>
        <v>132.29558958268643</v>
      </c>
      <c r="X75" s="12">
        <f>W75*VLOOKUP($A75,'EU Ref Sc 2020 Energy intensive'!$A$5:$AE$33,X$2)</f>
        <v>131.58296032107867</v>
      </c>
      <c r="Y75" s="12">
        <f>X75*VLOOKUP($A75,'EU Ref Sc 2020 Energy intensive'!$A$5:$AE$33,Y$2)</f>
        <v>130.87033105947091</v>
      </c>
      <c r="Z75" s="12">
        <f>Y75*VLOOKUP($A75,'EU Ref Sc 2020 Energy intensive'!$A$5:$AE$33,Z$2)</f>
        <v>130.15770179786315</v>
      </c>
      <c r="AA75" s="12">
        <f>Z75*VLOOKUP($A75,'EU Ref Sc 2020 Energy intensive'!$A$5:$AE$33,AA$2)</f>
        <v>129.4450725362554</v>
      </c>
      <c r="AB75" s="12">
        <f>AA75*VLOOKUP($A75,'EU Ref Sc 2020 Energy intensive'!$A$5:$AE$33,AB$2)</f>
        <v>128.73244327464761</v>
      </c>
      <c r="AC75" s="12">
        <f>AB75*VLOOKUP($A75,'EU Ref Sc 2020 Energy intensive'!$A$5:$AE$33,AC$2)</f>
        <v>128.21606595781259</v>
      </c>
      <c r="AD75" s="12">
        <f>AC75*VLOOKUP($A75,'EU Ref Sc 2020 Energy intensive'!$A$5:$AE$33,AD$2)</f>
        <v>127.69968864097756</v>
      </c>
      <c r="AE75" s="12">
        <f>AD75*VLOOKUP($A75,'EU Ref Sc 2020 Energy intensive'!$A$5:$AE$33,AE$2)</f>
        <v>127.18331132414254</v>
      </c>
      <c r="AF75" s="12">
        <f>AE75*VLOOKUP($A75,'EU Ref Sc 2020 Energy intensive'!$A$5:$AE$33,AF$2)</f>
        <v>126.66693400730752</v>
      </c>
      <c r="AG75" s="12">
        <f>AF75*VLOOKUP($A75,'EU Ref Sc 2020 Energy intensive'!$A$5:$AE$33,AG$2)</f>
        <v>126.15055669047247</v>
      </c>
      <c r="AH75" s="13">
        <f t="shared" ref="AH75:AQ75" si="74">AG75</f>
        <v>126.15055669047247</v>
      </c>
      <c r="AI75" s="13">
        <f t="shared" si="74"/>
        <v>126.15055669047247</v>
      </c>
      <c r="AJ75" s="13">
        <f t="shared" si="74"/>
        <v>126.15055669047247</v>
      </c>
      <c r="AK75" s="13">
        <f t="shared" si="74"/>
        <v>126.15055669047247</v>
      </c>
      <c r="AL75" s="13">
        <f t="shared" si="74"/>
        <v>126.15055669047247</v>
      </c>
      <c r="AM75" s="13">
        <f t="shared" si="74"/>
        <v>126.15055669047247</v>
      </c>
      <c r="AN75" s="13">
        <f t="shared" si="74"/>
        <v>126.15055669047247</v>
      </c>
      <c r="AO75" s="13">
        <f t="shared" si="74"/>
        <v>126.15055669047247</v>
      </c>
      <c r="AP75" s="13">
        <f t="shared" si="74"/>
        <v>126.15055669047247</v>
      </c>
      <c r="AQ75" s="13">
        <f t="shared" si="74"/>
        <v>126.15055669047247</v>
      </c>
    </row>
    <row r="76" spans="1:43" x14ac:dyDescent="0.3">
      <c r="A76" t="s">
        <v>1408</v>
      </c>
      <c r="B76" t="s">
        <v>1391</v>
      </c>
      <c r="C76" s="3" t="str">
        <f t="shared" si="66"/>
        <v>ESIUEI</v>
      </c>
      <c r="D76" s="14">
        <f>72.1076-28.0388</f>
        <v>44.06880000000001</v>
      </c>
      <c r="E76" s="12">
        <f>D76*VLOOKUP($A76,'EU Ref Sc 2020 Energy intensive'!$A$5:$AE$33,E$2)</f>
        <v>46.095331136219833</v>
      </c>
      <c r="F76" s="12">
        <f>E76*VLOOKUP($A76,'EU Ref Sc 2020 Energy intensive'!$A$5:$AE$33,F$2)</f>
        <v>48.121862272439657</v>
      </c>
      <c r="G76" s="12">
        <f>F76*VLOOKUP($A76,'EU Ref Sc 2020 Energy intensive'!$A$5:$AE$33,G$2)</f>
        <v>50.148393408659473</v>
      </c>
      <c r="H76" s="12">
        <f>G76*VLOOKUP($A76,'EU Ref Sc 2020 Energy intensive'!$A$5:$AE$33,H$2)</f>
        <v>52.174924544879296</v>
      </c>
      <c r="I76" s="12">
        <f>H76*VLOOKUP($A76,'EU Ref Sc 2020 Energy intensive'!$A$5:$AE$33,I$2)</f>
        <v>52.434498625381458</v>
      </c>
      <c r="J76" s="12">
        <f>I76*VLOOKUP($A76,'EU Ref Sc 2020 Energy intensive'!$A$5:$AE$33,J$2)</f>
        <v>52.694072705883627</v>
      </c>
      <c r="K76" s="12">
        <f>J76*VLOOKUP($A76,'EU Ref Sc 2020 Energy intensive'!$A$5:$AE$33,K$2)</f>
        <v>52.953646786385796</v>
      </c>
      <c r="L76" s="12">
        <f>K76*VLOOKUP($A76,'EU Ref Sc 2020 Energy intensive'!$A$5:$AE$33,L$2)</f>
        <v>53.213220866887958</v>
      </c>
      <c r="M76" s="12">
        <f>L76*VLOOKUP($A76,'EU Ref Sc 2020 Energy intensive'!$A$5:$AE$33,M$2)</f>
        <v>53.472794947390135</v>
      </c>
      <c r="N76" s="12">
        <f>M76*VLOOKUP($A76,'EU Ref Sc 2020 Energy intensive'!$A$5:$AE$33,N$2)</f>
        <v>52.338041775624099</v>
      </c>
      <c r="O76" s="12">
        <f>N76*VLOOKUP($A76,'EU Ref Sc 2020 Energy intensive'!$A$5:$AE$33,O$2)</f>
        <v>51.203288603858063</v>
      </c>
      <c r="P76" s="12">
        <f>O76*VLOOKUP($A76,'EU Ref Sc 2020 Energy intensive'!$A$5:$AE$33,P$2)</f>
        <v>50.068535432092027</v>
      </c>
      <c r="Q76" s="12">
        <f>P76*VLOOKUP($A76,'EU Ref Sc 2020 Energy intensive'!$A$5:$AE$33,Q$2)</f>
        <v>48.933782260325991</v>
      </c>
      <c r="R76" s="12">
        <f>Q76*VLOOKUP($A76,'EU Ref Sc 2020 Energy intensive'!$A$5:$AE$33,R$2)</f>
        <v>47.799029088559948</v>
      </c>
      <c r="S76" s="12">
        <f>R76*VLOOKUP($A76,'EU Ref Sc 2020 Energy intensive'!$A$5:$AE$33,S$2)</f>
        <v>47.414998758273043</v>
      </c>
      <c r="T76" s="12">
        <f>S76*VLOOKUP($A76,'EU Ref Sc 2020 Energy intensive'!$A$5:$AE$33,T$2)</f>
        <v>47.030968427986146</v>
      </c>
      <c r="U76" s="12">
        <f>T76*VLOOKUP($A76,'EU Ref Sc 2020 Energy intensive'!$A$5:$AE$33,U$2)</f>
        <v>46.646938097699248</v>
      </c>
      <c r="V76" s="12">
        <f>U76*VLOOKUP($A76,'EU Ref Sc 2020 Energy intensive'!$A$5:$AE$33,V$2)</f>
        <v>46.262907767412344</v>
      </c>
      <c r="W76" s="12">
        <f>V76*VLOOKUP($A76,'EU Ref Sc 2020 Energy intensive'!$A$5:$AE$33,W$2)</f>
        <v>45.878877437125439</v>
      </c>
      <c r="X76" s="12">
        <f>W76*VLOOKUP($A76,'EU Ref Sc 2020 Energy intensive'!$A$5:$AE$33,X$2)</f>
        <v>45.548307933257952</v>
      </c>
      <c r="Y76" s="12">
        <f>X76*VLOOKUP($A76,'EU Ref Sc 2020 Energy intensive'!$A$5:$AE$33,Y$2)</f>
        <v>45.217738429390465</v>
      </c>
      <c r="Z76" s="12">
        <f>Y76*VLOOKUP($A76,'EU Ref Sc 2020 Energy intensive'!$A$5:$AE$33,Z$2)</f>
        <v>44.887168925522978</v>
      </c>
      <c r="AA76" s="12">
        <f>Z76*VLOOKUP($A76,'EU Ref Sc 2020 Energy intensive'!$A$5:$AE$33,AA$2)</f>
        <v>44.556599421655491</v>
      </c>
      <c r="AB76" s="12">
        <f>AA76*VLOOKUP($A76,'EU Ref Sc 2020 Energy intensive'!$A$5:$AE$33,AB$2)</f>
        <v>44.226029917788004</v>
      </c>
      <c r="AC76" s="12">
        <f>AB76*VLOOKUP($A76,'EU Ref Sc 2020 Energy intensive'!$A$5:$AE$33,AC$2)</f>
        <v>44.130273196809519</v>
      </c>
      <c r="AD76" s="12">
        <f>AC76*VLOOKUP($A76,'EU Ref Sc 2020 Energy intensive'!$A$5:$AE$33,AD$2)</f>
        <v>44.034516475831033</v>
      </c>
      <c r="AE76" s="12">
        <f>AD76*VLOOKUP($A76,'EU Ref Sc 2020 Energy intensive'!$A$5:$AE$33,AE$2)</f>
        <v>43.938759754852548</v>
      </c>
      <c r="AF76" s="12">
        <f>AE76*VLOOKUP($A76,'EU Ref Sc 2020 Energy intensive'!$A$5:$AE$33,AF$2)</f>
        <v>43.843003033874062</v>
      </c>
      <c r="AG76" s="12">
        <f>AF76*VLOOKUP($A76,'EU Ref Sc 2020 Energy intensive'!$A$5:$AE$33,AG$2)</f>
        <v>43.747246312895591</v>
      </c>
      <c r="AH76" s="13">
        <f t="shared" ref="AH76:AQ76" si="75">AG76</f>
        <v>43.747246312895591</v>
      </c>
      <c r="AI76" s="13">
        <f t="shared" si="75"/>
        <v>43.747246312895591</v>
      </c>
      <c r="AJ76" s="13">
        <f t="shared" si="75"/>
        <v>43.747246312895591</v>
      </c>
      <c r="AK76" s="13">
        <f t="shared" si="75"/>
        <v>43.747246312895591</v>
      </c>
      <c r="AL76" s="13">
        <f t="shared" si="75"/>
        <v>43.747246312895591</v>
      </c>
      <c r="AM76" s="13">
        <f t="shared" si="75"/>
        <v>43.747246312895591</v>
      </c>
      <c r="AN76" s="13">
        <f t="shared" si="75"/>
        <v>43.747246312895591</v>
      </c>
      <c r="AO76" s="13">
        <f t="shared" si="75"/>
        <v>43.747246312895591</v>
      </c>
      <c r="AP76" s="13">
        <f t="shared" si="75"/>
        <v>43.747246312895591</v>
      </c>
      <c r="AQ76" s="13">
        <f t="shared" si="75"/>
        <v>43.747246312895591</v>
      </c>
    </row>
    <row r="77" spans="1:43" x14ac:dyDescent="0.3">
      <c r="A77" t="s">
        <v>1409</v>
      </c>
      <c r="B77" t="s">
        <v>1391</v>
      </c>
      <c r="C77" s="3" t="str">
        <f t="shared" si="66"/>
        <v>FIIUEI</v>
      </c>
      <c r="D77" s="14">
        <f>22.8566-3.9841</f>
        <v>18.872499999999999</v>
      </c>
      <c r="E77" s="12">
        <f>D77*VLOOKUP($A77,'EU Ref Sc 2020 Energy intensive'!$A$5:$AE$33,E$2)</f>
        <v>19.74036363296274</v>
      </c>
      <c r="F77" s="12">
        <f>E77*VLOOKUP($A77,'EU Ref Sc 2020 Energy intensive'!$A$5:$AE$33,F$2)</f>
        <v>20.608227265925485</v>
      </c>
      <c r="G77" s="12">
        <f>F77*VLOOKUP($A77,'EU Ref Sc 2020 Energy intensive'!$A$5:$AE$33,G$2)</f>
        <v>21.476090898888227</v>
      </c>
      <c r="H77" s="12">
        <f>G77*VLOOKUP($A77,'EU Ref Sc 2020 Energy intensive'!$A$5:$AE$33,H$2)</f>
        <v>22.343954531850972</v>
      </c>
      <c r="I77" s="12">
        <f>H77*VLOOKUP($A77,'EU Ref Sc 2020 Energy intensive'!$A$5:$AE$33,I$2)</f>
        <v>22.455117346229333</v>
      </c>
      <c r="J77" s="12">
        <f>I77*VLOOKUP($A77,'EU Ref Sc 2020 Energy intensive'!$A$5:$AE$33,J$2)</f>
        <v>22.566280160607693</v>
      </c>
      <c r="K77" s="12">
        <f>J77*VLOOKUP($A77,'EU Ref Sc 2020 Energy intensive'!$A$5:$AE$33,K$2)</f>
        <v>22.677442974986054</v>
      </c>
      <c r="L77" s="12">
        <f>K77*VLOOKUP($A77,'EU Ref Sc 2020 Energy intensive'!$A$5:$AE$33,L$2)</f>
        <v>22.788605789364414</v>
      </c>
      <c r="M77" s="12">
        <f>L77*VLOOKUP($A77,'EU Ref Sc 2020 Energy intensive'!$A$5:$AE$33,M$2)</f>
        <v>22.899768603742782</v>
      </c>
      <c r="N77" s="12">
        <f>M77*VLOOKUP($A77,'EU Ref Sc 2020 Energy intensive'!$A$5:$AE$33,N$2)</f>
        <v>22.413809620649197</v>
      </c>
      <c r="O77" s="12">
        <f>N77*VLOOKUP($A77,'EU Ref Sc 2020 Energy intensive'!$A$5:$AE$33,O$2)</f>
        <v>21.927850637555615</v>
      </c>
      <c r="P77" s="12">
        <f>O77*VLOOKUP($A77,'EU Ref Sc 2020 Energy intensive'!$A$5:$AE$33,P$2)</f>
        <v>21.441891654462029</v>
      </c>
      <c r="Q77" s="12">
        <f>P77*VLOOKUP($A77,'EU Ref Sc 2020 Energy intensive'!$A$5:$AE$33,Q$2)</f>
        <v>20.955932671368444</v>
      </c>
      <c r="R77" s="12">
        <f>Q77*VLOOKUP($A77,'EU Ref Sc 2020 Energy intensive'!$A$5:$AE$33,R$2)</f>
        <v>20.469973688274859</v>
      </c>
      <c r="S77" s="12">
        <f>R77*VLOOKUP($A77,'EU Ref Sc 2020 Energy intensive'!$A$5:$AE$33,S$2)</f>
        <v>20.305512382127663</v>
      </c>
      <c r="T77" s="12">
        <f>S77*VLOOKUP($A77,'EU Ref Sc 2020 Energy intensive'!$A$5:$AE$33,T$2)</f>
        <v>20.141051075980467</v>
      </c>
      <c r="U77" s="12">
        <f>T77*VLOOKUP($A77,'EU Ref Sc 2020 Energy intensive'!$A$5:$AE$33,U$2)</f>
        <v>19.976589769833272</v>
      </c>
      <c r="V77" s="12">
        <f>U77*VLOOKUP($A77,'EU Ref Sc 2020 Energy intensive'!$A$5:$AE$33,V$2)</f>
        <v>19.812128463686076</v>
      </c>
      <c r="W77" s="12">
        <f>V77*VLOOKUP($A77,'EU Ref Sc 2020 Energy intensive'!$A$5:$AE$33,W$2)</f>
        <v>19.64766715753888</v>
      </c>
      <c r="X77" s="12">
        <f>W77*VLOOKUP($A77,'EU Ref Sc 2020 Energy intensive'!$A$5:$AE$33,X$2)</f>
        <v>19.506100494463436</v>
      </c>
      <c r="Y77" s="12">
        <f>X77*VLOOKUP($A77,'EU Ref Sc 2020 Energy intensive'!$A$5:$AE$33,Y$2)</f>
        <v>19.364533831387991</v>
      </c>
      <c r="Z77" s="12">
        <f>Y77*VLOOKUP($A77,'EU Ref Sc 2020 Energy intensive'!$A$5:$AE$33,Z$2)</f>
        <v>19.222967168312547</v>
      </c>
      <c r="AA77" s="12">
        <f>Z77*VLOOKUP($A77,'EU Ref Sc 2020 Energy intensive'!$A$5:$AE$33,AA$2)</f>
        <v>19.081400505237102</v>
      </c>
      <c r="AB77" s="12">
        <f>AA77*VLOOKUP($A77,'EU Ref Sc 2020 Energy intensive'!$A$5:$AE$33,AB$2)</f>
        <v>18.939833842161658</v>
      </c>
      <c r="AC77" s="12">
        <f>AB77*VLOOKUP($A77,'EU Ref Sc 2020 Energy intensive'!$A$5:$AE$33,AC$2)</f>
        <v>18.898825947309369</v>
      </c>
      <c r="AD77" s="12">
        <f>AC77*VLOOKUP($A77,'EU Ref Sc 2020 Energy intensive'!$A$5:$AE$33,AD$2)</f>
        <v>18.85781805245708</v>
      </c>
      <c r="AE77" s="12">
        <f>AD77*VLOOKUP($A77,'EU Ref Sc 2020 Energy intensive'!$A$5:$AE$33,AE$2)</f>
        <v>18.816810157604795</v>
      </c>
      <c r="AF77" s="12">
        <f>AE77*VLOOKUP($A77,'EU Ref Sc 2020 Energy intensive'!$A$5:$AE$33,AF$2)</f>
        <v>18.775802262752507</v>
      </c>
      <c r="AG77" s="12">
        <f>AF77*VLOOKUP($A77,'EU Ref Sc 2020 Energy intensive'!$A$5:$AE$33,AG$2)</f>
        <v>18.734794367900225</v>
      </c>
      <c r="AH77" s="13">
        <f t="shared" ref="AH77:AQ77" si="76">AG77</f>
        <v>18.734794367900225</v>
      </c>
      <c r="AI77" s="13">
        <f t="shared" si="76"/>
        <v>18.734794367900225</v>
      </c>
      <c r="AJ77" s="13">
        <f t="shared" si="76"/>
        <v>18.734794367900225</v>
      </c>
      <c r="AK77" s="13">
        <f t="shared" si="76"/>
        <v>18.734794367900225</v>
      </c>
      <c r="AL77" s="13">
        <f t="shared" si="76"/>
        <v>18.734794367900225</v>
      </c>
      <c r="AM77" s="13">
        <f t="shared" si="76"/>
        <v>18.734794367900225</v>
      </c>
      <c r="AN77" s="13">
        <f t="shared" si="76"/>
        <v>18.734794367900225</v>
      </c>
      <c r="AO77" s="13">
        <f t="shared" si="76"/>
        <v>18.734794367900225</v>
      </c>
      <c r="AP77" s="13">
        <f t="shared" si="76"/>
        <v>18.734794367900225</v>
      </c>
      <c r="AQ77" s="13">
        <f t="shared" si="76"/>
        <v>18.734794367900225</v>
      </c>
    </row>
    <row r="78" spans="1:43" x14ac:dyDescent="0.3">
      <c r="A78" t="s">
        <v>1407</v>
      </c>
      <c r="B78" t="s">
        <v>1391</v>
      </c>
      <c r="C78" s="3" t="str">
        <f t="shared" si="66"/>
        <v>GRIUEI</v>
      </c>
      <c r="D78" s="14">
        <f>6.567-3.3813</f>
        <v>3.1857000000000002</v>
      </c>
      <c r="E78" s="12">
        <f>D78*VLOOKUP($A78,'EU Ref Sc 2020 Energy intensive'!$A$5:$AE$33,E$2)</f>
        <v>3.3003339235045073</v>
      </c>
      <c r="F78" s="12">
        <f>E78*VLOOKUP($A78,'EU Ref Sc 2020 Energy intensive'!$A$5:$AE$33,F$2)</f>
        <v>3.4149678470090143</v>
      </c>
      <c r="G78" s="12">
        <f>F78*VLOOKUP($A78,'EU Ref Sc 2020 Energy intensive'!$A$5:$AE$33,G$2)</f>
        <v>3.5296017705135219</v>
      </c>
      <c r="H78" s="12">
        <f>G78*VLOOKUP($A78,'EU Ref Sc 2020 Energy intensive'!$A$5:$AE$33,H$2)</f>
        <v>3.6442356940180289</v>
      </c>
      <c r="I78" s="12">
        <f>H78*VLOOKUP($A78,'EU Ref Sc 2020 Energy intensive'!$A$5:$AE$33,I$2)</f>
        <v>3.6197271232380017</v>
      </c>
      <c r="J78" s="12">
        <f>I78*VLOOKUP($A78,'EU Ref Sc 2020 Energy intensive'!$A$5:$AE$33,J$2)</f>
        <v>3.5952185524579741</v>
      </c>
      <c r="K78" s="12">
        <f>J78*VLOOKUP($A78,'EU Ref Sc 2020 Energy intensive'!$A$5:$AE$33,K$2)</f>
        <v>3.5707099816779464</v>
      </c>
      <c r="L78" s="12">
        <f>K78*VLOOKUP($A78,'EU Ref Sc 2020 Energy intensive'!$A$5:$AE$33,L$2)</f>
        <v>3.5462014108979192</v>
      </c>
      <c r="M78" s="12">
        <f>L78*VLOOKUP($A78,'EU Ref Sc 2020 Energy intensive'!$A$5:$AE$33,M$2)</f>
        <v>3.5216928401178915</v>
      </c>
      <c r="N78" s="12">
        <f>M78*VLOOKUP($A78,'EU Ref Sc 2020 Energy intensive'!$A$5:$AE$33,N$2)</f>
        <v>3.498512658918624</v>
      </c>
      <c r="O78" s="12">
        <f>N78*VLOOKUP($A78,'EU Ref Sc 2020 Energy intensive'!$A$5:$AE$33,O$2)</f>
        <v>3.4753324777193564</v>
      </c>
      <c r="P78" s="12">
        <f>O78*VLOOKUP($A78,'EU Ref Sc 2020 Energy intensive'!$A$5:$AE$33,P$2)</f>
        <v>3.4521522965200888</v>
      </c>
      <c r="Q78" s="12">
        <f>P78*VLOOKUP($A78,'EU Ref Sc 2020 Energy intensive'!$A$5:$AE$33,Q$2)</f>
        <v>3.4289721153208217</v>
      </c>
      <c r="R78" s="12">
        <f>Q78*VLOOKUP($A78,'EU Ref Sc 2020 Energy intensive'!$A$5:$AE$33,R$2)</f>
        <v>3.4057919341215532</v>
      </c>
      <c r="S78" s="12">
        <f>R78*VLOOKUP($A78,'EU Ref Sc 2020 Energy intensive'!$A$5:$AE$33,S$2)</f>
        <v>3.391988701197906</v>
      </c>
      <c r="T78" s="12">
        <f>S78*VLOOKUP($A78,'EU Ref Sc 2020 Energy intensive'!$A$5:$AE$33,T$2)</f>
        <v>3.3781854682742583</v>
      </c>
      <c r="U78" s="12">
        <f>T78*VLOOKUP($A78,'EU Ref Sc 2020 Energy intensive'!$A$5:$AE$33,U$2)</f>
        <v>3.364382235350611</v>
      </c>
      <c r="V78" s="12">
        <f>U78*VLOOKUP($A78,'EU Ref Sc 2020 Energy intensive'!$A$5:$AE$33,V$2)</f>
        <v>3.3505790024269633</v>
      </c>
      <c r="W78" s="12">
        <f>V78*VLOOKUP($A78,'EU Ref Sc 2020 Energy intensive'!$A$5:$AE$33,W$2)</f>
        <v>3.3367757695033151</v>
      </c>
      <c r="X78" s="12">
        <f>W78*VLOOKUP($A78,'EU Ref Sc 2020 Energy intensive'!$A$5:$AE$33,X$2)</f>
        <v>3.3439089544693457</v>
      </c>
      <c r="Y78" s="12">
        <f>X78*VLOOKUP($A78,'EU Ref Sc 2020 Energy intensive'!$A$5:$AE$33,Y$2)</f>
        <v>3.3510421394353758</v>
      </c>
      <c r="Z78" s="12">
        <f>Y78*VLOOKUP($A78,'EU Ref Sc 2020 Energy intensive'!$A$5:$AE$33,Z$2)</f>
        <v>3.3581753244014068</v>
      </c>
      <c r="AA78" s="12">
        <f>Z78*VLOOKUP($A78,'EU Ref Sc 2020 Energy intensive'!$A$5:$AE$33,AA$2)</f>
        <v>3.3653085093674373</v>
      </c>
      <c r="AB78" s="12">
        <f>AA78*VLOOKUP($A78,'EU Ref Sc 2020 Energy intensive'!$A$5:$AE$33,AB$2)</f>
        <v>3.372441694333467</v>
      </c>
      <c r="AC78" s="12">
        <f>AB78*VLOOKUP($A78,'EU Ref Sc 2020 Energy intensive'!$A$5:$AE$33,AC$2)</f>
        <v>3.3583123338783549</v>
      </c>
      <c r="AD78" s="12">
        <f>AC78*VLOOKUP($A78,'EU Ref Sc 2020 Energy intensive'!$A$5:$AE$33,AD$2)</f>
        <v>3.3441829734232429</v>
      </c>
      <c r="AE78" s="12">
        <f>AD78*VLOOKUP($A78,'EU Ref Sc 2020 Energy intensive'!$A$5:$AE$33,AE$2)</f>
        <v>3.3300536129681313</v>
      </c>
      <c r="AF78" s="12">
        <f>AE78*VLOOKUP($A78,'EU Ref Sc 2020 Energy intensive'!$A$5:$AE$33,AF$2)</f>
        <v>3.3159242525130193</v>
      </c>
      <c r="AG78" s="12">
        <f>AF78*VLOOKUP($A78,'EU Ref Sc 2020 Energy intensive'!$A$5:$AE$33,AG$2)</f>
        <v>3.3017948920579081</v>
      </c>
      <c r="AH78" s="13">
        <f t="shared" ref="AH78:AQ78" si="77">AG78</f>
        <v>3.3017948920579081</v>
      </c>
      <c r="AI78" s="13">
        <f t="shared" si="77"/>
        <v>3.3017948920579081</v>
      </c>
      <c r="AJ78" s="13">
        <f t="shared" si="77"/>
        <v>3.3017948920579081</v>
      </c>
      <c r="AK78" s="13">
        <f t="shared" si="77"/>
        <v>3.3017948920579081</v>
      </c>
      <c r="AL78" s="13">
        <f t="shared" si="77"/>
        <v>3.3017948920579081</v>
      </c>
      <c r="AM78" s="13">
        <f t="shared" si="77"/>
        <v>3.3017948920579081</v>
      </c>
      <c r="AN78" s="13">
        <f t="shared" si="77"/>
        <v>3.3017948920579081</v>
      </c>
      <c r="AO78" s="13">
        <f t="shared" si="77"/>
        <v>3.3017948920579081</v>
      </c>
      <c r="AP78" s="13">
        <f t="shared" si="77"/>
        <v>3.3017948920579081</v>
      </c>
      <c r="AQ78" s="13">
        <f t="shared" si="77"/>
        <v>3.3017948920579081</v>
      </c>
    </row>
    <row r="79" spans="1:43" x14ac:dyDescent="0.3">
      <c r="A79" t="s">
        <v>1414</v>
      </c>
      <c r="B79" t="s">
        <v>1391</v>
      </c>
      <c r="C79" s="3" t="str">
        <f t="shared" si="66"/>
        <v>ITIUEI</v>
      </c>
      <c r="D79" s="14">
        <f>148.0589-65.13502</f>
        <v>82.923879999999997</v>
      </c>
      <c r="E79" s="12">
        <f>D79*VLOOKUP($A79,'EU Ref Sc 2020 Energy intensive'!$A$5:$AE$33,E$2)</f>
        <v>83.488463365317543</v>
      </c>
      <c r="F79" s="12">
        <f>E79*VLOOKUP($A79,'EU Ref Sc 2020 Energy intensive'!$A$5:$AE$33,F$2)</f>
        <v>84.053046730635089</v>
      </c>
      <c r="G79" s="12">
        <f>F79*VLOOKUP($A79,'EU Ref Sc 2020 Energy intensive'!$A$5:$AE$33,G$2)</f>
        <v>84.617630095952649</v>
      </c>
      <c r="H79" s="12">
        <f>G79*VLOOKUP($A79,'EU Ref Sc 2020 Energy intensive'!$A$5:$AE$33,H$2)</f>
        <v>85.182213461270209</v>
      </c>
      <c r="I79" s="12">
        <f>H79*VLOOKUP($A79,'EU Ref Sc 2020 Energy intensive'!$A$5:$AE$33,I$2)</f>
        <v>84.640579938460263</v>
      </c>
      <c r="J79" s="12">
        <f>I79*VLOOKUP($A79,'EU Ref Sc 2020 Energy intensive'!$A$5:$AE$33,J$2)</f>
        <v>84.098946415650317</v>
      </c>
      <c r="K79" s="12">
        <f>J79*VLOOKUP($A79,'EU Ref Sc 2020 Energy intensive'!$A$5:$AE$33,K$2)</f>
        <v>83.557312892840358</v>
      </c>
      <c r="L79" s="12">
        <f>K79*VLOOKUP($A79,'EU Ref Sc 2020 Energy intensive'!$A$5:$AE$33,L$2)</f>
        <v>83.015679370030412</v>
      </c>
      <c r="M79" s="12">
        <f>L79*VLOOKUP($A79,'EU Ref Sc 2020 Energy intensive'!$A$5:$AE$33,M$2)</f>
        <v>82.474045847220481</v>
      </c>
      <c r="N79" s="12">
        <f>M79*VLOOKUP($A79,'EU Ref Sc 2020 Energy intensive'!$A$5:$AE$33,N$2)</f>
        <v>81.322272309349174</v>
      </c>
      <c r="O79" s="12">
        <f>N79*VLOOKUP($A79,'EU Ref Sc 2020 Energy intensive'!$A$5:$AE$33,O$2)</f>
        <v>80.170498771477867</v>
      </c>
      <c r="P79" s="12">
        <f>O79*VLOOKUP($A79,'EU Ref Sc 2020 Energy intensive'!$A$5:$AE$33,P$2)</f>
        <v>79.01872523360656</v>
      </c>
      <c r="Q79" s="12">
        <f>P79*VLOOKUP($A79,'EU Ref Sc 2020 Energy intensive'!$A$5:$AE$33,Q$2)</f>
        <v>77.866951695735253</v>
      </c>
      <c r="R79" s="12">
        <f>Q79*VLOOKUP($A79,'EU Ref Sc 2020 Energy intensive'!$A$5:$AE$33,R$2)</f>
        <v>76.71517815786396</v>
      </c>
      <c r="S79" s="12">
        <f>R79*VLOOKUP($A79,'EU Ref Sc 2020 Energy intensive'!$A$5:$AE$33,S$2)</f>
        <v>75.480744617486977</v>
      </c>
      <c r="T79" s="12">
        <f>S79*VLOOKUP($A79,'EU Ref Sc 2020 Energy intensive'!$A$5:$AE$33,T$2)</f>
        <v>74.246311077109993</v>
      </c>
      <c r="U79" s="12">
        <f>T79*VLOOKUP($A79,'EU Ref Sc 2020 Energy intensive'!$A$5:$AE$33,U$2)</f>
        <v>73.01187753673301</v>
      </c>
      <c r="V79" s="12">
        <f>U79*VLOOKUP($A79,'EU Ref Sc 2020 Energy intensive'!$A$5:$AE$33,V$2)</f>
        <v>71.777443996356027</v>
      </c>
      <c r="W79" s="12">
        <f>V79*VLOOKUP($A79,'EU Ref Sc 2020 Energy intensive'!$A$5:$AE$33,W$2)</f>
        <v>70.543010455979029</v>
      </c>
      <c r="X79" s="12">
        <f>W79*VLOOKUP($A79,'EU Ref Sc 2020 Energy intensive'!$A$5:$AE$33,X$2)</f>
        <v>69.684707389343473</v>
      </c>
      <c r="Y79" s="12">
        <f>X79*VLOOKUP($A79,'EU Ref Sc 2020 Energy intensive'!$A$5:$AE$33,Y$2)</f>
        <v>68.82640432270793</v>
      </c>
      <c r="Z79" s="12">
        <f>Y79*VLOOKUP($A79,'EU Ref Sc 2020 Energy intensive'!$A$5:$AE$33,Z$2)</f>
        <v>67.968101256072373</v>
      </c>
      <c r="AA79" s="12">
        <f>Z79*VLOOKUP($A79,'EU Ref Sc 2020 Energy intensive'!$A$5:$AE$33,AA$2)</f>
        <v>67.109798189436816</v>
      </c>
      <c r="AB79" s="12">
        <f>AA79*VLOOKUP($A79,'EU Ref Sc 2020 Energy intensive'!$A$5:$AE$33,AB$2)</f>
        <v>66.251495122801245</v>
      </c>
      <c r="AC79" s="12">
        <f>AB79*VLOOKUP($A79,'EU Ref Sc 2020 Energy intensive'!$A$5:$AE$33,AC$2)</f>
        <v>67.146829586321147</v>
      </c>
      <c r="AD79" s="12">
        <f>AC79*VLOOKUP($A79,'EU Ref Sc 2020 Energy intensive'!$A$5:$AE$33,AD$2)</f>
        <v>68.042164049841048</v>
      </c>
      <c r="AE79" s="12">
        <f>AD79*VLOOKUP($A79,'EU Ref Sc 2020 Energy intensive'!$A$5:$AE$33,AE$2)</f>
        <v>68.93749851336095</v>
      </c>
      <c r="AF79" s="12">
        <f>AE79*VLOOKUP($A79,'EU Ref Sc 2020 Energy intensive'!$A$5:$AE$33,AF$2)</f>
        <v>69.832832976880852</v>
      </c>
      <c r="AG79" s="12">
        <f>AF79*VLOOKUP($A79,'EU Ref Sc 2020 Energy intensive'!$A$5:$AE$33,AG$2)</f>
        <v>70.728167440400782</v>
      </c>
      <c r="AH79" s="13">
        <f t="shared" ref="AH79:AQ79" si="78">AG79</f>
        <v>70.728167440400782</v>
      </c>
      <c r="AI79" s="13">
        <f t="shared" si="78"/>
        <v>70.728167440400782</v>
      </c>
      <c r="AJ79" s="13">
        <f t="shared" si="78"/>
        <v>70.728167440400782</v>
      </c>
      <c r="AK79" s="13">
        <f t="shared" si="78"/>
        <v>70.728167440400782</v>
      </c>
      <c r="AL79" s="13">
        <f t="shared" si="78"/>
        <v>70.728167440400782</v>
      </c>
      <c r="AM79" s="13">
        <f t="shared" si="78"/>
        <v>70.728167440400782</v>
      </c>
      <c r="AN79" s="13">
        <f t="shared" si="78"/>
        <v>70.728167440400782</v>
      </c>
      <c r="AO79" s="13">
        <f t="shared" si="78"/>
        <v>70.728167440400782</v>
      </c>
      <c r="AP79" s="13">
        <f t="shared" si="78"/>
        <v>70.728167440400782</v>
      </c>
      <c r="AQ79" s="13">
        <f t="shared" si="78"/>
        <v>70.728167440400782</v>
      </c>
    </row>
    <row r="80" spans="1:43" x14ac:dyDescent="0.3">
      <c r="A80" t="s">
        <v>1416</v>
      </c>
      <c r="B80" t="s">
        <v>1391</v>
      </c>
      <c r="C80" s="3" t="str">
        <f t="shared" si="66"/>
        <v>LUIUEI</v>
      </c>
      <c r="D80" s="14">
        <f>14.4358-7.4462</f>
        <v>6.9896000000000003</v>
      </c>
      <c r="E80" s="12">
        <f>D80*VLOOKUP($A80,'EU Ref Sc 2020 Energy intensive'!$A$5:$AE$33,E$2)</f>
        <v>6.9775214090281983</v>
      </c>
      <c r="F80" s="12">
        <f>E80*VLOOKUP($A80,'EU Ref Sc 2020 Energy intensive'!$A$5:$AE$33,F$2)</f>
        <v>6.9654428180563972</v>
      </c>
      <c r="G80" s="12">
        <f>F80*VLOOKUP($A80,'EU Ref Sc 2020 Energy intensive'!$A$5:$AE$33,G$2)</f>
        <v>6.9533642270845952</v>
      </c>
      <c r="H80" s="12">
        <f>G80*VLOOKUP($A80,'EU Ref Sc 2020 Energy intensive'!$A$5:$AE$33,H$2)</f>
        <v>6.9412856361127933</v>
      </c>
      <c r="I80" s="12">
        <f>H80*VLOOKUP($A80,'EU Ref Sc 2020 Energy intensive'!$A$5:$AE$33,I$2)</f>
        <v>6.8697035355452716</v>
      </c>
      <c r="J80" s="12">
        <f>I80*VLOOKUP($A80,'EU Ref Sc 2020 Energy intensive'!$A$5:$AE$33,J$2)</f>
        <v>6.798121434977749</v>
      </c>
      <c r="K80" s="12">
        <f>J80*VLOOKUP($A80,'EU Ref Sc 2020 Energy intensive'!$A$5:$AE$33,K$2)</f>
        <v>6.7265393344102273</v>
      </c>
      <c r="L80" s="12">
        <f>K80*VLOOKUP($A80,'EU Ref Sc 2020 Energy intensive'!$A$5:$AE$33,L$2)</f>
        <v>6.6549572338427057</v>
      </c>
      <c r="M80" s="12">
        <f>L80*VLOOKUP($A80,'EU Ref Sc 2020 Energy intensive'!$A$5:$AE$33,M$2)</f>
        <v>6.5833751332751858</v>
      </c>
      <c r="N80" s="12">
        <f>M80*VLOOKUP($A80,'EU Ref Sc 2020 Energy intensive'!$A$5:$AE$33,N$2)</f>
        <v>6.5026060797467222</v>
      </c>
      <c r="O80" s="12">
        <f>N80*VLOOKUP($A80,'EU Ref Sc 2020 Energy intensive'!$A$5:$AE$33,O$2)</f>
        <v>6.4218370262182587</v>
      </c>
      <c r="P80" s="12">
        <f>O80*VLOOKUP($A80,'EU Ref Sc 2020 Energy intensive'!$A$5:$AE$33,P$2)</f>
        <v>6.3410679726897943</v>
      </c>
      <c r="Q80" s="12">
        <f>P80*VLOOKUP($A80,'EU Ref Sc 2020 Energy intensive'!$A$5:$AE$33,Q$2)</f>
        <v>6.2602989191613299</v>
      </c>
      <c r="R80" s="12">
        <f>Q80*VLOOKUP($A80,'EU Ref Sc 2020 Energy intensive'!$A$5:$AE$33,R$2)</f>
        <v>6.1795298656328654</v>
      </c>
      <c r="S80" s="12">
        <f>R80*VLOOKUP($A80,'EU Ref Sc 2020 Energy intensive'!$A$5:$AE$33,S$2)</f>
        <v>6.1076390417956725</v>
      </c>
      <c r="T80" s="12">
        <f>S80*VLOOKUP($A80,'EU Ref Sc 2020 Energy intensive'!$A$5:$AE$33,T$2)</f>
        <v>6.0357482179584787</v>
      </c>
      <c r="U80" s="12">
        <f>T80*VLOOKUP($A80,'EU Ref Sc 2020 Energy intensive'!$A$5:$AE$33,U$2)</f>
        <v>5.9638573941212849</v>
      </c>
      <c r="V80" s="12">
        <f>U80*VLOOKUP($A80,'EU Ref Sc 2020 Energy intensive'!$A$5:$AE$33,V$2)</f>
        <v>5.8919665702840911</v>
      </c>
      <c r="W80" s="12">
        <f>V80*VLOOKUP($A80,'EU Ref Sc 2020 Energy intensive'!$A$5:$AE$33,W$2)</f>
        <v>5.8200757464468964</v>
      </c>
      <c r="X80" s="12">
        <f>W80*VLOOKUP($A80,'EU Ref Sc 2020 Energy intensive'!$A$5:$AE$33,X$2)</f>
        <v>5.7684872536612453</v>
      </c>
      <c r="Y80" s="12">
        <f>X80*VLOOKUP($A80,'EU Ref Sc 2020 Energy intensive'!$A$5:$AE$33,Y$2)</f>
        <v>5.7168987608755932</v>
      </c>
      <c r="Z80" s="12">
        <f>Y80*VLOOKUP($A80,'EU Ref Sc 2020 Energy intensive'!$A$5:$AE$33,Z$2)</f>
        <v>5.6653102680899421</v>
      </c>
      <c r="AA80" s="12">
        <f>Z80*VLOOKUP($A80,'EU Ref Sc 2020 Energy intensive'!$A$5:$AE$33,AA$2)</f>
        <v>5.6137217753042901</v>
      </c>
      <c r="AB80" s="12">
        <f>AA80*VLOOKUP($A80,'EU Ref Sc 2020 Energy intensive'!$A$5:$AE$33,AB$2)</f>
        <v>5.5621332825186389</v>
      </c>
      <c r="AC80" s="12">
        <f>AB80*VLOOKUP($A80,'EU Ref Sc 2020 Energy intensive'!$A$5:$AE$33,AC$2)</f>
        <v>5.4946610903710003</v>
      </c>
      <c r="AD80" s="12">
        <f>AC80*VLOOKUP($A80,'EU Ref Sc 2020 Energy intensive'!$A$5:$AE$33,AD$2)</f>
        <v>5.4271888982233616</v>
      </c>
      <c r="AE80" s="12">
        <f>AD80*VLOOKUP($A80,'EU Ref Sc 2020 Energy intensive'!$A$5:$AE$33,AE$2)</f>
        <v>5.3597167060757229</v>
      </c>
      <c r="AF80" s="12">
        <f>AE80*VLOOKUP($A80,'EU Ref Sc 2020 Energy intensive'!$A$5:$AE$33,AF$2)</f>
        <v>5.2922445139280843</v>
      </c>
      <c r="AG80" s="12">
        <f>AF80*VLOOKUP($A80,'EU Ref Sc 2020 Energy intensive'!$A$5:$AE$33,AG$2)</f>
        <v>5.2247723217804456</v>
      </c>
      <c r="AH80" s="13">
        <f t="shared" ref="AH80:AQ80" si="79">AG80</f>
        <v>5.2247723217804456</v>
      </c>
      <c r="AI80" s="13">
        <f t="shared" si="79"/>
        <v>5.2247723217804456</v>
      </c>
      <c r="AJ80" s="13">
        <f t="shared" si="79"/>
        <v>5.2247723217804456</v>
      </c>
      <c r="AK80" s="13">
        <f t="shared" si="79"/>
        <v>5.2247723217804456</v>
      </c>
      <c r="AL80" s="13">
        <f t="shared" si="79"/>
        <v>5.2247723217804456</v>
      </c>
      <c r="AM80" s="13">
        <f t="shared" si="79"/>
        <v>5.2247723217804456</v>
      </c>
      <c r="AN80" s="13">
        <f t="shared" si="79"/>
        <v>5.2247723217804456</v>
      </c>
      <c r="AO80" s="13">
        <f t="shared" si="79"/>
        <v>5.2247723217804456</v>
      </c>
      <c r="AP80" s="13">
        <f t="shared" si="79"/>
        <v>5.2247723217804456</v>
      </c>
      <c r="AQ80" s="13">
        <f t="shared" si="79"/>
        <v>5.2247723217804456</v>
      </c>
    </row>
    <row r="81" spans="1:43" x14ac:dyDescent="0.3">
      <c r="A81" t="s">
        <v>1419</v>
      </c>
      <c r="B81" t="s">
        <v>1391</v>
      </c>
      <c r="C81" t="str">
        <f t="shared" si="66"/>
        <v>NLIUEI</v>
      </c>
      <c r="D81" s="2">
        <v>18.749600000000001</v>
      </c>
      <c r="E81" s="12">
        <f>D81*VLOOKUP($A81,'EU Ref Sc 2020 Energy intensive'!$A$5:$AE$33,E$2)</f>
        <v>18.83703552719993</v>
      </c>
      <c r="F81" s="12">
        <f>E81*VLOOKUP($A81,'EU Ref Sc 2020 Energy intensive'!$A$5:$AE$33,F$2)</f>
        <v>18.924471054399859</v>
      </c>
      <c r="G81" s="12">
        <f>F81*VLOOKUP($A81,'EU Ref Sc 2020 Energy intensive'!$A$5:$AE$33,G$2)</f>
        <v>19.011906581599789</v>
      </c>
      <c r="H81" s="12">
        <f>G81*VLOOKUP($A81,'EU Ref Sc 2020 Energy intensive'!$A$5:$AE$33,H$2)</f>
        <v>19.099342108799721</v>
      </c>
      <c r="I81" s="12">
        <f>H81*VLOOKUP($A81,'EU Ref Sc 2020 Energy intensive'!$A$5:$AE$33,I$2)</f>
        <v>18.715800349592222</v>
      </c>
      <c r="J81" s="12">
        <f>I81*VLOOKUP($A81,'EU Ref Sc 2020 Energy intensive'!$A$5:$AE$33,J$2)</f>
        <v>18.332258590384722</v>
      </c>
      <c r="K81" s="12">
        <f>J81*VLOOKUP($A81,'EU Ref Sc 2020 Energy intensive'!$A$5:$AE$33,K$2)</f>
        <v>17.948716831177222</v>
      </c>
      <c r="L81" s="12">
        <f>K81*VLOOKUP($A81,'EU Ref Sc 2020 Energy intensive'!$A$5:$AE$33,L$2)</f>
        <v>17.565175071969723</v>
      </c>
      <c r="M81" s="12">
        <f>L81*VLOOKUP($A81,'EU Ref Sc 2020 Energy intensive'!$A$5:$AE$33,M$2)</f>
        <v>17.181633312762219</v>
      </c>
      <c r="N81" s="12">
        <f>M81*VLOOKUP($A81,'EU Ref Sc 2020 Energy intensive'!$A$5:$AE$33,N$2)</f>
        <v>17.009452224428131</v>
      </c>
      <c r="O81" s="12">
        <f>N81*VLOOKUP($A81,'EU Ref Sc 2020 Energy intensive'!$A$5:$AE$33,O$2)</f>
        <v>16.837271136094042</v>
      </c>
      <c r="P81" s="12">
        <f>O81*VLOOKUP($A81,'EU Ref Sc 2020 Energy intensive'!$A$5:$AE$33,P$2)</f>
        <v>16.665090047759954</v>
      </c>
      <c r="Q81" s="12">
        <f>P81*VLOOKUP($A81,'EU Ref Sc 2020 Energy intensive'!$A$5:$AE$33,Q$2)</f>
        <v>16.492908959425865</v>
      </c>
      <c r="R81" s="12">
        <f>Q81*VLOOKUP($A81,'EU Ref Sc 2020 Energy intensive'!$A$5:$AE$33,R$2)</f>
        <v>16.32072787109178</v>
      </c>
      <c r="S81" s="12">
        <f>R81*VLOOKUP($A81,'EU Ref Sc 2020 Energy intensive'!$A$5:$AE$33,S$2)</f>
        <v>15.83480496869344</v>
      </c>
      <c r="T81" s="12">
        <f>S81*VLOOKUP($A81,'EU Ref Sc 2020 Energy intensive'!$A$5:$AE$33,T$2)</f>
        <v>15.348882066295101</v>
      </c>
      <c r="U81" s="12">
        <f>T81*VLOOKUP($A81,'EU Ref Sc 2020 Energy intensive'!$A$5:$AE$33,U$2)</f>
        <v>14.862959163896761</v>
      </c>
      <c r="V81" s="12">
        <f>U81*VLOOKUP($A81,'EU Ref Sc 2020 Energy intensive'!$A$5:$AE$33,V$2)</f>
        <v>14.37703626149842</v>
      </c>
      <c r="W81" s="12">
        <f>V81*VLOOKUP($A81,'EU Ref Sc 2020 Energy intensive'!$A$5:$AE$33,W$2)</f>
        <v>13.891113359100078</v>
      </c>
      <c r="X81" s="12">
        <f>W81*VLOOKUP($A81,'EU Ref Sc 2020 Energy intensive'!$A$5:$AE$33,X$2)</f>
        <v>13.90271421617445</v>
      </c>
      <c r="Y81" s="12">
        <f>X81*VLOOKUP($A81,'EU Ref Sc 2020 Energy intensive'!$A$5:$AE$33,Y$2)</f>
        <v>13.914315073248822</v>
      </c>
      <c r="Z81" s="12">
        <f>Y81*VLOOKUP($A81,'EU Ref Sc 2020 Energy intensive'!$A$5:$AE$33,Z$2)</f>
        <v>13.925915930323196</v>
      </c>
      <c r="AA81" s="12">
        <f>Z81*VLOOKUP($A81,'EU Ref Sc 2020 Energy intensive'!$A$5:$AE$33,AA$2)</f>
        <v>13.93751678739757</v>
      </c>
      <c r="AB81" s="12">
        <f>AA81*VLOOKUP($A81,'EU Ref Sc 2020 Energy intensive'!$A$5:$AE$33,AB$2)</f>
        <v>13.949117644471945</v>
      </c>
      <c r="AC81" s="12">
        <f>AB81*VLOOKUP($A81,'EU Ref Sc 2020 Energy intensive'!$A$5:$AE$33,AC$2)</f>
        <v>14.024292820674647</v>
      </c>
      <c r="AD81" s="12">
        <f>AC81*VLOOKUP($A81,'EU Ref Sc 2020 Energy intensive'!$A$5:$AE$33,AD$2)</f>
        <v>14.099467996877351</v>
      </c>
      <c r="AE81" s="12">
        <f>AD81*VLOOKUP($A81,'EU Ref Sc 2020 Energy intensive'!$A$5:$AE$33,AE$2)</f>
        <v>14.174643173080053</v>
      </c>
      <c r="AF81" s="12">
        <f>AE81*VLOOKUP($A81,'EU Ref Sc 2020 Energy intensive'!$A$5:$AE$33,AF$2)</f>
        <v>14.249818349282755</v>
      </c>
      <c r="AG81" s="12">
        <f>AF81*VLOOKUP($A81,'EU Ref Sc 2020 Energy intensive'!$A$5:$AE$33,AG$2)</f>
        <v>14.324993525485455</v>
      </c>
      <c r="AH81" s="13">
        <f t="shared" ref="AH81:AQ81" si="80">AG81</f>
        <v>14.324993525485455</v>
      </c>
      <c r="AI81" s="13">
        <f t="shared" si="80"/>
        <v>14.324993525485455</v>
      </c>
      <c r="AJ81" s="13">
        <f t="shared" si="80"/>
        <v>14.324993525485455</v>
      </c>
      <c r="AK81" s="13">
        <f t="shared" si="80"/>
        <v>14.324993525485455</v>
      </c>
      <c r="AL81" s="13">
        <f t="shared" si="80"/>
        <v>14.324993525485455</v>
      </c>
      <c r="AM81" s="13">
        <f t="shared" si="80"/>
        <v>14.324993525485455</v>
      </c>
      <c r="AN81" s="13">
        <f t="shared" si="80"/>
        <v>14.324993525485455</v>
      </c>
      <c r="AO81" s="13">
        <f t="shared" si="80"/>
        <v>14.324993525485455</v>
      </c>
      <c r="AP81" s="13">
        <f t="shared" si="80"/>
        <v>14.324993525485455</v>
      </c>
      <c r="AQ81" s="13">
        <f t="shared" si="80"/>
        <v>14.324993525485455</v>
      </c>
    </row>
    <row r="82" spans="1:43" x14ac:dyDescent="0.3">
      <c r="A82" t="s">
        <v>1420</v>
      </c>
      <c r="B82" t="s">
        <v>1391</v>
      </c>
      <c r="C82" s="3" t="str">
        <f t="shared" si="66"/>
        <v>PLIUEI</v>
      </c>
      <c r="D82" s="14">
        <f>46.5878-11.72303</f>
        <v>34.86477</v>
      </c>
      <c r="E82" s="12">
        <f>D82*VLOOKUP($A82,'EU Ref Sc 2020 Energy intensive'!$A$5:$AE$33,E$2)</f>
        <v>34.910910329426464</v>
      </c>
      <c r="F82" s="12">
        <f>E82*VLOOKUP($A82,'EU Ref Sc 2020 Energy intensive'!$A$5:$AE$33,F$2)</f>
        <v>34.957050658852921</v>
      </c>
      <c r="G82" s="12">
        <f>F82*VLOOKUP($A82,'EU Ref Sc 2020 Energy intensive'!$A$5:$AE$33,G$2)</f>
        <v>35.003190988279385</v>
      </c>
      <c r="H82" s="12">
        <f>G82*VLOOKUP($A82,'EU Ref Sc 2020 Energy intensive'!$A$5:$AE$33,H$2)</f>
        <v>35.049331317705843</v>
      </c>
      <c r="I82" s="12">
        <f>H82*VLOOKUP($A82,'EU Ref Sc 2020 Energy intensive'!$A$5:$AE$33,I$2)</f>
        <v>35.102425935556894</v>
      </c>
      <c r="J82" s="12">
        <f>I82*VLOOKUP($A82,'EU Ref Sc 2020 Energy intensive'!$A$5:$AE$33,J$2)</f>
        <v>35.155520553407946</v>
      </c>
      <c r="K82" s="12">
        <f>J82*VLOOKUP($A82,'EU Ref Sc 2020 Energy intensive'!$A$5:$AE$33,K$2)</f>
        <v>35.208615171258998</v>
      </c>
      <c r="L82" s="12">
        <f>K82*VLOOKUP($A82,'EU Ref Sc 2020 Energy intensive'!$A$5:$AE$33,L$2)</f>
        <v>35.261709789110043</v>
      </c>
      <c r="M82" s="12">
        <f>L82*VLOOKUP($A82,'EU Ref Sc 2020 Energy intensive'!$A$5:$AE$33,M$2)</f>
        <v>35.314804406961109</v>
      </c>
      <c r="N82" s="12">
        <f>M82*VLOOKUP($A82,'EU Ref Sc 2020 Energy intensive'!$A$5:$AE$33,N$2)</f>
        <v>34.575796838522741</v>
      </c>
      <c r="O82" s="12">
        <f>N82*VLOOKUP($A82,'EU Ref Sc 2020 Energy intensive'!$A$5:$AE$33,O$2)</f>
        <v>33.836789270084374</v>
      </c>
      <c r="P82" s="12">
        <f>O82*VLOOKUP($A82,'EU Ref Sc 2020 Energy intensive'!$A$5:$AE$33,P$2)</f>
        <v>33.097781701646007</v>
      </c>
      <c r="Q82" s="12">
        <f>P82*VLOOKUP($A82,'EU Ref Sc 2020 Energy intensive'!$A$5:$AE$33,Q$2)</f>
        <v>32.358774133207639</v>
      </c>
      <c r="R82" s="12">
        <f>Q82*VLOOKUP($A82,'EU Ref Sc 2020 Energy intensive'!$A$5:$AE$33,R$2)</f>
        <v>31.619766564769261</v>
      </c>
      <c r="S82" s="12">
        <f>R82*VLOOKUP($A82,'EU Ref Sc 2020 Energy intensive'!$A$5:$AE$33,S$2)</f>
        <v>31.498079942693707</v>
      </c>
      <c r="T82" s="12">
        <f>S82*VLOOKUP($A82,'EU Ref Sc 2020 Energy intensive'!$A$5:$AE$33,T$2)</f>
        <v>31.376393320618153</v>
      </c>
      <c r="U82" s="12">
        <f>T82*VLOOKUP($A82,'EU Ref Sc 2020 Energy intensive'!$A$5:$AE$33,U$2)</f>
        <v>31.254706698542599</v>
      </c>
      <c r="V82" s="12">
        <f>U82*VLOOKUP($A82,'EU Ref Sc 2020 Energy intensive'!$A$5:$AE$33,V$2)</f>
        <v>31.133020076467044</v>
      </c>
      <c r="W82" s="12">
        <f>V82*VLOOKUP($A82,'EU Ref Sc 2020 Energy intensive'!$A$5:$AE$33,W$2)</f>
        <v>31.011333454391487</v>
      </c>
      <c r="X82" s="12">
        <f>W82*VLOOKUP($A82,'EU Ref Sc 2020 Energy intensive'!$A$5:$AE$33,X$2)</f>
        <v>30.975778310921612</v>
      </c>
      <c r="Y82" s="12">
        <f>X82*VLOOKUP($A82,'EU Ref Sc 2020 Energy intensive'!$A$5:$AE$33,Y$2)</f>
        <v>30.940223167451737</v>
      </c>
      <c r="Z82" s="12">
        <f>Y82*VLOOKUP($A82,'EU Ref Sc 2020 Energy intensive'!$A$5:$AE$33,Z$2)</f>
        <v>30.904668023981859</v>
      </c>
      <c r="AA82" s="12">
        <f>Z82*VLOOKUP($A82,'EU Ref Sc 2020 Energy intensive'!$A$5:$AE$33,AA$2)</f>
        <v>30.869112880511981</v>
      </c>
      <c r="AB82" s="12">
        <f>AA82*VLOOKUP($A82,'EU Ref Sc 2020 Energy intensive'!$A$5:$AE$33,AB$2)</f>
        <v>30.833557737042103</v>
      </c>
      <c r="AC82" s="12">
        <f>AB82*VLOOKUP($A82,'EU Ref Sc 2020 Energy intensive'!$A$5:$AE$33,AC$2)</f>
        <v>30.759269502305095</v>
      </c>
      <c r="AD82" s="12">
        <f>AC82*VLOOKUP($A82,'EU Ref Sc 2020 Energy intensive'!$A$5:$AE$33,AD$2)</f>
        <v>30.684981267568084</v>
      </c>
      <c r="AE82" s="12">
        <f>AD82*VLOOKUP($A82,'EU Ref Sc 2020 Energy intensive'!$A$5:$AE$33,AE$2)</f>
        <v>30.610693032831072</v>
      </c>
      <c r="AF82" s="12">
        <f>AE82*VLOOKUP($A82,'EU Ref Sc 2020 Energy intensive'!$A$5:$AE$33,AF$2)</f>
        <v>30.536404798094065</v>
      </c>
      <c r="AG82" s="12">
        <f>AF82*VLOOKUP($A82,'EU Ref Sc 2020 Energy intensive'!$A$5:$AE$33,AG$2)</f>
        <v>30.462116563357046</v>
      </c>
      <c r="AH82" s="13">
        <f t="shared" ref="AH82:AQ82" si="81">AG82</f>
        <v>30.462116563357046</v>
      </c>
      <c r="AI82" s="13">
        <f t="shared" si="81"/>
        <v>30.462116563357046</v>
      </c>
      <c r="AJ82" s="13">
        <f t="shared" si="81"/>
        <v>30.462116563357046</v>
      </c>
      <c r="AK82" s="13">
        <f t="shared" si="81"/>
        <v>30.462116563357046</v>
      </c>
      <c r="AL82" s="13">
        <f t="shared" si="81"/>
        <v>30.462116563357046</v>
      </c>
      <c r="AM82" s="13">
        <f t="shared" si="81"/>
        <v>30.462116563357046</v>
      </c>
      <c r="AN82" s="13">
        <f t="shared" si="81"/>
        <v>30.462116563357046</v>
      </c>
      <c r="AO82" s="13">
        <f t="shared" si="81"/>
        <v>30.462116563357046</v>
      </c>
      <c r="AP82" s="13">
        <f t="shared" si="81"/>
        <v>30.462116563357046</v>
      </c>
      <c r="AQ82" s="13">
        <f t="shared" si="81"/>
        <v>30.462116563357046</v>
      </c>
    </row>
    <row r="83" spans="1:43" x14ac:dyDescent="0.3">
      <c r="A83" t="s">
        <v>1422</v>
      </c>
      <c r="B83" t="s">
        <v>1391</v>
      </c>
      <c r="C83" s="3" t="str">
        <f t="shared" si="66"/>
        <v>ROIUEI</v>
      </c>
      <c r="D83" s="14">
        <f>20.3005-2.99721</f>
        <v>17.303290000000001</v>
      </c>
      <c r="E83" s="12">
        <f>D83*VLOOKUP($A83,'EU Ref Sc 2020 Energy intensive'!$A$5:$AE$33,E$2)</f>
        <v>17.711816472830936</v>
      </c>
      <c r="F83" s="12">
        <f>E83*VLOOKUP($A83,'EU Ref Sc 2020 Energy intensive'!$A$5:$AE$33,F$2)</f>
        <v>18.120342945661871</v>
      </c>
      <c r="G83" s="12">
        <f>F83*VLOOKUP($A83,'EU Ref Sc 2020 Energy intensive'!$A$5:$AE$33,G$2)</f>
        <v>18.52886941849281</v>
      </c>
      <c r="H83" s="12">
        <f>G83*VLOOKUP($A83,'EU Ref Sc 2020 Energy intensive'!$A$5:$AE$33,H$2)</f>
        <v>18.937395891323746</v>
      </c>
      <c r="I83" s="12">
        <f>H83*VLOOKUP($A83,'EU Ref Sc 2020 Energy intensive'!$A$5:$AE$33,I$2)</f>
        <v>18.892618139094569</v>
      </c>
      <c r="J83" s="12">
        <f>I83*VLOOKUP($A83,'EU Ref Sc 2020 Energy intensive'!$A$5:$AE$33,J$2)</f>
        <v>18.847840386865396</v>
      </c>
      <c r="K83" s="12">
        <f>J83*VLOOKUP($A83,'EU Ref Sc 2020 Energy intensive'!$A$5:$AE$33,K$2)</f>
        <v>18.803062634636223</v>
      </c>
      <c r="L83" s="12">
        <f>K83*VLOOKUP($A83,'EU Ref Sc 2020 Energy intensive'!$A$5:$AE$33,L$2)</f>
        <v>18.75828488240705</v>
      </c>
      <c r="M83" s="12">
        <f>L83*VLOOKUP($A83,'EU Ref Sc 2020 Energy intensive'!$A$5:$AE$33,M$2)</f>
        <v>18.71350713017787</v>
      </c>
      <c r="N83" s="12">
        <f>M83*VLOOKUP($A83,'EU Ref Sc 2020 Energy intensive'!$A$5:$AE$33,N$2)</f>
        <v>18.546834919749855</v>
      </c>
      <c r="O83" s="12">
        <f>N83*VLOOKUP($A83,'EU Ref Sc 2020 Energy intensive'!$A$5:$AE$33,O$2)</f>
        <v>18.380162709321841</v>
      </c>
      <c r="P83" s="12">
        <f>O83*VLOOKUP($A83,'EU Ref Sc 2020 Energy intensive'!$A$5:$AE$33,P$2)</f>
        <v>18.213490498893826</v>
      </c>
      <c r="Q83" s="12">
        <f>P83*VLOOKUP($A83,'EU Ref Sc 2020 Energy intensive'!$A$5:$AE$33,Q$2)</f>
        <v>18.046818288465811</v>
      </c>
      <c r="R83" s="12">
        <f>Q83*VLOOKUP($A83,'EU Ref Sc 2020 Energy intensive'!$A$5:$AE$33,R$2)</f>
        <v>17.880146078037797</v>
      </c>
      <c r="S83" s="12">
        <f>R83*VLOOKUP($A83,'EU Ref Sc 2020 Energy intensive'!$A$5:$AE$33,S$2)</f>
        <v>17.645992848309124</v>
      </c>
      <c r="T83" s="12">
        <f>S83*VLOOKUP($A83,'EU Ref Sc 2020 Energy intensive'!$A$5:$AE$33,T$2)</f>
        <v>17.411839618580451</v>
      </c>
      <c r="U83" s="12">
        <f>T83*VLOOKUP($A83,'EU Ref Sc 2020 Energy intensive'!$A$5:$AE$33,U$2)</f>
        <v>17.177686388851779</v>
      </c>
      <c r="V83" s="12">
        <f>U83*VLOOKUP($A83,'EU Ref Sc 2020 Energy intensive'!$A$5:$AE$33,V$2)</f>
        <v>16.943533159123106</v>
      </c>
      <c r="W83" s="12">
        <f>V83*VLOOKUP($A83,'EU Ref Sc 2020 Energy intensive'!$A$5:$AE$33,W$2)</f>
        <v>16.709379929394434</v>
      </c>
      <c r="X83" s="12">
        <f>W83*VLOOKUP($A83,'EU Ref Sc 2020 Energy intensive'!$A$5:$AE$33,X$2)</f>
        <v>16.543819775796379</v>
      </c>
      <c r="Y83" s="12">
        <f>X83*VLOOKUP($A83,'EU Ref Sc 2020 Energy intensive'!$A$5:$AE$33,Y$2)</f>
        <v>16.378259622198325</v>
      </c>
      <c r="Z83" s="12">
        <f>Y83*VLOOKUP($A83,'EU Ref Sc 2020 Energy intensive'!$A$5:$AE$33,Z$2)</f>
        <v>16.21269946860027</v>
      </c>
      <c r="AA83" s="12">
        <f>Z83*VLOOKUP($A83,'EU Ref Sc 2020 Energy intensive'!$A$5:$AE$33,AA$2)</f>
        <v>16.047139315002216</v>
      </c>
      <c r="AB83" s="12">
        <f>AA83*VLOOKUP($A83,'EU Ref Sc 2020 Energy intensive'!$A$5:$AE$33,AB$2)</f>
        <v>15.881579161404165</v>
      </c>
      <c r="AC83" s="12">
        <f>AB83*VLOOKUP($A83,'EU Ref Sc 2020 Energy intensive'!$A$5:$AE$33,AC$2)</f>
        <v>15.794083495572465</v>
      </c>
      <c r="AD83" s="12">
        <f>AC83*VLOOKUP($A83,'EU Ref Sc 2020 Energy intensive'!$A$5:$AE$33,AD$2)</f>
        <v>15.706587829740766</v>
      </c>
      <c r="AE83" s="12">
        <f>AD83*VLOOKUP($A83,'EU Ref Sc 2020 Energy intensive'!$A$5:$AE$33,AE$2)</f>
        <v>15.619092163909066</v>
      </c>
      <c r="AF83" s="12">
        <f>AE83*VLOOKUP($A83,'EU Ref Sc 2020 Energy intensive'!$A$5:$AE$33,AF$2)</f>
        <v>15.531596498077366</v>
      </c>
      <c r="AG83" s="12">
        <f>AF83*VLOOKUP($A83,'EU Ref Sc 2020 Energy intensive'!$A$5:$AE$33,AG$2)</f>
        <v>15.444100832245669</v>
      </c>
      <c r="AH83" s="13">
        <f t="shared" ref="AH83:AQ83" si="82">AG83</f>
        <v>15.444100832245669</v>
      </c>
      <c r="AI83" s="13">
        <f t="shared" si="82"/>
        <v>15.444100832245669</v>
      </c>
      <c r="AJ83" s="13">
        <f t="shared" si="82"/>
        <v>15.444100832245669</v>
      </c>
      <c r="AK83" s="13">
        <f t="shared" si="82"/>
        <v>15.444100832245669</v>
      </c>
      <c r="AL83" s="13">
        <f t="shared" si="82"/>
        <v>15.444100832245669</v>
      </c>
      <c r="AM83" s="13">
        <f t="shared" si="82"/>
        <v>15.444100832245669</v>
      </c>
      <c r="AN83" s="13">
        <f t="shared" si="82"/>
        <v>15.444100832245669</v>
      </c>
      <c r="AO83" s="13">
        <f t="shared" si="82"/>
        <v>15.444100832245669</v>
      </c>
      <c r="AP83" s="13">
        <f t="shared" si="82"/>
        <v>15.444100832245669</v>
      </c>
      <c r="AQ83" s="13">
        <f t="shared" si="82"/>
        <v>15.444100832245669</v>
      </c>
    </row>
    <row r="84" spans="1:43" x14ac:dyDescent="0.3">
      <c r="A84" t="s">
        <v>1423</v>
      </c>
      <c r="B84" t="s">
        <v>1391</v>
      </c>
      <c r="C84" s="3" t="str">
        <f t="shared" si="66"/>
        <v>SEIUEI</v>
      </c>
      <c r="D84" s="14">
        <f>26.0416-4.87908</f>
        <v>21.162520000000001</v>
      </c>
      <c r="E84" s="12">
        <f>D84*VLOOKUP($A84,'EU Ref Sc 2020 Energy intensive'!$A$5:$AE$33,E$2)</f>
        <v>21.161049521169375</v>
      </c>
      <c r="F84" s="12">
        <f>E84*VLOOKUP($A84,'EU Ref Sc 2020 Energy intensive'!$A$5:$AE$33,F$2)</f>
        <v>21.159579042338748</v>
      </c>
      <c r="G84" s="12">
        <f>F84*VLOOKUP($A84,'EU Ref Sc 2020 Energy intensive'!$A$5:$AE$33,G$2)</f>
        <v>21.158108563508122</v>
      </c>
      <c r="H84" s="12">
        <f>G84*VLOOKUP($A84,'EU Ref Sc 2020 Energy intensive'!$A$5:$AE$33,H$2)</f>
        <v>21.156638084677489</v>
      </c>
      <c r="I84" s="12">
        <f>H84*VLOOKUP($A84,'EU Ref Sc 2020 Energy intensive'!$A$5:$AE$33,I$2)</f>
        <v>21.129108852743745</v>
      </c>
      <c r="J84" s="12">
        <f>I84*VLOOKUP($A84,'EU Ref Sc 2020 Energy intensive'!$A$5:$AE$33,J$2)</f>
        <v>21.101579620810003</v>
      </c>
      <c r="K84" s="12">
        <f>J84*VLOOKUP($A84,'EU Ref Sc 2020 Energy intensive'!$A$5:$AE$33,K$2)</f>
        <v>21.074050388876259</v>
      </c>
      <c r="L84" s="12">
        <f>K84*VLOOKUP($A84,'EU Ref Sc 2020 Energy intensive'!$A$5:$AE$33,L$2)</f>
        <v>21.046521156942518</v>
      </c>
      <c r="M84" s="12">
        <f>L84*VLOOKUP($A84,'EU Ref Sc 2020 Energy intensive'!$A$5:$AE$33,M$2)</f>
        <v>21.018991925008773</v>
      </c>
      <c r="N84" s="12">
        <f>M84*VLOOKUP($A84,'EU Ref Sc 2020 Energy intensive'!$A$5:$AE$33,N$2)</f>
        <v>20.655644673200335</v>
      </c>
      <c r="O84" s="12">
        <f>N84*VLOOKUP($A84,'EU Ref Sc 2020 Energy intensive'!$A$5:$AE$33,O$2)</f>
        <v>20.292297421391897</v>
      </c>
      <c r="P84" s="12">
        <f>O84*VLOOKUP($A84,'EU Ref Sc 2020 Energy intensive'!$A$5:$AE$33,P$2)</f>
        <v>19.928950169583459</v>
      </c>
      <c r="Q84" s="12">
        <f>P84*VLOOKUP($A84,'EU Ref Sc 2020 Energy intensive'!$A$5:$AE$33,Q$2)</f>
        <v>19.565602917775021</v>
      </c>
      <c r="R84" s="12">
        <f>Q84*VLOOKUP($A84,'EU Ref Sc 2020 Energy intensive'!$A$5:$AE$33,R$2)</f>
        <v>19.202255665966579</v>
      </c>
      <c r="S84" s="12">
        <f>R84*VLOOKUP($A84,'EU Ref Sc 2020 Energy intensive'!$A$5:$AE$33,S$2)</f>
        <v>18.79529848403077</v>
      </c>
      <c r="T84" s="12">
        <f>S84*VLOOKUP($A84,'EU Ref Sc 2020 Energy intensive'!$A$5:$AE$33,T$2)</f>
        <v>18.388341302094961</v>
      </c>
      <c r="U84" s="12">
        <f>T84*VLOOKUP($A84,'EU Ref Sc 2020 Energy intensive'!$A$5:$AE$33,U$2)</f>
        <v>17.981384120159152</v>
      </c>
      <c r="V84" s="12">
        <f>U84*VLOOKUP($A84,'EU Ref Sc 2020 Energy intensive'!$A$5:$AE$33,V$2)</f>
        <v>17.574426938223343</v>
      </c>
      <c r="W84" s="12">
        <f>V84*VLOOKUP($A84,'EU Ref Sc 2020 Energy intensive'!$A$5:$AE$33,W$2)</f>
        <v>17.167469756287538</v>
      </c>
      <c r="X84" s="12">
        <f>W84*VLOOKUP($A84,'EU Ref Sc 2020 Energy intensive'!$A$5:$AE$33,X$2)</f>
        <v>17.170568950533735</v>
      </c>
      <c r="Y84" s="12">
        <f>X84*VLOOKUP($A84,'EU Ref Sc 2020 Energy intensive'!$A$5:$AE$33,Y$2)</f>
        <v>17.173668144779931</v>
      </c>
      <c r="Z84" s="12">
        <f>Y84*VLOOKUP($A84,'EU Ref Sc 2020 Energy intensive'!$A$5:$AE$33,Z$2)</f>
        <v>17.176767339026124</v>
      </c>
      <c r="AA84" s="12">
        <f>Z84*VLOOKUP($A84,'EU Ref Sc 2020 Energy intensive'!$A$5:$AE$33,AA$2)</f>
        <v>17.179866533272321</v>
      </c>
      <c r="AB84" s="12">
        <f>AA84*VLOOKUP($A84,'EU Ref Sc 2020 Energy intensive'!$A$5:$AE$33,AB$2)</f>
        <v>17.182965727518518</v>
      </c>
      <c r="AC84" s="12">
        <f>AB84*VLOOKUP($A84,'EU Ref Sc 2020 Energy intensive'!$A$5:$AE$33,AC$2)</f>
        <v>17.168416148848813</v>
      </c>
      <c r="AD84" s="12">
        <f>AC84*VLOOKUP($A84,'EU Ref Sc 2020 Energy intensive'!$A$5:$AE$33,AD$2)</f>
        <v>17.153866570179108</v>
      </c>
      <c r="AE84" s="12">
        <f>AD84*VLOOKUP($A84,'EU Ref Sc 2020 Energy intensive'!$A$5:$AE$33,AE$2)</f>
        <v>17.139316991509403</v>
      </c>
      <c r="AF84" s="12">
        <f>AE84*VLOOKUP($A84,'EU Ref Sc 2020 Energy intensive'!$A$5:$AE$33,AF$2)</f>
        <v>17.124767412839702</v>
      </c>
      <c r="AG84" s="12">
        <f>AF84*VLOOKUP($A84,'EU Ref Sc 2020 Energy intensive'!$A$5:$AE$33,AG$2)</f>
        <v>17.110217834169994</v>
      </c>
      <c r="AH84" s="13">
        <f t="shared" ref="AH84:AQ84" si="83">AG84</f>
        <v>17.110217834169994</v>
      </c>
      <c r="AI84" s="13">
        <f t="shared" si="83"/>
        <v>17.110217834169994</v>
      </c>
      <c r="AJ84" s="13">
        <f t="shared" si="83"/>
        <v>17.110217834169994</v>
      </c>
      <c r="AK84" s="13">
        <f t="shared" si="83"/>
        <v>17.110217834169994</v>
      </c>
      <c r="AL84" s="13">
        <f t="shared" si="83"/>
        <v>17.110217834169994</v>
      </c>
      <c r="AM84" s="13">
        <f t="shared" si="83"/>
        <v>17.110217834169994</v>
      </c>
      <c r="AN84" s="13">
        <f t="shared" si="83"/>
        <v>17.110217834169994</v>
      </c>
      <c r="AO84" s="13">
        <f t="shared" si="83"/>
        <v>17.110217834169994</v>
      </c>
      <c r="AP84" s="13">
        <f t="shared" si="83"/>
        <v>17.110217834169994</v>
      </c>
      <c r="AQ84" s="13">
        <f t="shared" si="83"/>
        <v>17.110217834169994</v>
      </c>
    </row>
    <row r="85" spans="1:43" x14ac:dyDescent="0.3">
      <c r="A85" t="s">
        <v>1424</v>
      </c>
      <c r="B85" t="s">
        <v>1391</v>
      </c>
      <c r="C85" s="3" t="str">
        <f t="shared" si="66"/>
        <v>SIIUEI</v>
      </c>
      <c r="D85" s="14">
        <f>6.0817-3.12377</f>
        <v>2.9579299999999997</v>
      </c>
      <c r="E85" s="12">
        <f>D85*VLOOKUP($A85,'EU Ref Sc 2020 Energy intensive'!$A$5:$AE$33,E$2)</f>
        <v>3.0109973347339225</v>
      </c>
      <c r="F85" s="12">
        <f>E85*VLOOKUP($A85,'EU Ref Sc 2020 Energy intensive'!$A$5:$AE$33,F$2)</f>
        <v>3.0640646694678453</v>
      </c>
      <c r="G85" s="12">
        <f>F85*VLOOKUP($A85,'EU Ref Sc 2020 Energy intensive'!$A$5:$AE$33,G$2)</f>
        <v>3.1171320042017676</v>
      </c>
      <c r="H85" s="12">
        <f>G85*VLOOKUP($A85,'EU Ref Sc 2020 Energy intensive'!$A$5:$AE$33,H$2)</f>
        <v>3.1701993389356913</v>
      </c>
      <c r="I85" s="12">
        <f>H85*VLOOKUP($A85,'EU Ref Sc 2020 Energy intensive'!$A$5:$AE$33,I$2)</f>
        <v>3.2279117418649008</v>
      </c>
      <c r="J85" s="12">
        <f>I85*VLOOKUP($A85,'EU Ref Sc 2020 Energy intensive'!$A$5:$AE$33,J$2)</f>
        <v>3.2856241447941108</v>
      </c>
      <c r="K85" s="12">
        <f>J85*VLOOKUP($A85,'EU Ref Sc 2020 Energy intensive'!$A$5:$AE$33,K$2)</f>
        <v>3.3433365477233203</v>
      </c>
      <c r="L85" s="12">
        <f>K85*VLOOKUP($A85,'EU Ref Sc 2020 Energy intensive'!$A$5:$AE$33,L$2)</f>
        <v>3.4010489506525303</v>
      </c>
      <c r="M85" s="12">
        <f>L85*VLOOKUP($A85,'EU Ref Sc 2020 Energy intensive'!$A$5:$AE$33,M$2)</f>
        <v>3.4587613535817399</v>
      </c>
      <c r="N85" s="12">
        <f>M85*VLOOKUP($A85,'EU Ref Sc 2020 Energy intensive'!$A$5:$AE$33,N$2)</f>
        <v>3.4095926498506706</v>
      </c>
      <c r="O85" s="12">
        <f>N85*VLOOKUP($A85,'EU Ref Sc 2020 Energy intensive'!$A$5:$AE$33,O$2)</f>
        <v>3.3604239461196013</v>
      </c>
      <c r="P85" s="12">
        <f>O85*VLOOKUP($A85,'EU Ref Sc 2020 Energy intensive'!$A$5:$AE$33,P$2)</f>
        <v>3.311255242388532</v>
      </c>
      <c r="Q85" s="12">
        <f>P85*VLOOKUP($A85,'EU Ref Sc 2020 Energy intensive'!$A$5:$AE$33,Q$2)</f>
        <v>3.2620865386574627</v>
      </c>
      <c r="R85" s="12">
        <f>Q85*VLOOKUP($A85,'EU Ref Sc 2020 Energy intensive'!$A$5:$AE$33,R$2)</f>
        <v>3.2129178349263929</v>
      </c>
      <c r="S85" s="12">
        <f>R85*VLOOKUP($A85,'EU Ref Sc 2020 Energy intensive'!$A$5:$AE$33,S$2)</f>
        <v>3.2225489856525056</v>
      </c>
      <c r="T85" s="12">
        <f>S85*VLOOKUP($A85,'EU Ref Sc 2020 Energy intensive'!$A$5:$AE$33,T$2)</f>
        <v>3.2321801363786178</v>
      </c>
      <c r="U85" s="12">
        <f>T85*VLOOKUP($A85,'EU Ref Sc 2020 Energy intensive'!$A$5:$AE$33,U$2)</f>
        <v>3.2418112871047304</v>
      </c>
      <c r="V85" s="12">
        <f>U85*VLOOKUP($A85,'EU Ref Sc 2020 Energy intensive'!$A$5:$AE$33,V$2)</f>
        <v>3.2514424378308431</v>
      </c>
      <c r="W85" s="12">
        <f>V85*VLOOKUP($A85,'EU Ref Sc 2020 Energy intensive'!$A$5:$AE$33,W$2)</f>
        <v>3.2610735885569562</v>
      </c>
      <c r="X85" s="12">
        <f>W85*VLOOKUP($A85,'EU Ref Sc 2020 Energy intensive'!$A$5:$AE$33,X$2)</f>
        <v>3.2537478290024375</v>
      </c>
      <c r="Y85" s="12">
        <f>X85*VLOOKUP($A85,'EU Ref Sc 2020 Energy intensive'!$A$5:$AE$33,Y$2)</f>
        <v>3.2464220694479193</v>
      </c>
      <c r="Z85" s="12">
        <f>Y85*VLOOKUP($A85,'EU Ref Sc 2020 Energy intensive'!$A$5:$AE$33,Z$2)</f>
        <v>3.2390963098934007</v>
      </c>
      <c r="AA85" s="12">
        <f>Z85*VLOOKUP($A85,'EU Ref Sc 2020 Energy intensive'!$A$5:$AE$33,AA$2)</f>
        <v>3.2317705503388821</v>
      </c>
      <c r="AB85" s="12">
        <f>AA85*VLOOKUP($A85,'EU Ref Sc 2020 Energy intensive'!$A$5:$AE$33,AB$2)</f>
        <v>3.2244447907843625</v>
      </c>
      <c r="AC85" s="12">
        <f>AB85*VLOOKUP($A85,'EU Ref Sc 2020 Energy intensive'!$A$5:$AE$33,AC$2)</f>
        <v>3.2171694784703675</v>
      </c>
      <c r="AD85" s="12">
        <f>AC85*VLOOKUP($A85,'EU Ref Sc 2020 Energy intensive'!$A$5:$AE$33,AD$2)</f>
        <v>3.2098941661563725</v>
      </c>
      <c r="AE85" s="12">
        <f>AD85*VLOOKUP($A85,'EU Ref Sc 2020 Energy intensive'!$A$5:$AE$33,AE$2)</f>
        <v>3.2026188538423774</v>
      </c>
      <c r="AF85" s="12">
        <f>AE85*VLOOKUP($A85,'EU Ref Sc 2020 Energy intensive'!$A$5:$AE$33,AF$2)</f>
        <v>3.1953435415283824</v>
      </c>
      <c r="AG85" s="12">
        <f>AF85*VLOOKUP($A85,'EU Ref Sc 2020 Energy intensive'!$A$5:$AE$33,AG$2)</f>
        <v>3.1880682292143878</v>
      </c>
      <c r="AH85" s="13">
        <f t="shared" ref="AH85:AQ85" si="84">AG85</f>
        <v>3.1880682292143878</v>
      </c>
      <c r="AI85" s="13">
        <f t="shared" si="84"/>
        <v>3.1880682292143878</v>
      </c>
      <c r="AJ85" s="13">
        <f t="shared" si="84"/>
        <v>3.1880682292143878</v>
      </c>
      <c r="AK85" s="13">
        <f t="shared" si="84"/>
        <v>3.1880682292143878</v>
      </c>
      <c r="AL85" s="13">
        <f t="shared" si="84"/>
        <v>3.1880682292143878</v>
      </c>
      <c r="AM85" s="13">
        <f t="shared" si="84"/>
        <v>3.1880682292143878</v>
      </c>
      <c r="AN85" s="13">
        <f t="shared" si="84"/>
        <v>3.1880682292143878</v>
      </c>
      <c r="AO85" s="13">
        <f t="shared" si="84"/>
        <v>3.1880682292143878</v>
      </c>
      <c r="AP85" s="13">
        <f t="shared" si="84"/>
        <v>3.1880682292143878</v>
      </c>
      <c r="AQ85" s="13">
        <f t="shared" si="84"/>
        <v>3.1880682292143878</v>
      </c>
    </row>
    <row r="86" spans="1:43" x14ac:dyDescent="0.3">
      <c r="A86" t="s">
        <v>1425</v>
      </c>
      <c r="B86" t="s">
        <v>1391</v>
      </c>
      <c r="C86" s="3" t="str">
        <f t="shared" si="66"/>
        <v>SKIUEI</v>
      </c>
      <c r="D86" s="14">
        <f>19.364-0.46855</f>
        <v>18.89545</v>
      </c>
      <c r="E86" s="12">
        <f>D86*VLOOKUP($A86,'EU Ref Sc 2020 Energy intensive'!$A$5:$AE$33,E$2)</f>
        <v>18.967876546101227</v>
      </c>
      <c r="F86" s="12">
        <f>E86*VLOOKUP($A86,'EU Ref Sc 2020 Energy intensive'!$A$5:$AE$33,F$2)</f>
        <v>19.040303092202453</v>
      </c>
      <c r="G86" s="12">
        <f>F86*VLOOKUP($A86,'EU Ref Sc 2020 Energy intensive'!$A$5:$AE$33,G$2)</f>
        <v>19.11272963830368</v>
      </c>
      <c r="H86" s="12">
        <f>G86*VLOOKUP($A86,'EU Ref Sc 2020 Energy intensive'!$A$5:$AE$33,H$2)</f>
        <v>19.185156184404903</v>
      </c>
      <c r="I86" s="12">
        <f>H86*VLOOKUP($A86,'EU Ref Sc 2020 Energy intensive'!$A$5:$AE$33,I$2)</f>
        <v>18.984369346722421</v>
      </c>
      <c r="J86" s="12">
        <f>I86*VLOOKUP($A86,'EU Ref Sc 2020 Energy intensive'!$A$5:$AE$33,J$2)</f>
        <v>18.783582509039938</v>
      </c>
      <c r="K86" s="12">
        <f>J86*VLOOKUP($A86,'EU Ref Sc 2020 Energy intensive'!$A$5:$AE$33,K$2)</f>
        <v>18.582795671357456</v>
      </c>
      <c r="L86" s="12">
        <f>K86*VLOOKUP($A86,'EU Ref Sc 2020 Energy intensive'!$A$5:$AE$33,L$2)</f>
        <v>18.382008833674973</v>
      </c>
      <c r="M86" s="12">
        <f>L86*VLOOKUP($A86,'EU Ref Sc 2020 Energy intensive'!$A$5:$AE$33,M$2)</f>
        <v>18.181221995992498</v>
      </c>
      <c r="N86" s="12">
        <f>M86*VLOOKUP($A86,'EU Ref Sc 2020 Energy intensive'!$A$5:$AE$33,N$2)</f>
        <v>18.058056548867881</v>
      </c>
      <c r="O86" s="12">
        <f>N86*VLOOKUP($A86,'EU Ref Sc 2020 Energy intensive'!$A$5:$AE$33,O$2)</f>
        <v>17.934891101743261</v>
      </c>
      <c r="P86" s="12">
        <f>O86*VLOOKUP($A86,'EU Ref Sc 2020 Energy intensive'!$A$5:$AE$33,P$2)</f>
        <v>17.811725654618641</v>
      </c>
      <c r="Q86" s="12">
        <f>P86*VLOOKUP($A86,'EU Ref Sc 2020 Energy intensive'!$A$5:$AE$33,Q$2)</f>
        <v>17.688560207494021</v>
      </c>
      <c r="R86" s="12">
        <f>Q86*VLOOKUP($A86,'EU Ref Sc 2020 Energy intensive'!$A$5:$AE$33,R$2)</f>
        <v>17.565394760369394</v>
      </c>
      <c r="S86" s="12">
        <f>R86*VLOOKUP($A86,'EU Ref Sc 2020 Energy intensive'!$A$5:$AE$33,S$2)</f>
        <v>17.249953377836231</v>
      </c>
      <c r="T86" s="12">
        <f>S86*VLOOKUP($A86,'EU Ref Sc 2020 Energy intensive'!$A$5:$AE$33,T$2)</f>
        <v>16.934511995303072</v>
      </c>
      <c r="U86" s="12">
        <f>T86*VLOOKUP($A86,'EU Ref Sc 2020 Energy intensive'!$A$5:$AE$33,U$2)</f>
        <v>16.619070612769914</v>
      </c>
      <c r="V86" s="12">
        <f>U86*VLOOKUP($A86,'EU Ref Sc 2020 Energy intensive'!$A$5:$AE$33,V$2)</f>
        <v>16.303629230236751</v>
      </c>
      <c r="W86" s="12">
        <f>V86*VLOOKUP($A86,'EU Ref Sc 2020 Energy intensive'!$A$5:$AE$33,W$2)</f>
        <v>15.988187847703584</v>
      </c>
      <c r="X86" s="12">
        <f>W86*VLOOKUP($A86,'EU Ref Sc 2020 Energy intensive'!$A$5:$AE$33,X$2)</f>
        <v>15.745348439852732</v>
      </c>
      <c r="Y86" s="12">
        <f>X86*VLOOKUP($A86,'EU Ref Sc 2020 Energy intensive'!$A$5:$AE$33,Y$2)</f>
        <v>15.502509032001878</v>
      </c>
      <c r="Z86" s="12">
        <f>Y86*VLOOKUP($A86,'EU Ref Sc 2020 Energy intensive'!$A$5:$AE$33,Z$2)</f>
        <v>15.259669624151025</v>
      </c>
      <c r="AA86" s="12">
        <f>Z86*VLOOKUP($A86,'EU Ref Sc 2020 Energy intensive'!$A$5:$AE$33,AA$2)</f>
        <v>15.016830216300173</v>
      </c>
      <c r="AB86" s="12">
        <f>AA86*VLOOKUP($A86,'EU Ref Sc 2020 Energy intensive'!$A$5:$AE$33,AB$2)</f>
        <v>14.773990808449323</v>
      </c>
      <c r="AC86" s="12">
        <f>AB86*VLOOKUP($A86,'EU Ref Sc 2020 Energy intensive'!$A$5:$AE$33,AC$2)</f>
        <v>14.535638334635022</v>
      </c>
      <c r="AD86" s="12">
        <f>AC86*VLOOKUP($A86,'EU Ref Sc 2020 Energy intensive'!$A$5:$AE$33,AD$2)</f>
        <v>14.297285860820724</v>
      </c>
      <c r="AE86" s="12">
        <f>AD86*VLOOKUP($A86,'EU Ref Sc 2020 Energy intensive'!$A$5:$AE$33,AE$2)</f>
        <v>14.058933387006425</v>
      </c>
      <c r="AF86" s="12">
        <f>AE86*VLOOKUP($A86,'EU Ref Sc 2020 Energy intensive'!$A$5:$AE$33,AF$2)</f>
        <v>13.820580913192124</v>
      </c>
      <c r="AG86" s="12">
        <f>AF86*VLOOKUP($A86,'EU Ref Sc 2020 Energy intensive'!$A$5:$AE$33,AG$2)</f>
        <v>13.582228439377822</v>
      </c>
      <c r="AH86" s="13">
        <f t="shared" ref="AH86:AQ86" si="85">AG86</f>
        <v>13.582228439377822</v>
      </c>
      <c r="AI86" s="13">
        <f t="shared" si="85"/>
        <v>13.582228439377822</v>
      </c>
      <c r="AJ86" s="13">
        <f t="shared" si="85"/>
        <v>13.582228439377822</v>
      </c>
      <c r="AK86" s="13">
        <f t="shared" si="85"/>
        <v>13.582228439377822</v>
      </c>
      <c r="AL86" s="13">
        <f t="shared" si="85"/>
        <v>13.582228439377822</v>
      </c>
      <c r="AM86" s="13">
        <f t="shared" si="85"/>
        <v>13.582228439377822</v>
      </c>
      <c r="AN86" s="13">
        <f t="shared" si="85"/>
        <v>13.582228439377822</v>
      </c>
      <c r="AO86" s="13">
        <f t="shared" si="85"/>
        <v>13.582228439377822</v>
      </c>
      <c r="AP86" s="13">
        <f t="shared" si="85"/>
        <v>13.582228439377822</v>
      </c>
      <c r="AQ86" s="13">
        <f t="shared" si="85"/>
        <v>13.582228439377822</v>
      </c>
    </row>
    <row r="87" spans="1:43" x14ac:dyDescent="0.3">
      <c r="A87" t="s">
        <v>1396</v>
      </c>
      <c r="B87" t="s">
        <v>1397</v>
      </c>
      <c r="C87" t="str">
        <f t="shared" si="66"/>
        <v>BEIUEF</v>
      </c>
      <c r="D87" s="2">
        <v>27.9618</v>
      </c>
      <c r="E87" s="7">
        <f>D87*VLOOKUP($A87,'EU Ref Sc 2020 Other industries'!$A$5:$AE$33,E$2)</f>
        <v>28.689901462991969</v>
      </c>
      <c r="F87" s="7">
        <f>E87*VLOOKUP($A87,'EU Ref Sc 2020 Other industries'!$A$5:$AE$33,F$2)</f>
        <v>29.418002925983938</v>
      </c>
      <c r="G87" s="7">
        <f>F87*VLOOKUP($A87,'EU Ref Sc 2020 Other industries'!$A$5:$AE$33,G$2)</f>
        <v>30.146104388975903</v>
      </c>
      <c r="H87" s="7">
        <f>G87*VLOOKUP($A87,'EU Ref Sc 2020 Other industries'!$A$5:$AE$33,H$2)</f>
        <v>30.874205851967876</v>
      </c>
      <c r="I87" s="7">
        <f>H87*VLOOKUP($A87,'EU Ref Sc 2020 Other industries'!$A$5:$AE$33,I$2)</f>
        <v>30.766832435519976</v>
      </c>
      <c r="J87" s="7">
        <f>I87*VLOOKUP($A87,'EU Ref Sc 2020 Other industries'!$A$5:$AE$33,J$2)</f>
        <v>30.659459019072077</v>
      </c>
      <c r="K87" s="7">
        <f>J87*VLOOKUP($A87,'EU Ref Sc 2020 Other industries'!$A$5:$AE$33,K$2)</f>
        <v>30.552085602624178</v>
      </c>
      <c r="L87" s="7">
        <f>K87*VLOOKUP($A87,'EU Ref Sc 2020 Other industries'!$A$5:$AE$33,L$2)</f>
        <v>30.444712186176279</v>
      </c>
      <c r="M87" s="7">
        <f>L87*VLOOKUP($A87,'EU Ref Sc 2020 Other industries'!$A$5:$AE$33,M$2)</f>
        <v>30.33733876972838</v>
      </c>
      <c r="N87" s="7">
        <f>M87*VLOOKUP($A87,'EU Ref Sc 2020 Other industries'!$A$5:$AE$33,N$2)</f>
        <v>29.992524997004796</v>
      </c>
      <c r="O87" s="7">
        <f>N87*VLOOKUP($A87,'EU Ref Sc 2020 Other industries'!$A$5:$AE$33,O$2)</f>
        <v>29.64771122428121</v>
      </c>
      <c r="P87" s="7">
        <f>O87*VLOOKUP($A87,'EU Ref Sc 2020 Other industries'!$A$5:$AE$33,P$2)</f>
        <v>29.302897451557623</v>
      </c>
      <c r="Q87" s="7">
        <f>P87*VLOOKUP($A87,'EU Ref Sc 2020 Other industries'!$A$5:$AE$33,Q$2)</f>
        <v>28.95808367883404</v>
      </c>
      <c r="R87" s="7">
        <f>Q87*VLOOKUP($A87,'EU Ref Sc 2020 Other industries'!$A$5:$AE$33,R$2)</f>
        <v>28.613269906110457</v>
      </c>
      <c r="S87" s="7">
        <f>R87*VLOOKUP($A87,'EU Ref Sc 2020 Other industries'!$A$5:$AE$33,S$2)</f>
        <v>28.79735063011254</v>
      </c>
      <c r="T87" s="7">
        <f>S87*VLOOKUP($A87,'EU Ref Sc 2020 Other industries'!$A$5:$AE$33,T$2)</f>
        <v>28.981431354114619</v>
      </c>
      <c r="U87" s="7">
        <f>T87*VLOOKUP($A87,'EU Ref Sc 2020 Other industries'!$A$5:$AE$33,U$2)</f>
        <v>29.165512078116706</v>
      </c>
      <c r="V87" s="7">
        <f>U87*VLOOKUP($A87,'EU Ref Sc 2020 Other industries'!$A$5:$AE$33,V$2)</f>
        <v>29.349592802118792</v>
      </c>
      <c r="W87" s="7">
        <f>V87*VLOOKUP($A87,'EU Ref Sc 2020 Other industries'!$A$5:$AE$33,W$2)</f>
        <v>29.533673526120872</v>
      </c>
      <c r="X87" s="7">
        <f>W87*VLOOKUP($A87,'EU Ref Sc 2020 Other industries'!$A$5:$AE$33,X$2)</f>
        <v>29.853909920641158</v>
      </c>
      <c r="Y87" s="7">
        <f>X87*VLOOKUP($A87,'EU Ref Sc 2020 Other industries'!$A$5:$AE$33,Y$2)</f>
        <v>30.174146315161448</v>
      </c>
      <c r="Z87" s="7">
        <f>Y87*VLOOKUP($A87,'EU Ref Sc 2020 Other industries'!$A$5:$AE$33,Z$2)</f>
        <v>30.494382709681734</v>
      </c>
      <c r="AA87" s="7">
        <f>Z87*VLOOKUP($A87,'EU Ref Sc 2020 Other industries'!$A$5:$AE$33,AA$2)</f>
        <v>30.81461910420202</v>
      </c>
      <c r="AB87" s="7">
        <f>AA87*VLOOKUP($A87,'EU Ref Sc 2020 Other industries'!$A$5:$AE$33,AB$2)</f>
        <v>31.134855498722306</v>
      </c>
      <c r="AC87" s="7">
        <f>AB87*VLOOKUP($A87,'EU Ref Sc 2020 Other industries'!$A$5:$AE$33,AC$2)</f>
        <v>31.460704204486916</v>
      </c>
      <c r="AD87" s="7">
        <f>AC87*VLOOKUP($A87,'EU Ref Sc 2020 Other industries'!$A$5:$AE$33,AD$2)</f>
        <v>31.786552910251523</v>
      </c>
      <c r="AE87" s="7">
        <f>AD87*VLOOKUP($A87,'EU Ref Sc 2020 Other industries'!$A$5:$AE$33,AE$2)</f>
        <v>32.112401616016129</v>
      </c>
      <c r="AF87" s="7">
        <f>AE87*VLOOKUP($A87,'EU Ref Sc 2020 Other industries'!$A$5:$AE$33,AF$2)</f>
        <v>32.438250321780735</v>
      </c>
      <c r="AG87" s="7">
        <f>AF87*VLOOKUP($A87,'EU Ref Sc 2020 Other industries'!$A$5:$AE$33,AG$2)</f>
        <v>32.764099027545349</v>
      </c>
      <c r="AH87" s="13">
        <f t="shared" ref="AH87:AQ87" si="86">AG87</f>
        <v>32.764099027545349</v>
      </c>
      <c r="AI87" s="13">
        <f t="shared" si="86"/>
        <v>32.764099027545349</v>
      </c>
      <c r="AJ87" s="13">
        <f t="shared" si="86"/>
        <v>32.764099027545349</v>
      </c>
      <c r="AK87" s="13">
        <f t="shared" si="86"/>
        <v>32.764099027545349</v>
      </c>
      <c r="AL87" s="13">
        <f t="shared" si="86"/>
        <v>32.764099027545349</v>
      </c>
      <c r="AM87" s="13">
        <f t="shared" si="86"/>
        <v>32.764099027545349</v>
      </c>
      <c r="AN87" s="13">
        <f t="shared" si="86"/>
        <v>32.764099027545349</v>
      </c>
      <c r="AO87" s="13">
        <f t="shared" si="86"/>
        <v>32.764099027545349</v>
      </c>
      <c r="AP87" s="13">
        <f t="shared" si="86"/>
        <v>32.764099027545349</v>
      </c>
      <c r="AQ87" s="13">
        <f t="shared" si="86"/>
        <v>32.764099027545349</v>
      </c>
    </row>
    <row r="88" spans="1:43" x14ac:dyDescent="0.3">
      <c r="A88" t="s">
        <v>1398</v>
      </c>
      <c r="B88" t="s">
        <v>1397</v>
      </c>
      <c r="C88" t="str">
        <f t="shared" si="66"/>
        <v>BGIUEF</v>
      </c>
      <c r="D88" s="2">
        <v>4.3237999999999994</v>
      </c>
      <c r="E88" s="7">
        <f>D88*VLOOKUP($A88,'EU Ref Sc 2020 Other industries'!$A$5:$AE$33,E$2)</f>
        <v>4.4762261760403588</v>
      </c>
      <c r="F88" s="7">
        <f>E88*VLOOKUP($A88,'EU Ref Sc 2020 Other industries'!$A$5:$AE$33,F$2)</f>
        <v>4.6286523520807181</v>
      </c>
      <c r="G88" s="7">
        <f>F88*VLOOKUP($A88,'EU Ref Sc 2020 Other industries'!$A$5:$AE$33,G$2)</f>
        <v>4.7810785281210766</v>
      </c>
      <c r="H88" s="7">
        <f>G88*VLOOKUP($A88,'EU Ref Sc 2020 Other industries'!$A$5:$AE$33,H$2)</f>
        <v>4.9335047041614359</v>
      </c>
      <c r="I88" s="7">
        <f>H88*VLOOKUP($A88,'EU Ref Sc 2020 Other industries'!$A$5:$AE$33,I$2)</f>
        <v>5.079881236871497</v>
      </c>
      <c r="J88" s="7">
        <f>I88*VLOOKUP($A88,'EU Ref Sc 2020 Other industries'!$A$5:$AE$33,J$2)</f>
        <v>5.226257769581558</v>
      </c>
      <c r="K88" s="7">
        <f>J88*VLOOKUP($A88,'EU Ref Sc 2020 Other industries'!$A$5:$AE$33,K$2)</f>
        <v>5.3726343022916199</v>
      </c>
      <c r="L88" s="7">
        <f>K88*VLOOKUP($A88,'EU Ref Sc 2020 Other industries'!$A$5:$AE$33,L$2)</f>
        <v>5.5190108350016818</v>
      </c>
      <c r="M88" s="7">
        <f>L88*VLOOKUP($A88,'EU Ref Sc 2020 Other industries'!$A$5:$AE$33,M$2)</f>
        <v>5.6653873677117437</v>
      </c>
      <c r="N88" s="7">
        <f>M88*VLOOKUP($A88,'EU Ref Sc 2020 Other industries'!$A$5:$AE$33,N$2)</f>
        <v>5.6265485301034301</v>
      </c>
      <c r="O88" s="7">
        <f>N88*VLOOKUP($A88,'EU Ref Sc 2020 Other industries'!$A$5:$AE$33,O$2)</f>
        <v>5.5877096924951166</v>
      </c>
      <c r="P88" s="7">
        <f>O88*VLOOKUP($A88,'EU Ref Sc 2020 Other industries'!$A$5:$AE$33,P$2)</f>
        <v>5.5488708548868031</v>
      </c>
      <c r="Q88" s="7">
        <f>P88*VLOOKUP($A88,'EU Ref Sc 2020 Other industries'!$A$5:$AE$33,Q$2)</f>
        <v>5.5100320172784896</v>
      </c>
      <c r="R88" s="7">
        <f>Q88*VLOOKUP($A88,'EU Ref Sc 2020 Other industries'!$A$5:$AE$33,R$2)</f>
        <v>5.4711931796701752</v>
      </c>
      <c r="S88" s="7">
        <f>R88*VLOOKUP($A88,'EU Ref Sc 2020 Other industries'!$A$5:$AE$33,S$2)</f>
        <v>5.4627203839501961</v>
      </c>
      <c r="T88" s="7">
        <f>S88*VLOOKUP($A88,'EU Ref Sc 2020 Other industries'!$A$5:$AE$33,T$2)</f>
        <v>5.454247588230217</v>
      </c>
      <c r="U88" s="7">
        <f>T88*VLOOKUP($A88,'EU Ref Sc 2020 Other industries'!$A$5:$AE$33,U$2)</f>
        <v>5.445774792510238</v>
      </c>
      <c r="V88" s="7">
        <f>U88*VLOOKUP($A88,'EU Ref Sc 2020 Other industries'!$A$5:$AE$33,V$2)</f>
        <v>5.4373019967902589</v>
      </c>
      <c r="W88" s="7">
        <f>V88*VLOOKUP($A88,'EU Ref Sc 2020 Other industries'!$A$5:$AE$33,W$2)</f>
        <v>5.4288292010702799</v>
      </c>
      <c r="X88" s="7">
        <f>W88*VLOOKUP($A88,'EU Ref Sc 2020 Other industries'!$A$5:$AE$33,X$2)</f>
        <v>5.4764934438415169</v>
      </c>
      <c r="Y88" s="7">
        <f>X88*VLOOKUP($A88,'EU Ref Sc 2020 Other industries'!$A$5:$AE$33,Y$2)</f>
        <v>5.5241576866127549</v>
      </c>
      <c r="Z88" s="7">
        <f>Y88*VLOOKUP($A88,'EU Ref Sc 2020 Other industries'!$A$5:$AE$33,Z$2)</f>
        <v>5.5718219293839928</v>
      </c>
      <c r="AA88" s="7">
        <f>Z88*VLOOKUP($A88,'EU Ref Sc 2020 Other industries'!$A$5:$AE$33,AA$2)</f>
        <v>5.6194861721552307</v>
      </c>
      <c r="AB88" s="7">
        <f>AA88*VLOOKUP($A88,'EU Ref Sc 2020 Other industries'!$A$5:$AE$33,AB$2)</f>
        <v>5.6671504149264686</v>
      </c>
      <c r="AC88" s="7">
        <f>AB88*VLOOKUP($A88,'EU Ref Sc 2020 Other industries'!$A$5:$AE$33,AC$2)</f>
        <v>5.6589489288901893</v>
      </c>
      <c r="AD88" s="7">
        <f>AC88*VLOOKUP($A88,'EU Ref Sc 2020 Other industries'!$A$5:$AE$33,AD$2)</f>
        <v>5.6507474428539091</v>
      </c>
      <c r="AE88" s="7">
        <f>AD88*VLOOKUP($A88,'EU Ref Sc 2020 Other industries'!$A$5:$AE$33,AE$2)</f>
        <v>5.6425459568176288</v>
      </c>
      <c r="AF88" s="7">
        <f>AE88*VLOOKUP($A88,'EU Ref Sc 2020 Other industries'!$A$5:$AE$33,AF$2)</f>
        <v>5.6343444707813495</v>
      </c>
      <c r="AG88" s="7">
        <f>AF88*VLOOKUP($A88,'EU Ref Sc 2020 Other industries'!$A$5:$AE$33,AG$2)</f>
        <v>5.6261429847450701</v>
      </c>
      <c r="AH88" s="13">
        <f t="shared" ref="AH88:AQ88" si="87">AG88</f>
        <v>5.6261429847450701</v>
      </c>
      <c r="AI88" s="13">
        <f t="shared" si="87"/>
        <v>5.6261429847450701</v>
      </c>
      <c r="AJ88" s="13">
        <f t="shared" si="87"/>
        <v>5.6261429847450701</v>
      </c>
      <c r="AK88" s="13">
        <f t="shared" si="87"/>
        <v>5.6261429847450701</v>
      </c>
      <c r="AL88" s="13">
        <f t="shared" si="87"/>
        <v>5.6261429847450701</v>
      </c>
      <c r="AM88" s="13">
        <f t="shared" si="87"/>
        <v>5.6261429847450701</v>
      </c>
      <c r="AN88" s="13">
        <f t="shared" si="87"/>
        <v>5.6261429847450701</v>
      </c>
      <c r="AO88" s="13">
        <f t="shared" si="87"/>
        <v>5.6261429847450701</v>
      </c>
      <c r="AP88" s="13">
        <f t="shared" si="87"/>
        <v>5.6261429847450701</v>
      </c>
      <c r="AQ88" s="13">
        <f t="shared" si="87"/>
        <v>5.6261429847450701</v>
      </c>
    </row>
    <row r="89" spans="1:43" x14ac:dyDescent="0.3">
      <c r="A89" t="s">
        <v>1400</v>
      </c>
      <c r="B89" t="s">
        <v>1397</v>
      </c>
      <c r="C89" t="str">
        <f t="shared" si="66"/>
        <v>CYIUEF</v>
      </c>
      <c r="D89" s="2">
        <v>0.63700000000000001</v>
      </c>
      <c r="E89" s="7">
        <f>D89*VLOOKUP($A89,'EU Ref Sc 2020 Other industries'!$A$5:$AE$33,E$2)</f>
        <v>0.64433509452462945</v>
      </c>
      <c r="F89" s="7">
        <f>E89*VLOOKUP($A89,'EU Ref Sc 2020 Other industries'!$A$5:$AE$33,F$2)</f>
        <v>0.651670189049259</v>
      </c>
      <c r="G89" s="7">
        <f>F89*VLOOKUP($A89,'EU Ref Sc 2020 Other industries'!$A$5:$AE$33,G$2)</f>
        <v>0.65900528357388843</v>
      </c>
      <c r="H89" s="7">
        <f>G89*VLOOKUP($A89,'EU Ref Sc 2020 Other industries'!$A$5:$AE$33,H$2)</f>
        <v>0.66634037809851787</v>
      </c>
      <c r="I89" s="7">
        <f>H89*VLOOKUP($A89,'EU Ref Sc 2020 Other industries'!$A$5:$AE$33,I$2)</f>
        <v>0.65595641306482066</v>
      </c>
      <c r="J89" s="7">
        <f>I89*VLOOKUP($A89,'EU Ref Sc 2020 Other industries'!$A$5:$AE$33,J$2)</f>
        <v>0.64557244803112346</v>
      </c>
      <c r="K89" s="7">
        <f>J89*VLOOKUP($A89,'EU Ref Sc 2020 Other industries'!$A$5:$AE$33,K$2)</f>
        <v>0.63518848299742636</v>
      </c>
      <c r="L89" s="7">
        <f>K89*VLOOKUP($A89,'EU Ref Sc 2020 Other industries'!$A$5:$AE$33,L$2)</f>
        <v>0.62480451796372927</v>
      </c>
      <c r="M89" s="7">
        <f>L89*VLOOKUP($A89,'EU Ref Sc 2020 Other industries'!$A$5:$AE$33,M$2)</f>
        <v>0.61442055293003195</v>
      </c>
      <c r="N89" s="7">
        <f>M89*VLOOKUP($A89,'EU Ref Sc 2020 Other industries'!$A$5:$AE$33,N$2)</f>
        <v>0.6195177644752311</v>
      </c>
      <c r="O89" s="7">
        <f>N89*VLOOKUP($A89,'EU Ref Sc 2020 Other industries'!$A$5:$AE$33,O$2)</f>
        <v>0.62461497602043026</v>
      </c>
      <c r="P89" s="7">
        <f>O89*VLOOKUP($A89,'EU Ref Sc 2020 Other industries'!$A$5:$AE$33,P$2)</f>
        <v>0.62971218756562941</v>
      </c>
      <c r="Q89" s="7">
        <f>P89*VLOOKUP($A89,'EU Ref Sc 2020 Other industries'!$A$5:$AE$33,Q$2)</f>
        <v>0.63480939911082856</v>
      </c>
      <c r="R89" s="7">
        <f>Q89*VLOOKUP($A89,'EU Ref Sc 2020 Other industries'!$A$5:$AE$33,R$2)</f>
        <v>0.63990661065602783</v>
      </c>
      <c r="S89" s="7">
        <f>R89*VLOOKUP($A89,'EU Ref Sc 2020 Other industries'!$A$5:$AE$33,S$2)</f>
        <v>0.63360630714844979</v>
      </c>
      <c r="T89" s="7">
        <f>S89*VLOOKUP($A89,'EU Ref Sc 2020 Other industries'!$A$5:$AE$33,T$2)</f>
        <v>0.62730600364087175</v>
      </c>
      <c r="U89" s="7">
        <f>T89*VLOOKUP($A89,'EU Ref Sc 2020 Other industries'!$A$5:$AE$33,U$2)</f>
        <v>0.6210057001332937</v>
      </c>
      <c r="V89" s="7">
        <f>U89*VLOOKUP($A89,'EU Ref Sc 2020 Other industries'!$A$5:$AE$33,V$2)</f>
        <v>0.61470539662571566</v>
      </c>
      <c r="W89" s="7">
        <f>V89*VLOOKUP($A89,'EU Ref Sc 2020 Other industries'!$A$5:$AE$33,W$2)</f>
        <v>0.60840509311813751</v>
      </c>
      <c r="X89" s="7">
        <f>W89*VLOOKUP($A89,'EU Ref Sc 2020 Other industries'!$A$5:$AE$33,X$2)</f>
        <v>0.62913414366419917</v>
      </c>
      <c r="Y89" s="7">
        <f>X89*VLOOKUP($A89,'EU Ref Sc 2020 Other industries'!$A$5:$AE$33,Y$2)</f>
        <v>0.64986319421026084</v>
      </c>
      <c r="Z89" s="7">
        <f>Y89*VLOOKUP($A89,'EU Ref Sc 2020 Other industries'!$A$5:$AE$33,Z$2)</f>
        <v>0.67059224475632273</v>
      </c>
      <c r="AA89" s="7">
        <f>Z89*VLOOKUP($A89,'EU Ref Sc 2020 Other industries'!$A$5:$AE$33,AA$2)</f>
        <v>0.69132129530238451</v>
      </c>
      <c r="AB89" s="7">
        <f>AA89*VLOOKUP($A89,'EU Ref Sc 2020 Other industries'!$A$5:$AE$33,AB$2)</f>
        <v>0.71205034584844606</v>
      </c>
      <c r="AC89" s="7">
        <f>AB89*VLOOKUP($A89,'EU Ref Sc 2020 Other industries'!$A$5:$AE$33,AC$2)</f>
        <v>0.6996907664753802</v>
      </c>
      <c r="AD89" s="7">
        <f>AC89*VLOOKUP($A89,'EU Ref Sc 2020 Other industries'!$A$5:$AE$33,AD$2)</f>
        <v>0.68733118710231444</v>
      </c>
      <c r="AE89" s="7">
        <f>AD89*VLOOKUP($A89,'EU Ref Sc 2020 Other industries'!$A$5:$AE$33,AE$2)</f>
        <v>0.67497160772924858</v>
      </c>
      <c r="AF89" s="7">
        <f>AE89*VLOOKUP($A89,'EU Ref Sc 2020 Other industries'!$A$5:$AE$33,AF$2)</f>
        <v>0.66261202835618283</v>
      </c>
      <c r="AG89" s="7">
        <f>AF89*VLOOKUP($A89,'EU Ref Sc 2020 Other industries'!$A$5:$AE$33,AG$2)</f>
        <v>0.65025244898311729</v>
      </c>
      <c r="AH89" s="13">
        <f t="shared" ref="AH89:AQ89" si="88">AG89</f>
        <v>0.65025244898311729</v>
      </c>
      <c r="AI89" s="13">
        <f t="shared" si="88"/>
        <v>0.65025244898311729</v>
      </c>
      <c r="AJ89" s="13">
        <f t="shared" si="88"/>
        <v>0.65025244898311729</v>
      </c>
      <c r="AK89" s="13">
        <f t="shared" si="88"/>
        <v>0.65025244898311729</v>
      </c>
      <c r="AL89" s="13">
        <f t="shared" si="88"/>
        <v>0.65025244898311729</v>
      </c>
      <c r="AM89" s="13">
        <f t="shared" si="88"/>
        <v>0.65025244898311729</v>
      </c>
      <c r="AN89" s="13">
        <f t="shared" si="88"/>
        <v>0.65025244898311729</v>
      </c>
      <c r="AO89" s="13">
        <f t="shared" si="88"/>
        <v>0.65025244898311729</v>
      </c>
      <c r="AP89" s="13">
        <f t="shared" si="88"/>
        <v>0.65025244898311729</v>
      </c>
      <c r="AQ89" s="13">
        <f t="shared" si="88"/>
        <v>0.65025244898311729</v>
      </c>
    </row>
    <row r="90" spans="1:43" x14ac:dyDescent="0.3">
      <c r="A90" t="s">
        <v>1403</v>
      </c>
      <c r="B90" t="s">
        <v>1397</v>
      </c>
      <c r="C90" t="str">
        <f t="shared" si="66"/>
        <v>DKIUEF</v>
      </c>
      <c r="D90" s="2">
        <v>10.277900000000001</v>
      </c>
      <c r="E90" s="7">
        <f>D90*VLOOKUP($A90,'EU Ref Sc 2020 Other industries'!$A$5:$AE$33,E$2)</f>
        <v>10.413598453149884</v>
      </c>
      <c r="F90" s="7">
        <f>E90*VLOOKUP($A90,'EU Ref Sc 2020 Other industries'!$A$5:$AE$33,F$2)</f>
        <v>10.549296906299768</v>
      </c>
      <c r="G90" s="7">
        <f>F90*VLOOKUP($A90,'EU Ref Sc 2020 Other industries'!$A$5:$AE$33,G$2)</f>
        <v>10.684995359449651</v>
      </c>
      <c r="H90" s="7">
        <f>G90*VLOOKUP($A90,'EU Ref Sc 2020 Other industries'!$A$5:$AE$33,H$2)</f>
        <v>10.820693812599531</v>
      </c>
      <c r="I90" s="7">
        <f>H90*VLOOKUP($A90,'EU Ref Sc 2020 Other industries'!$A$5:$AE$33,I$2)</f>
        <v>11.203411712700959</v>
      </c>
      <c r="J90" s="7">
        <f>I90*VLOOKUP($A90,'EU Ref Sc 2020 Other industries'!$A$5:$AE$33,J$2)</f>
        <v>11.586129612802386</v>
      </c>
      <c r="K90" s="7">
        <f>J90*VLOOKUP($A90,'EU Ref Sc 2020 Other industries'!$A$5:$AE$33,K$2)</f>
        <v>11.968847512903814</v>
      </c>
      <c r="L90" s="7">
        <f>K90*VLOOKUP($A90,'EU Ref Sc 2020 Other industries'!$A$5:$AE$33,L$2)</f>
        <v>12.351565413005243</v>
      </c>
      <c r="M90" s="7">
        <f>L90*VLOOKUP($A90,'EU Ref Sc 2020 Other industries'!$A$5:$AE$33,M$2)</f>
        <v>12.734283313106676</v>
      </c>
      <c r="N90" s="7">
        <f>M90*VLOOKUP($A90,'EU Ref Sc 2020 Other industries'!$A$5:$AE$33,N$2)</f>
        <v>12.75926832020331</v>
      </c>
      <c r="O90" s="7">
        <f>N90*VLOOKUP($A90,'EU Ref Sc 2020 Other industries'!$A$5:$AE$33,O$2)</f>
        <v>12.784253327299941</v>
      </c>
      <c r="P90" s="7">
        <f>O90*VLOOKUP($A90,'EU Ref Sc 2020 Other industries'!$A$5:$AE$33,P$2)</f>
        <v>12.809238334396573</v>
      </c>
      <c r="Q90" s="7">
        <f>P90*VLOOKUP($A90,'EU Ref Sc 2020 Other industries'!$A$5:$AE$33,Q$2)</f>
        <v>12.834223341493207</v>
      </c>
      <c r="R90" s="7">
        <f>Q90*VLOOKUP($A90,'EU Ref Sc 2020 Other industries'!$A$5:$AE$33,R$2)</f>
        <v>12.859208348589837</v>
      </c>
      <c r="S90" s="7">
        <f>R90*VLOOKUP($A90,'EU Ref Sc 2020 Other industries'!$A$5:$AE$33,S$2)</f>
        <v>12.979295193013225</v>
      </c>
      <c r="T90" s="7">
        <f>S90*VLOOKUP($A90,'EU Ref Sc 2020 Other industries'!$A$5:$AE$33,T$2)</f>
        <v>13.099382037436614</v>
      </c>
      <c r="U90" s="7">
        <f>T90*VLOOKUP($A90,'EU Ref Sc 2020 Other industries'!$A$5:$AE$33,U$2)</f>
        <v>13.219468881860003</v>
      </c>
      <c r="V90" s="7">
        <f>U90*VLOOKUP($A90,'EU Ref Sc 2020 Other industries'!$A$5:$AE$33,V$2)</f>
        <v>13.339555726283391</v>
      </c>
      <c r="W90" s="7">
        <f>V90*VLOOKUP($A90,'EU Ref Sc 2020 Other industries'!$A$5:$AE$33,W$2)</f>
        <v>13.459642570706778</v>
      </c>
      <c r="X90" s="7">
        <f>W90*VLOOKUP($A90,'EU Ref Sc 2020 Other industries'!$A$5:$AE$33,X$2)</f>
        <v>13.627227291667324</v>
      </c>
      <c r="Y90" s="7">
        <f>X90*VLOOKUP($A90,'EU Ref Sc 2020 Other industries'!$A$5:$AE$33,Y$2)</f>
        <v>13.794812012627872</v>
      </c>
      <c r="Z90" s="7">
        <f>Y90*VLOOKUP($A90,'EU Ref Sc 2020 Other industries'!$A$5:$AE$33,Z$2)</f>
        <v>13.962396733588417</v>
      </c>
      <c r="AA90" s="7">
        <f>Z90*VLOOKUP($A90,'EU Ref Sc 2020 Other industries'!$A$5:$AE$33,AA$2)</f>
        <v>14.129981454548961</v>
      </c>
      <c r="AB90" s="7">
        <f>AA90*VLOOKUP($A90,'EU Ref Sc 2020 Other industries'!$A$5:$AE$33,AB$2)</f>
        <v>14.297566175509507</v>
      </c>
      <c r="AC90" s="7">
        <f>AB90*VLOOKUP($A90,'EU Ref Sc 2020 Other industries'!$A$5:$AE$33,AC$2)</f>
        <v>14.456667477898868</v>
      </c>
      <c r="AD90" s="7">
        <f>AC90*VLOOKUP($A90,'EU Ref Sc 2020 Other industries'!$A$5:$AE$33,AD$2)</f>
        <v>14.61576878028823</v>
      </c>
      <c r="AE90" s="7">
        <f>AD90*VLOOKUP($A90,'EU Ref Sc 2020 Other industries'!$A$5:$AE$33,AE$2)</f>
        <v>14.774870082677593</v>
      </c>
      <c r="AF90" s="7">
        <f>AE90*VLOOKUP($A90,'EU Ref Sc 2020 Other industries'!$A$5:$AE$33,AF$2)</f>
        <v>14.933971385066956</v>
      </c>
      <c r="AG90" s="7">
        <f>AF90*VLOOKUP($A90,'EU Ref Sc 2020 Other industries'!$A$5:$AE$33,AG$2)</f>
        <v>15.093072687456319</v>
      </c>
      <c r="AH90" s="13">
        <f t="shared" ref="AH90:AQ90" si="89">AG90</f>
        <v>15.093072687456319</v>
      </c>
      <c r="AI90" s="13">
        <f t="shared" si="89"/>
        <v>15.093072687456319</v>
      </c>
      <c r="AJ90" s="13">
        <f t="shared" si="89"/>
        <v>15.093072687456319</v>
      </c>
      <c r="AK90" s="13">
        <f t="shared" si="89"/>
        <v>15.093072687456319</v>
      </c>
      <c r="AL90" s="13">
        <f t="shared" si="89"/>
        <v>15.093072687456319</v>
      </c>
      <c r="AM90" s="13">
        <f t="shared" si="89"/>
        <v>15.093072687456319</v>
      </c>
      <c r="AN90" s="13">
        <f t="shared" si="89"/>
        <v>15.093072687456319</v>
      </c>
      <c r="AO90" s="13">
        <f t="shared" si="89"/>
        <v>15.093072687456319</v>
      </c>
      <c r="AP90" s="13">
        <f t="shared" si="89"/>
        <v>15.093072687456319</v>
      </c>
      <c r="AQ90" s="13">
        <f t="shared" si="89"/>
        <v>15.093072687456319</v>
      </c>
    </row>
    <row r="91" spans="1:43" x14ac:dyDescent="0.3">
      <c r="A91" t="s">
        <v>1405</v>
      </c>
      <c r="B91" t="s">
        <v>1397</v>
      </c>
      <c r="C91" t="str">
        <f t="shared" si="66"/>
        <v>EEIUEF</v>
      </c>
      <c r="D91" s="2">
        <v>1.0493999999999999</v>
      </c>
      <c r="E91" s="7">
        <f>D91*VLOOKUP($A91,'EU Ref Sc 2020 Other industries'!$A$5:$AE$33,E$2)</f>
        <v>1.0933677425387953</v>
      </c>
      <c r="F91" s="7">
        <f>E91*VLOOKUP($A91,'EU Ref Sc 2020 Other industries'!$A$5:$AE$33,F$2)</f>
        <v>1.1373354850775907</v>
      </c>
      <c r="G91" s="7">
        <f>F91*VLOOKUP($A91,'EU Ref Sc 2020 Other industries'!$A$5:$AE$33,G$2)</f>
        <v>1.1813032276163864</v>
      </c>
      <c r="H91" s="7">
        <f>G91*VLOOKUP($A91,'EU Ref Sc 2020 Other industries'!$A$5:$AE$33,H$2)</f>
        <v>1.2252709701551823</v>
      </c>
      <c r="I91" s="7">
        <f>H91*VLOOKUP($A91,'EU Ref Sc 2020 Other industries'!$A$5:$AE$33,I$2)</f>
        <v>1.2689542133305951</v>
      </c>
      <c r="J91" s="7">
        <f>I91*VLOOKUP($A91,'EU Ref Sc 2020 Other industries'!$A$5:$AE$33,J$2)</f>
        <v>1.3126374565060079</v>
      </c>
      <c r="K91" s="7">
        <f>J91*VLOOKUP($A91,'EU Ref Sc 2020 Other industries'!$A$5:$AE$33,K$2)</f>
        <v>1.3563206996814208</v>
      </c>
      <c r="L91" s="7">
        <f>K91*VLOOKUP($A91,'EU Ref Sc 2020 Other industries'!$A$5:$AE$33,L$2)</f>
        <v>1.4000039428568336</v>
      </c>
      <c r="M91" s="7">
        <f>L91*VLOOKUP($A91,'EU Ref Sc 2020 Other industries'!$A$5:$AE$33,M$2)</f>
        <v>1.4436871860322467</v>
      </c>
      <c r="N91" s="7">
        <f>M91*VLOOKUP($A91,'EU Ref Sc 2020 Other industries'!$A$5:$AE$33,N$2)</f>
        <v>1.4447139619759766</v>
      </c>
      <c r="O91" s="7">
        <f>N91*VLOOKUP($A91,'EU Ref Sc 2020 Other industries'!$A$5:$AE$33,O$2)</f>
        <v>1.4457407379197063</v>
      </c>
      <c r="P91" s="7">
        <f>O91*VLOOKUP($A91,'EU Ref Sc 2020 Other industries'!$A$5:$AE$33,P$2)</f>
        <v>1.4467675138634362</v>
      </c>
      <c r="Q91" s="7">
        <f>P91*VLOOKUP($A91,'EU Ref Sc 2020 Other industries'!$A$5:$AE$33,Q$2)</f>
        <v>1.4477942898071661</v>
      </c>
      <c r="R91" s="7">
        <f>Q91*VLOOKUP($A91,'EU Ref Sc 2020 Other industries'!$A$5:$AE$33,R$2)</f>
        <v>1.4488210657508958</v>
      </c>
      <c r="S91" s="7">
        <f>R91*VLOOKUP($A91,'EU Ref Sc 2020 Other industries'!$A$5:$AE$33,S$2)</f>
        <v>1.4422649655447541</v>
      </c>
      <c r="T91" s="7">
        <f>S91*VLOOKUP($A91,'EU Ref Sc 2020 Other industries'!$A$5:$AE$33,T$2)</f>
        <v>1.4357088653386123</v>
      </c>
      <c r="U91" s="7">
        <f>T91*VLOOKUP($A91,'EU Ref Sc 2020 Other industries'!$A$5:$AE$33,U$2)</f>
        <v>1.4291527651324705</v>
      </c>
      <c r="V91" s="7">
        <f>U91*VLOOKUP($A91,'EU Ref Sc 2020 Other industries'!$A$5:$AE$33,V$2)</f>
        <v>1.4225966649263286</v>
      </c>
      <c r="W91" s="7">
        <f>V91*VLOOKUP($A91,'EU Ref Sc 2020 Other industries'!$A$5:$AE$33,W$2)</f>
        <v>1.4160405647201875</v>
      </c>
      <c r="X91" s="7">
        <f>W91*VLOOKUP($A91,'EU Ref Sc 2020 Other industries'!$A$5:$AE$33,X$2)</f>
        <v>1.4160808339357716</v>
      </c>
      <c r="Y91" s="7">
        <f>X91*VLOOKUP($A91,'EU Ref Sc 2020 Other industries'!$A$5:$AE$33,Y$2)</f>
        <v>1.4161211031513554</v>
      </c>
      <c r="Z91" s="7">
        <f>Y91*VLOOKUP($A91,'EU Ref Sc 2020 Other industries'!$A$5:$AE$33,Z$2)</f>
        <v>1.4161613723669395</v>
      </c>
      <c r="AA91" s="7">
        <f>Z91*VLOOKUP($A91,'EU Ref Sc 2020 Other industries'!$A$5:$AE$33,AA$2)</f>
        <v>1.4162016415825236</v>
      </c>
      <c r="AB91" s="7">
        <f>AA91*VLOOKUP($A91,'EU Ref Sc 2020 Other industries'!$A$5:$AE$33,AB$2)</f>
        <v>1.4162419107981081</v>
      </c>
      <c r="AC91" s="7">
        <f>AB91*VLOOKUP($A91,'EU Ref Sc 2020 Other industries'!$A$5:$AE$33,AC$2)</f>
        <v>1.413057836573284</v>
      </c>
      <c r="AD91" s="7">
        <f>AC91*VLOOKUP($A91,'EU Ref Sc 2020 Other industries'!$A$5:$AE$33,AD$2)</f>
        <v>1.4098737623484598</v>
      </c>
      <c r="AE91" s="7">
        <f>AD91*VLOOKUP($A91,'EU Ref Sc 2020 Other industries'!$A$5:$AE$33,AE$2)</f>
        <v>1.4066896881236357</v>
      </c>
      <c r="AF91" s="7">
        <f>AE91*VLOOKUP($A91,'EU Ref Sc 2020 Other industries'!$A$5:$AE$33,AF$2)</f>
        <v>1.4035056138988116</v>
      </c>
      <c r="AG91" s="7">
        <f>AF91*VLOOKUP($A91,'EU Ref Sc 2020 Other industries'!$A$5:$AE$33,AG$2)</f>
        <v>1.400321539673987</v>
      </c>
      <c r="AH91" s="13">
        <f t="shared" ref="AH91:AQ91" si="90">AG91</f>
        <v>1.400321539673987</v>
      </c>
      <c r="AI91" s="13">
        <f t="shared" si="90"/>
        <v>1.400321539673987</v>
      </c>
      <c r="AJ91" s="13">
        <f t="shared" si="90"/>
        <v>1.400321539673987</v>
      </c>
      <c r="AK91" s="13">
        <f t="shared" si="90"/>
        <v>1.400321539673987</v>
      </c>
      <c r="AL91" s="13">
        <f t="shared" si="90"/>
        <v>1.400321539673987</v>
      </c>
      <c r="AM91" s="13">
        <f t="shared" si="90"/>
        <v>1.400321539673987</v>
      </c>
      <c r="AN91" s="13">
        <f t="shared" si="90"/>
        <v>1.400321539673987</v>
      </c>
      <c r="AO91" s="13">
        <f t="shared" si="90"/>
        <v>1.400321539673987</v>
      </c>
      <c r="AP91" s="13">
        <f t="shared" si="90"/>
        <v>1.400321539673987</v>
      </c>
      <c r="AQ91" s="13">
        <f t="shared" si="90"/>
        <v>1.400321539673987</v>
      </c>
    </row>
    <row r="92" spans="1:43" x14ac:dyDescent="0.3">
      <c r="A92" t="s">
        <v>1408</v>
      </c>
      <c r="B92" t="s">
        <v>1397</v>
      </c>
      <c r="C92" t="str">
        <f t="shared" si="66"/>
        <v>ESIUEF</v>
      </c>
      <c r="D92" s="2">
        <v>43.347200000000001</v>
      </c>
      <c r="E92" s="7">
        <f>D92*VLOOKUP($A92,'EU Ref Sc 2020 Other industries'!$A$5:$AE$33,E$2)</f>
        <v>45.163360214768133</v>
      </c>
      <c r="F92" s="7">
        <f>E92*VLOOKUP($A92,'EU Ref Sc 2020 Other industries'!$A$5:$AE$33,F$2)</f>
        <v>46.979520429536265</v>
      </c>
      <c r="G92" s="7">
        <f>F92*VLOOKUP($A92,'EU Ref Sc 2020 Other industries'!$A$5:$AE$33,G$2)</f>
        <v>48.795680644304397</v>
      </c>
      <c r="H92" s="7">
        <f>G92*VLOOKUP($A92,'EU Ref Sc 2020 Other industries'!$A$5:$AE$33,H$2)</f>
        <v>50.611840859072544</v>
      </c>
      <c r="I92" s="7">
        <f>H92*VLOOKUP($A92,'EU Ref Sc 2020 Other industries'!$A$5:$AE$33,I$2)</f>
        <v>52.416249357808255</v>
      </c>
      <c r="J92" s="7">
        <f>I92*VLOOKUP($A92,'EU Ref Sc 2020 Other industries'!$A$5:$AE$33,J$2)</f>
        <v>54.220657856543966</v>
      </c>
      <c r="K92" s="7">
        <f>J92*VLOOKUP($A92,'EU Ref Sc 2020 Other industries'!$A$5:$AE$33,K$2)</f>
        <v>56.025066355279677</v>
      </c>
      <c r="L92" s="7">
        <f>K92*VLOOKUP($A92,'EU Ref Sc 2020 Other industries'!$A$5:$AE$33,L$2)</f>
        <v>57.829474854015388</v>
      </c>
      <c r="M92" s="7">
        <f>L92*VLOOKUP($A92,'EU Ref Sc 2020 Other industries'!$A$5:$AE$33,M$2)</f>
        <v>59.633883352751113</v>
      </c>
      <c r="N92" s="7">
        <f>M92*VLOOKUP($A92,'EU Ref Sc 2020 Other industries'!$A$5:$AE$33,N$2)</f>
        <v>59.676296028745057</v>
      </c>
      <c r="O92" s="7">
        <f>N92*VLOOKUP($A92,'EU Ref Sc 2020 Other industries'!$A$5:$AE$33,O$2)</f>
        <v>59.718708704739001</v>
      </c>
      <c r="P92" s="7">
        <f>O92*VLOOKUP($A92,'EU Ref Sc 2020 Other industries'!$A$5:$AE$33,P$2)</f>
        <v>59.761121380732952</v>
      </c>
      <c r="Q92" s="7">
        <f>P92*VLOOKUP($A92,'EU Ref Sc 2020 Other industries'!$A$5:$AE$33,Q$2)</f>
        <v>59.803534056726896</v>
      </c>
      <c r="R92" s="7">
        <f>Q92*VLOOKUP($A92,'EU Ref Sc 2020 Other industries'!$A$5:$AE$33,R$2)</f>
        <v>59.845946732720833</v>
      </c>
      <c r="S92" s="7">
        <f>R92*VLOOKUP($A92,'EU Ref Sc 2020 Other industries'!$A$5:$AE$33,S$2)</f>
        <v>59.575136186832076</v>
      </c>
      <c r="T92" s="7">
        <f>S92*VLOOKUP($A92,'EU Ref Sc 2020 Other industries'!$A$5:$AE$33,T$2)</f>
        <v>59.304325640943311</v>
      </c>
      <c r="U92" s="7">
        <f>T92*VLOOKUP($A92,'EU Ref Sc 2020 Other industries'!$A$5:$AE$33,U$2)</f>
        <v>59.033515095054547</v>
      </c>
      <c r="V92" s="7">
        <f>U92*VLOOKUP($A92,'EU Ref Sc 2020 Other industries'!$A$5:$AE$33,V$2)</f>
        <v>58.762704549165782</v>
      </c>
      <c r="W92" s="7">
        <f>V92*VLOOKUP($A92,'EU Ref Sc 2020 Other industries'!$A$5:$AE$33,W$2)</f>
        <v>58.491894003277039</v>
      </c>
      <c r="X92" s="7">
        <f>W92*VLOOKUP($A92,'EU Ref Sc 2020 Other industries'!$A$5:$AE$33,X$2)</f>
        <v>58.493557389728124</v>
      </c>
      <c r="Y92" s="7">
        <f>X92*VLOOKUP($A92,'EU Ref Sc 2020 Other industries'!$A$5:$AE$33,Y$2)</f>
        <v>58.495220776179202</v>
      </c>
      <c r="Z92" s="7">
        <f>Y92*VLOOKUP($A92,'EU Ref Sc 2020 Other industries'!$A$5:$AE$33,Z$2)</f>
        <v>58.49688416263028</v>
      </c>
      <c r="AA92" s="7">
        <f>Z92*VLOOKUP($A92,'EU Ref Sc 2020 Other industries'!$A$5:$AE$33,AA$2)</f>
        <v>58.498547549081366</v>
      </c>
      <c r="AB92" s="7">
        <f>AA92*VLOOKUP($A92,'EU Ref Sc 2020 Other industries'!$A$5:$AE$33,AB$2)</f>
        <v>58.500210935532465</v>
      </c>
      <c r="AC92" s="7">
        <f>AB92*VLOOKUP($A92,'EU Ref Sc 2020 Other industries'!$A$5:$AE$33,AC$2)</f>
        <v>58.368687491432695</v>
      </c>
      <c r="AD92" s="7">
        <f>AC92*VLOOKUP($A92,'EU Ref Sc 2020 Other industries'!$A$5:$AE$33,AD$2)</f>
        <v>58.237164047332925</v>
      </c>
      <c r="AE92" s="7">
        <f>AD92*VLOOKUP($A92,'EU Ref Sc 2020 Other industries'!$A$5:$AE$33,AE$2)</f>
        <v>58.105640603233155</v>
      </c>
      <c r="AF92" s="7">
        <f>AE92*VLOOKUP($A92,'EU Ref Sc 2020 Other industries'!$A$5:$AE$33,AF$2)</f>
        <v>57.974117159133385</v>
      </c>
      <c r="AG92" s="7">
        <f>AF92*VLOOKUP($A92,'EU Ref Sc 2020 Other industries'!$A$5:$AE$33,AG$2)</f>
        <v>57.842593715033594</v>
      </c>
      <c r="AH92" s="13">
        <f t="shared" ref="AH92:AQ92" si="91">AG92</f>
        <v>57.842593715033594</v>
      </c>
      <c r="AI92" s="13">
        <f t="shared" si="91"/>
        <v>57.842593715033594</v>
      </c>
      <c r="AJ92" s="13">
        <f t="shared" si="91"/>
        <v>57.842593715033594</v>
      </c>
      <c r="AK92" s="13">
        <f t="shared" si="91"/>
        <v>57.842593715033594</v>
      </c>
      <c r="AL92" s="13">
        <f t="shared" si="91"/>
        <v>57.842593715033594</v>
      </c>
      <c r="AM92" s="13">
        <f t="shared" si="91"/>
        <v>57.842593715033594</v>
      </c>
      <c r="AN92" s="13">
        <f t="shared" si="91"/>
        <v>57.842593715033594</v>
      </c>
      <c r="AO92" s="13">
        <f t="shared" si="91"/>
        <v>57.842593715033594</v>
      </c>
      <c r="AP92" s="13">
        <f t="shared" si="91"/>
        <v>57.842593715033594</v>
      </c>
      <c r="AQ92" s="13">
        <f t="shared" si="91"/>
        <v>57.842593715033594</v>
      </c>
    </row>
    <row r="93" spans="1:43" x14ac:dyDescent="0.3">
      <c r="A93" t="s">
        <v>1410</v>
      </c>
      <c r="B93" t="s">
        <v>1397</v>
      </c>
      <c r="C93" t="str">
        <f t="shared" si="66"/>
        <v>FRIUEF</v>
      </c>
      <c r="D93" s="2">
        <v>84.768199999999993</v>
      </c>
      <c r="E93" s="7">
        <f>D93*VLOOKUP($A93,'EU Ref Sc 2020 Other industries'!$A$5:$AE$33,E$2)</f>
        <v>88.319816536189364</v>
      </c>
      <c r="F93" s="7">
        <f>E93*VLOOKUP($A93,'EU Ref Sc 2020 Other industries'!$A$5:$AE$33,F$2)</f>
        <v>91.871433072378736</v>
      </c>
      <c r="G93" s="7">
        <f>F93*VLOOKUP($A93,'EU Ref Sc 2020 Other industries'!$A$5:$AE$33,G$2)</f>
        <v>95.423049608568107</v>
      </c>
      <c r="H93" s="7">
        <f>G93*VLOOKUP($A93,'EU Ref Sc 2020 Other industries'!$A$5:$AE$33,H$2)</f>
        <v>98.974666144757506</v>
      </c>
      <c r="I93" s="7">
        <f>H93*VLOOKUP($A93,'EU Ref Sc 2020 Other industries'!$A$5:$AE$33,I$2)</f>
        <v>102.50330145459363</v>
      </c>
      <c r="J93" s="7">
        <f>I93*VLOOKUP($A93,'EU Ref Sc 2020 Other industries'!$A$5:$AE$33,J$2)</f>
        <v>106.03193676442976</v>
      </c>
      <c r="K93" s="7">
        <f>J93*VLOOKUP($A93,'EU Ref Sc 2020 Other industries'!$A$5:$AE$33,K$2)</f>
        <v>109.56057207426589</v>
      </c>
      <c r="L93" s="7">
        <f>K93*VLOOKUP($A93,'EU Ref Sc 2020 Other industries'!$A$5:$AE$33,L$2)</f>
        <v>113.08920738410201</v>
      </c>
      <c r="M93" s="7">
        <f>L93*VLOOKUP($A93,'EU Ref Sc 2020 Other industries'!$A$5:$AE$33,M$2)</f>
        <v>116.61784269393816</v>
      </c>
      <c r="N93" s="7">
        <f>M93*VLOOKUP($A93,'EU Ref Sc 2020 Other industries'!$A$5:$AE$33,N$2)</f>
        <v>116.70078337294834</v>
      </c>
      <c r="O93" s="7">
        <f>N93*VLOOKUP($A93,'EU Ref Sc 2020 Other industries'!$A$5:$AE$33,O$2)</f>
        <v>116.78372405195852</v>
      </c>
      <c r="P93" s="7">
        <f>O93*VLOOKUP($A93,'EU Ref Sc 2020 Other industries'!$A$5:$AE$33,P$2)</f>
        <v>116.86666473096869</v>
      </c>
      <c r="Q93" s="7">
        <f>P93*VLOOKUP($A93,'EU Ref Sc 2020 Other industries'!$A$5:$AE$33,Q$2)</f>
        <v>116.94960540997887</v>
      </c>
      <c r="R93" s="7">
        <f>Q93*VLOOKUP($A93,'EU Ref Sc 2020 Other industries'!$A$5:$AE$33,R$2)</f>
        <v>117.03254608898904</v>
      </c>
      <c r="S93" s="7">
        <f>R93*VLOOKUP($A93,'EU Ref Sc 2020 Other industries'!$A$5:$AE$33,S$2)</f>
        <v>116.50295888344849</v>
      </c>
      <c r="T93" s="7">
        <f>S93*VLOOKUP($A93,'EU Ref Sc 2020 Other industries'!$A$5:$AE$33,T$2)</f>
        <v>115.97337167790792</v>
      </c>
      <c r="U93" s="7">
        <f>T93*VLOOKUP($A93,'EU Ref Sc 2020 Other industries'!$A$5:$AE$33,U$2)</f>
        <v>115.44378447236735</v>
      </c>
      <c r="V93" s="7">
        <f>U93*VLOOKUP($A93,'EU Ref Sc 2020 Other industries'!$A$5:$AE$33,V$2)</f>
        <v>114.91419726682679</v>
      </c>
      <c r="W93" s="7">
        <f>V93*VLOOKUP($A93,'EU Ref Sc 2020 Other industries'!$A$5:$AE$33,W$2)</f>
        <v>114.38461006128627</v>
      </c>
      <c r="X93" s="7">
        <f>W93*VLOOKUP($A93,'EU Ref Sc 2020 Other industries'!$A$5:$AE$33,X$2)</f>
        <v>114.38786291903401</v>
      </c>
      <c r="Y93" s="7">
        <f>X93*VLOOKUP($A93,'EU Ref Sc 2020 Other industries'!$A$5:$AE$33,Y$2)</f>
        <v>114.39111577678173</v>
      </c>
      <c r="Z93" s="7">
        <f>Y93*VLOOKUP($A93,'EU Ref Sc 2020 Other industries'!$A$5:$AE$33,Z$2)</f>
        <v>114.39436863452947</v>
      </c>
      <c r="AA93" s="7">
        <f>Z93*VLOOKUP($A93,'EU Ref Sc 2020 Other industries'!$A$5:$AE$33,AA$2)</f>
        <v>114.39762149227721</v>
      </c>
      <c r="AB93" s="7">
        <f>AA93*VLOOKUP($A93,'EU Ref Sc 2020 Other industries'!$A$5:$AE$33,AB$2)</f>
        <v>114.40087435002498</v>
      </c>
      <c r="AC93" s="7">
        <f>AB93*VLOOKUP($A93,'EU Ref Sc 2020 Other industries'!$A$5:$AE$33,AC$2)</f>
        <v>114.14367190986418</v>
      </c>
      <c r="AD93" s="7">
        <f>AC93*VLOOKUP($A93,'EU Ref Sc 2020 Other industries'!$A$5:$AE$33,AD$2)</f>
        <v>113.88646946970339</v>
      </c>
      <c r="AE93" s="7">
        <f>AD93*VLOOKUP($A93,'EU Ref Sc 2020 Other industries'!$A$5:$AE$33,AE$2)</f>
        <v>113.62926702954259</v>
      </c>
      <c r="AF93" s="7">
        <f>AE93*VLOOKUP($A93,'EU Ref Sc 2020 Other industries'!$A$5:$AE$33,AF$2)</f>
        <v>113.37206458938179</v>
      </c>
      <c r="AG93" s="7">
        <f>AF93*VLOOKUP($A93,'EU Ref Sc 2020 Other industries'!$A$5:$AE$33,AG$2)</f>
        <v>113.11486214922095</v>
      </c>
      <c r="AH93" s="13">
        <f t="shared" ref="AH93:AQ93" si="92">AG93</f>
        <v>113.11486214922095</v>
      </c>
      <c r="AI93" s="13">
        <f t="shared" si="92"/>
        <v>113.11486214922095</v>
      </c>
      <c r="AJ93" s="13">
        <f t="shared" si="92"/>
        <v>113.11486214922095</v>
      </c>
      <c r="AK93" s="13">
        <f t="shared" si="92"/>
        <v>113.11486214922095</v>
      </c>
      <c r="AL93" s="13">
        <f t="shared" si="92"/>
        <v>113.11486214922095</v>
      </c>
      <c r="AM93" s="13">
        <f t="shared" si="92"/>
        <v>113.11486214922095</v>
      </c>
      <c r="AN93" s="13">
        <f t="shared" si="92"/>
        <v>113.11486214922095</v>
      </c>
      <c r="AO93" s="13">
        <f t="shared" si="92"/>
        <v>113.11486214922095</v>
      </c>
      <c r="AP93" s="13">
        <f t="shared" si="92"/>
        <v>113.11486214922095</v>
      </c>
      <c r="AQ93" s="13">
        <f t="shared" si="92"/>
        <v>113.11486214922095</v>
      </c>
    </row>
    <row r="94" spans="1:43" x14ac:dyDescent="0.3">
      <c r="A94" t="s">
        <v>1407</v>
      </c>
      <c r="B94" t="s">
        <v>1397</v>
      </c>
      <c r="C94" t="str">
        <f t="shared" si="66"/>
        <v>GRIUEF</v>
      </c>
      <c r="D94" s="2">
        <v>7.6262000000000008</v>
      </c>
      <c r="E94" s="7">
        <f>D94*VLOOKUP($A94,'EU Ref Sc 2020 Other industries'!$A$5:$AE$33,E$2)</f>
        <v>7.7996619760575419</v>
      </c>
      <c r="F94" s="7">
        <f>E94*VLOOKUP($A94,'EU Ref Sc 2020 Other industries'!$A$5:$AE$33,F$2)</f>
        <v>7.9731239521150838</v>
      </c>
      <c r="G94" s="7">
        <f>F94*VLOOKUP($A94,'EU Ref Sc 2020 Other industries'!$A$5:$AE$33,G$2)</f>
        <v>8.1465859281726267</v>
      </c>
      <c r="H94" s="7">
        <f>G94*VLOOKUP($A94,'EU Ref Sc 2020 Other industries'!$A$5:$AE$33,H$2)</f>
        <v>8.3200479042301705</v>
      </c>
      <c r="I94" s="7">
        <f>H94*VLOOKUP($A94,'EU Ref Sc 2020 Other industries'!$A$5:$AE$33,I$2)</f>
        <v>8.0801691742265724</v>
      </c>
      <c r="J94" s="7">
        <f>I94*VLOOKUP($A94,'EU Ref Sc 2020 Other industries'!$A$5:$AE$33,J$2)</f>
        <v>7.8402904442229744</v>
      </c>
      <c r="K94" s="7">
        <f>J94*VLOOKUP($A94,'EU Ref Sc 2020 Other industries'!$A$5:$AE$33,K$2)</f>
        <v>7.6004117142193763</v>
      </c>
      <c r="L94" s="7">
        <f>K94*VLOOKUP($A94,'EU Ref Sc 2020 Other industries'!$A$5:$AE$33,L$2)</f>
        <v>7.3605329842157783</v>
      </c>
      <c r="M94" s="7">
        <f>L94*VLOOKUP($A94,'EU Ref Sc 2020 Other industries'!$A$5:$AE$33,M$2)</f>
        <v>7.1206542542121811</v>
      </c>
      <c r="N94" s="7">
        <f>M94*VLOOKUP($A94,'EU Ref Sc 2020 Other industries'!$A$5:$AE$33,N$2)</f>
        <v>7.2408706667903395</v>
      </c>
      <c r="O94" s="7">
        <f>N94*VLOOKUP($A94,'EU Ref Sc 2020 Other industries'!$A$5:$AE$33,O$2)</f>
        <v>7.361087079368497</v>
      </c>
      <c r="P94" s="7">
        <f>O94*VLOOKUP($A94,'EU Ref Sc 2020 Other industries'!$A$5:$AE$33,P$2)</f>
        <v>7.4813034919466546</v>
      </c>
      <c r="Q94" s="7">
        <f>P94*VLOOKUP($A94,'EU Ref Sc 2020 Other industries'!$A$5:$AE$33,Q$2)</f>
        <v>7.6015199045248121</v>
      </c>
      <c r="R94" s="7">
        <f>Q94*VLOOKUP($A94,'EU Ref Sc 2020 Other industries'!$A$5:$AE$33,R$2)</f>
        <v>7.7217363171029723</v>
      </c>
      <c r="S94" s="7">
        <f>R94*VLOOKUP($A94,'EU Ref Sc 2020 Other industries'!$A$5:$AE$33,S$2)</f>
        <v>7.7344380739765715</v>
      </c>
      <c r="T94" s="7">
        <f>S94*VLOOKUP($A94,'EU Ref Sc 2020 Other industries'!$A$5:$AE$33,T$2)</f>
        <v>7.7471398308501707</v>
      </c>
      <c r="U94" s="7">
        <f>T94*VLOOKUP($A94,'EU Ref Sc 2020 Other industries'!$A$5:$AE$33,U$2)</f>
        <v>7.7598415877237699</v>
      </c>
      <c r="V94" s="7">
        <f>U94*VLOOKUP($A94,'EU Ref Sc 2020 Other industries'!$A$5:$AE$33,V$2)</f>
        <v>7.7725433445973691</v>
      </c>
      <c r="W94" s="7">
        <f>V94*VLOOKUP($A94,'EU Ref Sc 2020 Other industries'!$A$5:$AE$33,W$2)</f>
        <v>7.7852451014709656</v>
      </c>
      <c r="X94" s="7">
        <f>W94*VLOOKUP($A94,'EU Ref Sc 2020 Other industries'!$A$5:$AE$33,X$2)</f>
        <v>7.8230579515737366</v>
      </c>
      <c r="Y94" s="7">
        <f>X94*VLOOKUP($A94,'EU Ref Sc 2020 Other industries'!$A$5:$AE$33,Y$2)</f>
        <v>7.8608708016765076</v>
      </c>
      <c r="Z94" s="7">
        <f>Y94*VLOOKUP($A94,'EU Ref Sc 2020 Other industries'!$A$5:$AE$33,Z$2)</f>
        <v>7.8986836517792787</v>
      </c>
      <c r="AA94" s="7">
        <f>Z94*VLOOKUP($A94,'EU Ref Sc 2020 Other industries'!$A$5:$AE$33,AA$2)</f>
        <v>7.9364965018820506</v>
      </c>
      <c r="AB94" s="7">
        <f>AA94*VLOOKUP($A94,'EU Ref Sc 2020 Other industries'!$A$5:$AE$33,AB$2)</f>
        <v>7.9743093519848216</v>
      </c>
      <c r="AC94" s="7">
        <f>AB94*VLOOKUP($A94,'EU Ref Sc 2020 Other industries'!$A$5:$AE$33,AC$2)</f>
        <v>7.9996643857943601</v>
      </c>
      <c r="AD94" s="7">
        <f>AC94*VLOOKUP($A94,'EU Ref Sc 2020 Other industries'!$A$5:$AE$33,AD$2)</f>
        <v>8.0250194196038986</v>
      </c>
      <c r="AE94" s="7">
        <f>AD94*VLOOKUP($A94,'EU Ref Sc 2020 Other industries'!$A$5:$AE$33,AE$2)</f>
        <v>8.050374453413438</v>
      </c>
      <c r="AF94" s="7">
        <f>AE94*VLOOKUP($A94,'EU Ref Sc 2020 Other industries'!$A$5:$AE$33,AF$2)</f>
        <v>8.0757294872229757</v>
      </c>
      <c r="AG94" s="7">
        <f>AF94*VLOOKUP($A94,'EU Ref Sc 2020 Other industries'!$A$5:$AE$33,AG$2)</f>
        <v>8.1010845210325151</v>
      </c>
      <c r="AH94" s="13">
        <f t="shared" ref="AH94:AQ94" si="93">AG94</f>
        <v>8.1010845210325151</v>
      </c>
      <c r="AI94" s="13">
        <f t="shared" si="93"/>
        <v>8.1010845210325151</v>
      </c>
      <c r="AJ94" s="13">
        <f t="shared" si="93"/>
        <v>8.1010845210325151</v>
      </c>
      <c r="AK94" s="13">
        <f t="shared" si="93"/>
        <v>8.1010845210325151</v>
      </c>
      <c r="AL94" s="13">
        <f t="shared" si="93"/>
        <v>8.1010845210325151</v>
      </c>
      <c r="AM94" s="13">
        <f t="shared" si="93"/>
        <v>8.1010845210325151</v>
      </c>
      <c r="AN94" s="13">
        <f t="shared" si="93"/>
        <v>8.1010845210325151</v>
      </c>
      <c r="AO94" s="13">
        <f t="shared" si="93"/>
        <v>8.1010845210325151</v>
      </c>
      <c r="AP94" s="13">
        <f t="shared" si="93"/>
        <v>8.1010845210325151</v>
      </c>
      <c r="AQ94" s="13">
        <f t="shared" si="93"/>
        <v>8.1010845210325151</v>
      </c>
    </row>
    <row r="95" spans="1:43" x14ac:dyDescent="0.3">
      <c r="A95" t="s">
        <v>1411</v>
      </c>
      <c r="B95" t="s">
        <v>1397</v>
      </c>
      <c r="C95" t="str">
        <f t="shared" si="66"/>
        <v>HRIUEF</v>
      </c>
      <c r="D95" s="2">
        <v>2.7642000000000002</v>
      </c>
      <c r="E95" s="7">
        <f>D95*VLOOKUP($A95,'EU Ref Sc 2020 Other industries'!$A$5:$AE$33,E$2)</f>
        <v>2.775934298978036</v>
      </c>
      <c r="F95" s="7">
        <f>E95*VLOOKUP($A95,'EU Ref Sc 2020 Other industries'!$A$5:$AE$33,F$2)</f>
        <v>2.7876685979560714</v>
      </c>
      <c r="G95" s="7">
        <f>F95*VLOOKUP($A95,'EU Ref Sc 2020 Other industries'!$A$5:$AE$33,G$2)</f>
        <v>2.7994028969341072</v>
      </c>
      <c r="H95" s="7">
        <f>G95*VLOOKUP($A95,'EU Ref Sc 2020 Other industries'!$A$5:$AE$33,H$2)</f>
        <v>2.8111371959121421</v>
      </c>
      <c r="I95" s="7">
        <f>H95*VLOOKUP($A95,'EU Ref Sc 2020 Other industries'!$A$5:$AE$33,I$2)</f>
        <v>2.791294170298793</v>
      </c>
      <c r="J95" s="7">
        <f>I95*VLOOKUP($A95,'EU Ref Sc 2020 Other industries'!$A$5:$AE$33,J$2)</f>
        <v>2.771451144685444</v>
      </c>
      <c r="K95" s="7">
        <f>J95*VLOOKUP($A95,'EU Ref Sc 2020 Other industries'!$A$5:$AE$33,K$2)</f>
        <v>2.7516081190720953</v>
      </c>
      <c r="L95" s="7">
        <f>K95*VLOOKUP($A95,'EU Ref Sc 2020 Other industries'!$A$5:$AE$33,L$2)</f>
        <v>2.7317650934587463</v>
      </c>
      <c r="M95" s="7">
        <f>L95*VLOOKUP($A95,'EU Ref Sc 2020 Other industries'!$A$5:$AE$33,M$2)</f>
        <v>2.7119220678453972</v>
      </c>
      <c r="N95" s="7">
        <f>M95*VLOOKUP($A95,'EU Ref Sc 2020 Other industries'!$A$5:$AE$33,N$2)</f>
        <v>2.6931817970627527</v>
      </c>
      <c r="O95" s="7">
        <f>N95*VLOOKUP($A95,'EU Ref Sc 2020 Other industries'!$A$5:$AE$33,O$2)</f>
        <v>2.6744415262801082</v>
      </c>
      <c r="P95" s="7">
        <f>O95*VLOOKUP($A95,'EU Ref Sc 2020 Other industries'!$A$5:$AE$33,P$2)</f>
        <v>2.6557012554974637</v>
      </c>
      <c r="Q95" s="7">
        <f>P95*VLOOKUP($A95,'EU Ref Sc 2020 Other industries'!$A$5:$AE$33,Q$2)</f>
        <v>2.6369609847148192</v>
      </c>
      <c r="R95" s="7">
        <f>Q95*VLOOKUP($A95,'EU Ref Sc 2020 Other industries'!$A$5:$AE$33,R$2)</f>
        <v>2.6182207139321747</v>
      </c>
      <c r="S95" s="7">
        <f>R95*VLOOKUP($A95,'EU Ref Sc 2020 Other industries'!$A$5:$AE$33,S$2)</f>
        <v>2.6285325074279076</v>
      </c>
      <c r="T95" s="7">
        <f>S95*VLOOKUP($A95,'EU Ref Sc 2020 Other industries'!$A$5:$AE$33,T$2)</f>
        <v>2.6388443009236404</v>
      </c>
      <c r="U95" s="7">
        <f>T95*VLOOKUP($A95,'EU Ref Sc 2020 Other industries'!$A$5:$AE$33,U$2)</f>
        <v>2.6491560944193733</v>
      </c>
      <c r="V95" s="7">
        <f>U95*VLOOKUP($A95,'EU Ref Sc 2020 Other industries'!$A$5:$AE$33,V$2)</f>
        <v>2.6594678879151061</v>
      </c>
      <c r="W95" s="7">
        <f>V95*VLOOKUP($A95,'EU Ref Sc 2020 Other industries'!$A$5:$AE$33,W$2)</f>
        <v>2.6697796814108385</v>
      </c>
      <c r="X95" s="7">
        <f>W95*VLOOKUP($A95,'EU Ref Sc 2020 Other industries'!$A$5:$AE$33,X$2)</f>
        <v>2.6667250329142966</v>
      </c>
      <c r="Y95" s="7">
        <f>X95*VLOOKUP($A95,'EU Ref Sc 2020 Other industries'!$A$5:$AE$33,Y$2)</f>
        <v>2.6636703844177552</v>
      </c>
      <c r="Z95" s="7">
        <f>Y95*VLOOKUP($A95,'EU Ref Sc 2020 Other industries'!$A$5:$AE$33,Z$2)</f>
        <v>2.6606157359212133</v>
      </c>
      <c r="AA95" s="7">
        <f>Z95*VLOOKUP($A95,'EU Ref Sc 2020 Other industries'!$A$5:$AE$33,AA$2)</f>
        <v>2.6575610874246718</v>
      </c>
      <c r="AB95" s="7">
        <f>AA95*VLOOKUP($A95,'EU Ref Sc 2020 Other industries'!$A$5:$AE$33,AB$2)</f>
        <v>2.6545064389281303</v>
      </c>
      <c r="AC95" s="7">
        <f>AB95*VLOOKUP($A95,'EU Ref Sc 2020 Other industries'!$A$5:$AE$33,AC$2)</f>
        <v>2.6682617920697109</v>
      </c>
      <c r="AD95" s="7">
        <f>AC95*VLOOKUP($A95,'EU Ref Sc 2020 Other industries'!$A$5:$AE$33,AD$2)</f>
        <v>2.6820171452112911</v>
      </c>
      <c r="AE95" s="7">
        <f>AD95*VLOOKUP($A95,'EU Ref Sc 2020 Other industries'!$A$5:$AE$33,AE$2)</f>
        <v>2.6957724983528717</v>
      </c>
      <c r="AF95" s="7">
        <f>AE95*VLOOKUP($A95,'EU Ref Sc 2020 Other industries'!$A$5:$AE$33,AF$2)</f>
        <v>2.7095278514944523</v>
      </c>
      <c r="AG95" s="7">
        <f>AF95*VLOOKUP($A95,'EU Ref Sc 2020 Other industries'!$A$5:$AE$33,AG$2)</f>
        <v>2.7232832046360325</v>
      </c>
      <c r="AH95" s="13">
        <f t="shared" ref="AH95:AQ95" si="94">AG95</f>
        <v>2.7232832046360325</v>
      </c>
      <c r="AI95" s="13">
        <f t="shared" si="94"/>
        <v>2.7232832046360325</v>
      </c>
      <c r="AJ95" s="13">
        <f t="shared" si="94"/>
        <v>2.7232832046360325</v>
      </c>
      <c r="AK95" s="13">
        <f t="shared" si="94"/>
        <v>2.7232832046360325</v>
      </c>
      <c r="AL95" s="13">
        <f t="shared" si="94"/>
        <v>2.7232832046360325</v>
      </c>
      <c r="AM95" s="13">
        <f t="shared" si="94"/>
        <v>2.7232832046360325</v>
      </c>
      <c r="AN95" s="13">
        <f t="shared" si="94"/>
        <v>2.7232832046360325</v>
      </c>
      <c r="AO95" s="13">
        <f t="shared" si="94"/>
        <v>2.7232832046360325</v>
      </c>
      <c r="AP95" s="13">
        <f t="shared" si="94"/>
        <v>2.7232832046360325</v>
      </c>
      <c r="AQ95" s="13">
        <f t="shared" si="94"/>
        <v>2.7232832046360325</v>
      </c>
    </row>
    <row r="96" spans="1:43" x14ac:dyDescent="0.3">
      <c r="A96" t="s">
        <v>1412</v>
      </c>
      <c r="B96" t="s">
        <v>1397</v>
      </c>
      <c r="C96" t="str">
        <f t="shared" si="66"/>
        <v>HUIUEF</v>
      </c>
      <c r="D96" s="2">
        <v>11.859200000000001</v>
      </c>
      <c r="E96" s="7">
        <f>D96*VLOOKUP($A96,'EU Ref Sc 2020 Other industries'!$A$5:$AE$33,E$2)</f>
        <v>12.038867542607521</v>
      </c>
      <c r="F96" s="7">
        <f>E96*VLOOKUP($A96,'EU Ref Sc 2020 Other industries'!$A$5:$AE$33,F$2)</f>
        <v>12.218535085215041</v>
      </c>
      <c r="G96" s="7">
        <f>F96*VLOOKUP($A96,'EU Ref Sc 2020 Other industries'!$A$5:$AE$33,G$2)</f>
        <v>12.398202627822561</v>
      </c>
      <c r="H96" s="7">
        <f>G96*VLOOKUP($A96,'EU Ref Sc 2020 Other industries'!$A$5:$AE$33,H$2)</f>
        <v>12.577870170430083</v>
      </c>
      <c r="I96" s="7">
        <f>H96*VLOOKUP($A96,'EU Ref Sc 2020 Other industries'!$A$5:$AE$33,I$2)</f>
        <v>13.146233318406654</v>
      </c>
      <c r="J96" s="7">
        <f>I96*VLOOKUP($A96,'EU Ref Sc 2020 Other industries'!$A$5:$AE$33,J$2)</f>
        <v>13.714596466383226</v>
      </c>
      <c r="K96" s="7">
        <f>J96*VLOOKUP($A96,'EU Ref Sc 2020 Other industries'!$A$5:$AE$33,K$2)</f>
        <v>14.282959614359797</v>
      </c>
      <c r="L96" s="7">
        <f>K96*VLOOKUP($A96,'EU Ref Sc 2020 Other industries'!$A$5:$AE$33,L$2)</f>
        <v>14.851322762336368</v>
      </c>
      <c r="M96" s="7">
        <f>L96*VLOOKUP($A96,'EU Ref Sc 2020 Other industries'!$A$5:$AE$33,M$2)</f>
        <v>15.419685910312943</v>
      </c>
      <c r="N96" s="7">
        <f>M96*VLOOKUP($A96,'EU Ref Sc 2020 Other industries'!$A$5:$AE$33,N$2)</f>
        <v>15.480034349670847</v>
      </c>
      <c r="O96" s="7">
        <f>N96*VLOOKUP($A96,'EU Ref Sc 2020 Other industries'!$A$5:$AE$33,O$2)</f>
        <v>15.540382789028753</v>
      </c>
      <c r="P96" s="7">
        <f>O96*VLOOKUP($A96,'EU Ref Sc 2020 Other industries'!$A$5:$AE$33,P$2)</f>
        <v>15.600731228386657</v>
      </c>
      <c r="Q96" s="7">
        <f>P96*VLOOKUP($A96,'EU Ref Sc 2020 Other industries'!$A$5:$AE$33,Q$2)</f>
        <v>15.661079667744563</v>
      </c>
      <c r="R96" s="7">
        <f>Q96*VLOOKUP($A96,'EU Ref Sc 2020 Other industries'!$A$5:$AE$33,R$2)</f>
        <v>15.721428107102463</v>
      </c>
      <c r="S96" s="7">
        <f>R96*VLOOKUP($A96,'EU Ref Sc 2020 Other industries'!$A$5:$AE$33,S$2)</f>
        <v>15.642139682124277</v>
      </c>
      <c r="T96" s="7">
        <f>S96*VLOOKUP($A96,'EU Ref Sc 2020 Other industries'!$A$5:$AE$33,T$2)</f>
        <v>15.562851257146091</v>
      </c>
      <c r="U96" s="7">
        <f>T96*VLOOKUP($A96,'EU Ref Sc 2020 Other industries'!$A$5:$AE$33,U$2)</f>
        <v>15.483562832167905</v>
      </c>
      <c r="V96" s="7">
        <f>U96*VLOOKUP($A96,'EU Ref Sc 2020 Other industries'!$A$5:$AE$33,V$2)</f>
        <v>15.404274407189719</v>
      </c>
      <c r="W96" s="7">
        <f>V96*VLOOKUP($A96,'EU Ref Sc 2020 Other industries'!$A$5:$AE$33,W$2)</f>
        <v>15.32498598221154</v>
      </c>
      <c r="X96" s="7">
        <f>W96*VLOOKUP($A96,'EU Ref Sc 2020 Other industries'!$A$5:$AE$33,X$2)</f>
        <v>15.221940079014766</v>
      </c>
      <c r="Y96" s="7">
        <f>X96*VLOOKUP($A96,'EU Ref Sc 2020 Other industries'!$A$5:$AE$33,Y$2)</f>
        <v>15.118894175817992</v>
      </c>
      <c r="Z96" s="7">
        <f>Y96*VLOOKUP($A96,'EU Ref Sc 2020 Other industries'!$A$5:$AE$33,Z$2)</f>
        <v>15.015848272621218</v>
      </c>
      <c r="AA96" s="7">
        <f>Z96*VLOOKUP($A96,'EU Ref Sc 2020 Other industries'!$A$5:$AE$33,AA$2)</f>
        <v>14.912802369424444</v>
      </c>
      <c r="AB96" s="7">
        <f>AA96*VLOOKUP($A96,'EU Ref Sc 2020 Other industries'!$A$5:$AE$33,AB$2)</f>
        <v>14.809756466227666</v>
      </c>
      <c r="AC96" s="7">
        <f>AB96*VLOOKUP($A96,'EU Ref Sc 2020 Other industries'!$A$5:$AE$33,AC$2)</f>
        <v>14.976522224376437</v>
      </c>
      <c r="AD96" s="7">
        <f>AC96*VLOOKUP($A96,'EU Ref Sc 2020 Other industries'!$A$5:$AE$33,AD$2)</f>
        <v>15.143287982525205</v>
      </c>
      <c r="AE96" s="7">
        <f>AD96*VLOOKUP($A96,'EU Ref Sc 2020 Other industries'!$A$5:$AE$33,AE$2)</f>
        <v>15.310053740673972</v>
      </c>
      <c r="AF96" s="7">
        <f>AE96*VLOOKUP($A96,'EU Ref Sc 2020 Other industries'!$A$5:$AE$33,AF$2)</f>
        <v>15.47681949882274</v>
      </c>
      <c r="AG96" s="7">
        <f>AF96*VLOOKUP($A96,'EU Ref Sc 2020 Other industries'!$A$5:$AE$33,AG$2)</f>
        <v>15.643585256971511</v>
      </c>
      <c r="AH96" s="13">
        <f t="shared" ref="AH96:AQ96" si="95">AG96</f>
        <v>15.643585256971511</v>
      </c>
      <c r="AI96" s="13">
        <f t="shared" si="95"/>
        <v>15.643585256971511</v>
      </c>
      <c r="AJ96" s="13">
        <f t="shared" si="95"/>
        <v>15.643585256971511</v>
      </c>
      <c r="AK96" s="13">
        <f t="shared" si="95"/>
        <v>15.643585256971511</v>
      </c>
      <c r="AL96" s="13">
        <f t="shared" si="95"/>
        <v>15.643585256971511</v>
      </c>
      <c r="AM96" s="13">
        <f t="shared" si="95"/>
        <v>15.643585256971511</v>
      </c>
      <c r="AN96" s="13">
        <f t="shared" si="95"/>
        <v>15.643585256971511</v>
      </c>
      <c r="AO96" s="13">
        <f t="shared" si="95"/>
        <v>15.643585256971511</v>
      </c>
      <c r="AP96" s="13">
        <f t="shared" si="95"/>
        <v>15.643585256971511</v>
      </c>
      <c r="AQ96" s="13">
        <f t="shared" si="95"/>
        <v>15.643585256971511</v>
      </c>
    </row>
    <row r="97" spans="1:43" x14ac:dyDescent="0.3">
      <c r="A97" t="s">
        <v>1413</v>
      </c>
      <c r="B97" t="s">
        <v>1397</v>
      </c>
      <c r="C97" t="str">
        <f t="shared" si="66"/>
        <v>IEIUEF</v>
      </c>
      <c r="D97" s="2">
        <v>8.5447000000000006</v>
      </c>
      <c r="E97" s="7">
        <f>D97*VLOOKUP($A97,'EU Ref Sc 2020 Other industries'!$A$5:$AE$33,E$2)</f>
        <v>8.7817730684170137</v>
      </c>
      <c r="F97" s="7">
        <f>E97*VLOOKUP($A97,'EU Ref Sc 2020 Other industries'!$A$5:$AE$33,F$2)</f>
        <v>9.0188461368340267</v>
      </c>
      <c r="G97" s="7">
        <f>F97*VLOOKUP($A97,'EU Ref Sc 2020 Other industries'!$A$5:$AE$33,G$2)</f>
        <v>9.255919205251038</v>
      </c>
      <c r="H97" s="7">
        <f>G97*VLOOKUP($A97,'EU Ref Sc 2020 Other industries'!$A$5:$AE$33,H$2)</f>
        <v>9.4929922736680492</v>
      </c>
      <c r="I97" s="7">
        <f>H97*VLOOKUP($A97,'EU Ref Sc 2020 Other industries'!$A$5:$AE$33,I$2)</f>
        <v>9.6735849827431046</v>
      </c>
      <c r="J97" s="7">
        <f>I97*VLOOKUP($A97,'EU Ref Sc 2020 Other industries'!$A$5:$AE$33,J$2)</f>
        <v>9.8541776918181618</v>
      </c>
      <c r="K97" s="7">
        <f>J97*VLOOKUP($A97,'EU Ref Sc 2020 Other industries'!$A$5:$AE$33,K$2)</f>
        <v>10.034770400893219</v>
      </c>
      <c r="L97" s="7">
        <f>K97*VLOOKUP($A97,'EU Ref Sc 2020 Other industries'!$A$5:$AE$33,L$2)</f>
        <v>10.215363109968276</v>
      </c>
      <c r="M97" s="7">
        <f>L97*VLOOKUP($A97,'EU Ref Sc 2020 Other industries'!$A$5:$AE$33,M$2)</f>
        <v>10.395955819043332</v>
      </c>
      <c r="N97" s="7">
        <f>M97*VLOOKUP($A97,'EU Ref Sc 2020 Other industries'!$A$5:$AE$33,N$2)</f>
        <v>10.322835403721708</v>
      </c>
      <c r="O97" s="7">
        <f>N97*VLOOKUP($A97,'EU Ref Sc 2020 Other industries'!$A$5:$AE$33,O$2)</f>
        <v>10.249714988400084</v>
      </c>
      <c r="P97" s="7">
        <f>O97*VLOOKUP($A97,'EU Ref Sc 2020 Other industries'!$A$5:$AE$33,P$2)</f>
        <v>10.176594573078461</v>
      </c>
      <c r="Q97" s="7">
        <f>P97*VLOOKUP($A97,'EU Ref Sc 2020 Other industries'!$A$5:$AE$33,Q$2)</f>
        <v>10.103474157756837</v>
      </c>
      <c r="R97" s="7">
        <f>Q97*VLOOKUP($A97,'EU Ref Sc 2020 Other industries'!$A$5:$AE$33,R$2)</f>
        <v>10.03035374243521</v>
      </c>
      <c r="S97" s="7">
        <f>R97*VLOOKUP($A97,'EU Ref Sc 2020 Other industries'!$A$5:$AE$33,S$2)</f>
        <v>10.026074521043776</v>
      </c>
      <c r="T97" s="7">
        <f>S97*VLOOKUP($A97,'EU Ref Sc 2020 Other industries'!$A$5:$AE$33,T$2)</f>
        <v>10.021795299652343</v>
      </c>
      <c r="U97" s="7">
        <f>T97*VLOOKUP($A97,'EU Ref Sc 2020 Other industries'!$A$5:$AE$33,U$2)</f>
        <v>10.017516078260909</v>
      </c>
      <c r="V97" s="7">
        <f>U97*VLOOKUP($A97,'EU Ref Sc 2020 Other industries'!$A$5:$AE$33,V$2)</f>
        <v>10.013236856869476</v>
      </c>
      <c r="W97" s="7">
        <f>V97*VLOOKUP($A97,'EU Ref Sc 2020 Other industries'!$A$5:$AE$33,W$2)</f>
        <v>10.008957635478044</v>
      </c>
      <c r="X97" s="7">
        <f>W97*VLOOKUP($A97,'EU Ref Sc 2020 Other industries'!$A$5:$AE$33,X$2)</f>
        <v>10.026636245296391</v>
      </c>
      <c r="Y97" s="7">
        <f>X97*VLOOKUP($A97,'EU Ref Sc 2020 Other industries'!$A$5:$AE$33,Y$2)</f>
        <v>10.044314855114738</v>
      </c>
      <c r="Z97" s="7">
        <f>Y97*VLOOKUP($A97,'EU Ref Sc 2020 Other industries'!$A$5:$AE$33,Z$2)</f>
        <v>10.061993464933083</v>
      </c>
      <c r="AA97" s="7">
        <f>Z97*VLOOKUP($A97,'EU Ref Sc 2020 Other industries'!$A$5:$AE$33,AA$2)</f>
        <v>10.07967207475143</v>
      </c>
      <c r="AB97" s="7">
        <f>AA97*VLOOKUP($A97,'EU Ref Sc 2020 Other industries'!$A$5:$AE$33,AB$2)</f>
        <v>10.097350684569776</v>
      </c>
      <c r="AC97" s="7">
        <f>AB97*VLOOKUP($A97,'EU Ref Sc 2020 Other industries'!$A$5:$AE$33,AC$2)</f>
        <v>10.117056707600733</v>
      </c>
      <c r="AD97" s="7">
        <f>AC97*VLOOKUP($A97,'EU Ref Sc 2020 Other industries'!$A$5:$AE$33,AD$2)</f>
        <v>10.136762730631691</v>
      </c>
      <c r="AE97" s="7">
        <f>AD97*VLOOKUP($A97,'EU Ref Sc 2020 Other industries'!$A$5:$AE$33,AE$2)</f>
        <v>10.156468753662651</v>
      </c>
      <c r="AF97" s="7">
        <f>AE97*VLOOKUP($A97,'EU Ref Sc 2020 Other industries'!$A$5:$AE$33,AF$2)</f>
        <v>10.17617477669361</v>
      </c>
      <c r="AG97" s="7">
        <f>AF97*VLOOKUP($A97,'EU Ref Sc 2020 Other industries'!$A$5:$AE$33,AG$2)</f>
        <v>10.195880799724572</v>
      </c>
      <c r="AH97" s="13">
        <f t="shared" ref="AH97:AQ97" si="96">AG97</f>
        <v>10.195880799724572</v>
      </c>
      <c r="AI97" s="13">
        <f t="shared" si="96"/>
        <v>10.195880799724572</v>
      </c>
      <c r="AJ97" s="13">
        <f t="shared" si="96"/>
        <v>10.195880799724572</v>
      </c>
      <c r="AK97" s="13">
        <f t="shared" si="96"/>
        <v>10.195880799724572</v>
      </c>
      <c r="AL97" s="13">
        <f t="shared" si="96"/>
        <v>10.195880799724572</v>
      </c>
      <c r="AM97" s="13">
        <f t="shared" si="96"/>
        <v>10.195880799724572</v>
      </c>
      <c r="AN97" s="13">
        <f t="shared" si="96"/>
        <v>10.195880799724572</v>
      </c>
      <c r="AO97" s="13">
        <f t="shared" si="96"/>
        <v>10.195880799724572</v>
      </c>
      <c r="AP97" s="13">
        <f t="shared" si="96"/>
        <v>10.195880799724572</v>
      </c>
      <c r="AQ97" s="13">
        <f t="shared" si="96"/>
        <v>10.195880799724572</v>
      </c>
    </row>
    <row r="98" spans="1:43" x14ac:dyDescent="0.3">
      <c r="A98" t="s">
        <v>1415</v>
      </c>
      <c r="B98" t="s">
        <v>1397</v>
      </c>
      <c r="C98" t="str">
        <f t="shared" si="66"/>
        <v>LTIUEF</v>
      </c>
      <c r="D98" s="2">
        <v>3.1046</v>
      </c>
      <c r="E98" s="7">
        <f>D98*VLOOKUP($A98,'EU Ref Sc 2020 Other industries'!$A$5:$AE$33,E$2)</f>
        <v>3.1831640512826946</v>
      </c>
      <c r="F98" s="7">
        <f>E98*VLOOKUP($A98,'EU Ref Sc 2020 Other industries'!$A$5:$AE$33,F$2)</f>
        <v>3.2617281025653888</v>
      </c>
      <c r="G98" s="7">
        <f>F98*VLOOKUP($A98,'EU Ref Sc 2020 Other industries'!$A$5:$AE$33,G$2)</f>
        <v>3.340292153848083</v>
      </c>
      <c r="H98" s="7">
        <f>G98*VLOOKUP($A98,'EU Ref Sc 2020 Other industries'!$A$5:$AE$33,H$2)</f>
        <v>3.4188562051307785</v>
      </c>
      <c r="I98" s="7">
        <f>H98*VLOOKUP($A98,'EU Ref Sc 2020 Other industries'!$A$5:$AE$33,I$2)</f>
        <v>3.4158395772719925</v>
      </c>
      <c r="J98" s="7">
        <f>I98*VLOOKUP($A98,'EU Ref Sc 2020 Other industries'!$A$5:$AE$33,J$2)</f>
        <v>3.4128229494132061</v>
      </c>
      <c r="K98" s="7">
        <f>J98*VLOOKUP($A98,'EU Ref Sc 2020 Other industries'!$A$5:$AE$33,K$2)</f>
        <v>3.4098063215544197</v>
      </c>
      <c r="L98" s="7">
        <f>K98*VLOOKUP($A98,'EU Ref Sc 2020 Other industries'!$A$5:$AE$33,L$2)</f>
        <v>3.4067896936956337</v>
      </c>
      <c r="M98" s="7">
        <f>L98*VLOOKUP($A98,'EU Ref Sc 2020 Other industries'!$A$5:$AE$33,M$2)</f>
        <v>3.4037730658368477</v>
      </c>
      <c r="N98" s="7">
        <f>M98*VLOOKUP($A98,'EU Ref Sc 2020 Other industries'!$A$5:$AE$33,N$2)</f>
        <v>3.3566456534206033</v>
      </c>
      <c r="O98" s="7">
        <f>N98*VLOOKUP($A98,'EU Ref Sc 2020 Other industries'!$A$5:$AE$33,O$2)</f>
        <v>3.3095182410043589</v>
      </c>
      <c r="P98" s="7">
        <f>O98*VLOOKUP($A98,'EU Ref Sc 2020 Other industries'!$A$5:$AE$33,P$2)</f>
        <v>3.2623908285881145</v>
      </c>
      <c r="Q98" s="7">
        <f>P98*VLOOKUP($A98,'EU Ref Sc 2020 Other industries'!$A$5:$AE$33,Q$2)</f>
        <v>3.2152634161718701</v>
      </c>
      <c r="R98" s="7">
        <f>Q98*VLOOKUP($A98,'EU Ref Sc 2020 Other industries'!$A$5:$AE$33,R$2)</f>
        <v>3.1681360037556252</v>
      </c>
      <c r="S98" s="7">
        <f>R98*VLOOKUP($A98,'EU Ref Sc 2020 Other industries'!$A$5:$AE$33,S$2)</f>
        <v>3.1740023942680806</v>
      </c>
      <c r="T98" s="7">
        <f>S98*VLOOKUP($A98,'EU Ref Sc 2020 Other industries'!$A$5:$AE$33,T$2)</f>
        <v>3.179868784780536</v>
      </c>
      <c r="U98" s="7">
        <f>T98*VLOOKUP($A98,'EU Ref Sc 2020 Other industries'!$A$5:$AE$33,U$2)</f>
        <v>3.185735175292991</v>
      </c>
      <c r="V98" s="7">
        <f>U98*VLOOKUP($A98,'EU Ref Sc 2020 Other industries'!$A$5:$AE$33,V$2)</f>
        <v>3.191601565805446</v>
      </c>
      <c r="W98" s="7">
        <f>V98*VLOOKUP($A98,'EU Ref Sc 2020 Other industries'!$A$5:$AE$33,W$2)</f>
        <v>3.1974679563179018</v>
      </c>
      <c r="X98" s="7">
        <f>W98*VLOOKUP($A98,'EU Ref Sc 2020 Other industries'!$A$5:$AE$33,X$2)</f>
        <v>3.2474250513369074</v>
      </c>
      <c r="Y98" s="7">
        <f>X98*VLOOKUP($A98,'EU Ref Sc 2020 Other industries'!$A$5:$AE$33,Y$2)</f>
        <v>3.2973821463559125</v>
      </c>
      <c r="Z98" s="7">
        <f>Y98*VLOOKUP($A98,'EU Ref Sc 2020 Other industries'!$A$5:$AE$33,Z$2)</f>
        <v>3.3473392413749172</v>
      </c>
      <c r="AA98" s="7">
        <f>Z98*VLOOKUP($A98,'EU Ref Sc 2020 Other industries'!$A$5:$AE$33,AA$2)</f>
        <v>3.3972963363939228</v>
      </c>
      <c r="AB98" s="7">
        <f>AA98*VLOOKUP($A98,'EU Ref Sc 2020 Other industries'!$A$5:$AE$33,AB$2)</f>
        <v>3.4472534314129288</v>
      </c>
      <c r="AC98" s="7">
        <f>AB98*VLOOKUP($A98,'EU Ref Sc 2020 Other industries'!$A$5:$AE$33,AC$2)</f>
        <v>3.4530402155480555</v>
      </c>
      <c r="AD98" s="7">
        <f>AC98*VLOOKUP($A98,'EU Ref Sc 2020 Other industries'!$A$5:$AE$33,AD$2)</f>
        <v>3.4588269996831826</v>
      </c>
      <c r="AE98" s="7">
        <f>AD98*VLOOKUP($A98,'EU Ref Sc 2020 Other industries'!$A$5:$AE$33,AE$2)</f>
        <v>3.4646137838183098</v>
      </c>
      <c r="AF98" s="7">
        <f>AE98*VLOOKUP($A98,'EU Ref Sc 2020 Other industries'!$A$5:$AE$33,AF$2)</f>
        <v>3.4704005679534364</v>
      </c>
      <c r="AG98" s="7">
        <f>AF98*VLOOKUP($A98,'EU Ref Sc 2020 Other industries'!$A$5:$AE$33,AG$2)</f>
        <v>3.476187352088564</v>
      </c>
      <c r="AH98" s="13">
        <f t="shared" ref="AH98:AQ98" si="97">AG98</f>
        <v>3.476187352088564</v>
      </c>
      <c r="AI98" s="13">
        <f t="shared" si="97"/>
        <v>3.476187352088564</v>
      </c>
      <c r="AJ98" s="13">
        <f t="shared" si="97"/>
        <v>3.476187352088564</v>
      </c>
      <c r="AK98" s="13">
        <f t="shared" si="97"/>
        <v>3.476187352088564</v>
      </c>
      <c r="AL98" s="13">
        <f t="shared" si="97"/>
        <v>3.476187352088564</v>
      </c>
      <c r="AM98" s="13">
        <f t="shared" si="97"/>
        <v>3.476187352088564</v>
      </c>
      <c r="AN98" s="13">
        <f t="shared" si="97"/>
        <v>3.476187352088564</v>
      </c>
      <c r="AO98" s="13">
        <f t="shared" si="97"/>
        <v>3.476187352088564</v>
      </c>
      <c r="AP98" s="13">
        <f t="shared" si="97"/>
        <v>3.476187352088564</v>
      </c>
      <c r="AQ98" s="13">
        <f t="shared" si="97"/>
        <v>3.476187352088564</v>
      </c>
    </row>
    <row r="99" spans="1:43" x14ac:dyDescent="0.3">
      <c r="A99" t="s">
        <v>1417</v>
      </c>
      <c r="B99" t="s">
        <v>1397</v>
      </c>
      <c r="C99" t="str">
        <f t="shared" si="66"/>
        <v>LVIUEF</v>
      </c>
      <c r="D99" s="2">
        <v>1.3167</v>
      </c>
      <c r="E99" s="7">
        <f>D99*VLOOKUP($A99,'EU Ref Sc 2020 Other industries'!$A$5:$AE$33,E$2)</f>
        <v>1.3341775451978055</v>
      </c>
      <c r="F99" s="7">
        <f>E99*VLOOKUP($A99,'EU Ref Sc 2020 Other industries'!$A$5:$AE$33,F$2)</f>
        <v>1.351655090395611</v>
      </c>
      <c r="G99" s="7">
        <f>F99*VLOOKUP($A99,'EU Ref Sc 2020 Other industries'!$A$5:$AE$33,G$2)</f>
        <v>1.3691326355934168</v>
      </c>
      <c r="H99" s="7">
        <f>G99*VLOOKUP($A99,'EU Ref Sc 2020 Other industries'!$A$5:$AE$33,H$2)</f>
        <v>1.3866101807912221</v>
      </c>
      <c r="I99" s="7">
        <f>H99*VLOOKUP($A99,'EU Ref Sc 2020 Other industries'!$A$5:$AE$33,I$2)</f>
        <v>1.3875013710827016</v>
      </c>
      <c r="J99" s="7">
        <f>I99*VLOOKUP($A99,'EU Ref Sc 2020 Other industries'!$A$5:$AE$33,J$2)</f>
        <v>1.3883925613741808</v>
      </c>
      <c r="K99" s="7">
        <f>J99*VLOOKUP($A99,'EU Ref Sc 2020 Other industries'!$A$5:$AE$33,K$2)</f>
        <v>1.38928375166566</v>
      </c>
      <c r="L99" s="7">
        <f>K99*VLOOKUP($A99,'EU Ref Sc 2020 Other industries'!$A$5:$AE$33,L$2)</f>
        <v>1.3901749419571392</v>
      </c>
      <c r="M99" s="7">
        <f>L99*VLOOKUP($A99,'EU Ref Sc 2020 Other industries'!$A$5:$AE$33,M$2)</f>
        <v>1.391066132248618</v>
      </c>
      <c r="N99" s="7">
        <f>M99*VLOOKUP($A99,'EU Ref Sc 2020 Other industries'!$A$5:$AE$33,N$2)</f>
        <v>1.3933851728012205</v>
      </c>
      <c r="O99" s="7">
        <f>N99*VLOOKUP($A99,'EU Ref Sc 2020 Other industries'!$A$5:$AE$33,O$2)</f>
        <v>1.3957042133538231</v>
      </c>
      <c r="P99" s="7">
        <f>O99*VLOOKUP($A99,'EU Ref Sc 2020 Other industries'!$A$5:$AE$33,P$2)</f>
        <v>1.3980232539064257</v>
      </c>
      <c r="Q99" s="7">
        <f>P99*VLOOKUP($A99,'EU Ref Sc 2020 Other industries'!$A$5:$AE$33,Q$2)</f>
        <v>1.4003422944590282</v>
      </c>
      <c r="R99" s="7">
        <f>Q99*VLOOKUP($A99,'EU Ref Sc 2020 Other industries'!$A$5:$AE$33,R$2)</f>
        <v>1.4026613350116313</v>
      </c>
      <c r="S99" s="7">
        <f>R99*VLOOKUP($A99,'EU Ref Sc 2020 Other industries'!$A$5:$AE$33,S$2)</f>
        <v>1.3844333194736584</v>
      </c>
      <c r="T99" s="7">
        <f>S99*VLOOKUP($A99,'EU Ref Sc 2020 Other industries'!$A$5:$AE$33,T$2)</f>
        <v>1.3662053039356856</v>
      </c>
      <c r="U99" s="7">
        <f>T99*VLOOKUP($A99,'EU Ref Sc 2020 Other industries'!$A$5:$AE$33,U$2)</f>
        <v>1.3479772883977128</v>
      </c>
      <c r="V99" s="7">
        <f>U99*VLOOKUP($A99,'EU Ref Sc 2020 Other industries'!$A$5:$AE$33,V$2)</f>
        <v>1.32974927285974</v>
      </c>
      <c r="W99" s="7">
        <f>V99*VLOOKUP($A99,'EU Ref Sc 2020 Other industries'!$A$5:$AE$33,W$2)</f>
        <v>1.3115212573217672</v>
      </c>
      <c r="X99" s="7">
        <f>W99*VLOOKUP($A99,'EU Ref Sc 2020 Other industries'!$A$5:$AE$33,X$2)</f>
        <v>1.2961550057334856</v>
      </c>
      <c r="Y99" s="7">
        <f>X99*VLOOKUP($A99,'EU Ref Sc 2020 Other industries'!$A$5:$AE$33,Y$2)</f>
        <v>1.2807887541452041</v>
      </c>
      <c r="Z99" s="7">
        <f>Y99*VLOOKUP($A99,'EU Ref Sc 2020 Other industries'!$A$5:$AE$33,Z$2)</f>
        <v>1.2654225025569226</v>
      </c>
      <c r="AA99" s="7">
        <f>Z99*VLOOKUP($A99,'EU Ref Sc 2020 Other industries'!$A$5:$AE$33,AA$2)</f>
        <v>1.250056250968641</v>
      </c>
      <c r="AB99" s="7">
        <f>AA99*VLOOKUP($A99,'EU Ref Sc 2020 Other industries'!$A$5:$AE$33,AB$2)</f>
        <v>1.2346899993803599</v>
      </c>
      <c r="AC99" s="7">
        <f>AB99*VLOOKUP($A99,'EU Ref Sc 2020 Other industries'!$A$5:$AE$33,AC$2)</f>
        <v>1.2216923596452172</v>
      </c>
      <c r="AD99" s="7">
        <f>AC99*VLOOKUP($A99,'EU Ref Sc 2020 Other industries'!$A$5:$AE$33,AD$2)</f>
        <v>1.2086947199100744</v>
      </c>
      <c r="AE99" s="7">
        <f>AD99*VLOOKUP($A99,'EU Ref Sc 2020 Other industries'!$A$5:$AE$33,AE$2)</f>
        <v>1.1956970801749316</v>
      </c>
      <c r="AF99" s="7">
        <f>AE99*VLOOKUP($A99,'EU Ref Sc 2020 Other industries'!$A$5:$AE$33,AF$2)</f>
        <v>1.1826994404397888</v>
      </c>
      <c r="AG99" s="7">
        <f>AF99*VLOOKUP($A99,'EU Ref Sc 2020 Other industries'!$A$5:$AE$33,AG$2)</f>
        <v>1.1697018007046458</v>
      </c>
      <c r="AH99" s="13">
        <f t="shared" ref="AH99:AQ99" si="98">AG99</f>
        <v>1.1697018007046458</v>
      </c>
      <c r="AI99" s="13">
        <f t="shared" si="98"/>
        <v>1.1697018007046458</v>
      </c>
      <c r="AJ99" s="13">
        <f t="shared" si="98"/>
        <v>1.1697018007046458</v>
      </c>
      <c r="AK99" s="13">
        <f t="shared" si="98"/>
        <v>1.1697018007046458</v>
      </c>
      <c r="AL99" s="13">
        <f t="shared" si="98"/>
        <v>1.1697018007046458</v>
      </c>
      <c r="AM99" s="13">
        <f t="shared" si="98"/>
        <v>1.1697018007046458</v>
      </c>
      <c r="AN99" s="13">
        <f t="shared" si="98"/>
        <v>1.1697018007046458</v>
      </c>
      <c r="AO99" s="13">
        <f t="shared" si="98"/>
        <v>1.1697018007046458</v>
      </c>
      <c r="AP99" s="13">
        <f t="shared" si="98"/>
        <v>1.1697018007046458</v>
      </c>
      <c r="AQ99" s="13">
        <f t="shared" si="98"/>
        <v>1.1697018007046458</v>
      </c>
    </row>
    <row r="100" spans="1:43" x14ac:dyDescent="0.3">
      <c r="A100" t="s">
        <v>1419</v>
      </c>
      <c r="B100" t="s">
        <v>1397</v>
      </c>
      <c r="C100" t="str">
        <f t="shared" ref="C100:C129" si="99">A100&amp;"IUE"&amp;B100</f>
        <v>NLIUEF</v>
      </c>
      <c r="D100" s="2">
        <v>33.1693</v>
      </c>
      <c r="E100" s="7">
        <f>D100*VLOOKUP($A100,'EU Ref Sc 2020 Other industries'!$A$5:$AE$33,E$2)</f>
        <v>33.73781729201189</v>
      </c>
      <c r="F100" s="7">
        <f>E100*VLOOKUP($A100,'EU Ref Sc 2020 Other industries'!$A$5:$AE$33,F$2)</f>
        <v>34.30633458402378</v>
      </c>
      <c r="G100" s="7">
        <f>F100*VLOOKUP($A100,'EU Ref Sc 2020 Other industries'!$A$5:$AE$33,G$2)</f>
        <v>34.87485187603567</v>
      </c>
      <c r="H100" s="7">
        <f>G100*VLOOKUP($A100,'EU Ref Sc 2020 Other industries'!$A$5:$AE$33,H$2)</f>
        <v>35.443369168047553</v>
      </c>
      <c r="I100" s="7">
        <f>H100*VLOOKUP($A100,'EU Ref Sc 2020 Other industries'!$A$5:$AE$33,I$2)</f>
        <v>35.088850394793539</v>
      </c>
      <c r="J100" s="7">
        <f>I100*VLOOKUP($A100,'EU Ref Sc 2020 Other industries'!$A$5:$AE$33,J$2)</f>
        <v>34.734331621539518</v>
      </c>
      <c r="K100" s="7">
        <f>J100*VLOOKUP($A100,'EU Ref Sc 2020 Other industries'!$A$5:$AE$33,K$2)</f>
        <v>34.379812848285503</v>
      </c>
      <c r="L100" s="7">
        <f>K100*VLOOKUP($A100,'EU Ref Sc 2020 Other industries'!$A$5:$AE$33,L$2)</f>
        <v>34.025294075031489</v>
      </c>
      <c r="M100" s="7">
        <f>L100*VLOOKUP($A100,'EU Ref Sc 2020 Other industries'!$A$5:$AE$33,M$2)</f>
        <v>33.670775301777482</v>
      </c>
      <c r="N100" s="7">
        <f>M100*VLOOKUP($A100,'EU Ref Sc 2020 Other industries'!$A$5:$AE$33,N$2)</f>
        <v>33.193281545409143</v>
      </c>
      <c r="O100" s="7">
        <f>N100*VLOOKUP($A100,'EU Ref Sc 2020 Other industries'!$A$5:$AE$33,O$2)</f>
        <v>32.715787789040803</v>
      </c>
      <c r="P100" s="7">
        <f>O100*VLOOKUP($A100,'EU Ref Sc 2020 Other industries'!$A$5:$AE$33,P$2)</f>
        <v>32.238294032672457</v>
      </c>
      <c r="Q100" s="7">
        <f>P100*VLOOKUP($A100,'EU Ref Sc 2020 Other industries'!$A$5:$AE$33,Q$2)</f>
        <v>31.760800276304114</v>
      </c>
      <c r="R100" s="7">
        <f>Q100*VLOOKUP($A100,'EU Ref Sc 2020 Other industries'!$A$5:$AE$33,R$2)</f>
        <v>31.28330651993577</v>
      </c>
      <c r="S100" s="7">
        <f>R100*VLOOKUP($A100,'EU Ref Sc 2020 Other industries'!$A$5:$AE$33,S$2)</f>
        <v>31.392462771742149</v>
      </c>
      <c r="T100" s="7">
        <f>S100*VLOOKUP($A100,'EU Ref Sc 2020 Other industries'!$A$5:$AE$33,T$2)</f>
        <v>31.501619023548528</v>
      </c>
      <c r="U100" s="7">
        <f>T100*VLOOKUP($A100,'EU Ref Sc 2020 Other industries'!$A$5:$AE$33,U$2)</f>
        <v>31.610775275354911</v>
      </c>
      <c r="V100" s="7">
        <f>U100*VLOOKUP($A100,'EU Ref Sc 2020 Other industries'!$A$5:$AE$33,V$2)</f>
        <v>31.719931527161286</v>
      </c>
      <c r="W100" s="7">
        <f>V100*VLOOKUP($A100,'EU Ref Sc 2020 Other industries'!$A$5:$AE$33,W$2)</f>
        <v>31.829087778967668</v>
      </c>
      <c r="X100" s="7">
        <f>W100*VLOOKUP($A100,'EU Ref Sc 2020 Other industries'!$A$5:$AE$33,X$2)</f>
        <v>32.096992086682747</v>
      </c>
      <c r="Y100" s="7">
        <f>X100*VLOOKUP($A100,'EU Ref Sc 2020 Other industries'!$A$5:$AE$33,Y$2)</f>
        <v>32.364896394397832</v>
      </c>
      <c r="Z100" s="7">
        <f>Y100*VLOOKUP($A100,'EU Ref Sc 2020 Other industries'!$A$5:$AE$33,Z$2)</f>
        <v>32.632800702112917</v>
      </c>
      <c r="AA100" s="7">
        <f>Z100*VLOOKUP($A100,'EU Ref Sc 2020 Other industries'!$A$5:$AE$33,AA$2)</f>
        <v>32.900705009828002</v>
      </c>
      <c r="AB100" s="7">
        <f>AA100*VLOOKUP($A100,'EU Ref Sc 2020 Other industries'!$A$5:$AE$33,AB$2)</f>
        <v>33.168609317543094</v>
      </c>
      <c r="AC100" s="7">
        <f>AB100*VLOOKUP($A100,'EU Ref Sc 2020 Other industries'!$A$5:$AE$33,AC$2)</f>
        <v>33.538781642487486</v>
      </c>
      <c r="AD100" s="7">
        <f>AC100*VLOOKUP($A100,'EU Ref Sc 2020 Other industries'!$A$5:$AE$33,AD$2)</f>
        <v>33.908953967431877</v>
      </c>
      <c r="AE100" s="7">
        <f>AD100*VLOOKUP($A100,'EU Ref Sc 2020 Other industries'!$A$5:$AE$33,AE$2)</f>
        <v>34.279126292376269</v>
      </c>
      <c r="AF100" s="7">
        <f>AE100*VLOOKUP($A100,'EU Ref Sc 2020 Other industries'!$A$5:$AE$33,AF$2)</f>
        <v>34.64929861732066</v>
      </c>
      <c r="AG100" s="7">
        <f>AF100*VLOOKUP($A100,'EU Ref Sc 2020 Other industries'!$A$5:$AE$33,AG$2)</f>
        <v>35.019470942265052</v>
      </c>
      <c r="AH100" s="13">
        <f t="shared" ref="AH100:AQ100" si="100">AG100</f>
        <v>35.019470942265052</v>
      </c>
      <c r="AI100" s="13">
        <f t="shared" si="100"/>
        <v>35.019470942265052</v>
      </c>
      <c r="AJ100" s="13">
        <f t="shared" si="100"/>
        <v>35.019470942265052</v>
      </c>
      <c r="AK100" s="13">
        <f t="shared" si="100"/>
        <v>35.019470942265052</v>
      </c>
      <c r="AL100" s="13">
        <f t="shared" si="100"/>
        <v>35.019470942265052</v>
      </c>
      <c r="AM100" s="13">
        <f t="shared" si="100"/>
        <v>35.019470942265052</v>
      </c>
      <c r="AN100" s="13">
        <f t="shared" si="100"/>
        <v>35.019470942265052</v>
      </c>
      <c r="AO100" s="13">
        <f t="shared" si="100"/>
        <v>35.019470942265052</v>
      </c>
      <c r="AP100" s="13">
        <f t="shared" si="100"/>
        <v>35.019470942265052</v>
      </c>
      <c r="AQ100" s="13">
        <f t="shared" si="100"/>
        <v>35.019470942265052</v>
      </c>
    </row>
    <row r="101" spans="1:43" x14ac:dyDescent="0.3">
      <c r="A101" t="s">
        <v>1420</v>
      </c>
      <c r="B101" t="s">
        <v>1397</v>
      </c>
      <c r="C101" t="str">
        <f t="shared" si="99"/>
        <v>PLIUEF</v>
      </c>
      <c r="D101" s="2">
        <v>35.516200000000005</v>
      </c>
      <c r="E101" s="7">
        <f>D101*VLOOKUP($A101,'EU Ref Sc 2020 Other industries'!$A$5:$AE$33,E$2)</f>
        <v>35.565487349700085</v>
      </c>
      <c r="F101" s="7">
        <f>E101*VLOOKUP($A101,'EU Ref Sc 2020 Other industries'!$A$5:$AE$33,F$2)</f>
        <v>35.614774699400172</v>
      </c>
      <c r="G101" s="7">
        <f>F101*VLOOKUP($A101,'EU Ref Sc 2020 Other industries'!$A$5:$AE$33,G$2)</f>
        <v>35.664062049100259</v>
      </c>
      <c r="H101" s="7">
        <f>G101*VLOOKUP($A101,'EU Ref Sc 2020 Other industries'!$A$5:$AE$33,H$2)</f>
        <v>35.713349398800354</v>
      </c>
      <c r="I101" s="7">
        <f>H101*VLOOKUP($A101,'EU Ref Sc 2020 Other industries'!$A$5:$AE$33,I$2)</f>
        <v>36.617290028400063</v>
      </c>
      <c r="J101" s="7">
        <f>I101*VLOOKUP($A101,'EU Ref Sc 2020 Other industries'!$A$5:$AE$33,J$2)</f>
        <v>37.521230657999766</v>
      </c>
      <c r="K101" s="7">
        <f>J101*VLOOKUP($A101,'EU Ref Sc 2020 Other industries'!$A$5:$AE$33,K$2)</f>
        <v>38.425171287599476</v>
      </c>
      <c r="L101" s="7">
        <f>K101*VLOOKUP($A101,'EU Ref Sc 2020 Other industries'!$A$5:$AE$33,L$2)</f>
        <v>39.329111917199178</v>
      </c>
      <c r="M101" s="7">
        <f>L101*VLOOKUP($A101,'EU Ref Sc 2020 Other industries'!$A$5:$AE$33,M$2)</f>
        <v>40.233052546798895</v>
      </c>
      <c r="N101" s="7">
        <f>M101*VLOOKUP($A101,'EU Ref Sc 2020 Other industries'!$A$5:$AE$33,N$2)</f>
        <v>40.425670891485005</v>
      </c>
      <c r="O101" s="7">
        <f>N101*VLOOKUP($A101,'EU Ref Sc 2020 Other industries'!$A$5:$AE$33,O$2)</f>
        <v>40.618289236171115</v>
      </c>
      <c r="P101" s="7">
        <f>O101*VLOOKUP($A101,'EU Ref Sc 2020 Other industries'!$A$5:$AE$33,P$2)</f>
        <v>40.810907580857226</v>
      </c>
      <c r="Q101" s="7">
        <f>P101*VLOOKUP($A101,'EU Ref Sc 2020 Other industries'!$A$5:$AE$33,Q$2)</f>
        <v>41.003525925543336</v>
      </c>
      <c r="R101" s="7">
        <f>Q101*VLOOKUP($A101,'EU Ref Sc 2020 Other industries'!$A$5:$AE$33,R$2)</f>
        <v>41.196144270229439</v>
      </c>
      <c r="S101" s="7">
        <f>R101*VLOOKUP($A101,'EU Ref Sc 2020 Other industries'!$A$5:$AE$33,S$2)</f>
        <v>41.457813291519784</v>
      </c>
      <c r="T101" s="7">
        <f>S101*VLOOKUP($A101,'EU Ref Sc 2020 Other industries'!$A$5:$AE$33,T$2)</f>
        <v>41.719482312810129</v>
      </c>
      <c r="U101" s="7">
        <f>T101*VLOOKUP($A101,'EU Ref Sc 2020 Other industries'!$A$5:$AE$33,U$2)</f>
        <v>41.981151334100474</v>
      </c>
      <c r="V101" s="7">
        <f>U101*VLOOKUP($A101,'EU Ref Sc 2020 Other industries'!$A$5:$AE$33,V$2)</f>
        <v>42.242820355390819</v>
      </c>
      <c r="W101" s="7">
        <f>V101*VLOOKUP($A101,'EU Ref Sc 2020 Other industries'!$A$5:$AE$33,W$2)</f>
        <v>42.504489376681157</v>
      </c>
      <c r="X101" s="7">
        <f>W101*VLOOKUP($A101,'EU Ref Sc 2020 Other industries'!$A$5:$AE$33,X$2)</f>
        <v>42.576946175943142</v>
      </c>
      <c r="Y101" s="7">
        <f>X101*VLOOKUP($A101,'EU Ref Sc 2020 Other industries'!$A$5:$AE$33,Y$2)</f>
        <v>42.649402975205128</v>
      </c>
      <c r="Z101" s="7">
        <f>Y101*VLOOKUP($A101,'EU Ref Sc 2020 Other industries'!$A$5:$AE$33,Z$2)</f>
        <v>42.721859774467113</v>
      </c>
      <c r="AA101" s="7">
        <f>Z101*VLOOKUP($A101,'EU Ref Sc 2020 Other industries'!$A$5:$AE$33,AA$2)</f>
        <v>42.794316573729098</v>
      </c>
      <c r="AB101" s="7">
        <f>AA101*VLOOKUP($A101,'EU Ref Sc 2020 Other industries'!$A$5:$AE$33,AB$2)</f>
        <v>42.866773372991084</v>
      </c>
      <c r="AC101" s="7">
        <f>AB101*VLOOKUP($A101,'EU Ref Sc 2020 Other industries'!$A$5:$AE$33,AC$2)</f>
        <v>42.953148670053466</v>
      </c>
      <c r="AD101" s="7">
        <f>AC101*VLOOKUP($A101,'EU Ref Sc 2020 Other industries'!$A$5:$AE$33,AD$2)</f>
        <v>43.039523967115848</v>
      </c>
      <c r="AE101" s="7">
        <f>AD101*VLOOKUP($A101,'EU Ref Sc 2020 Other industries'!$A$5:$AE$33,AE$2)</f>
        <v>43.12589926417823</v>
      </c>
      <c r="AF101" s="7">
        <f>AE101*VLOOKUP($A101,'EU Ref Sc 2020 Other industries'!$A$5:$AE$33,AF$2)</f>
        <v>43.212274561240612</v>
      </c>
      <c r="AG101" s="7">
        <f>AF101*VLOOKUP($A101,'EU Ref Sc 2020 Other industries'!$A$5:$AE$33,AG$2)</f>
        <v>43.298649858303001</v>
      </c>
      <c r="AH101" s="13">
        <f t="shared" ref="AH101:AQ101" si="101">AG101</f>
        <v>43.298649858303001</v>
      </c>
      <c r="AI101" s="13">
        <f t="shared" si="101"/>
        <v>43.298649858303001</v>
      </c>
      <c r="AJ101" s="13">
        <f t="shared" si="101"/>
        <v>43.298649858303001</v>
      </c>
      <c r="AK101" s="13">
        <f t="shared" si="101"/>
        <v>43.298649858303001</v>
      </c>
      <c r="AL101" s="13">
        <f t="shared" si="101"/>
        <v>43.298649858303001</v>
      </c>
      <c r="AM101" s="13">
        <f t="shared" si="101"/>
        <v>43.298649858303001</v>
      </c>
      <c r="AN101" s="13">
        <f t="shared" si="101"/>
        <v>43.298649858303001</v>
      </c>
      <c r="AO101" s="13">
        <f t="shared" si="101"/>
        <v>43.298649858303001</v>
      </c>
      <c r="AP101" s="13">
        <f t="shared" si="101"/>
        <v>43.298649858303001</v>
      </c>
      <c r="AQ101" s="13">
        <f t="shared" si="101"/>
        <v>43.298649858303001</v>
      </c>
    </row>
    <row r="102" spans="1:43" x14ac:dyDescent="0.3">
      <c r="A102" t="s">
        <v>1421</v>
      </c>
      <c r="B102" t="s">
        <v>1397</v>
      </c>
      <c r="C102" t="str">
        <f t="shared" si="99"/>
        <v>PTIUEF</v>
      </c>
      <c r="D102" s="2">
        <v>7.6453000000000007</v>
      </c>
      <c r="E102" s="7">
        <f>D102*VLOOKUP($A102,'EU Ref Sc 2020 Other industries'!$A$5:$AE$33,E$2)</f>
        <v>7.6814320549404052</v>
      </c>
      <c r="F102" s="7">
        <f>E102*VLOOKUP($A102,'EU Ref Sc 2020 Other industries'!$A$5:$AE$33,F$2)</f>
        <v>7.7175641098808105</v>
      </c>
      <c r="G102" s="7">
        <f>F102*VLOOKUP($A102,'EU Ref Sc 2020 Other industries'!$A$5:$AE$33,G$2)</f>
        <v>7.753696164821215</v>
      </c>
      <c r="H102" s="7">
        <f>G102*VLOOKUP($A102,'EU Ref Sc 2020 Other industries'!$A$5:$AE$33,H$2)</f>
        <v>7.7898282197616178</v>
      </c>
      <c r="I102" s="7">
        <f>H102*VLOOKUP($A102,'EU Ref Sc 2020 Other industries'!$A$5:$AE$33,I$2)</f>
        <v>7.7234998760731521</v>
      </c>
      <c r="J102" s="7">
        <f>I102*VLOOKUP($A102,'EU Ref Sc 2020 Other industries'!$A$5:$AE$33,J$2)</f>
        <v>7.6571715323846865</v>
      </c>
      <c r="K102" s="7">
        <f>J102*VLOOKUP($A102,'EU Ref Sc 2020 Other industries'!$A$5:$AE$33,K$2)</f>
        <v>7.5908431886962209</v>
      </c>
      <c r="L102" s="7">
        <f>K102*VLOOKUP($A102,'EU Ref Sc 2020 Other industries'!$A$5:$AE$33,L$2)</f>
        <v>7.5245148450077552</v>
      </c>
      <c r="M102" s="7">
        <f>L102*VLOOKUP($A102,'EU Ref Sc 2020 Other industries'!$A$5:$AE$33,M$2)</f>
        <v>7.4581865013192914</v>
      </c>
      <c r="N102" s="7">
        <f>M102*VLOOKUP($A102,'EU Ref Sc 2020 Other industries'!$A$5:$AE$33,N$2)</f>
        <v>7.3777233904827195</v>
      </c>
      <c r="O102" s="7">
        <f>N102*VLOOKUP($A102,'EU Ref Sc 2020 Other industries'!$A$5:$AE$33,O$2)</f>
        <v>7.2972602796461477</v>
      </c>
      <c r="P102" s="7">
        <f>O102*VLOOKUP($A102,'EU Ref Sc 2020 Other industries'!$A$5:$AE$33,P$2)</f>
        <v>7.2167971688095758</v>
      </c>
      <c r="Q102" s="7">
        <f>P102*VLOOKUP($A102,'EU Ref Sc 2020 Other industries'!$A$5:$AE$33,Q$2)</f>
        <v>7.1363340579730039</v>
      </c>
      <c r="R102" s="7">
        <f>Q102*VLOOKUP($A102,'EU Ref Sc 2020 Other industries'!$A$5:$AE$33,R$2)</f>
        <v>7.0558709471364338</v>
      </c>
      <c r="S102" s="7">
        <f>R102*VLOOKUP($A102,'EU Ref Sc 2020 Other industries'!$A$5:$AE$33,S$2)</f>
        <v>7.0566483037496361</v>
      </c>
      <c r="T102" s="7">
        <f>S102*VLOOKUP($A102,'EU Ref Sc 2020 Other industries'!$A$5:$AE$33,T$2)</f>
        <v>7.0574256603628394</v>
      </c>
      <c r="U102" s="7">
        <f>T102*VLOOKUP($A102,'EU Ref Sc 2020 Other industries'!$A$5:$AE$33,U$2)</f>
        <v>7.0582030169760417</v>
      </c>
      <c r="V102" s="7">
        <f>U102*VLOOKUP($A102,'EU Ref Sc 2020 Other industries'!$A$5:$AE$33,V$2)</f>
        <v>7.0589803735892449</v>
      </c>
      <c r="W102" s="7">
        <f>V102*VLOOKUP($A102,'EU Ref Sc 2020 Other industries'!$A$5:$AE$33,W$2)</f>
        <v>7.0597577302024446</v>
      </c>
      <c r="X102" s="7">
        <f>W102*VLOOKUP($A102,'EU Ref Sc 2020 Other industries'!$A$5:$AE$33,X$2)</f>
        <v>7.029115607893698</v>
      </c>
      <c r="Y102" s="7">
        <f>X102*VLOOKUP($A102,'EU Ref Sc 2020 Other industries'!$A$5:$AE$33,Y$2)</f>
        <v>6.9984734855849524</v>
      </c>
      <c r="Z102" s="7">
        <f>Y102*VLOOKUP($A102,'EU Ref Sc 2020 Other industries'!$A$5:$AE$33,Z$2)</f>
        <v>6.9678313632762059</v>
      </c>
      <c r="AA102" s="7">
        <f>Z102*VLOOKUP($A102,'EU Ref Sc 2020 Other industries'!$A$5:$AE$33,AA$2)</f>
        <v>6.9371892409674594</v>
      </c>
      <c r="AB102" s="7">
        <f>AA102*VLOOKUP($A102,'EU Ref Sc 2020 Other industries'!$A$5:$AE$33,AB$2)</f>
        <v>6.9065471186587146</v>
      </c>
      <c r="AC102" s="7">
        <f>AB102*VLOOKUP($A102,'EU Ref Sc 2020 Other industries'!$A$5:$AE$33,AC$2)</f>
        <v>6.8865368179356015</v>
      </c>
      <c r="AD102" s="7">
        <f>AC102*VLOOKUP($A102,'EU Ref Sc 2020 Other industries'!$A$5:$AE$33,AD$2)</f>
        <v>6.8665265172124874</v>
      </c>
      <c r="AE102" s="7">
        <f>AD102*VLOOKUP($A102,'EU Ref Sc 2020 Other industries'!$A$5:$AE$33,AE$2)</f>
        <v>6.8465162164893734</v>
      </c>
      <c r="AF102" s="7">
        <f>AE102*VLOOKUP($A102,'EU Ref Sc 2020 Other industries'!$A$5:$AE$33,AF$2)</f>
        <v>6.8265059157662593</v>
      </c>
      <c r="AG102" s="7">
        <f>AF102*VLOOKUP($A102,'EU Ref Sc 2020 Other industries'!$A$5:$AE$33,AG$2)</f>
        <v>6.806495615043147</v>
      </c>
      <c r="AH102" s="13">
        <f t="shared" ref="AH102:AQ102" si="102">AG102</f>
        <v>6.806495615043147</v>
      </c>
      <c r="AI102" s="13">
        <f t="shared" si="102"/>
        <v>6.806495615043147</v>
      </c>
      <c r="AJ102" s="13">
        <f t="shared" si="102"/>
        <v>6.806495615043147</v>
      </c>
      <c r="AK102" s="13">
        <f t="shared" si="102"/>
        <v>6.806495615043147</v>
      </c>
      <c r="AL102" s="13">
        <f t="shared" si="102"/>
        <v>6.806495615043147</v>
      </c>
      <c r="AM102" s="13">
        <f t="shared" si="102"/>
        <v>6.806495615043147</v>
      </c>
      <c r="AN102" s="13">
        <f t="shared" si="102"/>
        <v>6.806495615043147</v>
      </c>
      <c r="AO102" s="13">
        <f t="shared" si="102"/>
        <v>6.806495615043147</v>
      </c>
      <c r="AP102" s="13">
        <f t="shared" si="102"/>
        <v>6.806495615043147</v>
      </c>
      <c r="AQ102" s="13">
        <f t="shared" si="102"/>
        <v>6.806495615043147</v>
      </c>
    </row>
    <row r="103" spans="1:43" x14ac:dyDescent="0.3">
      <c r="A103" t="s">
        <v>1423</v>
      </c>
      <c r="B103" t="s">
        <v>1397</v>
      </c>
      <c r="C103" t="str">
        <f t="shared" si="99"/>
        <v>SEIUEF</v>
      </c>
      <c r="D103" s="2">
        <v>6.2166000000000006</v>
      </c>
      <c r="E103" s="7">
        <f>D103*VLOOKUP($A103,'EU Ref Sc 2020 Other industries'!$A$5:$AE$33,E$2)</f>
        <v>6.2408258743281051</v>
      </c>
      <c r="F103" s="7">
        <f>E103*VLOOKUP($A103,'EU Ref Sc 2020 Other industries'!$A$5:$AE$33,F$2)</f>
        <v>6.2650517486562087</v>
      </c>
      <c r="G103" s="7">
        <f>F103*VLOOKUP($A103,'EU Ref Sc 2020 Other industries'!$A$5:$AE$33,G$2)</f>
        <v>6.2892776229843133</v>
      </c>
      <c r="H103" s="7">
        <f>G103*VLOOKUP($A103,'EU Ref Sc 2020 Other industries'!$A$5:$AE$33,H$2)</f>
        <v>6.3135034973124178</v>
      </c>
      <c r="I103" s="7">
        <f>H103*VLOOKUP($A103,'EU Ref Sc 2020 Other industries'!$A$5:$AE$33,I$2)</f>
        <v>6.4077153620817304</v>
      </c>
      <c r="J103" s="7">
        <f>I103*VLOOKUP($A103,'EU Ref Sc 2020 Other industries'!$A$5:$AE$33,J$2)</f>
        <v>6.501927226851044</v>
      </c>
      <c r="K103" s="7">
        <f>J103*VLOOKUP($A103,'EU Ref Sc 2020 Other industries'!$A$5:$AE$33,K$2)</f>
        <v>6.5961390916203566</v>
      </c>
      <c r="L103" s="7">
        <f>K103*VLOOKUP($A103,'EU Ref Sc 2020 Other industries'!$A$5:$AE$33,L$2)</f>
        <v>6.6903509563896701</v>
      </c>
      <c r="M103" s="7">
        <f>L103*VLOOKUP($A103,'EU Ref Sc 2020 Other industries'!$A$5:$AE$33,M$2)</f>
        <v>6.7845628211589846</v>
      </c>
      <c r="N103" s="7">
        <f>M103*VLOOKUP($A103,'EU Ref Sc 2020 Other industries'!$A$5:$AE$33,N$2)</f>
        <v>6.7865671252210911</v>
      </c>
      <c r="O103" s="7">
        <f>N103*VLOOKUP($A103,'EU Ref Sc 2020 Other industries'!$A$5:$AE$33,O$2)</f>
        <v>6.7885714292831976</v>
      </c>
      <c r="P103" s="7">
        <f>O103*VLOOKUP($A103,'EU Ref Sc 2020 Other industries'!$A$5:$AE$33,P$2)</f>
        <v>6.7905757333453032</v>
      </c>
      <c r="Q103" s="7">
        <f>P103*VLOOKUP($A103,'EU Ref Sc 2020 Other industries'!$A$5:$AE$33,Q$2)</f>
        <v>6.7925800374074097</v>
      </c>
      <c r="R103" s="7">
        <f>Q103*VLOOKUP($A103,'EU Ref Sc 2020 Other industries'!$A$5:$AE$33,R$2)</f>
        <v>6.7945843414695162</v>
      </c>
      <c r="S103" s="7">
        <f>R103*VLOOKUP($A103,'EU Ref Sc 2020 Other industries'!$A$5:$AE$33,S$2)</f>
        <v>6.8153681255951462</v>
      </c>
      <c r="T103" s="7">
        <f>S103*VLOOKUP($A103,'EU Ref Sc 2020 Other industries'!$A$5:$AE$33,T$2)</f>
        <v>6.8361519097207752</v>
      </c>
      <c r="U103" s="7">
        <f>T103*VLOOKUP($A103,'EU Ref Sc 2020 Other industries'!$A$5:$AE$33,U$2)</f>
        <v>6.8569356938464043</v>
      </c>
      <c r="V103" s="7">
        <f>U103*VLOOKUP($A103,'EU Ref Sc 2020 Other industries'!$A$5:$AE$33,V$2)</f>
        <v>6.8777194779720343</v>
      </c>
      <c r="W103" s="7">
        <f>V103*VLOOKUP($A103,'EU Ref Sc 2020 Other industries'!$A$5:$AE$33,W$2)</f>
        <v>6.8985032620976607</v>
      </c>
      <c r="X103" s="7">
        <f>W103*VLOOKUP($A103,'EU Ref Sc 2020 Other industries'!$A$5:$AE$33,X$2)</f>
        <v>6.9704592856701186</v>
      </c>
      <c r="Y103" s="7">
        <f>X103*VLOOKUP($A103,'EU Ref Sc 2020 Other industries'!$A$5:$AE$33,Y$2)</f>
        <v>7.0424153092425765</v>
      </c>
      <c r="Z103" s="7">
        <f>Y103*VLOOKUP($A103,'EU Ref Sc 2020 Other industries'!$A$5:$AE$33,Z$2)</f>
        <v>7.1143713328150353</v>
      </c>
      <c r="AA103" s="7">
        <f>Z103*VLOOKUP($A103,'EU Ref Sc 2020 Other industries'!$A$5:$AE$33,AA$2)</f>
        <v>7.1863273563874941</v>
      </c>
      <c r="AB103" s="7">
        <f>AA103*VLOOKUP($A103,'EU Ref Sc 2020 Other industries'!$A$5:$AE$33,AB$2)</f>
        <v>7.2582833799599547</v>
      </c>
      <c r="AC103" s="7">
        <f>AB103*VLOOKUP($A103,'EU Ref Sc 2020 Other industries'!$A$5:$AE$33,AC$2)</f>
        <v>7.3255816506063924</v>
      </c>
      <c r="AD103" s="7">
        <f>AC103*VLOOKUP($A103,'EU Ref Sc 2020 Other industries'!$A$5:$AE$33,AD$2)</f>
        <v>7.3928799212528311</v>
      </c>
      <c r="AE103" s="7">
        <f>AD103*VLOOKUP($A103,'EU Ref Sc 2020 Other industries'!$A$5:$AE$33,AE$2)</f>
        <v>7.4601781918992689</v>
      </c>
      <c r="AF103" s="7">
        <f>AE103*VLOOKUP($A103,'EU Ref Sc 2020 Other industries'!$A$5:$AE$33,AF$2)</f>
        <v>7.5274764625457067</v>
      </c>
      <c r="AG103" s="7">
        <f>AF103*VLOOKUP($A103,'EU Ref Sc 2020 Other industries'!$A$5:$AE$33,AG$2)</f>
        <v>7.5947747331921436</v>
      </c>
      <c r="AH103" s="13">
        <f t="shared" ref="AH103:AQ103" si="103">AG103</f>
        <v>7.5947747331921436</v>
      </c>
      <c r="AI103" s="13">
        <f t="shared" si="103"/>
        <v>7.5947747331921436</v>
      </c>
      <c r="AJ103" s="13">
        <f t="shared" si="103"/>
        <v>7.5947747331921436</v>
      </c>
      <c r="AK103" s="13">
        <f t="shared" si="103"/>
        <v>7.5947747331921436</v>
      </c>
      <c r="AL103" s="13">
        <f t="shared" si="103"/>
        <v>7.5947747331921436</v>
      </c>
      <c r="AM103" s="13">
        <f t="shared" si="103"/>
        <v>7.5947747331921436</v>
      </c>
      <c r="AN103" s="13">
        <f t="shared" si="103"/>
        <v>7.5947747331921436</v>
      </c>
      <c r="AO103" s="13">
        <f t="shared" si="103"/>
        <v>7.5947747331921436</v>
      </c>
      <c r="AP103" s="13">
        <f t="shared" si="103"/>
        <v>7.5947747331921436</v>
      </c>
      <c r="AQ103" s="13">
        <f t="shared" si="103"/>
        <v>7.5947747331921436</v>
      </c>
    </row>
    <row r="104" spans="1:43" x14ac:dyDescent="0.3">
      <c r="A104" t="s">
        <v>1390</v>
      </c>
      <c r="B104" t="s">
        <v>1392</v>
      </c>
      <c r="C104" t="str">
        <f t="shared" si="99"/>
        <v>ATIUEC</v>
      </c>
      <c r="D104" s="2">
        <v>19.0304</v>
      </c>
      <c r="E104" s="12">
        <f>D104*VLOOKUP($A104,'EU Ref Sc 2020 Energy intensive'!$A$5:$AE$33,E$2)</f>
        <v>19.173443081117501</v>
      </c>
      <c r="F104" s="12">
        <f>E104*VLOOKUP($A104,'EU Ref Sc 2020 Energy intensive'!$A$5:$AE$33,F$2)</f>
        <v>19.316486162235002</v>
      </c>
      <c r="G104" s="12">
        <f>F104*VLOOKUP($A104,'EU Ref Sc 2020 Energy intensive'!$A$5:$AE$33,G$2)</f>
        <v>19.459529243352499</v>
      </c>
      <c r="H104" s="12">
        <f>G104*VLOOKUP($A104,'EU Ref Sc 2020 Energy intensive'!$A$5:$AE$33,H$2)</f>
        <v>19.602572324469993</v>
      </c>
      <c r="I104" s="12">
        <f>H104*VLOOKUP($A104,'EU Ref Sc 2020 Energy intensive'!$A$5:$AE$33,I$2)</f>
        <v>19.449616130331883</v>
      </c>
      <c r="J104" s="12">
        <f>I104*VLOOKUP($A104,'EU Ref Sc 2020 Energy intensive'!$A$5:$AE$33,J$2)</f>
        <v>19.296659936193773</v>
      </c>
      <c r="K104" s="12">
        <f>J104*VLOOKUP($A104,'EU Ref Sc 2020 Energy intensive'!$A$5:$AE$33,K$2)</f>
        <v>19.143703742055663</v>
      </c>
      <c r="L104" s="12">
        <f>K104*VLOOKUP($A104,'EU Ref Sc 2020 Energy intensive'!$A$5:$AE$33,L$2)</f>
        <v>18.990747547917554</v>
      </c>
      <c r="M104" s="12">
        <f>L104*VLOOKUP($A104,'EU Ref Sc 2020 Energy intensive'!$A$5:$AE$33,M$2)</f>
        <v>18.837791353779444</v>
      </c>
      <c r="N104" s="12">
        <f>M104*VLOOKUP($A104,'EU Ref Sc 2020 Energy intensive'!$A$5:$AE$33,N$2)</f>
        <v>18.624324783155693</v>
      </c>
      <c r="O104" s="12">
        <f>N104*VLOOKUP($A104,'EU Ref Sc 2020 Energy intensive'!$A$5:$AE$33,O$2)</f>
        <v>18.410858212531942</v>
      </c>
      <c r="P104" s="12">
        <f>O104*VLOOKUP($A104,'EU Ref Sc 2020 Energy intensive'!$A$5:$AE$33,P$2)</f>
        <v>18.197391641908194</v>
      </c>
      <c r="Q104" s="12">
        <f>P104*VLOOKUP($A104,'EU Ref Sc 2020 Energy intensive'!$A$5:$AE$33,Q$2)</f>
        <v>17.983925071284443</v>
      </c>
      <c r="R104" s="12">
        <f>Q104*VLOOKUP($A104,'EU Ref Sc 2020 Energy intensive'!$A$5:$AE$33,R$2)</f>
        <v>17.770458500660698</v>
      </c>
      <c r="S104" s="12">
        <f>R104*VLOOKUP($A104,'EU Ref Sc 2020 Energy intensive'!$A$5:$AE$33,S$2)</f>
        <v>17.601216590756614</v>
      </c>
      <c r="T104" s="12">
        <f>S104*VLOOKUP($A104,'EU Ref Sc 2020 Energy intensive'!$A$5:$AE$33,T$2)</f>
        <v>17.43197468085253</v>
      </c>
      <c r="U104" s="12">
        <f>T104*VLOOKUP($A104,'EU Ref Sc 2020 Energy intensive'!$A$5:$AE$33,U$2)</f>
        <v>17.262732770948446</v>
      </c>
      <c r="V104" s="12">
        <f>U104*VLOOKUP($A104,'EU Ref Sc 2020 Energy intensive'!$A$5:$AE$33,V$2)</f>
        <v>17.093490861044362</v>
      </c>
      <c r="W104" s="12">
        <f>V104*VLOOKUP($A104,'EU Ref Sc 2020 Energy intensive'!$A$5:$AE$33,W$2)</f>
        <v>16.924248951140285</v>
      </c>
      <c r="X104" s="12">
        <f>W104*VLOOKUP($A104,'EU Ref Sc 2020 Energy intensive'!$A$5:$AE$33,X$2)</f>
        <v>16.84570252040432</v>
      </c>
      <c r="Y104" s="12">
        <f>X104*VLOOKUP($A104,'EU Ref Sc 2020 Energy intensive'!$A$5:$AE$33,Y$2)</f>
        <v>16.767156089668354</v>
      </c>
      <c r="Z104" s="12">
        <f>Y104*VLOOKUP($A104,'EU Ref Sc 2020 Energy intensive'!$A$5:$AE$33,Z$2)</f>
        <v>16.688609658932389</v>
      </c>
      <c r="AA104" s="12">
        <f>Z104*VLOOKUP($A104,'EU Ref Sc 2020 Energy intensive'!$A$5:$AE$33,AA$2)</f>
        <v>16.610063228196424</v>
      </c>
      <c r="AB104" s="12">
        <f>AA104*VLOOKUP($A104,'EU Ref Sc 2020 Energy intensive'!$A$5:$AE$33,AB$2)</f>
        <v>16.531516797460462</v>
      </c>
      <c r="AC104" s="12">
        <f>AB104*VLOOKUP($A104,'EU Ref Sc 2020 Energy intensive'!$A$5:$AE$33,AC$2)</f>
        <v>16.490817007739292</v>
      </c>
      <c r="AD104" s="12">
        <f>AC104*VLOOKUP($A104,'EU Ref Sc 2020 Energy intensive'!$A$5:$AE$33,AD$2)</f>
        <v>16.450117218018121</v>
      </c>
      <c r="AE104" s="12">
        <f>AD104*VLOOKUP($A104,'EU Ref Sc 2020 Energy intensive'!$A$5:$AE$33,AE$2)</f>
        <v>16.409417428296951</v>
      </c>
      <c r="AF104" s="12">
        <f>AE104*VLOOKUP($A104,'EU Ref Sc 2020 Energy intensive'!$A$5:$AE$33,AF$2)</f>
        <v>16.368717638575781</v>
      </c>
      <c r="AG104" s="12">
        <f>AF104*VLOOKUP($A104,'EU Ref Sc 2020 Energy intensive'!$A$5:$AE$33,AG$2)</f>
        <v>16.328017848854614</v>
      </c>
      <c r="AH104" s="13">
        <f t="shared" ref="AH104:AQ104" si="104">AG104</f>
        <v>16.328017848854614</v>
      </c>
      <c r="AI104" s="13">
        <f t="shared" si="104"/>
        <v>16.328017848854614</v>
      </c>
      <c r="AJ104" s="13">
        <f t="shared" si="104"/>
        <v>16.328017848854614</v>
      </c>
      <c r="AK104" s="13">
        <f t="shared" si="104"/>
        <v>16.328017848854614</v>
      </c>
      <c r="AL104" s="13">
        <f t="shared" si="104"/>
        <v>16.328017848854614</v>
      </c>
      <c r="AM104" s="13">
        <f t="shared" si="104"/>
        <v>16.328017848854614</v>
      </c>
      <c r="AN104" s="13">
        <f t="shared" si="104"/>
        <v>16.328017848854614</v>
      </c>
      <c r="AO104" s="13">
        <f t="shared" si="104"/>
        <v>16.328017848854614</v>
      </c>
      <c r="AP104" s="13">
        <f t="shared" si="104"/>
        <v>16.328017848854614</v>
      </c>
      <c r="AQ104" s="13">
        <f t="shared" si="104"/>
        <v>16.328017848854614</v>
      </c>
    </row>
    <row r="105" spans="1:43" x14ac:dyDescent="0.3">
      <c r="A105" t="s">
        <v>1396</v>
      </c>
      <c r="B105" t="s">
        <v>1392</v>
      </c>
      <c r="C105" t="str">
        <f t="shared" si="99"/>
        <v>BEIUEC</v>
      </c>
      <c r="D105" s="2">
        <v>73.165400000000005</v>
      </c>
      <c r="E105" s="12">
        <f>D105*VLOOKUP($A105,'EU Ref Sc 2020 Energy intensive'!$A$5:$AE$33,E$2)</f>
        <v>75.518678504315687</v>
      </c>
      <c r="F105" s="12">
        <f>E105*VLOOKUP($A105,'EU Ref Sc 2020 Energy intensive'!$A$5:$AE$33,F$2)</f>
        <v>77.871957008631369</v>
      </c>
      <c r="G105" s="12">
        <f>F105*VLOOKUP($A105,'EU Ref Sc 2020 Energy intensive'!$A$5:$AE$33,G$2)</f>
        <v>80.225235512947052</v>
      </c>
      <c r="H105" s="12">
        <f>G105*VLOOKUP($A105,'EU Ref Sc 2020 Energy intensive'!$A$5:$AE$33,H$2)</f>
        <v>82.578514017262734</v>
      </c>
      <c r="I105" s="12">
        <f>H105*VLOOKUP($A105,'EU Ref Sc 2020 Energy intensive'!$A$5:$AE$33,I$2)</f>
        <v>85.077098821793484</v>
      </c>
      <c r="J105" s="12">
        <f>I105*VLOOKUP($A105,'EU Ref Sc 2020 Energy intensive'!$A$5:$AE$33,J$2)</f>
        <v>87.575683626324221</v>
      </c>
      <c r="K105" s="12">
        <f>J105*VLOOKUP($A105,'EU Ref Sc 2020 Energy intensive'!$A$5:$AE$33,K$2)</f>
        <v>90.074268430854971</v>
      </c>
      <c r="L105" s="12">
        <f>K105*VLOOKUP($A105,'EU Ref Sc 2020 Energy intensive'!$A$5:$AE$33,L$2)</f>
        <v>92.572853235385722</v>
      </c>
      <c r="M105" s="12">
        <f>L105*VLOOKUP($A105,'EU Ref Sc 2020 Energy intensive'!$A$5:$AE$33,M$2)</f>
        <v>95.071438039916515</v>
      </c>
      <c r="N105" s="12">
        <f>M105*VLOOKUP($A105,'EU Ref Sc 2020 Energy intensive'!$A$5:$AE$33,N$2)</f>
        <v>94.479571443694539</v>
      </c>
      <c r="O105" s="12">
        <f>N105*VLOOKUP($A105,'EU Ref Sc 2020 Energy intensive'!$A$5:$AE$33,O$2)</f>
        <v>93.887704847472563</v>
      </c>
      <c r="P105" s="12">
        <f>O105*VLOOKUP($A105,'EU Ref Sc 2020 Energy intensive'!$A$5:$AE$33,P$2)</f>
        <v>93.295838251250586</v>
      </c>
      <c r="Q105" s="12">
        <f>P105*VLOOKUP($A105,'EU Ref Sc 2020 Energy intensive'!$A$5:$AE$33,Q$2)</f>
        <v>92.70397165502861</v>
      </c>
      <c r="R105" s="12">
        <f>Q105*VLOOKUP($A105,'EU Ref Sc 2020 Energy intensive'!$A$5:$AE$33,R$2)</f>
        <v>92.112105058806634</v>
      </c>
      <c r="S105" s="12">
        <f>R105*VLOOKUP($A105,'EU Ref Sc 2020 Energy intensive'!$A$5:$AE$33,S$2)</f>
        <v>91.630717031974754</v>
      </c>
      <c r="T105" s="12">
        <f>S105*VLOOKUP($A105,'EU Ref Sc 2020 Energy intensive'!$A$5:$AE$33,T$2)</f>
        <v>91.149329005142874</v>
      </c>
      <c r="U105" s="12">
        <f>T105*VLOOKUP($A105,'EU Ref Sc 2020 Energy intensive'!$A$5:$AE$33,U$2)</f>
        <v>90.667940978310995</v>
      </c>
      <c r="V105" s="12">
        <f>U105*VLOOKUP($A105,'EU Ref Sc 2020 Energy intensive'!$A$5:$AE$33,V$2)</f>
        <v>90.186552951479115</v>
      </c>
      <c r="W105" s="12">
        <f>V105*VLOOKUP($A105,'EU Ref Sc 2020 Energy intensive'!$A$5:$AE$33,W$2)</f>
        <v>89.705164924647235</v>
      </c>
      <c r="X105" s="12">
        <f>W105*VLOOKUP($A105,'EU Ref Sc 2020 Energy intensive'!$A$5:$AE$33,X$2)</f>
        <v>89.690416646785522</v>
      </c>
      <c r="Y105" s="12">
        <f>X105*VLOOKUP($A105,'EU Ref Sc 2020 Energy intensive'!$A$5:$AE$33,Y$2)</f>
        <v>89.675668368923809</v>
      </c>
      <c r="Z105" s="12">
        <f>Y105*VLOOKUP($A105,'EU Ref Sc 2020 Energy intensive'!$A$5:$AE$33,Z$2)</f>
        <v>89.660920091062096</v>
      </c>
      <c r="AA105" s="12">
        <f>Z105*VLOOKUP($A105,'EU Ref Sc 2020 Energy intensive'!$A$5:$AE$33,AA$2)</f>
        <v>89.646171813200382</v>
      </c>
      <c r="AB105" s="12">
        <f>AA105*VLOOKUP($A105,'EU Ref Sc 2020 Energy intensive'!$A$5:$AE$33,AB$2)</f>
        <v>89.631423535338712</v>
      </c>
      <c r="AC105" s="12">
        <f>AB105*VLOOKUP($A105,'EU Ref Sc 2020 Energy intensive'!$A$5:$AE$33,AC$2)</f>
        <v>89.583932380239844</v>
      </c>
      <c r="AD105" s="12">
        <f>AC105*VLOOKUP($A105,'EU Ref Sc 2020 Energy intensive'!$A$5:$AE$33,AD$2)</f>
        <v>89.536441225140976</v>
      </c>
      <c r="AE105" s="12">
        <f>AD105*VLOOKUP($A105,'EU Ref Sc 2020 Energy intensive'!$A$5:$AE$33,AE$2)</f>
        <v>89.488950070042094</v>
      </c>
      <c r="AF105" s="12">
        <f>AE105*VLOOKUP($A105,'EU Ref Sc 2020 Energy intensive'!$A$5:$AE$33,AF$2)</f>
        <v>89.441458914943212</v>
      </c>
      <c r="AG105" s="12">
        <f>AF105*VLOOKUP($A105,'EU Ref Sc 2020 Energy intensive'!$A$5:$AE$33,AG$2)</f>
        <v>89.393967759844372</v>
      </c>
      <c r="AH105" s="13">
        <f t="shared" ref="AH105:AQ105" si="105">AG105</f>
        <v>89.393967759844372</v>
      </c>
      <c r="AI105" s="13">
        <f t="shared" si="105"/>
        <v>89.393967759844372</v>
      </c>
      <c r="AJ105" s="13">
        <f t="shared" si="105"/>
        <v>89.393967759844372</v>
      </c>
      <c r="AK105" s="13">
        <f t="shared" si="105"/>
        <v>89.393967759844372</v>
      </c>
      <c r="AL105" s="13">
        <f t="shared" si="105"/>
        <v>89.393967759844372</v>
      </c>
      <c r="AM105" s="13">
        <f t="shared" si="105"/>
        <v>89.393967759844372</v>
      </c>
      <c r="AN105" s="13">
        <f t="shared" si="105"/>
        <v>89.393967759844372</v>
      </c>
      <c r="AO105" s="13">
        <f t="shared" si="105"/>
        <v>89.393967759844372</v>
      </c>
      <c r="AP105" s="13">
        <f t="shared" si="105"/>
        <v>89.393967759844372</v>
      </c>
      <c r="AQ105" s="13">
        <f t="shared" si="105"/>
        <v>89.393967759844372</v>
      </c>
    </row>
    <row r="106" spans="1:43" x14ac:dyDescent="0.3">
      <c r="A106" t="s">
        <v>1398</v>
      </c>
      <c r="B106" t="s">
        <v>1392</v>
      </c>
      <c r="C106" t="str">
        <f t="shared" si="99"/>
        <v>BGIUEC</v>
      </c>
      <c r="D106" s="2">
        <v>15.275500000000003</v>
      </c>
      <c r="E106" s="12">
        <f>D106*VLOOKUP($A106,'EU Ref Sc 2020 Energy intensive'!$A$5:$AE$33,E$2)</f>
        <v>15.490159536662468</v>
      </c>
      <c r="F106" s="12">
        <f>E106*VLOOKUP($A106,'EU Ref Sc 2020 Energy intensive'!$A$5:$AE$33,F$2)</f>
        <v>15.704819073324931</v>
      </c>
      <c r="G106" s="12">
        <f>F106*VLOOKUP($A106,'EU Ref Sc 2020 Energy intensive'!$A$5:$AE$33,G$2)</f>
        <v>15.919478609987396</v>
      </c>
      <c r="H106" s="12">
        <f>G106*VLOOKUP($A106,'EU Ref Sc 2020 Energy intensive'!$A$5:$AE$33,H$2)</f>
        <v>16.134138146649857</v>
      </c>
      <c r="I106" s="12">
        <f>H106*VLOOKUP($A106,'EU Ref Sc 2020 Energy intensive'!$A$5:$AE$33,I$2)</f>
        <v>16.06278150639918</v>
      </c>
      <c r="J106" s="12">
        <f>I106*VLOOKUP($A106,'EU Ref Sc 2020 Energy intensive'!$A$5:$AE$33,J$2)</f>
        <v>15.991424866148503</v>
      </c>
      <c r="K106" s="12">
        <f>J106*VLOOKUP($A106,'EU Ref Sc 2020 Energy intensive'!$A$5:$AE$33,K$2)</f>
        <v>15.920068225897825</v>
      </c>
      <c r="L106" s="12">
        <f>K106*VLOOKUP($A106,'EU Ref Sc 2020 Energy intensive'!$A$5:$AE$33,L$2)</f>
        <v>15.848711585647148</v>
      </c>
      <c r="M106" s="12">
        <f>L106*VLOOKUP($A106,'EU Ref Sc 2020 Energy intensive'!$A$5:$AE$33,M$2)</f>
        <v>15.777354945396477</v>
      </c>
      <c r="N106" s="12">
        <f>M106*VLOOKUP($A106,'EU Ref Sc 2020 Energy intensive'!$A$5:$AE$33,N$2)</f>
        <v>15.46167496841068</v>
      </c>
      <c r="O106" s="12">
        <f>N106*VLOOKUP($A106,'EU Ref Sc 2020 Energy intensive'!$A$5:$AE$33,O$2)</f>
        <v>15.145994991424883</v>
      </c>
      <c r="P106" s="12">
        <f>O106*VLOOKUP($A106,'EU Ref Sc 2020 Energy intensive'!$A$5:$AE$33,P$2)</f>
        <v>14.830315014439087</v>
      </c>
      <c r="Q106" s="12">
        <f>P106*VLOOKUP($A106,'EU Ref Sc 2020 Energy intensive'!$A$5:$AE$33,Q$2)</f>
        <v>14.51463503745329</v>
      </c>
      <c r="R106" s="12">
        <f>Q106*VLOOKUP($A106,'EU Ref Sc 2020 Energy intensive'!$A$5:$AE$33,R$2)</f>
        <v>14.198955060467497</v>
      </c>
      <c r="S106" s="12">
        <f>R106*VLOOKUP($A106,'EU Ref Sc 2020 Energy intensive'!$A$5:$AE$33,S$2)</f>
        <v>14.105205238261085</v>
      </c>
      <c r="T106" s="12">
        <f>S106*VLOOKUP($A106,'EU Ref Sc 2020 Energy intensive'!$A$5:$AE$33,T$2)</f>
        <v>14.011455416054673</v>
      </c>
      <c r="U106" s="12">
        <f>T106*VLOOKUP($A106,'EU Ref Sc 2020 Energy intensive'!$A$5:$AE$33,U$2)</f>
        <v>13.917705593848261</v>
      </c>
      <c r="V106" s="12">
        <f>U106*VLOOKUP($A106,'EU Ref Sc 2020 Energy intensive'!$A$5:$AE$33,V$2)</f>
        <v>13.823955771641849</v>
      </c>
      <c r="W106" s="12">
        <f>V106*VLOOKUP($A106,'EU Ref Sc 2020 Energy intensive'!$A$5:$AE$33,W$2)</f>
        <v>13.730205949435435</v>
      </c>
      <c r="X106" s="12">
        <f>W106*VLOOKUP($A106,'EU Ref Sc 2020 Energy intensive'!$A$5:$AE$33,X$2)</f>
        <v>13.703954464094783</v>
      </c>
      <c r="Y106" s="12">
        <f>X106*VLOOKUP($A106,'EU Ref Sc 2020 Energy intensive'!$A$5:$AE$33,Y$2)</f>
        <v>13.677702978754132</v>
      </c>
      <c r="Z106" s="12">
        <f>Y106*VLOOKUP($A106,'EU Ref Sc 2020 Energy intensive'!$A$5:$AE$33,Z$2)</f>
        <v>13.651451493413481</v>
      </c>
      <c r="AA106" s="12">
        <f>Z106*VLOOKUP($A106,'EU Ref Sc 2020 Energy intensive'!$A$5:$AE$33,AA$2)</f>
        <v>13.625200008072829</v>
      </c>
      <c r="AB106" s="12">
        <f>AA106*VLOOKUP($A106,'EU Ref Sc 2020 Energy intensive'!$A$5:$AE$33,AB$2)</f>
        <v>13.598948522732179</v>
      </c>
      <c r="AC106" s="12">
        <f>AB106*VLOOKUP($A106,'EU Ref Sc 2020 Energy intensive'!$A$5:$AE$33,AC$2)</f>
        <v>13.556067953217999</v>
      </c>
      <c r="AD106" s="12">
        <f>AC106*VLOOKUP($A106,'EU Ref Sc 2020 Energy intensive'!$A$5:$AE$33,AD$2)</f>
        <v>13.513187383703819</v>
      </c>
      <c r="AE106" s="12">
        <f>AD106*VLOOKUP($A106,'EU Ref Sc 2020 Energy intensive'!$A$5:$AE$33,AE$2)</f>
        <v>13.470306814189639</v>
      </c>
      <c r="AF106" s="12">
        <f>AE106*VLOOKUP($A106,'EU Ref Sc 2020 Energy intensive'!$A$5:$AE$33,AF$2)</f>
        <v>13.427426244675459</v>
      </c>
      <c r="AG106" s="12">
        <f>AF106*VLOOKUP($A106,'EU Ref Sc 2020 Energy intensive'!$A$5:$AE$33,AG$2)</f>
        <v>13.384545675161274</v>
      </c>
      <c r="AH106" s="13">
        <f t="shared" ref="AH106:AQ106" si="106">AG106</f>
        <v>13.384545675161274</v>
      </c>
      <c r="AI106" s="13">
        <f t="shared" si="106"/>
        <v>13.384545675161274</v>
      </c>
      <c r="AJ106" s="13">
        <f t="shared" si="106"/>
        <v>13.384545675161274</v>
      </c>
      <c r="AK106" s="13">
        <f t="shared" si="106"/>
        <v>13.384545675161274</v>
      </c>
      <c r="AL106" s="13">
        <f t="shared" si="106"/>
        <v>13.384545675161274</v>
      </c>
      <c r="AM106" s="13">
        <f t="shared" si="106"/>
        <v>13.384545675161274</v>
      </c>
      <c r="AN106" s="13">
        <f t="shared" si="106"/>
        <v>13.384545675161274</v>
      </c>
      <c r="AO106" s="13">
        <f t="shared" si="106"/>
        <v>13.384545675161274</v>
      </c>
      <c r="AP106" s="13">
        <f t="shared" si="106"/>
        <v>13.384545675161274</v>
      </c>
      <c r="AQ106" s="13">
        <f t="shared" si="106"/>
        <v>13.384545675161274</v>
      </c>
    </row>
    <row r="107" spans="1:43" x14ac:dyDescent="0.3">
      <c r="A107" t="s">
        <v>1401</v>
      </c>
      <c r="B107" t="s">
        <v>1392</v>
      </c>
      <c r="C107" t="str">
        <f t="shared" si="99"/>
        <v>CZIUEC</v>
      </c>
      <c r="D107" s="2">
        <v>19.103400000000001</v>
      </c>
      <c r="E107" s="12">
        <f>D107*VLOOKUP($A107,'EU Ref Sc 2020 Energy intensive'!$A$5:$AE$33,E$2)</f>
        <v>19.150330110769854</v>
      </c>
      <c r="F107" s="12">
        <f>E107*VLOOKUP($A107,'EU Ref Sc 2020 Energy intensive'!$A$5:$AE$33,F$2)</f>
        <v>19.197260221539707</v>
      </c>
      <c r="G107" s="12">
        <f>F107*VLOOKUP($A107,'EU Ref Sc 2020 Energy intensive'!$A$5:$AE$33,G$2)</f>
        <v>19.244190332309561</v>
      </c>
      <c r="H107" s="12">
        <f>G107*VLOOKUP($A107,'EU Ref Sc 2020 Energy intensive'!$A$5:$AE$33,H$2)</f>
        <v>19.291120443079414</v>
      </c>
      <c r="I107" s="12">
        <f>H107*VLOOKUP($A107,'EU Ref Sc 2020 Energy intensive'!$A$5:$AE$33,I$2)</f>
        <v>18.929249791838703</v>
      </c>
      <c r="J107" s="12">
        <f>I107*VLOOKUP($A107,'EU Ref Sc 2020 Energy intensive'!$A$5:$AE$33,J$2)</f>
        <v>18.567379140597993</v>
      </c>
      <c r="K107" s="12">
        <f>J107*VLOOKUP($A107,'EU Ref Sc 2020 Energy intensive'!$A$5:$AE$33,K$2)</f>
        <v>18.205508489357282</v>
      </c>
      <c r="L107" s="12">
        <f>K107*VLOOKUP($A107,'EU Ref Sc 2020 Energy intensive'!$A$5:$AE$33,L$2)</f>
        <v>17.843637838116571</v>
      </c>
      <c r="M107" s="12">
        <f>L107*VLOOKUP($A107,'EU Ref Sc 2020 Energy intensive'!$A$5:$AE$33,M$2)</f>
        <v>17.481767186875864</v>
      </c>
      <c r="N107" s="12">
        <f>M107*VLOOKUP($A107,'EU Ref Sc 2020 Energy intensive'!$A$5:$AE$33,N$2)</f>
        <v>17.312118300921526</v>
      </c>
      <c r="O107" s="12">
        <f>N107*VLOOKUP($A107,'EU Ref Sc 2020 Energy intensive'!$A$5:$AE$33,O$2)</f>
        <v>17.142469414967188</v>
      </c>
      <c r="P107" s="12">
        <f>O107*VLOOKUP($A107,'EU Ref Sc 2020 Energy intensive'!$A$5:$AE$33,P$2)</f>
        <v>16.97282052901285</v>
      </c>
      <c r="Q107" s="12">
        <f>P107*VLOOKUP($A107,'EU Ref Sc 2020 Energy intensive'!$A$5:$AE$33,Q$2)</f>
        <v>16.803171643058512</v>
      </c>
      <c r="R107" s="12">
        <f>Q107*VLOOKUP($A107,'EU Ref Sc 2020 Energy intensive'!$A$5:$AE$33,R$2)</f>
        <v>16.633522757104178</v>
      </c>
      <c r="S107" s="12">
        <f>R107*VLOOKUP($A107,'EU Ref Sc 2020 Energy intensive'!$A$5:$AE$33,S$2)</f>
        <v>16.52747011019791</v>
      </c>
      <c r="T107" s="12">
        <f>S107*VLOOKUP($A107,'EU Ref Sc 2020 Energy intensive'!$A$5:$AE$33,T$2)</f>
        <v>16.421417463291647</v>
      </c>
      <c r="U107" s="12">
        <f>T107*VLOOKUP($A107,'EU Ref Sc 2020 Energy intensive'!$A$5:$AE$33,U$2)</f>
        <v>16.315364816385383</v>
      </c>
      <c r="V107" s="12">
        <f>U107*VLOOKUP($A107,'EU Ref Sc 2020 Energy intensive'!$A$5:$AE$33,V$2)</f>
        <v>16.209312169479119</v>
      </c>
      <c r="W107" s="12">
        <f>V107*VLOOKUP($A107,'EU Ref Sc 2020 Energy intensive'!$A$5:$AE$33,W$2)</f>
        <v>16.103259522572856</v>
      </c>
      <c r="X107" s="12">
        <f>W107*VLOOKUP($A107,'EU Ref Sc 2020 Energy intensive'!$A$5:$AE$33,X$2)</f>
        <v>15.971732491357825</v>
      </c>
      <c r="Y107" s="12">
        <f>X107*VLOOKUP($A107,'EU Ref Sc 2020 Energy intensive'!$A$5:$AE$33,Y$2)</f>
        <v>15.840205460142794</v>
      </c>
      <c r="Z107" s="12">
        <f>Y107*VLOOKUP($A107,'EU Ref Sc 2020 Energy intensive'!$A$5:$AE$33,Z$2)</f>
        <v>15.708678428927763</v>
      </c>
      <c r="AA107" s="12">
        <f>Z107*VLOOKUP($A107,'EU Ref Sc 2020 Energy intensive'!$A$5:$AE$33,AA$2)</f>
        <v>15.577151397712733</v>
      </c>
      <c r="AB107" s="12">
        <f>AA107*VLOOKUP($A107,'EU Ref Sc 2020 Energy intensive'!$A$5:$AE$33,AB$2)</f>
        <v>15.4456243664977</v>
      </c>
      <c r="AC107" s="12">
        <f>AB107*VLOOKUP($A107,'EU Ref Sc 2020 Energy intensive'!$A$5:$AE$33,AC$2)</f>
        <v>15.368625368906406</v>
      </c>
      <c r="AD107" s="12">
        <f>AC107*VLOOKUP($A107,'EU Ref Sc 2020 Energy intensive'!$A$5:$AE$33,AD$2)</f>
        <v>15.291626371315111</v>
      </c>
      <c r="AE107" s="12">
        <f>AD107*VLOOKUP($A107,'EU Ref Sc 2020 Energy intensive'!$A$5:$AE$33,AE$2)</f>
        <v>15.214627373723816</v>
      </c>
      <c r="AF107" s="12">
        <f>AE107*VLOOKUP($A107,'EU Ref Sc 2020 Energy intensive'!$A$5:$AE$33,AF$2)</f>
        <v>15.13762837613252</v>
      </c>
      <c r="AG107" s="12">
        <f>AF107*VLOOKUP($A107,'EU Ref Sc 2020 Energy intensive'!$A$5:$AE$33,AG$2)</f>
        <v>15.060629378541226</v>
      </c>
      <c r="AH107" s="13">
        <f t="shared" ref="AH107:AQ107" si="107">AG107</f>
        <v>15.060629378541226</v>
      </c>
      <c r="AI107" s="13">
        <f t="shared" si="107"/>
        <v>15.060629378541226</v>
      </c>
      <c r="AJ107" s="13">
        <f t="shared" si="107"/>
        <v>15.060629378541226</v>
      </c>
      <c r="AK107" s="13">
        <f t="shared" si="107"/>
        <v>15.060629378541226</v>
      </c>
      <c r="AL107" s="13">
        <f t="shared" si="107"/>
        <v>15.060629378541226</v>
      </c>
      <c r="AM107" s="13">
        <f t="shared" si="107"/>
        <v>15.060629378541226</v>
      </c>
      <c r="AN107" s="13">
        <f t="shared" si="107"/>
        <v>15.060629378541226</v>
      </c>
      <c r="AO107" s="13">
        <f t="shared" si="107"/>
        <v>15.060629378541226</v>
      </c>
      <c r="AP107" s="13">
        <f t="shared" si="107"/>
        <v>15.060629378541226</v>
      </c>
      <c r="AQ107" s="13">
        <f t="shared" si="107"/>
        <v>15.060629378541226</v>
      </c>
    </row>
    <row r="108" spans="1:43" x14ac:dyDescent="0.3">
      <c r="A108" t="s">
        <v>1402</v>
      </c>
      <c r="B108" t="s">
        <v>1392</v>
      </c>
      <c r="C108" t="str">
        <f t="shared" si="99"/>
        <v>DEIUEC</v>
      </c>
      <c r="D108" s="2">
        <v>263.79179999999997</v>
      </c>
      <c r="E108" s="12">
        <f>D108*VLOOKUP($A108,'EU Ref Sc 2020 Energy intensive'!$A$5:$AE$33,E$2)</f>
        <v>265.46029290095163</v>
      </c>
      <c r="F108" s="12">
        <f>E108*VLOOKUP($A108,'EU Ref Sc 2020 Energy intensive'!$A$5:$AE$33,F$2)</f>
        <v>267.12878580190329</v>
      </c>
      <c r="G108" s="12">
        <f>F108*VLOOKUP($A108,'EU Ref Sc 2020 Energy intensive'!$A$5:$AE$33,G$2)</f>
        <v>268.79727870285495</v>
      </c>
      <c r="H108" s="12">
        <f>G108*VLOOKUP($A108,'EU Ref Sc 2020 Energy intensive'!$A$5:$AE$33,H$2)</f>
        <v>270.46577160380656</v>
      </c>
      <c r="I108" s="12">
        <f>H108*VLOOKUP($A108,'EU Ref Sc 2020 Energy intensive'!$A$5:$AE$33,I$2)</f>
        <v>267.14603820934934</v>
      </c>
      <c r="J108" s="12">
        <f>I108*VLOOKUP($A108,'EU Ref Sc 2020 Energy intensive'!$A$5:$AE$33,J$2)</f>
        <v>263.82630481489213</v>
      </c>
      <c r="K108" s="12">
        <f>J108*VLOOKUP($A108,'EU Ref Sc 2020 Energy intensive'!$A$5:$AE$33,K$2)</f>
        <v>260.50657142043491</v>
      </c>
      <c r="L108" s="12">
        <f>K108*VLOOKUP($A108,'EU Ref Sc 2020 Energy intensive'!$A$5:$AE$33,L$2)</f>
        <v>257.18683802597764</v>
      </c>
      <c r="M108" s="12">
        <f>L108*VLOOKUP($A108,'EU Ref Sc 2020 Energy intensive'!$A$5:$AE$33,M$2)</f>
        <v>253.86710463152031</v>
      </c>
      <c r="N108" s="12">
        <f>M108*VLOOKUP($A108,'EU Ref Sc 2020 Energy intensive'!$A$5:$AE$33,N$2)</f>
        <v>249.29734451787527</v>
      </c>
      <c r="O108" s="12">
        <f>N108*VLOOKUP($A108,'EU Ref Sc 2020 Energy intensive'!$A$5:$AE$33,O$2)</f>
        <v>244.72758440423024</v>
      </c>
      <c r="P108" s="12">
        <f>O108*VLOOKUP($A108,'EU Ref Sc 2020 Energy intensive'!$A$5:$AE$33,P$2)</f>
        <v>240.15782429058524</v>
      </c>
      <c r="Q108" s="12">
        <f>P108*VLOOKUP($A108,'EU Ref Sc 2020 Energy intensive'!$A$5:$AE$33,Q$2)</f>
        <v>235.58806417694021</v>
      </c>
      <c r="R108" s="12">
        <f>Q108*VLOOKUP($A108,'EU Ref Sc 2020 Energy intensive'!$A$5:$AE$33,R$2)</f>
        <v>231.0183040632952</v>
      </c>
      <c r="S108" s="12">
        <f>R108*VLOOKUP($A108,'EU Ref Sc 2020 Energy intensive'!$A$5:$AE$33,S$2)</f>
        <v>228.77305617511689</v>
      </c>
      <c r="T108" s="12">
        <f>S108*VLOOKUP($A108,'EU Ref Sc 2020 Energy intensive'!$A$5:$AE$33,T$2)</f>
        <v>226.52780828693858</v>
      </c>
      <c r="U108" s="12">
        <f>T108*VLOOKUP($A108,'EU Ref Sc 2020 Energy intensive'!$A$5:$AE$33,U$2)</f>
        <v>224.2825603987603</v>
      </c>
      <c r="V108" s="12">
        <f>U108*VLOOKUP($A108,'EU Ref Sc 2020 Energy intensive'!$A$5:$AE$33,V$2)</f>
        <v>222.03731251058198</v>
      </c>
      <c r="W108" s="12">
        <f>V108*VLOOKUP($A108,'EU Ref Sc 2020 Energy intensive'!$A$5:$AE$33,W$2)</f>
        <v>219.79206462240361</v>
      </c>
      <c r="X108" s="12">
        <f>W108*VLOOKUP($A108,'EU Ref Sc 2020 Energy intensive'!$A$5:$AE$33,X$2)</f>
        <v>218.60812298675887</v>
      </c>
      <c r="Y108" s="12">
        <f>X108*VLOOKUP($A108,'EU Ref Sc 2020 Energy intensive'!$A$5:$AE$33,Y$2)</f>
        <v>217.42418135111416</v>
      </c>
      <c r="Z108" s="12">
        <f>Y108*VLOOKUP($A108,'EU Ref Sc 2020 Energy intensive'!$A$5:$AE$33,Z$2)</f>
        <v>216.24023971546944</v>
      </c>
      <c r="AA108" s="12">
        <f>Z108*VLOOKUP($A108,'EU Ref Sc 2020 Energy intensive'!$A$5:$AE$33,AA$2)</f>
        <v>215.05629807982473</v>
      </c>
      <c r="AB108" s="12">
        <f>AA108*VLOOKUP($A108,'EU Ref Sc 2020 Energy intensive'!$A$5:$AE$33,AB$2)</f>
        <v>213.87235644417996</v>
      </c>
      <c r="AC108" s="12">
        <f>AB108*VLOOKUP($A108,'EU Ref Sc 2020 Energy intensive'!$A$5:$AE$33,AC$2)</f>
        <v>213.01446211112352</v>
      </c>
      <c r="AD108" s="12">
        <f>AC108*VLOOKUP($A108,'EU Ref Sc 2020 Energy intensive'!$A$5:$AE$33,AD$2)</f>
        <v>212.15656777806706</v>
      </c>
      <c r="AE108" s="12">
        <f>AD108*VLOOKUP($A108,'EU Ref Sc 2020 Energy intensive'!$A$5:$AE$33,AE$2)</f>
        <v>211.29867344501062</v>
      </c>
      <c r="AF108" s="12">
        <f>AE108*VLOOKUP($A108,'EU Ref Sc 2020 Energy intensive'!$A$5:$AE$33,AF$2)</f>
        <v>210.44077911195419</v>
      </c>
      <c r="AG108" s="12">
        <f>AF108*VLOOKUP($A108,'EU Ref Sc 2020 Energy intensive'!$A$5:$AE$33,AG$2)</f>
        <v>209.58288477889772</v>
      </c>
      <c r="AH108" s="13">
        <f t="shared" ref="AH108:AQ108" si="108">AG108</f>
        <v>209.58288477889772</v>
      </c>
      <c r="AI108" s="13">
        <f t="shared" si="108"/>
        <v>209.58288477889772</v>
      </c>
      <c r="AJ108" s="13">
        <f t="shared" si="108"/>
        <v>209.58288477889772</v>
      </c>
      <c r="AK108" s="13">
        <f t="shared" si="108"/>
        <v>209.58288477889772</v>
      </c>
      <c r="AL108" s="13">
        <f t="shared" si="108"/>
        <v>209.58288477889772</v>
      </c>
      <c r="AM108" s="13">
        <f t="shared" si="108"/>
        <v>209.58288477889772</v>
      </c>
      <c r="AN108" s="13">
        <f t="shared" si="108"/>
        <v>209.58288477889772</v>
      </c>
      <c r="AO108" s="13">
        <f t="shared" si="108"/>
        <v>209.58288477889772</v>
      </c>
      <c r="AP108" s="13">
        <f t="shared" si="108"/>
        <v>209.58288477889772</v>
      </c>
      <c r="AQ108" s="13">
        <f t="shared" si="108"/>
        <v>209.58288477889772</v>
      </c>
    </row>
    <row r="109" spans="1:43" x14ac:dyDescent="0.3">
      <c r="A109" t="s">
        <v>1403</v>
      </c>
      <c r="B109" t="s">
        <v>1392</v>
      </c>
      <c r="C109" t="str">
        <f t="shared" si="99"/>
        <v>DKIUEC</v>
      </c>
      <c r="D109" s="2">
        <v>5.6573000000000002</v>
      </c>
      <c r="E109" s="12">
        <f>D109*VLOOKUP($A109,'EU Ref Sc 2020 Energy intensive'!$A$5:$AE$33,E$2)</f>
        <v>5.7577680448786692</v>
      </c>
      <c r="F109" s="12">
        <f>E109*VLOOKUP($A109,'EU Ref Sc 2020 Energy intensive'!$A$5:$AE$33,F$2)</f>
        <v>5.8582360897573373</v>
      </c>
      <c r="G109" s="12">
        <f>F109*VLOOKUP($A109,'EU Ref Sc 2020 Energy intensive'!$A$5:$AE$33,G$2)</f>
        <v>5.9587041346360055</v>
      </c>
      <c r="H109" s="12">
        <f>G109*VLOOKUP($A109,'EU Ref Sc 2020 Energy intensive'!$A$5:$AE$33,H$2)</f>
        <v>6.0591721795146753</v>
      </c>
      <c r="I109" s="12">
        <f>H109*VLOOKUP($A109,'EU Ref Sc 2020 Energy intensive'!$A$5:$AE$33,I$2)</f>
        <v>6.08370093368758</v>
      </c>
      <c r="J109" s="12">
        <f>I109*VLOOKUP($A109,'EU Ref Sc 2020 Energy intensive'!$A$5:$AE$33,J$2)</f>
        <v>6.1082296878604856</v>
      </c>
      <c r="K109" s="12">
        <f>J109*VLOOKUP($A109,'EU Ref Sc 2020 Energy intensive'!$A$5:$AE$33,K$2)</f>
        <v>6.1327584420333912</v>
      </c>
      <c r="L109" s="12">
        <f>K109*VLOOKUP($A109,'EU Ref Sc 2020 Energy intensive'!$A$5:$AE$33,L$2)</f>
        <v>6.1572871962062958</v>
      </c>
      <c r="M109" s="12">
        <f>L109*VLOOKUP($A109,'EU Ref Sc 2020 Energy intensive'!$A$5:$AE$33,M$2)</f>
        <v>6.1818159503791996</v>
      </c>
      <c r="N109" s="12">
        <f>M109*VLOOKUP($A109,'EU Ref Sc 2020 Energy intensive'!$A$5:$AE$33,N$2)</f>
        <v>6.0564116877344114</v>
      </c>
      <c r="O109" s="12">
        <f>N109*VLOOKUP($A109,'EU Ref Sc 2020 Energy intensive'!$A$5:$AE$33,O$2)</f>
        <v>5.9310074250896232</v>
      </c>
      <c r="P109" s="12">
        <f>O109*VLOOKUP($A109,'EU Ref Sc 2020 Energy intensive'!$A$5:$AE$33,P$2)</f>
        <v>5.805603162444835</v>
      </c>
      <c r="Q109" s="12">
        <f>P109*VLOOKUP($A109,'EU Ref Sc 2020 Energy intensive'!$A$5:$AE$33,Q$2)</f>
        <v>5.6801988998000468</v>
      </c>
      <c r="R109" s="12">
        <f>Q109*VLOOKUP($A109,'EU Ref Sc 2020 Energy intensive'!$A$5:$AE$33,R$2)</f>
        <v>5.5547946371552577</v>
      </c>
      <c r="S109" s="12">
        <f>R109*VLOOKUP($A109,'EU Ref Sc 2020 Energy intensive'!$A$5:$AE$33,S$2)</f>
        <v>5.66371362838305</v>
      </c>
      <c r="T109" s="12">
        <f>S109*VLOOKUP($A109,'EU Ref Sc 2020 Energy intensive'!$A$5:$AE$33,T$2)</f>
        <v>5.7726326196108415</v>
      </c>
      <c r="U109" s="12">
        <f>T109*VLOOKUP($A109,'EU Ref Sc 2020 Energy intensive'!$A$5:$AE$33,U$2)</f>
        <v>5.881551610838633</v>
      </c>
      <c r="V109" s="12">
        <f>U109*VLOOKUP($A109,'EU Ref Sc 2020 Energy intensive'!$A$5:$AE$33,V$2)</f>
        <v>5.9904706020664253</v>
      </c>
      <c r="W109" s="12">
        <f>V109*VLOOKUP($A109,'EU Ref Sc 2020 Energy intensive'!$A$5:$AE$33,W$2)</f>
        <v>6.0993895932942159</v>
      </c>
      <c r="X109" s="12">
        <f>W109*VLOOKUP($A109,'EU Ref Sc 2020 Energy intensive'!$A$5:$AE$33,X$2)</f>
        <v>6.0558406120573061</v>
      </c>
      <c r="Y109" s="12">
        <f>X109*VLOOKUP($A109,'EU Ref Sc 2020 Energy intensive'!$A$5:$AE$33,Y$2)</f>
        <v>6.0122916308203962</v>
      </c>
      <c r="Z109" s="12">
        <f>Y109*VLOOKUP($A109,'EU Ref Sc 2020 Energy intensive'!$A$5:$AE$33,Z$2)</f>
        <v>5.9687426495834863</v>
      </c>
      <c r="AA109" s="12">
        <f>Z109*VLOOKUP($A109,'EU Ref Sc 2020 Energy intensive'!$A$5:$AE$33,AA$2)</f>
        <v>5.9251936683465765</v>
      </c>
      <c r="AB109" s="12">
        <f>AA109*VLOOKUP($A109,'EU Ref Sc 2020 Energy intensive'!$A$5:$AE$33,AB$2)</f>
        <v>5.8816446871096675</v>
      </c>
      <c r="AC109" s="12">
        <f>AB109*VLOOKUP($A109,'EU Ref Sc 2020 Energy intensive'!$A$5:$AE$33,AC$2)</f>
        <v>5.8986910114254609</v>
      </c>
      <c r="AD109" s="12">
        <f>AC109*VLOOKUP($A109,'EU Ref Sc 2020 Energy intensive'!$A$5:$AE$33,AD$2)</f>
        <v>5.9157373357412544</v>
      </c>
      <c r="AE109" s="12">
        <f>AD109*VLOOKUP($A109,'EU Ref Sc 2020 Energy intensive'!$A$5:$AE$33,AE$2)</f>
        <v>5.9327836600570478</v>
      </c>
      <c r="AF109" s="12">
        <f>AE109*VLOOKUP($A109,'EU Ref Sc 2020 Energy intensive'!$A$5:$AE$33,AF$2)</f>
        <v>5.9498299843728404</v>
      </c>
      <c r="AG109" s="12">
        <f>AF109*VLOOKUP($A109,'EU Ref Sc 2020 Energy intensive'!$A$5:$AE$33,AG$2)</f>
        <v>5.9668763086886347</v>
      </c>
      <c r="AH109" s="13">
        <f t="shared" ref="AH109:AQ109" si="109">AG109</f>
        <v>5.9668763086886347</v>
      </c>
      <c r="AI109" s="13">
        <f t="shared" si="109"/>
        <v>5.9668763086886347</v>
      </c>
      <c r="AJ109" s="13">
        <f t="shared" si="109"/>
        <v>5.9668763086886347</v>
      </c>
      <c r="AK109" s="13">
        <f t="shared" si="109"/>
        <v>5.9668763086886347</v>
      </c>
      <c r="AL109" s="13">
        <f t="shared" si="109"/>
        <v>5.9668763086886347</v>
      </c>
      <c r="AM109" s="13">
        <f t="shared" si="109"/>
        <v>5.9668763086886347</v>
      </c>
      <c r="AN109" s="13">
        <f t="shared" si="109"/>
        <v>5.9668763086886347</v>
      </c>
      <c r="AO109" s="13">
        <f t="shared" si="109"/>
        <v>5.9668763086886347</v>
      </c>
      <c r="AP109" s="13">
        <f t="shared" si="109"/>
        <v>5.9668763086886347</v>
      </c>
      <c r="AQ109" s="13">
        <f t="shared" si="109"/>
        <v>5.9668763086886347</v>
      </c>
    </row>
    <row r="110" spans="1:43" x14ac:dyDescent="0.3">
      <c r="A110" t="s">
        <v>1408</v>
      </c>
      <c r="B110" t="s">
        <v>1392</v>
      </c>
      <c r="C110" t="str">
        <f t="shared" si="99"/>
        <v>ESIUEC</v>
      </c>
      <c r="D110" s="2">
        <v>72.133299999999991</v>
      </c>
      <c r="E110" s="12">
        <f>D110*VLOOKUP($A110,'EU Ref Sc 2020 Energy intensive'!$A$5:$AE$33,E$2)</f>
        <v>75.450394597726387</v>
      </c>
      <c r="F110" s="12">
        <f>E110*VLOOKUP($A110,'EU Ref Sc 2020 Energy intensive'!$A$5:$AE$33,F$2)</f>
        <v>78.767489195452796</v>
      </c>
      <c r="G110" s="12">
        <f>F110*VLOOKUP($A110,'EU Ref Sc 2020 Energy intensive'!$A$5:$AE$33,G$2)</f>
        <v>82.084583793179192</v>
      </c>
      <c r="H110" s="12">
        <f>G110*VLOOKUP($A110,'EU Ref Sc 2020 Energy intensive'!$A$5:$AE$33,H$2)</f>
        <v>85.401678390905587</v>
      </c>
      <c r="I110" s="12">
        <f>H110*VLOOKUP($A110,'EU Ref Sc 2020 Energy intensive'!$A$5:$AE$33,I$2)</f>
        <v>85.826558011432738</v>
      </c>
      <c r="J110" s="12">
        <f>I110*VLOOKUP($A110,'EU Ref Sc 2020 Energy intensive'!$A$5:$AE$33,J$2)</f>
        <v>86.251437631959888</v>
      </c>
      <c r="K110" s="12">
        <f>J110*VLOOKUP($A110,'EU Ref Sc 2020 Energy intensive'!$A$5:$AE$33,K$2)</f>
        <v>86.676317252487038</v>
      </c>
      <c r="L110" s="12">
        <f>K110*VLOOKUP($A110,'EU Ref Sc 2020 Energy intensive'!$A$5:$AE$33,L$2)</f>
        <v>87.101196873014189</v>
      </c>
      <c r="M110" s="12">
        <f>L110*VLOOKUP($A110,'EU Ref Sc 2020 Energy intensive'!$A$5:$AE$33,M$2)</f>
        <v>87.526076493541353</v>
      </c>
      <c r="N110" s="12">
        <f>M110*VLOOKUP($A110,'EU Ref Sc 2020 Energy intensive'!$A$5:$AE$33,N$2)</f>
        <v>85.668674182497</v>
      </c>
      <c r="O110" s="12">
        <f>N110*VLOOKUP($A110,'EU Ref Sc 2020 Energy intensive'!$A$5:$AE$33,O$2)</f>
        <v>83.811271871452661</v>
      </c>
      <c r="P110" s="12">
        <f>O110*VLOOKUP($A110,'EU Ref Sc 2020 Energy intensive'!$A$5:$AE$33,P$2)</f>
        <v>81.953869560408307</v>
      </c>
      <c r="Q110" s="12">
        <f>P110*VLOOKUP($A110,'EU Ref Sc 2020 Energy intensive'!$A$5:$AE$33,Q$2)</f>
        <v>80.096467249363968</v>
      </c>
      <c r="R110" s="12">
        <f>Q110*VLOOKUP($A110,'EU Ref Sc 2020 Energy intensive'!$A$5:$AE$33,R$2)</f>
        <v>78.239064938319615</v>
      </c>
      <c r="S110" s="12">
        <f>R110*VLOOKUP($A110,'EU Ref Sc 2020 Energy intensive'!$A$5:$AE$33,S$2)</f>
        <v>77.610471125379746</v>
      </c>
      <c r="T110" s="12">
        <f>S110*VLOOKUP($A110,'EU Ref Sc 2020 Energy intensive'!$A$5:$AE$33,T$2)</f>
        <v>76.981877312439892</v>
      </c>
      <c r="U110" s="12">
        <f>T110*VLOOKUP($A110,'EU Ref Sc 2020 Energy intensive'!$A$5:$AE$33,U$2)</f>
        <v>76.353283499500037</v>
      </c>
      <c r="V110" s="12">
        <f>U110*VLOOKUP($A110,'EU Ref Sc 2020 Energy intensive'!$A$5:$AE$33,V$2)</f>
        <v>75.724689686560168</v>
      </c>
      <c r="W110" s="12">
        <f>V110*VLOOKUP($A110,'EU Ref Sc 2020 Energy intensive'!$A$5:$AE$33,W$2)</f>
        <v>75.0960958736203</v>
      </c>
      <c r="X110" s="12">
        <f>W110*VLOOKUP($A110,'EU Ref Sc 2020 Energy intensive'!$A$5:$AE$33,X$2)</f>
        <v>74.555008546683226</v>
      </c>
      <c r="Y110" s="12">
        <f>X110*VLOOKUP($A110,'EU Ref Sc 2020 Energy intensive'!$A$5:$AE$33,Y$2)</f>
        <v>74.013921219746152</v>
      </c>
      <c r="Z110" s="12">
        <f>Y110*VLOOKUP($A110,'EU Ref Sc 2020 Energy intensive'!$A$5:$AE$33,Z$2)</f>
        <v>73.472833892809078</v>
      </c>
      <c r="AA110" s="12">
        <f>Z110*VLOOKUP($A110,'EU Ref Sc 2020 Energy intensive'!$A$5:$AE$33,AA$2)</f>
        <v>72.931746565872004</v>
      </c>
      <c r="AB110" s="12">
        <f>AA110*VLOOKUP($A110,'EU Ref Sc 2020 Energy intensive'!$A$5:$AE$33,AB$2)</f>
        <v>72.39065923893493</v>
      </c>
      <c r="AC110" s="12">
        <f>AB110*VLOOKUP($A110,'EU Ref Sc 2020 Energy intensive'!$A$5:$AE$33,AC$2)</f>
        <v>72.233921404427122</v>
      </c>
      <c r="AD110" s="12">
        <f>AC110*VLOOKUP($A110,'EU Ref Sc 2020 Energy intensive'!$A$5:$AE$33,AD$2)</f>
        <v>72.077183569919313</v>
      </c>
      <c r="AE110" s="12">
        <f>AD110*VLOOKUP($A110,'EU Ref Sc 2020 Energy intensive'!$A$5:$AE$33,AE$2)</f>
        <v>71.920445735411519</v>
      </c>
      <c r="AF110" s="12">
        <f>AE110*VLOOKUP($A110,'EU Ref Sc 2020 Energy intensive'!$A$5:$AE$33,AF$2)</f>
        <v>71.763707900903711</v>
      </c>
      <c r="AG110" s="12">
        <f>AF110*VLOOKUP($A110,'EU Ref Sc 2020 Energy intensive'!$A$5:$AE$33,AG$2)</f>
        <v>71.606970066395931</v>
      </c>
      <c r="AH110" s="13">
        <f t="shared" ref="AH110:AQ110" si="110">AG110</f>
        <v>71.606970066395931</v>
      </c>
      <c r="AI110" s="13">
        <f t="shared" si="110"/>
        <v>71.606970066395931</v>
      </c>
      <c r="AJ110" s="13">
        <f t="shared" si="110"/>
        <v>71.606970066395931</v>
      </c>
      <c r="AK110" s="13">
        <f t="shared" si="110"/>
        <v>71.606970066395931</v>
      </c>
      <c r="AL110" s="13">
        <f t="shared" si="110"/>
        <v>71.606970066395931</v>
      </c>
      <c r="AM110" s="13">
        <f t="shared" si="110"/>
        <v>71.606970066395931</v>
      </c>
      <c r="AN110" s="13">
        <f t="shared" si="110"/>
        <v>71.606970066395931</v>
      </c>
      <c r="AO110" s="13">
        <f t="shared" si="110"/>
        <v>71.606970066395931</v>
      </c>
      <c r="AP110" s="13">
        <f t="shared" si="110"/>
        <v>71.606970066395931</v>
      </c>
      <c r="AQ110" s="13">
        <f t="shared" si="110"/>
        <v>71.606970066395931</v>
      </c>
    </row>
    <row r="111" spans="1:43" x14ac:dyDescent="0.3">
      <c r="A111" t="s">
        <v>1409</v>
      </c>
      <c r="B111" t="s">
        <v>1392</v>
      </c>
      <c r="C111" t="str">
        <f t="shared" si="99"/>
        <v>FIIUEC</v>
      </c>
      <c r="D111" s="2">
        <v>18.237500000000001</v>
      </c>
      <c r="E111" s="12">
        <f>D111*VLOOKUP($A111,'EU Ref Sc 2020 Energy intensive'!$A$5:$AE$33,E$2)</f>
        <v>19.076162763606202</v>
      </c>
      <c r="F111" s="12">
        <f>E111*VLOOKUP($A111,'EU Ref Sc 2020 Energy intensive'!$A$5:$AE$33,F$2)</f>
        <v>19.914825527212404</v>
      </c>
      <c r="G111" s="12">
        <f>F111*VLOOKUP($A111,'EU Ref Sc 2020 Energy intensive'!$A$5:$AE$33,G$2)</f>
        <v>20.753488290818606</v>
      </c>
      <c r="H111" s="12">
        <f>G111*VLOOKUP($A111,'EU Ref Sc 2020 Energy intensive'!$A$5:$AE$33,H$2)</f>
        <v>21.592151054424807</v>
      </c>
      <c r="I111" s="12">
        <f>H111*VLOOKUP($A111,'EU Ref Sc 2020 Energy intensive'!$A$5:$AE$33,I$2)</f>
        <v>21.69957359130256</v>
      </c>
      <c r="J111" s="12">
        <f>I111*VLOOKUP($A111,'EU Ref Sc 2020 Energy intensive'!$A$5:$AE$33,J$2)</f>
        <v>21.806996128180312</v>
      </c>
      <c r="K111" s="12">
        <f>J111*VLOOKUP($A111,'EU Ref Sc 2020 Energy intensive'!$A$5:$AE$33,K$2)</f>
        <v>21.914418665058065</v>
      </c>
      <c r="L111" s="12">
        <f>K111*VLOOKUP($A111,'EU Ref Sc 2020 Energy intensive'!$A$5:$AE$33,L$2)</f>
        <v>22.021841201935814</v>
      </c>
      <c r="M111" s="12">
        <f>L111*VLOOKUP($A111,'EU Ref Sc 2020 Energy intensive'!$A$5:$AE$33,M$2)</f>
        <v>22.12926373881357</v>
      </c>
      <c r="N111" s="12">
        <f>M111*VLOOKUP($A111,'EU Ref Sc 2020 Energy intensive'!$A$5:$AE$33,N$2)</f>
        <v>21.65965574018227</v>
      </c>
      <c r="O111" s="12">
        <f>N111*VLOOKUP($A111,'EU Ref Sc 2020 Energy intensive'!$A$5:$AE$33,O$2)</f>
        <v>21.19004774155097</v>
      </c>
      <c r="P111" s="12">
        <f>O111*VLOOKUP($A111,'EU Ref Sc 2020 Energy intensive'!$A$5:$AE$33,P$2)</f>
        <v>20.720439742919666</v>
      </c>
      <c r="Q111" s="12">
        <f>P111*VLOOKUP($A111,'EU Ref Sc 2020 Energy intensive'!$A$5:$AE$33,Q$2)</f>
        <v>20.250831744288366</v>
      </c>
      <c r="R111" s="12">
        <f>Q111*VLOOKUP($A111,'EU Ref Sc 2020 Energy intensive'!$A$5:$AE$33,R$2)</f>
        <v>19.781223745657062</v>
      </c>
      <c r="S111" s="12">
        <f>R111*VLOOKUP($A111,'EU Ref Sc 2020 Energy intensive'!$A$5:$AE$33,S$2)</f>
        <v>19.622296042869433</v>
      </c>
      <c r="T111" s="12">
        <f>S111*VLOOKUP($A111,'EU Ref Sc 2020 Energy intensive'!$A$5:$AE$33,T$2)</f>
        <v>19.463368340081807</v>
      </c>
      <c r="U111" s="12">
        <f>T111*VLOOKUP($A111,'EU Ref Sc 2020 Energy intensive'!$A$5:$AE$33,U$2)</f>
        <v>19.304440637294181</v>
      </c>
      <c r="V111" s="12">
        <f>U111*VLOOKUP($A111,'EU Ref Sc 2020 Energy intensive'!$A$5:$AE$33,V$2)</f>
        <v>19.145512934506552</v>
      </c>
      <c r="W111" s="12">
        <f>V111*VLOOKUP($A111,'EU Ref Sc 2020 Energy intensive'!$A$5:$AE$33,W$2)</f>
        <v>18.986585231718923</v>
      </c>
      <c r="X111" s="12">
        <f>W111*VLOOKUP($A111,'EU Ref Sc 2020 Energy intensive'!$A$5:$AE$33,X$2)</f>
        <v>18.849781839596076</v>
      </c>
      <c r="Y111" s="12">
        <f>X111*VLOOKUP($A111,'EU Ref Sc 2020 Energy intensive'!$A$5:$AE$33,Y$2)</f>
        <v>18.71297844747323</v>
      </c>
      <c r="Z111" s="12">
        <f>Y111*VLOOKUP($A111,'EU Ref Sc 2020 Energy intensive'!$A$5:$AE$33,Z$2)</f>
        <v>18.576175055350383</v>
      </c>
      <c r="AA111" s="12">
        <f>Z111*VLOOKUP($A111,'EU Ref Sc 2020 Energy intensive'!$A$5:$AE$33,AA$2)</f>
        <v>18.439371663227536</v>
      </c>
      <c r="AB111" s="12">
        <f>AA111*VLOOKUP($A111,'EU Ref Sc 2020 Energy intensive'!$A$5:$AE$33,AB$2)</f>
        <v>18.30256827110469</v>
      </c>
      <c r="AC111" s="12">
        <f>AB111*VLOOKUP($A111,'EU Ref Sc 2020 Energy intensive'!$A$5:$AE$33,AC$2)</f>
        <v>18.262940162355527</v>
      </c>
      <c r="AD111" s="12">
        <f>AC111*VLOOKUP($A111,'EU Ref Sc 2020 Energy intensive'!$A$5:$AE$33,AD$2)</f>
        <v>18.223312053606364</v>
      </c>
      <c r="AE111" s="12">
        <f>AD111*VLOOKUP($A111,'EU Ref Sc 2020 Energy intensive'!$A$5:$AE$33,AE$2)</f>
        <v>18.183683944857201</v>
      </c>
      <c r="AF111" s="12">
        <f>AE111*VLOOKUP($A111,'EU Ref Sc 2020 Energy intensive'!$A$5:$AE$33,AF$2)</f>
        <v>18.144055836108038</v>
      </c>
      <c r="AG111" s="12">
        <f>AF111*VLOOKUP($A111,'EU Ref Sc 2020 Energy intensive'!$A$5:$AE$33,AG$2)</f>
        <v>18.104427727358878</v>
      </c>
      <c r="AH111" s="13">
        <f t="shared" ref="AH111:AQ111" si="111">AG111</f>
        <v>18.104427727358878</v>
      </c>
      <c r="AI111" s="13">
        <f t="shared" si="111"/>
        <v>18.104427727358878</v>
      </c>
      <c r="AJ111" s="13">
        <f t="shared" si="111"/>
        <v>18.104427727358878</v>
      </c>
      <c r="AK111" s="13">
        <f t="shared" si="111"/>
        <v>18.104427727358878</v>
      </c>
      <c r="AL111" s="13">
        <f t="shared" si="111"/>
        <v>18.104427727358878</v>
      </c>
      <c r="AM111" s="13">
        <f t="shared" si="111"/>
        <v>18.104427727358878</v>
      </c>
      <c r="AN111" s="13">
        <f t="shared" si="111"/>
        <v>18.104427727358878</v>
      </c>
      <c r="AO111" s="13">
        <f t="shared" si="111"/>
        <v>18.104427727358878</v>
      </c>
      <c r="AP111" s="13">
        <f t="shared" si="111"/>
        <v>18.104427727358878</v>
      </c>
      <c r="AQ111" s="13">
        <f t="shared" si="111"/>
        <v>18.104427727358878</v>
      </c>
    </row>
    <row r="112" spans="1:43" x14ac:dyDescent="0.3">
      <c r="A112" t="s">
        <v>1410</v>
      </c>
      <c r="B112" t="s">
        <v>1392</v>
      </c>
      <c r="C112" t="str">
        <f t="shared" si="99"/>
        <v>FRIUEC</v>
      </c>
      <c r="D112" s="2">
        <v>111.4699</v>
      </c>
      <c r="E112" s="12">
        <f>D112*VLOOKUP($A112,'EU Ref Sc 2020 Energy intensive'!$A$5:$AE$33,E$2)</f>
        <v>116.59591257808948</v>
      </c>
      <c r="F112" s="12">
        <f>E112*VLOOKUP($A112,'EU Ref Sc 2020 Energy intensive'!$A$5:$AE$33,F$2)</f>
        <v>121.72192515617897</v>
      </c>
      <c r="G112" s="12">
        <f>F112*VLOOKUP($A112,'EU Ref Sc 2020 Energy intensive'!$A$5:$AE$33,G$2)</f>
        <v>126.84793773426844</v>
      </c>
      <c r="H112" s="12">
        <f>G112*VLOOKUP($A112,'EU Ref Sc 2020 Energy intensive'!$A$5:$AE$33,H$2)</f>
        <v>131.97395031235791</v>
      </c>
      <c r="I112" s="12">
        <f>H112*VLOOKUP($A112,'EU Ref Sc 2020 Energy intensive'!$A$5:$AE$33,I$2)</f>
        <v>132.63053040521655</v>
      </c>
      <c r="J112" s="12">
        <f>I112*VLOOKUP($A112,'EU Ref Sc 2020 Energy intensive'!$A$5:$AE$33,J$2)</f>
        <v>133.28711049807518</v>
      </c>
      <c r="K112" s="12">
        <f>J112*VLOOKUP($A112,'EU Ref Sc 2020 Energy intensive'!$A$5:$AE$33,K$2)</f>
        <v>133.94369059093381</v>
      </c>
      <c r="L112" s="12">
        <f>K112*VLOOKUP($A112,'EU Ref Sc 2020 Energy intensive'!$A$5:$AE$33,L$2)</f>
        <v>134.60027068379244</v>
      </c>
      <c r="M112" s="12">
        <f>L112*VLOOKUP($A112,'EU Ref Sc 2020 Energy intensive'!$A$5:$AE$33,M$2)</f>
        <v>135.25685077665111</v>
      </c>
      <c r="N112" s="12">
        <f>M112*VLOOKUP($A112,'EU Ref Sc 2020 Energy intensive'!$A$5:$AE$33,N$2)</f>
        <v>132.38654746497838</v>
      </c>
      <c r="O112" s="12">
        <f>N112*VLOOKUP($A112,'EU Ref Sc 2020 Energy intensive'!$A$5:$AE$33,O$2)</f>
        <v>129.51624415330565</v>
      </c>
      <c r="P112" s="12">
        <f>O112*VLOOKUP($A112,'EU Ref Sc 2020 Energy intensive'!$A$5:$AE$33,P$2)</f>
        <v>126.64594084163292</v>
      </c>
      <c r="Q112" s="12">
        <f>P112*VLOOKUP($A112,'EU Ref Sc 2020 Energy intensive'!$A$5:$AE$33,Q$2)</f>
        <v>123.77563752996019</v>
      </c>
      <c r="R112" s="12">
        <f>Q112*VLOOKUP($A112,'EU Ref Sc 2020 Energy intensive'!$A$5:$AE$33,R$2)</f>
        <v>120.90533421828745</v>
      </c>
      <c r="S112" s="12">
        <f>R112*VLOOKUP($A112,'EU Ref Sc 2020 Energy intensive'!$A$5:$AE$33,S$2)</f>
        <v>119.93394805587667</v>
      </c>
      <c r="T112" s="12">
        <f>S112*VLOOKUP($A112,'EU Ref Sc 2020 Energy intensive'!$A$5:$AE$33,T$2)</f>
        <v>118.9625618934659</v>
      </c>
      <c r="U112" s="12">
        <f>T112*VLOOKUP($A112,'EU Ref Sc 2020 Energy intensive'!$A$5:$AE$33,U$2)</f>
        <v>117.99117573105514</v>
      </c>
      <c r="V112" s="12">
        <f>U112*VLOOKUP($A112,'EU Ref Sc 2020 Energy intensive'!$A$5:$AE$33,V$2)</f>
        <v>117.01978956864436</v>
      </c>
      <c r="W112" s="12">
        <f>V112*VLOOKUP($A112,'EU Ref Sc 2020 Energy intensive'!$A$5:$AE$33,W$2)</f>
        <v>116.04840340623358</v>
      </c>
      <c r="X112" s="12">
        <f>W112*VLOOKUP($A112,'EU Ref Sc 2020 Energy intensive'!$A$5:$AE$33,X$2)</f>
        <v>115.21224382078631</v>
      </c>
      <c r="Y112" s="12">
        <f>X112*VLOOKUP($A112,'EU Ref Sc 2020 Energy intensive'!$A$5:$AE$33,Y$2)</f>
        <v>114.37608423533905</v>
      </c>
      <c r="Z112" s="12">
        <f>Y112*VLOOKUP($A112,'EU Ref Sc 2020 Energy intensive'!$A$5:$AE$33,Z$2)</f>
        <v>113.53992464989179</v>
      </c>
      <c r="AA112" s="12">
        <f>Z112*VLOOKUP($A112,'EU Ref Sc 2020 Energy intensive'!$A$5:$AE$33,AA$2)</f>
        <v>112.70376506444453</v>
      </c>
      <c r="AB112" s="12">
        <f>AA112*VLOOKUP($A112,'EU Ref Sc 2020 Energy intensive'!$A$5:$AE$33,AB$2)</f>
        <v>111.86760547899726</v>
      </c>
      <c r="AC112" s="12">
        <f>AB112*VLOOKUP($A112,'EU Ref Sc 2020 Energy intensive'!$A$5:$AE$33,AC$2)</f>
        <v>111.62539348067192</v>
      </c>
      <c r="AD112" s="12">
        <f>AC112*VLOOKUP($A112,'EU Ref Sc 2020 Energy intensive'!$A$5:$AE$33,AD$2)</f>
        <v>111.38318148234657</v>
      </c>
      <c r="AE112" s="12">
        <f>AD112*VLOOKUP($A112,'EU Ref Sc 2020 Energy intensive'!$A$5:$AE$33,AE$2)</f>
        <v>111.14096948402124</v>
      </c>
      <c r="AF112" s="12">
        <f>AE112*VLOOKUP($A112,'EU Ref Sc 2020 Energy intensive'!$A$5:$AE$33,AF$2)</f>
        <v>110.8987574856959</v>
      </c>
      <c r="AG112" s="12">
        <f>AF112*VLOOKUP($A112,'EU Ref Sc 2020 Energy intensive'!$A$5:$AE$33,AG$2)</f>
        <v>110.65654548737059</v>
      </c>
      <c r="AH112" s="13">
        <f t="shared" ref="AH112:AQ112" si="112">AG112</f>
        <v>110.65654548737059</v>
      </c>
      <c r="AI112" s="13">
        <f t="shared" si="112"/>
        <v>110.65654548737059</v>
      </c>
      <c r="AJ112" s="13">
        <f t="shared" si="112"/>
        <v>110.65654548737059</v>
      </c>
      <c r="AK112" s="13">
        <f t="shared" si="112"/>
        <v>110.65654548737059</v>
      </c>
      <c r="AL112" s="13">
        <f t="shared" si="112"/>
        <v>110.65654548737059</v>
      </c>
      <c r="AM112" s="13">
        <f t="shared" si="112"/>
        <v>110.65654548737059</v>
      </c>
      <c r="AN112" s="13">
        <f t="shared" si="112"/>
        <v>110.65654548737059</v>
      </c>
      <c r="AO112" s="13">
        <f t="shared" si="112"/>
        <v>110.65654548737059</v>
      </c>
      <c r="AP112" s="13">
        <f t="shared" si="112"/>
        <v>110.65654548737059</v>
      </c>
      <c r="AQ112" s="13">
        <f t="shared" si="112"/>
        <v>110.65654548737059</v>
      </c>
    </row>
    <row r="113" spans="1:43" x14ac:dyDescent="0.3">
      <c r="A113" t="s">
        <v>1411</v>
      </c>
      <c r="B113" t="s">
        <v>1392</v>
      </c>
      <c r="C113" t="str">
        <f t="shared" si="99"/>
        <v>HRIUEC</v>
      </c>
      <c r="D113" s="2">
        <v>2.4411999999999998</v>
      </c>
      <c r="E113" s="12">
        <f>D113*VLOOKUP($A113,'EU Ref Sc 2020 Energy intensive'!$A$5:$AE$33,E$2)</f>
        <v>2.4684122558559385</v>
      </c>
      <c r="F113" s="12">
        <f>E113*VLOOKUP($A113,'EU Ref Sc 2020 Energy intensive'!$A$5:$AE$33,F$2)</f>
        <v>2.4956245117118772</v>
      </c>
      <c r="G113" s="12">
        <f>F113*VLOOKUP($A113,'EU Ref Sc 2020 Energy intensive'!$A$5:$AE$33,G$2)</f>
        <v>2.5228367675678163</v>
      </c>
      <c r="H113" s="12">
        <f>G113*VLOOKUP($A113,'EU Ref Sc 2020 Energy intensive'!$A$5:$AE$33,H$2)</f>
        <v>2.5500490234237545</v>
      </c>
      <c r="I113" s="12">
        <f>H113*VLOOKUP($A113,'EU Ref Sc 2020 Energy intensive'!$A$5:$AE$33,I$2)</f>
        <v>2.5059775224078966</v>
      </c>
      <c r="J113" s="12">
        <f>I113*VLOOKUP($A113,'EU Ref Sc 2020 Energy intensive'!$A$5:$AE$33,J$2)</f>
        <v>2.4619060213920387</v>
      </c>
      <c r="K113" s="12">
        <f>J113*VLOOKUP($A113,'EU Ref Sc 2020 Energy intensive'!$A$5:$AE$33,K$2)</f>
        <v>2.4178345203761809</v>
      </c>
      <c r="L113" s="12">
        <f>K113*VLOOKUP($A113,'EU Ref Sc 2020 Energy intensive'!$A$5:$AE$33,L$2)</f>
        <v>2.373763019360323</v>
      </c>
      <c r="M113" s="12">
        <f>L113*VLOOKUP($A113,'EU Ref Sc 2020 Energy intensive'!$A$5:$AE$33,M$2)</f>
        <v>2.3296915183444651</v>
      </c>
      <c r="N113" s="12">
        <f>M113*VLOOKUP($A113,'EU Ref Sc 2020 Energy intensive'!$A$5:$AE$33,N$2)</f>
        <v>2.3090331912353679</v>
      </c>
      <c r="O113" s="12">
        <f>N113*VLOOKUP($A113,'EU Ref Sc 2020 Energy intensive'!$A$5:$AE$33,O$2)</f>
        <v>2.2883748641262707</v>
      </c>
      <c r="P113" s="12">
        <f>O113*VLOOKUP($A113,'EU Ref Sc 2020 Energy intensive'!$A$5:$AE$33,P$2)</f>
        <v>2.2677165370171735</v>
      </c>
      <c r="Q113" s="12">
        <f>P113*VLOOKUP($A113,'EU Ref Sc 2020 Energy intensive'!$A$5:$AE$33,Q$2)</f>
        <v>2.2470582099080763</v>
      </c>
      <c r="R113" s="12">
        <f>Q113*VLOOKUP($A113,'EU Ref Sc 2020 Energy intensive'!$A$5:$AE$33,R$2)</f>
        <v>2.226399882798979</v>
      </c>
      <c r="S113" s="12">
        <f>R113*VLOOKUP($A113,'EU Ref Sc 2020 Energy intensive'!$A$5:$AE$33,S$2)</f>
        <v>2.2364742727175679</v>
      </c>
      <c r="T113" s="12">
        <f>S113*VLOOKUP($A113,'EU Ref Sc 2020 Energy intensive'!$A$5:$AE$33,T$2)</f>
        <v>2.2465486626361573</v>
      </c>
      <c r="U113" s="12">
        <f>T113*VLOOKUP($A113,'EU Ref Sc 2020 Energy intensive'!$A$5:$AE$33,U$2)</f>
        <v>2.2566230525547462</v>
      </c>
      <c r="V113" s="12">
        <f>U113*VLOOKUP($A113,'EU Ref Sc 2020 Energy intensive'!$A$5:$AE$33,V$2)</f>
        <v>2.266697442473335</v>
      </c>
      <c r="W113" s="12">
        <f>V113*VLOOKUP($A113,'EU Ref Sc 2020 Energy intensive'!$A$5:$AE$33,W$2)</f>
        <v>2.2767718323919244</v>
      </c>
      <c r="X113" s="12">
        <f>W113*VLOOKUP($A113,'EU Ref Sc 2020 Energy intensive'!$A$5:$AE$33,X$2)</f>
        <v>2.2872011187665304</v>
      </c>
      <c r="Y113" s="12">
        <f>X113*VLOOKUP($A113,'EU Ref Sc 2020 Energy intensive'!$A$5:$AE$33,Y$2)</f>
        <v>2.297630405141136</v>
      </c>
      <c r="Z113" s="12">
        <f>Y113*VLOOKUP($A113,'EU Ref Sc 2020 Energy intensive'!$A$5:$AE$33,Z$2)</f>
        <v>2.3080596915157421</v>
      </c>
      <c r="AA113" s="12">
        <f>Z113*VLOOKUP($A113,'EU Ref Sc 2020 Energy intensive'!$A$5:$AE$33,AA$2)</f>
        <v>2.3184889778903477</v>
      </c>
      <c r="AB113" s="12">
        <f>AA113*VLOOKUP($A113,'EU Ref Sc 2020 Energy intensive'!$A$5:$AE$33,AB$2)</f>
        <v>2.3289182642649529</v>
      </c>
      <c r="AC113" s="12">
        <f>AB113*VLOOKUP($A113,'EU Ref Sc 2020 Energy intensive'!$A$5:$AE$33,AC$2)</f>
        <v>2.3357394594810041</v>
      </c>
      <c r="AD113" s="12">
        <f>AC113*VLOOKUP($A113,'EU Ref Sc 2020 Energy intensive'!$A$5:$AE$33,AD$2)</f>
        <v>2.3425606546970554</v>
      </c>
      <c r="AE113" s="12">
        <f>AD113*VLOOKUP($A113,'EU Ref Sc 2020 Energy intensive'!$A$5:$AE$33,AE$2)</f>
        <v>2.3493818499131072</v>
      </c>
      <c r="AF113" s="12">
        <f>AE113*VLOOKUP($A113,'EU Ref Sc 2020 Energy intensive'!$A$5:$AE$33,AF$2)</f>
        <v>2.3562030451291585</v>
      </c>
      <c r="AG113" s="12">
        <f>AF113*VLOOKUP($A113,'EU Ref Sc 2020 Energy intensive'!$A$5:$AE$33,AG$2)</f>
        <v>2.3630242403452102</v>
      </c>
      <c r="AH113" s="13">
        <f t="shared" ref="AH113:AQ113" si="113">AG113</f>
        <v>2.3630242403452102</v>
      </c>
      <c r="AI113" s="13">
        <f t="shared" si="113"/>
        <v>2.3630242403452102</v>
      </c>
      <c r="AJ113" s="13">
        <f t="shared" si="113"/>
        <v>2.3630242403452102</v>
      </c>
      <c r="AK113" s="13">
        <f t="shared" si="113"/>
        <v>2.3630242403452102</v>
      </c>
      <c r="AL113" s="13">
        <f t="shared" si="113"/>
        <v>2.3630242403452102</v>
      </c>
      <c r="AM113" s="13">
        <f t="shared" si="113"/>
        <v>2.3630242403452102</v>
      </c>
      <c r="AN113" s="13">
        <f t="shared" si="113"/>
        <v>2.3630242403452102</v>
      </c>
      <c r="AO113" s="13">
        <f t="shared" si="113"/>
        <v>2.3630242403452102</v>
      </c>
      <c r="AP113" s="13">
        <f t="shared" si="113"/>
        <v>2.3630242403452102</v>
      </c>
      <c r="AQ113" s="13">
        <f t="shared" si="113"/>
        <v>2.3630242403452102</v>
      </c>
    </row>
    <row r="114" spans="1:43" x14ac:dyDescent="0.3">
      <c r="A114" t="s">
        <v>1412</v>
      </c>
      <c r="B114" t="s">
        <v>1392</v>
      </c>
      <c r="C114" t="str">
        <f t="shared" si="99"/>
        <v>HUIUEC</v>
      </c>
      <c r="D114" s="2">
        <v>20.712899999999998</v>
      </c>
      <c r="E114" s="12">
        <f>D114*VLOOKUP($A114,'EU Ref Sc 2020 Energy intensive'!$A$5:$AE$33,E$2)</f>
        <v>21.278794342681937</v>
      </c>
      <c r="F114" s="12">
        <f>E114*VLOOKUP($A114,'EU Ref Sc 2020 Energy intensive'!$A$5:$AE$33,F$2)</f>
        <v>21.844688685363881</v>
      </c>
      <c r="G114" s="12">
        <f>F114*VLOOKUP($A114,'EU Ref Sc 2020 Energy intensive'!$A$5:$AE$33,G$2)</f>
        <v>22.410583028045824</v>
      </c>
      <c r="H114" s="12">
        <f>G114*VLOOKUP($A114,'EU Ref Sc 2020 Energy intensive'!$A$5:$AE$33,H$2)</f>
        <v>22.976477370727768</v>
      </c>
      <c r="I114" s="12">
        <f>H114*VLOOKUP($A114,'EU Ref Sc 2020 Energy intensive'!$A$5:$AE$33,I$2)</f>
        <v>23.360610613536899</v>
      </c>
      <c r="J114" s="12">
        <f>I114*VLOOKUP($A114,'EU Ref Sc 2020 Energy intensive'!$A$5:$AE$33,J$2)</f>
        <v>23.74474385634603</v>
      </c>
      <c r="K114" s="12">
        <f>J114*VLOOKUP($A114,'EU Ref Sc 2020 Energy intensive'!$A$5:$AE$33,K$2)</f>
        <v>24.128877099155162</v>
      </c>
      <c r="L114" s="12">
        <f>K114*VLOOKUP($A114,'EU Ref Sc 2020 Energy intensive'!$A$5:$AE$33,L$2)</f>
        <v>24.513010341964293</v>
      </c>
      <c r="M114" s="12">
        <f>L114*VLOOKUP($A114,'EU Ref Sc 2020 Energy intensive'!$A$5:$AE$33,M$2)</f>
        <v>24.897143584773417</v>
      </c>
      <c r="N114" s="12">
        <f>M114*VLOOKUP($A114,'EU Ref Sc 2020 Energy intensive'!$A$5:$AE$33,N$2)</f>
        <v>24.037043948540742</v>
      </c>
      <c r="O114" s="12">
        <f>N114*VLOOKUP($A114,'EU Ref Sc 2020 Energy intensive'!$A$5:$AE$33,O$2)</f>
        <v>23.17694431230807</v>
      </c>
      <c r="P114" s="12">
        <f>O114*VLOOKUP($A114,'EU Ref Sc 2020 Energy intensive'!$A$5:$AE$33,P$2)</f>
        <v>22.316844676075394</v>
      </c>
      <c r="Q114" s="12">
        <f>P114*VLOOKUP($A114,'EU Ref Sc 2020 Energy intensive'!$A$5:$AE$33,Q$2)</f>
        <v>21.456745039842723</v>
      </c>
      <c r="R114" s="12">
        <f>Q114*VLOOKUP($A114,'EU Ref Sc 2020 Energy intensive'!$A$5:$AE$33,R$2)</f>
        <v>20.596645403610058</v>
      </c>
      <c r="S114" s="12">
        <f>R114*VLOOKUP($A114,'EU Ref Sc 2020 Energy intensive'!$A$5:$AE$33,S$2)</f>
        <v>20.441067161530263</v>
      </c>
      <c r="T114" s="12">
        <f>S114*VLOOKUP($A114,'EU Ref Sc 2020 Energy intensive'!$A$5:$AE$33,T$2)</f>
        <v>20.285488919450465</v>
      </c>
      <c r="U114" s="12">
        <f>T114*VLOOKUP($A114,'EU Ref Sc 2020 Energy intensive'!$A$5:$AE$33,U$2)</f>
        <v>20.129910677370667</v>
      </c>
      <c r="V114" s="12">
        <f>U114*VLOOKUP($A114,'EU Ref Sc 2020 Energy intensive'!$A$5:$AE$33,V$2)</f>
        <v>19.974332435290869</v>
      </c>
      <c r="W114" s="12">
        <f>V114*VLOOKUP($A114,'EU Ref Sc 2020 Energy intensive'!$A$5:$AE$33,W$2)</f>
        <v>19.818754193211074</v>
      </c>
      <c r="X114" s="12">
        <f>W114*VLOOKUP($A114,'EU Ref Sc 2020 Energy intensive'!$A$5:$AE$33,X$2)</f>
        <v>19.740986272329824</v>
      </c>
      <c r="Y114" s="12">
        <f>X114*VLOOKUP($A114,'EU Ref Sc 2020 Energy intensive'!$A$5:$AE$33,Y$2)</f>
        <v>19.663218351448574</v>
      </c>
      <c r="Z114" s="12">
        <f>Y114*VLOOKUP($A114,'EU Ref Sc 2020 Energy intensive'!$A$5:$AE$33,Z$2)</f>
        <v>19.585450430567324</v>
      </c>
      <c r="AA114" s="12">
        <f>Z114*VLOOKUP($A114,'EU Ref Sc 2020 Energy intensive'!$A$5:$AE$33,AA$2)</f>
        <v>19.507682509686074</v>
      </c>
      <c r="AB114" s="12">
        <f>AA114*VLOOKUP($A114,'EU Ref Sc 2020 Energy intensive'!$A$5:$AE$33,AB$2)</f>
        <v>19.429914588804824</v>
      </c>
      <c r="AC114" s="12">
        <f>AB114*VLOOKUP($A114,'EU Ref Sc 2020 Energy intensive'!$A$5:$AE$33,AC$2)</f>
        <v>19.442571093981588</v>
      </c>
      <c r="AD114" s="12">
        <f>AC114*VLOOKUP($A114,'EU Ref Sc 2020 Energy intensive'!$A$5:$AE$33,AD$2)</f>
        <v>19.455227599158356</v>
      </c>
      <c r="AE114" s="12">
        <f>AD114*VLOOKUP($A114,'EU Ref Sc 2020 Energy intensive'!$A$5:$AE$33,AE$2)</f>
        <v>19.467884104335116</v>
      </c>
      <c r="AF114" s="12">
        <f>AE114*VLOOKUP($A114,'EU Ref Sc 2020 Energy intensive'!$A$5:$AE$33,AF$2)</f>
        <v>19.48054060951188</v>
      </c>
      <c r="AG114" s="12">
        <f>AF114*VLOOKUP($A114,'EU Ref Sc 2020 Energy intensive'!$A$5:$AE$33,AG$2)</f>
        <v>19.493197114688641</v>
      </c>
      <c r="AH114" s="13">
        <f t="shared" ref="AH114:AQ114" si="114">AG114</f>
        <v>19.493197114688641</v>
      </c>
      <c r="AI114" s="13">
        <f t="shared" si="114"/>
        <v>19.493197114688641</v>
      </c>
      <c r="AJ114" s="13">
        <f t="shared" si="114"/>
        <v>19.493197114688641</v>
      </c>
      <c r="AK114" s="13">
        <f t="shared" si="114"/>
        <v>19.493197114688641</v>
      </c>
      <c r="AL114" s="13">
        <f t="shared" si="114"/>
        <v>19.493197114688641</v>
      </c>
      <c r="AM114" s="13">
        <f t="shared" si="114"/>
        <v>19.493197114688641</v>
      </c>
      <c r="AN114" s="13">
        <f t="shared" si="114"/>
        <v>19.493197114688641</v>
      </c>
      <c r="AO114" s="13">
        <f t="shared" si="114"/>
        <v>19.493197114688641</v>
      </c>
      <c r="AP114" s="13">
        <f t="shared" si="114"/>
        <v>19.493197114688641</v>
      </c>
      <c r="AQ114" s="13">
        <f t="shared" si="114"/>
        <v>19.493197114688641</v>
      </c>
    </row>
    <row r="115" spans="1:43" x14ac:dyDescent="0.3">
      <c r="A115" t="s">
        <v>1413</v>
      </c>
      <c r="B115" t="s">
        <v>1392</v>
      </c>
      <c r="C115" t="str">
        <f t="shared" si="99"/>
        <v>IEIUEC</v>
      </c>
      <c r="D115" s="2">
        <v>4.3770000000000007</v>
      </c>
      <c r="E115" s="12">
        <f>D115*VLOOKUP($A115,'EU Ref Sc 2020 Energy intensive'!$A$5:$AE$33,E$2)</f>
        <v>4.3697272999321051</v>
      </c>
      <c r="F115" s="12">
        <f>E115*VLOOKUP($A115,'EU Ref Sc 2020 Energy intensive'!$A$5:$AE$33,F$2)</f>
        <v>4.3624545998642095</v>
      </c>
      <c r="G115" s="12">
        <f>F115*VLOOKUP($A115,'EU Ref Sc 2020 Energy intensive'!$A$5:$AE$33,G$2)</f>
        <v>4.3551818997963139</v>
      </c>
      <c r="H115" s="12">
        <f>G115*VLOOKUP($A115,'EU Ref Sc 2020 Energy intensive'!$A$5:$AE$33,H$2)</f>
        <v>4.34790919972842</v>
      </c>
      <c r="I115" s="12">
        <f>H115*VLOOKUP($A115,'EU Ref Sc 2020 Energy intensive'!$A$5:$AE$33,I$2)</f>
        <v>4.3701081963276902</v>
      </c>
      <c r="J115" s="12">
        <f>I115*VLOOKUP($A115,'EU Ref Sc 2020 Energy intensive'!$A$5:$AE$33,J$2)</f>
        <v>4.3923071929269604</v>
      </c>
      <c r="K115" s="12">
        <f>J115*VLOOKUP($A115,'EU Ref Sc 2020 Energy intensive'!$A$5:$AE$33,K$2)</f>
        <v>4.4145061895262296</v>
      </c>
      <c r="L115" s="12">
        <f>K115*VLOOKUP($A115,'EU Ref Sc 2020 Energy intensive'!$A$5:$AE$33,L$2)</f>
        <v>4.4367051861254998</v>
      </c>
      <c r="M115" s="12">
        <f>L115*VLOOKUP($A115,'EU Ref Sc 2020 Energy intensive'!$A$5:$AE$33,M$2)</f>
        <v>4.4589041827247717</v>
      </c>
      <c r="N115" s="12">
        <f>M115*VLOOKUP($A115,'EU Ref Sc 2020 Energy intensive'!$A$5:$AE$33,N$2)</f>
        <v>4.3359945797291308</v>
      </c>
      <c r="O115" s="12">
        <f>N115*VLOOKUP($A115,'EU Ref Sc 2020 Energy intensive'!$A$5:$AE$33,O$2)</f>
        <v>4.2130849767334899</v>
      </c>
      <c r="P115" s="12">
        <f>O115*VLOOKUP($A115,'EU Ref Sc 2020 Energy intensive'!$A$5:$AE$33,P$2)</f>
        <v>4.0901753737378481</v>
      </c>
      <c r="Q115" s="12">
        <f>P115*VLOOKUP($A115,'EU Ref Sc 2020 Energy intensive'!$A$5:$AE$33,Q$2)</f>
        <v>3.9672657707422068</v>
      </c>
      <c r="R115" s="12">
        <f>Q115*VLOOKUP($A115,'EU Ref Sc 2020 Energy intensive'!$A$5:$AE$33,R$2)</f>
        <v>3.8443561677465654</v>
      </c>
      <c r="S115" s="12">
        <f>R115*VLOOKUP($A115,'EU Ref Sc 2020 Energy intensive'!$A$5:$AE$33,S$2)</f>
        <v>3.8425312274019983</v>
      </c>
      <c r="T115" s="12">
        <f>S115*VLOOKUP($A115,'EU Ref Sc 2020 Energy intensive'!$A$5:$AE$33,T$2)</f>
        <v>3.8407062870574316</v>
      </c>
      <c r="U115" s="12">
        <f>T115*VLOOKUP($A115,'EU Ref Sc 2020 Energy intensive'!$A$5:$AE$33,U$2)</f>
        <v>3.8388813467128644</v>
      </c>
      <c r="V115" s="12">
        <f>U115*VLOOKUP($A115,'EU Ref Sc 2020 Energy intensive'!$A$5:$AE$33,V$2)</f>
        <v>3.8370564063682973</v>
      </c>
      <c r="W115" s="12">
        <f>V115*VLOOKUP($A115,'EU Ref Sc 2020 Energy intensive'!$A$5:$AE$33,W$2)</f>
        <v>3.8352314660237288</v>
      </c>
      <c r="X115" s="12">
        <f>W115*VLOOKUP($A115,'EU Ref Sc 2020 Energy intensive'!$A$5:$AE$33,X$2)</f>
        <v>3.8239420825860373</v>
      </c>
      <c r="Y115" s="12">
        <f>X115*VLOOKUP($A115,'EU Ref Sc 2020 Energy intensive'!$A$5:$AE$33,Y$2)</f>
        <v>3.8126526991483458</v>
      </c>
      <c r="Z115" s="12">
        <f>Y115*VLOOKUP($A115,'EU Ref Sc 2020 Energy intensive'!$A$5:$AE$33,Z$2)</f>
        <v>3.8013633157106539</v>
      </c>
      <c r="AA115" s="12">
        <f>Z115*VLOOKUP($A115,'EU Ref Sc 2020 Energy intensive'!$A$5:$AE$33,AA$2)</f>
        <v>3.7900739322729624</v>
      </c>
      <c r="AB115" s="12">
        <f>AA115*VLOOKUP($A115,'EU Ref Sc 2020 Energy intensive'!$A$5:$AE$33,AB$2)</f>
        <v>3.77878454883527</v>
      </c>
      <c r="AC115" s="12">
        <f>AB115*VLOOKUP($A115,'EU Ref Sc 2020 Energy intensive'!$A$5:$AE$33,AC$2)</f>
        <v>3.7705914402363243</v>
      </c>
      <c r="AD115" s="12">
        <f>AC115*VLOOKUP($A115,'EU Ref Sc 2020 Energy intensive'!$A$5:$AE$33,AD$2)</f>
        <v>3.7623983316373786</v>
      </c>
      <c r="AE115" s="12">
        <f>AD115*VLOOKUP($A115,'EU Ref Sc 2020 Energy intensive'!$A$5:$AE$33,AE$2)</f>
        <v>3.7542052230384328</v>
      </c>
      <c r="AF115" s="12">
        <f>AE115*VLOOKUP($A115,'EU Ref Sc 2020 Energy intensive'!$A$5:$AE$33,AF$2)</f>
        <v>3.7460121144394871</v>
      </c>
      <c r="AG115" s="12">
        <f>AF115*VLOOKUP($A115,'EU Ref Sc 2020 Energy intensive'!$A$5:$AE$33,AG$2)</f>
        <v>3.7378190058405432</v>
      </c>
      <c r="AH115" s="13">
        <f t="shared" ref="AH115:AQ115" si="115">AG115</f>
        <v>3.7378190058405432</v>
      </c>
      <c r="AI115" s="13">
        <f t="shared" si="115"/>
        <v>3.7378190058405432</v>
      </c>
      <c r="AJ115" s="13">
        <f t="shared" si="115"/>
        <v>3.7378190058405432</v>
      </c>
      <c r="AK115" s="13">
        <f t="shared" si="115"/>
        <v>3.7378190058405432</v>
      </c>
      <c r="AL115" s="13">
        <f t="shared" si="115"/>
        <v>3.7378190058405432</v>
      </c>
      <c r="AM115" s="13">
        <f t="shared" si="115"/>
        <v>3.7378190058405432</v>
      </c>
      <c r="AN115" s="13">
        <f t="shared" si="115"/>
        <v>3.7378190058405432</v>
      </c>
      <c r="AO115" s="13">
        <f t="shared" si="115"/>
        <v>3.7378190058405432</v>
      </c>
      <c r="AP115" s="13">
        <f t="shared" si="115"/>
        <v>3.7378190058405432</v>
      </c>
      <c r="AQ115" s="13">
        <f t="shared" si="115"/>
        <v>3.7378190058405432</v>
      </c>
    </row>
    <row r="116" spans="1:43" x14ac:dyDescent="0.3">
      <c r="A116" t="s">
        <v>1414</v>
      </c>
      <c r="B116" t="s">
        <v>1392</v>
      </c>
      <c r="C116" t="str">
        <f t="shared" si="99"/>
        <v>ITIUEC</v>
      </c>
      <c r="D116" s="2">
        <v>81.671099999999996</v>
      </c>
      <c r="E116" s="12">
        <f>D116*VLOOKUP($A116,'EU Ref Sc 2020 Energy intensive'!$A$5:$AE$33,E$2)</f>
        <v>82.227153871179027</v>
      </c>
      <c r="F116" s="12">
        <f>E116*VLOOKUP($A116,'EU Ref Sc 2020 Energy intensive'!$A$5:$AE$33,F$2)</f>
        <v>82.783207742358073</v>
      </c>
      <c r="G116" s="12">
        <f>F116*VLOOKUP($A116,'EU Ref Sc 2020 Energy intensive'!$A$5:$AE$33,G$2)</f>
        <v>83.339261613537118</v>
      </c>
      <c r="H116" s="12">
        <f>G116*VLOOKUP($A116,'EU Ref Sc 2020 Energy intensive'!$A$5:$AE$33,H$2)</f>
        <v>83.895315484716164</v>
      </c>
      <c r="I116" s="12">
        <f>H116*VLOOKUP($A116,'EU Ref Sc 2020 Energy intensive'!$A$5:$AE$33,I$2)</f>
        <v>83.361864739228096</v>
      </c>
      <c r="J116" s="12">
        <f>I116*VLOOKUP($A116,'EU Ref Sc 2020 Energy intensive'!$A$5:$AE$33,J$2)</f>
        <v>82.828413993740014</v>
      </c>
      <c r="K116" s="12">
        <f>J116*VLOOKUP($A116,'EU Ref Sc 2020 Energy intensive'!$A$5:$AE$33,K$2)</f>
        <v>82.294963248251932</v>
      </c>
      <c r="L116" s="12">
        <f>K116*VLOOKUP($A116,'EU Ref Sc 2020 Energy intensive'!$A$5:$AE$33,L$2)</f>
        <v>81.76151250276385</v>
      </c>
      <c r="M116" s="12">
        <f>L116*VLOOKUP($A116,'EU Ref Sc 2020 Energy intensive'!$A$5:$AE$33,M$2)</f>
        <v>81.228061757275782</v>
      </c>
      <c r="N116" s="12">
        <f>M116*VLOOKUP($A116,'EU Ref Sc 2020 Energy intensive'!$A$5:$AE$33,N$2)</f>
        <v>80.093688742061815</v>
      </c>
      <c r="O116" s="12">
        <f>N116*VLOOKUP($A116,'EU Ref Sc 2020 Energy intensive'!$A$5:$AE$33,O$2)</f>
        <v>78.959315726847848</v>
      </c>
      <c r="P116" s="12">
        <f>O116*VLOOKUP($A116,'EU Ref Sc 2020 Energy intensive'!$A$5:$AE$33,P$2)</f>
        <v>77.824942711633881</v>
      </c>
      <c r="Q116" s="12">
        <f>P116*VLOOKUP($A116,'EU Ref Sc 2020 Energy intensive'!$A$5:$AE$33,Q$2)</f>
        <v>76.690569696419914</v>
      </c>
      <c r="R116" s="12">
        <f>Q116*VLOOKUP($A116,'EU Ref Sc 2020 Energy intensive'!$A$5:$AE$33,R$2)</f>
        <v>75.556196681205961</v>
      </c>
      <c r="S116" s="12">
        <f>R116*VLOOKUP($A116,'EU Ref Sc 2020 Energy intensive'!$A$5:$AE$33,S$2)</f>
        <v>74.340412456933265</v>
      </c>
      <c r="T116" s="12">
        <f>S116*VLOOKUP($A116,'EU Ref Sc 2020 Energy intensive'!$A$5:$AE$33,T$2)</f>
        <v>73.124628232660569</v>
      </c>
      <c r="U116" s="12">
        <f>T116*VLOOKUP($A116,'EU Ref Sc 2020 Energy intensive'!$A$5:$AE$33,U$2)</f>
        <v>71.90884400838786</v>
      </c>
      <c r="V116" s="12">
        <f>U116*VLOOKUP($A116,'EU Ref Sc 2020 Energy intensive'!$A$5:$AE$33,V$2)</f>
        <v>70.693059784115164</v>
      </c>
      <c r="W116" s="12">
        <f>V116*VLOOKUP($A116,'EU Ref Sc 2020 Energy intensive'!$A$5:$AE$33,W$2)</f>
        <v>69.477275559842454</v>
      </c>
      <c r="X116" s="12">
        <f>W116*VLOOKUP($A116,'EU Ref Sc 2020 Energy intensive'!$A$5:$AE$33,X$2)</f>
        <v>68.63193938423781</v>
      </c>
      <c r="Y116" s="12">
        <f>X116*VLOOKUP($A116,'EU Ref Sc 2020 Energy intensive'!$A$5:$AE$33,Y$2)</f>
        <v>67.786603208633167</v>
      </c>
      <c r="Z116" s="12">
        <f>Y116*VLOOKUP($A116,'EU Ref Sc 2020 Energy intensive'!$A$5:$AE$33,Z$2)</f>
        <v>66.941267033028524</v>
      </c>
      <c r="AA116" s="12">
        <f>Z116*VLOOKUP($A116,'EU Ref Sc 2020 Energy intensive'!$A$5:$AE$33,AA$2)</f>
        <v>66.09593085742388</v>
      </c>
      <c r="AB116" s="12">
        <f>AA116*VLOOKUP($A116,'EU Ref Sc 2020 Energy intensive'!$A$5:$AE$33,AB$2)</f>
        <v>65.250594681819209</v>
      </c>
      <c r="AC116" s="12">
        <f>AB116*VLOOKUP($A116,'EU Ref Sc 2020 Energy intensive'!$A$5:$AE$33,AC$2)</f>
        <v>66.132402799138134</v>
      </c>
      <c r="AD116" s="12">
        <f>AC116*VLOOKUP($A116,'EU Ref Sc 2020 Energy intensive'!$A$5:$AE$33,AD$2)</f>
        <v>67.01421091645706</v>
      </c>
      <c r="AE116" s="12">
        <f>AD116*VLOOKUP($A116,'EU Ref Sc 2020 Energy intensive'!$A$5:$AE$33,AE$2)</f>
        <v>67.896019033775985</v>
      </c>
      <c r="AF116" s="12">
        <f>AE116*VLOOKUP($A116,'EU Ref Sc 2020 Energy intensive'!$A$5:$AE$33,AF$2)</f>
        <v>68.777827151094911</v>
      </c>
      <c r="AG116" s="12">
        <f>AF116*VLOOKUP($A116,'EU Ref Sc 2020 Energy intensive'!$A$5:$AE$33,AG$2)</f>
        <v>69.659635268413851</v>
      </c>
      <c r="AH116" s="13">
        <f t="shared" ref="AH116:AQ116" si="116">AG116</f>
        <v>69.659635268413851</v>
      </c>
      <c r="AI116" s="13">
        <f t="shared" si="116"/>
        <v>69.659635268413851</v>
      </c>
      <c r="AJ116" s="13">
        <f t="shared" si="116"/>
        <v>69.659635268413851</v>
      </c>
      <c r="AK116" s="13">
        <f t="shared" si="116"/>
        <v>69.659635268413851</v>
      </c>
      <c r="AL116" s="13">
        <f t="shared" si="116"/>
        <v>69.659635268413851</v>
      </c>
      <c r="AM116" s="13">
        <f t="shared" si="116"/>
        <v>69.659635268413851</v>
      </c>
      <c r="AN116" s="13">
        <f t="shared" si="116"/>
        <v>69.659635268413851</v>
      </c>
      <c r="AO116" s="13">
        <f t="shared" si="116"/>
        <v>69.659635268413851</v>
      </c>
      <c r="AP116" s="13">
        <f t="shared" si="116"/>
        <v>69.659635268413851</v>
      </c>
      <c r="AQ116" s="13">
        <f t="shared" si="116"/>
        <v>69.659635268413851</v>
      </c>
    </row>
    <row r="117" spans="1:43" x14ac:dyDescent="0.3">
      <c r="A117" t="s">
        <v>1415</v>
      </c>
      <c r="B117" t="s">
        <v>1392</v>
      </c>
      <c r="C117" t="str">
        <f t="shared" si="99"/>
        <v>LTIUEC</v>
      </c>
      <c r="D117" s="2">
        <v>6.1769999999999996</v>
      </c>
      <c r="E117" s="12">
        <f>D117*VLOOKUP($A117,'EU Ref Sc 2020 Energy intensive'!$A$5:$AE$33,E$2)</f>
        <v>6.223716184629617</v>
      </c>
      <c r="F117" s="12">
        <f>E117*VLOOKUP($A117,'EU Ref Sc 2020 Energy intensive'!$A$5:$AE$33,F$2)</f>
        <v>6.2704323692592343</v>
      </c>
      <c r="G117" s="12">
        <f>F117*VLOOKUP($A117,'EU Ref Sc 2020 Energy intensive'!$A$5:$AE$33,G$2)</f>
        <v>6.3171485538888517</v>
      </c>
      <c r="H117" s="12">
        <f>G117*VLOOKUP($A117,'EU Ref Sc 2020 Energy intensive'!$A$5:$AE$33,H$2)</f>
        <v>6.3638647385184708</v>
      </c>
      <c r="I117" s="12">
        <f>H117*VLOOKUP($A117,'EU Ref Sc 2020 Energy intensive'!$A$5:$AE$33,I$2)</f>
        <v>6.3082371816217711</v>
      </c>
      <c r="J117" s="12">
        <f>I117*VLOOKUP($A117,'EU Ref Sc 2020 Energy intensive'!$A$5:$AE$33,J$2)</f>
        <v>6.2526096247250713</v>
      </c>
      <c r="K117" s="12">
        <f>J117*VLOOKUP($A117,'EU Ref Sc 2020 Energy intensive'!$A$5:$AE$33,K$2)</f>
        <v>6.1969820678283716</v>
      </c>
      <c r="L117" s="12">
        <f>K117*VLOOKUP($A117,'EU Ref Sc 2020 Energy intensive'!$A$5:$AE$33,L$2)</f>
        <v>6.1413545109316718</v>
      </c>
      <c r="M117" s="12">
        <f>L117*VLOOKUP($A117,'EU Ref Sc 2020 Energy intensive'!$A$5:$AE$33,M$2)</f>
        <v>6.0857269540349703</v>
      </c>
      <c r="N117" s="12">
        <f>M117*VLOOKUP($A117,'EU Ref Sc 2020 Energy intensive'!$A$5:$AE$33,N$2)</f>
        <v>5.9672604078853615</v>
      </c>
      <c r="O117" s="12">
        <f>N117*VLOOKUP($A117,'EU Ref Sc 2020 Energy intensive'!$A$5:$AE$33,O$2)</f>
        <v>5.8487938617357527</v>
      </c>
      <c r="P117" s="12">
        <f>O117*VLOOKUP($A117,'EU Ref Sc 2020 Energy intensive'!$A$5:$AE$33,P$2)</f>
        <v>5.7303273155861447</v>
      </c>
      <c r="Q117" s="12">
        <f>P117*VLOOKUP($A117,'EU Ref Sc 2020 Energy intensive'!$A$5:$AE$33,Q$2)</f>
        <v>5.6118607694365368</v>
      </c>
      <c r="R117" s="12">
        <f>Q117*VLOOKUP($A117,'EU Ref Sc 2020 Energy intensive'!$A$5:$AE$33,R$2)</f>
        <v>5.4933942232869297</v>
      </c>
      <c r="S117" s="12">
        <f>R117*VLOOKUP($A117,'EU Ref Sc 2020 Energy intensive'!$A$5:$AE$33,S$2)</f>
        <v>5.397800154032554</v>
      </c>
      <c r="T117" s="12">
        <f>S117*VLOOKUP($A117,'EU Ref Sc 2020 Energy intensive'!$A$5:$AE$33,T$2)</f>
        <v>5.3022060847781791</v>
      </c>
      <c r="U117" s="12">
        <f>T117*VLOOKUP($A117,'EU Ref Sc 2020 Energy intensive'!$A$5:$AE$33,U$2)</f>
        <v>5.2066120155238043</v>
      </c>
      <c r="V117" s="12">
        <f>U117*VLOOKUP($A117,'EU Ref Sc 2020 Energy intensive'!$A$5:$AE$33,V$2)</f>
        <v>5.1110179462694285</v>
      </c>
      <c r="W117" s="12">
        <f>V117*VLOOKUP($A117,'EU Ref Sc 2020 Energy intensive'!$A$5:$AE$33,W$2)</f>
        <v>5.0154238770150528</v>
      </c>
      <c r="X117" s="12">
        <f>W117*VLOOKUP($A117,'EU Ref Sc 2020 Energy intensive'!$A$5:$AE$33,X$2)</f>
        <v>4.937192570960045</v>
      </c>
      <c r="Y117" s="12">
        <f>X117*VLOOKUP($A117,'EU Ref Sc 2020 Energy intensive'!$A$5:$AE$33,Y$2)</f>
        <v>4.8589612649050373</v>
      </c>
      <c r="Z117" s="12">
        <f>Y117*VLOOKUP($A117,'EU Ref Sc 2020 Energy intensive'!$A$5:$AE$33,Z$2)</f>
        <v>4.7807299588500296</v>
      </c>
      <c r="AA117" s="12">
        <f>Z117*VLOOKUP($A117,'EU Ref Sc 2020 Energy intensive'!$A$5:$AE$33,AA$2)</f>
        <v>4.7024986527950219</v>
      </c>
      <c r="AB117" s="12">
        <f>AA117*VLOOKUP($A117,'EU Ref Sc 2020 Energy intensive'!$A$5:$AE$33,AB$2)</f>
        <v>4.6242673467400124</v>
      </c>
      <c r="AC117" s="12">
        <f>AB117*VLOOKUP($A117,'EU Ref Sc 2020 Energy intensive'!$A$5:$AE$33,AC$2)</f>
        <v>4.6705250948738977</v>
      </c>
      <c r="AD117" s="12">
        <f>AC117*VLOOKUP($A117,'EU Ref Sc 2020 Energy intensive'!$A$5:$AE$33,AD$2)</f>
        <v>4.7167828430077829</v>
      </c>
      <c r="AE117" s="12">
        <f>AD117*VLOOKUP($A117,'EU Ref Sc 2020 Energy intensive'!$A$5:$AE$33,AE$2)</f>
        <v>4.7630405911416691</v>
      </c>
      <c r="AF117" s="12">
        <f>AE117*VLOOKUP($A117,'EU Ref Sc 2020 Energy intensive'!$A$5:$AE$33,AF$2)</f>
        <v>4.8092983392755553</v>
      </c>
      <c r="AG117" s="12">
        <f>AF117*VLOOKUP($A117,'EU Ref Sc 2020 Energy intensive'!$A$5:$AE$33,AG$2)</f>
        <v>4.8555560874094414</v>
      </c>
      <c r="AH117" s="13">
        <f t="shared" ref="AH117:AQ117" si="117">AG117</f>
        <v>4.8555560874094414</v>
      </c>
      <c r="AI117" s="13">
        <f t="shared" si="117"/>
        <v>4.8555560874094414</v>
      </c>
      <c r="AJ117" s="13">
        <f t="shared" si="117"/>
        <v>4.8555560874094414</v>
      </c>
      <c r="AK117" s="13">
        <f t="shared" si="117"/>
        <v>4.8555560874094414</v>
      </c>
      <c r="AL117" s="13">
        <f t="shared" si="117"/>
        <v>4.8555560874094414</v>
      </c>
      <c r="AM117" s="13">
        <f t="shared" si="117"/>
        <v>4.8555560874094414</v>
      </c>
      <c r="AN117" s="13">
        <f t="shared" si="117"/>
        <v>4.8555560874094414</v>
      </c>
      <c r="AO117" s="13">
        <f t="shared" si="117"/>
        <v>4.8555560874094414</v>
      </c>
      <c r="AP117" s="13">
        <f t="shared" si="117"/>
        <v>4.8555560874094414</v>
      </c>
      <c r="AQ117" s="13">
        <f t="shared" si="117"/>
        <v>4.8555560874094414</v>
      </c>
    </row>
    <row r="118" spans="1:43" x14ac:dyDescent="0.3">
      <c r="A118" t="s">
        <v>1419</v>
      </c>
      <c r="B118" t="s">
        <v>1392</v>
      </c>
      <c r="C118" t="str">
        <f t="shared" si="99"/>
        <v>NLIUEC</v>
      </c>
      <c r="D118" s="2">
        <v>160.75279999999998</v>
      </c>
      <c r="E118" s="12">
        <f>D118*VLOOKUP($A118,'EU Ref Sc 2020 Energy intensive'!$A$5:$AE$33,E$2)</f>
        <v>161.50244296928278</v>
      </c>
      <c r="F118" s="12">
        <f>E118*VLOOKUP($A118,'EU Ref Sc 2020 Energy intensive'!$A$5:$AE$33,F$2)</f>
        <v>162.25208593856556</v>
      </c>
      <c r="G118" s="12">
        <f>F118*VLOOKUP($A118,'EU Ref Sc 2020 Energy intensive'!$A$5:$AE$33,G$2)</f>
        <v>163.00172890784836</v>
      </c>
      <c r="H118" s="12">
        <f>G118*VLOOKUP($A118,'EU Ref Sc 2020 Energy intensive'!$A$5:$AE$33,H$2)</f>
        <v>163.75137187713119</v>
      </c>
      <c r="I118" s="12">
        <f>H118*VLOOKUP($A118,'EU Ref Sc 2020 Energy intensive'!$A$5:$AE$33,I$2)</f>
        <v>160.46301310096896</v>
      </c>
      <c r="J118" s="12">
        <f>I118*VLOOKUP($A118,'EU Ref Sc 2020 Energy intensive'!$A$5:$AE$33,J$2)</f>
        <v>157.17465432480674</v>
      </c>
      <c r="K118" s="12">
        <f>J118*VLOOKUP($A118,'EU Ref Sc 2020 Energy intensive'!$A$5:$AE$33,K$2)</f>
        <v>153.88629554864451</v>
      </c>
      <c r="L118" s="12">
        <f>K118*VLOOKUP($A118,'EU Ref Sc 2020 Energy intensive'!$A$5:$AE$33,L$2)</f>
        <v>150.59793677248229</v>
      </c>
      <c r="M118" s="12">
        <f>L118*VLOOKUP($A118,'EU Ref Sc 2020 Energy intensive'!$A$5:$AE$33,M$2)</f>
        <v>147.30957799632003</v>
      </c>
      <c r="N118" s="12">
        <f>M118*VLOOKUP($A118,'EU Ref Sc 2020 Energy intensive'!$A$5:$AE$33,N$2)</f>
        <v>145.83335492720113</v>
      </c>
      <c r="O118" s="12">
        <f>N118*VLOOKUP($A118,'EU Ref Sc 2020 Energy intensive'!$A$5:$AE$33,O$2)</f>
        <v>144.35713185808223</v>
      </c>
      <c r="P118" s="12">
        <f>O118*VLOOKUP($A118,'EU Ref Sc 2020 Energy intensive'!$A$5:$AE$33,P$2)</f>
        <v>142.88090878896332</v>
      </c>
      <c r="Q118" s="12">
        <f>P118*VLOOKUP($A118,'EU Ref Sc 2020 Energy intensive'!$A$5:$AE$33,Q$2)</f>
        <v>141.40468571984442</v>
      </c>
      <c r="R118" s="12">
        <f>Q118*VLOOKUP($A118,'EU Ref Sc 2020 Energy intensive'!$A$5:$AE$33,R$2)</f>
        <v>139.92846265072552</v>
      </c>
      <c r="S118" s="12">
        <f>R118*VLOOKUP($A118,'EU Ref Sc 2020 Energy intensive'!$A$5:$AE$33,S$2)</f>
        <v>135.76232219201387</v>
      </c>
      <c r="T118" s="12">
        <f>S118*VLOOKUP($A118,'EU Ref Sc 2020 Energy intensive'!$A$5:$AE$33,T$2)</f>
        <v>131.59618173330222</v>
      </c>
      <c r="U118" s="12">
        <f>T118*VLOOKUP($A118,'EU Ref Sc 2020 Energy intensive'!$A$5:$AE$33,U$2)</f>
        <v>127.43004127459058</v>
      </c>
      <c r="V118" s="12">
        <f>U118*VLOOKUP($A118,'EU Ref Sc 2020 Energy intensive'!$A$5:$AE$33,V$2)</f>
        <v>123.26390081587893</v>
      </c>
      <c r="W118" s="12">
        <f>V118*VLOOKUP($A118,'EU Ref Sc 2020 Energy intensive'!$A$5:$AE$33,W$2)</f>
        <v>119.09776035716727</v>
      </c>
      <c r="X118" s="12">
        <f>W118*VLOOKUP($A118,'EU Ref Sc 2020 Energy intensive'!$A$5:$AE$33,X$2)</f>
        <v>119.19722222606609</v>
      </c>
      <c r="Y118" s="12">
        <f>X118*VLOOKUP($A118,'EU Ref Sc 2020 Energy intensive'!$A$5:$AE$33,Y$2)</f>
        <v>119.2966840949649</v>
      </c>
      <c r="Z118" s="12">
        <f>Y118*VLOOKUP($A118,'EU Ref Sc 2020 Energy intensive'!$A$5:$AE$33,Z$2)</f>
        <v>119.39614596386372</v>
      </c>
      <c r="AA118" s="12">
        <f>Z118*VLOOKUP($A118,'EU Ref Sc 2020 Energy intensive'!$A$5:$AE$33,AA$2)</f>
        <v>119.49560783276254</v>
      </c>
      <c r="AB118" s="12">
        <f>AA118*VLOOKUP($A118,'EU Ref Sc 2020 Energy intensive'!$A$5:$AE$33,AB$2)</f>
        <v>119.59506970166139</v>
      </c>
      <c r="AC118" s="12">
        <f>AB118*VLOOKUP($A118,'EU Ref Sc 2020 Energy intensive'!$A$5:$AE$33,AC$2)</f>
        <v>120.23959652170436</v>
      </c>
      <c r="AD118" s="12">
        <f>AC118*VLOOKUP($A118,'EU Ref Sc 2020 Energy intensive'!$A$5:$AE$33,AD$2)</f>
        <v>120.88412334174734</v>
      </c>
      <c r="AE118" s="12">
        <f>AD118*VLOOKUP($A118,'EU Ref Sc 2020 Energy intensive'!$A$5:$AE$33,AE$2)</f>
        <v>121.52865016179031</v>
      </c>
      <c r="AF118" s="12">
        <f>AE118*VLOOKUP($A118,'EU Ref Sc 2020 Energy intensive'!$A$5:$AE$33,AF$2)</f>
        <v>122.17317698183328</v>
      </c>
      <c r="AG118" s="12">
        <f>AF118*VLOOKUP($A118,'EU Ref Sc 2020 Energy intensive'!$A$5:$AE$33,AG$2)</f>
        <v>122.81770380187625</v>
      </c>
      <c r="AH118" s="13">
        <f t="shared" ref="AH118:AQ118" si="118">AG118</f>
        <v>122.81770380187625</v>
      </c>
      <c r="AI118" s="13">
        <f t="shared" si="118"/>
        <v>122.81770380187625</v>
      </c>
      <c r="AJ118" s="13">
        <f t="shared" si="118"/>
        <v>122.81770380187625</v>
      </c>
      <c r="AK118" s="13">
        <f t="shared" si="118"/>
        <v>122.81770380187625</v>
      </c>
      <c r="AL118" s="13">
        <f t="shared" si="118"/>
        <v>122.81770380187625</v>
      </c>
      <c r="AM118" s="13">
        <f t="shared" si="118"/>
        <v>122.81770380187625</v>
      </c>
      <c r="AN118" s="13">
        <f t="shared" si="118"/>
        <v>122.81770380187625</v>
      </c>
      <c r="AO118" s="13">
        <f t="shared" si="118"/>
        <v>122.81770380187625</v>
      </c>
      <c r="AP118" s="13">
        <f t="shared" si="118"/>
        <v>122.81770380187625</v>
      </c>
      <c r="AQ118" s="13">
        <f t="shared" si="118"/>
        <v>122.81770380187625</v>
      </c>
    </row>
    <row r="119" spans="1:43" x14ac:dyDescent="0.3">
      <c r="A119" t="s">
        <v>1420</v>
      </c>
      <c r="B119" t="s">
        <v>1392</v>
      </c>
      <c r="C119" t="str">
        <f t="shared" si="99"/>
        <v>PLIUEC</v>
      </c>
      <c r="D119" s="2">
        <v>59.524500000000003</v>
      </c>
      <c r="E119" s="12">
        <f>D119*VLOOKUP($A119,'EU Ref Sc 2020 Energy intensive'!$A$5:$AE$33,E$2)</f>
        <v>59.603275223210865</v>
      </c>
      <c r="F119" s="12">
        <f>E119*VLOOKUP($A119,'EU Ref Sc 2020 Energy intensive'!$A$5:$AE$33,F$2)</f>
        <v>59.682050446421727</v>
      </c>
      <c r="G119" s="12">
        <f>F119*VLOOKUP($A119,'EU Ref Sc 2020 Energy intensive'!$A$5:$AE$33,G$2)</f>
        <v>59.760825669632595</v>
      </c>
      <c r="H119" s="12">
        <f>G119*VLOOKUP($A119,'EU Ref Sc 2020 Energy intensive'!$A$5:$AE$33,H$2)</f>
        <v>59.83960089284345</v>
      </c>
      <c r="I119" s="12">
        <f>H119*VLOOKUP($A119,'EU Ref Sc 2020 Energy intensive'!$A$5:$AE$33,I$2)</f>
        <v>59.930249148382636</v>
      </c>
      <c r="J119" s="12">
        <f>I119*VLOOKUP($A119,'EU Ref Sc 2020 Energy intensive'!$A$5:$AE$33,J$2)</f>
        <v>60.020897403921822</v>
      </c>
      <c r="K119" s="12">
        <f>J119*VLOOKUP($A119,'EU Ref Sc 2020 Energy intensive'!$A$5:$AE$33,K$2)</f>
        <v>60.111545659461008</v>
      </c>
      <c r="L119" s="12">
        <f>K119*VLOOKUP($A119,'EU Ref Sc 2020 Energy intensive'!$A$5:$AE$33,L$2)</f>
        <v>60.202193915000187</v>
      </c>
      <c r="M119" s="12">
        <f>L119*VLOOKUP($A119,'EU Ref Sc 2020 Energy intensive'!$A$5:$AE$33,M$2)</f>
        <v>60.292842170539402</v>
      </c>
      <c r="N119" s="12">
        <f>M119*VLOOKUP($A119,'EU Ref Sc 2020 Energy intensive'!$A$5:$AE$33,N$2)</f>
        <v>59.031137131111073</v>
      </c>
      <c r="O119" s="12">
        <f>N119*VLOOKUP($A119,'EU Ref Sc 2020 Energy intensive'!$A$5:$AE$33,O$2)</f>
        <v>57.769432091682745</v>
      </c>
      <c r="P119" s="12">
        <f>O119*VLOOKUP($A119,'EU Ref Sc 2020 Energy intensive'!$A$5:$AE$33,P$2)</f>
        <v>56.507727052254417</v>
      </c>
      <c r="Q119" s="12">
        <f>P119*VLOOKUP($A119,'EU Ref Sc 2020 Energy intensive'!$A$5:$AE$33,Q$2)</f>
        <v>55.246022012826089</v>
      </c>
      <c r="R119" s="12">
        <f>Q119*VLOOKUP($A119,'EU Ref Sc 2020 Energy intensive'!$A$5:$AE$33,R$2)</f>
        <v>53.984316973397739</v>
      </c>
      <c r="S119" s="12">
        <f>R119*VLOOKUP($A119,'EU Ref Sc 2020 Energy intensive'!$A$5:$AE$33,S$2)</f>
        <v>53.776561828713398</v>
      </c>
      <c r="T119" s="12">
        <f>S119*VLOOKUP($A119,'EU Ref Sc 2020 Energy intensive'!$A$5:$AE$33,T$2)</f>
        <v>53.568806684029056</v>
      </c>
      <c r="U119" s="12">
        <f>T119*VLOOKUP($A119,'EU Ref Sc 2020 Energy intensive'!$A$5:$AE$33,U$2)</f>
        <v>53.361051539344714</v>
      </c>
      <c r="V119" s="12">
        <f>U119*VLOOKUP($A119,'EU Ref Sc 2020 Energy intensive'!$A$5:$AE$33,V$2)</f>
        <v>53.153296394660373</v>
      </c>
      <c r="W119" s="12">
        <f>V119*VLOOKUP($A119,'EU Ref Sc 2020 Energy intensive'!$A$5:$AE$33,W$2)</f>
        <v>52.945541249976024</v>
      </c>
      <c r="X119" s="12">
        <f>W119*VLOOKUP($A119,'EU Ref Sc 2020 Energy intensive'!$A$5:$AE$33,X$2)</f>
        <v>52.884838077763142</v>
      </c>
      <c r="Y119" s="12">
        <f>X119*VLOOKUP($A119,'EU Ref Sc 2020 Energy intensive'!$A$5:$AE$33,Y$2)</f>
        <v>52.82413490555026</v>
      </c>
      <c r="Z119" s="12">
        <f>Y119*VLOOKUP($A119,'EU Ref Sc 2020 Energy intensive'!$A$5:$AE$33,Z$2)</f>
        <v>52.76343173333737</v>
      </c>
      <c r="AA119" s="12">
        <f>Z119*VLOOKUP($A119,'EU Ref Sc 2020 Energy intensive'!$A$5:$AE$33,AA$2)</f>
        <v>52.702728561124481</v>
      </c>
      <c r="AB119" s="12">
        <f>AA119*VLOOKUP($A119,'EU Ref Sc 2020 Energy intensive'!$A$5:$AE$33,AB$2)</f>
        <v>52.642025388911591</v>
      </c>
      <c r="AC119" s="12">
        <f>AB119*VLOOKUP($A119,'EU Ref Sc 2020 Energy intensive'!$A$5:$AE$33,AC$2)</f>
        <v>52.51519334531563</v>
      </c>
      <c r="AD119" s="12">
        <f>AC119*VLOOKUP($A119,'EU Ref Sc 2020 Energy intensive'!$A$5:$AE$33,AD$2)</f>
        <v>52.388361301719669</v>
      </c>
      <c r="AE119" s="12">
        <f>AD119*VLOOKUP($A119,'EU Ref Sc 2020 Energy intensive'!$A$5:$AE$33,AE$2)</f>
        <v>52.261529258123709</v>
      </c>
      <c r="AF119" s="12">
        <f>AE119*VLOOKUP($A119,'EU Ref Sc 2020 Energy intensive'!$A$5:$AE$33,AF$2)</f>
        <v>52.134697214527748</v>
      </c>
      <c r="AG119" s="12">
        <f>AF119*VLOOKUP($A119,'EU Ref Sc 2020 Energy intensive'!$A$5:$AE$33,AG$2)</f>
        <v>52.007865170931773</v>
      </c>
      <c r="AH119" s="13">
        <f t="shared" ref="AH119:AQ119" si="119">AG119</f>
        <v>52.007865170931773</v>
      </c>
      <c r="AI119" s="13">
        <f t="shared" si="119"/>
        <v>52.007865170931773</v>
      </c>
      <c r="AJ119" s="13">
        <f t="shared" si="119"/>
        <v>52.007865170931773</v>
      </c>
      <c r="AK119" s="13">
        <f t="shared" si="119"/>
        <v>52.007865170931773</v>
      </c>
      <c r="AL119" s="13">
        <f t="shared" si="119"/>
        <v>52.007865170931773</v>
      </c>
      <c r="AM119" s="13">
        <f t="shared" si="119"/>
        <v>52.007865170931773</v>
      </c>
      <c r="AN119" s="13">
        <f t="shared" si="119"/>
        <v>52.007865170931773</v>
      </c>
      <c r="AO119" s="13">
        <f t="shared" si="119"/>
        <v>52.007865170931773</v>
      </c>
      <c r="AP119" s="13">
        <f t="shared" si="119"/>
        <v>52.007865170931773</v>
      </c>
      <c r="AQ119" s="13">
        <f t="shared" si="119"/>
        <v>52.007865170931773</v>
      </c>
    </row>
    <row r="120" spans="1:43" x14ac:dyDescent="0.3">
      <c r="A120" t="s">
        <v>1421</v>
      </c>
      <c r="B120" t="s">
        <v>1392</v>
      </c>
      <c r="C120" t="str">
        <f t="shared" si="99"/>
        <v>PTIUEC</v>
      </c>
      <c r="D120" s="2">
        <v>7.0535999999999994</v>
      </c>
      <c r="E120" s="12">
        <f>D120*VLOOKUP($A120,'EU Ref Sc 2020 Energy intensive'!$A$5:$AE$33,E$2)</f>
        <v>7.0529051702611607</v>
      </c>
      <c r="F120" s="12">
        <f>E120*VLOOKUP($A120,'EU Ref Sc 2020 Energy intensive'!$A$5:$AE$33,F$2)</f>
        <v>7.052210340522322</v>
      </c>
      <c r="G120" s="12">
        <f>F120*VLOOKUP($A120,'EU Ref Sc 2020 Energy intensive'!$A$5:$AE$33,G$2)</f>
        <v>7.0515155107834824</v>
      </c>
      <c r="H120" s="12">
        <f>G120*VLOOKUP($A120,'EU Ref Sc 2020 Energy intensive'!$A$5:$AE$33,H$2)</f>
        <v>7.0508206810446445</v>
      </c>
      <c r="I120" s="12">
        <f>H120*VLOOKUP($A120,'EU Ref Sc 2020 Energy intensive'!$A$5:$AE$33,I$2)</f>
        <v>6.9941467389072551</v>
      </c>
      <c r="J120" s="12">
        <f>I120*VLOOKUP($A120,'EU Ref Sc 2020 Energy intensive'!$A$5:$AE$33,J$2)</f>
        <v>6.9374727967698648</v>
      </c>
      <c r="K120" s="12">
        <f>J120*VLOOKUP($A120,'EU Ref Sc 2020 Energy intensive'!$A$5:$AE$33,K$2)</f>
        <v>6.8807988546324745</v>
      </c>
      <c r="L120" s="12">
        <f>K120*VLOOKUP($A120,'EU Ref Sc 2020 Energy intensive'!$A$5:$AE$33,L$2)</f>
        <v>6.8241249124950851</v>
      </c>
      <c r="M120" s="12">
        <f>L120*VLOOKUP($A120,'EU Ref Sc 2020 Energy intensive'!$A$5:$AE$33,M$2)</f>
        <v>6.7674509703576975</v>
      </c>
      <c r="N120" s="12">
        <f>M120*VLOOKUP($A120,'EU Ref Sc 2020 Energy intensive'!$A$5:$AE$33,N$2)</f>
        <v>6.6749086485890903</v>
      </c>
      <c r="O120" s="12">
        <f>N120*VLOOKUP($A120,'EU Ref Sc 2020 Energy intensive'!$A$5:$AE$33,O$2)</f>
        <v>6.5823663268204822</v>
      </c>
      <c r="P120" s="12">
        <f>O120*VLOOKUP($A120,'EU Ref Sc 2020 Energy intensive'!$A$5:$AE$33,P$2)</f>
        <v>6.4898240050518741</v>
      </c>
      <c r="Q120" s="12">
        <f>P120*VLOOKUP($A120,'EU Ref Sc 2020 Energy intensive'!$A$5:$AE$33,Q$2)</f>
        <v>6.397281683283266</v>
      </c>
      <c r="R120" s="12">
        <f>Q120*VLOOKUP($A120,'EU Ref Sc 2020 Energy intensive'!$A$5:$AE$33,R$2)</f>
        <v>6.3047393615146579</v>
      </c>
      <c r="S120" s="12">
        <f>R120*VLOOKUP($A120,'EU Ref Sc 2020 Energy intensive'!$A$5:$AE$33,S$2)</f>
        <v>6.1796474152686436</v>
      </c>
      <c r="T120" s="12">
        <f>S120*VLOOKUP($A120,'EU Ref Sc 2020 Energy intensive'!$A$5:$AE$33,T$2)</f>
        <v>6.0545554690226293</v>
      </c>
      <c r="U120" s="12">
        <f>T120*VLOOKUP($A120,'EU Ref Sc 2020 Energy intensive'!$A$5:$AE$33,U$2)</f>
        <v>5.929463522776615</v>
      </c>
      <c r="V120" s="12">
        <f>U120*VLOOKUP($A120,'EU Ref Sc 2020 Energy intensive'!$A$5:$AE$33,V$2)</f>
        <v>5.8043715765306008</v>
      </c>
      <c r="W120" s="12">
        <f>V120*VLOOKUP($A120,'EU Ref Sc 2020 Energy intensive'!$A$5:$AE$33,W$2)</f>
        <v>5.6792796302845883</v>
      </c>
      <c r="X120" s="12">
        <f>W120*VLOOKUP($A120,'EU Ref Sc 2020 Energy intensive'!$A$5:$AE$33,X$2)</f>
        <v>5.6159155603792064</v>
      </c>
      <c r="Y120" s="12">
        <f>X120*VLOOKUP($A120,'EU Ref Sc 2020 Energy intensive'!$A$5:$AE$33,Y$2)</f>
        <v>5.5525514904738245</v>
      </c>
      <c r="Z120" s="12">
        <f>Y120*VLOOKUP($A120,'EU Ref Sc 2020 Energy intensive'!$A$5:$AE$33,Z$2)</f>
        <v>5.4891874205684426</v>
      </c>
      <c r="AA120" s="12">
        <f>Z120*VLOOKUP($A120,'EU Ref Sc 2020 Energy intensive'!$A$5:$AE$33,AA$2)</f>
        <v>5.4258233506630607</v>
      </c>
      <c r="AB120" s="12">
        <f>AA120*VLOOKUP($A120,'EU Ref Sc 2020 Energy intensive'!$A$5:$AE$33,AB$2)</f>
        <v>5.362459280757677</v>
      </c>
      <c r="AC120" s="12">
        <f>AB120*VLOOKUP($A120,'EU Ref Sc 2020 Energy intensive'!$A$5:$AE$33,AC$2)</f>
        <v>5.3102051520434443</v>
      </c>
      <c r="AD120" s="12">
        <f>AC120*VLOOKUP($A120,'EU Ref Sc 2020 Energy intensive'!$A$5:$AE$33,AD$2)</f>
        <v>5.2579510233292108</v>
      </c>
      <c r="AE120" s="12">
        <f>AD120*VLOOKUP($A120,'EU Ref Sc 2020 Energy intensive'!$A$5:$AE$33,AE$2)</f>
        <v>5.2056968946149773</v>
      </c>
      <c r="AF120" s="12">
        <f>AE120*VLOOKUP($A120,'EU Ref Sc 2020 Energy intensive'!$A$5:$AE$33,AF$2)</f>
        <v>5.1534427659007438</v>
      </c>
      <c r="AG120" s="12">
        <f>AF120*VLOOKUP($A120,'EU Ref Sc 2020 Energy intensive'!$A$5:$AE$33,AG$2)</f>
        <v>5.1011886371865129</v>
      </c>
      <c r="AH120" s="13">
        <f t="shared" ref="AH120:AQ120" si="120">AG120</f>
        <v>5.1011886371865129</v>
      </c>
      <c r="AI120" s="13">
        <f t="shared" si="120"/>
        <v>5.1011886371865129</v>
      </c>
      <c r="AJ120" s="13">
        <f t="shared" si="120"/>
        <v>5.1011886371865129</v>
      </c>
      <c r="AK120" s="13">
        <f t="shared" si="120"/>
        <v>5.1011886371865129</v>
      </c>
      <c r="AL120" s="13">
        <f t="shared" si="120"/>
        <v>5.1011886371865129</v>
      </c>
      <c r="AM120" s="13">
        <f t="shared" si="120"/>
        <v>5.1011886371865129</v>
      </c>
      <c r="AN120" s="13">
        <f t="shared" si="120"/>
        <v>5.1011886371865129</v>
      </c>
      <c r="AO120" s="13">
        <f t="shared" si="120"/>
        <v>5.1011886371865129</v>
      </c>
      <c r="AP120" s="13">
        <f t="shared" si="120"/>
        <v>5.1011886371865129</v>
      </c>
      <c r="AQ120" s="13">
        <f t="shared" si="120"/>
        <v>5.1011886371865129</v>
      </c>
    </row>
    <row r="121" spans="1:43" x14ac:dyDescent="0.3">
      <c r="A121" t="s">
        <v>1422</v>
      </c>
      <c r="B121" t="s">
        <v>1392</v>
      </c>
      <c r="C121" t="str">
        <f t="shared" si="99"/>
        <v>ROIUEC</v>
      </c>
      <c r="D121" s="2">
        <v>25.287300000000002</v>
      </c>
      <c r="E121" s="12">
        <f>D121*VLOOKUP($A121,'EU Ref Sc 2020 Energy intensive'!$A$5:$AE$33,E$2)</f>
        <v>25.884327009107384</v>
      </c>
      <c r="F121" s="12">
        <f>E121*VLOOKUP($A121,'EU Ref Sc 2020 Energy intensive'!$A$5:$AE$33,F$2)</f>
        <v>26.481354018214766</v>
      </c>
      <c r="G121" s="12">
        <f>F121*VLOOKUP($A121,'EU Ref Sc 2020 Energy intensive'!$A$5:$AE$33,G$2)</f>
        <v>27.078381027322152</v>
      </c>
      <c r="H121" s="12">
        <f>G121*VLOOKUP($A121,'EU Ref Sc 2020 Energy intensive'!$A$5:$AE$33,H$2)</f>
        <v>27.675408036429534</v>
      </c>
      <c r="I121" s="12">
        <f>H121*VLOOKUP($A121,'EU Ref Sc 2020 Energy intensive'!$A$5:$AE$33,I$2)</f>
        <v>27.609969125451055</v>
      </c>
      <c r="J121" s="12">
        <f>I121*VLOOKUP($A121,'EU Ref Sc 2020 Energy intensive'!$A$5:$AE$33,J$2)</f>
        <v>27.544530214472577</v>
      </c>
      <c r="K121" s="12">
        <f>J121*VLOOKUP($A121,'EU Ref Sc 2020 Energy intensive'!$A$5:$AE$33,K$2)</f>
        <v>27.479091303494098</v>
      </c>
      <c r="L121" s="12">
        <f>K121*VLOOKUP($A121,'EU Ref Sc 2020 Energy intensive'!$A$5:$AE$33,L$2)</f>
        <v>27.413652392515619</v>
      </c>
      <c r="M121" s="12">
        <f>L121*VLOOKUP($A121,'EU Ref Sc 2020 Energy intensive'!$A$5:$AE$33,M$2)</f>
        <v>27.348213481537133</v>
      </c>
      <c r="N121" s="12">
        <f>M121*VLOOKUP($A121,'EU Ref Sc 2020 Energy intensive'!$A$5:$AE$33,N$2)</f>
        <v>27.104636093262631</v>
      </c>
      <c r="O121" s="12">
        <f>N121*VLOOKUP($A121,'EU Ref Sc 2020 Energy intensive'!$A$5:$AE$33,O$2)</f>
        <v>26.861058704988125</v>
      </c>
      <c r="P121" s="12">
        <f>O121*VLOOKUP($A121,'EU Ref Sc 2020 Energy intensive'!$A$5:$AE$33,P$2)</f>
        <v>26.617481316713622</v>
      </c>
      <c r="Q121" s="12">
        <f>P121*VLOOKUP($A121,'EU Ref Sc 2020 Energy intensive'!$A$5:$AE$33,Q$2)</f>
        <v>26.37390392843912</v>
      </c>
      <c r="R121" s="12">
        <f>Q121*VLOOKUP($A121,'EU Ref Sc 2020 Energy intensive'!$A$5:$AE$33,R$2)</f>
        <v>26.130326540164617</v>
      </c>
      <c r="S121" s="12">
        <f>R121*VLOOKUP($A121,'EU Ref Sc 2020 Energy intensive'!$A$5:$AE$33,S$2)</f>
        <v>25.788131329536011</v>
      </c>
      <c r="T121" s="12">
        <f>S121*VLOOKUP($A121,'EU Ref Sc 2020 Energy intensive'!$A$5:$AE$33,T$2)</f>
        <v>25.445936118907404</v>
      </c>
      <c r="U121" s="12">
        <f>T121*VLOOKUP($A121,'EU Ref Sc 2020 Energy intensive'!$A$5:$AE$33,U$2)</f>
        <v>25.103740908278798</v>
      </c>
      <c r="V121" s="12">
        <f>U121*VLOOKUP($A121,'EU Ref Sc 2020 Energy intensive'!$A$5:$AE$33,V$2)</f>
        <v>24.761545697650192</v>
      </c>
      <c r="W121" s="12">
        <f>V121*VLOOKUP($A121,'EU Ref Sc 2020 Energy intensive'!$A$5:$AE$33,W$2)</f>
        <v>24.419350487021585</v>
      </c>
      <c r="X121" s="12">
        <f>W121*VLOOKUP($A121,'EU Ref Sc 2020 Energy intensive'!$A$5:$AE$33,X$2)</f>
        <v>24.177398276079039</v>
      </c>
      <c r="Y121" s="12">
        <f>X121*VLOOKUP($A121,'EU Ref Sc 2020 Energy intensive'!$A$5:$AE$33,Y$2)</f>
        <v>23.935446065136492</v>
      </c>
      <c r="Z121" s="12">
        <f>Y121*VLOOKUP($A121,'EU Ref Sc 2020 Energy intensive'!$A$5:$AE$33,Z$2)</f>
        <v>23.693493854193946</v>
      </c>
      <c r="AA121" s="12">
        <f>Z121*VLOOKUP($A121,'EU Ref Sc 2020 Energy intensive'!$A$5:$AE$33,AA$2)</f>
        <v>23.451541643251399</v>
      </c>
      <c r="AB121" s="12">
        <f>AA121*VLOOKUP($A121,'EU Ref Sc 2020 Energy intensive'!$A$5:$AE$33,AB$2)</f>
        <v>23.209589432308857</v>
      </c>
      <c r="AC121" s="12">
        <f>AB121*VLOOKUP($A121,'EU Ref Sc 2020 Energy intensive'!$A$5:$AE$33,AC$2)</f>
        <v>23.081721890899914</v>
      </c>
      <c r="AD121" s="12">
        <f>AC121*VLOOKUP($A121,'EU Ref Sc 2020 Energy intensive'!$A$5:$AE$33,AD$2)</f>
        <v>22.953854349490971</v>
      </c>
      <c r="AE121" s="12">
        <f>AD121*VLOOKUP($A121,'EU Ref Sc 2020 Energy intensive'!$A$5:$AE$33,AE$2)</f>
        <v>22.825986808082028</v>
      </c>
      <c r="AF121" s="12">
        <f>AE121*VLOOKUP($A121,'EU Ref Sc 2020 Energy intensive'!$A$5:$AE$33,AF$2)</f>
        <v>22.698119266673086</v>
      </c>
      <c r="AG121" s="12">
        <f>AF121*VLOOKUP($A121,'EU Ref Sc 2020 Energy intensive'!$A$5:$AE$33,AG$2)</f>
        <v>22.570251725264146</v>
      </c>
      <c r="AH121" s="13">
        <f t="shared" ref="AH121:AQ121" si="121">AG121</f>
        <v>22.570251725264146</v>
      </c>
      <c r="AI121" s="13">
        <f t="shared" si="121"/>
        <v>22.570251725264146</v>
      </c>
      <c r="AJ121" s="13">
        <f t="shared" si="121"/>
        <v>22.570251725264146</v>
      </c>
      <c r="AK121" s="13">
        <f t="shared" si="121"/>
        <v>22.570251725264146</v>
      </c>
      <c r="AL121" s="13">
        <f t="shared" si="121"/>
        <v>22.570251725264146</v>
      </c>
      <c r="AM121" s="13">
        <f t="shared" si="121"/>
        <v>22.570251725264146</v>
      </c>
      <c r="AN121" s="13">
        <f t="shared" si="121"/>
        <v>22.570251725264146</v>
      </c>
      <c r="AO121" s="13">
        <f t="shared" si="121"/>
        <v>22.570251725264146</v>
      </c>
      <c r="AP121" s="13">
        <f t="shared" si="121"/>
        <v>22.570251725264146</v>
      </c>
      <c r="AQ121" s="13">
        <f t="shared" si="121"/>
        <v>22.570251725264146</v>
      </c>
    </row>
    <row r="122" spans="1:43" x14ac:dyDescent="0.3">
      <c r="A122" t="s">
        <v>1423</v>
      </c>
      <c r="B122" t="s">
        <v>1392</v>
      </c>
      <c r="C122" t="str">
        <f t="shared" si="99"/>
        <v>SEIUEC</v>
      </c>
      <c r="D122" s="2">
        <v>11.2508</v>
      </c>
      <c r="E122" s="12">
        <f>D122*VLOOKUP($A122,'EU Ref Sc 2020 Energy intensive'!$A$5:$AE$33,E$2)</f>
        <v>11.250018237562086</v>
      </c>
      <c r="F122" s="12">
        <f>E122*VLOOKUP($A122,'EU Ref Sc 2020 Energy intensive'!$A$5:$AE$33,F$2)</f>
        <v>11.249236475124171</v>
      </c>
      <c r="G122" s="12">
        <f>F122*VLOOKUP($A122,'EU Ref Sc 2020 Energy intensive'!$A$5:$AE$33,G$2)</f>
        <v>11.248454712686256</v>
      </c>
      <c r="H122" s="12">
        <f>G122*VLOOKUP($A122,'EU Ref Sc 2020 Energy intensive'!$A$5:$AE$33,H$2)</f>
        <v>11.247672950248338</v>
      </c>
      <c r="I122" s="12">
        <f>H122*VLOOKUP($A122,'EU Ref Sc 2020 Energy intensive'!$A$5:$AE$33,I$2)</f>
        <v>11.233037364191471</v>
      </c>
      <c r="J122" s="12">
        <f>I122*VLOOKUP($A122,'EU Ref Sc 2020 Energy intensive'!$A$5:$AE$33,J$2)</f>
        <v>11.218401778134606</v>
      </c>
      <c r="K122" s="12">
        <f>J122*VLOOKUP($A122,'EU Ref Sc 2020 Energy intensive'!$A$5:$AE$33,K$2)</f>
        <v>11.203766192077738</v>
      </c>
      <c r="L122" s="12">
        <f>K122*VLOOKUP($A122,'EU Ref Sc 2020 Energy intensive'!$A$5:$AE$33,L$2)</f>
        <v>11.189130606020873</v>
      </c>
      <c r="M122" s="12">
        <f>L122*VLOOKUP($A122,'EU Ref Sc 2020 Energy intensive'!$A$5:$AE$33,M$2)</f>
        <v>11.174495019964006</v>
      </c>
      <c r="N122" s="12">
        <f>M122*VLOOKUP($A122,'EU Ref Sc 2020 Energy intensive'!$A$5:$AE$33,N$2)</f>
        <v>10.98132581040643</v>
      </c>
      <c r="O122" s="12">
        <f>N122*VLOOKUP($A122,'EU Ref Sc 2020 Energy intensive'!$A$5:$AE$33,O$2)</f>
        <v>10.788156600848856</v>
      </c>
      <c r="P122" s="12">
        <f>O122*VLOOKUP($A122,'EU Ref Sc 2020 Energy intensive'!$A$5:$AE$33,P$2)</f>
        <v>10.59498739129128</v>
      </c>
      <c r="Q122" s="12">
        <f>P122*VLOOKUP($A122,'EU Ref Sc 2020 Energy intensive'!$A$5:$AE$33,Q$2)</f>
        <v>10.401818181733704</v>
      </c>
      <c r="R122" s="12">
        <f>Q122*VLOOKUP($A122,'EU Ref Sc 2020 Energy intensive'!$A$5:$AE$33,R$2)</f>
        <v>10.208648972176126</v>
      </c>
      <c r="S122" s="12">
        <f>R122*VLOOKUP($A122,'EU Ref Sc 2020 Energy intensive'!$A$5:$AE$33,S$2)</f>
        <v>9.9922950661893442</v>
      </c>
      <c r="T122" s="12">
        <f>S122*VLOOKUP($A122,'EU Ref Sc 2020 Energy intensive'!$A$5:$AE$33,T$2)</f>
        <v>9.7759411602025619</v>
      </c>
      <c r="U122" s="12">
        <f>T122*VLOOKUP($A122,'EU Ref Sc 2020 Energy intensive'!$A$5:$AE$33,U$2)</f>
        <v>9.5595872542157796</v>
      </c>
      <c r="V122" s="12">
        <f>U122*VLOOKUP($A122,'EU Ref Sc 2020 Energy intensive'!$A$5:$AE$33,V$2)</f>
        <v>9.3432333482289973</v>
      </c>
      <c r="W122" s="12">
        <f>V122*VLOOKUP($A122,'EU Ref Sc 2020 Energy intensive'!$A$5:$AE$33,W$2)</f>
        <v>9.1268794422422168</v>
      </c>
      <c r="X122" s="12">
        <f>W122*VLOOKUP($A122,'EU Ref Sc 2020 Energy intensive'!$A$5:$AE$33,X$2)</f>
        <v>9.1285270917010291</v>
      </c>
      <c r="Y122" s="12">
        <f>X122*VLOOKUP($A122,'EU Ref Sc 2020 Energy intensive'!$A$5:$AE$33,Y$2)</f>
        <v>9.1301747411598413</v>
      </c>
      <c r="Z122" s="12">
        <f>Y122*VLOOKUP($A122,'EU Ref Sc 2020 Energy intensive'!$A$5:$AE$33,Z$2)</f>
        <v>9.1318223906186535</v>
      </c>
      <c r="AA122" s="12">
        <f>Z122*VLOOKUP($A122,'EU Ref Sc 2020 Energy intensive'!$A$5:$AE$33,AA$2)</f>
        <v>9.1334700400774658</v>
      </c>
      <c r="AB122" s="12">
        <f>AA122*VLOOKUP($A122,'EU Ref Sc 2020 Energy intensive'!$A$5:$AE$33,AB$2)</f>
        <v>9.135117689536278</v>
      </c>
      <c r="AC122" s="12">
        <f>AB122*VLOOKUP($A122,'EU Ref Sc 2020 Energy intensive'!$A$5:$AE$33,AC$2)</f>
        <v>9.1273825804993063</v>
      </c>
      <c r="AD122" s="12">
        <f>AC122*VLOOKUP($A122,'EU Ref Sc 2020 Energy intensive'!$A$5:$AE$33,AD$2)</f>
        <v>9.1196474714623346</v>
      </c>
      <c r="AE122" s="12">
        <f>AD122*VLOOKUP($A122,'EU Ref Sc 2020 Energy intensive'!$A$5:$AE$33,AE$2)</f>
        <v>9.1119123624253628</v>
      </c>
      <c r="AF122" s="12">
        <f>AE122*VLOOKUP($A122,'EU Ref Sc 2020 Energy intensive'!$A$5:$AE$33,AF$2)</f>
        <v>9.1041772533883911</v>
      </c>
      <c r="AG122" s="12">
        <f>AF122*VLOOKUP($A122,'EU Ref Sc 2020 Energy intensive'!$A$5:$AE$33,AG$2)</f>
        <v>9.0964421443514176</v>
      </c>
      <c r="AH122" s="13">
        <f t="shared" ref="AH122:AQ122" si="122">AG122</f>
        <v>9.0964421443514176</v>
      </c>
      <c r="AI122" s="13">
        <f t="shared" si="122"/>
        <v>9.0964421443514176</v>
      </c>
      <c r="AJ122" s="13">
        <f t="shared" si="122"/>
        <v>9.0964421443514176</v>
      </c>
      <c r="AK122" s="13">
        <f t="shared" si="122"/>
        <v>9.0964421443514176</v>
      </c>
      <c r="AL122" s="13">
        <f t="shared" si="122"/>
        <v>9.0964421443514176</v>
      </c>
      <c r="AM122" s="13">
        <f t="shared" si="122"/>
        <v>9.0964421443514176</v>
      </c>
      <c r="AN122" s="13">
        <f t="shared" si="122"/>
        <v>9.0964421443514176</v>
      </c>
      <c r="AO122" s="13">
        <f t="shared" si="122"/>
        <v>9.0964421443514176</v>
      </c>
      <c r="AP122" s="13">
        <f t="shared" si="122"/>
        <v>9.0964421443514176</v>
      </c>
      <c r="AQ122" s="13">
        <f t="shared" si="122"/>
        <v>9.0964421443514176</v>
      </c>
    </row>
    <row r="123" spans="1:43" x14ac:dyDescent="0.3">
      <c r="A123" t="s">
        <v>1424</v>
      </c>
      <c r="B123" t="s">
        <v>1392</v>
      </c>
      <c r="C123" t="str">
        <f t="shared" si="99"/>
        <v>SIIUEC</v>
      </c>
      <c r="D123" s="2">
        <v>2.4998</v>
      </c>
      <c r="E123" s="12">
        <f>D123*VLOOKUP($A123,'EU Ref Sc 2020 Energy intensive'!$A$5:$AE$33,E$2)</f>
        <v>2.5446481618455676</v>
      </c>
      <c r="F123" s="12">
        <f>E123*VLOOKUP($A123,'EU Ref Sc 2020 Energy intensive'!$A$5:$AE$33,F$2)</f>
        <v>2.5894963236911352</v>
      </c>
      <c r="G123" s="12">
        <f>F123*VLOOKUP($A123,'EU Ref Sc 2020 Energy intensive'!$A$5:$AE$33,G$2)</f>
        <v>2.6343444855367029</v>
      </c>
      <c r="H123" s="12">
        <f>G123*VLOOKUP($A123,'EU Ref Sc 2020 Energy intensive'!$A$5:$AE$33,H$2)</f>
        <v>2.6791926473822714</v>
      </c>
      <c r="I123" s="12">
        <f>H123*VLOOKUP($A123,'EU Ref Sc 2020 Energy intensive'!$A$5:$AE$33,I$2)</f>
        <v>2.7279664401503347</v>
      </c>
      <c r="J123" s="12">
        <f>I123*VLOOKUP($A123,'EU Ref Sc 2020 Energy intensive'!$A$5:$AE$33,J$2)</f>
        <v>2.7767402329183986</v>
      </c>
      <c r="K123" s="12">
        <f>J123*VLOOKUP($A123,'EU Ref Sc 2020 Energy intensive'!$A$5:$AE$33,K$2)</f>
        <v>2.8255140256864619</v>
      </c>
      <c r="L123" s="12">
        <f>K123*VLOOKUP($A123,'EU Ref Sc 2020 Energy intensive'!$A$5:$AE$33,L$2)</f>
        <v>2.8742878184545257</v>
      </c>
      <c r="M123" s="12">
        <f>L123*VLOOKUP($A123,'EU Ref Sc 2020 Energy intensive'!$A$5:$AE$33,M$2)</f>
        <v>2.9230616112225891</v>
      </c>
      <c r="N123" s="12">
        <f>M123*VLOOKUP($A123,'EU Ref Sc 2020 Energy intensive'!$A$5:$AE$33,N$2)</f>
        <v>2.8815082527634885</v>
      </c>
      <c r="O123" s="12">
        <f>N123*VLOOKUP($A123,'EU Ref Sc 2020 Energy intensive'!$A$5:$AE$33,O$2)</f>
        <v>2.839954894304388</v>
      </c>
      <c r="P123" s="12">
        <f>O123*VLOOKUP($A123,'EU Ref Sc 2020 Energy intensive'!$A$5:$AE$33,P$2)</f>
        <v>2.7984015358452874</v>
      </c>
      <c r="Q123" s="12">
        <f>P123*VLOOKUP($A123,'EU Ref Sc 2020 Energy intensive'!$A$5:$AE$33,Q$2)</f>
        <v>2.7568481773861873</v>
      </c>
      <c r="R123" s="12">
        <f>Q123*VLOOKUP($A123,'EU Ref Sc 2020 Energy intensive'!$A$5:$AE$33,R$2)</f>
        <v>2.7152948189270867</v>
      </c>
      <c r="S123" s="12">
        <f>R123*VLOOKUP($A123,'EU Ref Sc 2020 Energy intensive'!$A$5:$AE$33,S$2)</f>
        <v>2.7234342781384733</v>
      </c>
      <c r="T123" s="12">
        <f>S123*VLOOKUP($A123,'EU Ref Sc 2020 Energy intensive'!$A$5:$AE$33,T$2)</f>
        <v>2.7315737373498594</v>
      </c>
      <c r="U123" s="12">
        <f>T123*VLOOKUP($A123,'EU Ref Sc 2020 Energy intensive'!$A$5:$AE$33,U$2)</f>
        <v>2.739713196561246</v>
      </c>
      <c r="V123" s="12">
        <f>U123*VLOOKUP($A123,'EU Ref Sc 2020 Energy intensive'!$A$5:$AE$33,V$2)</f>
        <v>2.7478526557726322</v>
      </c>
      <c r="W123" s="12">
        <f>V123*VLOOKUP($A123,'EU Ref Sc 2020 Energy intensive'!$A$5:$AE$33,W$2)</f>
        <v>2.7559921149840187</v>
      </c>
      <c r="X123" s="12">
        <f>W123*VLOOKUP($A123,'EU Ref Sc 2020 Energy intensive'!$A$5:$AE$33,X$2)</f>
        <v>2.749800983437841</v>
      </c>
      <c r="Y123" s="12">
        <f>X123*VLOOKUP($A123,'EU Ref Sc 2020 Energy intensive'!$A$5:$AE$33,Y$2)</f>
        <v>2.7436098518916636</v>
      </c>
      <c r="Z123" s="12">
        <f>Y123*VLOOKUP($A123,'EU Ref Sc 2020 Energy intensive'!$A$5:$AE$33,Z$2)</f>
        <v>2.7374187203454858</v>
      </c>
      <c r="AA123" s="12">
        <f>Z123*VLOOKUP($A123,'EU Ref Sc 2020 Energy intensive'!$A$5:$AE$33,AA$2)</f>
        <v>2.731227588799308</v>
      </c>
      <c r="AB123" s="12">
        <f>AA123*VLOOKUP($A123,'EU Ref Sc 2020 Energy intensive'!$A$5:$AE$33,AB$2)</f>
        <v>2.7250364572531298</v>
      </c>
      <c r="AC123" s="12">
        <f>AB123*VLOOKUP($A123,'EU Ref Sc 2020 Energy intensive'!$A$5:$AE$33,AC$2)</f>
        <v>2.7188879595799174</v>
      </c>
      <c r="AD123" s="12">
        <f>AC123*VLOOKUP($A123,'EU Ref Sc 2020 Energy intensive'!$A$5:$AE$33,AD$2)</f>
        <v>2.7127394619067049</v>
      </c>
      <c r="AE123" s="12">
        <f>AD123*VLOOKUP($A123,'EU Ref Sc 2020 Energy intensive'!$A$5:$AE$33,AE$2)</f>
        <v>2.7065909642334924</v>
      </c>
      <c r="AF123" s="12">
        <f>AE123*VLOOKUP($A123,'EU Ref Sc 2020 Energy intensive'!$A$5:$AE$33,AF$2)</f>
        <v>2.70044246656028</v>
      </c>
      <c r="AG123" s="12">
        <f>AF123*VLOOKUP($A123,'EU Ref Sc 2020 Energy intensive'!$A$5:$AE$33,AG$2)</f>
        <v>2.694293968887068</v>
      </c>
      <c r="AH123" s="13">
        <f t="shared" ref="AH123:AQ123" si="123">AG123</f>
        <v>2.694293968887068</v>
      </c>
      <c r="AI123" s="13">
        <f t="shared" si="123"/>
        <v>2.694293968887068</v>
      </c>
      <c r="AJ123" s="13">
        <f t="shared" si="123"/>
        <v>2.694293968887068</v>
      </c>
      <c r="AK123" s="13">
        <f t="shared" si="123"/>
        <v>2.694293968887068</v>
      </c>
      <c r="AL123" s="13">
        <f t="shared" si="123"/>
        <v>2.694293968887068</v>
      </c>
      <c r="AM123" s="13">
        <f t="shared" si="123"/>
        <v>2.694293968887068</v>
      </c>
      <c r="AN123" s="13">
        <f t="shared" si="123"/>
        <v>2.694293968887068</v>
      </c>
      <c r="AO123" s="13">
        <f t="shared" si="123"/>
        <v>2.694293968887068</v>
      </c>
      <c r="AP123" s="13">
        <f t="shared" si="123"/>
        <v>2.694293968887068</v>
      </c>
      <c r="AQ123" s="13">
        <f t="shared" si="123"/>
        <v>2.694293968887068</v>
      </c>
    </row>
    <row r="124" spans="1:43" x14ac:dyDescent="0.3">
      <c r="A124" t="s">
        <v>1425</v>
      </c>
      <c r="B124" t="s">
        <v>1392</v>
      </c>
      <c r="C124" t="str">
        <f t="shared" si="99"/>
        <v>SKIUEC</v>
      </c>
      <c r="D124" s="2">
        <v>9.1887000000000008</v>
      </c>
      <c r="E124" s="12">
        <f>D124*VLOOKUP($A124,'EU Ref Sc 2020 Energy intensive'!$A$5:$AE$33,E$2)</f>
        <v>9.2239204263015875</v>
      </c>
      <c r="F124" s="12">
        <f>E124*VLOOKUP($A124,'EU Ref Sc 2020 Energy intensive'!$A$5:$AE$33,F$2)</f>
        <v>9.2591408526031742</v>
      </c>
      <c r="G124" s="12">
        <f>F124*VLOOKUP($A124,'EU Ref Sc 2020 Energy intensive'!$A$5:$AE$33,G$2)</f>
        <v>9.2943612789047609</v>
      </c>
      <c r="H124" s="12">
        <f>G124*VLOOKUP($A124,'EU Ref Sc 2020 Energy intensive'!$A$5:$AE$33,H$2)</f>
        <v>9.3295817052063477</v>
      </c>
      <c r="I124" s="12">
        <f>H124*VLOOKUP($A124,'EU Ref Sc 2020 Energy intensive'!$A$5:$AE$33,I$2)</f>
        <v>9.2319407379145915</v>
      </c>
      <c r="J124" s="12">
        <f>I124*VLOOKUP($A124,'EU Ref Sc 2020 Energy intensive'!$A$5:$AE$33,J$2)</f>
        <v>9.1342997706228353</v>
      </c>
      <c r="K124" s="12">
        <f>J124*VLOOKUP($A124,'EU Ref Sc 2020 Energy intensive'!$A$5:$AE$33,K$2)</f>
        <v>9.0366588033310791</v>
      </c>
      <c r="L124" s="12">
        <f>K124*VLOOKUP($A124,'EU Ref Sc 2020 Energy intensive'!$A$5:$AE$33,L$2)</f>
        <v>8.9390178360393229</v>
      </c>
      <c r="M124" s="12">
        <f>L124*VLOOKUP($A124,'EU Ref Sc 2020 Energy intensive'!$A$5:$AE$33,M$2)</f>
        <v>8.8413768687475685</v>
      </c>
      <c r="N124" s="12">
        <f>M124*VLOOKUP($A124,'EU Ref Sc 2020 Energy intensive'!$A$5:$AE$33,N$2)</f>
        <v>8.7814825373612297</v>
      </c>
      <c r="O124" s="12">
        <f>N124*VLOOKUP($A124,'EU Ref Sc 2020 Energy intensive'!$A$5:$AE$33,O$2)</f>
        <v>8.721588205974891</v>
      </c>
      <c r="P124" s="12">
        <f>O124*VLOOKUP($A124,'EU Ref Sc 2020 Energy intensive'!$A$5:$AE$33,P$2)</f>
        <v>8.6616938745885523</v>
      </c>
      <c r="Q124" s="12">
        <f>P124*VLOOKUP($A124,'EU Ref Sc 2020 Energy intensive'!$A$5:$AE$33,Q$2)</f>
        <v>8.6017995432022136</v>
      </c>
      <c r="R124" s="12">
        <f>Q124*VLOOKUP($A124,'EU Ref Sc 2020 Energy intensive'!$A$5:$AE$33,R$2)</f>
        <v>8.5419052118158714</v>
      </c>
      <c r="S124" s="12">
        <f>R124*VLOOKUP($A124,'EU Ref Sc 2020 Energy intensive'!$A$5:$AE$33,S$2)</f>
        <v>8.3885086940466476</v>
      </c>
      <c r="T124" s="12">
        <f>S124*VLOOKUP($A124,'EU Ref Sc 2020 Energy intensive'!$A$5:$AE$33,T$2)</f>
        <v>8.2351121762774255</v>
      </c>
      <c r="U124" s="12">
        <f>T124*VLOOKUP($A124,'EU Ref Sc 2020 Energy intensive'!$A$5:$AE$33,U$2)</f>
        <v>8.0817156585082035</v>
      </c>
      <c r="V124" s="12">
        <f>U124*VLOOKUP($A124,'EU Ref Sc 2020 Energy intensive'!$A$5:$AE$33,V$2)</f>
        <v>7.9283191407389806</v>
      </c>
      <c r="W124" s="12">
        <f>V124*VLOOKUP($A124,'EU Ref Sc 2020 Energy intensive'!$A$5:$AE$33,W$2)</f>
        <v>7.774922622969755</v>
      </c>
      <c r="X124" s="12">
        <f>W124*VLOOKUP($A124,'EU Ref Sc 2020 Energy intensive'!$A$5:$AE$33,X$2)</f>
        <v>7.6568318409603764</v>
      </c>
      <c r="Y124" s="12">
        <f>X124*VLOOKUP($A124,'EU Ref Sc 2020 Energy intensive'!$A$5:$AE$33,Y$2)</f>
        <v>7.5387410589509969</v>
      </c>
      <c r="Z124" s="12">
        <f>Y124*VLOOKUP($A124,'EU Ref Sc 2020 Energy intensive'!$A$5:$AE$33,Z$2)</f>
        <v>7.4206502769416174</v>
      </c>
      <c r="AA124" s="12">
        <f>Z124*VLOOKUP($A124,'EU Ref Sc 2020 Energy intensive'!$A$5:$AE$33,AA$2)</f>
        <v>7.3025594949322379</v>
      </c>
      <c r="AB124" s="12">
        <f>AA124*VLOOKUP($A124,'EU Ref Sc 2020 Energy intensive'!$A$5:$AE$33,AB$2)</f>
        <v>7.1844687129228602</v>
      </c>
      <c r="AC124" s="12">
        <f>AB124*VLOOKUP($A124,'EU Ref Sc 2020 Energy intensive'!$A$5:$AE$33,AC$2)</f>
        <v>7.0685598895745168</v>
      </c>
      <c r="AD124" s="12">
        <f>AC124*VLOOKUP($A124,'EU Ref Sc 2020 Energy intensive'!$A$5:$AE$33,AD$2)</f>
        <v>6.9526510662261733</v>
      </c>
      <c r="AE124" s="12">
        <f>AD124*VLOOKUP($A124,'EU Ref Sc 2020 Energy intensive'!$A$5:$AE$33,AE$2)</f>
        <v>6.8367422428778299</v>
      </c>
      <c r="AF124" s="12">
        <f>AE124*VLOOKUP($A124,'EU Ref Sc 2020 Energy intensive'!$A$5:$AE$33,AF$2)</f>
        <v>6.7208334195294865</v>
      </c>
      <c r="AG124" s="12">
        <f>AF124*VLOOKUP($A124,'EU Ref Sc 2020 Energy intensive'!$A$5:$AE$33,AG$2)</f>
        <v>6.6049245961811422</v>
      </c>
      <c r="AH124" s="13">
        <f t="shared" ref="AH124:AQ124" si="124">AG124</f>
        <v>6.6049245961811422</v>
      </c>
      <c r="AI124" s="13">
        <f t="shared" si="124"/>
        <v>6.6049245961811422</v>
      </c>
      <c r="AJ124" s="13">
        <f t="shared" si="124"/>
        <v>6.6049245961811422</v>
      </c>
      <c r="AK124" s="13">
        <f t="shared" si="124"/>
        <v>6.6049245961811422</v>
      </c>
      <c r="AL124" s="13">
        <f t="shared" si="124"/>
        <v>6.6049245961811422</v>
      </c>
      <c r="AM124" s="13">
        <f t="shared" si="124"/>
        <v>6.6049245961811422</v>
      </c>
      <c r="AN124" s="13">
        <f t="shared" si="124"/>
        <v>6.6049245961811422</v>
      </c>
      <c r="AO124" s="13">
        <f t="shared" si="124"/>
        <v>6.6049245961811422</v>
      </c>
      <c r="AP124" s="13">
        <f t="shared" si="124"/>
        <v>6.6049245961811422</v>
      </c>
      <c r="AQ124" s="13">
        <f t="shared" si="124"/>
        <v>6.6049245961811422</v>
      </c>
    </row>
    <row r="125" spans="1:43" x14ac:dyDescent="0.3">
      <c r="A125" t="s">
        <v>1403</v>
      </c>
      <c r="B125" t="s">
        <v>1404</v>
      </c>
      <c r="C125" t="str">
        <f t="shared" si="99"/>
        <v>DKIUEA</v>
      </c>
      <c r="D125" s="2">
        <v>3.5929000000000002</v>
      </c>
      <c r="E125" s="7">
        <f>D125*VLOOKUP($A125,'EU Ref Sc 2020 Other industries'!$A$5:$AE$33,E$2)</f>
        <v>3.6403368277879937</v>
      </c>
      <c r="F125" s="7">
        <f>E125*VLOOKUP($A125,'EU Ref Sc 2020 Other industries'!$A$5:$AE$33,F$2)</f>
        <v>3.6877736555759872</v>
      </c>
      <c r="G125" s="7">
        <f>F125*VLOOKUP($A125,'EU Ref Sc 2020 Other industries'!$A$5:$AE$33,G$2)</f>
        <v>3.7352104833639808</v>
      </c>
      <c r="H125" s="7">
        <f>G125*VLOOKUP($A125,'EU Ref Sc 2020 Other industries'!$A$5:$AE$33,H$2)</f>
        <v>3.7826473111519729</v>
      </c>
      <c r="I125" s="7">
        <f>H125*VLOOKUP($A125,'EU Ref Sc 2020 Other industries'!$A$5:$AE$33,I$2)</f>
        <v>3.9164360367938276</v>
      </c>
      <c r="J125" s="7">
        <f>I125*VLOOKUP($A125,'EU Ref Sc 2020 Other industries'!$A$5:$AE$33,J$2)</f>
        <v>4.0502247624356826</v>
      </c>
      <c r="K125" s="7">
        <f>J125*VLOOKUP($A125,'EU Ref Sc 2020 Other industries'!$A$5:$AE$33,K$2)</f>
        <v>4.1840134880775377</v>
      </c>
      <c r="L125" s="7">
        <f>K125*VLOOKUP($A125,'EU Ref Sc 2020 Other industries'!$A$5:$AE$33,L$2)</f>
        <v>4.3178022137193928</v>
      </c>
      <c r="M125" s="7">
        <f>L125*VLOOKUP($A125,'EU Ref Sc 2020 Other industries'!$A$5:$AE$33,M$2)</f>
        <v>4.4515909393612496</v>
      </c>
      <c r="N125" s="7">
        <f>M125*VLOOKUP($A125,'EU Ref Sc 2020 Other industries'!$A$5:$AE$33,N$2)</f>
        <v>4.4603250807712156</v>
      </c>
      <c r="O125" s="7">
        <f>N125*VLOOKUP($A125,'EU Ref Sc 2020 Other industries'!$A$5:$AE$33,O$2)</f>
        <v>4.4690592221811816</v>
      </c>
      <c r="P125" s="7">
        <f>O125*VLOOKUP($A125,'EU Ref Sc 2020 Other industries'!$A$5:$AE$33,P$2)</f>
        <v>4.4777933635911475</v>
      </c>
      <c r="Q125" s="7">
        <f>P125*VLOOKUP($A125,'EU Ref Sc 2020 Other industries'!$A$5:$AE$33,Q$2)</f>
        <v>4.4865275050011135</v>
      </c>
      <c r="R125" s="7">
        <f>Q125*VLOOKUP($A125,'EU Ref Sc 2020 Other industries'!$A$5:$AE$33,R$2)</f>
        <v>4.4952616464110786</v>
      </c>
      <c r="S125" s="7">
        <f>R125*VLOOKUP($A125,'EU Ref Sc 2020 Other industries'!$A$5:$AE$33,S$2)</f>
        <v>4.5372410413583726</v>
      </c>
      <c r="T125" s="7">
        <f>S125*VLOOKUP($A125,'EU Ref Sc 2020 Other industries'!$A$5:$AE$33,T$2)</f>
        <v>4.5792204363056666</v>
      </c>
      <c r="U125" s="7">
        <f>T125*VLOOKUP($A125,'EU Ref Sc 2020 Other industries'!$A$5:$AE$33,U$2)</f>
        <v>4.6211998312529605</v>
      </c>
      <c r="V125" s="7">
        <f>U125*VLOOKUP($A125,'EU Ref Sc 2020 Other industries'!$A$5:$AE$33,V$2)</f>
        <v>4.6631792262002545</v>
      </c>
      <c r="W125" s="7">
        <f>V125*VLOOKUP($A125,'EU Ref Sc 2020 Other industries'!$A$5:$AE$33,W$2)</f>
        <v>4.7051586211475476</v>
      </c>
      <c r="X125" s="7">
        <f>W125*VLOOKUP($A125,'EU Ref Sc 2020 Other industries'!$A$5:$AE$33,X$2)</f>
        <v>4.7637421006461951</v>
      </c>
      <c r="Y125" s="7">
        <f>X125*VLOOKUP($A125,'EU Ref Sc 2020 Other industries'!$A$5:$AE$33,Y$2)</f>
        <v>4.8223255801448426</v>
      </c>
      <c r="Z125" s="7">
        <f>Y125*VLOOKUP($A125,'EU Ref Sc 2020 Other industries'!$A$5:$AE$33,Z$2)</f>
        <v>4.8809090596434892</v>
      </c>
      <c r="AA125" s="7">
        <f>Z125*VLOOKUP($A125,'EU Ref Sc 2020 Other industries'!$A$5:$AE$33,AA$2)</f>
        <v>4.9394925391421358</v>
      </c>
      <c r="AB125" s="7">
        <f>AA125*VLOOKUP($A125,'EU Ref Sc 2020 Other industries'!$A$5:$AE$33,AB$2)</f>
        <v>4.9980760186407833</v>
      </c>
      <c r="AC125" s="7">
        <f>AB125*VLOOKUP($A125,'EU Ref Sc 2020 Other industries'!$A$5:$AE$33,AC$2)</f>
        <v>5.0536939045274663</v>
      </c>
      <c r="AD125" s="7">
        <f>AC125*VLOOKUP($A125,'EU Ref Sc 2020 Other industries'!$A$5:$AE$33,AD$2)</f>
        <v>5.1093117904141492</v>
      </c>
      <c r="AE125" s="7">
        <f>AD125*VLOOKUP($A125,'EU Ref Sc 2020 Other industries'!$A$5:$AE$33,AE$2)</f>
        <v>5.1649296763008321</v>
      </c>
      <c r="AF125" s="7">
        <f>AE125*VLOOKUP($A125,'EU Ref Sc 2020 Other industries'!$A$5:$AE$33,AF$2)</f>
        <v>5.220547562187515</v>
      </c>
      <c r="AG125" s="7">
        <f>AF125*VLOOKUP($A125,'EU Ref Sc 2020 Other industries'!$A$5:$AE$33,AG$2)</f>
        <v>5.276165448074198</v>
      </c>
      <c r="AH125" s="13">
        <f t="shared" ref="AH125:AQ125" si="125">AG125</f>
        <v>5.276165448074198</v>
      </c>
      <c r="AI125" s="13">
        <f t="shared" si="125"/>
        <v>5.276165448074198</v>
      </c>
      <c r="AJ125" s="13">
        <f t="shared" si="125"/>
        <v>5.276165448074198</v>
      </c>
      <c r="AK125" s="13">
        <f t="shared" si="125"/>
        <v>5.276165448074198</v>
      </c>
      <c r="AL125" s="13">
        <f t="shared" si="125"/>
        <v>5.276165448074198</v>
      </c>
      <c r="AM125" s="13">
        <f t="shared" si="125"/>
        <v>5.276165448074198</v>
      </c>
      <c r="AN125" s="13">
        <f t="shared" si="125"/>
        <v>5.276165448074198</v>
      </c>
      <c r="AO125" s="13">
        <f t="shared" si="125"/>
        <v>5.276165448074198</v>
      </c>
      <c r="AP125" s="13">
        <f t="shared" si="125"/>
        <v>5.276165448074198</v>
      </c>
      <c r="AQ125" s="13">
        <f t="shared" si="125"/>
        <v>5.276165448074198</v>
      </c>
    </row>
    <row r="126" spans="1:43" x14ac:dyDescent="0.3">
      <c r="A126" t="s">
        <v>1405</v>
      </c>
      <c r="B126" t="s">
        <v>1404</v>
      </c>
      <c r="C126" t="str">
        <f t="shared" si="99"/>
        <v>EEIUEA</v>
      </c>
      <c r="D126" s="2">
        <v>0.71489999999999998</v>
      </c>
      <c r="E126" s="7">
        <f>D126*VLOOKUP($A126,'EU Ref Sc 2020 Other industries'!$A$5:$AE$33,E$2)</f>
        <v>0.7448528674871211</v>
      </c>
      <c r="F126" s="7">
        <f>E126*VLOOKUP($A126,'EU Ref Sc 2020 Other industries'!$A$5:$AE$33,F$2)</f>
        <v>0.77480573497424221</v>
      </c>
      <c r="G126" s="7">
        <f>F126*VLOOKUP($A126,'EU Ref Sc 2020 Other industries'!$A$5:$AE$33,G$2)</f>
        <v>0.80475860246136333</v>
      </c>
      <c r="H126" s="7">
        <f>G126*VLOOKUP($A126,'EU Ref Sc 2020 Other industries'!$A$5:$AE$33,H$2)</f>
        <v>0.83471146994848466</v>
      </c>
      <c r="I126" s="7">
        <f>H126*VLOOKUP($A126,'EU Ref Sc 2020 Other industries'!$A$5:$AE$33,I$2)</f>
        <v>0.86447052326095142</v>
      </c>
      <c r="J126" s="7">
        <f>I126*VLOOKUP($A126,'EU Ref Sc 2020 Other industries'!$A$5:$AE$33,J$2)</f>
        <v>0.89422957657341828</v>
      </c>
      <c r="K126" s="7">
        <f>J126*VLOOKUP($A126,'EU Ref Sc 2020 Other industries'!$A$5:$AE$33,K$2)</f>
        <v>0.92398862988588515</v>
      </c>
      <c r="L126" s="7">
        <f>K126*VLOOKUP($A126,'EU Ref Sc 2020 Other industries'!$A$5:$AE$33,L$2)</f>
        <v>0.9537476831983519</v>
      </c>
      <c r="M126" s="7">
        <f>L126*VLOOKUP($A126,'EU Ref Sc 2020 Other industries'!$A$5:$AE$33,M$2)</f>
        <v>0.98350673651081888</v>
      </c>
      <c r="N126" s="7">
        <f>M126*VLOOKUP($A126,'EU Ref Sc 2020 Other industries'!$A$5:$AE$33,N$2)</f>
        <v>0.98420622395333124</v>
      </c>
      <c r="O126" s="7">
        <f>N126*VLOOKUP($A126,'EU Ref Sc 2020 Other industries'!$A$5:$AE$33,O$2)</f>
        <v>0.9849057113958436</v>
      </c>
      <c r="P126" s="7">
        <f>O126*VLOOKUP($A126,'EU Ref Sc 2020 Other industries'!$A$5:$AE$33,P$2)</f>
        <v>0.98560519883835607</v>
      </c>
      <c r="Q126" s="7">
        <f>P126*VLOOKUP($A126,'EU Ref Sc 2020 Other industries'!$A$5:$AE$33,Q$2)</f>
        <v>0.98630468628086843</v>
      </c>
      <c r="R126" s="7">
        <f>Q126*VLOOKUP($A126,'EU Ref Sc 2020 Other industries'!$A$5:$AE$33,R$2)</f>
        <v>0.98700417372338067</v>
      </c>
      <c r="S126" s="7">
        <f>R126*VLOOKUP($A126,'EU Ref Sc 2020 Other industries'!$A$5:$AE$33,S$2)</f>
        <v>0.9825378538859777</v>
      </c>
      <c r="T126" s="7">
        <f>S126*VLOOKUP($A126,'EU Ref Sc 2020 Other industries'!$A$5:$AE$33,T$2)</f>
        <v>0.97807153404857472</v>
      </c>
      <c r="U126" s="7">
        <f>T126*VLOOKUP($A126,'EU Ref Sc 2020 Other industries'!$A$5:$AE$33,U$2)</f>
        <v>0.97360521421117163</v>
      </c>
      <c r="V126" s="7">
        <f>U126*VLOOKUP($A126,'EU Ref Sc 2020 Other industries'!$A$5:$AE$33,V$2)</f>
        <v>0.96913889437376866</v>
      </c>
      <c r="W126" s="7">
        <f>V126*VLOOKUP($A126,'EU Ref Sc 2020 Other industries'!$A$5:$AE$33,W$2)</f>
        <v>0.9646725745363659</v>
      </c>
      <c r="X126" s="7">
        <f>W126*VLOOKUP($A126,'EU Ref Sc 2020 Other industries'!$A$5:$AE$33,X$2)</f>
        <v>0.96470000779558174</v>
      </c>
      <c r="Y126" s="7">
        <f>X126*VLOOKUP($A126,'EU Ref Sc 2020 Other industries'!$A$5:$AE$33,Y$2)</f>
        <v>0.96472744105479746</v>
      </c>
      <c r="Z126" s="7">
        <f>Y126*VLOOKUP($A126,'EU Ref Sc 2020 Other industries'!$A$5:$AE$33,Z$2)</f>
        <v>0.96475487431401319</v>
      </c>
      <c r="AA126" s="7">
        <f>Z126*VLOOKUP($A126,'EU Ref Sc 2020 Other industries'!$A$5:$AE$33,AA$2)</f>
        <v>0.96478230757322903</v>
      </c>
      <c r="AB126" s="7">
        <f>AA126*VLOOKUP($A126,'EU Ref Sc 2020 Other industries'!$A$5:$AE$33,AB$2)</f>
        <v>0.96480974083244508</v>
      </c>
      <c r="AC126" s="7">
        <f>AB126*VLOOKUP($A126,'EU Ref Sc 2020 Other industries'!$A$5:$AE$33,AC$2)</f>
        <v>0.96264060164497911</v>
      </c>
      <c r="AD126" s="7">
        <f>AC126*VLOOKUP($A126,'EU Ref Sc 2020 Other industries'!$A$5:$AE$33,AD$2)</f>
        <v>0.96047146245751314</v>
      </c>
      <c r="AE126" s="7">
        <f>AD126*VLOOKUP($A126,'EU Ref Sc 2020 Other industries'!$A$5:$AE$33,AE$2)</f>
        <v>0.95830232327004716</v>
      </c>
      <c r="AF126" s="7">
        <f>AE126*VLOOKUP($A126,'EU Ref Sc 2020 Other industries'!$A$5:$AE$33,AF$2)</f>
        <v>0.95613318408258119</v>
      </c>
      <c r="AG126" s="7">
        <f>AF126*VLOOKUP($A126,'EU Ref Sc 2020 Other industries'!$A$5:$AE$33,AG$2)</f>
        <v>0.95396404489511488</v>
      </c>
      <c r="AH126" s="13">
        <f t="shared" ref="AH126:AQ126" si="126">AG126</f>
        <v>0.95396404489511488</v>
      </c>
      <c r="AI126" s="13">
        <f t="shared" si="126"/>
        <v>0.95396404489511488</v>
      </c>
      <c r="AJ126" s="13">
        <f t="shared" si="126"/>
        <v>0.95396404489511488</v>
      </c>
      <c r="AK126" s="13">
        <f t="shared" si="126"/>
        <v>0.95396404489511488</v>
      </c>
      <c r="AL126" s="13">
        <f t="shared" si="126"/>
        <v>0.95396404489511488</v>
      </c>
      <c r="AM126" s="13">
        <f t="shared" si="126"/>
        <v>0.95396404489511488</v>
      </c>
      <c r="AN126" s="13">
        <f t="shared" si="126"/>
        <v>0.95396404489511488</v>
      </c>
      <c r="AO126" s="13">
        <f t="shared" si="126"/>
        <v>0.95396404489511488</v>
      </c>
      <c r="AP126" s="13">
        <f t="shared" si="126"/>
        <v>0.95396404489511488</v>
      </c>
      <c r="AQ126" s="13">
        <f t="shared" si="126"/>
        <v>0.95396404489511488</v>
      </c>
    </row>
    <row r="127" spans="1:43" x14ac:dyDescent="0.3">
      <c r="A127" t="s">
        <v>1412</v>
      </c>
      <c r="B127" t="s">
        <v>1404</v>
      </c>
      <c r="C127" t="str">
        <f t="shared" si="99"/>
        <v>HUIUEA</v>
      </c>
      <c r="D127" s="2">
        <v>8.6497000000000011</v>
      </c>
      <c r="E127" s="7">
        <f>D127*VLOOKUP($A127,'EU Ref Sc 2020 Other industries'!$A$5:$AE$33,E$2)</f>
        <v>8.780743438283551</v>
      </c>
      <c r="F127" s="7">
        <f>E127*VLOOKUP($A127,'EU Ref Sc 2020 Other industries'!$A$5:$AE$33,F$2)</f>
        <v>8.9117868765670991</v>
      </c>
      <c r="G127" s="7">
        <f>F127*VLOOKUP($A127,'EU Ref Sc 2020 Other industries'!$A$5:$AE$33,G$2)</f>
        <v>9.042830314850649</v>
      </c>
      <c r="H127" s="7">
        <f>G127*VLOOKUP($A127,'EU Ref Sc 2020 Other industries'!$A$5:$AE$33,H$2)</f>
        <v>9.1738737531341989</v>
      </c>
      <c r="I127" s="7">
        <f>H127*VLOOKUP($A127,'EU Ref Sc 2020 Other industries'!$A$5:$AE$33,I$2)</f>
        <v>9.5884186398932503</v>
      </c>
      <c r="J127" s="7">
        <f>I127*VLOOKUP($A127,'EU Ref Sc 2020 Other industries'!$A$5:$AE$33,J$2)</f>
        <v>10.002963526652302</v>
      </c>
      <c r="K127" s="7">
        <f>J127*VLOOKUP($A127,'EU Ref Sc 2020 Other industries'!$A$5:$AE$33,K$2)</f>
        <v>10.417508413411353</v>
      </c>
      <c r="L127" s="7">
        <f>K127*VLOOKUP($A127,'EU Ref Sc 2020 Other industries'!$A$5:$AE$33,L$2)</f>
        <v>10.832053300170404</v>
      </c>
      <c r="M127" s="7">
        <f>L127*VLOOKUP($A127,'EU Ref Sc 2020 Other industries'!$A$5:$AE$33,M$2)</f>
        <v>11.246598186929457</v>
      </c>
      <c r="N127" s="7">
        <f>M127*VLOOKUP($A127,'EU Ref Sc 2020 Other industries'!$A$5:$AE$33,N$2)</f>
        <v>11.290614300656696</v>
      </c>
      <c r="O127" s="7">
        <f>N127*VLOOKUP($A127,'EU Ref Sc 2020 Other industries'!$A$5:$AE$33,O$2)</f>
        <v>11.334630414383936</v>
      </c>
      <c r="P127" s="7">
        <f>O127*VLOOKUP($A127,'EU Ref Sc 2020 Other industries'!$A$5:$AE$33,P$2)</f>
        <v>11.378646528111174</v>
      </c>
      <c r="Q127" s="7">
        <f>P127*VLOOKUP($A127,'EU Ref Sc 2020 Other industries'!$A$5:$AE$33,Q$2)</f>
        <v>11.422662641838414</v>
      </c>
      <c r="R127" s="7">
        <f>Q127*VLOOKUP($A127,'EU Ref Sc 2020 Other industries'!$A$5:$AE$33,R$2)</f>
        <v>11.466678755565649</v>
      </c>
      <c r="S127" s="7">
        <f>R127*VLOOKUP($A127,'EU Ref Sc 2020 Other industries'!$A$5:$AE$33,S$2)</f>
        <v>11.408848455922012</v>
      </c>
      <c r="T127" s="7">
        <f>S127*VLOOKUP($A127,'EU Ref Sc 2020 Other industries'!$A$5:$AE$33,T$2)</f>
        <v>11.351018156278375</v>
      </c>
      <c r="U127" s="7">
        <f>T127*VLOOKUP($A127,'EU Ref Sc 2020 Other industries'!$A$5:$AE$33,U$2)</f>
        <v>11.293187856634738</v>
      </c>
      <c r="V127" s="7">
        <f>U127*VLOOKUP($A127,'EU Ref Sc 2020 Other industries'!$A$5:$AE$33,V$2)</f>
        <v>11.235357556991101</v>
      </c>
      <c r="W127" s="7">
        <f>V127*VLOOKUP($A127,'EU Ref Sc 2020 Other industries'!$A$5:$AE$33,W$2)</f>
        <v>11.177527257347469</v>
      </c>
      <c r="X127" s="7">
        <f>W127*VLOOKUP($A127,'EU Ref Sc 2020 Other industries'!$A$5:$AE$33,X$2)</f>
        <v>11.102369055370849</v>
      </c>
      <c r="Y127" s="7">
        <f>X127*VLOOKUP($A127,'EU Ref Sc 2020 Other industries'!$A$5:$AE$33,Y$2)</f>
        <v>11.027210853394228</v>
      </c>
      <c r="Z127" s="7">
        <f>Y127*VLOOKUP($A127,'EU Ref Sc 2020 Other industries'!$A$5:$AE$33,Z$2)</f>
        <v>10.952052651417608</v>
      </c>
      <c r="AA127" s="7">
        <f>Z127*VLOOKUP($A127,'EU Ref Sc 2020 Other industries'!$A$5:$AE$33,AA$2)</f>
        <v>10.876894449440988</v>
      </c>
      <c r="AB127" s="7">
        <f>AA127*VLOOKUP($A127,'EU Ref Sc 2020 Other industries'!$A$5:$AE$33,AB$2)</f>
        <v>10.801736247464365</v>
      </c>
      <c r="AC127" s="7">
        <f>AB127*VLOOKUP($A127,'EU Ref Sc 2020 Other industries'!$A$5:$AE$33,AC$2)</f>
        <v>10.923369559851324</v>
      </c>
      <c r="AD127" s="7">
        <f>AC127*VLOOKUP($A127,'EU Ref Sc 2020 Other industries'!$A$5:$AE$33,AD$2)</f>
        <v>11.04500287223828</v>
      </c>
      <c r="AE127" s="7">
        <f>AD127*VLOOKUP($A127,'EU Ref Sc 2020 Other industries'!$A$5:$AE$33,AE$2)</f>
        <v>11.166636184625236</v>
      </c>
      <c r="AF127" s="7">
        <f>AE127*VLOOKUP($A127,'EU Ref Sc 2020 Other industries'!$A$5:$AE$33,AF$2)</f>
        <v>11.288269497012193</v>
      </c>
      <c r="AG127" s="7">
        <f>AF127*VLOOKUP($A127,'EU Ref Sc 2020 Other industries'!$A$5:$AE$33,AG$2)</f>
        <v>11.409902809399151</v>
      </c>
      <c r="AH127" s="13">
        <f t="shared" ref="AH127:AQ127" si="127">AG127</f>
        <v>11.409902809399151</v>
      </c>
      <c r="AI127" s="13">
        <f t="shared" si="127"/>
        <v>11.409902809399151</v>
      </c>
      <c r="AJ127" s="13">
        <f t="shared" si="127"/>
        <v>11.409902809399151</v>
      </c>
      <c r="AK127" s="13">
        <f t="shared" si="127"/>
        <v>11.409902809399151</v>
      </c>
      <c r="AL127" s="13">
        <f t="shared" si="127"/>
        <v>11.409902809399151</v>
      </c>
      <c r="AM127" s="13">
        <f t="shared" si="127"/>
        <v>11.409902809399151</v>
      </c>
      <c r="AN127" s="13">
        <f t="shared" si="127"/>
        <v>11.409902809399151</v>
      </c>
      <c r="AO127" s="13">
        <f t="shared" si="127"/>
        <v>11.409902809399151</v>
      </c>
      <c r="AP127" s="13">
        <f t="shared" si="127"/>
        <v>11.409902809399151</v>
      </c>
      <c r="AQ127" s="13">
        <f t="shared" si="127"/>
        <v>11.409902809399151</v>
      </c>
    </row>
    <row r="128" spans="1:43" x14ac:dyDescent="0.3">
      <c r="A128" t="s">
        <v>1414</v>
      </c>
      <c r="B128" t="s">
        <v>1404</v>
      </c>
      <c r="C128" t="str">
        <f t="shared" si="99"/>
        <v>ITIUEA</v>
      </c>
      <c r="D128" s="2">
        <v>60.317399999999999</v>
      </c>
      <c r="E128" s="7">
        <f>D128*VLOOKUP($A128,'EU Ref Sc 2020 Other industries'!$A$5:$AE$33,E$2)</f>
        <v>61.037349797077653</v>
      </c>
      <c r="F128" s="7">
        <f>E128*VLOOKUP($A128,'EU Ref Sc 2020 Other industries'!$A$5:$AE$33,F$2)</f>
        <v>61.757299594155306</v>
      </c>
      <c r="G128" s="7">
        <f>F128*VLOOKUP($A128,'EU Ref Sc 2020 Other industries'!$A$5:$AE$33,G$2)</f>
        <v>62.477249391232959</v>
      </c>
      <c r="H128" s="7">
        <f>G128*VLOOKUP($A128,'EU Ref Sc 2020 Other industries'!$A$5:$AE$33,H$2)</f>
        <v>63.197199188310613</v>
      </c>
      <c r="I128" s="7">
        <f>H128*VLOOKUP($A128,'EU Ref Sc 2020 Other industries'!$A$5:$AE$33,I$2)</f>
        <v>62.638472676314151</v>
      </c>
      <c r="J128" s="7">
        <f>I128*VLOOKUP($A128,'EU Ref Sc 2020 Other industries'!$A$5:$AE$33,J$2)</f>
        <v>62.07974616431769</v>
      </c>
      <c r="K128" s="7">
        <f>J128*VLOOKUP($A128,'EU Ref Sc 2020 Other industries'!$A$5:$AE$33,K$2)</f>
        <v>61.521019652321229</v>
      </c>
      <c r="L128" s="7">
        <f>K128*VLOOKUP($A128,'EU Ref Sc 2020 Other industries'!$A$5:$AE$33,L$2)</f>
        <v>60.962293140324768</v>
      </c>
      <c r="M128" s="7">
        <f>L128*VLOOKUP($A128,'EU Ref Sc 2020 Other industries'!$A$5:$AE$33,M$2)</f>
        <v>60.403566628328292</v>
      </c>
      <c r="N128" s="7">
        <f>M128*VLOOKUP($A128,'EU Ref Sc 2020 Other industries'!$A$5:$AE$33,N$2)</f>
        <v>59.831007406964176</v>
      </c>
      <c r="O128" s="7">
        <f>N128*VLOOKUP($A128,'EU Ref Sc 2020 Other industries'!$A$5:$AE$33,O$2)</f>
        <v>59.258448185600059</v>
      </c>
      <c r="P128" s="7">
        <f>O128*VLOOKUP($A128,'EU Ref Sc 2020 Other industries'!$A$5:$AE$33,P$2)</f>
        <v>58.685888964235943</v>
      </c>
      <c r="Q128" s="7">
        <f>P128*VLOOKUP($A128,'EU Ref Sc 2020 Other industries'!$A$5:$AE$33,Q$2)</f>
        <v>58.113329742871827</v>
      </c>
      <c r="R128" s="7">
        <f>Q128*VLOOKUP($A128,'EU Ref Sc 2020 Other industries'!$A$5:$AE$33,R$2)</f>
        <v>57.540770521507703</v>
      </c>
      <c r="S128" s="7">
        <f>R128*VLOOKUP($A128,'EU Ref Sc 2020 Other industries'!$A$5:$AE$33,S$2)</f>
        <v>57.532353096232619</v>
      </c>
      <c r="T128" s="7">
        <f>S128*VLOOKUP($A128,'EU Ref Sc 2020 Other industries'!$A$5:$AE$33,T$2)</f>
        <v>57.523935670957535</v>
      </c>
      <c r="U128" s="7">
        <f>T128*VLOOKUP($A128,'EU Ref Sc 2020 Other industries'!$A$5:$AE$33,U$2)</f>
        <v>57.515518245682458</v>
      </c>
      <c r="V128" s="7">
        <f>U128*VLOOKUP($A128,'EU Ref Sc 2020 Other industries'!$A$5:$AE$33,V$2)</f>
        <v>57.507100820407373</v>
      </c>
      <c r="W128" s="7">
        <f>V128*VLOOKUP($A128,'EU Ref Sc 2020 Other industries'!$A$5:$AE$33,W$2)</f>
        <v>57.498683395132318</v>
      </c>
      <c r="X128" s="7">
        <f>W128*VLOOKUP($A128,'EU Ref Sc 2020 Other industries'!$A$5:$AE$33,X$2)</f>
        <v>57.484849016238847</v>
      </c>
      <c r="Y128" s="7">
        <f>X128*VLOOKUP($A128,'EU Ref Sc 2020 Other industries'!$A$5:$AE$33,Y$2)</f>
        <v>57.471014637345377</v>
      </c>
      <c r="Z128" s="7">
        <f>Y128*VLOOKUP($A128,'EU Ref Sc 2020 Other industries'!$A$5:$AE$33,Z$2)</f>
        <v>57.457180258451906</v>
      </c>
      <c r="AA128" s="7">
        <f>Z128*VLOOKUP($A128,'EU Ref Sc 2020 Other industries'!$A$5:$AE$33,AA$2)</f>
        <v>57.443345879558436</v>
      </c>
      <c r="AB128" s="7">
        <f>AA128*VLOOKUP($A128,'EU Ref Sc 2020 Other industries'!$A$5:$AE$33,AB$2)</f>
        <v>57.429511500664987</v>
      </c>
      <c r="AC128" s="7">
        <f>AB128*VLOOKUP($A128,'EU Ref Sc 2020 Other industries'!$A$5:$AE$33,AC$2)</f>
        <v>57.647393957146143</v>
      </c>
      <c r="AD128" s="7">
        <f>AC128*VLOOKUP($A128,'EU Ref Sc 2020 Other industries'!$A$5:$AE$33,AD$2)</f>
        <v>57.865276413627299</v>
      </c>
      <c r="AE128" s="7">
        <f>AD128*VLOOKUP($A128,'EU Ref Sc 2020 Other industries'!$A$5:$AE$33,AE$2)</f>
        <v>58.083158870108456</v>
      </c>
      <c r="AF128" s="7">
        <f>AE128*VLOOKUP($A128,'EU Ref Sc 2020 Other industries'!$A$5:$AE$33,AF$2)</f>
        <v>58.301041326589612</v>
      </c>
      <c r="AG128" s="7">
        <f>AF128*VLOOKUP($A128,'EU Ref Sc 2020 Other industries'!$A$5:$AE$33,AG$2)</f>
        <v>58.518923783070754</v>
      </c>
      <c r="AH128" s="13">
        <f t="shared" ref="AH128:AQ128" si="128">AG128</f>
        <v>58.518923783070754</v>
      </c>
      <c r="AI128" s="13">
        <f t="shared" si="128"/>
        <v>58.518923783070754</v>
      </c>
      <c r="AJ128" s="13">
        <f t="shared" si="128"/>
        <v>58.518923783070754</v>
      </c>
      <c r="AK128" s="13">
        <f t="shared" si="128"/>
        <v>58.518923783070754</v>
      </c>
      <c r="AL128" s="13">
        <f t="shared" si="128"/>
        <v>58.518923783070754</v>
      </c>
      <c r="AM128" s="13">
        <f t="shared" si="128"/>
        <v>58.518923783070754</v>
      </c>
      <c r="AN128" s="13">
        <f t="shared" si="128"/>
        <v>58.518923783070754</v>
      </c>
      <c r="AO128" s="13">
        <f t="shared" si="128"/>
        <v>58.518923783070754</v>
      </c>
      <c r="AP128" s="13">
        <f t="shared" si="128"/>
        <v>58.518923783070754</v>
      </c>
      <c r="AQ128" s="13">
        <f t="shared" si="128"/>
        <v>58.518923783070754</v>
      </c>
    </row>
    <row r="129" spans="1:43" x14ac:dyDescent="0.3">
      <c r="A129" t="s">
        <v>1424</v>
      </c>
      <c r="B129" t="s">
        <v>1404</v>
      </c>
      <c r="C129" t="str">
        <f t="shared" si="99"/>
        <v>SIIUEA</v>
      </c>
      <c r="D129" s="2">
        <v>3.1629999999999998</v>
      </c>
      <c r="E129" s="7">
        <f>D129*VLOOKUP($A129,'EU Ref Sc 2020 Other industries'!$A$5:$AE$33,E$2)</f>
        <v>3.2675577645302107</v>
      </c>
      <c r="F129" s="7">
        <f>E129*VLOOKUP($A129,'EU Ref Sc 2020 Other industries'!$A$5:$AE$33,F$2)</f>
        <v>3.3721155290604212</v>
      </c>
      <c r="G129" s="7">
        <f>F129*VLOOKUP($A129,'EU Ref Sc 2020 Other industries'!$A$5:$AE$33,G$2)</f>
        <v>3.4766732935906317</v>
      </c>
      <c r="H129" s="7">
        <f>G129*VLOOKUP($A129,'EU Ref Sc 2020 Other industries'!$A$5:$AE$33,H$2)</f>
        <v>3.5812310581208417</v>
      </c>
      <c r="I129" s="7">
        <f>H129*VLOOKUP($A129,'EU Ref Sc 2020 Other industries'!$A$5:$AE$33,I$2)</f>
        <v>3.6440792541057028</v>
      </c>
      <c r="J129" s="7">
        <f>I129*VLOOKUP($A129,'EU Ref Sc 2020 Other industries'!$A$5:$AE$33,J$2)</f>
        <v>3.7069274500905638</v>
      </c>
      <c r="K129" s="7">
        <f>J129*VLOOKUP($A129,'EU Ref Sc 2020 Other industries'!$A$5:$AE$33,K$2)</f>
        <v>3.7697756460754253</v>
      </c>
      <c r="L129" s="7">
        <f>K129*VLOOKUP($A129,'EU Ref Sc 2020 Other industries'!$A$5:$AE$33,L$2)</f>
        <v>3.8326238420602867</v>
      </c>
      <c r="M129" s="7">
        <f>L129*VLOOKUP($A129,'EU Ref Sc 2020 Other industries'!$A$5:$AE$33,M$2)</f>
        <v>3.8954720380451469</v>
      </c>
      <c r="N129" s="7">
        <f>M129*VLOOKUP($A129,'EU Ref Sc 2020 Other industries'!$A$5:$AE$33,N$2)</f>
        <v>3.9408476346149803</v>
      </c>
      <c r="O129" s="7">
        <f>N129*VLOOKUP($A129,'EU Ref Sc 2020 Other industries'!$A$5:$AE$33,O$2)</f>
        <v>3.9862232311848143</v>
      </c>
      <c r="P129" s="7">
        <f>O129*VLOOKUP($A129,'EU Ref Sc 2020 Other industries'!$A$5:$AE$33,P$2)</f>
        <v>4.0315988277546477</v>
      </c>
      <c r="Q129" s="7">
        <f>P129*VLOOKUP($A129,'EU Ref Sc 2020 Other industries'!$A$5:$AE$33,Q$2)</f>
        <v>4.0769744243244812</v>
      </c>
      <c r="R129" s="7">
        <f>Q129*VLOOKUP($A129,'EU Ref Sc 2020 Other industries'!$A$5:$AE$33,R$2)</f>
        <v>4.1223500208943156</v>
      </c>
      <c r="S129" s="7">
        <f>R129*VLOOKUP($A129,'EU Ref Sc 2020 Other industries'!$A$5:$AE$33,S$2)</f>
        <v>4.1498640971852065</v>
      </c>
      <c r="T129" s="7">
        <f>S129*VLOOKUP($A129,'EU Ref Sc 2020 Other industries'!$A$5:$AE$33,T$2)</f>
        <v>4.1773781734760975</v>
      </c>
      <c r="U129" s="7">
        <f>T129*VLOOKUP($A129,'EU Ref Sc 2020 Other industries'!$A$5:$AE$33,U$2)</f>
        <v>4.2048922497669885</v>
      </c>
      <c r="V129" s="7">
        <f>U129*VLOOKUP($A129,'EU Ref Sc 2020 Other industries'!$A$5:$AE$33,V$2)</f>
        <v>4.2324063260578786</v>
      </c>
      <c r="W129" s="7">
        <f>V129*VLOOKUP($A129,'EU Ref Sc 2020 Other industries'!$A$5:$AE$33,W$2)</f>
        <v>4.2599204023487687</v>
      </c>
      <c r="X129" s="7">
        <f>W129*VLOOKUP($A129,'EU Ref Sc 2020 Other industries'!$A$5:$AE$33,X$2)</f>
        <v>4.2854288251397552</v>
      </c>
      <c r="Y129" s="7">
        <f>X129*VLOOKUP($A129,'EU Ref Sc 2020 Other industries'!$A$5:$AE$33,Y$2)</f>
        <v>4.3109372479307417</v>
      </c>
      <c r="Z129" s="7">
        <f>Y129*VLOOKUP($A129,'EU Ref Sc 2020 Other industries'!$A$5:$AE$33,Z$2)</f>
        <v>4.3364456707217283</v>
      </c>
      <c r="AA129" s="7">
        <f>Z129*VLOOKUP($A129,'EU Ref Sc 2020 Other industries'!$A$5:$AE$33,AA$2)</f>
        <v>4.3619540935127148</v>
      </c>
      <c r="AB129" s="7">
        <f>AA129*VLOOKUP($A129,'EU Ref Sc 2020 Other industries'!$A$5:$AE$33,AB$2)</f>
        <v>4.3874625163037013</v>
      </c>
      <c r="AC129" s="7">
        <f>AB129*VLOOKUP($A129,'EU Ref Sc 2020 Other industries'!$A$5:$AE$33,AC$2)</f>
        <v>4.4239037882315406</v>
      </c>
      <c r="AD129" s="7">
        <f>AC129*VLOOKUP($A129,'EU Ref Sc 2020 Other industries'!$A$5:$AE$33,AD$2)</f>
        <v>4.4603450601593799</v>
      </c>
      <c r="AE129" s="7">
        <f>AD129*VLOOKUP($A129,'EU Ref Sc 2020 Other industries'!$A$5:$AE$33,AE$2)</f>
        <v>4.4967863320872192</v>
      </c>
      <c r="AF129" s="7">
        <f>AE129*VLOOKUP($A129,'EU Ref Sc 2020 Other industries'!$A$5:$AE$33,AF$2)</f>
        <v>4.5332276040150594</v>
      </c>
      <c r="AG129" s="7">
        <f>AF129*VLOOKUP($A129,'EU Ref Sc 2020 Other industries'!$A$5:$AE$33,AG$2)</f>
        <v>4.5696688759428978</v>
      </c>
      <c r="AH129" s="13">
        <f t="shared" ref="AH129:AQ129" si="129">AG129</f>
        <v>4.5696688759428978</v>
      </c>
      <c r="AI129" s="13">
        <f t="shared" si="129"/>
        <v>4.5696688759428978</v>
      </c>
      <c r="AJ129" s="13">
        <f t="shared" si="129"/>
        <v>4.5696688759428978</v>
      </c>
      <c r="AK129" s="13">
        <f t="shared" si="129"/>
        <v>4.5696688759428978</v>
      </c>
      <c r="AL129" s="13">
        <f t="shared" si="129"/>
        <v>4.5696688759428978</v>
      </c>
      <c r="AM129" s="13">
        <f t="shared" si="129"/>
        <v>4.5696688759428978</v>
      </c>
      <c r="AN129" s="13">
        <f t="shared" si="129"/>
        <v>4.5696688759428978</v>
      </c>
      <c r="AO129" s="13">
        <f t="shared" si="129"/>
        <v>4.5696688759428978</v>
      </c>
      <c r="AP129" s="13">
        <f t="shared" si="129"/>
        <v>4.5696688759428978</v>
      </c>
      <c r="AQ129" s="13">
        <f t="shared" si="129"/>
        <v>4.5696688759428978</v>
      </c>
    </row>
  </sheetData>
  <autoFilter ref="A3:AQ129" xr:uid="{E60940F9-0FB2-45F3-872E-4CB5F306545E}">
    <sortState xmlns:xlrd2="http://schemas.microsoft.com/office/spreadsheetml/2017/richdata2" ref="A4:AQ129">
      <sortCondition descending="1" ref="B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9E7E-3431-498B-A9E7-012A8E8ECF6E}">
  <dimension ref="A1:AX89"/>
  <sheetViews>
    <sheetView tabSelected="1" workbookViewId="0">
      <selection activeCell="F6" sqref="F6"/>
    </sheetView>
  </sheetViews>
  <sheetFormatPr defaultRowHeight="14.4" x14ac:dyDescent="0.3"/>
  <cols>
    <col min="2" max="2" width="28" bestFit="1" customWidth="1"/>
  </cols>
  <sheetData>
    <row r="1" spans="1:50" x14ac:dyDescent="0.3">
      <c r="A1" s="3" t="s">
        <v>1437</v>
      </c>
    </row>
    <row r="2" spans="1:50" x14ac:dyDescent="0.3">
      <c r="A2" t="s">
        <v>1438</v>
      </c>
    </row>
    <row r="3" spans="1:50" x14ac:dyDescent="0.3">
      <c r="A3" t="s">
        <v>1440</v>
      </c>
    </row>
    <row r="5" spans="1:50" s="3" customFormat="1" x14ac:dyDescent="0.3">
      <c r="A5" s="3" t="s">
        <v>1387</v>
      </c>
      <c r="B5" s="3" t="s">
        <v>1436</v>
      </c>
      <c r="C5" s="3">
        <v>2005</v>
      </c>
      <c r="D5" s="3">
        <v>2010</v>
      </c>
      <c r="E5" s="3">
        <v>2015</v>
      </c>
      <c r="F5" s="3">
        <v>2016</v>
      </c>
      <c r="G5" s="3">
        <v>2017</v>
      </c>
      <c r="H5" s="3">
        <v>2018</v>
      </c>
      <c r="I5" s="3">
        <v>2019</v>
      </c>
      <c r="J5" s="3">
        <v>2020</v>
      </c>
      <c r="K5" s="3">
        <v>2021</v>
      </c>
      <c r="L5" s="3">
        <v>2022</v>
      </c>
      <c r="M5" s="3">
        <v>2023</v>
      </c>
      <c r="N5" s="3">
        <v>2024</v>
      </c>
      <c r="O5" s="3">
        <v>2025</v>
      </c>
      <c r="P5" s="3">
        <v>2026</v>
      </c>
      <c r="Q5" s="3">
        <v>2027</v>
      </c>
      <c r="R5" s="3">
        <v>2028</v>
      </c>
      <c r="S5" s="3">
        <v>2029</v>
      </c>
      <c r="T5" s="3">
        <v>2030</v>
      </c>
      <c r="U5" s="3">
        <v>2031</v>
      </c>
      <c r="V5" s="3">
        <v>2032</v>
      </c>
      <c r="W5" s="3">
        <v>2033</v>
      </c>
      <c r="X5" s="3">
        <v>2034</v>
      </c>
      <c r="Y5" s="3">
        <v>2035</v>
      </c>
      <c r="Z5" s="3">
        <v>2036</v>
      </c>
      <c r="AA5" s="3">
        <v>2037</v>
      </c>
      <c r="AB5" s="3">
        <v>2038</v>
      </c>
      <c r="AC5" s="3">
        <v>2039</v>
      </c>
      <c r="AD5" s="3">
        <v>2040</v>
      </c>
      <c r="AE5" s="3">
        <v>2041</v>
      </c>
      <c r="AF5" s="3">
        <v>2042</v>
      </c>
      <c r="AG5" s="3">
        <v>2043</v>
      </c>
      <c r="AH5" s="3">
        <v>2044</v>
      </c>
      <c r="AI5" s="3">
        <v>2045</v>
      </c>
      <c r="AJ5" s="3">
        <v>2046</v>
      </c>
      <c r="AK5" s="3">
        <v>2047</v>
      </c>
      <c r="AL5" s="3">
        <v>2048</v>
      </c>
      <c r="AM5" s="3">
        <v>2049</v>
      </c>
      <c r="AN5" s="3">
        <v>2050</v>
      </c>
      <c r="AO5" s="3">
        <v>2051</v>
      </c>
      <c r="AP5" s="3">
        <v>2052</v>
      </c>
      <c r="AQ5" s="3">
        <v>2053</v>
      </c>
      <c r="AR5" s="3">
        <v>2054</v>
      </c>
      <c r="AS5" s="3">
        <v>2055</v>
      </c>
      <c r="AT5" s="3">
        <v>2056</v>
      </c>
      <c r="AU5" s="3">
        <v>2057</v>
      </c>
      <c r="AV5" s="3">
        <v>2058</v>
      </c>
      <c r="AW5" s="3">
        <v>2059</v>
      </c>
      <c r="AX5" s="3">
        <v>2060</v>
      </c>
    </row>
    <row r="6" spans="1:50" x14ac:dyDescent="0.3">
      <c r="A6" t="s">
        <v>1433</v>
      </c>
      <c r="B6" t="s">
        <v>1434</v>
      </c>
      <c r="C6">
        <v>272513.98897298164</v>
      </c>
      <c r="D6">
        <v>240354.07768680391</v>
      </c>
      <c r="E6">
        <v>228338.42251503191</v>
      </c>
      <c r="F6" s="10">
        <f>E6+(($J6-$E6)/5)</f>
        <v>226743.58944025252</v>
      </c>
      <c r="G6" s="10">
        <f t="shared" ref="G6:I6" si="0">F6+(($J6-$E6)/5)</f>
        <v>225148.75636547312</v>
      </c>
      <c r="H6" s="10">
        <f t="shared" si="0"/>
        <v>223553.92329069372</v>
      </c>
      <c r="I6" s="10">
        <f t="shared" si="0"/>
        <v>221959.09021591433</v>
      </c>
      <c r="J6">
        <v>220364.25714113496</v>
      </c>
      <c r="K6" s="10">
        <f>J6+(($O6-$J6)/5)</f>
        <v>222359.79925134141</v>
      </c>
      <c r="L6" s="10">
        <f t="shared" ref="L6:N6" si="1">K6+(($O6-$J6)/5)</f>
        <v>224355.34136154785</v>
      </c>
      <c r="M6" s="10">
        <f t="shared" si="1"/>
        <v>226350.88347175429</v>
      </c>
      <c r="N6" s="10">
        <f t="shared" si="1"/>
        <v>228346.42558196074</v>
      </c>
      <c r="O6">
        <v>230341.96769216724</v>
      </c>
      <c r="P6" s="10">
        <f>O6+(($T6-$O6)/5)</f>
        <v>229402.72438427398</v>
      </c>
      <c r="Q6" s="10">
        <f t="shared" ref="Q6:S6" si="2">P6+(($T6-$O6)/5)</f>
        <v>228463.48107638073</v>
      </c>
      <c r="R6" s="10">
        <f t="shared" si="2"/>
        <v>227524.23776848748</v>
      </c>
      <c r="S6" s="10">
        <f t="shared" si="2"/>
        <v>226584.99446059423</v>
      </c>
      <c r="T6">
        <v>225645.75115270101</v>
      </c>
      <c r="U6" s="10">
        <f>T6+(($Y6-$T6)/5)</f>
        <v>223504.3345597389</v>
      </c>
      <c r="V6" s="10">
        <f t="shared" ref="V6:X6" si="3">U6+(($Y6-$T6)/5)</f>
        <v>221362.91796677679</v>
      </c>
      <c r="W6" s="10">
        <f t="shared" si="3"/>
        <v>219221.50137381468</v>
      </c>
      <c r="X6" s="10">
        <f t="shared" si="3"/>
        <v>217080.08478085257</v>
      </c>
      <c r="Y6">
        <v>214938.66818789052</v>
      </c>
      <c r="Z6" s="10">
        <f>Y6+(($AD6-$Y6)/5)</f>
        <v>213668.46484271894</v>
      </c>
      <c r="AA6" s="10">
        <f t="shared" ref="AA6:AC6" si="4">Z6+(($AD6-$Y6)/5)</f>
        <v>212398.26149754736</v>
      </c>
      <c r="AB6" s="10">
        <f t="shared" si="4"/>
        <v>211128.05815237577</v>
      </c>
      <c r="AC6" s="10">
        <f t="shared" si="4"/>
        <v>209857.85480720419</v>
      </c>
      <c r="AD6">
        <v>208587.65146203263</v>
      </c>
      <c r="AE6" s="10">
        <f>AD6+(($AI6-$AD6)/5)</f>
        <v>208349.21869557761</v>
      </c>
      <c r="AF6" s="10">
        <f t="shared" ref="AF6:AH6" si="5">AE6+(($AI6-$AD6)/5)</f>
        <v>208110.78592912259</v>
      </c>
      <c r="AG6" s="10">
        <f t="shared" si="5"/>
        <v>207872.35316266757</v>
      </c>
      <c r="AH6" s="10">
        <f t="shared" si="5"/>
        <v>207633.92039621255</v>
      </c>
      <c r="AI6">
        <v>207395.4876297575</v>
      </c>
      <c r="AJ6" s="10">
        <f>AI6+(($AN6-$AI6)/5)</f>
        <v>207845.65760860936</v>
      </c>
      <c r="AK6" s="10">
        <f t="shared" ref="AK6:AM6" si="6">AJ6+(($AN6-$AI6)/5)</f>
        <v>208295.82758746122</v>
      </c>
      <c r="AL6" s="10">
        <f t="shared" si="6"/>
        <v>208745.99756631308</v>
      </c>
      <c r="AM6" s="10">
        <f t="shared" si="6"/>
        <v>209196.16754516494</v>
      </c>
      <c r="AN6">
        <v>209646.33752401682</v>
      </c>
      <c r="AO6" s="10">
        <f>AN6</f>
        <v>209646.33752401682</v>
      </c>
      <c r="AP6" s="10">
        <f t="shared" ref="AP6:AX6" si="7">AO6</f>
        <v>209646.33752401682</v>
      </c>
      <c r="AQ6" s="10">
        <f t="shared" si="7"/>
        <v>209646.33752401682</v>
      </c>
      <c r="AR6" s="10">
        <f t="shared" si="7"/>
        <v>209646.33752401682</v>
      </c>
      <c r="AS6" s="10">
        <f t="shared" si="7"/>
        <v>209646.33752401682</v>
      </c>
      <c r="AT6" s="10">
        <f t="shared" si="7"/>
        <v>209646.33752401682</v>
      </c>
      <c r="AU6" s="10">
        <f t="shared" si="7"/>
        <v>209646.33752401682</v>
      </c>
      <c r="AV6" s="10">
        <f t="shared" si="7"/>
        <v>209646.33752401682</v>
      </c>
      <c r="AW6" s="10">
        <f t="shared" si="7"/>
        <v>209646.33752401682</v>
      </c>
      <c r="AX6" s="10">
        <f t="shared" si="7"/>
        <v>209646.33752401682</v>
      </c>
    </row>
    <row r="7" spans="1:50" x14ac:dyDescent="0.3">
      <c r="A7" t="s">
        <v>1433</v>
      </c>
      <c r="B7" t="s">
        <v>1439</v>
      </c>
      <c r="C7">
        <v>173288.60589922423</v>
      </c>
      <c r="D7">
        <v>151045.0404518896</v>
      </c>
      <c r="E7">
        <v>144594.34030078931</v>
      </c>
      <c r="F7" s="10">
        <f t="shared" ref="F7:I7" si="8">E7+(($J7-$E7)/5)</f>
        <v>143417.4448234374</v>
      </c>
      <c r="G7" s="10">
        <f t="shared" si="8"/>
        <v>142240.54934608549</v>
      </c>
      <c r="H7" s="10">
        <f t="shared" si="8"/>
        <v>141063.65386873359</v>
      </c>
      <c r="I7" s="10">
        <f t="shared" si="8"/>
        <v>139886.75839138168</v>
      </c>
      <c r="J7">
        <v>138709.86291402977</v>
      </c>
      <c r="K7" s="10">
        <f t="shared" ref="K7:N7" si="9">J7+(($O7-$J7)/5)</f>
        <v>139740.91705450846</v>
      </c>
      <c r="L7" s="10">
        <f t="shared" si="9"/>
        <v>140771.97119498716</v>
      </c>
      <c r="M7" s="10">
        <f t="shared" si="9"/>
        <v>141803.02533546585</v>
      </c>
      <c r="N7" s="10">
        <f t="shared" si="9"/>
        <v>142834.07947594454</v>
      </c>
      <c r="O7">
        <v>143865.13361642321</v>
      </c>
      <c r="P7" s="10">
        <f t="shared" ref="P7:S7" si="10">O7+(($T7-$O7)/5)</f>
        <v>143135.34149318066</v>
      </c>
      <c r="Q7" s="10">
        <f t="shared" si="10"/>
        <v>142405.54936993812</v>
      </c>
      <c r="R7" s="10">
        <f t="shared" si="10"/>
        <v>141675.75724669558</v>
      </c>
      <c r="S7" s="10">
        <f t="shared" si="10"/>
        <v>140945.96512345303</v>
      </c>
      <c r="T7">
        <v>140216.17300021052</v>
      </c>
      <c r="U7" s="10">
        <f t="shared" ref="U7:X7" si="11">T7+(($Y7-$T7)/5)</f>
        <v>138217.94672499486</v>
      </c>
      <c r="V7" s="10">
        <f t="shared" si="11"/>
        <v>136219.72044977918</v>
      </c>
      <c r="W7" s="10">
        <f t="shared" si="11"/>
        <v>134221.4941745635</v>
      </c>
      <c r="X7" s="10">
        <f t="shared" si="11"/>
        <v>132223.26789934782</v>
      </c>
      <c r="Y7">
        <v>130225.04162413218</v>
      </c>
      <c r="Z7" s="10">
        <f t="shared" ref="Z7:AC7" si="12">Y7+(($AD7-$Y7)/5)</f>
        <v>128747.97156856948</v>
      </c>
      <c r="AA7" s="10">
        <f t="shared" si="12"/>
        <v>127270.90151300679</v>
      </c>
      <c r="AB7" s="10">
        <f t="shared" si="12"/>
        <v>125793.83145744409</v>
      </c>
      <c r="AC7" s="10">
        <f t="shared" si="12"/>
        <v>124316.76140188139</v>
      </c>
      <c r="AD7">
        <v>122839.69134631866</v>
      </c>
      <c r="AE7" s="10">
        <f t="shared" ref="AE7:AH7" si="13">AD7+(($AI7-$AD7)/5)</f>
        <v>122226.05462750055</v>
      </c>
      <c r="AF7" s="10">
        <f t="shared" si="13"/>
        <v>121612.41790868243</v>
      </c>
      <c r="AG7" s="10">
        <f t="shared" si="13"/>
        <v>120998.78118986431</v>
      </c>
      <c r="AH7" s="10">
        <f t="shared" si="13"/>
        <v>120385.14447104619</v>
      </c>
      <c r="AI7">
        <v>119771.50775222809</v>
      </c>
      <c r="AJ7" s="10">
        <f t="shared" ref="AJ7:AM7" si="14">AI7+(($AN7-$AI7)/5)</f>
        <v>119715.35792603428</v>
      </c>
      <c r="AK7" s="10">
        <f t="shared" si="14"/>
        <v>119659.20809984047</v>
      </c>
      <c r="AL7" s="10">
        <f t="shared" si="14"/>
        <v>119603.05827364666</v>
      </c>
      <c r="AM7" s="10">
        <f t="shared" si="14"/>
        <v>119546.90844745285</v>
      </c>
      <c r="AN7">
        <v>119490.75862125902</v>
      </c>
      <c r="AO7" s="10">
        <f t="shared" ref="AO7:AX7" si="15">AN7</f>
        <v>119490.75862125902</v>
      </c>
      <c r="AP7" s="10">
        <f t="shared" si="15"/>
        <v>119490.75862125902</v>
      </c>
      <c r="AQ7" s="10">
        <f t="shared" si="15"/>
        <v>119490.75862125902</v>
      </c>
      <c r="AR7" s="10">
        <f t="shared" si="15"/>
        <v>119490.75862125902</v>
      </c>
      <c r="AS7" s="10">
        <f t="shared" si="15"/>
        <v>119490.75862125902</v>
      </c>
      <c r="AT7" s="10">
        <f t="shared" si="15"/>
        <v>119490.75862125902</v>
      </c>
      <c r="AU7" s="10">
        <f t="shared" si="15"/>
        <v>119490.75862125902</v>
      </c>
      <c r="AV7" s="10">
        <f t="shared" si="15"/>
        <v>119490.75862125902</v>
      </c>
      <c r="AW7" s="10">
        <f t="shared" si="15"/>
        <v>119490.75862125902</v>
      </c>
      <c r="AX7" s="10">
        <f t="shared" si="15"/>
        <v>119490.75862125902</v>
      </c>
    </row>
    <row r="8" spans="1:50" x14ac:dyDescent="0.3">
      <c r="A8" t="s">
        <v>1433</v>
      </c>
      <c r="B8" t="s">
        <v>1435</v>
      </c>
      <c r="C8">
        <v>99225.383073757417</v>
      </c>
      <c r="D8">
        <v>89309.037234914271</v>
      </c>
      <c r="E8">
        <v>83744.082214242575</v>
      </c>
      <c r="F8" s="10">
        <f t="shared" ref="F8:I8" si="16">E8+(($J8-$E8)/5)</f>
        <v>83326.144616815087</v>
      </c>
      <c r="G8" s="10">
        <f t="shared" si="16"/>
        <v>82908.207019387599</v>
      </c>
      <c r="H8" s="10">
        <f t="shared" si="16"/>
        <v>82490.269421960111</v>
      </c>
      <c r="I8" s="10">
        <f t="shared" si="16"/>
        <v>82072.331824532623</v>
      </c>
      <c r="J8">
        <v>81654.394227105106</v>
      </c>
      <c r="K8" s="10">
        <f t="shared" ref="K8:N8" si="17">J8+(($O8-$J8)/5)</f>
        <v>82618.882196832885</v>
      </c>
      <c r="L8" s="10">
        <f t="shared" si="17"/>
        <v>83583.370166560664</v>
      </c>
      <c r="M8" s="10">
        <f t="shared" si="17"/>
        <v>84547.858136288443</v>
      </c>
      <c r="N8" s="10">
        <f t="shared" si="17"/>
        <v>85512.346106016223</v>
      </c>
      <c r="O8">
        <v>86476.834075744031</v>
      </c>
      <c r="P8" s="10">
        <f t="shared" ref="P8:S8" si="18">O8+(($T8-$O8)/5)</f>
        <v>86267.382891093337</v>
      </c>
      <c r="Q8" s="10">
        <f t="shared" si="18"/>
        <v>86057.931706442643</v>
      </c>
      <c r="R8" s="10">
        <f t="shared" si="18"/>
        <v>85848.480521791949</v>
      </c>
      <c r="S8" s="10">
        <f t="shared" si="18"/>
        <v>85639.029337141255</v>
      </c>
      <c r="T8">
        <v>85429.578152490547</v>
      </c>
      <c r="U8" s="10">
        <f t="shared" ref="U8:X8" si="19">T8+(($Y8-$T8)/5)</f>
        <v>85286.387834744106</v>
      </c>
      <c r="V8" s="10">
        <f t="shared" si="19"/>
        <v>85143.197516997665</v>
      </c>
      <c r="W8" s="10">
        <f t="shared" si="19"/>
        <v>85000.007199251224</v>
      </c>
      <c r="X8" s="10">
        <f t="shared" si="19"/>
        <v>84856.816881504783</v>
      </c>
      <c r="Y8">
        <v>84713.626563758327</v>
      </c>
      <c r="Z8" s="10">
        <f t="shared" ref="Z8:AC8" si="20">Y8+(($AD8-$Y8)/5)</f>
        <v>84920.49327414947</v>
      </c>
      <c r="AA8" s="10">
        <f t="shared" si="20"/>
        <v>85127.359984540613</v>
      </c>
      <c r="AB8" s="10">
        <f t="shared" si="20"/>
        <v>85334.226694931756</v>
      </c>
      <c r="AC8" s="10">
        <f t="shared" si="20"/>
        <v>85541.093405322899</v>
      </c>
      <c r="AD8">
        <v>85747.960115714013</v>
      </c>
      <c r="AE8" s="10">
        <f t="shared" ref="AE8:AH8" si="21">AD8+(($AI8-$AD8)/5)</f>
        <v>86123.16406807708</v>
      </c>
      <c r="AF8" s="10">
        <f t="shared" si="21"/>
        <v>86498.368020440146</v>
      </c>
      <c r="AG8" s="10">
        <f t="shared" si="21"/>
        <v>86873.571972803213</v>
      </c>
      <c r="AH8" s="10">
        <f t="shared" si="21"/>
        <v>87248.775925166279</v>
      </c>
      <c r="AI8">
        <v>87623.97987752936</v>
      </c>
      <c r="AJ8" s="10">
        <f t="shared" ref="AJ8:AM8" si="22">AI8+(($AN8-$AI8)/5)</f>
        <v>88130.29968257506</v>
      </c>
      <c r="AK8" s="10">
        <f t="shared" si="22"/>
        <v>88636.619487620759</v>
      </c>
      <c r="AL8" s="10">
        <f t="shared" si="22"/>
        <v>89142.939292666459</v>
      </c>
      <c r="AM8" s="10">
        <f t="shared" si="22"/>
        <v>89649.259097712158</v>
      </c>
      <c r="AN8">
        <v>90155.578902757843</v>
      </c>
      <c r="AO8" s="10">
        <f t="shared" ref="AO8:AX8" si="23">AN8</f>
        <v>90155.578902757843</v>
      </c>
      <c r="AP8" s="10">
        <f t="shared" si="23"/>
        <v>90155.578902757843</v>
      </c>
      <c r="AQ8" s="10">
        <f t="shared" si="23"/>
        <v>90155.578902757843</v>
      </c>
      <c r="AR8" s="10">
        <f t="shared" si="23"/>
        <v>90155.578902757843</v>
      </c>
      <c r="AS8" s="10">
        <f t="shared" si="23"/>
        <v>90155.578902757843</v>
      </c>
      <c r="AT8" s="10">
        <f t="shared" si="23"/>
        <v>90155.578902757843</v>
      </c>
      <c r="AU8" s="10">
        <f t="shared" si="23"/>
        <v>90155.578902757843</v>
      </c>
      <c r="AV8" s="10">
        <f t="shared" si="23"/>
        <v>90155.578902757843</v>
      </c>
      <c r="AW8" s="10">
        <f t="shared" si="23"/>
        <v>90155.578902757843</v>
      </c>
      <c r="AX8" s="10">
        <f t="shared" si="23"/>
        <v>90155.578902757843</v>
      </c>
    </row>
    <row r="9" spans="1:50" x14ac:dyDescent="0.3">
      <c r="A9" t="s">
        <v>1390</v>
      </c>
      <c r="B9" t="s">
        <v>1434</v>
      </c>
      <c r="C9">
        <v>7347.3781157929561</v>
      </c>
      <c r="D9">
        <v>7692.846591864969</v>
      </c>
      <c r="E9">
        <v>7799.8307111564682</v>
      </c>
      <c r="F9" s="10">
        <f t="shared" ref="F9:I9" si="24">E9+(($J9-$E9)/5)</f>
        <v>7751.5062450181949</v>
      </c>
      <c r="G9" s="10">
        <f t="shared" si="24"/>
        <v>7703.1817788799217</v>
      </c>
      <c r="H9" s="10">
        <f t="shared" si="24"/>
        <v>7654.8573127416485</v>
      </c>
      <c r="I9" s="10">
        <f t="shared" si="24"/>
        <v>7606.5328466033752</v>
      </c>
      <c r="J9">
        <v>7558.2083804651029</v>
      </c>
      <c r="K9" s="10">
        <f t="shared" ref="K9:N9" si="25">J9+(($O9-$J9)/5)</f>
        <v>7639.4786372820254</v>
      </c>
      <c r="L9" s="10">
        <f t="shared" si="25"/>
        <v>7720.7488940989479</v>
      </c>
      <c r="M9" s="10">
        <f t="shared" si="25"/>
        <v>7802.0191509158703</v>
      </c>
      <c r="N9" s="10">
        <f t="shared" si="25"/>
        <v>7883.2894077327928</v>
      </c>
      <c r="O9">
        <v>7964.5596645497153</v>
      </c>
      <c r="P9" s="10">
        <f t="shared" ref="P9:S9" si="26">O9+(($T9-$O9)/5)</f>
        <v>7905.3680905768497</v>
      </c>
      <c r="Q9" s="10">
        <f t="shared" si="26"/>
        <v>7846.1765166039841</v>
      </c>
      <c r="R9" s="10">
        <f t="shared" si="26"/>
        <v>7786.9849426311184</v>
      </c>
      <c r="S9" s="10">
        <f t="shared" si="26"/>
        <v>7727.7933686582528</v>
      </c>
      <c r="T9">
        <v>7668.6017946853854</v>
      </c>
      <c r="U9" s="10">
        <f t="shared" ref="U9:X9" si="27">T9+(($Y9-$T9)/5)</f>
        <v>7649.7027317946959</v>
      </c>
      <c r="V9" s="10">
        <f t="shared" si="27"/>
        <v>7630.8036689040064</v>
      </c>
      <c r="W9" s="10">
        <f t="shared" si="27"/>
        <v>7611.9046060133169</v>
      </c>
      <c r="X9" s="10">
        <f t="shared" si="27"/>
        <v>7593.0055431226274</v>
      </c>
      <c r="Y9">
        <v>7574.1064802319379</v>
      </c>
      <c r="Z9" s="10">
        <f t="shared" ref="Z9:AC9" si="28">Y9+(($AD9-$Y9)/5)</f>
        <v>7571.3458028697123</v>
      </c>
      <c r="AA9" s="10">
        <f t="shared" si="28"/>
        <v>7568.5851255074867</v>
      </c>
      <c r="AB9" s="10">
        <f t="shared" si="28"/>
        <v>7565.8244481452612</v>
      </c>
      <c r="AC9" s="10">
        <f t="shared" si="28"/>
        <v>7563.0637707830356</v>
      </c>
      <c r="AD9">
        <v>7560.30309342081</v>
      </c>
      <c r="AE9" s="10">
        <f t="shared" ref="AE9:AH9" si="29">AD9+(($AI9-$AD9)/5)</f>
        <v>7571.0800988302508</v>
      </c>
      <c r="AF9" s="10">
        <f t="shared" si="29"/>
        <v>7581.8571042396916</v>
      </c>
      <c r="AG9" s="10">
        <f t="shared" si="29"/>
        <v>7592.6341096491324</v>
      </c>
      <c r="AH9" s="10">
        <f t="shared" si="29"/>
        <v>7603.4111150585732</v>
      </c>
      <c r="AI9">
        <v>7614.1881204680121</v>
      </c>
      <c r="AJ9" s="10">
        <f t="shared" ref="AJ9:AM9" si="30">AI9+(($AN9-$AI9)/5)</f>
        <v>7633.3891076675345</v>
      </c>
      <c r="AK9" s="10">
        <f t="shared" si="30"/>
        <v>7652.5900948670569</v>
      </c>
      <c r="AL9" s="10">
        <f t="shared" si="30"/>
        <v>7671.7910820665793</v>
      </c>
      <c r="AM9" s="10">
        <f t="shared" si="30"/>
        <v>7690.9920692661017</v>
      </c>
      <c r="AN9">
        <v>7710.193056465625</v>
      </c>
      <c r="AO9" s="10">
        <f t="shared" ref="AO9:AX9" si="31">AN9</f>
        <v>7710.193056465625</v>
      </c>
      <c r="AP9" s="10">
        <f t="shared" si="31"/>
        <v>7710.193056465625</v>
      </c>
      <c r="AQ9" s="10">
        <f t="shared" si="31"/>
        <v>7710.193056465625</v>
      </c>
      <c r="AR9" s="10">
        <f t="shared" si="31"/>
        <v>7710.193056465625</v>
      </c>
      <c r="AS9" s="10">
        <f t="shared" si="31"/>
        <v>7710.193056465625</v>
      </c>
      <c r="AT9" s="10">
        <f t="shared" si="31"/>
        <v>7710.193056465625</v>
      </c>
      <c r="AU9" s="10">
        <f t="shared" si="31"/>
        <v>7710.193056465625</v>
      </c>
      <c r="AV9" s="10">
        <f t="shared" si="31"/>
        <v>7710.193056465625</v>
      </c>
      <c r="AW9" s="10">
        <f t="shared" si="31"/>
        <v>7710.193056465625</v>
      </c>
      <c r="AX9" s="10">
        <f t="shared" si="31"/>
        <v>7710.193056465625</v>
      </c>
    </row>
    <row r="10" spans="1:50" x14ac:dyDescent="0.3">
      <c r="A10" t="s">
        <v>1390</v>
      </c>
      <c r="B10" t="s">
        <v>1439</v>
      </c>
      <c r="C10">
        <v>4537.4151157929564</v>
      </c>
      <c r="D10">
        <v>4735.6895918649698</v>
      </c>
      <c r="E10">
        <v>4785.4027611564688</v>
      </c>
      <c r="F10" s="10">
        <f t="shared" ref="F10:I10" si="32">E10+(($J10-$E10)/5)</f>
        <v>4770.2782926074333</v>
      </c>
      <c r="G10" s="10">
        <f t="shared" si="32"/>
        <v>4755.1538240583977</v>
      </c>
      <c r="H10" s="10">
        <f t="shared" si="32"/>
        <v>4740.0293555093622</v>
      </c>
      <c r="I10" s="10">
        <f t="shared" si="32"/>
        <v>4724.9048869603266</v>
      </c>
      <c r="J10">
        <v>4709.7804184112902</v>
      </c>
      <c r="K10" s="10">
        <f t="shared" ref="K10:N10" si="33">J10+(($O10-$J10)/5)</f>
        <v>4745.449861485291</v>
      </c>
      <c r="L10" s="10">
        <f t="shared" si="33"/>
        <v>4781.1193045592918</v>
      </c>
      <c r="M10" s="10">
        <f t="shared" si="33"/>
        <v>4816.7887476332926</v>
      </c>
      <c r="N10" s="10">
        <f t="shared" si="33"/>
        <v>4852.4581907072934</v>
      </c>
      <c r="O10">
        <v>4888.1276337812924</v>
      </c>
      <c r="P10" s="10">
        <f t="shared" ref="P10:S10" si="34">O10+(($T10-$O10)/5)</f>
        <v>4849.9862415727202</v>
      </c>
      <c r="Q10" s="10">
        <f t="shared" si="34"/>
        <v>4811.8448493641481</v>
      </c>
      <c r="R10" s="10">
        <f t="shared" si="34"/>
        <v>4773.703457155576</v>
      </c>
      <c r="S10" s="10">
        <f t="shared" si="34"/>
        <v>4735.5620649470038</v>
      </c>
      <c r="T10">
        <v>4697.4206727384317</v>
      </c>
      <c r="U10" s="10">
        <f t="shared" ref="U10:X10" si="35">T10+(($Y10-$T10)/5)</f>
        <v>4644.1903198294958</v>
      </c>
      <c r="V10" s="10">
        <f t="shared" si="35"/>
        <v>4590.95996692056</v>
      </c>
      <c r="W10" s="10">
        <f t="shared" si="35"/>
        <v>4537.7296140116241</v>
      </c>
      <c r="X10" s="10">
        <f t="shared" si="35"/>
        <v>4484.4992611026883</v>
      </c>
      <c r="Y10">
        <v>4431.2689081937542</v>
      </c>
      <c r="Z10" s="10">
        <f t="shared" ref="Z10:AC10" si="36">Y10+(($AD10-$Y10)/5)</f>
        <v>4389.0664848126462</v>
      </c>
      <c r="AA10" s="10">
        <f t="shared" si="36"/>
        <v>4346.8640614315382</v>
      </c>
      <c r="AB10" s="10">
        <f t="shared" si="36"/>
        <v>4304.6616380504302</v>
      </c>
      <c r="AC10" s="10">
        <f t="shared" si="36"/>
        <v>4262.4592146693221</v>
      </c>
      <c r="AD10">
        <v>4220.2567912882159</v>
      </c>
      <c r="AE10" s="10">
        <f t="shared" ref="AE10:AH10" si="37">AD10+(($AI10-$AD10)/5)</f>
        <v>4200.6703323143556</v>
      </c>
      <c r="AF10" s="10">
        <f t="shared" si="37"/>
        <v>4181.0838733404953</v>
      </c>
      <c r="AG10" s="10">
        <f t="shared" si="37"/>
        <v>4161.497414366635</v>
      </c>
      <c r="AH10" s="10">
        <f t="shared" si="37"/>
        <v>4141.9109553927747</v>
      </c>
      <c r="AI10">
        <v>4122.3244964189153</v>
      </c>
      <c r="AJ10" s="10">
        <f t="shared" ref="AJ10:AM10" si="38">AI10+(($AN10-$AI10)/5)</f>
        <v>4112.17553415355</v>
      </c>
      <c r="AK10" s="10">
        <f t="shared" si="38"/>
        <v>4102.0265718881847</v>
      </c>
      <c r="AL10" s="10">
        <f t="shared" si="38"/>
        <v>4091.8776096228194</v>
      </c>
      <c r="AM10" s="10">
        <f t="shared" si="38"/>
        <v>4081.7286473574541</v>
      </c>
      <c r="AN10">
        <v>4071.5796850920892</v>
      </c>
      <c r="AO10" s="10">
        <f t="shared" ref="AO10:AX10" si="39">AN10</f>
        <v>4071.5796850920892</v>
      </c>
      <c r="AP10" s="10">
        <f t="shared" si="39"/>
        <v>4071.5796850920892</v>
      </c>
      <c r="AQ10" s="10">
        <f t="shared" si="39"/>
        <v>4071.5796850920892</v>
      </c>
      <c r="AR10" s="10">
        <f t="shared" si="39"/>
        <v>4071.5796850920892</v>
      </c>
      <c r="AS10" s="10">
        <f t="shared" si="39"/>
        <v>4071.5796850920892</v>
      </c>
      <c r="AT10" s="10">
        <f t="shared" si="39"/>
        <v>4071.5796850920892</v>
      </c>
      <c r="AU10" s="10">
        <f t="shared" si="39"/>
        <v>4071.5796850920892</v>
      </c>
      <c r="AV10" s="10">
        <f t="shared" si="39"/>
        <v>4071.5796850920892</v>
      </c>
      <c r="AW10" s="10">
        <f t="shared" si="39"/>
        <v>4071.5796850920892</v>
      </c>
      <c r="AX10" s="10">
        <f t="shared" si="39"/>
        <v>4071.5796850920892</v>
      </c>
    </row>
    <row r="11" spans="1:50" x14ac:dyDescent="0.3">
      <c r="A11" t="s">
        <v>1390</v>
      </c>
      <c r="B11" t="s">
        <v>1435</v>
      </c>
      <c r="C11">
        <v>2809.9629999999997</v>
      </c>
      <c r="D11">
        <v>2957.1569999999992</v>
      </c>
      <c r="E11">
        <v>3014.4279499999993</v>
      </c>
      <c r="F11" s="10">
        <f t="shared" ref="F11:I11" si="40">E11+(($J11-$E11)/5)</f>
        <v>2981.2279524107621</v>
      </c>
      <c r="G11" s="10">
        <f t="shared" si="40"/>
        <v>2948.0279548215249</v>
      </c>
      <c r="H11" s="10">
        <f t="shared" si="40"/>
        <v>2914.8279572322876</v>
      </c>
      <c r="I11" s="10">
        <f t="shared" si="40"/>
        <v>2881.6279596430504</v>
      </c>
      <c r="J11">
        <v>2848.4279620538127</v>
      </c>
      <c r="K11" s="10">
        <f t="shared" ref="K11:N11" si="41">J11+(($O11-$J11)/5)</f>
        <v>2894.0287757967349</v>
      </c>
      <c r="L11" s="10">
        <f t="shared" si="41"/>
        <v>2939.629589539657</v>
      </c>
      <c r="M11" s="10">
        <f t="shared" si="41"/>
        <v>2985.2304032825791</v>
      </c>
      <c r="N11" s="10">
        <f t="shared" si="41"/>
        <v>3030.8312170255012</v>
      </c>
      <c r="O11">
        <v>3076.4320307684229</v>
      </c>
      <c r="P11" s="10">
        <f t="shared" ref="P11:S11" si="42">O11+(($T11-$O11)/5)</f>
        <v>3055.381849004129</v>
      </c>
      <c r="Q11" s="10">
        <f t="shared" si="42"/>
        <v>3034.331667239835</v>
      </c>
      <c r="R11" s="10">
        <f t="shared" si="42"/>
        <v>3013.2814854755411</v>
      </c>
      <c r="S11" s="10">
        <f t="shared" si="42"/>
        <v>2992.2313037112472</v>
      </c>
      <c r="T11">
        <v>2971.1811219469537</v>
      </c>
      <c r="U11" s="10">
        <f t="shared" ref="U11:X11" si="43">T11+(($Y11-$T11)/5)</f>
        <v>3005.5124119651996</v>
      </c>
      <c r="V11" s="10">
        <f t="shared" si="43"/>
        <v>3039.8437019834455</v>
      </c>
      <c r="W11" s="10">
        <f t="shared" si="43"/>
        <v>3074.1749920016914</v>
      </c>
      <c r="X11" s="10">
        <f t="shared" si="43"/>
        <v>3108.5062820199373</v>
      </c>
      <c r="Y11">
        <v>3142.8375720381837</v>
      </c>
      <c r="Z11" s="10">
        <f t="shared" ref="Z11:AC11" si="44">Y11+(($AD11-$Y11)/5)</f>
        <v>3182.2793180570657</v>
      </c>
      <c r="AA11" s="10">
        <f t="shared" si="44"/>
        <v>3221.7210640759477</v>
      </c>
      <c r="AB11" s="10">
        <f t="shared" si="44"/>
        <v>3261.1628100948296</v>
      </c>
      <c r="AC11" s="10">
        <f t="shared" si="44"/>
        <v>3300.6045561137116</v>
      </c>
      <c r="AD11">
        <v>3340.0463021325941</v>
      </c>
      <c r="AE11" s="10">
        <f t="shared" ref="AE11:AH11" si="45">AD11+(($AI11-$AD11)/5)</f>
        <v>3370.4097665158947</v>
      </c>
      <c r="AF11" s="10">
        <f t="shared" si="45"/>
        <v>3400.7732308991954</v>
      </c>
      <c r="AG11" s="10">
        <f t="shared" si="45"/>
        <v>3431.136695282496</v>
      </c>
      <c r="AH11" s="10">
        <f t="shared" si="45"/>
        <v>3461.5001596657967</v>
      </c>
      <c r="AI11">
        <v>3491.8636240490969</v>
      </c>
      <c r="AJ11" s="10">
        <f t="shared" ref="AJ11:AM11" si="46">AI11+(($AN11-$AI11)/5)</f>
        <v>3521.2135735139846</v>
      </c>
      <c r="AK11" s="10">
        <f t="shared" si="46"/>
        <v>3550.5635229788722</v>
      </c>
      <c r="AL11" s="10">
        <f t="shared" si="46"/>
        <v>3579.9134724437599</v>
      </c>
      <c r="AM11" s="10">
        <f t="shared" si="46"/>
        <v>3609.2634219086476</v>
      </c>
      <c r="AN11">
        <v>3638.6133713735358</v>
      </c>
      <c r="AO11" s="10">
        <f t="shared" ref="AO11:AX11" si="47">AN11</f>
        <v>3638.6133713735358</v>
      </c>
      <c r="AP11" s="10">
        <f t="shared" si="47"/>
        <v>3638.6133713735358</v>
      </c>
      <c r="AQ11" s="10">
        <f t="shared" si="47"/>
        <v>3638.6133713735358</v>
      </c>
      <c r="AR11" s="10">
        <f t="shared" si="47"/>
        <v>3638.6133713735358</v>
      </c>
      <c r="AS11" s="10">
        <f t="shared" si="47"/>
        <v>3638.6133713735358</v>
      </c>
      <c r="AT11" s="10">
        <f t="shared" si="47"/>
        <v>3638.6133713735358</v>
      </c>
      <c r="AU11" s="10">
        <f t="shared" si="47"/>
        <v>3638.6133713735358</v>
      </c>
      <c r="AV11" s="10">
        <f t="shared" si="47"/>
        <v>3638.6133713735358</v>
      </c>
      <c r="AW11" s="10">
        <f t="shared" si="47"/>
        <v>3638.6133713735358</v>
      </c>
      <c r="AX11" s="10">
        <f t="shared" si="47"/>
        <v>3638.6133713735358</v>
      </c>
    </row>
    <row r="12" spans="1:50" x14ac:dyDescent="0.3">
      <c r="A12" t="s">
        <v>1396</v>
      </c>
      <c r="B12" t="s">
        <v>1434</v>
      </c>
      <c r="C12">
        <v>10101.532203463663</v>
      </c>
      <c r="D12">
        <v>10782.801235360004</v>
      </c>
      <c r="E12">
        <v>10557.400760346995</v>
      </c>
      <c r="F12" s="10">
        <f t="shared" ref="F12:I12" si="48">E12+(($J12-$E12)/5)</f>
        <v>10425.591768960008</v>
      </c>
      <c r="G12" s="10">
        <f t="shared" si="48"/>
        <v>10293.782777573022</v>
      </c>
      <c r="H12" s="10">
        <f t="shared" si="48"/>
        <v>10161.973786186036</v>
      </c>
      <c r="I12" s="10">
        <f t="shared" si="48"/>
        <v>10030.16479479905</v>
      </c>
      <c r="J12">
        <v>9898.3558034120651</v>
      </c>
      <c r="K12" s="10">
        <f t="shared" ref="K12:N12" si="49">J12+(($O12-$J12)/5)</f>
        <v>10209.822457140419</v>
      </c>
      <c r="L12" s="10">
        <f t="shared" si="49"/>
        <v>10521.289110868773</v>
      </c>
      <c r="M12" s="10">
        <f t="shared" si="49"/>
        <v>10832.755764597126</v>
      </c>
      <c r="N12" s="10">
        <f t="shared" si="49"/>
        <v>11144.22241832548</v>
      </c>
      <c r="O12">
        <v>11455.689072053838</v>
      </c>
      <c r="P12" s="10">
        <f t="shared" ref="P12:S12" si="50">O12+(($T12-$O12)/5)</f>
        <v>11699.40073041802</v>
      </c>
      <c r="Q12" s="10">
        <f t="shared" si="50"/>
        <v>11943.112388782201</v>
      </c>
      <c r="R12" s="10">
        <f t="shared" si="50"/>
        <v>12186.824047146383</v>
      </c>
      <c r="S12" s="10">
        <f t="shared" si="50"/>
        <v>12430.535705510565</v>
      </c>
      <c r="T12">
        <v>12674.247363874751</v>
      </c>
      <c r="U12" s="10">
        <f t="shared" ref="U12:X12" si="51">T12+(($Y12-$T12)/5)</f>
        <v>12579.936140137126</v>
      </c>
      <c r="V12" s="10">
        <f t="shared" si="51"/>
        <v>12485.624916399502</v>
      </c>
      <c r="W12" s="10">
        <f t="shared" si="51"/>
        <v>12391.313692661877</v>
      </c>
      <c r="X12" s="10">
        <f t="shared" si="51"/>
        <v>12297.002468924253</v>
      </c>
      <c r="Y12">
        <v>12202.691245186628</v>
      </c>
      <c r="Z12" s="10">
        <f t="shared" ref="Z12:AC12" si="52">Y12+(($AD12-$Y12)/5)</f>
        <v>12171.880048371469</v>
      </c>
      <c r="AA12" s="10">
        <f t="shared" si="52"/>
        <v>12141.068851556311</v>
      </c>
      <c r="AB12" s="10">
        <f t="shared" si="52"/>
        <v>12110.257654741152</v>
      </c>
      <c r="AC12" s="10">
        <f t="shared" si="52"/>
        <v>12079.446457925993</v>
      </c>
      <c r="AD12">
        <v>12048.635261110834</v>
      </c>
      <c r="AE12" s="10">
        <f t="shared" ref="AE12:AH12" si="53">AD12+(($AI12-$AD12)/5)</f>
        <v>12078.773521921918</v>
      </c>
      <c r="AF12" s="10">
        <f t="shared" si="53"/>
        <v>12108.911782733001</v>
      </c>
      <c r="AG12" s="10">
        <f t="shared" si="53"/>
        <v>12139.050043544084</v>
      </c>
      <c r="AH12" s="10">
        <f t="shared" si="53"/>
        <v>12169.188304355168</v>
      </c>
      <c r="AI12">
        <v>12199.326565166248</v>
      </c>
      <c r="AJ12" s="10">
        <f t="shared" ref="AJ12:AM12" si="54">AI12+(($AN12-$AI12)/5)</f>
        <v>12226.686567224126</v>
      </c>
      <c r="AK12" s="10">
        <f t="shared" si="54"/>
        <v>12254.046569282003</v>
      </c>
      <c r="AL12" s="10">
        <f t="shared" si="54"/>
        <v>12281.406571339881</v>
      </c>
      <c r="AM12" s="10">
        <f t="shared" si="54"/>
        <v>12308.766573397759</v>
      </c>
      <c r="AN12">
        <v>12336.126575455639</v>
      </c>
      <c r="AO12" s="10">
        <f t="shared" ref="AO12:AX12" si="55">AN12</f>
        <v>12336.126575455639</v>
      </c>
      <c r="AP12" s="10">
        <f t="shared" si="55"/>
        <v>12336.126575455639</v>
      </c>
      <c r="AQ12" s="10">
        <f t="shared" si="55"/>
        <v>12336.126575455639</v>
      </c>
      <c r="AR12" s="10">
        <f t="shared" si="55"/>
        <v>12336.126575455639</v>
      </c>
      <c r="AS12" s="10">
        <f t="shared" si="55"/>
        <v>12336.126575455639</v>
      </c>
      <c r="AT12" s="10">
        <f t="shared" si="55"/>
        <v>12336.126575455639</v>
      </c>
      <c r="AU12" s="10">
        <f t="shared" si="55"/>
        <v>12336.126575455639</v>
      </c>
      <c r="AV12" s="10">
        <f t="shared" si="55"/>
        <v>12336.126575455639</v>
      </c>
      <c r="AW12" s="10">
        <f t="shared" si="55"/>
        <v>12336.126575455639</v>
      </c>
      <c r="AX12" s="10">
        <f t="shared" si="55"/>
        <v>12336.126575455639</v>
      </c>
    </row>
    <row r="13" spans="1:50" x14ac:dyDescent="0.3">
      <c r="A13" t="s">
        <v>1396</v>
      </c>
      <c r="B13" t="s">
        <v>1439</v>
      </c>
      <c r="C13">
        <v>7260.6502034636633</v>
      </c>
      <c r="D13">
        <v>7667.8392353600038</v>
      </c>
      <c r="E13">
        <v>7557.9604839798058</v>
      </c>
      <c r="F13" s="10">
        <f t="shared" ref="F13:I13" si="56">E13+(($J13-$E13)/5)</f>
        <v>7487.900497129328</v>
      </c>
      <c r="G13" s="10">
        <f t="shared" si="56"/>
        <v>7417.8405102788502</v>
      </c>
      <c r="H13" s="10">
        <f t="shared" si="56"/>
        <v>7347.7805234283724</v>
      </c>
      <c r="I13" s="10">
        <f t="shared" si="56"/>
        <v>7277.7205365778946</v>
      </c>
      <c r="J13">
        <v>7207.6605497274159</v>
      </c>
      <c r="K13" s="10">
        <f t="shared" ref="K13:N13" si="57">J13+(($O13-$J13)/5)</f>
        <v>7447.1906228253019</v>
      </c>
      <c r="L13" s="10">
        <f t="shared" si="57"/>
        <v>7686.720695923188</v>
      </c>
      <c r="M13" s="10">
        <f t="shared" si="57"/>
        <v>7926.2507690210741</v>
      </c>
      <c r="N13" s="10">
        <f t="shared" si="57"/>
        <v>8165.7808421189602</v>
      </c>
      <c r="O13">
        <v>8405.3109152168472</v>
      </c>
      <c r="P13" s="10">
        <f t="shared" ref="P13:S13" si="58">O13+(($T13-$O13)/5)</f>
        <v>8659.6310901442739</v>
      </c>
      <c r="Q13" s="10">
        <f t="shared" si="58"/>
        <v>8913.9512650717006</v>
      </c>
      <c r="R13" s="10">
        <f t="shared" si="58"/>
        <v>9168.2714399991273</v>
      </c>
      <c r="S13" s="10">
        <f t="shared" si="58"/>
        <v>9422.591614926554</v>
      </c>
      <c r="T13">
        <v>9676.9117898539844</v>
      </c>
      <c r="U13" s="10">
        <f t="shared" ref="U13:X13" si="59">T13+(($Y13-$T13)/5)</f>
        <v>9616.6682407809549</v>
      </c>
      <c r="V13" s="10">
        <f t="shared" si="59"/>
        <v>9556.4246917079254</v>
      </c>
      <c r="W13" s="10">
        <f t="shared" si="59"/>
        <v>9496.1811426348959</v>
      </c>
      <c r="X13" s="10">
        <f t="shared" si="59"/>
        <v>9435.9375935618664</v>
      </c>
      <c r="Y13">
        <v>9375.6940444888369</v>
      </c>
      <c r="Z13" s="10">
        <f t="shared" ref="Z13:AC13" si="60">Y13+(($AD13-$Y13)/5)</f>
        <v>9326.6956326799391</v>
      </c>
      <c r="AA13" s="10">
        <f t="shared" si="60"/>
        <v>9277.6972208710413</v>
      </c>
      <c r="AB13" s="10">
        <f t="shared" si="60"/>
        <v>9228.6988090621435</v>
      </c>
      <c r="AC13" s="10">
        <f t="shared" si="60"/>
        <v>9179.7003972532457</v>
      </c>
      <c r="AD13">
        <v>9130.7019854443479</v>
      </c>
      <c r="AE13" s="10">
        <f t="shared" ref="AE13:AH13" si="61">AD13+(($AI13-$AD13)/5)</f>
        <v>9129.2008218260999</v>
      </c>
      <c r="AF13" s="10">
        <f t="shared" si="61"/>
        <v>9127.6996582078518</v>
      </c>
      <c r="AG13" s="10">
        <f t="shared" si="61"/>
        <v>9126.1984945896038</v>
      </c>
      <c r="AH13" s="10">
        <f t="shared" si="61"/>
        <v>9124.6973309713558</v>
      </c>
      <c r="AI13">
        <v>9123.1961673531114</v>
      </c>
      <c r="AJ13" s="10">
        <f t="shared" ref="AJ13:AM13" si="62">AI13+(($AN13-$AI13)/5)</f>
        <v>9118.3622474275799</v>
      </c>
      <c r="AK13" s="10">
        <f t="shared" si="62"/>
        <v>9113.5283275020483</v>
      </c>
      <c r="AL13" s="10">
        <f t="shared" si="62"/>
        <v>9108.6944075765168</v>
      </c>
      <c r="AM13" s="10">
        <f t="shared" si="62"/>
        <v>9103.8604876509853</v>
      </c>
      <c r="AN13">
        <v>9099.0265677254574</v>
      </c>
      <c r="AO13" s="10">
        <f t="shared" ref="AO13:AX13" si="63">AN13</f>
        <v>9099.0265677254574</v>
      </c>
      <c r="AP13" s="10">
        <f t="shared" si="63"/>
        <v>9099.0265677254574</v>
      </c>
      <c r="AQ13" s="10">
        <f t="shared" si="63"/>
        <v>9099.0265677254574</v>
      </c>
      <c r="AR13" s="10">
        <f t="shared" si="63"/>
        <v>9099.0265677254574</v>
      </c>
      <c r="AS13" s="10">
        <f t="shared" si="63"/>
        <v>9099.0265677254574</v>
      </c>
      <c r="AT13" s="10">
        <f t="shared" si="63"/>
        <v>9099.0265677254574</v>
      </c>
      <c r="AU13" s="10">
        <f t="shared" si="63"/>
        <v>9099.0265677254574</v>
      </c>
      <c r="AV13" s="10">
        <f t="shared" si="63"/>
        <v>9099.0265677254574</v>
      </c>
      <c r="AW13" s="10">
        <f t="shared" si="63"/>
        <v>9099.0265677254574</v>
      </c>
      <c r="AX13" s="10">
        <f t="shared" si="63"/>
        <v>9099.0265677254574</v>
      </c>
    </row>
    <row r="14" spans="1:50" x14ac:dyDescent="0.3">
      <c r="A14" t="s">
        <v>1396</v>
      </c>
      <c r="B14" t="s">
        <v>1435</v>
      </c>
      <c r="C14">
        <v>2840.8819999999996</v>
      </c>
      <c r="D14">
        <v>3114.9620000000004</v>
      </c>
      <c r="E14">
        <v>2999.4402763671887</v>
      </c>
      <c r="F14" s="10">
        <f t="shared" ref="F14:I14" si="64">E14+(($J14-$E14)/5)</f>
        <v>2937.6912718306808</v>
      </c>
      <c r="G14" s="10">
        <f t="shared" si="64"/>
        <v>2875.9422672941728</v>
      </c>
      <c r="H14" s="10">
        <f t="shared" si="64"/>
        <v>2814.1932627576648</v>
      </c>
      <c r="I14" s="10">
        <f t="shared" si="64"/>
        <v>2752.4442582211568</v>
      </c>
      <c r="J14">
        <v>2690.6952536846493</v>
      </c>
      <c r="K14" s="10">
        <f t="shared" ref="K14:N14" si="65">J14+(($O14-$J14)/5)</f>
        <v>2762.6318343151174</v>
      </c>
      <c r="L14" s="10">
        <f t="shared" si="65"/>
        <v>2834.5684149455856</v>
      </c>
      <c r="M14" s="10">
        <f t="shared" si="65"/>
        <v>2906.5049955760537</v>
      </c>
      <c r="N14" s="10">
        <f t="shared" si="65"/>
        <v>2978.4415762065219</v>
      </c>
      <c r="O14">
        <v>3050.3781568369905</v>
      </c>
      <c r="P14" s="10">
        <f t="shared" ref="P14:S14" si="66">O14+(($T14-$O14)/5)</f>
        <v>3039.7696402737456</v>
      </c>
      <c r="Q14" s="10">
        <f t="shared" si="66"/>
        <v>3029.1611237105008</v>
      </c>
      <c r="R14" s="10">
        <f t="shared" si="66"/>
        <v>3018.5526071472559</v>
      </c>
      <c r="S14" s="10">
        <f t="shared" si="66"/>
        <v>3007.9440905840111</v>
      </c>
      <c r="T14">
        <v>2997.3355740207662</v>
      </c>
      <c r="U14" s="10">
        <f t="shared" ref="U14:X14" si="67">T14+(($Y14-$T14)/5)</f>
        <v>2963.2678993561713</v>
      </c>
      <c r="V14" s="10">
        <f t="shared" si="67"/>
        <v>2929.2002246915763</v>
      </c>
      <c r="W14" s="10">
        <f t="shared" si="67"/>
        <v>2895.1325500269813</v>
      </c>
      <c r="X14" s="10">
        <f t="shared" si="67"/>
        <v>2861.0648753623864</v>
      </c>
      <c r="Y14">
        <v>2826.9972006977914</v>
      </c>
      <c r="Z14" s="10">
        <f t="shared" ref="Z14:AC14" si="68">Y14+(($AD14-$Y14)/5)</f>
        <v>2845.1844156915304</v>
      </c>
      <c r="AA14" s="10">
        <f t="shared" si="68"/>
        <v>2863.3716306852693</v>
      </c>
      <c r="AB14" s="10">
        <f t="shared" si="68"/>
        <v>2881.5588456790083</v>
      </c>
      <c r="AC14" s="10">
        <f t="shared" si="68"/>
        <v>2899.7460606727473</v>
      </c>
      <c r="AD14">
        <v>2917.9332756664862</v>
      </c>
      <c r="AE14" s="10">
        <f t="shared" ref="AE14:AH14" si="69">AD14+(($AI14-$AD14)/5)</f>
        <v>2949.5727000958163</v>
      </c>
      <c r="AF14" s="10">
        <f t="shared" si="69"/>
        <v>2981.2121245251465</v>
      </c>
      <c r="AG14" s="10">
        <f t="shared" si="69"/>
        <v>3012.8515489544766</v>
      </c>
      <c r="AH14" s="10">
        <f t="shared" si="69"/>
        <v>3044.4909733838067</v>
      </c>
      <c r="AI14">
        <v>3076.1303978131364</v>
      </c>
      <c r="AJ14" s="10">
        <f t="shared" ref="AJ14:AM14" si="70">AI14+(($AN14-$AI14)/5)</f>
        <v>3108.3243197965453</v>
      </c>
      <c r="AK14" s="10">
        <f t="shared" si="70"/>
        <v>3140.5182417799542</v>
      </c>
      <c r="AL14" s="10">
        <f t="shared" si="70"/>
        <v>3172.7121637633632</v>
      </c>
      <c r="AM14" s="10">
        <f t="shared" si="70"/>
        <v>3204.9060857467721</v>
      </c>
      <c r="AN14">
        <v>3237.1000077301815</v>
      </c>
      <c r="AO14" s="10">
        <f t="shared" ref="AO14:AX14" si="71">AN14</f>
        <v>3237.1000077301815</v>
      </c>
      <c r="AP14" s="10">
        <f t="shared" si="71"/>
        <v>3237.1000077301815</v>
      </c>
      <c r="AQ14" s="10">
        <f t="shared" si="71"/>
        <v>3237.1000077301815</v>
      </c>
      <c r="AR14" s="10">
        <f t="shared" si="71"/>
        <v>3237.1000077301815</v>
      </c>
      <c r="AS14" s="10">
        <f t="shared" si="71"/>
        <v>3237.1000077301815</v>
      </c>
      <c r="AT14" s="10">
        <f t="shared" si="71"/>
        <v>3237.1000077301815</v>
      </c>
      <c r="AU14" s="10">
        <f t="shared" si="71"/>
        <v>3237.1000077301815</v>
      </c>
      <c r="AV14" s="10">
        <f t="shared" si="71"/>
        <v>3237.1000077301815</v>
      </c>
      <c r="AW14" s="10">
        <f t="shared" si="71"/>
        <v>3237.1000077301815</v>
      </c>
      <c r="AX14" s="10">
        <f t="shared" si="71"/>
        <v>3237.1000077301815</v>
      </c>
    </row>
    <row r="15" spans="1:50" x14ac:dyDescent="0.3">
      <c r="A15" t="s">
        <v>1398</v>
      </c>
      <c r="B15" t="s">
        <v>1434</v>
      </c>
      <c r="C15">
        <v>3506.9741706830614</v>
      </c>
      <c r="D15">
        <v>2560.8469999999998</v>
      </c>
      <c r="E15">
        <v>2713.3469953987706</v>
      </c>
      <c r="F15" s="10">
        <f t="shared" ref="F15:I15" si="72">E15+(($J15-$E15)/5)</f>
        <v>2665.9860949709146</v>
      </c>
      <c r="G15" s="10">
        <f t="shared" si="72"/>
        <v>2618.6251945430586</v>
      </c>
      <c r="H15" s="10">
        <f t="shared" si="72"/>
        <v>2571.2642941152026</v>
      </c>
      <c r="I15" s="10">
        <f t="shared" si="72"/>
        <v>2523.9033936873466</v>
      </c>
      <c r="J15">
        <v>2476.5424932594906</v>
      </c>
      <c r="K15" s="10">
        <f t="shared" ref="K15:N15" si="73">J15+(($O15-$J15)/5)</f>
        <v>2528.1673052711853</v>
      </c>
      <c r="L15" s="10">
        <f t="shared" si="73"/>
        <v>2579.7921172828801</v>
      </c>
      <c r="M15" s="10">
        <f t="shared" si="73"/>
        <v>2631.4169292945749</v>
      </c>
      <c r="N15" s="10">
        <f t="shared" si="73"/>
        <v>2683.0417413062696</v>
      </c>
      <c r="O15">
        <v>2734.6665533179639</v>
      </c>
      <c r="P15" s="10">
        <f t="shared" ref="P15:S15" si="74">O15+(($T15-$O15)/5)</f>
        <v>2752.1092014255005</v>
      </c>
      <c r="Q15" s="10">
        <f t="shared" si="74"/>
        <v>2769.5518495330371</v>
      </c>
      <c r="R15" s="10">
        <f t="shared" si="74"/>
        <v>2786.9944976405736</v>
      </c>
      <c r="S15" s="10">
        <f t="shared" si="74"/>
        <v>2804.4371457481102</v>
      </c>
      <c r="T15">
        <v>2821.8797938556472</v>
      </c>
      <c r="U15" s="10">
        <f t="shared" ref="U15:X15" si="75">T15+(($Y15-$T15)/5)</f>
        <v>2778.5044689678753</v>
      </c>
      <c r="V15" s="10">
        <f t="shared" si="75"/>
        <v>2735.1291440801033</v>
      </c>
      <c r="W15" s="10">
        <f t="shared" si="75"/>
        <v>2691.7538191923313</v>
      </c>
      <c r="X15" s="10">
        <f t="shared" si="75"/>
        <v>2648.3784943045594</v>
      </c>
      <c r="Y15">
        <v>2605.0031694167865</v>
      </c>
      <c r="Z15" s="10">
        <f t="shared" ref="Z15:AC15" si="76">Y15+(($AD15-$Y15)/5)</f>
        <v>2592.6593081263418</v>
      </c>
      <c r="AA15" s="10">
        <f t="shared" si="76"/>
        <v>2580.3154468358971</v>
      </c>
      <c r="AB15" s="10">
        <f t="shared" si="76"/>
        <v>2567.9715855454524</v>
      </c>
      <c r="AC15" s="10">
        <f t="shared" si="76"/>
        <v>2555.6277242550077</v>
      </c>
      <c r="AD15">
        <v>2543.2838629645626</v>
      </c>
      <c r="AE15" s="10">
        <f t="shared" ref="AE15:AH15" si="77">AD15+(($AI15-$AD15)/5)</f>
        <v>2548.6144518376395</v>
      </c>
      <c r="AF15" s="10">
        <f t="shared" si="77"/>
        <v>2553.9450407107165</v>
      </c>
      <c r="AG15" s="10">
        <f t="shared" si="77"/>
        <v>2559.2756295837935</v>
      </c>
      <c r="AH15" s="10">
        <f t="shared" si="77"/>
        <v>2564.6062184568705</v>
      </c>
      <c r="AI15">
        <v>2569.9368073299465</v>
      </c>
      <c r="AJ15" s="10">
        <f t="shared" ref="AJ15:AM15" si="78">AI15+(($AN15-$AI15)/5)</f>
        <v>2563.5310905287802</v>
      </c>
      <c r="AK15" s="10">
        <f t="shared" si="78"/>
        <v>2557.1253737276138</v>
      </c>
      <c r="AL15" s="10">
        <f t="shared" si="78"/>
        <v>2550.7196569264474</v>
      </c>
      <c r="AM15" s="10">
        <f t="shared" si="78"/>
        <v>2544.3139401252811</v>
      </c>
      <c r="AN15">
        <v>2537.9082233241143</v>
      </c>
      <c r="AO15" s="10">
        <f t="shared" ref="AO15:AX15" si="79">AN15</f>
        <v>2537.9082233241143</v>
      </c>
      <c r="AP15" s="10">
        <f t="shared" si="79"/>
        <v>2537.9082233241143</v>
      </c>
      <c r="AQ15" s="10">
        <f t="shared" si="79"/>
        <v>2537.9082233241143</v>
      </c>
      <c r="AR15" s="10">
        <f t="shared" si="79"/>
        <v>2537.9082233241143</v>
      </c>
      <c r="AS15" s="10">
        <f t="shared" si="79"/>
        <v>2537.9082233241143</v>
      </c>
      <c r="AT15" s="10">
        <f t="shared" si="79"/>
        <v>2537.9082233241143</v>
      </c>
      <c r="AU15" s="10">
        <f t="shared" si="79"/>
        <v>2537.9082233241143</v>
      </c>
      <c r="AV15" s="10">
        <f t="shared" si="79"/>
        <v>2537.9082233241143</v>
      </c>
      <c r="AW15" s="10">
        <f t="shared" si="79"/>
        <v>2537.9082233241143</v>
      </c>
      <c r="AX15" s="10">
        <f t="shared" si="79"/>
        <v>2537.9082233241143</v>
      </c>
    </row>
    <row r="16" spans="1:50" x14ac:dyDescent="0.3">
      <c r="A16" t="s">
        <v>1398</v>
      </c>
      <c r="B16" t="s">
        <v>1439</v>
      </c>
      <c r="C16">
        <v>2629.9501706830611</v>
      </c>
      <c r="D16">
        <v>1788.6830000000002</v>
      </c>
      <c r="E16">
        <v>1897.9069953987707</v>
      </c>
      <c r="F16" s="10">
        <f t="shared" ref="F16:I16" si="80">E16+(($J16-$E16)/5)</f>
        <v>1867.1251697594721</v>
      </c>
      <c r="G16" s="10">
        <f t="shared" si="80"/>
        <v>1836.3433441201735</v>
      </c>
      <c r="H16" s="10">
        <f t="shared" si="80"/>
        <v>1805.5615184808748</v>
      </c>
      <c r="I16" s="10">
        <f t="shared" si="80"/>
        <v>1774.7796928415762</v>
      </c>
      <c r="J16">
        <v>1743.9978672022771</v>
      </c>
      <c r="K16" s="10">
        <f t="shared" ref="K16:N16" si="81">J16+(($O16-$J16)/5)</f>
        <v>1768.8547651307347</v>
      </c>
      <c r="L16" s="10">
        <f t="shared" si="81"/>
        <v>1793.7116630591922</v>
      </c>
      <c r="M16" s="10">
        <f t="shared" si="81"/>
        <v>1818.5685609876498</v>
      </c>
      <c r="N16" s="10">
        <f t="shared" si="81"/>
        <v>1843.4254589161073</v>
      </c>
      <c r="O16">
        <v>1868.2823568445649</v>
      </c>
      <c r="P16" s="10">
        <f t="shared" ref="P16:S16" si="82">O16+(($T16-$O16)/5)</f>
        <v>1860.0194827565724</v>
      </c>
      <c r="Q16" s="10">
        <f t="shared" si="82"/>
        <v>1851.7566086685799</v>
      </c>
      <c r="R16" s="10">
        <f t="shared" si="82"/>
        <v>1843.4937345805874</v>
      </c>
      <c r="S16" s="10">
        <f t="shared" si="82"/>
        <v>1835.230860492595</v>
      </c>
      <c r="T16">
        <v>1826.9679864046029</v>
      </c>
      <c r="U16" s="10">
        <f t="shared" ref="U16:X16" si="83">T16+(($Y16-$T16)/5)</f>
        <v>1790.4132398138081</v>
      </c>
      <c r="V16" s="10">
        <f t="shared" si="83"/>
        <v>1753.8584932230133</v>
      </c>
      <c r="W16" s="10">
        <f t="shared" si="83"/>
        <v>1717.3037466322185</v>
      </c>
      <c r="X16" s="10">
        <f t="shared" si="83"/>
        <v>1680.7490000414236</v>
      </c>
      <c r="Y16">
        <v>1644.1942534506293</v>
      </c>
      <c r="Z16" s="10">
        <f t="shared" ref="Z16:AC16" si="84">Y16+(($AD16-$Y16)/5)</f>
        <v>1633.338319455672</v>
      </c>
      <c r="AA16" s="10">
        <f t="shared" si="84"/>
        <v>1622.4823854607148</v>
      </c>
      <c r="AB16" s="10">
        <f t="shared" si="84"/>
        <v>1611.6264514657576</v>
      </c>
      <c r="AC16" s="10">
        <f t="shared" si="84"/>
        <v>1600.7705174708003</v>
      </c>
      <c r="AD16">
        <v>1589.9145834758426</v>
      </c>
      <c r="AE16" s="10">
        <f t="shared" ref="AE16:AH16" si="85">AD16+(($AI16-$AD16)/5)</f>
        <v>1586.8747441948651</v>
      </c>
      <c r="AF16" s="10">
        <f t="shared" si="85"/>
        <v>1583.8349049138876</v>
      </c>
      <c r="AG16" s="10">
        <f t="shared" si="85"/>
        <v>1580.7950656329101</v>
      </c>
      <c r="AH16" s="10">
        <f t="shared" si="85"/>
        <v>1577.7552263519326</v>
      </c>
      <c r="AI16">
        <v>1574.7153870709553</v>
      </c>
      <c r="AJ16" s="10">
        <f t="shared" ref="AJ16:AM16" si="86">AI16+(($AN16-$AI16)/5)</f>
        <v>1569.7499522428529</v>
      </c>
      <c r="AK16" s="10">
        <f t="shared" si="86"/>
        <v>1564.7845174147506</v>
      </c>
      <c r="AL16" s="10">
        <f t="shared" si="86"/>
        <v>1559.8190825866482</v>
      </c>
      <c r="AM16" s="10">
        <f t="shared" si="86"/>
        <v>1554.8536477585458</v>
      </c>
      <c r="AN16">
        <v>1549.8882129304429</v>
      </c>
      <c r="AO16" s="10">
        <f t="shared" ref="AO16:AX16" si="87">AN16</f>
        <v>1549.8882129304429</v>
      </c>
      <c r="AP16" s="10">
        <f t="shared" si="87"/>
        <v>1549.8882129304429</v>
      </c>
      <c r="AQ16" s="10">
        <f t="shared" si="87"/>
        <v>1549.8882129304429</v>
      </c>
      <c r="AR16" s="10">
        <f t="shared" si="87"/>
        <v>1549.8882129304429</v>
      </c>
      <c r="AS16" s="10">
        <f t="shared" si="87"/>
        <v>1549.8882129304429</v>
      </c>
      <c r="AT16" s="10">
        <f t="shared" si="87"/>
        <v>1549.8882129304429</v>
      </c>
      <c r="AU16" s="10">
        <f t="shared" si="87"/>
        <v>1549.8882129304429</v>
      </c>
      <c r="AV16" s="10">
        <f t="shared" si="87"/>
        <v>1549.8882129304429</v>
      </c>
      <c r="AW16" s="10">
        <f t="shared" si="87"/>
        <v>1549.8882129304429</v>
      </c>
      <c r="AX16" s="10">
        <f t="shared" si="87"/>
        <v>1549.8882129304429</v>
      </c>
    </row>
    <row r="17" spans="1:50" x14ac:dyDescent="0.3">
      <c r="A17" t="s">
        <v>1398</v>
      </c>
      <c r="B17" t="s">
        <v>1435</v>
      </c>
      <c r="C17">
        <v>877.02400000000034</v>
      </c>
      <c r="D17">
        <v>772.16399999999953</v>
      </c>
      <c r="E17">
        <v>815.43999999999983</v>
      </c>
      <c r="F17" s="10">
        <f t="shared" ref="F17:I17" si="88">E17+(($J17-$E17)/5)</f>
        <v>798.86092521144258</v>
      </c>
      <c r="G17" s="10">
        <f t="shared" si="88"/>
        <v>782.28185042288533</v>
      </c>
      <c r="H17" s="10">
        <f t="shared" si="88"/>
        <v>765.70277563432808</v>
      </c>
      <c r="I17" s="10">
        <f t="shared" si="88"/>
        <v>749.12370084577083</v>
      </c>
      <c r="J17">
        <v>732.54462605721346</v>
      </c>
      <c r="K17" s="10">
        <f t="shared" ref="K17:N17" si="89">J17+(($O17-$J17)/5)</f>
        <v>759.31254014045055</v>
      </c>
      <c r="L17" s="10">
        <f t="shared" si="89"/>
        <v>786.08045422368764</v>
      </c>
      <c r="M17" s="10">
        <f t="shared" si="89"/>
        <v>812.84836830692473</v>
      </c>
      <c r="N17" s="10">
        <f t="shared" si="89"/>
        <v>839.61628239016181</v>
      </c>
      <c r="O17">
        <v>866.38419647339902</v>
      </c>
      <c r="P17" s="10">
        <f t="shared" ref="P17:S17" si="90">O17+(($T17-$O17)/5)</f>
        <v>892.08971866892807</v>
      </c>
      <c r="Q17" s="10">
        <f t="shared" si="90"/>
        <v>917.79524086445713</v>
      </c>
      <c r="R17" s="10">
        <f t="shared" si="90"/>
        <v>943.50076305998618</v>
      </c>
      <c r="S17" s="10">
        <f t="shared" si="90"/>
        <v>969.20628525551524</v>
      </c>
      <c r="T17">
        <v>994.9118074510443</v>
      </c>
      <c r="U17" s="10">
        <f t="shared" ref="U17:X17" si="91">T17+(($Y17-$T17)/5)</f>
        <v>988.09122915406692</v>
      </c>
      <c r="V17" s="10">
        <f t="shared" si="91"/>
        <v>981.27065085708955</v>
      </c>
      <c r="W17" s="10">
        <f t="shared" si="91"/>
        <v>974.45007256011218</v>
      </c>
      <c r="X17" s="10">
        <f t="shared" si="91"/>
        <v>967.6294942631348</v>
      </c>
      <c r="Y17">
        <v>960.8089159661572</v>
      </c>
      <c r="Z17" s="10">
        <f t="shared" ref="Z17:AC17" si="92">Y17+(($AD17-$Y17)/5)</f>
        <v>959.32098867066975</v>
      </c>
      <c r="AA17" s="10">
        <f t="shared" si="92"/>
        <v>957.8330613751823</v>
      </c>
      <c r="AB17" s="10">
        <f t="shared" si="92"/>
        <v>956.34513407969484</v>
      </c>
      <c r="AC17" s="10">
        <f t="shared" si="92"/>
        <v>954.85720678420739</v>
      </c>
      <c r="AD17">
        <v>953.36927948871994</v>
      </c>
      <c r="AE17" s="10">
        <f t="shared" ref="AE17:AH17" si="93">AD17+(($AI17-$AD17)/5)</f>
        <v>961.73970764277419</v>
      </c>
      <c r="AF17" s="10">
        <f t="shared" si="93"/>
        <v>970.11013579682844</v>
      </c>
      <c r="AG17" s="10">
        <f t="shared" si="93"/>
        <v>978.4805639508827</v>
      </c>
      <c r="AH17" s="10">
        <f t="shared" si="93"/>
        <v>986.85099210493695</v>
      </c>
      <c r="AI17">
        <v>995.2214202589912</v>
      </c>
      <c r="AJ17" s="10">
        <f t="shared" ref="AJ17:AM17" si="94">AI17+(($AN17-$AI17)/5)</f>
        <v>993.78113828592723</v>
      </c>
      <c r="AK17" s="10">
        <f t="shared" si="94"/>
        <v>992.34085631286325</v>
      </c>
      <c r="AL17" s="10">
        <f t="shared" si="94"/>
        <v>990.90057433979928</v>
      </c>
      <c r="AM17" s="10">
        <f t="shared" si="94"/>
        <v>989.4602923667353</v>
      </c>
      <c r="AN17">
        <v>988.02001039367133</v>
      </c>
      <c r="AO17" s="10">
        <f t="shared" ref="AO17:AX17" si="95">AN17</f>
        <v>988.02001039367133</v>
      </c>
      <c r="AP17" s="10">
        <f t="shared" si="95"/>
        <v>988.02001039367133</v>
      </c>
      <c r="AQ17" s="10">
        <f t="shared" si="95"/>
        <v>988.02001039367133</v>
      </c>
      <c r="AR17" s="10">
        <f t="shared" si="95"/>
        <v>988.02001039367133</v>
      </c>
      <c r="AS17" s="10">
        <f t="shared" si="95"/>
        <v>988.02001039367133</v>
      </c>
      <c r="AT17" s="10">
        <f t="shared" si="95"/>
        <v>988.02001039367133</v>
      </c>
      <c r="AU17" s="10">
        <f t="shared" si="95"/>
        <v>988.02001039367133</v>
      </c>
      <c r="AV17" s="10">
        <f t="shared" si="95"/>
        <v>988.02001039367133</v>
      </c>
      <c r="AW17" s="10">
        <f t="shared" si="95"/>
        <v>988.02001039367133</v>
      </c>
      <c r="AX17" s="10">
        <f t="shared" si="95"/>
        <v>988.02001039367133</v>
      </c>
    </row>
    <row r="18" spans="1:50" x14ac:dyDescent="0.3">
      <c r="A18" t="s">
        <v>1400</v>
      </c>
      <c r="B18" t="s">
        <v>1434</v>
      </c>
      <c r="C18">
        <v>320.37400000000002</v>
      </c>
      <c r="D18">
        <v>235.60700000000003</v>
      </c>
      <c r="E18">
        <v>209.94197686389856</v>
      </c>
      <c r="F18" s="10">
        <f t="shared" ref="F18:I18" si="96">E18+(($J18-$E18)/5)</f>
        <v>211.96146499402832</v>
      </c>
      <c r="G18" s="10">
        <f t="shared" si="96"/>
        <v>213.98095312415808</v>
      </c>
      <c r="H18" s="10">
        <f t="shared" si="96"/>
        <v>216.00044125428784</v>
      </c>
      <c r="I18" s="10">
        <f t="shared" si="96"/>
        <v>218.01992938441759</v>
      </c>
      <c r="J18">
        <v>220.03941751454738</v>
      </c>
      <c r="K18" s="10">
        <f t="shared" ref="K18:N18" si="97">J18+(($O18-$J18)/5)</f>
        <v>222.65700309297011</v>
      </c>
      <c r="L18" s="10">
        <f t="shared" si="97"/>
        <v>225.27458867139285</v>
      </c>
      <c r="M18" s="10">
        <f t="shared" si="97"/>
        <v>227.89217424981558</v>
      </c>
      <c r="N18" s="10">
        <f t="shared" si="97"/>
        <v>230.50975982823832</v>
      </c>
      <c r="O18">
        <v>233.12734540666102</v>
      </c>
      <c r="P18" s="10">
        <f t="shared" ref="P18:S18" si="98">O18+(($T18-$O18)/5)</f>
        <v>229.25392576273279</v>
      </c>
      <c r="Q18" s="10">
        <f t="shared" si="98"/>
        <v>225.38050611880456</v>
      </c>
      <c r="R18" s="10">
        <f t="shared" si="98"/>
        <v>221.50708647487633</v>
      </c>
      <c r="S18" s="10">
        <f t="shared" si="98"/>
        <v>217.6336668309481</v>
      </c>
      <c r="T18">
        <v>213.76024718701987</v>
      </c>
      <c r="U18" s="10">
        <f t="shared" ref="U18:X18" si="99">T18+(($Y18-$T18)/5)</f>
        <v>214.06845966560999</v>
      </c>
      <c r="V18" s="10">
        <f t="shared" si="99"/>
        <v>214.37667214420011</v>
      </c>
      <c r="W18" s="10">
        <f t="shared" si="99"/>
        <v>214.68488462279024</v>
      </c>
      <c r="X18" s="10">
        <f t="shared" si="99"/>
        <v>214.99309710138036</v>
      </c>
      <c r="Y18">
        <v>215.30130957997048</v>
      </c>
      <c r="Z18" s="10">
        <f t="shared" ref="Z18:AC18" si="100">Y18+(($AD18-$Y18)/5)</f>
        <v>215.96973361415982</v>
      </c>
      <c r="AA18" s="10">
        <f t="shared" si="100"/>
        <v>216.63815764834916</v>
      </c>
      <c r="AB18" s="10">
        <f t="shared" si="100"/>
        <v>217.30658168253851</v>
      </c>
      <c r="AC18" s="10">
        <f t="shared" si="100"/>
        <v>217.97500571672785</v>
      </c>
      <c r="AD18">
        <v>218.64342975091719</v>
      </c>
      <c r="AE18" s="10">
        <f t="shared" ref="AE18:AH18" si="101">AD18+(($AI18-$AD18)/5)</f>
        <v>221.01832481085506</v>
      </c>
      <c r="AF18" s="10">
        <f t="shared" si="101"/>
        <v>223.39321987079293</v>
      </c>
      <c r="AG18" s="10">
        <f t="shared" si="101"/>
        <v>225.7681149307308</v>
      </c>
      <c r="AH18" s="10">
        <f t="shared" si="101"/>
        <v>228.14300999066867</v>
      </c>
      <c r="AI18">
        <v>230.51790505060654</v>
      </c>
      <c r="AJ18" s="10">
        <f t="shared" ref="AJ18:AM18" si="102">AI18+(($AN18-$AI18)/5)</f>
        <v>229.86118019878495</v>
      </c>
      <c r="AK18" s="10">
        <f t="shared" si="102"/>
        <v>229.20445534696336</v>
      </c>
      <c r="AL18" s="10">
        <f t="shared" si="102"/>
        <v>228.54773049514176</v>
      </c>
      <c r="AM18" s="10">
        <f t="shared" si="102"/>
        <v>227.89100564332017</v>
      </c>
      <c r="AN18">
        <v>227.23428079149855</v>
      </c>
      <c r="AO18" s="10">
        <f t="shared" ref="AO18:AX18" si="103">AN18</f>
        <v>227.23428079149855</v>
      </c>
      <c r="AP18" s="10">
        <f t="shared" si="103"/>
        <v>227.23428079149855</v>
      </c>
      <c r="AQ18" s="10">
        <f t="shared" si="103"/>
        <v>227.23428079149855</v>
      </c>
      <c r="AR18" s="10">
        <f t="shared" si="103"/>
        <v>227.23428079149855</v>
      </c>
      <c r="AS18" s="10">
        <f t="shared" si="103"/>
        <v>227.23428079149855</v>
      </c>
      <c r="AT18" s="10">
        <f t="shared" si="103"/>
        <v>227.23428079149855</v>
      </c>
      <c r="AU18" s="10">
        <f t="shared" si="103"/>
        <v>227.23428079149855</v>
      </c>
      <c r="AV18" s="10">
        <f t="shared" si="103"/>
        <v>227.23428079149855</v>
      </c>
      <c r="AW18" s="10">
        <f t="shared" si="103"/>
        <v>227.23428079149855</v>
      </c>
      <c r="AX18" s="10">
        <f t="shared" si="103"/>
        <v>227.23428079149855</v>
      </c>
    </row>
    <row r="19" spans="1:50" x14ac:dyDescent="0.3">
      <c r="A19" t="s">
        <v>1400</v>
      </c>
      <c r="B19" t="s">
        <v>1439</v>
      </c>
      <c r="C19">
        <v>223.70751627347406</v>
      </c>
      <c r="D19">
        <v>173.08923488596503</v>
      </c>
      <c r="E19">
        <v>159.72433661979989</v>
      </c>
      <c r="F19" s="10">
        <f t="shared" ref="F19:I19" si="104">E19+(($J19-$E19)/5)</f>
        <v>159.21234180930037</v>
      </c>
      <c r="G19" s="10">
        <f t="shared" si="104"/>
        <v>158.70034699880085</v>
      </c>
      <c r="H19" s="10">
        <f t="shared" si="104"/>
        <v>158.18835218830134</v>
      </c>
      <c r="I19" s="10">
        <f t="shared" si="104"/>
        <v>157.67635737780182</v>
      </c>
      <c r="J19">
        <v>157.16436256730236</v>
      </c>
      <c r="K19" s="10">
        <f t="shared" ref="K19:N19" si="105">J19+(($O19-$J19)/5)</f>
        <v>159.04950384516314</v>
      </c>
      <c r="L19" s="10">
        <f t="shared" si="105"/>
        <v>160.93464512302393</v>
      </c>
      <c r="M19" s="10">
        <f t="shared" si="105"/>
        <v>162.81978640088471</v>
      </c>
      <c r="N19" s="10">
        <f t="shared" si="105"/>
        <v>164.70492767874549</v>
      </c>
      <c r="O19">
        <v>166.59006895660627</v>
      </c>
      <c r="P19" s="10">
        <f t="shared" ref="P19:S19" si="106">O19+(($T19-$O19)/5)</f>
        <v>163.75353792817279</v>
      </c>
      <c r="Q19" s="10">
        <f t="shared" si="106"/>
        <v>160.91700689973931</v>
      </c>
      <c r="R19" s="10">
        <f t="shared" si="106"/>
        <v>158.08047587130582</v>
      </c>
      <c r="S19" s="10">
        <f t="shared" si="106"/>
        <v>155.24394484287234</v>
      </c>
      <c r="T19">
        <v>152.4074138144388</v>
      </c>
      <c r="U19" s="10">
        <f t="shared" ref="U19:X19" si="107">T19+(($Y19-$T19)/5)</f>
        <v>152.20664532045879</v>
      </c>
      <c r="V19" s="10">
        <f t="shared" si="107"/>
        <v>152.00587682647878</v>
      </c>
      <c r="W19" s="10">
        <f t="shared" si="107"/>
        <v>151.80510833249878</v>
      </c>
      <c r="X19" s="10">
        <f t="shared" si="107"/>
        <v>151.60433983851877</v>
      </c>
      <c r="Y19">
        <v>151.40357134453879</v>
      </c>
      <c r="Z19" s="10">
        <f t="shared" ref="Z19:AC19" si="108">Y19+(($AD19-$Y19)/5)</f>
        <v>152.70111084280856</v>
      </c>
      <c r="AA19" s="10">
        <f t="shared" si="108"/>
        <v>153.99865034107833</v>
      </c>
      <c r="AB19" s="10">
        <f t="shared" si="108"/>
        <v>155.2961898393481</v>
      </c>
      <c r="AC19" s="10">
        <f t="shared" si="108"/>
        <v>156.59372933761787</v>
      </c>
      <c r="AD19">
        <v>157.89126883588759</v>
      </c>
      <c r="AE19" s="10">
        <f t="shared" ref="AE19:AH19" si="109">AD19+(($AI19-$AD19)/5)</f>
        <v>158.19626897115296</v>
      </c>
      <c r="AF19" s="10">
        <f t="shared" si="109"/>
        <v>158.50126910641833</v>
      </c>
      <c r="AG19" s="10">
        <f t="shared" si="109"/>
        <v>158.80626924168371</v>
      </c>
      <c r="AH19" s="10">
        <f t="shared" si="109"/>
        <v>159.11126937694908</v>
      </c>
      <c r="AI19">
        <v>159.41626951221448</v>
      </c>
      <c r="AJ19" s="10">
        <f t="shared" ref="AJ19:AM19" si="110">AI19+(($AN19-$AI19)/5)</f>
        <v>159.99370782471863</v>
      </c>
      <c r="AK19" s="10">
        <f t="shared" si="110"/>
        <v>160.57114613722277</v>
      </c>
      <c r="AL19" s="10">
        <f t="shared" si="110"/>
        <v>161.14858444972691</v>
      </c>
      <c r="AM19" s="10">
        <f t="shared" si="110"/>
        <v>161.72602276223105</v>
      </c>
      <c r="AN19">
        <v>162.30346107473514</v>
      </c>
      <c r="AO19" s="10">
        <f t="shared" ref="AO19:AX19" si="111">AN19</f>
        <v>162.30346107473514</v>
      </c>
      <c r="AP19" s="10">
        <f t="shared" si="111"/>
        <v>162.30346107473514</v>
      </c>
      <c r="AQ19" s="10">
        <f t="shared" si="111"/>
        <v>162.30346107473514</v>
      </c>
      <c r="AR19" s="10">
        <f t="shared" si="111"/>
        <v>162.30346107473514</v>
      </c>
      <c r="AS19" s="10">
        <f t="shared" si="111"/>
        <v>162.30346107473514</v>
      </c>
      <c r="AT19" s="10">
        <f t="shared" si="111"/>
        <v>162.30346107473514</v>
      </c>
      <c r="AU19" s="10">
        <f t="shared" si="111"/>
        <v>162.30346107473514</v>
      </c>
      <c r="AV19" s="10">
        <f t="shared" si="111"/>
        <v>162.30346107473514</v>
      </c>
      <c r="AW19" s="10">
        <f t="shared" si="111"/>
        <v>162.30346107473514</v>
      </c>
      <c r="AX19" s="10">
        <f t="shared" si="111"/>
        <v>162.30346107473514</v>
      </c>
    </row>
    <row r="20" spans="1:50" x14ac:dyDescent="0.3">
      <c r="A20" t="s">
        <v>1400</v>
      </c>
      <c r="B20" t="s">
        <v>1435</v>
      </c>
      <c r="C20">
        <v>96.666483726525968</v>
      </c>
      <c r="D20">
        <v>62.517765114035001</v>
      </c>
      <c r="E20">
        <v>50.217640244098675</v>
      </c>
      <c r="F20" s="10">
        <f t="shared" ref="F20:I20" si="112">E20+(($J20-$E20)/5)</f>
        <v>52.749123184727942</v>
      </c>
      <c r="G20" s="10">
        <f t="shared" si="112"/>
        <v>55.28060612535721</v>
      </c>
      <c r="H20" s="10">
        <f t="shared" si="112"/>
        <v>57.812089065986477</v>
      </c>
      <c r="I20" s="10">
        <f t="shared" si="112"/>
        <v>60.343572006615744</v>
      </c>
      <c r="J20">
        <v>62.875054947245019</v>
      </c>
      <c r="K20" s="10">
        <f t="shared" ref="K20:N20" si="113">J20+(($O20-$J20)/5)</f>
        <v>63.607499247806963</v>
      </c>
      <c r="L20" s="10">
        <f t="shared" si="113"/>
        <v>64.339943548368907</v>
      </c>
      <c r="M20" s="10">
        <f t="shared" si="113"/>
        <v>65.072387848930859</v>
      </c>
      <c r="N20" s="10">
        <f t="shared" si="113"/>
        <v>65.80483214949281</v>
      </c>
      <c r="O20">
        <v>66.537276450054748</v>
      </c>
      <c r="P20" s="10">
        <f t="shared" ref="P20:S20" si="114">O20+(($T20-$O20)/5)</f>
        <v>65.500387834560016</v>
      </c>
      <c r="Q20" s="10">
        <f t="shared" si="114"/>
        <v>64.463499219065284</v>
      </c>
      <c r="R20" s="10">
        <f t="shared" si="114"/>
        <v>63.426610603570552</v>
      </c>
      <c r="S20" s="10">
        <f t="shared" si="114"/>
        <v>62.38972198807582</v>
      </c>
      <c r="T20">
        <v>61.352833372581074</v>
      </c>
      <c r="U20" s="10">
        <f t="shared" ref="U20:X20" si="115">T20+(($Y20-$T20)/5)</f>
        <v>61.861814345151195</v>
      </c>
      <c r="V20" s="10">
        <f t="shared" si="115"/>
        <v>62.370795317721317</v>
      </c>
      <c r="W20" s="10">
        <f t="shared" si="115"/>
        <v>62.879776290291439</v>
      </c>
      <c r="X20" s="10">
        <f t="shared" si="115"/>
        <v>63.38875726286156</v>
      </c>
      <c r="Y20">
        <v>63.897738235431689</v>
      </c>
      <c r="Z20" s="10">
        <f t="shared" ref="Z20:AC20" si="116">Y20+(($AD20-$Y20)/5)</f>
        <v>63.268622771351275</v>
      </c>
      <c r="AA20" s="10">
        <f t="shared" si="116"/>
        <v>62.639507307270861</v>
      </c>
      <c r="AB20" s="10">
        <f t="shared" si="116"/>
        <v>62.010391843190448</v>
      </c>
      <c r="AC20" s="10">
        <f t="shared" si="116"/>
        <v>61.381276379110034</v>
      </c>
      <c r="AD20">
        <v>60.752160915029606</v>
      </c>
      <c r="AE20" s="10">
        <f t="shared" ref="AE20:AH20" si="117">AD20+(($AI20-$AD20)/5)</f>
        <v>62.822055839702095</v>
      </c>
      <c r="AF20" s="10">
        <f t="shared" si="117"/>
        <v>64.891950764374585</v>
      </c>
      <c r="AG20" s="10">
        <f t="shared" si="117"/>
        <v>66.961845689047081</v>
      </c>
      <c r="AH20" s="10">
        <f t="shared" si="117"/>
        <v>69.031740613719577</v>
      </c>
      <c r="AI20">
        <v>71.10163553839206</v>
      </c>
      <c r="AJ20" s="10">
        <f t="shared" ref="AJ20:AM20" si="118">AI20+(($AN20-$AI20)/5)</f>
        <v>69.867472374066324</v>
      </c>
      <c r="AK20" s="10">
        <f t="shared" si="118"/>
        <v>68.633309209740588</v>
      </c>
      <c r="AL20" s="10">
        <f t="shared" si="118"/>
        <v>67.399146045414852</v>
      </c>
      <c r="AM20" s="10">
        <f t="shared" si="118"/>
        <v>66.164982881089117</v>
      </c>
      <c r="AN20">
        <v>64.930819716763409</v>
      </c>
      <c r="AO20" s="10">
        <f t="shared" ref="AO20:AX20" si="119">AN20</f>
        <v>64.930819716763409</v>
      </c>
      <c r="AP20" s="10">
        <f t="shared" si="119"/>
        <v>64.930819716763409</v>
      </c>
      <c r="AQ20" s="10">
        <f t="shared" si="119"/>
        <v>64.930819716763409</v>
      </c>
      <c r="AR20" s="10">
        <f t="shared" si="119"/>
        <v>64.930819716763409</v>
      </c>
      <c r="AS20" s="10">
        <f t="shared" si="119"/>
        <v>64.930819716763409</v>
      </c>
      <c r="AT20" s="10">
        <f t="shared" si="119"/>
        <v>64.930819716763409</v>
      </c>
      <c r="AU20" s="10">
        <f t="shared" si="119"/>
        <v>64.930819716763409</v>
      </c>
      <c r="AV20" s="10">
        <f t="shared" si="119"/>
        <v>64.930819716763409</v>
      </c>
      <c r="AW20" s="10">
        <f t="shared" si="119"/>
        <v>64.930819716763409</v>
      </c>
      <c r="AX20" s="10">
        <f t="shared" si="119"/>
        <v>64.930819716763409</v>
      </c>
    </row>
    <row r="21" spans="1:50" x14ac:dyDescent="0.3">
      <c r="A21" t="s">
        <v>1401</v>
      </c>
      <c r="B21" t="s">
        <v>1434</v>
      </c>
      <c r="C21">
        <v>8686.0979999750289</v>
      </c>
      <c r="D21">
        <v>6891.0649999992947</v>
      </c>
      <c r="E21">
        <v>6471.9236608862429</v>
      </c>
      <c r="F21" s="10">
        <f t="shared" ref="F21:I21" si="120">E21+(($J21-$E21)/5)</f>
        <v>6427.1775851083976</v>
      </c>
      <c r="G21" s="10">
        <f t="shared" si="120"/>
        <v>6382.4315093305522</v>
      </c>
      <c r="H21" s="10">
        <f t="shared" si="120"/>
        <v>6337.6854335527069</v>
      </c>
      <c r="I21" s="10">
        <f t="shared" si="120"/>
        <v>6292.9393577748615</v>
      </c>
      <c r="J21">
        <v>6248.193281997017</v>
      </c>
      <c r="K21" s="10">
        <f t="shared" ref="K21:N21" si="121">J21+(($O21-$J21)/5)</f>
        <v>6348.4544063631893</v>
      </c>
      <c r="L21" s="10">
        <f t="shared" si="121"/>
        <v>6448.7155307293615</v>
      </c>
      <c r="M21" s="10">
        <f t="shared" si="121"/>
        <v>6548.9766550955337</v>
      </c>
      <c r="N21" s="10">
        <f t="shared" si="121"/>
        <v>6649.2377794617059</v>
      </c>
      <c r="O21">
        <v>6749.4989038278763</v>
      </c>
      <c r="P21" s="10">
        <f t="shared" ref="P21:S21" si="122">O21+(($T21-$O21)/5)</f>
        <v>6710.0203332363808</v>
      </c>
      <c r="Q21" s="10">
        <f t="shared" si="122"/>
        <v>6670.5417626448852</v>
      </c>
      <c r="R21" s="10">
        <f t="shared" si="122"/>
        <v>6631.0631920533897</v>
      </c>
      <c r="S21" s="10">
        <f t="shared" si="122"/>
        <v>6591.5846214618941</v>
      </c>
      <c r="T21">
        <v>6552.1060508703968</v>
      </c>
      <c r="U21" s="10">
        <f t="shared" ref="U21:X21" si="123">T21+(($Y21-$T21)/5)</f>
        <v>6529.1976025436024</v>
      </c>
      <c r="V21" s="10">
        <f t="shared" si="123"/>
        <v>6506.2891542168081</v>
      </c>
      <c r="W21" s="10">
        <f t="shared" si="123"/>
        <v>6483.3807058900138</v>
      </c>
      <c r="X21" s="10">
        <f t="shared" si="123"/>
        <v>6460.4722575632195</v>
      </c>
      <c r="Y21">
        <v>6437.5638092364252</v>
      </c>
      <c r="Z21" s="10">
        <f t="shared" ref="Z21:AC21" si="124">Y21+(($AD21-$Y21)/5)</f>
        <v>6437.048216366833</v>
      </c>
      <c r="AA21" s="10">
        <f t="shared" si="124"/>
        <v>6436.5326234972408</v>
      </c>
      <c r="AB21" s="10">
        <f t="shared" si="124"/>
        <v>6436.0170306276486</v>
      </c>
      <c r="AC21" s="10">
        <f t="shared" si="124"/>
        <v>6435.5014377580565</v>
      </c>
      <c r="AD21">
        <v>6434.9858448884634</v>
      </c>
      <c r="AE21" s="10">
        <f t="shared" ref="AE21:AH21" si="125">AD21+(($AI21-$AD21)/5)</f>
        <v>6431.8858804558549</v>
      </c>
      <c r="AF21" s="10">
        <f t="shared" si="125"/>
        <v>6428.7859160232465</v>
      </c>
      <c r="AG21" s="10">
        <f t="shared" si="125"/>
        <v>6425.6859515906381</v>
      </c>
      <c r="AH21" s="10">
        <f t="shared" si="125"/>
        <v>6422.5859871580296</v>
      </c>
      <c r="AI21">
        <v>6419.486022725423</v>
      </c>
      <c r="AJ21" s="10">
        <f t="shared" ref="AJ21:AM21" si="126">AI21+(($AN21-$AI21)/5)</f>
        <v>6432.5866777829988</v>
      </c>
      <c r="AK21" s="10">
        <f t="shared" si="126"/>
        <v>6445.6873328405745</v>
      </c>
      <c r="AL21" s="10">
        <f t="shared" si="126"/>
        <v>6458.7879878981503</v>
      </c>
      <c r="AM21" s="10">
        <f t="shared" si="126"/>
        <v>6471.888642955726</v>
      </c>
      <c r="AN21">
        <v>6484.9892980133027</v>
      </c>
      <c r="AO21" s="10">
        <f t="shared" ref="AO21:AX21" si="127">AN21</f>
        <v>6484.9892980133027</v>
      </c>
      <c r="AP21" s="10">
        <f t="shared" si="127"/>
        <v>6484.9892980133027</v>
      </c>
      <c r="AQ21" s="10">
        <f t="shared" si="127"/>
        <v>6484.9892980133027</v>
      </c>
      <c r="AR21" s="10">
        <f t="shared" si="127"/>
        <v>6484.9892980133027</v>
      </c>
      <c r="AS21" s="10">
        <f t="shared" si="127"/>
        <v>6484.9892980133027</v>
      </c>
      <c r="AT21" s="10">
        <f t="shared" si="127"/>
        <v>6484.9892980133027</v>
      </c>
      <c r="AU21" s="10">
        <f t="shared" si="127"/>
        <v>6484.9892980133027</v>
      </c>
      <c r="AV21" s="10">
        <f t="shared" si="127"/>
        <v>6484.9892980133027</v>
      </c>
      <c r="AW21" s="10">
        <f t="shared" si="127"/>
        <v>6484.9892980133027</v>
      </c>
      <c r="AX21" s="10">
        <f t="shared" si="127"/>
        <v>6484.9892980133027</v>
      </c>
    </row>
    <row r="22" spans="1:50" x14ac:dyDescent="0.3">
      <c r="A22" t="s">
        <v>1401</v>
      </c>
      <c r="B22" t="s">
        <v>1439</v>
      </c>
      <c r="C22">
        <v>5753.5509999750293</v>
      </c>
      <c r="D22">
        <v>4026.7439999992948</v>
      </c>
      <c r="E22">
        <v>3726.9485970581645</v>
      </c>
      <c r="F22" s="10">
        <f t="shared" ref="F22:I22" si="128">E22+(($J22-$E22)/5)</f>
        <v>3695.8669392819511</v>
      </c>
      <c r="G22" s="10">
        <f t="shared" si="128"/>
        <v>3664.7852815057377</v>
      </c>
      <c r="H22" s="10">
        <f t="shared" si="128"/>
        <v>3633.7036237295242</v>
      </c>
      <c r="I22" s="10">
        <f t="shared" si="128"/>
        <v>3602.6219659533108</v>
      </c>
      <c r="J22">
        <v>3571.5403081770974</v>
      </c>
      <c r="K22" s="10">
        <f t="shared" ref="K22:N22" si="129">J22+(($O22-$J22)/5)</f>
        <v>3580.3358922100283</v>
      </c>
      <c r="L22" s="10">
        <f t="shared" si="129"/>
        <v>3589.1314762429593</v>
      </c>
      <c r="M22" s="10">
        <f t="shared" si="129"/>
        <v>3597.9270602758902</v>
      </c>
      <c r="N22" s="10">
        <f t="shared" si="129"/>
        <v>3606.7226443088211</v>
      </c>
      <c r="O22">
        <v>3615.5182283417521</v>
      </c>
      <c r="P22" s="10">
        <f t="shared" ref="P22:S22" si="130">O22+(($T22-$O22)/5)</f>
        <v>3547.6968729299124</v>
      </c>
      <c r="Q22" s="10">
        <f t="shared" si="130"/>
        <v>3479.8755175180727</v>
      </c>
      <c r="R22" s="10">
        <f t="shared" si="130"/>
        <v>3412.054162106233</v>
      </c>
      <c r="S22" s="10">
        <f t="shared" si="130"/>
        <v>3344.2328066943933</v>
      </c>
      <c r="T22">
        <v>3276.4114512825545</v>
      </c>
      <c r="U22" s="10">
        <f t="shared" ref="U22:X22" si="131">T22+(($Y22-$T22)/5)</f>
        <v>3244.6160643118706</v>
      </c>
      <c r="V22" s="10">
        <f t="shared" si="131"/>
        <v>3212.8206773411866</v>
      </c>
      <c r="W22" s="10">
        <f t="shared" si="131"/>
        <v>3181.0252903705027</v>
      </c>
      <c r="X22" s="10">
        <f t="shared" si="131"/>
        <v>3149.2299033998188</v>
      </c>
      <c r="Y22">
        <v>3117.4345164291358</v>
      </c>
      <c r="Z22" s="10">
        <f t="shared" ref="Z22:AC22" si="132">Y22+(($AD22-$Y22)/5)</f>
        <v>3097.5582588947505</v>
      </c>
      <c r="AA22" s="10">
        <f t="shared" si="132"/>
        <v>3077.6820013603651</v>
      </c>
      <c r="AB22" s="10">
        <f t="shared" si="132"/>
        <v>3057.8057438259798</v>
      </c>
      <c r="AC22" s="10">
        <f t="shared" si="132"/>
        <v>3037.9294862915945</v>
      </c>
      <c r="AD22">
        <v>3018.0532287572096</v>
      </c>
      <c r="AE22" s="10">
        <f t="shared" ref="AE22:AH22" si="133">AD22+(($AI22-$AD22)/5)</f>
        <v>2993.4025932339518</v>
      </c>
      <c r="AF22" s="10">
        <f t="shared" si="133"/>
        <v>2968.7519577106941</v>
      </c>
      <c r="AG22" s="10">
        <f t="shared" si="133"/>
        <v>2944.1013221874364</v>
      </c>
      <c r="AH22" s="10">
        <f t="shared" si="133"/>
        <v>2919.4506866641786</v>
      </c>
      <c r="AI22">
        <v>2894.8000511409205</v>
      </c>
      <c r="AJ22" s="10">
        <f t="shared" ref="AJ22:AM22" si="134">AI22+(($AN22-$AI22)/5)</f>
        <v>2880.3689930706132</v>
      </c>
      <c r="AK22" s="10">
        <f t="shared" si="134"/>
        <v>2865.937935000306</v>
      </c>
      <c r="AL22" s="10">
        <f t="shared" si="134"/>
        <v>2851.5068769299987</v>
      </c>
      <c r="AM22" s="10">
        <f t="shared" si="134"/>
        <v>2837.0758188596915</v>
      </c>
      <c r="AN22">
        <v>2822.6447607893842</v>
      </c>
      <c r="AO22" s="10">
        <f t="shared" ref="AO22:AX22" si="135">AN22</f>
        <v>2822.6447607893842</v>
      </c>
      <c r="AP22" s="10">
        <f t="shared" si="135"/>
        <v>2822.6447607893842</v>
      </c>
      <c r="AQ22" s="10">
        <f t="shared" si="135"/>
        <v>2822.6447607893842</v>
      </c>
      <c r="AR22" s="10">
        <f t="shared" si="135"/>
        <v>2822.6447607893842</v>
      </c>
      <c r="AS22" s="10">
        <f t="shared" si="135"/>
        <v>2822.6447607893842</v>
      </c>
      <c r="AT22" s="10">
        <f t="shared" si="135"/>
        <v>2822.6447607893842</v>
      </c>
      <c r="AU22" s="10">
        <f t="shared" si="135"/>
        <v>2822.6447607893842</v>
      </c>
      <c r="AV22" s="10">
        <f t="shared" si="135"/>
        <v>2822.6447607893842</v>
      </c>
      <c r="AW22" s="10">
        <f t="shared" si="135"/>
        <v>2822.6447607893842</v>
      </c>
      <c r="AX22" s="10">
        <f t="shared" si="135"/>
        <v>2822.6447607893842</v>
      </c>
    </row>
    <row r="23" spans="1:50" x14ac:dyDescent="0.3">
      <c r="A23" t="s">
        <v>1401</v>
      </c>
      <c r="B23" t="s">
        <v>1435</v>
      </c>
      <c r="C23">
        <v>2932.5469999999996</v>
      </c>
      <c r="D23">
        <v>2864.3209999999999</v>
      </c>
      <c r="E23">
        <v>2744.9750638280784</v>
      </c>
      <c r="F23" s="10">
        <f t="shared" ref="F23:I23" si="136">E23+(($J23-$E23)/5)</f>
        <v>2731.3106458264465</v>
      </c>
      <c r="G23" s="10">
        <f t="shared" si="136"/>
        <v>2717.6462278248146</v>
      </c>
      <c r="H23" s="10">
        <f t="shared" si="136"/>
        <v>2703.9818098231826</v>
      </c>
      <c r="I23" s="10">
        <f t="shared" si="136"/>
        <v>2690.3173918215507</v>
      </c>
      <c r="J23">
        <v>2676.6529738199197</v>
      </c>
      <c r="K23" s="10">
        <f t="shared" ref="K23:N23" si="137">J23+(($O23-$J23)/5)</f>
        <v>2768.1185141531605</v>
      </c>
      <c r="L23" s="10">
        <f t="shared" si="137"/>
        <v>2859.5840544864013</v>
      </c>
      <c r="M23" s="10">
        <f t="shared" si="137"/>
        <v>2951.0495948196422</v>
      </c>
      <c r="N23" s="10">
        <f t="shared" si="137"/>
        <v>3042.515135152883</v>
      </c>
      <c r="O23">
        <v>3133.9806754861243</v>
      </c>
      <c r="P23" s="10">
        <f t="shared" ref="P23:S23" si="138">O23+(($T23-$O23)/5)</f>
        <v>3162.323460306468</v>
      </c>
      <c r="Q23" s="10">
        <f t="shared" si="138"/>
        <v>3190.6662451268116</v>
      </c>
      <c r="R23" s="10">
        <f t="shared" si="138"/>
        <v>3219.0090299471553</v>
      </c>
      <c r="S23" s="10">
        <f t="shared" si="138"/>
        <v>3247.351814767499</v>
      </c>
      <c r="T23">
        <v>3275.6945995878423</v>
      </c>
      <c r="U23" s="10">
        <f t="shared" ref="U23:X23" si="139">T23+(($Y23-$T23)/5)</f>
        <v>3284.5815382317319</v>
      </c>
      <c r="V23" s="10">
        <f t="shared" si="139"/>
        <v>3293.4684768756215</v>
      </c>
      <c r="W23" s="10">
        <f t="shared" si="139"/>
        <v>3302.3554155195111</v>
      </c>
      <c r="X23" s="10">
        <f t="shared" si="139"/>
        <v>3311.2423541634007</v>
      </c>
      <c r="Y23">
        <v>3320.1292928072894</v>
      </c>
      <c r="Z23" s="10">
        <f t="shared" ref="Z23:AC23" si="140">Y23+(($AD23-$Y23)/5)</f>
        <v>3339.4899574720821</v>
      </c>
      <c r="AA23" s="10">
        <f t="shared" si="140"/>
        <v>3358.8506221368748</v>
      </c>
      <c r="AB23" s="10">
        <f t="shared" si="140"/>
        <v>3378.2112868016675</v>
      </c>
      <c r="AC23" s="10">
        <f t="shared" si="140"/>
        <v>3397.5719514664602</v>
      </c>
      <c r="AD23">
        <v>3416.9326161312538</v>
      </c>
      <c r="AE23" s="10">
        <f t="shared" ref="AE23:AH23" si="141">AD23+(($AI23-$AD23)/5)</f>
        <v>3438.4832872219035</v>
      </c>
      <c r="AF23" s="10">
        <f t="shared" si="141"/>
        <v>3460.0339583125533</v>
      </c>
      <c r="AG23" s="10">
        <f t="shared" si="141"/>
        <v>3481.5846294032031</v>
      </c>
      <c r="AH23" s="10">
        <f t="shared" si="141"/>
        <v>3503.1353004938528</v>
      </c>
      <c r="AI23">
        <v>3524.6859715845026</v>
      </c>
      <c r="AJ23" s="10">
        <f t="shared" ref="AJ23:AM23" si="142">AI23+(($AN23-$AI23)/5)</f>
        <v>3552.2176847123856</v>
      </c>
      <c r="AK23" s="10">
        <f t="shared" si="142"/>
        <v>3579.7493978402686</v>
      </c>
      <c r="AL23" s="10">
        <f t="shared" si="142"/>
        <v>3607.2811109681516</v>
      </c>
      <c r="AM23" s="10">
        <f t="shared" si="142"/>
        <v>3634.8128240960345</v>
      </c>
      <c r="AN23">
        <v>3662.3445372239185</v>
      </c>
      <c r="AO23" s="10">
        <f t="shared" ref="AO23:AX23" si="143">AN23</f>
        <v>3662.3445372239185</v>
      </c>
      <c r="AP23" s="10">
        <f t="shared" si="143"/>
        <v>3662.3445372239185</v>
      </c>
      <c r="AQ23" s="10">
        <f t="shared" si="143"/>
        <v>3662.3445372239185</v>
      </c>
      <c r="AR23" s="10">
        <f t="shared" si="143"/>
        <v>3662.3445372239185</v>
      </c>
      <c r="AS23" s="10">
        <f t="shared" si="143"/>
        <v>3662.3445372239185</v>
      </c>
      <c r="AT23" s="10">
        <f t="shared" si="143"/>
        <v>3662.3445372239185</v>
      </c>
      <c r="AU23" s="10">
        <f t="shared" si="143"/>
        <v>3662.3445372239185</v>
      </c>
      <c r="AV23" s="10">
        <f t="shared" si="143"/>
        <v>3662.3445372239185</v>
      </c>
      <c r="AW23" s="10">
        <f t="shared" si="143"/>
        <v>3662.3445372239185</v>
      </c>
      <c r="AX23" s="10">
        <f t="shared" si="143"/>
        <v>3662.3445372239185</v>
      </c>
    </row>
    <row r="24" spans="1:50" x14ac:dyDescent="0.3">
      <c r="A24" t="s">
        <v>1402</v>
      </c>
      <c r="B24" t="s">
        <v>1434</v>
      </c>
      <c r="C24">
        <v>52893.842995098748</v>
      </c>
      <c r="D24">
        <v>53871.135164842155</v>
      </c>
      <c r="E24">
        <v>53822.904893282248</v>
      </c>
      <c r="F24" s="10">
        <f t="shared" ref="F24:I24" si="144">E24+(($J24-$E24)/5)</f>
        <v>53120.093285361152</v>
      </c>
      <c r="G24" s="10">
        <f t="shared" si="144"/>
        <v>52417.281677440056</v>
      </c>
      <c r="H24" s="10">
        <f t="shared" si="144"/>
        <v>51714.47006951896</v>
      </c>
      <c r="I24" s="10">
        <f t="shared" si="144"/>
        <v>51011.658461597865</v>
      </c>
      <c r="J24">
        <v>50308.846853676776</v>
      </c>
      <c r="K24" s="10">
        <f t="shared" ref="K24:N24" si="145">J24+(($O24-$J24)/5)</f>
        <v>50620.096161622307</v>
      </c>
      <c r="L24" s="10">
        <f t="shared" si="145"/>
        <v>50931.345469567837</v>
      </c>
      <c r="M24" s="10">
        <f t="shared" si="145"/>
        <v>51242.594777513368</v>
      </c>
      <c r="N24" s="10">
        <f t="shared" si="145"/>
        <v>51553.844085458899</v>
      </c>
      <c r="O24">
        <v>51865.09339340443</v>
      </c>
      <c r="P24" s="10">
        <f t="shared" ref="P24:S24" si="146">O24+(($T24-$O24)/5)</f>
        <v>51240.949557965119</v>
      </c>
      <c r="Q24" s="10">
        <f t="shared" si="146"/>
        <v>50616.805722525809</v>
      </c>
      <c r="R24" s="10">
        <f t="shared" si="146"/>
        <v>49992.661887086499</v>
      </c>
      <c r="S24" s="10">
        <f t="shared" si="146"/>
        <v>49368.518051647188</v>
      </c>
      <c r="T24">
        <v>48744.374216207885</v>
      </c>
      <c r="U24" s="10">
        <f t="shared" ref="U24:X24" si="147">T24+(($Y24-$T24)/5)</f>
        <v>48099.03426302757</v>
      </c>
      <c r="V24" s="10">
        <f t="shared" si="147"/>
        <v>47453.694309847255</v>
      </c>
      <c r="W24" s="10">
        <f t="shared" si="147"/>
        <v>46808.35435666694</v>
      </c>
      <c r="X24" s="10">
        <f t="shared" si="147"/>
        <v>46163.014403486624</v>
      </c>
      <c r="Y24">
        <v>45517.674450306295</v>
      </c>
      <c r="Z24" s="10">
        <f t="shared" ref="Z24:AC24" si="148">Y24+(($AD24-$Y24)/5)</f>
        <v>45178.512039249079</v>
      </c>
      <c r="AA24" s="10">
        <f t="shared" si="148"/>
        <v>44839.349628191863</v>
      </c>
      <c r="AB24" s="10">
        <f t="shared" si="148"/>
        <v>44500.187217134648</v>
      </c>
      <c r="AC24" s="10">
        <f t="shared" si="148"/>
        <v>44161.024806077432</v>
      </c>
      <c r="AD24">
        <v>43821.862395020216</v>
      </c>
      <c r="AE24" s="10">
        <f t="shared" ref="AE24:AH24" si="149">AD24+(($AI24-$AD24)/5)</f>
        <v>43666.024033098241</v>
      </c>
      <c r="AF24" s="10">
        <f t="shared" si="149"/>
        <v>43510.185671176267</v>
      </c>
      <c r="AG24" s="10">
        <f t="shared" si="149"/>
        <v>43354.347309254292</v>
      </c>
      <c r="AH24" s="10">
        <f t="shared" si="149"/>
        <v>43198.508947332317</v>
      </c>
      <c r="AI24">
        <v>43042.670585410335</v>
      </c>
      <c r="AJ24" s="10">
        <f t="shared" ref="AJ24:AM24" si="150">AI24+(($AN24-$AI24)/5)</f>
        <v>42968.752013847887</v>
      </c>
      <c r="AK24" s="10">
        <f t="shared" si="150"/>
        <v>42894.833442285439</v>
      </c>
      <c r="AL24" s="10">
        <f t="shared" si="150"/>
        <v>42820.914870722991</v>
      </c>
      <c r="AM24" s="10">
        <f t="shared" si="150"/>
        <v>42746.996299160543</v>
      </c>
      <c r="AN24">
        <v>42673.07772759808</v>
      </c>
      <c r="AO24" s="10">
        <f t="shared" ref="AO24:AX24" si="151">AN24</f>
        <v>42673.07772759808</v>
      </c>
      <c r="AP24" s="10">
        <f t="shared" si="151"/>
        <v>42673.07772759808</v>
      </c>
      <c r="AQ24" s="10">
        <f t="shared" si="151"/>
        <v>42673.07772759808</v>
      </c>
      <c r="AR24" s="10">
        <f t="shared" si="151"/>
        <v>42673.07772759808</v>
      </c>
      <c r="AS24" s="10">
        <f t="shared" si="151"/>
        <v>42673.07772759808</v>
      </c>
      <c r="AT24" s="10">
        <f t="shared" si="151"/>
        <v>42673.07772759808</v>
      </c>
      <c r="AU24" s="10">
        <f t="shared" si="151"/>
        <v>42673.07772759808</v>
      </c>
      <c r="AV24" s="10">
        <f t="shared" si="151"/>
        <v>42673.07772759808</v>
      </c>
      <c r="AW24" s="10">
        <f t="shared" si="151"/>
        <v>42673.07772759808</v>
      </c>
      <c r="AX24" s="10">
        <f t="shared" si="151"/>
        <v>42673.07772759808</v>
      </c>
    </row>
    <row r="25" spans="1:50" x14ac:dyDescent="0.3">
      <c r="A25" t="s">
        <v>1402</v>
      </c>
      <c r="B25" t="s">
        <v>1439</v>
      </c>
      <c r="C25">
        <v>34485.909995098751</v>
      </c>
      <c r="D25">
        <v>35470.596164842158</v>
      </c>
      <c r="E25">
        <v>35744.872232158959</v>
      </c>
      <c r="F25" s="10">
        <f t="shared" ref="F25:I25" si="152">E25+(($J25-$E25)/5)</f>
        <v>35223.528128786995</v>
      </c>
      <c r="G25" s="10">
        <f t="shared" si="152"/>
        <v>34702.18402541503</v>
      </c>
      <c r="H25" s="10">
        <f t="shared" si="152"/>
        <v>34180.839922043066</v>
      </c>
      <c r="I25" s="10">
        <f t="shared" si="152"/>
        <v>33659.495818671101</v>
      </c>
      <c r="J25">
        <v>33138.151715299122</v>
      </c>
      <c r="K25" s="10">
        <f t="shared" ref="K25:N25" si="153">J25+(($O25-$J25)/5)</f>
        <v>33349.085918363875</v>
      </c>
      <c r="L25" s="10">
        <f t="shared" si="153"/>
        <v>33560.020121428628</v>
      </c>
      <c r="M25" s="10">
        <f t="shared" si="153"/>
        <v>33770.954324493381</v>
      </c>
      <c r="N25" s="10">
        <f t="shared" si="153"/>
        <v>33981.888527558134</v>
      </c>
      <c r="O25">
        <v>34192.822730622887</v>
      </c>
      <c r="P25" s="10">
        <f t="shared" ref="P25:S25" si="154">O25+(($T25-$O25)/5)</f>
        <v>33773.135408280737</v>
      </c>
      <c r="Q25" s="10">
        <f t="shared" si="154"/>
        <v>33353.448085938588</v>
      </c>
      <c r="R25" s="10">
        <f t="shared" si="154"/>
        <v>32933.760763596438</v>
      </c>
      <c r="S25" s="10">
        <f t="shared" si="154"/>
        <v>32514.073441254284</v>
      </c>
      <c r="T25">
        <v>32094.386118912123</v>
      </c>
      <c r="U25" s="10">
        <f t="shared" ref="U25:X25" si="155">T25+(($Y25-$T25)/5)</f>
        <v>31516.667923516132</v>
      </c>
      <c r="V25" s="10">
        <f t="shared" si="155"/>
        <v>30938.94972812014</v>
      </c>
      <c r="W25" s="10">
        <f t="shared" si="155"/>
        <v>30361.231532724149</v>
      </c>
      <c r="X25" s="10">
        <f t="shared" si="155"/>
        <v>29783.513337328157</v>
      </c>
      <c r="Y25">
        <v>29205.795141932169</v>
      </c>
      <c r="Z25" s="10">
        <f t="shared" ref="Z25:AC25" si="156">Y25+(($AD25-$Y25)/5)</f>
        <v>28921.94642210508</v>
      </c>
      <c r="AA25" s="10">
        <f t="shared" si="156"/>
        <v>28638.097702277992</v>
      </c>
      <c r="AB25" s="10">
        <f t="shared" si="156"/>
        <v>28354.248982450903</v>
      </c>
      <c r="AC25" s="10">
        <f t="shared" si="156"/>
        <v>28070.400262623814</v>
      </c>
      <c r="AD25">
        <v>27786.551542796718</v>
      </c>
      <c r="AE25" s="10">
        <f t="shared" ref="AE25:AH25" si="157">AD25+(($AI25-$AD25)/5)</f>
        <v>27636.87527791872</v>
      </c>
      <c r="AF25" s="10">
        <f t="shared" si="157"/>
        <v>27487.199013040721</v>
      </c>
      <c r="AG25" s="10">
        <f t="shared" si="157"/>
        <v>27337.522748162723</v>
      </c>
      <c r="AH25" s="10">
        <f t="shared" si="157"/>
        <v>27187.846483284724</v>
      </c>
      <c r="AI25">
        <v>27038.170218406718</v>
      </c>
      <c r="AJ25" s="10">
        <f t="shared" ref="AJ25:AM25" si="158">AI25+(($AN25-$AI25)/5)</f>
        <v>26929.713504354284</v>
      </c>
      <c r="AK25" s="10">
        <f t="shared" si="158"/>
        <v>26821.25679030185</v>
      </c>
      <c r="AL25" s="10">
        <f t="shared" si="158"/>
        <v>26712.800076249416</v>
      </c>
      <c r="AM25" s="10">
        <f t="shared" si="158"/>
        <v>26604.343362196982</v>
      </c>
      <c r="AN25">
        <v>26495.886648144544</v>
      </c>
      <c r="AO25" s="10">
        <f t="shared" ref="AO25:AX25" si="159">AN25</f>
        <v>26495.886648144544</v>
      </c>
      <c r="AP25" s="10">
        <f t="shared" si="159"/>
        <v>26495.886648144544</v>
      </c>
      <c r="AQ25" s="10">
        <f t="shared" si="159"/>
        <v>26495.886648144544</v>
      </c>
      <c r="AR25" s="10">
        <f t="shared" si="159"/>
        <v>26495.886648144544</v>
      </c>
      <c r="AS25" s="10">
        <f t="shared" si="159"/>
        <v>26495.886648144544</v>
      </c>
      <c r="AT25" s="10">
        <f t="shared" si="159"/>
        <v>26495.886648144544</v>
      </c>
      <c r="AU25" s="10">
        <f t="shared" si="159"/>
        <v>26495.886648144544</v>
      </c>
      <c r="AV25" s="10">
        <f t="shared" si="159"/>
        <v>26495.886648144544</v>
      </c>
      <c r="AW25" s="10">
        <f t="shared" si="159"/>
        <v>26495.886648144544</v>
      </c>
      <c r="AX25" s="10">
        <f t="shared" si="159"/>
        <v>26495.886648144544</v>
      </c>
    </row>
    <row r="26" spans="1:50" x14ac:dyDescent="0.3">
      <c r="A26" t="s">
        <v>1402</v>
      </c>
      <c r="B26" t="s">
        <v>1435</v>
      </c>
      <c r="C26">
        <v>18407.932999999997</v>
      </c>
      <c r="D26">
        <v>18400.538999999997</v>
      </c>
      <c r="E26">
        <v>18078.032661123289</v>
      </c>
      <c r="F26" s="10">
        <f t="shared" ref="F26:I26" si="160">E26+(($J26-$E26)/5)</f>
        <v>17896.565156574161</v>
      </c>
      <c r="G26" s="10">
        <f t="shared" si="160"/>
        <v>17715.097652025033</v>
      </c>
      <c r="H26" s="10">
        <f t="shared" si="160"/>
        <v>17533.630147475906</v>
      </c>
      <c r="I26" s="10">
        <f t="shared" si="160"/>
        <v>17352.162642926778</v>
      </c>
      <c r="J26">
        <v>17170.695138377654</v>
      </c>
      <c r="K26" s="10">
        <f t="shared" ref="K26:N26" si="161">J26+(($O26-$J26)/5)</f>
        <v>17271.010243258432</v>
      </c>
      <c r="L26" s="10">
        <f t="shared" si="161"/>
        <v>17371.325348139209</v>
      </c>
      <c r="M26" s="10">
        <f t="shared" si="161"/>
        <v>17471.640453019987</v>
      </c>
      <c r="N26" s="10">
        <f t="shared" si="161"/>
        <v>17571.955557900765</v>
      </c>
      <c r="O26">
        <v>17672.270662781542</v>
      </c>
      <c r="P26" s="10">
        <f t="shared" ref="P26:S26" si="162">O26+(($T26-$O26)/5)</f>
        <v>17467.814149684385</v>
      </c>
      <c r="Q26" s="10">
        <f t="shared" si="162"/>
        <v>17263.357636587229</v>
      </c>
      <c r="R26" s="10">
        <f t="shared" si="162"/>
        <v>17058.901123490072</v>
      </c>
      <c r="S26" s="10">
        <f t="shared" si="162"/>
        <v>16854.444610392915</v>
      </c>
      <c r="T26">
        <v>16649.988097295762</v>
      </c>
      <c r="U26" s="10">
        <f t="shared" ref="U26:X26" si="163">T26+(($Y26-$T26)/5)</f>
        <v>16582.366339511434</v>
      </c>
      <c r="V26" s="10">
        <f t="shared" si="163"/>
        <v>16514.744581727107</v>
      </c>
      <c r="W26" s="10">
        <f t="shared" si="163"/>
        <v>16447.12282394278</v>
      </c>
      <c r="X26" s="10">
        <f t="shared" si="163"/>
        <v>16379.501066158453</v>
      </c>
      <c r="Y26">
        <v>16311.879308374126</v>
      </c>
      <c r="Z26" s="10">
        <f t="shared" ref="Z26:AC26" si="164">Y26+(($AD26-$Y26)/5)</f>
        <v>16256.565617144</v>
      </c>
      <c r="AA26" s="10">
        <f t="shared" si="164"/>
        <v>16201.251925913875</v>
      </c>
      <c r="AB26" s="10">
        <f t="shared" si="164"/>
        <v>16145.93823468375</v>
      </c>
      <c r="AC26" s="10">
        <f t="shared" si="164"/>
        <v>16090.624543453625</v>
      </c>
      <c r="AD26">
        <v>16035.310852223498</v>
      </c>
      <c r="AE26" s="10">
        <f t="shared" ref="AE26:AH26" si="165">AD26+(($AI26-$AD26)/5)</f>
        <v>16029.148755179522</v>
      </c>
      <c r="AF26" s="10">
        <f t="shared" si="165"/>
        <v>16022.986658135545</v>
      </c>
      <c r="AG26" s="10">
        <f t="shared" si="165"/>
        <v>16016.824561091569</v>
      </c>
      <c r="AH26" s="10">
        <f t="shared" si="165"/>
        <v>16010.662464047593</v>
      </c>
      <c r="AI26">
        <v>16004.500367003617</v>
      </c>
      <c r="AJ26" s="10">
        <f t="shared" ref="AJ26:AM26" si="166">AI26+(($AN26-$AI26)/5)</f>
        <v>16039.038509493601</v>
      </c>
      <c r="AK26" s="10">
        <f t="shared" si="166"/>
        <v>16073.576651983585</v>
      </c>
      <c r="AL26" s="10">
        <f t="shared" si="166"/>
        <v>16108.114794473569</v>
      </c>
      <c r="AM26" s="10">
        <f t="shared" si="166"/>
        <v>16142.652936963554</v>
      </c>
      <c r="AN26">
        <v>16177.191079453536</v>
      </c>
      <c r="AO26" s="10">
        <f t="shared" ref="AO26:AX26" si="167">AN26</f>
        <v>16177.191079453536</v>
      </c>
      <c r="AP26" s="10">
        <f t="shared" si="167"/>
        <v>16177.191079453536</v>
      </c>
      <c r="AQ26" s="10">
        <f t="shared" si="167"/>
        <v>16177.191079453536</v>
      </c>
      <c r="AR26" s="10">
        <f t="shared" si="167"/>
        <v>16177.191079453536</v>
      </c>
      <c r="AS26" s="10">
        <f t="shared" si="167"/>
        <v>16177.191079453536</v>
      </c>
      <c r="AT26" s="10">
        <f t="shared" si="167"/>
        <v>16177.191079453536</v>
      </c>
      <c r="AU26" s="10">
        <f t="shared" si="167"/>
        <v>16177.191079453536</v>
      </c>
      <c r="AV26" s="10">
        <f t="shared" si="167"/>
        <v>16177.191079453536</v>
      </c>
      <c r="AW26" s="10">
        <f t="shared" si="167"/>
        <v>16177.191079453536</v>
      </c>
      <c r="AX26" s="10">
        <f t="shared" si="167"/>
        <v>16177.191079453536</v>
      </c>
    </row>
    <row r="27" spans="1:50" x14ac:dyDescent="0.3">
      <c r="A27" t="s">
        <v>1403</v>
      </c>
      <c r="B27" t="s">
        <v>1434</v>
      </c>
      <c r="C27">
        <v>2848.77</v>
      </c>
      <c r="D27">
        <v>2412.5190000000002</v>
      </c>
      <c r="E27">
        <v>2122.3529830913449</v>
      </c>
      <c r="F27" s="10">
        <f t="shared" ref="F27:I27" si="168">E27+(($J27-$E27)/5)</f>
        <v>2114.7378252138728</v>
      </c>
      <c r="G27" s="10">
        <f t="shared" si="168"/>
        <v>2107.1226673364008</v>
      </c>
      <c r="H27" s="10">
        <f t="shared" si="168"/>
        <v>2099.5075094589288</v>
      </c>
      <c r="I27" s="10">
        <f t="shared" si="168"/>
        <v>2091.8923515814568</v>
      </c>
      <c r="J27">
        <v>2084.2771937039843</v>
      </c>
      <c r="K27" s="10">
        <f t="shared" ref="K27:N27" si="169">J27+(($O27-$J27)/5)</f>
        <v>2116.0057245998805</v>
      </c>
      <c r="L27" s="10">
        <f t="shared" si="169"/>
        <v>2147.7342554957768</v>
      </c>
      <c r="M27" s="10">
        <f t="shared" si="169"/>
        <v>2179.462786391673</v>
      </c>
      <c r="N27" s="10">
        <f t="shared" si="169"/>
        <v>2211.1913172875693</v>
      </c>
      <c r="O27">
        <v>2242.9198481834646</v>
      </c>
      <c r="P27" s="10">
        <f t="shared" ref="P27:S27" si="170">O27+(($T27-$O27)/5)</f>
        <v>2294.3368822201078</v>
      </c>
      <c r="Q27" s="10">
        <f t="shared" si="170"/>
        <v>2345.7539162567509</v>
      </c>
      <c r="R27" s="10">
        <f t="shared" si="170"/>
        <v>2397.1709502933941</v>
      </c>
      <c r="S27" s="10">
        <f t="shared" si="170"/>
        <v>2448.5879843300372</v>
      </c>
      <c r="T27">
        <v>2500.0050183666799</v>
      </c>
      <c r="U27" s="10">
        <f t="shared" ref="U27:X27" si="171">T27+(($Y27-$T27)/5)</f>
        <v>2484.681479216451</v>
      </c>
      <c r="V27" s="10">
        <f t="shared" si="171"/>
        <v>2469.357940066222</v>
      </c>
      <c r="W27" s="10">
        <f t="shared" si="171"/>
        <v>2454.034400915993</v>
      </c>
      <c r="X27" s="10">
        <f t="shared" si="171"/>
        <v>2438.7108617657641</v>
      </c>
      <c r="Y27">
        <v>2423.3873226155347</v>
      </c>
      <c r="Z27" s="10">
        <f t="shared" ref="Z27:AC27" si="172">Y27+(($AD27-$Y27)/5)</f>
        <v>2454.408623886739</v>
      </c>
      <c r="AA27" s="10">
        <f t="shared" si="172"/>
        <v>2485.4299251579432</v>
      </c>
      <c r="AB27" s="10">
        <f t="shared" si="172"/>
        <v>2516.4512264291475</v>
      </c>
      <c r="AC27" s="10">
        <f t="shared" si="172"/>
        <v>2547.4725277003517</v>
      </c>
      <c r="AD27">
        <v>2578.493828971556</v>
      </c>
      <c r="AE27" s="10">
        <f t="shared" ref="AE27:AH27" si="173">AD27+(($AI27-$AD27)/5)</f>
        <v>2593.0233317061293</v>
      </c>
      <c r="AF27" s="10">
        <f t="shared" si="173"/>
        <v>2607.5528344407026</v>
      </c>
      <c r="AG27" s="10">
        <f t="shared" si="173"/>
        <v>2622.0823371752758</v>
      </c>
      <c r="AH27" s="10">
        <f t="shared" si="173"/>
        <v>2636.6118399098491</v>
      </c>
      <c r="AI27">
        <v>2651.1413426444233</v>
      </c>
      <c r="AJ27" s="10">
        <f t="shared" ref="AJ27:AM27" si="174">AI27+(($AN27-$AI27)/5)</f>
        <v>2673.5235561389541</v>
      </c>
      <c r="AK27" s="10">
        <f t="shared" si="174"/>
        <v>2695.9057696334849</v>
      </c>
      <c r="AL27" s="10">
        <f t="shared" si="174"/>
        <v>2718.2879831280156</v>
      </c>
      <c r="AM27" s="10">
        <f t="shared" si="174"/>
        <v>2740.6701966225464</v>
      </c>
      <c r="AN27">
        <v>2763.0524101170768</v>
      </c>
      <c r="AO27" s="10">
        <f t="shared" ref="AO27:AX27" si="175">AN27</f>
        <v>2763.0524101170768</v>
      </c>
      <c r="AP27" s="10">
        <f t="shared" si="175"/>
        <v>2763.0524101170768</v>
      </c>
      <c r="AQ27" s="10">
        <f t="shared" si="175"/>
        <v>2763.0524101170768</v>
      </c>
      <c r="AR27" s="10">
        <f t="shared" si="175"/>
        <v>2763.0524101170768</v>
      </c>
      <c r="AS27" s="10">
        <f t="shared" si="175"/>
        <v>2763.0524101170768</v>
      </c>
      <c r="AT27" s="10">
        <f t="shared" si="175"/>
        <v>2763.0524101170768</v>
      </c>
      <c r="AU27" s="10">
        <f t="shared" si="175"/>
        <v>2763.0524101170768</v>
      </c>
      <c r="AV27" s="10">
        <f t="shared" si="175"/>
        <v>2763.0524101170768</v>
      </c>
      <c r="AW27" s="10">
        <f t="shared" si="175"/>
        <v>2763.0524101170768</v>
      </c>
      <c r="AX27" s="10">
        <f t="shared" si="175"/>
        <v>2763.0524101170768</v>
      </c>
    </row>
    <row r="28" spans="1:50" x14ac:dyDescent="0.3">
      <c r="A28" t="s">
        <v>1403</v>
      </c>
      <c r="B28" t="s">
        <v>1439</v>
      </c>
      <c r="C28">
        <v>1109.7340000000002</v>
      </c>
      <c r="D28">
        <v>853.404</v>
      </c>
      <c r="E28">
        <v>844.90898309125078</v>
      </c>
      <c r="F28" s="10">
        <f t="shared" ref="F28:I28" si="176">E28+(($J28-$E28)/5)</f>
        <v>839.38889755116247</v>
      </c>
      <c r="G28" s="10">
        <f t="shared" si="176"/>
        <v>833.86881201107417</v>
      </c>
      <c r="H28" s="10">
        <f t="shared" si="176"/>
        <v>828.34872647098587</v>
      </c>
      <c r="I28" s="10">
        <f t="shared" si="176"/>
        <v>822.82864093089756</v>
      </c>
      <c r="J28">
        <v>817.30855539080937</v>
      </c>
      <c r="K28" s="10">
        <f t="shared" ref="K28:N28" si="177">J28+(($O28-$J28)/5)</f>
        <v>832.08557101516089</v>
      </c>
      <c r="L28" s="10">
        <f t="shared" si="177"/>
        <v>846.86258663951241</v>
      </c>
      <c r="M28" s="10">
        <f t="shared" si="177"/>
        <v>861.63960226386394</v>
      </c>
      <c r="N28" s="10">
        <f t="shared" si="177"/>
        <v>876.41661788821546</v>
      </c>
      <c r="O28">
        <v>891.1936335125672</v>
      </c>
      <c r="P28" s="10">
        <f t="shared" ref="P28:S28" si="178">O28+(($T28-$O28)/5)</f>
        <v>894.80136554414628</v>
      </c>
      <c r="Q28" s="10">
        <f t="shared" si="178"/>
        <v>898.40909757572535</v>
      </c>
      <c r="R28" s="10">
        <f t="shared" si="178"/>
        <v>902.01682960730443</v>
      </c>
      <c r="S28" s="10">
        <f t="shared" si="178"/>
        <v>905.62456163888351</v>
      </c>
      <c r="T28">
        <v>909.23229367046235</v>
      </c>
      <c r="U28" s="10">
        <f t="shared" ref="U28:X28" si="179">T28+(($Y28-$T28)/5)</f>
        <v>890.78761555713561</v>
      </c>
      <c r="V28" s="10">
        <f t="shared" si="179"/>
        <v>872.34293744380886</v>
      </c>
      <c r="W28" s="10">
        <f t="shared" si="179"/>
        <v>853.89825933048212</v>
      </c>
      <c r="X28" s="10">
        <f t="shared" si="179"/>
        <v>835.45358121715537</v>
      </c>
      <c r="Y28">
        <v>817.0089031038284</v>
      </c>
      <c r="Z28" s="10">
        <f t="shared" ref="Z28:AC28" si="180">Y28+(($AD28-$Y28)/5)</f>
        <v>833.02889868655734</v>
      </c>
      <c r="AA28" s="10">
        <f t="shared" si="180"/>
        <v>849.04889426928628</v>
      </c>
      <c r="AB28" s="10">
        <f t="shared" si="180"/>
        <v>865.06888985201522</v>
      </c>
      <c r="AC28" s="10">
        <f t="shared" si="180"/>
        <v>881.08888543474416</v>
      </c>
      <c r="AD28">
        <v>897.10888101747298</v>
      </c>
      <c r="AE28" s="10">
        <f t="shared" ref="AE28:AH28" si="181">AD28+(($AI28-$AD28)/5)</f>
        <v>890.70362074850323</v>
      </c>
      <c r="AF28" s="10">
        <f t="shared" si="181"/>
        <v>884.29836047953347</v>
      </c>
      <c r="AG28" s="10">
        <f t="shared" si="181"/>
        <v>877.89310021056372</v>
      </c>
      <c r="AH28" s="10">
        <f t="shared" si="181"/>
        <v>871.48783994159396</v>
      </c>
      <c r="AI28">
        <v>865.08257967262432</v>
      </c>
      <c r="AJ28" s="10">
        <f t="shared" ref="AJ28:AM28" si="182">AI28+(($AN28-$AI28)/5)</f>
        <v>867.58978284410477</v>
      </c>
      <c r="AK28" s="10">
        <f t="shared" si="182"/>
        <v>870.09698601558523</v>
      </c>
      <c r="AL28" s="10">
        <f t="shared" si="182"/>
        <v>872.60418918706569</v>
      </c>
      <c r="AM28" s="10">
        <f t="shared" si="182"/>
        <v>875.11139235854614</v>
      </c>
      <c r="AN28">
        <v>877.61859553002682</v>
      </c>
      <c r="AO28" s="10">
        <f t="shared" ref="AO28:AX28" si="183">AN28</f>
        <v>877.61859553002682</v>
      </c>
      <c r="AP28" s="10">
        <f t="shared" si="183"/>
        <v>877.61859553002682</v>
      </c>
      <c r="AQ28" s="10">
        <f t="shared" si="183"/>
        <v>877.61859553002682</v>
      </c>
      <c r="AR28" s="10">
        <f t="shared" si="183"/>
        <v>877.61859553002682</v>
      </c>
      <c r="AS28" s="10">
        <f t="shared" si="183"/>
        <v>877.61859553002682</v>
      </c>
      <c r="AT28" s="10">
        <f t="shared" si="183"/>
        <v>877.61859553002682</v>
      </c>
      <c r="AU28" s="10">
        <f t="shared" si="183"/>
        <v>877.61859553002682</v>
      </c>
      <c r="AV28" s="10">
        <f t="shared" si="183"/>
        <v>877.61859553002682</v>
      </c>
      <c r="AW28" s="10">
        <f t="shared" si="183"/>
        <v>877.61859553002682</v>
      </c>
      <c r="AX28" s="10">
        <f t="shared" si="183"/>
        <v>877.61859553002682</v>
      </c>
    </row>
    <row r="29" spans="1:50" x14ac:dyDescent="0.3">
      <c r="A29" t="s">
        <v>1403</v>
      </c>
      <c r="B29" t="s">
        <v>1435</v>
      </c>
      <c r="C29">
        <v>1739.0359999999998</v>
      </c>
      <c r="D29">
        <v>1559.1150000000002</v>
      </c>
      <c r="E29">
        <v>1277.4440000000941</v>
      </c>
      <c r="F29" s="10">
        <f t="shared" ref="F29:I29" si="184">E29+(($J29-$E29)/5)</f>
        <v>1275.3489276627101</v>
      </c>
      <c r="G29" s="10">
        <f t="shared" si="184"/>
        <v>1273.2538553253262</v>
      </c>
      <c r="H29" s="10">
        <f t="shared" si="184"/>
        <v>1271.1587829879422</v>
      </c>
      <c r="I29" s="10">
        <f t="shared" si="184"/>
        <v>1269.0637106505583</v>
      </c>
      <c r="J29">
        <v>1266.9686383131748</v>
      </c>
      <c r="K29" s="10">
        <f t="shared" ref="K29:N29" si="185">J29+(($O29-$J29)/5)</f>
        <v>1283.9201535847194</v>
      </c>
      <c r="L29" s="10">
        <f t="shared" si="185"/>
        <v>1300.871668856264</v>
      </c>
      <c r="M29" s="10">
        <f t="shared" si="185"/>
        <v>1317.8231841278086</v>
      </c>
      <c r="N29" s="10">
        <f t="shared" si="185"/>
        <v>1334.7746993993533</v>
      </c>
      <c r="O29">
        <v>1351.7262146708974</v>
      </c>
      <c r="P29" s="10">
        <f t="shared" ref="P29:S29" si="186">O29+(($T29-$O29)/5)</f>
        <v>1399.5355166759614</v>
      </c>
      <c r="Q29" s="10">
        <f t="shared" si="186"/>
        <v>1447.3448186810253</v>
      </c>
      <c r="R29" s="10">
        <f t="shared" si="186"/>
        <v>1495.1541206860893</v>
      </c>
      <c r="S29" s="10">
        <f t="shared" si="186"/>
        <v>1542.9634226911533</v>
      </c>
      <c r="T29">
        <v>1590.7727246962177</v>
      </c>
      <c r="U29" s="10">
        <f t="shared" ref="U29:X29" si="187">T29+(($Y29-$T29)/5)</f>
        <v>1593.8938636593155</v>
      </c>
      <c r="V29" s="10">
        <f t="shared" si="187"/>
        <v>1597.0150026224132</v>
      </c>
      <c r="W29" s="10">
        <f t="shared" si="187"/>
        <v>1600.136141585511</v>
      </c>
      <c r="X29" s="10">
        <f t="shared" si="187"/>
        <v>1603.2572805486088</v>
      </c>
      <c r="Y29">
        <v>1606.3784195117064</v>
      </c>
      <c r="Z29" s="10">
        <f t="shared" ref="Z29:AC29" si="188">Y29+(($AD29-$Y29)/5)</f>
        <v>1621.3797252001818</v>
      </c>
      <c r="AA29" s="10">
        <f t="shared" si="188"/>
        <v>1636.3810308886573</v>
      </c>
      <c r="AB29" s="10">
        <f t="shared" si="188"/>
        <v>1651.3823365771327</v>
      </c>
      <c r="AC29" s="10">
        <f t="shared" si="188"/>
        <v>1666.3836422656082</v>
      </c>
      <c r="AD29">
        <v>1681.3849479540831</v>
      </c>
      <c r="AE29" s="10">
        <f t="shared" ref="AE29:AH29" si="189">AD29+(($AI29-$AD29)/5)</f>
        <v>1702.3197109576263</v>
      </c>
      <c r="AF29" s="10">
        <f t="shared" si="189"/>
        <v>1723.2544739611694</v>
      </c>
      <c r="AG29" s="10">
        <f t="shared" si="189"/>
        <v>1744.1892369647126</v>
      </c>
      <c r="AH29" s="10">
        <f t="shared" si="189"/>
        <v>1765.1239999682557</v>
      </c>
      <c r="AI29">
        <v>1786.0587629717988</v>
      </c>
      <c r="AJ29" s="10">
        <f t="shared" ref="AJ29:AM29" si="190">AI29+(($AN29-$AI29)/5)</f>
        <v>1805.9337732948491</v>
      </c>
      <c r="AK29" s="10">
        <f t="shared" si="190"/>
        <v>1825.8087836178993</v>
      </c>
      <c r="AL29" s="10">
        <f t="shared" si="190"/>
        <v>1845.6837939409495</v>
      </c>
      <c r="AM29" s="10">
        <f t="shared" si="190"/>
        <v>1865.5588042639997</v>
      </c>
      <c r="AN29">
        <v>1885.4338145870499</v>
      </c>
      <c r="AO29" s="10">
        <f t="shared" ref="AO29:AX29" si="191">AN29</f>
        <v>1885.4338145870499</v>
      </c>
      <c r="AP29" s="10">
        <f t="shared" si="191"/>
        <v>1885.4338145870499</v>
      </c>
      <c r="AQ29" s="10">
        <f t="shared" si="191"/>
        <v>1885.4338145870499</v>
      </c>
      <c r="AR29" s="10">
        <f t="shared" si="191"/>
        <v>1885.4338145870499</v>
      </c>
      <c r="AS29" s="10">
        <f t="shared" si="191"/>
        <v>1885.4338145870499</v>
      </c>
      <c r="AT29" s="10">
        <f t="shared" si="191"/>
        <v>1885.4338145870499</v>
      </c>
      <c r="AU29" s="10">
        <f t="shared" si="191"/>
        <v>1885.4338145870499</v>
      </c>
      <c r="AV29" s="10">
        <f t="shared" si="191"/>
        <v>1885.4338145870499</v>
      </c>
      <c r="AW29" s="10">
        <f t="shared" si="191"/>
        <v>1885.4338145870499</v>
      </c>
      <c r="AX29" s="10">
        <f t="shared" si="191"/>
        <v>1885.4338145870499</v>
      </c>
    </row>
    <row r="30" spans="1:50" x14ac:dyDescent="0.3">
      <c r="A30" t="s">
        <v>1405</v>
      </c>
      <c r="B30" t="s">
        <v>1434</v>
      </c>
      <c r="C30">
        <v>719.44899999997449</v>
      </c>
      <c r="D30">
        <v>574.59500000000014</v>
      </c>
      <c r="E30">
        <v>523.57497590448122</v>
      </c>
      <c r="F30" s="10">
        <f t="shared" ref="F30:I30" si="192">E30+(($J30-$E30)/5)</f>
        <v>509.97026814143953</v>
      </c>
      <c r="G30" s="10">
        <f t="shared" si="192"/>
        <v>496.36556037839784</v>
      </c>
      <c r="H30" s="10">
        <f t="shared" si="192"/>
        <v>482.76085261535616</v>
      </c>
      <c r="I30" s="10">
        <f t="shared" si="192"/>
        <v>469.15614485231447</v>
      </c>
      <c r="J30">
        <v>455.55143708927267</v>
      </c>
      <c r="K30" s="10">
        <f t="shared" ref="K30:N30" si="193">J30+(($O30-$J30)/5)</f>
        <v>476.24824451247741</v>
      </c>
      <c r="L30" s="10">
        <f t="shared" si="193"/>
        <v>496.94505193568216</v>
      </c>
      <c r="M30" s="10">
        <f t="shared" si="193"/>
        <v>517.6418593588869</v>
      </c>
      <c r="N30" s="10">
        <f t="shared" si="193"/>
        <v>538.33866678209165</v>
      </c>
      <c r="O30">
        <v>559.0354742052964</v>
      </c>
      <c r="P30" s="10">
        <f t="shared" ref="P30:S30" si="194">O30+(($T30-$O30)/5)</f>
        <v>572.36472259881577</v>
      </c>
      <c r="Q30" s="10">
        <f t="shared" si="194"/>
        <v>585.69397099233515</v>
      </c>
      <c r="R30" s="10">
        <f t="shared" si="194"/>
        <v>599.02321938585453</v>
      </c>
      <c r="S30" s="10">
        <f t="shared" si="194"/>
        <v>612.35246777937391</v>
      </c>
      <c r="T30">
        <v>625.68171617289329</v>
      </c>
      <c r="U30" s="10">
        <f t="shared" ref="U30:X30" si="195">T30+(($Y30-$T30)/5)</f>
        <v>621.28962649883317</v>
      </c>
      <c r="V30" s="10">
        <f t="shared" si="195"/>
        <v>616.89753682477306</v>
      </c>
      <c r="W30" s="10">
        <f t="shared" si="195"/>
        <v>612.50544715071294</v>
      </c>
      <c r="X30" s="10">
        <f t="shared" si="195"/>
        <v>608.11335747665282</v>
      </c>
      <c r="Y30">
        <v>603.72126780259282</v>
      </c>
      <c r="Z30" s="10">
        <f t="shared" ref="Z30:AC30" si="196">Y30+(($AD30-$Y30)/5)</f>
        <v>600.29754354309728</v>
      </c>
      <c r="AA30" s="10">
        <f t="shared" si="196"/>
        <v>596.87381928360173</v>
      </c>
      <c r="AB30" s="10">
        <f t="shared" si="196"/>
        <v>593.45009502410619</v>
      </c>
      <c r="AC30" s="10">
        <f t="shared" si="196"/>
        <v>590.02637076461065</v>
      </c>
      <c r="AD30">
        <v>586.60264650511522</v>
      </c>
      <c r="AE30" s="10">
        <f t="shared" ref="AE30:AH30" si="197">AD30+(($AI30-$AD30)/5)</f>
        <v>585.25053061298456</v>
      </c>
      <c r="AF30" s="10">
        <f t="shared" si="197"/>
        <v>583.89841472085391</v>
      </c>
      <c r="AG30" s="10">
        <f t="shared" si="197"/>
        <v>582.54629882872325</v>
      </c>
      <c r="AH30" s="10">
        <f t="shared" si="197"/>
        <v>581.1941829365926</v>
      </c>
      <c r="AI30">
        <v>579.84206704446217</v>
      </c>
      <c r="AJ30" s="10">
        <f t="shared" ref="AJ30:AM30" si="198">AI30+(($AN30-$AI30)/5)</f>
        <v>578.55358985269902</v>
      </c>
      <c r="AK30" s="10">
        <f t="shared" si="198"/>
        <v>577.26511266093587</v>
      </c>
      <c r="AL30" s="10">
        <f t="shared" si="198"/>
        <v>575.97663546917272</v>
      </c>
      <c r="AM30" s="10">
        <f t="shared" si="198"/>
        <v>574.68815827740957</v>
      </c>
      <c r="AN30">
        <v>573.39968108564653</v>
      </c>
      <c r="AO30" s="10">
        <f t="shared" ref="AO30:AX30" si="199">AN30</f>
        <v>573.39968108564653</v>
      </c>
      <c r="AP30" s="10">
        <f t="shared" si="199"/>
        <v>573.39968108564653</v>
      </c>
      <c r="AQ30" s="10">
        <f t="shared" si="199"/>
        <v>573.39968108564653</v>
      </c>
      <c r="AR30" s="10">
        <f t="shared" si="199"/>
        <v>573.39968108564653</v>
      </c>
      <c r="AS30" s="10">
        <f t="shared" si="199"/>
        <v>573.39968108564653</v>
      </c>
      <c r="AT30" s="10">
        <f t="shared" si="199"/>
        <v>573.39968108564653</v>
      </c>
      <c r="AU30" s="10">
        <f t="shared" si="199"/>
        <v>573.39968108564653</v>
      </c>
      <c r="AV30" s="10">
        <f t="shared" si="199"/>
        <v>573.39968108564653</v>
      </c>
      <c r="AW30" s="10">
        <f t="shared" si="199"/>
        <v>573.39968108564653</v>
      </c>
      <c r="AX30" s="10">
        <f t="shared" si="199"/>
        <v>573.39968108564653</v>
      </c>
    </row>
    <row r="31" spans="1:50" x14ac:dyDescent="0.3">
      <c r="A31" t="s">
        <v>1405</v>
      </c>
      <c r="B31" t="s">
        <v>1439</v>
      </c>
      <c r="C31">
        <v>272.86099999997447</v>
      </c>
      <c r="D31">
        <v>231.04800000000003</v>
      </c>
      <c r="E31">
        <v>176.89697590449936</v>
      </c>
      <c r="F31" s="10">
        <f t="shared" ref="F31:I31" si="200">E31+(($J31-$E31)/5)</f>
        <v>176.1978046425607</v>
      </c>
      <c r="G31" s="10">
        <f t="shared" si="200"/>
        <v>175.49863338062204</v>
      </c>
      <c r="H31" s="10">
        <f t="shared" si="200"/>
        <v>174.79946211868338</v>
      </c>
      <c r="I31" s="10">
        <f t="shared" si="200"/>
        <v>174.10029085674472</v>
      </c>
      <c r="J31">
        <v>173.40111959480612</v>
      </c>
      <c r="K31" s="10">
        <f t="shared" ref="K31:N31" si="201">J31+(($O31-$J31)/5)</f>
        <v>181.75944033750486</v>
      </c>
      <c r="L31" s="10">
        <f t="shared" si="201"/>
        <v>190.11776108020359</v>
      </c>
      <c r="M31" s="10">
        <f t="shared" si="201"/>
        <v>198.47608182290233</v>
      </c>
      <c r="N31" s="10">
        <f t="shared" si="201"/>
        <v>206.83440256560107</v>
      </c>
      <c r="O31">
        <v>215.1927233082998</v>
      </c>
      <c r="P31" s="10">
        <f t="shared" ref="P31:S31" si="202">O31+(($T31-$O31)/5)</f>
        <v>216.26332290706802</v>
      </c>
      <c r="Q31" s="10">
        <f t="shared" si="202"/>
        <v>217.33392250583623</v>
      </c>
      <c r="R31" s="10">
        <f t="shared" si="202"/>
        <v>218.40452210460444</v>
      </c>
      <c r="S31" s="10">
        <f t="shared" si="202"/>
        <v>219.47512170337265</v>
      </c>
      <c r="T31">
        <v>220.54572130214092</v>
      </c>
      <c r="U31" s="10">
        <f t="shared" ref="U31:X31" si="203">T31+(($Y31-$T31)/5)</f>
        <v>215.86549171972879</v>
      </c>
      <c r="V31" s="10">
        <f t="shared" si="203"/>
        <v>211.18526213731667</v>
      </c>
      <c r="W31" s="10">
        <f t="shared" si="203"/>
        <v>206.50503255490455</v>
      </c>
      <c r="X31" s="10">
        <f t="shared" si="203"/>
        <v>201.82480297249242</v>
      </c>
      <c r="Y31">
        <v>197.14457339008027</v>
      </c>
      <c r="Z31" s="10">
        <f t="shared" ref="Z31:AC31" si="204">Y31+(($AD31-$Y31)/5)</f>
        <v>195.56066055593061</v>
      </c>
      <c r="AA31" s="10">
        <f t="shared" si="204"/>
        <v>193.97674772178095</v>
      </c>
      <c r="AB31" s="10">
        <f t="shared" si="204"/>
        <v>192.3928348876313</v>
      </c>
      <c r="AC31" s="10">
        <f t="shared" si="204"/>
        <v>190.80892205348164</v>
      </c>
      <c r="AD31">
        <v>189.22500921933198</v>
      </c>
      <c r="AE31" s="10">
        <f t="shared" ref="AE31:AH31" si="205">AD31+(($AI31-$AD31)/5)</f>
        <v>187.86159274292234</v>
      </c>
      <c r="AF31" s="10">
        <f t="shared" si="205"/>
        <v>186.4981762665127</v>
      </c>
      <c r="AG31" s="10">
        <f t="shared" si="205"/>
        <v>185.13475979010306</v>
      </c>
      <c r="AH31" s="10">
        <f t="shared" si="205"/>
        <v>183.77134331369342</v>
      </c>
      <c r="AI31">
        <v>182.40792683728378</v>
      </c>
      <c r="AJ31" s="10">
        <f t="shared" ref="AJ31:AM31" si="206">AI31+(($AN31-$AI31)/5)</f>
        <v>182.01298329415113</v>
      </c>
      <c r="AK31" s="10">
        <f t="shared" si="206"/>
        <v>181.61803975101847</v>
      </c>
      <c r="AL31" s="10">
        <f t="shared" si="206"/>
        <v>181.22309620788582</v>
      </c>
      <c r="AM31" s="10">
        <f t="shared" si="206"/>
        <v>180.82815266475316</v>
      </c>
      <c r="AN31">
        <v>180.43320912162056</v>
      </c>
      <c r="AO31" s="10">
        <f t="shared" ref="AO31:AX31" si="207">AN31</f>
        <v>180.43320912162056</v>
      </c>
      <c r="AP31" s="10">
        <f t="shared" si="207"/>
        <v>180.43320912162056</v>
      </c>
      <c r="AQ31" s="10">
        <f t="shared" si="207"/>
        <v>180.43320912162056</v>
      </c>
      <c r="AR31" s="10">
        <f t="shared" si="207"/>
        <v>180.43320912162056</v>
      </c>
      <c r="AS31" s="10">
        <f t="shared" si="207"/>
        <v>180.43320912162056</v>
      </c>
      <c r="AT31" s="10">
        <f t="shared" si="207"/>
        <v>180.43320912162056</v>
      </c>
      <c r="AU31" s="10">
        <f t="shared" si="207"/>
        <v>180.43320912162056</v>
      </c>
      <c r="AV31" s="10">
        <f t="shared" si="207"/>
        <v>180.43320912162056</v>
      </c>
      <c r="AW31" s="10">
        <f t="shared" si="207"/>
        <v>180.43320912162056</v>
      </c>
      <c r="AX31" s="10">
        <f t="shared" si="207"/>
        <v>180.43320912162056</v>
      </c>
    </row>
    <row r="32" spans="1:50" x14ac:dyDescent="0.3">
      <c r="A32" t="s">
        <v>1405</v>
      </c>
      <c r="B32" t="s">
        <v>1435</v>
      </c>
      <c r="C32">
        <v>446.58800000000002</v>
      </c>
      <c r="D32">
        <v>343.54700000000014</v>
      </c>
      <c r="E32">
        <v>346.67799999998186</v>
      </c>
      <c r="F32" s="10">
        <f t="shared" ref="F32:I32" si="208">E32+(($J32-$E32)/5)</f>
        <v>333.77246349887878</v>
      </c>
      <c r="G32" s="10">
        <f t="shared" si="208"/>
        <v>320.86692699777569</v>
      </c>
      <c r="H32" s="10">
        <f t="shared" si="208"/>
        <v>307.96139049667261</v>
      </c>
      <c r="I32" s="10">
        <f t="shared" si="208"/>
        <v>295.05585399556952</v>
      </c>
      <c r="J32">
        <v>282.15031749446655</v>
      </c>
      <c r="K32" s="10">
        <f t="shared" ref="K32:N32" si="209">J32+(($O32-$J32)/5)</f>
        <v>294.48880417497253</v>
      </c>
      <c r="L32" s="10">
        <f t="shared" si="209"/>
        <v>306.82729085547851</v>
      </c>
      <c r="M32" s="10">
        <f t="shared" si="209"/>
        <v>319.16577753598449</v>
      </c>
      <c r="N32" s="10">
        <f t="shared" si="209"/>
        <v>331.50426421649047</v>
      </c>
      <c r="O32">
        <v>343.84275089699656</v>
      </c>
      <c r="P32" s="10">
        <f t="shared" ref="P32:S32" si="210">O32+(($T32-$O32)/5)</f>
        <v>356.1013996917477</v>
      </c>
      <c r="Q32" s="10">
        <f t="shared" si="210"/>
        <v>368.36004848649884</v>
      </c>
      <c r="R32" s="10">
        <f t="shared" si="210"/>
        <v>380.61869728124998</v>
      </c>
      <c r="S32" s="10">
        <f t="shared" si="210"/>
        <v>392.87734607600112</v>
      </c>
      <c r="T32">
        <v>405.13599487075237</v>
      </c>
      <c r="U32" s="10">
        <f t="shared" ref="U32:X32" si="211">T32+(($Y32-$T32)/5)</f>
        <v>405.42413477910441</v>
      </c>
      <c r="V32" s="10">
        <f t="shared" si="211"/>
        <v>405.71227468745644</v>
      </c>
      <c r="W32" s="10">
        <f t="shared" si="211"/>
        <v>406.00041459580848</v>
      </c>
      <c r="X32" s="10">
        <f t="shared" si="211"/>
        <v>406.28855450416052</v>
      </c>
      <c r="Y32">
        <v>406.57669441251255</v>
      </c>
      <c r="Z32" s="10">
        <f t="shared" ref="Z32:AC32" si="212">Y32+(($AD32-$Y32)/5)</f>
        <v>404.73688298716667</v>
      </c>
      <c r="AA32" s="10">
        <f t="shared" si="212"/>
        <v>402.89707156182078</v>
      </c>
      <c r="AB32" s="10">
        <f t="shared" si="212"/>
        <v>401.05726013647489</v>
      </c>
      <c r="AC32" s="10">
        <f t="shared" si="212"/>
        <v>399.21744871112901</v>
      </c>
      <c r="AD32">
        <v>397.37763728578324</v>
      </c>
      <c r="AE32" s="10">
        <f t="shared" ref="AE32:AH32" si="213">AD32+(($AI32-$AD32)/5)</f>
        <v>397.38893787006225</v>
      </c>
      <c r="AF32" s="10">
        <f t="shared" si="213"/>
        <v>397.40023845434126</v>
      </c>
      <c r="AG32" s="10">
        <f t="shared" si="213"/>
        <v>397.41153903862028</v>
      </c>
      <c r="AH32" s="10">
        <f t="shared" si="213"/>
        <v>397.42283962289929</v>
      </c>
      <c r="AI32">
        <v>397.43414020717842</v>
      </c>
      <c r="AJ32" s="10">
        <f t="shared" ref="AJ32:AM32" si="214">AI32+(($AN32-$AI32)/5)</f>
        <v>396.54060655854795</v>
      </c>
      <c r="AK32" s="10">
        <f t="shared" si="214"/>
        <v>395.64707290991748</v>
      </c>
      <c r="AL32" s="10">
        <f t="shared" si="214"/>
        <v>394.75353926128702</v>
      </c>
      <c r="AM32" s="10">
        <f t="shared" si="214"/>
        <v>393.86000561265655</v>
      </c>
      <c r="AN32">
        <v>392.96647196402597</v>
      </c>
      <c r="AO32" s="10">
        <f t="shared" ref="AO32:AX32" si="215">AN32</f>
        <v>392.96647196402597</v>
      </c>
      <c r="AP32" s="10">
        <f t="shared" si="215"/>
        <v>392.96647196402597</v>
      </c>
      <c r="AQ32" s="10">
        <f t="shared" si="215"/>
        <v>392.96647196402597</v>
      </c>
      <c r="AR32" s="10">
        <f t="shared" si="215"/>
        <v>392.96647196402597</v>
      </c>
      <c r="AS32" s="10">
        <f t="shared" si="215"/>
        <v>392.96647196402597</v>
      </c>
      <c r="AT32" s="10">
        <f t="shared" si="215"/>
        <v>392.96647196402597</v>
      </c>
      <c r="AU32" s="10">
        <f t="shared" si="215"/>
        <v>392.96647196402597</v>
      </c>
      <c r="AV32" s="10">
        <f t="shared" si="215"/>
        <v>392.96647196402597</v>
      </c>
      <c r="AW32" s="10">
        <f t="shared" si="215"/>
        <v>392.96647196402597</v>
      </c>
      <c r="AX32" s="10">
        <f t="shared" si="215"/>
        <v>392.96647196402597</v>
      </c>
    </row>
    <row r="33" spans="1:50" x14ac:dyDescent="0.3">
      <c r="A33" t="s">
        <v>1407</v>
      </c>
      <c r="B33" t="s">
        <v>1434</v>
      </c>
      <c r="C33">
        <v>4168.2789999999995</v>
      </c>
      <c r="D33">
        <v>3471.4820000000004</v>
      </c>
      <c r="E33">
        <v>3126.5617842390943</v>
      </c>
      <c r="F33" s="10">
        <f t="shared" ref="F33:I33" si="216">E33+(($J33-$E33)/5)</f>
        <v>3060.0008118496667</v>
      </c>
      <c r="G33" s="10">
        <f t="shared" si="216"/>
        <v>2993.439839460239</v>
      </c>
      <c r="H33" s="10">
        <f t="shared" si="216"/>
        <v>2926.8788670708113</v>
      </c>
      <c r="I33" s="10">
        <f t="shared" si="216"/>
        <v>2860.3178946813837</v>
      </c>
      <c r="J33">
        <v>2793.7569222919556</v>
      </c>
      <c r="K33" s="10">
        <f t="shared" ref="K33:N33" si="217">J33+(($O33-$J33)/5)</f>
        <v>2883.4564160756945</v>
      </c>
      <c r="L33" s="10">
        <f t="shared" si="217"/>
        <v>2973.1559098594335</v>
      </c>
      <c r="M33" s="10">
        <f t="shared" si="217"/>
        <v>3062.8554036431724</v>
      </c>
      <c r="N33" s="10">
        <f t="shared" si="217"/>
        <v>3152.5548974269113</v>
      </c>
      <c r="O33">
        <v>3242.2543912106494</v>
      </c>
      <c r="P33" s="10">
        <f t="shared" ref="P33:S33" si="218">O33+(($T33-$O33)/5)</f>
        <v>3194.8377515450111</v>
      </c>
      <c r="Q33" s="10">
        <f t="shared" si="218"/>
        <v>3147.4211118793728</v>
      </c>
      <c r="R33" s="10">
        <f t="shared" si="218"/>
        <v>3100.0044722137345</v>
      </c>
      <c r="S33" s="10">
        <f t="shared" si="218"/>
        <v>3052.5878325480962</v>
      </c>
      <c r="T33">
        <v>3005.1711928824579</v>
      </c>
      <c r="U33" s="10">
        <f t="shared" ref="U33:X33" si="219">T33+(($Y33-$T33)/5)</f>
        <v>3008.6575489259849</v>
      </c>
      <c r="V33" s="10">
        <f t="shared" si="219"/>
        <v>3012.1439049695118</v>
      </c>
      <c r="W33" s="10">
        <f t="shared" si="219"/>
        <v>3015.6302610130388</v>
      </c>
      <c r="X33" s="10">
        <f t="shared" si="219"/>
        <v>3019.1166170565657</v>
      </c>
      <c r="Y33">
        <v>3022.6029731000935</v>
      </c>
      <c r="Z33" s="10">
        <f t="shared" ref="Z33:AC33" si="220">Y33+(($AD33-$Y33)/5)</f>
        <v>3016.4793562772406</v>
      </c>
      <c r="AA33" s="10">
        <f t="shared" si="220"/>
        <v>3010.3557394543877</v>
      </c>
      <c r="AB33" s="10">
        <f t="shared" si="220"/>
        <v>3004.2321226315348</v>
      </c>
      <c r="AC33" s="10">
        <f t="shared" si="220"/>
        <v>2998.1085058086819</v>
      </c>
      <c r="AD33">
        <v>2991.9848889858285</v>
      </c>
      <c r="AE33" s="10">
        <f t="shared" ref="AE33:AH33" si="221">AD33+(($AI33-$AD33)/5)</f>
        <v>3001.3289270853097</v>
      </c>
      <c r="AF33" s="10">
        <f t="shared" si="221"/>
        <v>3010.6729651847909</v>
      </c>
      <c r="AG33" s="10">
        <f t="shared" si="221"/>
        <v>3020.0170032842721</v>
      </c>
      <c r="AH33" s="10">
        <f t="shared" si="221"/>
        <v>3029.3610413837532</v>
      </c>
      <c r="AI33">
        <v>3038.7050794832339</v>
      </c>
      <c r="AJ33" s="10">
        <f t="shared" ref="AJ33:AM33" si="222">AI33+(($AN33-$AI33)/5)</f>
        <v>3034.1569671762099</v>
      </c>
      <c r="AK33" s="10">
        <f t="shared" si="222"/>
        <v>3029.608854869186</v>
      </c>
      <c r="AL33" s="10">
        <f t="shared" si="222"/>
        <v>3025.060742562162</v>
      </c>
      <c r="AM33" s="10">
        <f t="shared" si="222"/>
        <v>3020.512630255138</v>
      </c>
      <c r="AN33">
        <v>3015.9645179481136</v>
      </c>
      <c r="AO33" s="10">
        <f t="shared" ref="AO33:AX33" si="223">AN33</f>
        <v>3015.9645179481136</v>
      </c>
      <c r="AP33" s="10">
        <f t="shared" si="223"/>
        <v>3015.9645179481136</v>
      </c>
      <c r="AQ33" s="10">
        <f t="shared" si="223"/>
        <v>3015.9645179481136</v>
      </c>
      <c r="AR33" s="10">
        <f t="shared" si="223"/>
        <v>3015.9645179481136</v>
      </c>
      <c r="AS33" s="10">
        <f t="shared" si="223"/>
        <v>3015.9645179481136</v>
      </c>
      <c r="AT33" s="10">
        <f t="shared" si="223"/>
        <v>3015.9645179481136</v>
      </c>
      <c r="AU33" s="10">
        <f t="shared" si="223"/>
        <v>3015.9645179481136</v>
      </c>
      <c r="AV33" s="10">
        <f t="shared" si="223"/>
        <v>3015.9645179481136</v>
      </c>
      <c r="AW33" s="10">
        <f t="shared" si="223"/>
        <v>3015.9645179481136</v>
      </c>
      <c r="AX33" s="10">
        <f t="shared" si="223"/>
        <v>3015.9645179481136</v>
      </c>
    </row>
    <row r="34" spans="1:50" x14ac:dyDescent="0.3">
      <c r="A34" t="s">
        <v>1407</v>
      </c>
      <c r="B34" t="s">
        <v>1439</v>
      </c>
      <c r="C34">
        <v>2587.83</v>
      </c>
      <c r="D34">
        <v>2226.2610000000004</v>
      </c>
      <c r="E34">
        <v>1960.2190864387853</v>
      </c>
      <c r="F34" s="10">
        <f t="shared" ref="F34:I34" si="224">E34+(($J34-$E34)/5)</f>
        <v>1919.3670422815446</v>
      </c>
      <c r="G34" s="10">
        <f t="shared" si="224"/>
        <v>1878.5149981243039</v>
      </c>
      <c r="H34" s="10">
        <f t="shared" si="224"/>
        <v>1837.6629539670632</v>
      </c>
      <c r="I34" s="10">
        <f t="shared" si="224"/>
        <v>1796.8109098098225</v>
      </c>
      <c r="J34">
        <v>1755.9588656525816</v>
      </c>
      <c r="K34" s="10">
        <f t="shared" ref="K34:N34" si="225">J34+(($O34-$J34)/5)</f>
        <v>1821.5036794952007</v>
      </c>
      <c r="L34" s="10">
        <f t="shared" si="225"/>
        <v>1887.0484933378198</v>
      </c>
      <c r="M34" s="10">
        <f t="shared" si="225"/>
        <v>1952.5933071804388</v>
      </c>
      <c r="N34" s="10">
        <f t="shared" si="225"/>
        <v>2018.1381210230579</v>
      </c>
      <c r="O34">
        <v>2083.682934865677</v>
      </c>
      <c r="P34" s="10">
        <f t="shared" ref="P34:S34" si="226">O34+(($T34-$O34)/5)</f>
        <v>2069.6695463309788</v>
      </c>
      <c r="Q34" s="10">
        <f t="shared" si="226"/>
        <v>2055.6561577962802</v>
      </c>
      <c r="R34" s="10">
        <f t="shared" si="226"/>
        <v>2041.6427692615819</v>
      </c>
      <c r="S34" s="10">
        <f t="shared" si="226"/>
        <v>2027.6293807268835</v>
      </c>
      <c r="T34">
        <v>2013.6159921921851</v>
      </c>
      <c r="U34" s="10">
        <f t="shared" ref="U34:X34" si="227">T34+(($Y34-$T34)/5)</f>
        <v>2000.3621436358769</v>
      </c>
      <c r="V34" s="10">
        <f t="shared" si="227"/>
        <v>1987.1082950795687</v>
      </c>
      <c r="W34" s="10">
        <f t="shared" si="227"/>
        <v>1973.8544465232605</v>
      </c>
      <c r="X34" s="10">
        <f t="shared" si="227"/>
        <v>1960.6005979669524</v>
      </c>
      <c r="Y34">
        <v>1947.3467494106437</v>
      </c>
      <c r="Z34" s="10">
        <f t="shared" ref="Z34:AC34" si="228">Y34+(($AD34-$Y34)/5)</f>
        <v>1939.4544056371078</v>
      </c>
      <c r="AA34" s="10">
        <f t="shared" si="228"/>
        <v>1931.5620618635719</v>
      </c>
      <c r="AB34" s="10">
        <f t="shared" si="228"/>
        <v>1923.669718090036</v>
      </c>
      <c r="AC34" s="10">
        <f t="shared" si="228"/>
        <v>1915.7773743165001</v>
      </c>
      <c r="AD34">
        <v>1907.8850305429639</v>
      </c>
      <c r="AE34" s="10">
        <f t="shared" ref="AE34:AH34" si="229">AD34+(($AI34-$AD34)/5)</f>
        <v>1911.9636075157312</v>
      </c>
      <c r="AF34" s="10">
        <f t="shared" si="229"/>
        <v>1916.0421844884984</v>
      </c>
      <c r="AG34" s="10">
        <f t="shared" si="229"/>
        <v>1920.1207614612656</v>
      </c>
      <c r="AH34" s="10">
        <f t="shared" si="229"/>
        <v>1924.1993384340328</v>
      </c>
      <c r="AI34">
        <v>1928.2779154067996</v>
      </c>
      <c r="AJ34" s="10">
        <f t="shared" ref="AJ34:AM34" si="230">AI34+(($AN34-$AI34)/5)</f>
        <v>1920.199100057614</v>
      </c>
      <c r="AK34" s="10">
        <f t="shared" si="230"/>
        <v>1912.1202847084285</v>
      </c>
      <c r="AL34" s="10">
        <f t="shared" si="230"/>
        <v>1904.0414693592429</v>
      </c>
      <c r="AM34" s="10">
        <f t="shared" si="230"/>
        <v>1895.9626540100573</v>
      </c>
      <c r="AN34">
        <v>1887.8838386608722</v>
      </c>
      <c r="AO34" s="10">
        <f t="shared" ref="AO34:AX34" si="231">AN34</f>
        <v>1887.8838386608722</v>
      </c>
      <c r="AP34" s="10">
        <f t="shared" si="231"/>
        <v>1887.8838386608722</v>
      </c>
      <c r="AQ34" s="10">
        <f t="shared" si="231"/>
        <v>1887.8838386608722</v>
      </c>
      <c r="AR34" s="10">
        <f t="shared" si="231"/>
        <v>1887.8838386608722</v>
      </c>
      <c r="AS34" s="10">
        <f t="shared" si="231"/>
        <v>1887.8838386608722</v>
      </c>
      <c r="AT34" s="10">
        <f t="shared" si="231"/>
        <v>1887.8838386608722</v>
      </c>
      <c r="AU34" s="10">
        <f t="shared" si="231"/>
        <v>1887.8838386608722</v>
      </c>
      <c r="AV34" s="10">
        <f t="shared" si="231"/>
        <v>1887.8838386608722</v>
      </c>
      <c r="AW34" s="10">
        <f t="shared" si="231"/>
        <v>1887.8838386608722</v>
      </c>
      <c r="AX34" s="10">
        <f t="shared" si="231"/>
        <v>1887.8838386608722</v>
      </c>
    </row>
    <row r="35" spans="1:50" x14ac:dyDescent="0.3">
      <c r="A35" t="s">
        <v>1407</v>
      </c>
      <c r="B35" t="s">
        <v>1435</v>
      </c>
      <c r="C35">
        <v>1580.4489999999996</v>
      </c>
      <c r="D35">
        <v>1245.221</v>
      </c>
      <c r="E35">
        <v>1166.342697800309</v>
      </c>
      <c r="F35" s="10">
        <f t="shared" ref="F35:I35" si="232">E35+(($J35-$E35)/5)</f>
        <v>1140.633769568122</v>
      </c>
      <c r="G35" s="10">
        <f t="shared" si="232"/>
        <v>1114.9248413359351</v>
      </c>
      <c r="H35" s="10">
        <f t="shared" si="232"/>
        <v>1089.2159131037481</v>
      </c>
      <c r="I35" s="10">
        <f t="shared" si="232"/>
        <v>1063.5069848715611</v>
      </c>
      <c r="J35">
        <v>1037.798056639374</v>
      </c>
      <c r="K35" s="10">
        <f t="shared" ref="K35:N35" si="233">J35+(($O35-$J35)/5)</f>
        <v>1061.9527365804936</v>
      </c>
      <c r="L35" s="10">
        <f t="shared" si="233"/>
        <v>1086.1074165216132</v>
      </c>
      <c r="M35" s="10">
        <f t="shared" si="233"/>
        <v>1110.2620964627329</v>
      </c>
      <c r="N35" s="10">
        <f t="shared" si="233"/>
        <v>1134.4167764038525</v>
      </c>
      <c r="O35">
        <v>1158.5714563449724</v>
      </c>
      <c r="P35" s="10">
        <f t="shared" ref="P35:S35" si="234">O35+(($T35-$O35)/5)</f>
        <v>1125.1682052140325</v>
      </c>
      <c r="Q35" s="10">
        <f t="shared" si="234"/>
        <v>1091.7649540830926</v>
      </c>
      <c r="R35" s="10">
        <f t="shared" si="234"/>
        <v>1058.3617029521527</v>
      </c>
      <c r="S35" s="10">
        <f t="shared" si="234"/>
        <v>1024.9584518212127</v>
      </c>
      <c r="T35">
        <v>991.55520069027284</v>
      </c>
      <c r="U35" s="10">
        <f t="shared" ref="U35:X35" si="235">T35+(($Y35-$T35)/5)</f>
        <v>1008.2954052901082</v>
      </c>
      <c r="V35" s="10">
        <f t="shared" si="235"/>
        <v>1025.0356098899435</v>
      </c>
      <c r="W35" s="10">
        <f t="shared" si="235"/>
        <v>1041.7758144897789</v>
      </c>
      <c r="X35" s="10">
        <f t="shared" si="235"/>
        <v>1058.5160190896142</v>
      </c>
      <c r="Y35">
        <v>1075.2562236894498</v>
      </c>
      <c r="Z35" s="10">
        <f t="shared" ref="Z35:AC35" si="236">Y35+(($AD35-$Y35)/5)</f>
        <v>1077.0249506401328</v>
      </c>
      <c r="AA35" s="10">
        <f t="shared" si="236"/>
        <v>1078.7936775908158</v>
      </c>
      <c r="AB35" s="10">
        <f t="shared" si="236"/>
        <v>1080.5624045414988</v>
      </c>
      <c r="AC35" s="10">
        <f t="shared" si="236"/>
        <v>1082.3311314921818</v>
      </c>
      <c r="AD35">
        <v>1084.0998584428646</v>
      </c>
      <c r="AE35" s="10">
        <f t="shared" ref="AE35:AH35" si="237">AD35+(($AI35-$AD35)/5)</f>
        <v>1089.3653195695786</v>
      </c>
      <c r="AF35" s="10">
        <f t="shared" si="237"/>
        <v>1094.6307806962925</v>
      </c>
      <c r="AG35" s="10">
        <f t="shared" si="237"/>
        <v>1099.8962418230064</v>
      </c>
      <c r="AH35" s="10">
        <f t="shared" si="237"/>
        <v>1105.1617029497204</v>
      </c>
      <c r="AI35">
        <v>1110.4271640764343</v>
      </c>
      <c r="AJ35" s="10">
        <f t="shared" ref="AJ35:AM35" si="238">AI35+(($AN35-$AI35)/5)</f>
        <v>1113.9578671185957</v>
      </c>
      <c r="AK35" s="10">
        <f t="shared" si="238"/>
        <v>1117.488570160757</v>
      </c>
      <c r="AL35" s="10">
        <f t="shared" si="238"/>
        <v>1121.0192732029184</v>
      </c>
      <c r="AM35" s="10">
        <f t="shared" si="238"/>
        <v>1124.5499762450797</v>
      </c>
      <c r="AN35">
        <v>1128.0806792872413</v>
      </c>
      <c r="AO35" s="10">
        <f t="shared" ref="AO35:AX35" si="239">AN35</f>
        <v>1128.0806792872413</v>
      </c>
      <c r="AP35" s="10">
        <f t="shared" si="239"/>
        <v>1128.0806792872413</v>
      </c>
      <c r="AQ35" s="10">
        <f t="shared" si="239"/>
        <v>1128.0806792872413</v>
      </c>
      <c r="AR35" s="10">
        <f t="shared" si="239"/>
        <v>1128.0806792872413</v>
      </c>
      <c r="AS35" s="10">
        <f t="shared" si="239"/>
        <v>1128.0806792872413</v>
      </c>
      <c r="AT35" s="10">
        <f t="shared" si="239"/>
        <v>1128.0806792872413</v>
      </c>
      <c r="AU35" s="10">
        <f t="shared" si="239"/>
        <v>1128.0806792872413</v>
      </c>
      <c r="AV35" s="10">
        <f t="shared" si="239"/>
        <v>1128.0806792872413</v>
      </c>
      <c r="AW35" s="10">
        <f t="shared" si="239"/>
        <v>1128.0806792872413</v>
      </c>
      <c r="AX35" s="10">
        <f t="shared" si="239"/>
        <v>1128.0806792872413</v>
      </c>
    </row>
    <row r="36" spans="1:50" x14ac:dyDescent="0.3">
      <c r="A36" t="s">
        <v>1408</v>
      </c>
      <c r="B36" t="s">
        <v>1434</v>
      </c>
      <c r="C36">
        <v>29973.131115817625</v>
      </c>
      <c r="D36">
        <v>20665.372848158608</v>
      </c>
      <c r="E36">
        <v>17409.847756328429</v>
      </c>
      <c r="F36" s="10">
        <f t="shared" ref="F36:I36" si="240">E36+(($J36-$E36)/5)</f>
        <v>17524.450030561686</v>
      </c>
      <c r="G36" s="10">
        <f t="shared" si="240"/>
        <v>17639.052304794943</v>
      </c>
      <c r="H36" s="10">
        <f t="shared" si="240"/>
        <v>17753.6545790282</v>
      </c>
      <c r="I36" s="10">
        <f t="shared" si="240"/>
        <v>17868.256853261457</v>
      </c>
      <c r="J36">
        <v>17982.859127494718</v>
      </c>
      <c r="K36" s="10">
        <f t="shared" ref="K36:N36" si="241">J36+(($O36-$J36)/5)</f>
        <v>18168.300537359959</v>
      </c>
      <c r="L36" s="10">
        <f t="shared" si="241"/>
        <v>18353.7419472252</v>
      </c>
      <c r="M36" s="10">
        <f t="shared" si="241"/>
        <v>18539.183357090442</v>
      </c>
      <c r="N36" s="10">
        <f t="shared" si="241"/>
        <v>18724.624766955683</v>
      </c>
      <c r="O36">
        <v>18910.066176820917</v>
      </c>
      <c r="P36" s="10">
        <f t="shared" ref="P36:S36" si="242">O36+(($T36-$O36)/5)</f>
        <v>18860.841985476251</v>
      </c>
      <c r="Q36" s="10">
        <f t="shared" si="242"/>
        <v>18811.617794131584</v>
      </c>
      <c r="R36" s="10">
        <f t="shared" si="242"/>
        <v>18762.393602786917</v>
      </c>
      <c r="S36" s="10">
        <f t="shared" si="242"/>
        <v>18713.16941144225</v>
      </c>
      <c r="T36">
        <v>18663.94522009759</v>
      </c>
      <c r="U36" s="10">
        <f t="shared" ref="U36:X36" si="243">T36+(($Y36-$T36)/5)</f>
        <v>18414.148615829734</v>
      </c>
      <c r="V36" s="10">
        <f t="shared" si="243"/>
        <v>18164.352011561878</v>
      </c>
      <c r="W36" s="10">
        <f t="shared" si="243"/>
        <v>17914.555407294021</v>
      </c>
      <c r="X36" s="10">
        <f t="shared" si="243"/>
        <v>17664.758803026165</v>
      </c>
      <c r="Y36">
        <v>17414.962198758309</v>
      </c>
      <c r="Z36" s="10">
        <f t="shared" ref="Z36:AC36" si="244">Y36+(($AD36-$Y36)/5)</f>
        <v>17324.332126758825</v>
      </c>
      <c r="AA36" s="10">
        <f t="shared" si="244"/>
        <v>17233.702054759342</v>
      </c>
      <c r="AB36" s="10">
        <f t="shared" si="244"/>
        <v>17143.071982759859</v>
      </c>
      <c r="AC36" s="10">
        <f t="shared" si="244"/>
        <v>17052.441910760375</v>
      </c>
      <c r="AD36">
        <v>16961.811838760888</v>
      </c>
      <c r="AE36" s="10">
        <f t="shared" ref="AE36:AH36" si="245">AD36+(($AI36-$AD36)/5)</f>
        <v>16972.90386542528</v>
      </c>
      <c r="AF36" s="10">
        <f t="shared" si="245"/>
        <v>16983.995892089672</v>
      </c>
      <c r="AG36" s="10">
        <f t="shared" si="245"/>
        <v>16995.087918754063</v>
      </c>
      <c r="AH36" s="10">
        <f t="shared" si="245"/>
        <v>17006.179945418455</v>
      </c>
      <c r="AI36">
        <v>17017.271972082843</v>
      </c>
      <c r="AJ36" s="10">
        <f t="shared" ref="AJ36:AM36" si="246">AI36+(($AN36-$AI36)/5)</f>
        <v>17099.319259254531</v>
      </c>
      <c r="AK36" s="10">
        <f t="shared" si="246"/>
        <v>17181.366546426219</v>
      </c>
      <c r="AL36" s="10">
        <f t="shared" si="246"/>
        <v>17263.413833597908</v>
      </c>
      <c r="AM36" s="10">
        <f t="shared" si="246"/>
        <v>17345.461120769596</v>
      </c>
      <c r="AN36">
        <v>17427.508407941292</v>
      </c>
      <c r="AO36" s="10">
        <f t="shared" ref="AO36:AX36" si="247">AN36</f>
        <v>17427.508407941292</v>
      </c>
      <c r="AP36" s="10">
        <f t="shared" si="247"/>
        <v>17427.508407941292</v>
      </c>
      <c r="AQ36" s="10">
        <f t="shared" si="247"/>
        <v>17427.508407941292</v>
      </c>
      <c r="AR36" s="10">
        <f t="shared" si="247"/>
        <v>17427.508407941292</v>
      </c>
      <c r="AS36" s="10">
        <f t="shared" si="247"/>
        <v>17427.508407941292</v>
      </c>
      <c r="AT36" s="10">
        <f t="shared" si="247"/>
        <v>17427.508407941292</v>
      </c>
      <c r="AU36" s="10">
        <f t="shared" si="247"/>
        <v>17427.508407941292</v>
      </c>
      <c r="AV36" s="10">
        <f t="shared" si="247"/>
        <v>17427.508407941292</v>
      </c>
      <c r="AW36" s="10">
        <f t="shared" si="247"/>
        <v>17427.508407941292</v>
      </c>
      <c r="AX36" s="10">
        <f t="shared" si="247"/>
        <v>17427.508407941292</v>
      </c>
    </row>
    <row r="37" spans="1:50" x14ac:dyDescent="0.3">
      <c r="A37" t="s">
        <v>1408</v>
      </c>
      <c r="B37" t="s">
        <v>1439</v>
      </c>
      <c r="C37">
        <v>19334.122115817619</v>
      </c>
      <c r="D37">
        <v>12598.669848158608</v>
      </c>
      <c r="E37">
        <v>10608.357360349981</v>
      </c>
      <c r="F37" s="10">
        <f t="shared" ref="F37:I37" si="248">E37+(($J37-$E37)/5)</f>
        <v>10696.048549256107</v>
      </c>
      <c r="G37" s="10">
        <f t="shared" si="248"/>
        <v>10783.739738162234</v>
      </c>
      <c r="H37" s="10">
        <f t="shared" si="248"/>
        <v>10871.430927068361</v>
      </c>
      <c r="I37" s="10">
        <f t="shared" si="248"/>
        <v>10959.122115974487</v>
      </c>
      <c r="J37">
        <v>11046.813304880612</v>
      </c>
      <c r="K37" s="10">
        <f t="shared" ref="K37:N37" si="249">J37+(($O37-$J37)/5)</f>
        <v>11134.385370639131</v>
      </c>
      <c r="L37" s="10">
        <f t="shared" si="249"/>
        <v>11221.95743639765</v>
      </c>
      <c r="M37" s="10">
        <f t="shared" si="249"/>
        <v>11309.529502156169</v>
      </c>
      <c r="N37" s="10">
        <f t="shared" si="249"/>
        <v>11397.101567914688</v>
      </c>
      <c r="O37">
        <v>11484.67363367321</v>
      </c>
      <c r="P37" s="10">
        <f t="shared" ref="P37:S37" si="250">O37+(($T37-$O37)/5)</f>
        <v>11443.56847396583</v>
      </c>
      <c r="Q37" s="10">
        <f t="shared" si="250"/>
        <v>11402.46331425845</v>
      </c>
      <c r="R37" s="10">
        <f t="shared" si="250"/>
        <v>11361.35815455107</v>
      </c>
      <c r="S37" s="10">
        <f t="shared" si="250"/>
        <v>11320.25299484369</v>
      </c>
      <c r="T37">
        <v>11279.147835136306</v>
      </c>
      <c r="U37" s="10">
        <f t="shared" ref="U37:X37" si="251">T37+(($Y37-$T37)/5)</f>
        <v>11088.717367214484</v>
      </c>
      <c r="V37" s="10">
        <f t="shared" si="251"/>
        <v>10898.286899292661</v>
      </c>
      <c r="W37" s="10">
        <f t="shared" si="251"/>
        <v>10707.856431370839</v>
      </c>
      <c r="X37" s="10">
        <f t="shared" si="251"/>
        <v>10517.425963449017</v>
      </c>
      <c r="Y37">
        <v>10326.995495527197</v>
      </c>
      <c r="Z37" s="10">
        <f t="shared" ref="Z37:AC37" si="252">Y37+(($AD37-$Y37)/5)</f>
        <v>10228.885464596706</v>
      </c>
      <c r="AA37" s="10">
        <f t="shared" si="252"/>
        <v>10130.775433666215</v>
      </c>
      <c r="AB37" s="10">
        <f t="shared" si="252"/>
        <v>10032.665402735724</v>
      </c>
      <c r="AC37" s="10">
        <f t="shared" si="252"/>
        <v>9934.5553718052324</v>
      </c>
      <c r="AD37">
        <v>9836.4453408747413</v>
      </c>
      <c r="AE37" s="10">
        <f t="shared" ref="AE37:AH37" si="253">AD37+(($AI37-$AD37)/5)</f>
        <v>9811.9571244865256</v>
      </c>
      <c r="AF37" s="10">
        <f t="shared" si="253"/>
        <v>9787.4689080983098</v>
      </c>
      <c r="AG37" s="10">
        <f t="shared" si="253"/>
        <v>9762.9806917100941</v>
      </c>
      <c r="AH37" s="10">
        <f t="shared" si="253"/>
        <v>9738.4924753218784</v>
      </c>
      <c r="AI37">
        <v>9714.0042589336663</v>
      </c>
      <c r="AJ37" s="10">
        <f t="shared" ref="AJ37:AM37" si="254">AI37+(($AN37-$AI37)/5)</f>
        <v>9724.0123523425955</v>
      </c>
      <c r="AK37" s="10">
        <f t="shared" si="254"/>
        <v>9734.0204457515247</v>
      </c>
      <c r="AL37" s="10">
        <f t="shared" si="254"/>
        <v>9744.0285391604539</v>
      </c>
      <c r="AM37" s="10">
        <f t="shared" si="254"/>
        <v>9754.0366325693831</v>
      </c>
      <c r="AN37">
        <v>9764.0447259783105</v>
      </c>
      <c r="AO37" s="10">
        <f t="shared" ref="AO37:AX37" si="255">AN37</f>
        <v>9764.0447259783105</v>
      </c>
      <c r="AP37" s="10">
        <f t="shared" si="255"/>
        <v>9764.0447259783105</v>
      </c>
      <c r="AQ37" s="10">
        <f t="shared" si="255"/>
        <v>9764.0447259783105</v>
      </c>
      <c r="AR37" s="10">
        <f t="shared" si="255"/>
        <v>9764.0447259783105</v>
      </c>
      <c r="AS37" s="10">
        <f t="shared" si="255"/>
        <v>9764.0447259783105</v>
      </c>
      <c r="AT37" s="10">
        <f t="shared" si="255"/>
        <v>9764.0447259783105</v>
      </c>
      <c r="AU37" s="10">
        <f t="shared" si="255"/>
        <v>9764.0447259783105</v>
      </c>
      <c r="AV37" s="10">
        <f t="shared" si="255"/>
        <v>9764.0447259783105</v>
      </c>
      <c r="AW37" s="10">
        <f t="shared" si="255"/>
        <v>9764.0447259783105</v>
      </c>
      <c r="AX37" s="10">
        <f t="shared" si="255"/>
        <v>9764.0447259783105</v>
      </c>
    </row>
    <row r="38" spans="1:50" x14ac:dyDescent="0.3">
      <c r="A38" t="s">
        <v>1408</v>
      </c>
      <c r="B38" t="s">
        <v>1435</v>
      </c>
      <c r="C38">
        <v>10639.009000000005</v>
      </c>
      <c r="D38">
        <v>8066.7029999999995</v>
      </c>
      <c r="E38">
        <v>6801.4903959784479</v>
      </c>
      <c r="F38" s="10">
        <f t="shared" ref="F38:I38" si="256">E38+(($J38-$E38)/5)</f>
        <v>6828.4014813055792</v>
      </c>
      <c r="G38" s="10">
        <f t="shared" si="256"/>
        <v>6855.3125666327105</v>
      </c>
      <c r="H38" s="10">
        <f t="shared" si="256"/>
        <v>6882.2236519598418</v>
      </c>
      <c r="I38" s="10">
        <f t="shared" si="256"/>
        <v>6909.1347372869732</v>
      </c>
      <c r="J38">
        <v>6936.0458226141054</v>
      </c>
      <c r="K38" s="10">
        <f t="shared" ref="K38:N38" si="257">J38+(($O38-$J38)/5)</f>
        <v>7033.9151667208262</v>
      </c>
      <c r="L38" s="10">
        <f t="shared" si="257"/>
        <v>7131.7845108275469</v>
      </c>
      <c r="M38" s="10">
        <f t="shared" si="257"/>
        <v>7229.6538549342677</v>
      </c>
      <c r="N38" s="10">
        <f t="shared" si="257"/>
        <v>7327.5231990409884</v>
      </c>
      <c r="O38">
        <v>7425.3925431477073</v>
      </c>
      <c r="P38" s="10">
        <f t="shared" ref="P38:S38" si="258">O38+(($T38-$O38)/5)</f>
        <v>7417.2735115104224</v>
      </c>
      <c r="Q38" s="10">
        <f t="shared" si="258"/>
        <v>7409.1544798731375</v>
      </c>
      <c r="R38" s="10">
        <f t="shared" si="258"/>
        <v>7401.0354482358525</v>
      </c>
      <c r="S38" s="10">
        <f t="shared" si="258"/>
        <v>7392.9164165985676</v>
      </c>
      <c r="T38">
        <v>7384.7973849612845</v>
      </c>
      <c r="U38" s="10">
        <f t="shared" ref="U38:X38" si="259">T38+(($Y38-$T38)/5)</f>
        <v>7325.4312486152503</v>
      </c>
      <c r="V38" s="10">
        <f t="shared" si="259"/>
        <v>7266.0651122692161</v>
      </c>
      <c r="W38" s="10">
        <f t="shared" si="259"/>
        <v>7206.6989759231819</v>
      </c>
      <c r="X38" s="10">
        <f t="shared" si="259"/>
        <v>7147.3328395771478</v>
      </c>
      <c r="Y38">
        <v>7087.9667032311118</v>
      </c>
      <c r="Z38" s="10">
        <f t="shared" ref="Z38:AC38" si="260">Y38+(($AD38-$Y38)/5)</f>
        <v>7095.4466621621186</v>
      </c>
      <c r="AA38" s="10">
        <f t="shared" si="260"/>
        <v>7102.9266210931255</v>
      </c>
      <c r="AB38" s="10">
        <f t="shared" si="260"/>
        <v>7110.4065800241324</v>
      </c>
      <c r="AC38" s="10">
        <f t="shared" si="260"/>
        <v>7117.8865389551393</v>
      </c>
      <c r="AD38">
        <v>7125.366497886147</v>
      </c>
      <c r="AE38" s="10">
        <f t="shared" ref="AE38:AH38" si="261">AD38+(($AI38-$AD38)/5)</f>
        <v>7160.9467409387526</v>
      </c>
      <c r="AF38" s="10">
        <f t="shared" si="261"/>
        <v>7196.5269839913581</v>
      </c>
      <c r="AG38" s="10">
        <f t="shared" si="261"/>
        <v>7232.1072270439636</v>
      </c>
      <c r="AH38" s="10">
        <f t="shared" si="261"/>
        <v>7267.6874700965691</v>
      </c>
      <c r="AI38">
        <v>7303.2677131491764</v>
      </c>
      <c r="AJ38" s="10">
        <f t="shared" ref="AJ38:AM38" si="262">AI38+(($AN38-$AI38)/5)</f>
        <v>7375.3069069119374</v>
      </c>
      <c r="AK38" s="10">
        <f t="shared" si="262"/>
        <v>7447.3461006746984</v>
      </c>
      <c r="AL38" s="10">
        <f t="shared" si="262"/>
        <v>7519.3852944374594</v>
      </c>
      <c r="AM38" s="10">
        <f t="shared" si="262"/>
        <v>7591.4244882002204</v>
      </c>
      <c r="AN38">
        <v>7663.4636819629814</v>
      </c>
      <c r="AO38" s="10">
        <f t="shared" ref="AO38:AX38" si="263">AN38</f>
        <v>7663.4636819629814</v>
      </c>
      <c r="AP38" s="10">
        <f t="shared" si="263"/>
        <v>7663.4636819629814</v>
      </c>
      <c r="AQ38" s="10">
        <f t="shared" si="263"/>
        <v>7663.4636819629814</v>
      </c>
      <c r="AR38" s="10">
        <f t="shared" si="263"/>
        <v>7663.4636819629814</v>
      </c>
      <c r="AS38" s="10">
        <f t="shared" si="263"/>
        <v>7663.4636819629814</v>
      </c>
      <c r="AT38" s="10">
        <f t="shared" si="263"/>
        <v>7663.4636819629814</v>
      </c>
      <c r="AU38" s="10">
        <f t="shared" si="263"/>
        <v>7663.4636819629814</v>
      </c>
      <c r="AV38" s="10">
        <f t="shared" si="263"/>
        <v>7663.4636819629814</v>
      </c>
      <c r="AW38" s="10">
        <f t="shared" si="263"/>
        <v>7663.4636819629814</v>
      </c>
      <c r="AX38" s="10">
        <f t="shared" si="263"/>
        <v>7663.4636819629814</v>
      </c>
    </row>
    <row r="39" spans="1:50" x14ac:dyDescent="0.3">
      <c r="A39" t="s">
        <v>1409</v>
      </c>
      <c r="B39" t="s">
        <v>1434</v>
      </c>
      <c r="C39">
        <v>11143.373266666667</v>
      </c>
      <c r="D39">
        <v>10718.521500000001</v>
      </c>
      <c r="E39">
        <v>10046.596504948136</v>
      </c>
      <c r="F39" s="10">
        <f t="shared" ref="F39:I39" si="264">E39+(($J39-$E39)/5)</f>
        <v>10034.525965835244</v>
      </c>
      <c r="G39" s="10">
        <f t="shared" si="264"/>
        <v>10022.455426722352</v>
      </c>
      <c r="H39" s="10">
        <f t="shared" si="264"/>
        <v>10010.38488760946</v>
      </c>
      <c r="I39" s="10">
        <f t="shared" si="264"/>
        <v>9998.3143484965676</v>
      </c>
      <c r="J39">
        <v>9986.2438093836718</v>
      </c>
      <c r="K39" s="10">
        <f t="shared" ref="K39:N39" si="265">J39+(($O39-$J39)/5)</f>
        <v>10066.25048990126</v>
      </c>
      <c r="L39" s="10">
        <f t="shared" si="265"/>
        <v>10146.257170418849</v>
      </c>
      <c r="M39" s="10">
        <f t="shared" si="265"/>
        <v>10226.263850936437</v>
      </c>
      <c r="N39" s="10">
        <f t="shared" si="265"/>
        <v>10306.270531454025</v>
      </c>
      <c r="O39">
        <v>10386.277211971614</v>
      </c>
      <c r="P39" s="10">
        <f t="shared" ref="P39:S39" si="266">O39+(($T39-$O39)/5)</f>
        <v>10448.059694935459</v>
      </c>
      <c r="Q39" s="10">
        <f t="shared" si="266"/>
        <v>10509.842177899303</v>
      </c>
      <c r="R39" s="10">
        <f t="shared" si="266"/>
        <v>10571.624660863148</v>
      </c>
      <c r="S39" s="10">
        <f t="shared" si="266"/>
        <v>10633.407143826993</v>
      </c>
      <c r="T39">
        <v>10695.189626790838</v>
      </c>
      <c r="U39" s="10">
        <f t="shared" ref="U39:X39" si="267">T39+(($Y39-$T39)/5)</f>
        <v>10584.871101991188</v>
      </c>
      <c r="V39" s="10">
        <f t="shared" si="267"/>
        <v>10474.552577191538</v>
      </c>
      <c r="W39" s="10">
        <f t="shared" si="267"/>
        <v>10364.234052391888</v>
      </c>
      <c r="X39" s="10">
        <f t="shared" si="267"/>
        <v>10253.915527592239</v>
      </c>
      <c r="Y39">
        <v>10143.597002792591</v>
      </c>
      <c r="Z39" s="10">
        <f t="shared" ref="Z39:AC39" si="268">Y39+(($AD39-$Y39)/5)</f>
        <v>10073.836450657285</v>
      </c>
      <c r="AA39" s="10">
        <f t="shared" si="268"/>
        <v>10004.07589852198</v>
      </c>
      <c r="AB39" s="10">
        <f t="shared" si="268"/>
        <v>9934.3153463866747</v>
      </c>
      <c r="AC39" s="10">
        <f t="shared" si="268"/>
        <v>9864.5547942513695</v>
      </c>
      <c r="AD39">
        <v>9794.7942421160678</v>
      </c>
      <c r="AE39" s="10">
        <f t="shared" ref="AE39:AH39" si="269">AD39+(($AI39-$AD39)/5)</f>
        <v>9786.1888506832838</v>
      </c>
      <c r="AF39" s="10">
        <f t="shared" si="269"/>
        <v>9777.5834592504998</v>
      </c>
      <c r="AG39" s="10">
        <f t="shared" si="269"/>
        <v>9768.9780678177158</v>
      </c>
      <c r="AH39" s="10">
        <f t="shared" si="269"/>
        <v>9760.3726763849318</v>
      </c>
      <c r="AI39">
        <v>9751.7672849521496</v>
      </c>
      <c r="AJ39" s="10">
        <f t="shared" ref="AJ39:AM39" si="270">AI39+(($AN39-$AI39)/5)</f>
        <v>9779.0822537540407</v>
      </c>
      <c r="AK39" s="10">
        <f t="shared" si="270"/>
        <v>9806.3972225559319</v>
      </c>
      <c r="AL39" s="10">
        <f t="shared" si="270"/>
        <v>9833.712191357823</v>
      </c>
      <c r="AM39" s="10">
        <f t="shared" si="270"/>
        <v>9861.0271601597142</v>
      </c>
      <c r="AN39">
        <v>9888.3421289616053</v>
      </c>
      <c r="AO39" s="10">
        <f t="shared" ref="AO39:AX39" si="271">AN39</f>
        <v>9888.3421289616053</v>
      </c>
      <c r="AP39" s="10">
        <f t="shared" si="271"/>
        <v>9888.3421289616053</v>
      </c>
      <c r="AQ39" s="10">
        <f t="shared" si="271"/>
        <v>9888.3421289616053</v>
      </c>
      <c r="AR39" s="10">
        <f t="shared" si="271"/>
        <v>9888.3421289616053</v>
      </c>
      <c r="AS39" s="10">
        <f t="shared" si="271"/>
        <v>9888.3421289616053</v>
      </c>
      <c r="AT39" s="10">
        <f t="shared" si="271"/>
        <v>9888.3421289616053</v>
      </c>
      <c r="AU39" s="10">
        <f t="shared" si="271"/>
        <v>9888.3421289616053</v>
      </c>
      <c r="AV39" s="10">
        <f t="shared" si="271"/>
        <v>9888.3421289616053</v>
      </c>
      <c r="AW39" s="10">
        <f t="shared" si="271"/>
        <v>9888.3421289616053</v>
      </c>
      <c r="AX39" s="10">
        <f t="shared" si="271"/>
        <v>9888.3421289616053</v>
      </c>
    </row>
    <row r="40" spans="1:50" x14ac:dyDescent="0.3">
      <c r="A40" t="s">
        <v>1409</v>
      </c>
      <c r="B40" t="s">
        <v>1439</v>
      </c>
      <c r="C40">
        <v>7888.7672666666676</v>
      </c>
      <c r="D40">
        <v>8432.2475000000013</v>
      </c>
      <c r="E40">
        <v>8007.1835049474903</v>
      </c>
      <c r="F40" s="10">
        <f t="shared" ref="F40:I40" si="272">E40+(($J40-$E40)/5)</f>
        <v>8007.5742320209811</v>
      </c>
      <c r="G40" s="10">
        <f t="shared" si="272"/>
        <v>8007.9649590944719</v>
      </c>
      <c r="H40" s="10">
        <f t="shared" si="272"/>
        <v>8008.3556861679626</v>
      </c>
      <c r="I40" s="10">
        <f t="shared" si="272"/>
        <v>8008.7464132414534</v>
      </c>
      <c r="J40">
        <v>8009.1371403149424</v>
      </c>
      <c r="K40" s="10">
        <f t="shared" ref="K40:N40" si="273">J40+(($O40-$J40)/5)</f>
        <v>8032.4993999394519</v>
      </c>
      <c r="L40" s="10">
        <f t="shared" si="273"/>
        <v>8055.8616595639614</v>
      </c>
      <c r="M40" s="10">
        <f t="shared" si="273"/>
        <v>8079.223919188471</v>
      </c>
      <c r="N40" s="10">
        <f t="shared" si="273"/>
        <v>8102.5861788129805</v>
      </c>
      <c r="O40">
        <v>8125.9484384374882</v>
      </c>
      <c r="P40" s="10">
        <f t="shared" ref="P40:S40" si="274">O40+(($T40-$O40)/5)</f>
        <v>8141.9767162412363</v>
      </c>
      <c r="Q40" s="10">
        <f t="shared" si="274"/>
        <v>8158.0049940449844</v>
      </c>
      <c r="R40" s="10">
        <f t="shared" si="274"/>
        <v>8174.0332718487325</v>
      </c>
      <c r="S40" s="10">
        <f t="shared" si="274"/>
        <v>8190.0615496524806</v>
      </c>
      <c r="T40">
        <v>8206.0898274562278</v>
      </c>
      <c r="U40" s="10">
        <f t="shared" ref="U40:X40" si="275">T40+(($Y40-$T40)/5)</f>
        <v>8118.6978385227048</v>
      </c>
      <c r="V40" s="10">
        <f t="shared" si="275"/>
        <v>8031.3058495891819</v>
      </c>
      <c r="W40" s="10">
        <f t="shared" si="275"/>
        <v>7943.9138606556589</v>
      </c>
      <c r="X40" s="10">
        <f t="shared" si="275"/>
        <v>7856.521871722136</v>
      </c>
      <c r="Y40">
        <v>7769.1298827886121</v>
      </c>
      <c r="Z40" s="10">
        <f t="shared" ref="Z40:AC40" si="276">Y40+(($AD40-$Y40)/5)</f>
        <v>7690.2793368998728</v>
      </c>
      <c r="AA40" s="10">
        <f t="shared" si="276"/>
        <v>7611.4287910111334</v>
      </c>
      <c r="AB40" s="10">
        <f t="shared" si="276"/>
        <v>7532.578245122394</v>
      </c>
      <c r="AC40" s="10">
        <f t="shared" si="276"/>
        <v>7453.7276992336547</v>
      </c>
      <c r="AD40">
        <v>7374.8771533449162</v>
      </c>
      <c r="AE40" s="10">
        <f t="shared" ref="AE40:AH40" si="277">AD40+(($AI40-$AD40)/5)</f>
        <v>7347.945540356126</v>
      </c>
      <c r="AF40" s="10">
        <f t="shared" si="277"/>
        <v>7321.0139273673358</v>
      </c>
      <c r="AG40" s="10">
        <f t="shared" si="277"/>
        <v>7294.0823143785456</v>
      </c>
      <c r="AH40" s="10">
        <f t="shared" si="277"/>
        <v>7267.1507013897553</v>
      </c>
      <c r="AI40">
        <v>7240.2190884009669</v>
      </c>
      <c r="AJ40" s="10">
        <f t="shared" ref="AJ40:AM40" si="278">AI40+(($AN40-$AI40)/5)</f>
        <v>7244.8634969853774</v>
      </c>
      <c r="AK40" s="10">
        <f t="shared" si="278"/>
        <v>7249.5079055697879</v>
      </c>
      <c r="AL40" s="10">
        <f t="shared" si="278"/>
        <v>7254.1523141541984</v>
      </c>
      <c r="AM40" s="10">
        <f t="shared" si="278"/>
        <v>7258.7967227386089</v>
      </c>
      <c r="AN40">
        <v>7263.4411313230175</v>
      </c>
      <c r="AO40" s="10">
        <f t="shared" ref="AO40:AX40" si="279">AN40</f>
        <v>7263.4411313230175</v>
      </c>
      <c r="AP40" s="10">
        <f t="shared" si="279"/>
        <v>7263.4411313230175</v>
      </c>
      <c r="AQ40" s="10">
        <f t="shared" si="279"/>
        <v>7263.4411313230175</v>
      </c>
      <c r="AR40" s="10">
        <f t="shared" si="279"/>
        <v>7263.4411313230175</v>
      </c>
      <c r="AS40" s="10">
        <f t="shared" si="279"/>
        <v>7263.4411313230175</v>
      </c>
      <c r="AT40" s="10">
        <f t="shared" si="279"/>
        <v>7263.4411313230175</v>
      </c>
      <c r="AU40" s="10">
        <f t="shared" si="279"/>
        <v>7263.4411313230175</v>
      </c>
      <c r="AV40" s="10">
        <f t="shared" si="279"/>
        <v>7263.4411313230175</v>
      </c>
      <c r="AW40" s="10">
        <f t="shared" si="279"/>
        <v>7263.4411313230175</v>
      </c>
      <c r="AX40" s="10">
        <f t="shared" si="279"/>
        <v>7263.4411313230175</v>
      </c>
    </row>
    <row r="41" spans="1:50" x14ac:dyDescent="0.3">
      <c r="A41" t="s">
        <v>1409</v>
      </c>
      <c r="B41" t="s">
        <v>1435</v>
      </c>
      <c r="C41">
        <v>3254.6059999999998</v>
      </c>
      <c r="D41">
        <v>2286.2739999999994</v>
      </c>
      <c r="E41">
        <v>2039.4130000006462</v>
      </c>
      <c r="F41" s="10">
        <f t="shared" ref="F41:I41" si="280">E41+(($J41-$E41)/5)</f>
        <v>2026.9517338142628</v>
      </c>
      <c r="G41" s="10">
        <f t="shared" si="280"/>
        <v>2014.4904676278793</v>
      </c>
      <c r="H41" s="10">
        <f t="shared" si="280"/>
        <v>2002.0292014414958</v>
      </c>
      <c r="I41" s="10">
        <f t="shared" si="280"/>
        <v>1989.5679352551124</v>
      </c>
      <c r="J41">
        <v>1977.1066690687294</v>
      </c>
      <c r="K41" s="10">
        <f t="shared" ref="K41:N41" si="281">J41+(($O41-$J41)/5)</f>
        <v>2033.7510899618087</v>
      </c>
      <c r="L41" s="10">
        <f t="shared" si="281"/>
        <v>2090.395510854888</v>
      </c>
      <c r="M41" s="10">
        <f t="shared" si="281"/>
        <v>2147.0399317479673</v>
      </c>
      <c r="N41" s="10">
        <f t="shared" si="281"/>
        <v>2203.6843526410466</v>
      </c>
      <c r="O41">
        <v>2260.3287735341255</v>
      </c>
      <c r="P41" s="10">
        <f t="shared" ref="P41:S41" si="282">O41+(($T41-$O41)/5)</f>
        <v>2306.0829786942222</v>
      </c>
      <c r="Q41" s="10">
        <f t="shared" si="282"/>
        <v>2351.8371838543189</v>
      </c>
      <c r="R41" s="10">
        <f t="shared" si="282"/>
        <v>2397.5913890144157</v>
      </c>
      <c r="S41" s="10">
        <f t="shared" si="282"/>
        <v>2443.3455941745124</v>
      </c>
      <c r="T41">
        <v>2489.09979933461</v>
      </c>
      <c r="U41" s="10">
        <f t="shared" ref="U41:X41" si="283">T41+(($Y41-$T41)/5)</f>
        <v>2466.1732634684836</v>
      </c>
      <c r="V41" s="10">
        <f t="shared" si="283"/>
        <v>2443.2467276023572</v>
      </c>
      <c r="W41" s="10">
        <f t="shared" si="283"/>
        <v>2420.3201917362308</v>
      </c>
      <c r="X41" s="10">
        <f t="shared" si="283"/>
        <v>2397.3936558701043</v>
      </c>
      <c r="Y41">
        <v>2374.4671200039784</v>
      </c>
      <c r="Z41" s="10">
        <f t="shared" ref="Z41:AC41" si="284">Y41+(($AD41-$Y41)/5)</f>
        <v>2383.5571137574129</v>
      </c>
      <c r="AA41" s="10">
        <f t="shared" si="284"/>
        <v>2392.6471075108475</v>
      </c>
      <c r="AB41" s="10">
        <f t="shared" si="284"/>
        <v>2401.737101264282</v>
      </c>
      <c r="AC41" s="10">
        <f t="shared" si="284"/>
        <v>2410.8270950177166</v>
      </c>
      <c r="AD41">
        <v>2419.9170887711516</v>
      </c>
      <c r="AE41" s="10">
        <f t="shared" ref="AE41:AH41" si="285">AD41+(($AI41-$AD41)/5)</f>
        <v>2438.2433103271578</v>
      </c>
      <c r="AF41" s="10">
        <f t="shared" si="285"/>
        <v>2456.569531883164</v>
      </c>
      <c r="AG41" s="10">
        <f t="shared" si="285"/>
        <v>2474.8957534391702</v>
      </c>
      <c r="AH41" s="10">
        <f t="shared" si="285"/>
        <v>2493.2219749951764</v>
      </c>
      <c r="AI41">
        <v>2511.5481965511826</v>
      </c>
      <c r="AJ41" s="10">
        <f t="shared" ref="AJ41:AM41" si="286">AI41+(($AN41-$AI41)/5)</f>
        <v>2534.2187567686638</v>
      </c>
      <c r="AK41" s="10">
        <f t="shared" si="286"/>
        <v>2556.8893169861449</v>
      </c>
      <c r="AL41" s="10">
        <f t="shared" si="286"/>
        <v>2579.559877203626</v>
      </c>
      <c r="AM41" s="10">
        <f t="shared" si="286"/>
        <v>2602.2304374211071</v>
      </c>
      <c r="AN41">
        <v>2624.9009976385878</v>
      </c>
      <c r="AO41" s="10">
        <f t="shared" ref="AO41:AX41" si="287">AN41</f>
        <v>2624.9009976385878</v>
      </c>
      <c r="AP41" s="10">
        <f t="shared" si="287"/>
        <v>2624.9009976385878</v>
      </c>
      <c r="AQ41" s="10">
        <f t="shared" si="287"/>
        <v>2624.9009976385878</v>
      </c>
      <c r="AR41" s="10">
        <f t="shared" si="287"/>
        <v>2624.9009976385878</v>
      </c>
      <c r="AS41" s="10">
        <f t="shared" si="287"/>
        <v>2624.9009976385878</v>
      </c>
      <c r="AT41" s="10">
        <f t="shared" si="287"/>
        <v>2624.9009976385878</v>
      </c>
      <c r="AU41" s="10">
        <f t="shared" si="287"/>
        <v>2624.9009976385878</v>
      </c>
      <c r="AV41" s="10">
        <f t="shared" si="287"/>
        <v>2624.9009976385878</v>
      </c>
      <c r="AW41" s="10">
        <f t="shared" si="287"/>
        <v>2624.9009976385878</v>
      </c>
      <c r="AX41" s="10">
        <f t="shared" si="287"/>
        <v>2624.9009976385878</v>
      </c>
    </row>
    <row r="42" spans="1:50" x14ac:dyDescent="0.3">
      <c r="A42" t="s">
        <v>1410</v>
      </c>
      <c r="B42" t="s">
        <v>1434</v>
      </c>
      <c r="C42">
        <v>32516.527999999998</v>
      </c>
      <c r="D42">
        <v>27739.021000000001</v>
      </c>
      <c r="E42">
        <v>26129.661170652125</v>
      </c>
      <c r="F42" s="10">
        <f t="shared" ref="F42:I42" si="288">E42+(($J42-$E42)/5)</f>
        <v>25830.099898282904</v>
      </c>
      <c r="G42" s="10">
        <f t="shared" si="288"/>
        <v>25530.538625913683</v>
      </c>
      <c r="H42" s="10">
        <f t="shared" si="288"/>
        <v>25230.977353544462</v>
      </c>
      <c r="I42" s="10">
        <f t="shared" si="288"/>
        <v>24931.416081175241</v>
      </c>
      <c r="J42">
        <v>24631.854808806012</v>
      </c>
      <c r="K42" s="10">
        <f t="shared" ref="K42:N42" si="289">J42+(($O42-$J42)/5)</f>
        <v>24586.054415705679</v>
      </c>
      <c r="L42" s="10">
        <f t="shared" si="289"/>
        <v>24540.254022605346</v>
      </c>
      <c r="M42" s="10">
        <f t="shared" si="289"/>
        <v>24494.453629505013</v>
      </c>
      <c r="N42" s="10">
        <f t="shared" si="289"/>
        <v>24448.65323640468</v>
      </c>
      <c r="O42">
        <v>24402.852843304347</v>
      </c>
      <c r="P42" s="10">
        <f t="shared" ref="P42:S42" si="290">O42+(($T42-$O42)/5)</f>
        <v>23976.007030010209</v>
      </c>
      <c r="Q42" s="10">
        <f t="shared" si="290"/>
        <v>23549.161216716071</v>
      </c>
      <c r="R42" s="10">
        <f t="shared" si="290"/>
        <v>23122.315403421933</v>
      </c>
      <c r="S42" s="10">
        <f t="shared" si="290"/>
        <v>22695.469590127796</v>
      </c>
      <c r="T42">
        <v>22268.623776833654</v>
      </c>
      <c r="U42" s="10">
        <f t="shared" ref="U42:X42" si="291">T42+(($Y42-$T42)/5)</f>
        <v>22293.032457269208</v>
      </c>
      <c r="V42" s="10">
        <f t="shared" si="291"/>
        <v>22317.441137704762</v>
      </c>
      <c r="W42" s="10">
        <f t="shared" si="291"/>
        <v>22341.849818140316</v>
      </c>
      <c r="X42" s="10">
        <f t="shared" si="291"/>
        <v>22366.258498575869</v>
      </c>
      <c r="Y42">
        <v>22390.667179011427</v>
      </c>
      <c r="Z42" s="10">
        <f t="shared" ref="Z42:AC42" si="292">Y42+(($AD42-$Y42)/5)</f>
        <v>22387.636960965487</v>
      </c>
      <c r="AA42" s="10">
        <f t="shared" si="292"/>
        <v>22384.606742919546</v>
      </c>
      <c r="AB42" s="10">
        <f t="shared" si="292"/>
        <v>22381.576524873606</v>
      </c>
      <c r="AC42" s="10">
        <f t="shared" si="292"/>
        <v>22378.546306827666</v>
      </c>
      <c r="AD42">
        <v>22375.516088781733</v>
      </c>
      <c r="AE42" s="10">
        <f t="shared" ref="AE42:AH42" si="293">AD42+(($AI42-$AD42)/5)</f>
        <v>22432.899954781678</v>
      </c>
      <c r="AF42" s="10">
        <f t="shared" si="293"/>
        <v>22490.283820781624</v>
      </c>
      <c r="AG42" s="10">
        <f t="shared" si="293"/>
        <v>22547.66768678157</v>
      </c>
      <c r="AH42" s="10">
        <f t="shared" si="293"/>
        <v>22605.051552781515</v>
      </c>
      <c r="AI42">
        <v>22662.435418781453</v>
      </c>
      <c r="AJ42" s="10">
        <f t="shared" ref="AJ42:AM42" si="294">AI42+(($AN42-$AI42)/5)</f>
        <v>22778.857744437948</v>
      </c>
      <c r="AK42" s="10">
        <f t="shared" si="294"/>
        <v>22895.280070094443</v>
      </c>
      <c r="AL42" s="10">
        <f t="shared" si="294"/>
        <v>23011.702395750937</v>
      </c>
      <c r="AM42" s="10">
        <f t="shared" si="294"/>
        <v>23128.124721407432</v>
      </c>
      <c r="AN42">
        <v>23244.547047063923</v>
      </c>
      <c r="AO42" s="10">
        <f t="shared" ref="AO42:AX42" si="295">AN42</f>
        <v>23244.547047063923</v>
      </c>
      <c r="AP42" s="10">
        <f t="shared" si="295"/>
        <v>23244.547047063923</v>
      </c>
      <c r="AQ42" s="10">
        <f t="shared" si="295"/>
        <v>23244.547047063923</v>
      </c>
      <c r="AR42" s="10">
        <f t="shared" si="295"/>
        <v>23244.547047063923</v>
      </c>
      <c r="AS42" s="10">
        <f t="shared" si="295"/>
        <v>23244.547047063923</v>
      </c>
      <c r="AT42" s="10">
        <f t="shared" si="295"/>
        <v>23244.547047063923</v>
      </c>
      <c r="AU42" s="10">
        <f t="shared" si="295"/>
        <v>23244.547047063923</v>
      </c>
      <c r="AV42" s="10">
        <f t="shared" si="295"/>
        <v>23244.547047063923</v>
      </c>
      <c r="AW42" s="10">
        <f t="shared" si="295"/>
        <v>23244.547047063923</v>
      </c>
      <c r="AX42" s="10">
        <f t="shared" si="295"/>
        <v>23244.547047063923</v>
      </c>
    </row>
    <row r="43" spans="1:50" x14ac:dyDescent="0.3">
      <c r="A43" t="s">
        <v>1410</v>
      </c>
      <c r="B43" t="s">
        <v>1439</v>
      </c>
      <c r="C43">
        <v>16362.399000000001</v>
      </c>
      <c r="D43">
        <v>12930.217999999999</v>
      </c>
      <c r="E43">
        <v>13211.66074118385</v>
      </c>
      <c r="F43" s="10">
        <f t="shared" ref="F43:I43" si="296">E43+(($J43-$E43)/5)</f>
        <v>13037.187939506413</v>
      </c>
      <c r="G43" s="10">
        <f t="shared" si="296"/>
        <v>12862.715137828976</v>
      </c>
      <c r="H43" s="10">
        <f t="shared" si="296"/>
        <v>12688.242336151539</v>
      </c>
      <c r="I43" s="10">
        <f t="shared" si="296"/>
        <v>12513.769534474102</v>
      </c>
      <c r="J43">
        <v>12339.296732796662</v>
      </c>
      <c r="K43" s="10">
        <f t="shared" ref="K43:N43" si="297">J43+(($O43-$J43)/5)</f>
        <v>12325.309158528764</v>
      </c>
      <c r="L43" s="10">
        <f t="shared" si="297"/>
        <v>12311.321584260866</v>
      </c>
      <c r="M43" s="10">
        <f t="shared" si="297"/>
        <v>12297.334009992968</v>
      </c>
      <c r="N43" s="10">
        <f t="shared" si="297"/>
        <v>12283.34643572507</v>
      </c>
      <c r="O43">
        <v>12269.358861457169</v>
      </c>
      <c r="P43" s="10">
        <f t="shared" ref="P43:S43" si="298">O43+(($T43-$O43)/5)</f>
        <v>12150.023161638655</v>
      </c>
      <c r="Q43" s="10">
        <f t="shared" si="298"/>
        <v>12030.687461820142</v>
      </c>
      <c r="R43" s="10">
        <f t="shared" si="298"/>
        <v>11911.351762001628</v>
      </c>
      <c r="S43" s="10">
        <f t="shared" si="298"/>
        <v>11792.016062183115</v>
      </c>
      <c r="T43">
        <v>11672.680362364601</v>
      </c>
      <c r="U43" s="10">
        <f t="shared" ref="U43:X43" si="299">T43+(($Y43-$T43)/5)</f>
        <v>11590.787759483444</v>
      </c>
      <c r="V43" s="10">
        <f t="shared" si="299"/>
        <v>11508.895156602288</v>
      </c>
      <c r="W43" s="10">
        <f t="shared" si="299"/>
        <v>11427.002553721131</v>
      </c>
      <c r="X43" s="10">
        <f t="shared" si="299"/>
        <v>11345.109950839975</v>
      </c>
      <c r="Y43">
        <v>11263.217347958816</v>
      </c>
      <c r="Z43" s="10">
        <f t="shared" ref="Z43:AC43" si="300">Y43+(($AD43-$Y43)/5)</f>
        <v>11147.909876874397</v>
      </c>
      <c r="AA43" s="10">
        <f t="shared" si="300"/>
        <v>11032.602405789978</v>
      </c>
      <c r="AB43" s="10">
        <f t="shared" si="300"/>
        <v>10917.294934705558</v>
      </c>
      <c r="AC43" s="10">
        <f t="shared" si="300"/>
        <v>10801.987463621139</v>
      </c>
      <c r="AD43">
        <v>10686.679992536723</v>
      </c>
      <c r="AE43" s="10">
        <f t="shared" ref="AE43:AH43" si="301">AD43+(($AI43-$AD43)/5)</f>
        <v>10590.351668078423</v>
      </c>
      <c r="AF43" s="10">
        <f t="shared" si="301"/>
        <v>10494.023343620123</v>
      </c>
      <c r="AG43" s="10">
        <f t="shared" si="301"/>
        <v>10397.695019161823</v>
      </c>
      <c r="AH43" s="10">
        <f t="shared" si="301"/>
        <v>10301.366694703524</v>
      </c>
      <c r="AI43">
        <v>10205.038370245225</v>
      </c>
      <c r="AJ43" s="10">
        <f t="shared" ref="AJ43:AM43" si="302">AI43+(($AN43-$AI43)/5)</f>
        <v>10195.908313297436</v>
      </c>
      <c r="AK43" s="10">
        <f t="shared" si="302"/>
        <v>10186.778256349646</v>
      </c>
      <c r="AL43" s="10">
        <f t="shared" si="302"/>
        <v>10177.648199401856</v>
      </c>
      <c r="AM43" s="10">
        <f t="shared" si="302"/>
        <v>10168.518142454066</v>
      </c>
      <c r="AN43">
        <v>10159.388085506276</v>
      </c>
      <c r="AO43" s="10">
        <f t="shared" ref="AO43:AX43" si="303">AN43</f>
        <v>10159.388085506276</v>
      </c>
      <c r="AP43" s="10">
        <f t="shared" si="303"/>
        <v>10159.388085506276</v>
      </c>
      <c r="AQ43" s="10">
        <f t="shared" si="303"/>
        <v>10159.388085506276</v>
      </c>
      <c r="AR43" s="10">
        <f t="shared" si="303"/>
        <v>10159.388085506276</v>
      </c>
      <c r="AS43" s="10">
        <f t="shared" si="303"/>
        <v>10159.388085506276</v>
      </c>
      <c r="AT43" s="10">
        <f t="shared" si="303"/>
        <v>10159.388085506276</v>
      </c>
      <c r="AU43" s="10">
        <f t="shared" si="303"/>
        <v>10159.388085506276</v>
      </c>
      <c r="AV43" s="10">
        <f t="shared" si="303"/>
        <v>10159.388085506276</v>
      </c>
      <c r="AW43" s="10">
        <f t="shared" si="303"/>
        <v>10159.388085506276</v>
      </c>
      <c r="AX43" s="10">
        <f t="shared" si="303"/>
        <v>10159.388085506276</v>
      </c>
    </row>
    <row r="44" spans="1:50" x14ac:dyDescent="0.3">
      <c r="A44" t="s">
        <v>1410</v>
      </c>
      <c r="B44" t="s">
        <v>1435</v>
      </c>
      <c r="C44">
        <v>16154.128999999997</v>
      </c>
      <c r="D44">
        <v>14808.803000000002</v>
      </c>
      <c r="E44">
        <v>12918.000429468275</v>
      </c>
      <c r="F44" s="10">
        <f t="shared" ref="F44:I44" si="304">E44+(($J44-$E44)/5)</f>
        <v>12792.911958776491</v>
      </c>
      <c r="G44" s="10">
        <f t="shared" si="304"/>
        <v>12667.823488084707</v>
      </c>
      <c r="H44" s="10">
        <f t="shared" si="304"/>
        <v>12542.735017392923</v>
      </c>
      <c r="I44" s="10">
        <f t="shared" si="304"/>
        <v>12417.646546701139</v>
      </c>
      <c r="J44">
        <v>12292.558076009351</v>
      </c>
      <c r="K44" s="10">
        <f t="shared" ref="K44:N44" si="305">J44+(($O44-$J44)/5)</f>
        <v>12260.745257176915</v>
      </c>
      <c r="L44" s="10">
        <f t="shared" si="305"/>
        <v>12228.93243834448</v>
      </c>
      <c r="M44" s="10">
        <f t="shared" si="305"/>
        <v>12197.119619512045</v>
      </c>
      <c r="N44" s="10">
        <f t="shared" si="305"/>
        <v>12165.306800679609</v>
      </c>
      <c r="O44">
        <v>12133.493981847178</v>
      </c>
      <c r="P44" s="10">
        <f t="shared" ref="P44:S44" si="306">O44+(($T44-$O44)/5)</f>
        <v>11825.983868371553</v>
      </c>
      <c r="Q44" s="10">
        <f t="shared" si="306"/>
        <v>11518.473754895929</v>
      </c>
      <c r="R44" s="10">
        <f t="shared" si="306"/>
        <v>11210.963641420305</v>
      </c>
      <c r="S44" s="10">
        <f t="shared" si="306"/>
        <v>10903.453527944681</v>
      </c>
      <c r="T44">
        <v>10595.943414469053</v>
      </c>
      <c r="U44" s="10">
        <f t="shared" ref="U44:X44" si="307">T44+(($Y44-$T44)/5)</f>
        <v>10702.244697785765</v>
      </c>
      <c r="V44" s="10">
        <f t="shared" si="307"/>
        <v>10808.545981102478</v>
      </c>
      <c r="W44" s="10">
        <f t="shared" si="307"/>
        <v>10914.84726441919</v>
      </c>
      <c r="X44" s="10">
        <f t="shared" si="307"/>
        <v>11021.148547735902</v>
      </c>
      <c r="Y44">
        <v>11127.449831052611</v>
      </c>
      <c r="Z44" s="10">
        <f t="shared" ref="Z44:AC44" si="308">Y44+(($AD44-$Y44)/5)</f>
        <v>11239.72708409109</v>
      </c>
      <c r="AA44" s="10">
        <f t="shared" si="308"/>
        <v>11352.004337129569</v>
      </c>
      <c r="AB44" s="10">
        <f t="shared" si="308"/>
        <v>11464.281590168048</v>
      </c>
      <c r="AC44" s="10">
        <f t="shared" si="308"/>
        <v>11576.558843206527</v>
      </c>
      <c r="AD44">
        <v>11688.83609624501</v>
      </c>
      <c r="AE44" s="10">
        <f t="shared" ref="AE44:AH44" si="309">AD44+(($AI44-$AD44)/5)</f>
        <v>11842.548286703253</v>
      </c>
      <c r="AF44" s="10">
        <f t="shared" si="309"/>
        <v>11996.260477161497</v>
      </c>
      <c r="AG44" s="10">
        <f t="shared" si="309"/>
        <v>12149.972667619741</v>
      </c>
      <c r="AH44" s="10">
        <f t="shared" si="309"/>
        <v>12303.684858077984</v>
      </c>
      <c r="AI44">
        <v>12457.397048536228</v>
      </c>
      <c r="AJ44" s="10">
        <f t="shared" ref="AJ44:AM44" si="310">AI44+(($AN44-$AI44)/5)</f>
        <v>12582.949431140512</v>
      </c>
      <c r="AK44" s="10">
        <f t="shared" si="310"/>
        <v>12708.501813744797</v>
      </c>
      <c r="AL44" s="10">
        <f t="shared" si="310"/>
        <v>12834.054196349081</v>
      </c>
      <c r="AM44" s="10">
        <f t="shared" si="310"/>
        <v>12959.606578953366</v>
      </c>
      <c r="AN44">
        <v>13085.158961557647</v>
      </c>
      <c r="AO44" s="10">
        <f t="shared" ref="AO44:AX44" si="311">AN44</f>
        <v>13085.158961557647</v>
      </c>
      <c r="AP44" s="10">
        <f t="shared" si="311"/>
        <v>13085.158961557647</v>
      </c>
      <c r="AQ44" s="10">
        <f t="shared" si="311"/>
        <v>13085.158961557647</v>
      </c>
      <c r="AR44" s="10">
        <f t="shared" si="311"/>
        <v>13085.158961557647</v>
      </c>
      <c r="AS44" s="10">
        <f t="shared" si="311"/>
        <v>13085.158961557647</v>
      </c>
      <c r="AT44" s="10">
        <f t="shared" si="311"/>
        <v>13085.158961557647</v>
      </c>
      <c r="AU44" s="10">
        <f t="shared" si="311"/>
        <v>13085.158961557647</v>
      </c>
      <c r="AV44" s="10">
        <f t="shared" si="311"/>
        <v>13085.158961557647</v>
      </c>
      <c r="AW44" s="10">
        <f t="shared" si="311"/>
        <v>13085.158961557647</v>
      </c>
      <c r="AX44" s="10">
        <f t="shared" si="311"/>
        <v>13085.158961557647</v>
      </c>
    </row>
    <row r="45" spans="1:50" x14ac:dyDescent="0.3">
      <c r="A45" t="s">
        <v>1411</v>
      </c>
      <c r="B45" t="s">
        <v>1434</v>
      </c>
      <c r="C45">
        <v>1564.6129999999996</v>
      </c>
      <c r="D45">
        <v>1366.837</v>
      </c>
      <c r="E45">
        <v>1090.1609202179991</v>
      </c>
      <c r="F45" s="10">
        <f t="shared" ref="F45:I45" si="312">E45+(($J45-$E45)/5)</f>
        <v>1077.7730114442095</v>
      </c>
      <c r="G45" s="10">
        <f t="shared" si="312"/>
        <v>1065.3851026704199</v>
      </c>
      <c r="H45" s="10">
        <f t="shared" si="312"/>
        <v>1052.9971938966303</v>
      </c>
      <c r="I45" s="10">
        <f t="shared" si="312"/>
        <v>1040.6092851228407</v>
      </c>
      <c r="J45">
        <v>1028.2213763490508</v>
      </c>
      <c r="K45" s="10">
        <f t="shared" ref="K45:N45" si="313">J45+(($O45-$J45)/5)</f>
        <v>1036.4398002130629</v>
      </c>
      <c r="L45" s="10">
        <f t="shared" si="313"/>
        <v>1044.6582240770749</v>
      </c>
      <c r="M45" s="10">
        <f t="shared" si="313"/>
        <v>1052.876647941087</v>
      </c>
      <c r="N45" s="10">
        <f t="shared" si="313"/>
        <v>1061.095071805099</v>
      </c>
      <c r="O45">
        <v>1069.3134956691108</v>
      </c>
      <c r="P45" s="10">
        <f t="shared" ref="P45:S45" si="314">O45+(($T45-$O45)/5)</f>
        <v>1055.8567623673703</v>
      </c>
      <c r="Q45" s="10">
        <f t="shared" si="314"/>
        <v>1042.4000290656297</v>
      </c>
      <c r="R45" s="10">
        <f t="shared" si="314"/>
        <v>1028.9432957638892</v>
      </c>
      <c r="S45" s="10">
        <f t="shared" si="314"/>
        <v>1015.4865624621486</v>
      </c>
      <c r="T45">
        <v>1002.0298291604083</v>
      </c>
      <c r="U45" s="10">
        <f t="shared" ref="U45:X45" si="315">T45+(($Y45-$T45)/5)</f>
        <v>994.07214666093864</v>
      </c>
      <c r="V45" s="10">
        <f t="shared" si="315"/>
        <v>986.11446416146896</v>
      </c>
      <c r="W45" s="10">
        <f t="shared" si="315"/>
        <v>978.15678166199928</v>
      </c>
      <c r="X45" s="10">
        <f t="shared" si="315"/>
        <v>970.19909916252959</v>
      </c>
      <c r="Y45">
        <v>962.24141666305991</v>
      </c>
      <c r="Z45" s="10">
        <f t="shared" ref="Z45:AC45" si="316">Y45+(($AD45-$Y45)/5)</f>
        <v>966.32711562790143</v>
      </c>
      <c r="AA45" s="10">
        <f t="shared" si="316"/>
        <v>970.41281459274296</v>
      </c>
      <c r="AB45" s="10">
        <f t="shared" si="316"/>
        <v>974.49851355758449</v>
      </c>
      <c r="AC45" s="10">
        <f t="shared" si="316"/>
        <v>978.58421252242601</v>
      </c>
      <c r="AD45">
        <v>982.66991148726777</v>
      </c>
      <c r="AE45" s="10">
        <f t="shared" ref="AE45:AH45" si="317">AD45+(($AI45-$AD45)/5)</f>
        <v>984.49963131392735</v>
      </c>
      <c r="AF45" s="10">
        <f t="shared" si="317"/>
        <v>986.32935114058694</v>
      </c>
      <c r="AG45" s="10">
        <f t="shared" si="317"/>
        <v>988.15907096724652</v>
      </c>
      <c r="AH45" s="10">
        <f t="shared" si="317"/>
        <v>989.98879079390611</v>
      </c>
      <c r="AI45">
        <v>991.81851062056558</v>
      </c>
      <c r="AJ45" s="10">
        <f t="shared" ref="AJ45:AM45" si="318">AI45+(($AN45-$AI45)/5)</f>
        <v>995.76883846944793</v>
      </c>
      <c r="AK45" s="10">
        <f t="shared" si="318"/>
        <v>999.71916631833028</v>
      </c>
      <c r="AL45" s="10">
        <f t="shared" si="318"/>
        <v>1003.6694941672126</v>
      </c>
      <c r="AM45" s="10">
        <f t="shared" si="318"/>
        <v>1007.619822016095</v>
      </c>
      <c r="AN45">
        <v>1011.5701498649773</v>
      </c>
      <c r="AO45" s="10">
        <f t="shared" ref="AO45:AX45" si="319">AN45</f>
        <v>1011.5701498649773</v>
      </c>
      <c r="AP45" s="10">
        <f t="shared" si="319"/>
        <v>1011.5701498649773</v>
      </c>
      <c r="AQ45" s="10">
        <f t="shared" si="319"/>
        <v>1011.5701498649773</v>
      </c>
      <c r="AR45" s="10">
        <f t="shared" si="319"/>
        <v>1011.5701498649773</v>
      </c>
      <c r="AS45" s="10">
        <f t="shared" si="319"/>
        <v>1011.5701498649773</v>
      </c>
      <c r="AT45" s="10">
        <f t="shared" si="319"/>
        <v>1011.5701498649773</v>
      </c>
      <c r="AU45" s="10">
        <f t="shared" si="319"/>
        <v>1011.5701498649773</v>
      </c>
      <c r="AV45" s="10">
        <f t="shared" si="319"/>
        <v>1011.5701498649773</v>
      </c>
      <c r="AW45" s="10">
        <f t="shared" si="319"/>
        <v>1011.5701498649773</v>
      </c>
      <c r="AX45" s="10">
        <f t="shared" si="319"/>
        <v>1011.5701498649773</v>
      </c>
    </row>
    <row r="46" spans="1:50" x14ac:dyDescent="0.3">
      <c r="A46" t="s">
        <v>1411</v>
      </c>
      <c r="B46" t="s">
        <v>1439</v>
      </c>
      <c r="C46">
        <v>908.44800000000009</v>
      </c>
      <c r="D46">
        <v>752.91800000000012</v>
      </c>
      <c r="E46">
        <v>569.98192021787838</v>
      </c>
      <c r="F46" s="10">
        <f t="shared" ref="F46:I46" si="320">E46+(($J46-$E46)/5)</f>
        <v>565.40534997515647</v>
      </c>
      <c r="G46" s="10">
        <f t="shared" si="320"/>
        <v>560.82877973243455</v>
      </c>
      <c r="H46" s="10">
        <f t="shared" si="320"/>
        <v>556.25220948971264</v>
      </c>
      <c r="I46" s="10">
        <f t="shared" si="320"/>
        <v>551.67563924699073</v>
      </c>
      <c r="J46">
        <v>547.09906900426881</v>
      </c>
      <c r="K46" s="10">
        <f t="shared" ref="K46:N46" si="321">J46+(($O46-$J46)/5)</f>
        <v>553.26637448475662</v>
      </c>
      <c r="L46" s="10">
        <f t="shared" si="321"/>
        <v>559.43367996524444</v>
      </c>
      <c r="M46" s="10">
        <f t="shared" si="321"/>
        <v>565.60098544573225</v>
      </c>
      <c r="N46" s="10">
        <f t="shared" si="321"/>
        <v>571.76829092622006</v>
      </c>
      <c r="O46">
        <v>577.93559640670776</v>
      </c>
      <c r="P46" s="10">
        <f t="shared" ref="P46:S46" si="322">O46+(($T46-$O46)/5)</f>
        <v>567.94736128252907</v>
      </c>
      <c r="Q46" s="10">
        <f t="shared" si="322"/>
        <v>557.95912615835039</v>
      </c>
      <c r="R46" s="10">
        <f t="shared" si="322"/>
        <v>547.9708910341717</v>
      </c>
      <c r="S46" s="10">
        <f t="shared" si="322"/>
        <v>537.98265590999301</v>
      </c>
      <c r="T46">
        <v>527.99442078581433</v>
      </c>
      <c r="U46" s="10">
        <f t="shared" ref="U46:X46" si="323">T46+(($Y46-$T46)/5)</f>
        <v>523.31247840396509</v>
      </c>
      <c r="V46" s="10">
        <f t="shared" si="323"/>
        <v>518.63053602211585</v>
      </c>
      <c r="W46" s="10">
        <f t="shared" si="323"/>
        <v>513.94859364026661</v>
      </c>
      <c r="X46" s="10">
        <f t="shared" si="323"/>
        <v>509.26665125841737</v>
      </c>
      <c r="Y46">
        <v>504.58470887656813</v>
      </c>
      <c r="Z46" s="10">
        <f t="shared" ref="Z46:AC46" si="324">Y46+(($AD46-$Y46)/5)</f>
        <v>506.8679389213836</v>
      </c>
      <c r="AA46" s="10">
        <f t="shared" si="324"/>
        <v>509.15116896619907</v>
      </c>
      <c r="AB46" s="10">
        <f t="shared" si="324"/>
        <v>511.43439901101453</v>
      </c>
      <c r="AC46" s="10">
        <f t="shared" si="324"/>
        <v>513.71762905583</v>
      </c>
      <c r="AD46">
        <v>516.00085910064547</v>
      </c>
      <c r="AE46" s="10">
        <f t="shared" ref="AE46:AH46" si="325">AD46+(($AI46-$AD46)/5)</f>
        <v>518.36452183247468</v>
      </c>
      <c r="AF46" s="10">
        <f t="shared" si="325"/>
        <v>520.72818456430389</v>
      </c>
      <c r="AG46" s="10">
        <f t="shared" si="325"/>
        <v>523.0918472961331</v>
      </c>
      <c r="AH46" s="10">
        <f t="shared" si="325"/>
        <v>525.4555100279623</v>
      </c>
      <c r="AI46">
        <v>527.8191727597914</v>
      </c>
      <c r="AJ46" s="10">
        <f t="shared" ref="AJ46:AM46" si="326">AI46+(($AN46-$AI46)/5)</f>
        <v>529.36510834345415</v>
      </c>
      <c r="AK46" s="10">
        <f t="shared" si="326"/>
        <v>530.91104392711691</v>
      </c>
      <c r="AL46" s="10">
        <f t="shared" si="326"/>
        <v>532.45697951077966</v>
      </c>
      <c r="AM46" s="10">
        <f t="shared" si="326"/>
        <v>534.00291509444241</v>
      </c>
      <c r="AN46">
        <v>535.54885067810517</v>
      </c>
      <c r="AO46" s="10">
        <f t="shared" ref="AO46:AX46" si="327">AN46</f>
        <v>535.54885067810517</v>
      </c>
      <c r="AP46" s="10">
        <f t="shared" si="327"/>
        <v>535.54885067810517</v>
      </c>
      <c r="AQ46" s="10">
        <f t="shared" si="327"/>
        <v>535.54885067810517</v>
      </c>
      <c r="AR46" s="10">
        <f t="shared" si="327"/>
        <v>535.54885067810517</v>
      </c>
      <c r="AS46" s="10">
        <f t="shared" si="327"/>
        <v>535.54885067810517</v>
      </c>
      <c r="AT46" s="10">
        <f t="shared" si="327"/>
        <v>535.54885067810517</v>
      </c>
      <c r="AU46" s="10">
        <f t="shared" si="327"/>
        <v>535.54885067810517</v>
      </c>
      <c r="AV46" s="10">
        <f t="shared" si="327"/>
        <v>535.54885067810517</v>
      </c>
      <c r="AW46" s="10">
        <f t="shared" si="327"/>
        <v>535.54885067810517</v>
      </c>
      <c r="AX46" s="10">
        <f t="shared" si="327"/>
        <v>535.54885067810517</v>
      </c>
    </row>
    <row r="47" spans="1:50" x14ac:dyDescent="0.3">
      <c r="A47" t="s">
        <v>1411</v>
      </c>
      <c r="B47" t="s">
        <v>1435</v>
      </c>
      <c r="C47">
        <v>656.16499999999951</v>
      </c>
      <c r="D47">
        <v>613.91899999999987</v>
      </c>
      <c r="E47">
        <v>520.17900000012071</v>
      </c>
      <c r="F47" s="10">
        <f t="shared" ref="F47:I47" si="328">E47+(($J47-$E47)/5)</f>
        <v>512.36766146905302</v>
      </c>
      <c r="G47" s="10">
        <f t="shared" si="328"/>
        <v>504.55632293798527</v>
      </c>
      <c r="H47" s="10">
        <f t="shared" si="328"/>
        <v>496.74498440691752</v>
      </c>
      <c r="I47" s="10">
        <f t="shared" si="328"/>
        <v>488.93364587584978</v>
      </c>
      <c r="J47">
        <v>481.12230734478203</v>
      </c>
      <c r="K47" s="10">
        <f t="shared" ref="K47:N47" si="329">J47+(($O47-$J47)/5)</f>
        <v>483.17342572830626</v>
      </c>
      <c r="L47" s="10">
        <f t="shared" si="329"/>
        <v>485.22454411183048</v>
      </c>
      <c r="M47" s="10">
        <f t="shared" si="329"/>
        <v>487.27566249535471</v>
      </c>
      <c r="N47" s="10">
        <f t="shared" si="329"/>
        <v>489.32678087887894</v>
      </c>
      <c r="O47">
        <v>491.37789926240305</v>
      </c>
      <c r="P47" s="10">
        <f t="shared" ref="P47:S47" si="330">O47+(($T47-$O47)/5)</f>
        <v>487.90940108484125</v>
      </c>
      <c r="Q47" s="10">
        <f t="shared" si="330"/>
        <v>484.44090290727945</v>
      </c>
      <c r="R47" s="10">
        <f t="shared" si="330"/>
        <v>480.97240472971765</v>
      </c>
      <c r="S47" s="10">
        <f t="shared" si="330"/>
        <v>477.50390655215585</v>
      </c>
      <c r="T47">
        <v>474.035408374594</v>
      </c>
      <c r="U47" s="10">
        <f t="shared" ref="U47:X47" si="331">T47+(($Y47-$T47)/5)</f>
        <v>470.75966825697355</v>
      </c>
      <c r="V47" s="10">
        <f t="shared" si="331"/>
        <v>467.48392813935311</v>
      </c>
      <c r="W47" s="10">
        <f t="shared" si="331"/>
        <v>464.20818802173267</v>
      </c>
      <c r="X47" s="10">
        <f t="shared" si="331"/>
        <v>460.93244790411222</v>
      </c>
      <c r="Y47">
        <v>457.65670778649178</v>
      </c>
      <c r="Z47" s="10">
        <f t="shared" ref="Z47:AC47" si="332">Y47+(($AD47-$Y47)/5)</f>
        <v>459.45917670651789</v>
      </c>
      <c r="AA47" s="10">
        <f t="shared" si="332"/>
        <v>461.26164562654401</v>
      </c>
      <c r="AB47" s="10">
        <f t="shared" si="332"/>
        <v>463.06411454657012</v>
      </c>
      <c r="AC47" s="10">
        <f t="shared" si="332"/>
        <v>464.86658346659624</v>
      </c>
      <c r="AD47">
        <v>466.6690523866223</v>
      </c>
      <c r="AE47" s="10">
        <f t="shared" ref="AE47:AH47" si="333">AD47+(($AI47-$AD47)/5)</f>
        <v>466.13510948145267</v>
      </c>
      <c r="AF47" s="10">
        <f t="shared" si="333"/>
        <v>465.60116657628305</v>
      </c>
      <c r="AG47" s="10">
        <f t="shared" si="333"/>
        <v>465.06722367111342</v>
      </c>
      <c r="AH47" s="10">
        <f t="shared" si="333"/>
        <v>464.5332807659438</v>
      </c>
      <c r="AI47">
        <v>463.99933786077418</v>
      </c>
      <c r="AJ47" s="10">
        <f t="shared" ref="AJ47:AM47" si="334">AI47+(($AN47-$AI47)/5)</f>
        <v>466.40373012599377</v>
      </c>
      <c r="AK47" s="10">
        <f t="shared" si="334"/>
        <v>468.80812239121337</v>
      </c>
      <c r="AL47" s="10">
        <f t="shared" si="334"/>
        <v>471.21251465643297</v>
      </c>
      <c r="AM47" s="10">
        <f t="shared" si="334"/>
        <v>473.61690692165257</v>
      </c>
      <c r="AN47">
        <v>476.02129918687217</v>
      </c>
      <c r="AO47" s="10">
        <f t="shared" ref="AO47:AX47" si="335">AN47</f>
        <v>476.02129918687217</v>
      </c>
      <c r="AP47" s="10">
        <f t="shared" si="335"/>
        <v>476.02129918687217</v>
      </c>
      <c r="AQ47" s="10">
        <f t="shared" si="335"/>
        <v>476.02129918687217</v>
      </c>
      <c r="AR47" s="10">
        <f t="shared" si="335"/>
        <v>476.02129918687217</v>
      </c>
      <c r="AS47" s="10">
        <f t="shared" si="335"/>
        <v>476.02129918687217</v>
      </c>
      <c r="AT47" s="10">
        <f t="shared" si="335"/>
        <v>476.02129918687217</v>
      </c>
      <c r="AU47" s="10">
        <f t="shared" si="335"/>
        <v>476.02129918687217</v>
      </c>
      <c r="AV47" s="10">
        <f t="shared" si="335"/>
        <v>476.02129918687217</v>
      </c>
      <c r="AW47" s="10">
        <f t="shared" si="335"/>
        <v>476.02129918687217</v>
      </c>
      <c r="AX47" s="10">
        <f t="shared" si="335"/>
        <v>476.02129918687217</v>
      </c>
    </row>
    <row r="48" spans="1:50" x14ac:dyDescent="0.3">
      <c r="A48" t="s">
        <v>1412</v>
      </c>
      <c r="B48" t="s">
        <v>1434</v>
      </c>
      <c r="C48">
        <v>3060.6240406651336</v>
      </c>
      <c r="D48">
        <v>2531.9633178698418</v>
      </c>
      <c r="E48">
        <v>3899.8468124037154</v>
      </c>
      <c r="F48" s="10">
        <f t="shared" ref="F48:I48" si="336">E48+(($J48-$E48)/5)</f>
        <v>3890.7864661713329</v>
      </c>
      <c r="G48" s="10">
        <f t="shared" si="336"/>
        <v>3881.7261199389504</v>
      </c>
      <c r="H48" s="10">
        <f t="shared" si="336"/>
        <v>3872.665773706568</v>
      </c>
      <c r="I48" s="10">
        <f t="shared" si="336"/>
        <v>3863.6054274741855</v>
      </c>
      <c r="J48">
        <v>3854.5450812418021</v>
      </c>
      <c r="K48" s="10">
        <f t="shared" ref="K48:N48" si="337">J48+(($O48-$J48)/5)</f>
        <v>3940.1216776750589</v>
      </c>
      <c r="L48" s="10">
        <f t="shared" si="337"/>
        <v>4025.6982741083157</v>
      </c>
      <c r="M48" s="10">
        <f t="shared" si="337"/>
        <v>4111.2748705415725</v>
      </c>
      <c r="N48" s="10">
        <f t="shared" si="337"/>
        <v>4196.8514669748292</v>
      </c>
      <c r="O48">
        <v>4282.4280634080851</v>
      </c>
      <c r="P48" s="10">
        <f t="shared" ref="P48:S48" si="338">O48+(($T48-$O48)/5)</f>
        <v>4408.779219561211</v>
      </c>
      <c r="Q48" s="10">
        <f t="shared" si="338"/>
        <v>4535.1303757143369</v>
      </c>
      <c r="R48" s="10">
        <f t="shared" si="338"/>
        <v>4661.4815318674628</v>
      </c>
      <c r="S48" s="10">
        <f t="shared" si="338"/>
        <v>4787.8326880205886</v>
      </c>
      <c r="T48">
        <v>4914.1838441737145</v>
      </c>
      <c r="U48" s="10">
        <f t="shared" ref="U48:X48" si="339">T48+(($Y48-$T48)/5)</f>
        <v>4835.1015146817208</v>
      </c>
      <c r="V48" s="10">
        <f t="shared" si="339"/>
        <v>4756.0191851897271</v>
      </c>
      <c r="W48" s="10">
        <f t="shared" si="339"/>
        <v>4676.9368556977333</v>
      </c>
      <c r="X48" s="10">
        <f t="shared" si="339"/>
        <v>4597.8545262057396</v>
      </c>
      <c r="Y48">
        <v>4518.7721967137459</v>
      </c>
      <c r="Z48" s="10">
        <f t="shared" ref="Z48:AC48" si="340">Y48+(($AD48-$Y48)/5)</f>
        <v>4490.6739837869773</v>
      </c>
      <c r="AA48" s="10">
        <f t="shared" si="340"/>
        <v>4462.5757708602086</v>
      </c>
      <c r="AB48" s="10">
        <f t="shared" si="340"/>
        <v>4434.47755793344</v>
      </c>
      <c r="AC48" s="10">
        <f t="shared" si="340"/>
        <v>4406.3793450066714</v>
      </c>
      <c r="AD48">
        <v>4378.2811320799028</v>
      </c>
      <c r="AE48" s="10">
        <f t="shared" ref="AE48:AH48" si="341">AD48+(($AI48-$AD48)/5)</f>
        <v>4354.5392262544447</v>
      </c>
      <c r="AF48" s="10">
        <f t="shared" si="341"/>
        <v>4330.7973204289865</v>
      </c>
      <c r="AG48" s="10">
        <f t="shared" si="341"/>
        <v>4307.0554146035283</v>
      </c>
      <c r="AH48" s="10">
        <f t="shared" si="341"/>
        <v>4283.3135087780702</v>
      </c>
      <c r="AI48">
        <v>4259.5716029526102</v>
      </c>
      <c r="AJ48" s="10">
        <f t="shared" ref="AJ48:AM48" si="342">AI48+(($AN48-$AI48)/5)</f>
        <v>4286.3718451846362</v>
      </c>
      <c r="AK48" s="10">
        <f t="shared" si="342"/>
        <v>4313.1720874166622</v>
      </c>
      <c r="AL48" s="10">
        <f t="shared" si="342"/>
        <v>4339.9723296486882</v>
      </c>
      <c r="AM48" s="10">
        <f t="shared" si="342"/>
        <v>4366.7725718807142</v>
      </c>
      <c r="AN48">
        <v>4393.572814112742</v>
      </c>
      <c r="AO48" s="10">
        <f t="shared" ref="AO48:AX48" si="343">AN48</f>
        <v>4393.572814112742</v>
      </c>
      <c r="AP48" s="10">
        <f t="shared" si="343"/>
        <v>4393.572814112742</v>
      </c>
      <c r="AQ48" s="10">
        <f t="shared" si="343"/>
        <v>4393.572814112742</v>
      </c>
      <c r="AR48" s="10">
        <f t="shared" si="343"/>
        <v>4393.572814112742</v>
      </c>
      <c r="AS48" s="10">
        <f t="shared" si="343"/>
        <v>4393.572814112742</v>
      </c>
      <c r="AT48" s="10">
        <f t="shared" si="343"/>
        <v>4393.572814112742</v>
      </c>
      <c r="AU48" s="10">
        <f t="shared" si="343"/>
        <v>4393.572814112742</v>
      </c>
      <c r="AV48" s="10">
        <f t="shared" si="343"/>
        <v>4393.572814112742</v>
      </c>
      <c r="AW48" s="10">
        <f t="shared" si="343"/>
        <v>4393.572814112742</v>
      </c>
      <c r="AX48" s="10">
        <f t="shared" si="343"/>
        <v>4393.572814112742</v>
      </c>
    </row>
    <row r="49" spans="1:50" x14ac:dyDescent="0.3">
      <c r="A49" t="s">
        <v>1412</v>
      </c>
      <c r="B49" t="s">
        <v>1439</v>
      </c>
      <c r="C49">
        <v>1956.6220406651337</v>
      </c>
      <c r="D49">
        <v>1494.320317869842</v>
      </c>
      <c r="E49">
        <v>2127.3308124037153</v>
      </c>
      <c r="F49" s="10">
        <f t="shared" ref="F49:I49" si="344">E49+(($J49-$E49)/5)</f>
        <v>2115.5819681420721</v>
      </c>
      <c r="G49" s="10">
        <f t="shared" si="344"/>
        <v>2103.833123880429</v>
      </c>
      <c r="H49" s="10">
        <f t="shared" si="344"/>
        <v>2092.0842796187858</v>
      </c>
      <c r="I49" s="10">
        <f t="shared" si="344"/>
        <v>2080.3354353571426</v>
      </c>
      <c r="J49">
        <v>2068.5865910954985</v>
      </c>
      <c r="K49" s="10">
        <f t="shared" ref="K49:N49" si="345">J49+(($O49-$J49)/5)</f>
        <v>2126.6895900800382</v>
      </c>
      <c r="L49" s="10">
        <f t="shared" si="345"/>
        <v>2184.7925890645779</v>
      </c>
      <c r="M49" s="10">
        <f t="shared" si="345"/>
        <v>2242.8955880491176</v>
      </c>
      <c r="N49" s="10">
        <f t="shared" si="345"/>
        <v>2300.9985870336573</v>
      </c>
      <c r="O49">
        <v>2359.1015860181969</v>
      </c>
      <c r="P49" s="10">
        <f t="shared" ref="P49:S49" si="346">O49+(($T49-$O49)/5)</f>
        <v>2398.5423291630905</v>
      </c>
      <c r="Q49" s="10">
        <f t="shared" si="346"/>
        <v>2437.983072307984</v>
      </c>
      <c r="R49" s="10">
        <f t="shared" si="346"/>
        <v>2477.4238154528775</v>
      </c>
      <c r="S49" s="10">
        <f t="shared" si="346"/>
        <v>2516.8645585977711</v>
      </c>
      <c r="T49">
        <v>2556.3053017426641</v>
      </c>
      <c r="U49" s="10">
        <f t="shared" ref="U49:X49" si="347">T49+(($Y49-$T49)/5)</f>
        <v>2467.994879599572</v>
      </c>
      <c r="V49" s="10">
        <f t="shared" si="347"/>
        <v>2379.6844574564798</v>
      </c>
      <c r="W49" s="10">
        <f t="shared" si="347"/>
        <v>2291.3740353133876</v>
      </c>
      <c r="X49" s="10">
        <f t="shared" si="347"/>
        <v>2203.0636131702954</v>
      </c>
      <c r="Y49">
        <v>2114.7531910272041</v>
      </c>
      <c r="Z49" s="10">
        <f t="shared" ref="Z49:AC49" si="348">Y49+(($AD49-$Y49)/5)</f>
        <v>2098.7792507352096</v>
      </c>
      <c r="AA49" s="10">
        <f t="shared" si="348"/>
        <v>2082.8053104432147</v>
      </c>
      <c r="AB49" s="10">
        <f t="shared" si="348"/>
        <v>2066.8313701512197</v>
      </c>
      <c r="AC49" s="10">
        <f t="shared" si="348"/>
        <v>2050.8574298592248</v>
      </c>
      <c r="AD49">
        <v>2034.8834895672305</v>
      </c>
      <c r="AE49" s="10">
        <f t="shared" ref="AE49:AH49" si="349">AD49+(($AI49-$AD49)/5)</f>
        <v>2026.8986961399305</v>
      </c>
      <c r="AF49" s="10">
        <f t="shared" si="349"/>
        <v>2018.9139027126305</v>
      </c>
      <c r="AG49" s="10">
        <f t="shared" si="349"/>
        <v>2010.9291092853305</v>
      </c>
      <c r="AH49" s="10">
        <f t="shared" si="349"/>
        <v>2002.9443158580304</v>
      </c>
      <c r="AI49">
        <v>1994.9595224307304</v>
      </c>
      <c r="AJ49" s="10">
        <f t="shared" ref="AJ49:AM49" si="350">AI49+(($AN49-$AI49)/5)</f>
        <v>1996.2590245673805</v>
      </c>
      <c r="AK49" s="10">
        <f t="shared" si="350"/>
        <v>1997.5585267040306</v>
      </c>
      <c r="AL49" s="10">
        <f t="shared" si="350"/>
        <v>1998.8580288406806</v>
      </c>
      <c r="AM49" s="10">
        <f t="shared" si="350"/>
        <v>2000.1575309773307</v>
      </c>
      <c r="AN49">
        <v>2001.4570331139803</v>
      </c>
      <c r="AO49" s="10">
        <f t="shared" ref="AO49:AX49" si="351">AN49</f>
        <v>2001.4570331139803</v>
      </c>
      <c r="AP49" s="10">
        <f t="shared" si="351"/>
        <v>2001.4570331139803</v>
      </c>
      <c r="AQ49" s="10">
        <f t="shared" si="351"/>
        <v>2001.4570331139803</v>
      </c>
      <c r="AR49" s="10">
        <f t="shared" si="351"/>
        <v>2001.4570331139803</v>
      </c>
      <c r="AS49" s="10">
        <f t="shared" si="351"/>
        <v>2001.4570331139803</v>
      </c>
      <c r="AT49" s="10">
        <f t="shared" si="351"/>
        <v>2001.4570331139803</v>
      </c>
      <c r="AU49" s="10">
        <f t="shared" si="351"/>
        <v>2001.4570331139803</v>
      </c>
      <c r="AV49" s="10">
        <f t="shared" si="351"/>
        <v>2001.4570331139803</v>
      </c>
      <c r="AW49" s="10">
        <f t="shared" si="351"/>
        <v>2001.4570331139803</v>
      </c>
      <c r="AX49" s="10">
        <f t="shared" si="351"/>
        <v>2001.4570331139803</v>
      </c>
    </row>
    <row r="50" spans="1:50" x14ac:dyDescent="0.3">
      <c r="A50" t="s">
        <v>1412</v>
      </c>
      <c r="B50" t="s">
        <v>1435</v>
      </c>
      <c r="C50">
        <v>1104.002</v>
      </c>
      <c r="D50">
        <v>1037.6429999999998</v>
      </c>
      <c r="E50">
        <v>1772.5160000000001</v>
      </c>
      <c r="F50" s="10">
        <f t="shared" ref="F50:I50" si="352">E50+(($J50-$E50)/5)</f>
        <v>1775.2044980292608</v>
      </c>
      <c r="G50" s="10">
        <f t="shared" si="352"/>
        <v>1777.8929960585215</v>
      </c>
      <c r="H50" s="10">
        <f t="shared" si="352"/>
        <v>1780.5814940877822</v>
      </c>
      <c r="I50" s="10">
        <f t="shared" si="352"/>
        <v>1783.2699921170429</v>
      </c>
      <c r="J50">
        <v>1785.9584901463036</v>
      </c>
      <c r="K50" s="10">
        <f t="shared" ref="K50:N50" si="353">J50+(($O50-$J50)/5)</f>
        <v>1813.4320875950204</v>
      </c>
      <c r="L50" s="10">
        <f t="shared" si="353"/>
        <v>1840.9056850437373</v>
      </c>
      <c r="M50" s="10">
        <f t="shared" si="353"/>
        <v>1868.3792824924542</v>
      </c>
      <c r="N50" s="10">
        <f t="shared" si="353"/>
        <v>1895.8528799411711</v>
      </c>
      <c r="O50">
        <v>1923.3264773898882</v>
      </c>
      <c r="P50" s="10">
        <f t="shared" ref="P50:S50" si="354">O50+(($T50-$O50)/5)</f>
        <v>2010.2368903981205</v>
      </c>
      <c r="Q50" s="10">
        <f t="shared" si="354"/>
        <v>2097.1473034063529</v>
      </c>
      <c r="R50" s="10">
        <f t="shared" si="354"/>
        <v>2184.0577164145852</v>
      </c>
      <c r="S50" s="10">
        <f t="shared" si="354"/>
        <v>2270.9681294228176</v>
      </c>
      <c r="T50">
        <v>2357.8785424310504</v>
      </c>
      <c r="U50" s="10">
        <f t="shared" ref="U50:X50" si="355">T50+(($Y50-$T50)/5)</f>
        <v>2367.1066350821488</v>
      </c>
      <c r="V50" s="10">
        <f t="shared" si="355"/>
        <v>2376.3347277332473</v>
      </c>
      <c r="W50" s="10">
        <f t="shared" si="355"/>
        <v>2385.5628203843457</v>
      </c>
      <c r="X50" s="10">
        <f t="shared" si="355"/>
        <v>2394.7909130354442</v>
      </c>
      <c r="Y50">
        <v>2404.0190056865417</v>
      </c>
      <c r="Z50" s="10">
        <f t="shared" ref="Z50:AC50" si="356">Y50+(($AD50-$Y50)/5)</f>
        <v>2391.8947330517676</v>
      </c>
      <c r="AA50" s="10">
        <f t="shared" si="356"/>
        <v>2379.7704604169935</v>
      </c>
      <c r="AB50" s="10">
        <f t="shared" si="356"/>
        <v>2367.6461877822194</v>
      </c>
      <c r="AC50" s="10">
        <f t="shared" si="356"/>
        <v>2355.5219151474453</v>
      </c>
      <c r="AD50">
        <v>2343.3976425126721</v>
      </c>
      <c r="AE50" s="10">
        <f t="shared" ref="AE50:AH50" si="357">AD50+(($AI50-$AD50)/5)</f>
        <v>2327.6405301145137</v>
      </c>
      <c r="AF50" s="10">
        <f t="shared" si="357"/>
        <v>2311.8834177163553</v>
      </c>
      <c r="AG50" s="10">
        <f t="shared" si="357"/>
        <v>2296.126305318197</v>
      </c>
      <c r="AH50" s="10">
        <f t="shared" si="357"/>
        <v>2280.3691929200386</v>
      </c>
      <c r="AI50">
        <v>2264.6120805218798</v>
      </c>
      <c r="AJ50" s="10">
        <f t="shared" ref="AJ50:AM50" si="358">AI50+(($AN50-$AI50)/5)</f>
        <v>2290.1128206172561</v>
      </c>
      <c r="AK50" s="10">
        <f t="shared" si="358"/>
        <v>2315.6135607126325</v>
      </c>
      <c r="AL50" s="10">
        <f t="shared" si="358"/>
        <v>2341.1143008080089</v>
      </c>
      <c r="AM50" s="10">
        <f t="shared" si="358"/>
        <v>2366.6150409033853</v>
      </c>
      <c r="AN50">
        <v>2392.1157809987617</v>
      </c>
      <c r="AO50" s="10">
        <f t="shared" ref="AO50:AX50" si="359">AN50</f>
        <v>2392.1157809987617</v>
      </c>
      <c r="AP50" s="10">
        <f t="shared" si="359"/>
        <v>2392.1157809987617</v>
      </c>
      <c r="AQ50" s="10">
        <f t="shared" si="359"/>
        <v>2392.1157809987617</v>
      </c>
      <c r="AR50" s="10">
        <f t="shared" si="359"/>
        <v>2392.1157809987617</v>
      </c>
      <c r="AS50" s="10">
        <f t="shared" si="359"/>
        <v>2392.1157809987617</v>
      </c>
      <c r="AT50" s="10">
        <f t="shared" si="359"/>
        <v>2392.1157809987617</v>
      </c>
      <c r="AU50" s="10">
        <f t="shared" si="359"/>
        <v>2392.1157809987617</v>
      </c>
      <c r="AV50" s="10">
        <f t="shared" si="359"/>
        <v>2392.1157809987617</v>
      </c>
      <c r="AW50" s="10">
        <f t="shared" si="359"/>
        <v>2392.1157809987617</v>
      </c>
      <c r="AX50" s="10">
        <f t="shared" si="359"/>
        <v>2392.1157809987617</v>
      </c>
    </row>
    <row r="51" spans="1:50" x14ac:dyDescent="0.3">
      <c r="A51" t="s">
        <v>1413</v>
      </c>
      <c r="B51" t="s">
        <v>1434</v>
      </c>
      <c r="C51">
        <v>2595.9799999999996</v>
      </c>
      <c r="D51">
        <v>2144.8409999999999</v>
      </c>
      <c r="E51">
        <v>2385.0869931856769</v>
      </c>
      <c r="F51" s="10">
        <f t="shared" ref="F51:I51" si="360">E51+(($J51-$E51)/5)</f>
        <v>2405.2318052689793</v>
      </c>
      <c r="G51" s="10">
        <f t="shared" si="360"/>
        <v>2425.3766173522818</v>
      </c>
      <c r="H51" s="10">
        <f t="shared" si="360"/>
        <v>2445.5214294355842</v>
      </c>
      <c r="I51" s="10">
        <f t="shared" si="360"/>
        <v>2465.6662415188866</v>
      </c>
      <c r="J51">
        <v>2485.8110536021882</v>
      </c>
      <c r="K51" s="10">
        <f t="shared" ref="K51:N51" si="361">J51+(($O51-$J51)/5)</f>
        <v>2518.8598470217021</v>
      </c>
      <c r="L51" s="10">
        <f t="shared" si="361"/>
        <v>2551.908640441216</v>
      </c>
      <c r="M51" s="10">
        <f t="shared" si="361"/>
        <v>2584.9574338607299</v>
      </c>
      <c r="N51" s="10">
        <f t="shared" si="361"/>
        <v>2618.0062272802438</v>
      </c>
      <c r="O51">
        <v>2651.0550206997568</v>
      </c>
      <c r="P51" s="10">
        <f t="shared" ref="P51:S51" si="362">O51+(($T51-$O51)/5)</f>
        <v>2684.1690650527198</v>
      </c>
      <c r="Q51" s="10">
        <f t="shared" si="362"/>
        <v>2717.2831094056828</v>
      </c>
      <c r="R51" s="10">
        <f t="shared" si="362"/>
        <v>2750.3971537586458</v>
      </c>
      <c r="S51" s="10">
        <f t="shared" si="362"/>
        <v>2783.5111981116088</v>
      </c>
      <c r="T51">
        <v>2816.6252424645718</v>
      </c>
      <c r="U51" s="10">
        <f t="shared" ref="U51:X51" si="363">T51+(($Y51-$T51)/5)</f>
        <v>2770.6137933734722</v>
      </c>
      <c r="V51" s="10">
        <f t="shared" si="363"/>
        <v>2724.6023442823725</v>
      </c>
      <c r="W51" s="10">
        <f t="shared" si="363"/>
        <v>2678.5908951912729</v>
      </c>
      <c r="X51" s="10">
        <f t="shared" si="363"/>
        <v>2632.5794461001733</v>
      </c>
      <c r="Y51">
        <v>2586.5679970090732</v>
      </c>
      <c r="Z51" s="10">
        <f t="shared" ref="Z51:AC51" si="364">Y51+(($AD51-$Y51)/5)</f>
        <v>2585.411598198265</v>
      </c>
      <c r="AA51" s="10">
        <f t="shared" si="364"/>
        <v>2584.2551993874567</v>
      </c>
      <c r="AB51" s="10">
        <f t="shared" si="364"/>
        <v>2583.0988005766485</v>
      </c>
      <c r="AC51" s="10">
        <f t="shared" si="364"/>
        <v>2581.9424017658403</v>
      </c>
      <c r="AD51">
        <v>2580.7860029550329</v>
      </c>
      <c r="AE51" s="10">
        <f t="shared" ref="AE51:AH51" si="365">AD51+(($AI51-$AD51)/5)</f>
        <v>2580.1746964380827</v>
      </c>
      <c r="AF51" s="10">
        <f t="shared" si="365"/>
        <v>2579.5633899211325</v>
      </c>
      <c r="AG51" s="10">
        <f t="shared" si="365"/>
        <v>2578.9520834041823</v>
      </c>
      <c r="AH51" s="10">
        <f t="shared" si="365"/>
        <v>2578.3407768872321</v>
      </c>
      <c r="AI51">
        <v>2577.7294703702828</v>
      </c>
      <c r="AJ51" s="10">
        <f t="shared" ref="AJ51:AM51" si="366">AI51+(($AN51-$AI51)/5)</f>
        <v>2578.3047337573848</v>
      </c>
      <c r="AK51" s="10">
        <f t="shared" si="366"/>
        <v>2578.8799971444869</v>
      </c>
      <c r="AL51" s="10">
        <f t="shared" si="366"/>
        <v>2579.4552605315889</v>
      </c>
      <c r="AM51" s="10">
        <f t="shared" si="366"/>
        <v>2580.030523918691</v>
      </c>
      <c r="AN51">
        <v>2580.6057873057925</v>
      </c>
      <c r="AO51" s="10">
        <f t="shared" ref="AO51:AX51" si="367">AN51</f>
        <v>2580.6057873057925</v>
      </c>
      <c r="AP51" s="10">
        <f t="shared" si="367"/>
        <v>2580.6057873057925</v>
      </c>
      <c r="AQ51" s="10">
        <f t="shared" si="367"/>
        <v>2580.6057873057925</v>
      </c>
      <c r="AR51" s="10">
        <f t="shared" si="367"/>
        <v>2580.6057873057925</v>
      </c>
      <c r="AS51" s="10">
        <f t="shared" si="367"/>
        <v>2580.6057873057925</v>
      </c>
      <c r="AT51" s="10">
        <f t="shared" si="367"/>
        <v>2580.6057873057925</v>
      </c>
      <c r="AU51" s="10">
        <f t="shared" si="367"/>
        <v>2580.6057873057925</v>
      </c>
      <c r="AV51" s="10">
        <f t="shared" si="367"/>
        <v>2580.6057873057925</v>
      </c>
      <c r="AW51" s="10">
        <f t="shared" si="367"/>
        <v>2580.6057873057925</v>
      </c>
      <c r="AX51" s="10">
        <f t="shared" si="367"/>
        <v>2580.6057873057925</v>
      </c>
    </row>
    <row r="52" spans="1:50" x14ac:dyDescent="0.3">
      <c r="A52" t="s">
        <v>1413</v>
      </c>
      <c r="B52" t="s">
        <v>1439</v>
      </c>
      <c r="C52">
        <v>1352.44</v>
      </c>
      <c r="D52">
        <v>1027.3480000000002</v>
      </c>
      <c r="E52">
        <v>1193.0318113674953</v>
      </c>
      <c r="F52" s="10">
        <f t="shared" ref="F52:I52" si="368">E52+(($J52-$E52)/5)</f>
        <v>1205.3777528211633</v>
      </c>
      <c r="G52" s="10">
        <f t="shared" si="368"/>
        <v>1217.7236942748314</v>
      </c>
      <c r="H52" s="10">
        <f t="shared" si="368"/>
        <v>1230.0696357284994</v>
      </c>
      <c r="I52" s="10">
        <f t="shared" si="368"/>
        <v>1242.4155771821675</v>
      </c>
      <c r="J52">
        <v>1254.761518635835</v>
      </c>
      <c r="K52" s="10">
        <f t="shared" ref="K52:N52" si="369">J52+(($O52-$J52)/5)</f>
        <v>1252.6801006205656</v>
      </c>
      <c r="L52" s="10">
        <f t="shared" si="369"/>
        <v>1250.5986826052961</v>
      </c>
      <c r="M52" s="10">
        <f t="shared" si="369"/>
        <v>1248.5172645900266</v>
      </c>
      <c r="N52" s="10">
        <f t="shared" si="369"/>
        <v>1246.4358465747571</v>
      </c>
      <c r="O52">
        <v>1244.354428559488</v>
      </c>
      <c r="P52" s="10">
        <f t="shared" ref="P52:S52" si="370">O52+(($T52-$O52)/5)</f>
        <v>1250.7076936482815</v>
      </c>
      <c r="Q52" s="10">
        <f t="shared" si="370"/>
        <v>1257.060958737075</v>
      </c>
      <c r="R52" s="10">
        <f t="shared" si="370"/>
        <v>1263.4142238258685</v>
      </c>
      <c r="S52" s="10">
        <f t="shared" si="370"/>
        <v>1269.767488914662</v>
      </c>
      <c r="T52">
        <v>1276.1207540034559</v>
      </c>
      <c r="U52" s="10">
        <f t="shared" ref="U52:X52" si="371">T52+(($Y52-$T52)/5)</f>
        <v>1240.9445114062858</v>
      </c>
      <c r="V52" s="10">
        <f t="shared" si="371"/>
        <v>1205.7682688091156</v>
      </c>
      <c r="W52" s="10">
        <f t="shared" si="371"/>
        <v>1170.5920262119455</v>
      </c>
      <c r="X52" s="10">
        <f t="shared" si="371"/>
        <v>1135.4157836147754</v>
      </c>
      <c r="Y52">
        <v>1100.2395410176052</v>
      </c>
      <c r="Z52" s="10">
        <f t="shared" ref="Z52:AC52" si="372">Y52+(($AD52-$Y52)/5)</f>
        <v>1099.7172503037696</v>
      </c>
      <c r="AA52" s="10">
        <f t="shared" si="372"/>
        <v>1099.1949595899339</v>
      </c>
      <c r="AB52" s="10">
        <f t="shared" si="372"/>
        <v>1098.6726688760982</v>
      </c>
      <c r="AC52" s="10">
        <f t="shared" si="372"/>
        <v>1098.1503781622625</v>
      </c>
      <c r="AD52">
        <v>1097.6280874484264</v>
      </c>
      <c r="AE52" s="10">
        <f t="shared" ref="AE52:AH52" si="373">AD52+(($AI52-$AD52)/5)</f>
        <v>1094.3971105280079</v>
      </c>
      <c r="AF52" s="10">
        <f t="shared" si="373"/>
        <v>1091.1661336075895</v>
      </c>
      <c r="AG52" s="10">
        <f t="shared" si="373"/>
        <v>1087.935156687171</v>
      </c>
      <c r="AH52" s="10">
        <f t="shared" si="373"/>
        <v>1084.7041797667525</v>
      </c>
      <c r="AI52">
        <v>1081.4732028463338</v>
      </c>
      <c r="AJ52" s="10">
        <f t="shared" ref="AJ52:AM52" si="374">AI52+(($AN52-$AI52)/5)</f>
        <v>1079.1283675472425</v>
      </c>
      <c r="AK52" s="10">
        <f t="shared" si="374"/>
        <v>1076.7835322481512</v>
      </c>
      <c r="AL52" s="10">
        <f t="shared" si="374"/>
        <v>1074.4386969490599</v>
      </c>
      <c r="AM52" s="10">
        <f t="shared" si="374"/>
        <v>1072.0938616499686</v>
      </c>
      <c r="AN52">
        <v>1069.7490263508778</v>
      </c>
      <c r="AO52" s="10">
        <f t="shared" ref="AO52:AX52" si="375">AN52</f>
        <v>1069.7490263508778</v>
      </c>
      <c r="AP52" s="10">
        <f t="shared" si="375"/>
        <v>1069.7490263508778</v>
      </c>
      <c r="AQ52" s="10">
        <f t="shared" si="375"/>
        <v>1069.7490263508778</v>
      </c>
      <c r="AR52" s="10">
        <f t="shared" si="375"/>
        <v>1069.7490263508778</v>
      </c>
      <c r="AS52" s="10">
        <f t="shared" si="375"/>
        <v>1069.7490263508778</v>
      </c>
      <c r="AT52" s="10">
        <f t="shared" si="375"/>
        <v>1069.7490263508778</v>
      </c>
      <c r="AU52" s="10">
        <f t="shared" si="375"/>
        <v>1069.7490263508778</v>
      </c>
      <c r="AV52" s="10">
        <f t="shared" si="375"/>
        <v>1069.7490263508778</v>
      </c>
      <c r="AW52" s="10">
        <f t="shared" si="375"/>
        <v>1069.7490263508778</v>
      </c>
      <c r="AX52" s="10">
        <f t="shared" si="375"/>
        <v>1069.7490263508778</v>
      </c>
    </row>
    <row r="53" spans="1:50" x14ac:dyDescent="0.3">
      <c r="A53" t="s">
        <v>1413</v>
      </c>
      <c r="B53" t="s">
        <v>1435</v>
      </c>
      <c r="C53">
        <v>1243.5399999999995</v>
      </c>
      <c r="D53">
        <v>1117.4929999999997</v>
      </c>
      <c r="E53">
        <v>1192.0551818181816</v>
      </c>
      <c r="F53" s="10">
        <f t="shared" ref="F53:I53" si="376">E53+(($J53-$E53)/5)</f>
        <v>1199.854052447816</v>
      </c>
      <c r="G53" s="10">
        <f t="shared" si="376"/>
        <v>1207.6529230774504</v>
      </c>
      <c r="H53" s="10">
        <f t="shared" si="376"/>
        <v>1215.4517937070848</v>
      </c>
      <c r="I53" s="10">
        <f t="shared" si="376"/>
        <v>1223.2506643367192</v>
      </c>
      <c r="J53">
        <v>1231.0495349663531</v>
      </c>
      <c r="K53" s="10">
        <f t="shared" ref="K53:N53" si="377">J53+(($O53-$J53)/5)</f>
        <v>1266.1797464011363</v>
      </c>
      <c r="L53" s="10">
        <f t="shared" si="377"/>
        <v>1301.3099578359195</v>
      </c>
      <c r="M53" s="10">
        <f t="shared" si="377"/>
        <v>1336.4401692707027</v>
      </c>
      <c r="N53" s="10">
        <f t="shared" si="377"/>
        <v>1371.5703807054858</v>
      </c>
      <c r="O53">
        <v>1406.7005921402688</v>
      </c>
      <c r="P53" s="10">
        <f t="shared" ref="P53:S53" si="378">O53+(($T53-$O53)/5)</f>
        <v>1433.4613714044383</v>
      </c>
      <c r="Q53" s="10">
        <f t="shared" si="378"/>
        <v>1460.2221506686078</v>
      </c>
      <c r="R53" s="10">
        <f t="shared" si="378"/>
        <v>1486.9829299327773</v>
      </c>
      <c r="S53" s="10">
        <f t="shared" si="378"/>
        <v>1513.7437091969468</v>
      </c>
      <c r="T53">
        <v>1540.5044884611159</v>
      </c>
      <c r="U53" s="10">
        <f t="shared" ref="U53:X53" si="379">T53+(($Y53-$T53)/5)</f>
        <v>1529.6692819671864</v>
      </c>
      <c r="V53" s="10">
        <f t="shared" si="379"/>
        <v>1518.8340754732569</v>
      </c>
      <c r="W53" s="10">
        <f t="shared" si="379"/>
        <v>1507.9988689793274</v>
      </c>
      <c r="X53" s="10">
        <f t="shared" si="379"/>
        <v>1497.1636624853979</v>
      </c>
      <c r="Y53">
        <v>1486.328455991468</v>
      </c>
      <c r="Z53" s="10">
        <f t="shared" ref="Z53:AC53" si="380">Y53+(($AD53-$Y53)/5)</f>
        <v>1485.6943478944956</v>
      </c>
      <c r="AA53" s="10">
        <f t="shared" si="380"/>
        <v>1485.0602397975233</v>
      </c>
      <c r="AB53" s="10">
        <f t="shared" si="380"/>
        <v>1484.426131700551</v>
      </c>
      <c r="AC53" s="10">
        <f t="shared" si="380"/>
        <v>1483.7920236035786</v>
      </c>
      <c r="AD53">
        <v>1483.1579155066065</v>
      </c>
      <c r="AE53" s="10">
        <f t="shared" ref="AE53:AH53" si="381">AD53+(($AI53-$AD53)/5)</f>
        <v>1485.777585910075</v>
      </c>
      <c r="AF53" s="10">
        <f t="shared" si="381"/>
        <v>1488.3972563135435</v>
      </c>
      <c r="AG53" s="10">
        <f t="shared" si="381"/>
        <v>1491.016926717012</v>
      </c>
      <c r="AH53" s="10">
        <f t="shared" si="381"/>
        <v>1493.6365971204805</v>
      </c>
      <c r="AI53">
        <v>1496.256267523949</v>
      </c>
      <c r="AJ53" s="10">
        <f t="shared" ref="AJ53:AM53" si="382">AI53+(($AN53-$AI53)/5)</f>
        <v>1499.1763662101421</v>
      </c>
      <c r="AK53" s="10">
        <f t="shared" si="382"/>
        <v>1502.0964648963352</v>
      </c>
      <c r="AL53" s="10">
        <f t="shared" si="382"/>
        <v>1505.0165635825283</v>
      </c>
      <c r="AM53" s="10">
        <f t="shared" si="382"/>
        <v>1507.9366622687214</v>
      </c>
      <c r="AN53">
        <v>1510.8567609549148</v>
      </c>
      <c r="AO53" s="10">
        <f t="shared" ref="AO53:AX53" si="383">AN53</f>
        <v>1510.8567609549148</v>
      </c>
      <c r="AP53" s="10">
        <f t="shared" si="383"/>
        <v>1510.8567609549148</v>
      </c>
      <c r="AQ53" s="10">
        <f t="shared" si="383"/>
        <v>1510.8567609549148</v>
      </c>
      <c r="AR53" s="10">
        <f t="shared" si="383"/>
        <v>1510.8567609549148</v>
      </c>
      <c r="AS53" s="10">
        <f t="shared" si="383"/>
        <v>1510.8567609549148</v>
      </c>
      <c r="AT53" s="10">
        <f t="shared" si="383"/>
        <v>1510.8567609549148</v>
      </c>
      <c r="AU53" s="10">
        <f t="shared" si="383"/>
        <v>1510.8567609549148</v>
      </c>
      <c r="AV53" s="10">
        <f t="shared" si="383"/>
        <v>1510.8567609549148</v>
      </c>
      <c r="AW53" s="10">
        <f t="shared" si="383"/>
        <v>1510.8567609549148</v>
      </c>
      <c r="AX53" s="10">
        <f t="shared" si="383"/>
        <v>1510.8567609549148</v>
      </c>
    </row>
    <row r="54" spans="1:50" x14ac:dyDescent="0.3">
      <c r="A54" t="s">
        <v>1414</v>
      </c>
      <c r="B54" t="s">
        <v>1434</v>
      </c>
      <c r="C54">
        <v>37208.060470160402</v>
      </c>
      <c r="D54">
        <v>29012.33694405821</v>
      </c>
      <c r="E54">
        <v>24941.217110369962</v>
      </c>
      <c r="F54" s="10">
        <f t="shared" ref="F54:I54" si="384">E54+(($J54-$E54)/5)</f>
        <v>24735.759822481457</v>
      </c>
      <c r="G54" s="10">
        <f t="shared" si="384"/>
        <v>24530.302534592953</v>
      </c>
      <c r="H54" s="10">
        <f t="shared" si="384"/>
        <v>24324.845246704448</v>
      </c>
      <c r="I54" s="10">
        <f t="shared" si="384"/>
        <v>24119.387958815943</v>
      </c>
      <c r="J54">
        <v>23913.930670927435</v>
      </c>
      <c r="K54" s="10">
        <f t="shared" ref="K54:N54" si="385">J54+(($O54-$J54)/5)</f>
        <v>24130.624383686347</v>
      </c>
      <c r="L54" s="10">
        <f t="shared" si="385"/>
        <v>24347.318096445259</v>
      </c>
      <c r="M54" s="10">
        <f t="shared" si="385"/>
        <v>24564.01180920417</v>
      </c>
      <c r="N54" s="10">
        <f t="shared" si="385"/>
        <v>24780.705521963082</v>
      </c>
      <c r="O54">
        <v>24997.399234721997</v>
      </c>
      <c r="P54" s="10">
        <f t="shared" ref="P54:S54" si="386">O54+(($T54-$O54)/5)</f>
        <v>24811.871530476328</v>
      </c>
      <c r="Q54" s="10">
        <f t="shared" si="386"/>
        <v>24626.343826230659</v>
      </c>
      <c r="R54" s="10">
        <f t="shared" si="386"/>
        <v>24440.81612198499</v>
      </c>
      <c r="S54" s="10">
        <f t="shared" si="386"/>
        <v>24255.288417739321</v>
      </c>
      <c r="T54">
        <v>24069.760713493644</v>
      </c>
      <c r="U54" s="10">
        <f t="shared" ref="U54:X54" si="387">T54+(($Y54-$T54)/5)</f>
        <v>23779.534042633633</v>
      </c>
      <c r="V54" s="10">
        <f t="shared" si="387"/>
        <v>23489.307371773622</v>
      </c>
      <c r="W54" s="10">
        <f t="shared" si="387"/>
        <v>23199.080700913612</v>
      </c>
      <c r="X54" s="10">
        <f t="shared" si="387"/>
        <v>22908.854030053601</v>
      </c>
      <c r="Y54">
        <v>22618.627359193582</v>
      </c>
      <c r="Z54" s="10">
        <f t="shared" ref="Z54:AC54" si="388">Y54+(($AD54-$Y54)/5)</f>
        <v>22410.116256167443</v>
      </c>
      <c r="AA54" s="10">
        <f t="shared" si="388"/>
        <v>22201.605153141303</v>
      </c>
      <c r="AB54" s="10">
        <f t="shared" si="388"/>
        <v>21993.094050115164</v>
      </c>
      <c r="AC54" s="10">
        <f t="shared" si="388"/>
        <v>21784.582947089024</v>
      </c>
      <c r="AD54">
        <v>21576.071844062877</v>
      </c>
      <c r="AE54" s="10">
        <f t="shared" ref="AE54:AH54" si="389">AD54+(($AI54-$AD54)/5)</f>
        <v>21429.741490685974</v>
      </c>
      <c r="AF54" s="10">
        <f t="shared" si="389"/>
        <v>21283.411137309071</v>
      </c>
      <c r="AG54" s="10">
        <f t="shared" si="389"/>
        <v>21137.080783932168</v>
      </c>
      <c r="AH54" s="10">
        <f t="shared" si="389"/>
        <v>20990.750430555265</v>
      </c>
      <c r="AI54">
        <v>20844.420077178362</v>
      </c>
      <c r="AJ54" s="10">
        <f t="shared" ref="AJ54:AM54" si="390">AI54+(($AN54-$AI54)/5)</f>
        <v>21031.534510334539</v>
      </c>
      <c r="AK54" s="10">
        <f t="shared" si="390"/>
        <v>21218.648943490716</v>
      </c>
      <c r="AL54" s="10">
        <f t="shared" si="390"/>
        <v>21405.763376646893</v>
      </c>
      <c r="AM54" s="10">
        <f t="shared" si="390"/>
        <v>21592.877809803071</v>
      </c>
      <c r="AN54">
        <v>21779.992242959248</v>
      </c>
      <c r="AO54" s="10">
        <f t="shared" ref="AO54:AX54" si="391">AN54</f>
        <v>21779.992242959248</v>
      </c>
      <c r="AP54" s="10">
        <f t="shared" si="391"/>
        <v>21779.992242959248</v>
      </c>
      <c r="AQ54" s="10">
        <f t="shared" si="391"/>
        <v>21779.992242959248</v>
      </c>
      <c r="AR54" s="10">
        <f t="shared" si="391"/>
        <v>21779.992242959248</v>
      </c>
      <c r="AS54" s="10">
        <f t="shared" si="391"/>
        <v>21779.992242959248</v>
      </c>
      <c r="AT54" s="10">
        <f t="shared" si="391"/>
        <v>21779.992242959248</v>
      </c>
      <c r="AU54" s="10">
        <f t="shared" si="391"/>
        <v>21779.992242959248</v>
      </c>
      <c r="AV54" s="10">
        <f t="shared" si="391"/>
        <v>21779.992242959248</v>
      </c>
      <c r="AW54" s="10">
        <f t="shared" si="391"/>
        <v>21779.992242959248</v>
      </c>
      <c r="AX54" s="10">
        <f t="shared" si="391"/>
        <v>21779.992242959248</v>
      </c>
    </row>
    <row r="55" spans="1:50" x14ac:dyDescent="0.3">
      <c r="A55" t="s">
        <v>1414</v>
      </c>
      <c r="B55" t="s">
        <v>1439</v>
      </c>
      <c r="C55">
        <v>22826.057470160398</v>
      </c>
      <c r="D55">
        <v>17093.010944058209</v>
      </c>
      <c r="E55">
        <v>14830.968677720783</v>
      </c>
      <c r="F55" s="10">
        <f t="shared" ref="F55:I55" si="392">E55+(($J55-$E55)/5)</f>
        <v>14628.045633115422</v>
      </c>
      <c r="G55" s="10">
        <f t="shared" si="392"/>
        <v>14425.122588510061</v>
      </c>
      <c r="H55" s="10">
        <f t="shared" si="392"/>
        <v>14222.1995439047</v>
      </c>
      <c r="I55" s="10">
        <f t="shared" si="392"/>
        <v>14019.27649929934</v>
      </c>
      <c r="J55">
        <v>13816.353454693983</v>
      </c>
      <c r="K55" s="10">
        <f t="shared" ref="K55:N55" si="393">J55+(($O55-$J55)/5)</f>
        <v>13911.066300099501</v>
      </c>
      <c r="L55" s="10">
        <f t="shared" si="393"/>
        <v>14005.779145505019</v>
      </c>
      <c r="M55" s="10">
        <f t="shared" si="393"/>
        <v>14100.491990910537</v>
      </c>
      <c r="N55" s="10">
        <f t="shared" si="393"/>
        <v>14195.204836316056</v>
      </c>
      <c r="O55">
        <v>14289.917681721576</v>
      </c>
      <c r="P55" s="10">
        <f t="shared" ref="P55:S55" si="394">O55+(($T55-$O55)/5)</f>
        <v>14199.054834419137</v>
      </c>
      <c r="Q55" s="10">
        <f t="shared" si="394"/>
        <v>14108.191987116699</v>
      </c>
      <c r="R55" s="10">
        <f t="shared" si="394"/>
        <v>14017.329139814261</v>
      </c>
      <c r="S55" s="10">
        <f t="shared" si="394"/>
        <v>13926.466292511823</v>
      </c>
      <c r="T55">
        <v>13835.603445209388</v>
      </c>
      <c r="U55" s="10">
        <f t="shared" ref="U55:X55" si="395">T55+(($Y55-$T55)/5)</f>
        <v>13642.385302883826</v>
      </c>
      <c r="V55" s="10">
        <f t="shared" si="395"/>
        <v>13449.167160558263</v>
      </c>
      <c r="W55" s="10">
        <f t="shared" si="395"/>
        <v>13255.949018232701</v>
      </c>
      <c r="X55" s="10">
        <f t="shared" si="395"/>
        <v>13062.730875907138</v>
      </c>
      <c r="Y55">
        <v>12869.512733581578</v>
      </c>
      <c r="Z55" s="10">
        <f t="shared" ref="Z55:AC55" si="396">Y55+(($AD55-$Y55)/5)</f>
        <v>12662.427792268523</v>
      </c>
      <c r="AA55" s="10">
        <f t="shared" si="396"/>
        <v>12455.342850955469</v>
      </c>
      <c r="AB55" s="10">
        <f t="shared" si="396"/>
        <v>12248.257909642414</v>
      </c>
      <c r="AC55" s="10">
        <f t="shared" si="396"/>
        <v>12041.17296832936</v>
      </c>
      <c r="AD55">
        <v>11834.088027016303</v>
      </c>
      <c r="AE55" s="10">
        <f t="shared" ref="AE55:AH55" si="397">AD55+(($AI55-$AD55)/5)</f>
        <v>11690.101628097851</v>
      </c>
      <c r="AF55" s="10">
        <f t="shared" si="397"/>
        <v>11546.115229179399</v>
      </c>
      <c r="AG55" s="10">
        <f t="shared" si="397"/>
        <v>11402.128830260946</v>
      </c>
      <c r="AH55" s="10">
        <f t="shared" si="397"/>
        <v>11258.142431342494</v>
      </c>
      <c r="AI55">
        <v>11114.156032424038</v>
      </c>
      <c r="AJ55" s="10">
        <f t="shared" ref="AJ55:AM55" si="398">AI55+(($AN55-$AI55)/5)</f>
        <v>11264.354709605923</v>
      </c>
      <c r="AK55" s="10">
        <f t="shared" si="398"/>
        <v>11414.553386787808</v>
      </c>
      <c r="AL55" s="10">
        <f t="shared" si="398"/>
        <v>11564.752063969692</v>
      </c>
      <c r="AM55" s="10">
        <f t="shared" si="398"/>
        <v>11714.950741151577</v>
      </c>
      <c r="AN55">
        <v>11865.149418333465</v>
      </c>
      <c r="AO55" s="10">
        <f t="shared" ref="AO55:AX55" si="399">AN55</f>
        <v>11865.149418333465</v>
      </c>
      <c r="AP55" s="10">
        <f t="shared" si="399"/>
        <v>11865.149418333465</v>
      </c>
      <c r="AQ55" s="10">
        <f t="shared" si="399"/>
        <v>11865.149418333465</v>
      </c>
      <c r="AR55" s="10">
        <f t="shared" si="399"/>
        <v>11865.149418333465</v>
      </c>
      <c r="AS55" s="10">
        <f t="shared" si="399"/>
        <v>11865.149418333465</v>
      </c>
      <c r="AT55" s="10">
        <f t="shared" si="399"/>
        <v>11865.149418333465</v>
      </c>
      <c r="AU55" s="10">
        <f t="shared" si="399"/>
        <v>11865.149418333465</v>
      </c>
      <c r="AV55" s="10">
        <f t="shared" si="399"/>
        <v>11865.149418333465</v>
      </c>
      <c r="AW55" s="10">
        <f t="shared" si="399"/>
        <v>11865.149418333465</v>
      </c>
      <c r="AX55" s="10">
        <f t="shared" si="399"/>
        <v>11865.149418333465</v>
      </c>
    </row>
    <row r="56" spans="1:50" x14ac:dyDescent="0.3">
      <c r="A56" t="s">
        <v>1414</v>
      </c>
      <c r="B56" t="s">
        <v>1435</v>
      </c>
      <c r="C56">
        <v>14382.003000000004</v>
      </c>
      <c r="D56">
        <v>11919.326000000001</v>
      </c>
      <c r="E56">
        <v>10110.248432649179</v>
      </c>
      <c r="F56" s="10">
        <f t="shared" ref="F56:I56" si="400">E56+(($J56-$E56)/5)</f>
        <v>10107.714189366034</v>
      </c>
      <c r="G56" s="10">
        <f t="shared" si="400"/>
        <v>10105.179946082888</v>
      </c>
      <c r="H56" s="10">
        <f t="shared" si="400"/>
        <v>10102.645702799742</v>
      </c>
      <c r="I56" s="10">
        <f t="shared" si="400"/>
        <v>10100.111459516596</v>
      </c>
      <c r="J56">
        <v>10097.577216233452</v>
      </c>
      <c r="K56" s="10">
        <f t="shared" ref="K56:N56" si="401">J56+(($O56-$J56)/5)</f>
        <v>10219.558083586846</v>
      </c>
      <c r="L56" s="10">
        <f t="shared" si="401"/>
        <v>10341.538950940239</v>
      </c>
      <c r="M56" s="10">
        <f t="shared" si="401"/>
        <v>10463.519818293633</v>
      </c>
      <c r="N56" s="10">
        <f t="shared" si="401"/>
        <v>10585.500685647026</v>
      </c>
      <c r="O56">
        <v>10707.481553000422</v>
      </c>
      <c r="P56" s="10">
        <f t="shared" ref="P56:S56" si="402">O56+(($T56-$O56)/5)</f>
        <v>10612.816696057189</v>
      </c>
      <c r="Q56" s="10">
        <f t="shared" si="402"/>
        <v>10518.151839113956</v>
      </c>
      <c r="R56" s="10">
        <f t="shared" si="402"/>
        <v>10423.486982170723</v>
      </c>
      <c r="S56" s="10">
        <f t="shared" si="402"/>
        <v>10328.822125227491</v>
      </c>
      <c r="T56">
        <v>10234.157268284256</v>
      </c>
      <c r="U56" s="10">
        <f t="shared" ref="U56:X56" si="403">T56+(($Y56-$T56)/5)</f>
        <v>10137.148739749806</v>
      </c>
      <c r="V56" s="10">
        <f t="shared" si="403"/>
        <v>10040.140211215356</v>
      </c>
      <c r="W56" s="10">
        <f t="shared" si="403"/>
        <v>9943.1316826809052</v>
      </c>
      <c r="X56" s="10">
        <f t="shared" si="403"/>
        <v>9846.1231541464549</v>
      </c>
      <c r="Y56">
        <v>9749.1146256120046</v>
      </c>
      <c r="Z56" s="10">
        <f t="shared" ref="Z56:AC56" si="404">Y56+(($AD56-$Y56)/5)</f>
        <v>9747.6884638989177</v>
      </c>
      <c r="AA56" s="10">
        <f t="shared" si="404"/>
        <v>9746.2623021858308</v>
      </c>
      <c r="AB56" s="10">
        <f t="shared" si="404"/>
        <v>9744.8361404727439</v>
      </c>
      <c r="AC56" s="10">
        <f t="shared" si="404"/>
        <v>9743.409978759657</v>
      </c>
      <c r="AD56">
        <v>9741.9838170465737</v>
      </c>
      <c r="AE56" s="10">
        <f t="shared" ref="AE56:AH56" si="405">AD56+(($AI56-$AD56)/5)</f>
        <v>9739.6398625881229</v>
      </c>
      <c r="AF56" s="10">
        <f t="shared" si="405"/>
        <v>9737.2959081296722</v>
      </c>
      <c r="AG56" s="10">
        <f t="shared" si="405"/>
        <v>9734.9519536712214</v>
      </c>
      <c r="AH56" s="10">
        <f t="shared" si="405"/>
        <v>9732.6079992127707</v>
      </c>
      <c r="AI56">
        <v>9730.2640447543235</v>
      </c>
      <c r="AJ56" s="10">
        <f t="shared" ref="AJ56:AM56" si="406">AI56+(($AN56-$AI56)/5)</f>
        <v>9767.1798007286161</v>
      </c>
      <c r="AK56" s="10">
        <f t="shared" si="406"/>
        <v>9804.0955567029087</v>
      </c>
      <c r="AL56" s="10">
        <f t="shared" si="406"/>
        <v>9841.0113126772012</v>
      </c>
      <c r="AM56" s="10">
        <f t="shared" si="406"/>
        <v>9877.9270686514938</v>
      </c>
      <c r="AN56">
        <v>9914.8428246257827</v>
      </c>
      <c r="AO56" s="10">
        <f t="shared" ref="AO56:AX56" si="407">AN56</f>
        <v>9914.8428246257827</v>
      </c>
      <c r="AP56" s="10">
        <f t="shared" si="407"/>
        <v>9914.8428246257827</v>
      </c>
      <c r="AQ56" s="10">
        <f t="shared" si="407"/>
        <v>9914.8428246257827</v>
      </c>
      <c r="AR56" s="10">
        <f t="shared" si="407"/>
        <v>9914.8428246257827</v>
      </c>
      <c r="AS56" s="10">
        <f t="shared" si="407"/>
        <v>9914.8428246257827</v>
      </c>
      <c r="AT56" s="10">
        <f t="shared" si="407"/>
        <v>9914.8428246257827</v>
      </c>
      <c r="AU56" s="10">
        <f t="shared" si="407"/>
        <v>9914.8428246257827</v>
      </c>
      <c r="AV56" s="10">
        <f t="shared" si="407"/>
        <v>9914.8428246257827</v>
      </c>
      <c r="AW56" s="10">
        <f t="shared" si="407"/>
        <v>9914.8428246257827</v>
      </c>
      <c r="AX56" s="10">
        <f t="shared" si="407"/>
        <v>9914.8428246257827</v>
      </c>
    </row>
    <row r="57" spans="1:50" x14ac:dyDescent="0.3">
      <c r="A57" t="s">
        <v>1415</v>
      </c>
      <c r="B57" t="s">
        <v>1434</v>
      </c>
      <c r="C57">
        <v>1057.595</v>
      </c>
      <c r="D57">
        <v>949.62999999999988</v>
      </c>
      <c r="E57">
        <v>982.75198608580195</v>
      </c>
      <c r="F57" s="10">
        <f t="shared" ref="F57:I57" si="408">E57+(($J57-$E57)/5)</f>
        <v>980.52664857470245</v>
      </c>
      <c r="G57" s="10">
        <f t="shared" si="408"/>
        <v>978.30131106360295</v>
      </c>
      <c r="H57" s="10">
        <f t="shared" si="408"/>
        <v>976.07597355250346</v>
      </c>
      <c r="I57" s="10">
        <f t="shared" si="408"/>
        <v>973.85063604140396</v>
      </c>
      <c r="J57">
        <v>971.62529853030446</v>
      </c>
      <c r="K57" s="10">
        <f t="shared" ref="K57:N57" si="409">J57+(($O57-$J57)/5)</f>
        <v>986.98241906629869</v>
      </c>
      <c r="L57" s="10">
        <f t="shared" si="409"/>
        <v>1002.3395396022929</v>
      </c>
      <c r="M57" s="10">
        <f t="shared" si="409"/>
        <v>1017.6966601382871</v>
      </c>
      <c r="N57" s="10">
        <f t="shared" si="409"/>
        <v>1033.0537806742814</v>
      </c>
      <c r="O57">
        <v>1048.4109012102754</v>
      </c>
      <c r="P57" s="10">
        <f t="shared" ref="P57:S57" si="410">O57+(($T57-$O57)/5)</f>
        <v>1043.0963307903951</v>
      </c>
      <c r="Q57" s="10">
        <f t="shared" si="410"/>
        <v>1037.7817603705148</v>
      </c>
      <c r="R57" s="10">
        <f t="shared" si="410"/>
        <v>1032.4671899506345</v>
      </c>
      <c r="S57" s="10">
        <f t="shared" si="410"/>
        <v>1027.1526195307542</v>
      </c>
      <c r="T57">
        <v>1021.8380491108742</v>
      </c>
      <c r="U57" s="10">
        <f t="shared" ref="U57:X57" si="411">T57+(($Y57-$T57)/5)</f>
        <v>1004.6878652579901</v>
      </c>
      <c r="V57" s="10">
        <f t="shared" si="411"/>
        <v>987.53768140510601</v>
      </c>
      <c r="W57" s="10">
        <f t="shared" si="411"/>
        <v>970.38749755222193</v>
      </c>
      <c r="X57" s="10">
        <f t="shared" si="411"/>
        <v>953.23731369933785</v>
      </c>
      <c r="Y57">
        <v>936.08712984645365</v>
      </c>
      <c r="Z57" s="10">
        <f t="shared" ref="Z57:AC57" si="412">Y57+(($AD57-$Y57)/5)</f>
        <v>928.53755371626312</v>
      </c>
      <c r="AA57" s="10">
        <f t="shared" si="412"/>
        <v>920.98797758607259</v>
      </c>
      <c r="AB57" s="10">
        <f t="shared" si="412"/>
        <v>913.43840145588206</v>
      </c>
      <c r="AC57" s="10">
        <f t="shared" si="412"/>
        <v>905.88882532569153</v>
      </c>
      <c r="AD57">
        <v>898.33924919550077</v>
      </c>
      <c r="AE57" s="10">
        <f t="shared" ref="AE57:AH57" si="413">AD57+(($AI57-$AD57)/5)</f>
        <v>898.6310368122812</v>
      </c>
      <c r="AF57" s="10">
        <f t="shared" si="413"/>
        <v>898.92282442906162</v>
      </c>
      <c r="AG57" s="10">
        <f t="shared" si="413"/>
        <v>899.21461204584205</v>
      </c>
      <c r="AH57" s="10">
        <f t="shared" si="413"/>
        <v>899.50639966262247</v>
      </c>
      <c r="AI57">
        <v>899.7981872794029</v>
      </c>
      <c r="AJ57" s="10">
        <f t="shared" ref="AJ57:AM57" si="414">AI57+(($AN57-$AI57)/5)</f>
        <v>904.68730242014328</v>
      </c>
      <c r="AK57" s="10">
        <f t="shared" si="414"/>
        <v>909.57641756088367</v>
      </c>
      <c r="AL57" s="10">
        <f t="shared" si="414"/>
        <v>914.46553270162406</v>
      </c>
      <c r="AM57" s="10">
        <f t="shared" si="414"/>
        <v>919.35464784236444</v>
      </c>
      <c r="AN57">
        <v>924.24376298310494</v>
      </c>
      <c r="AO57" s="10">
        <f t="shared" ref="AO57:AX57" si="415">AN57</f>
        <v>924.24376298310494</v>
      </c>
      <c r="AP57" s="10">
        <f t="shared" si="415"/>
        <v>924.24376298310494</v>
      </c>
      <c r="AQ57" s="10">
        <f t="shared" si="415"/>
        <v>924.24376298310494</v>
      </c>
      <c r="AR57" s="10">
        <f t="shared" si="415"/>
        <v>924.24376298310494</v>
      </c>
      <c r="AS57" s="10">
        <f t="shared" si="415"/>
        <v>924.24376298310494</v>
      </c>
      <c r="AT57" s="10">
        <f t="shared" si="415"/>
        <v>924.24376298310494</v>
      </c>
      <c r="AU57" s="10">
        <f t="shared" si="415"/>
        <v>924.24376298310494</v>
      </c>
      <c r="AV57" s="10">
        <f t="shared" si="415"/>
        <v>924.24376298310494</v>
      </c>
      <c r="AW57" s="10">
        <f t="shared" si="415"/>
        <v>924.24376298310494</v>
      </c>
      <c r="AX57" s="10">
        <f t="shared" si="415"/>
        <v>924.24376298310494</v>
      </c>
    </row>
    <row r="58" spans="1:50" x14ac:dyDescent="0.3">
      <c r="A58" t="s">
        <v>1415</v>
      </c>
      <c r="B58" t="s">
        <v>1439</v>
      </c>
      <c r="C58">
        <v>506.44474370321637</v>
      </c>
      <c r="D58">
        <v>538.19899999999996</v>
      </c>
      <c r="E58">
        <v>536.1355393560749</v>
      </c>
      <c r="F58" s="10">
        <f t="shared" ref="F58:I58" si="416">E58+(($J58-$E58)/5)</f>
        <v>536.51738967910603</v>
      </c>
      <c r="G58" s="10">
        <f t="shared" si="416"/>
        <v>536.89924000213716</v>
      </c>
      <c r="H58" s="10">
        <f t="shared" si="416"/>
        <v>537.28109032516829</v>
      </c>
      <c r="I58" s="10">
        <f t="shared" si="416"/>
        <v>537.66294064819942</v>
      </c>
      <c r="J58">
        <v>538.04479097123067</v>
      </c>
      <c r="K58" s="10">
        <f t="shared" ref="K58:N58" si="417">J58+(($O58-$J58)/5)</f>
        <v>542.1449926178484</v>
      </c>
      <c r="L58" s="10">
        <f t="shared" si="417"/>
        <v>546.24519426446614</v>
      </c>
      <c r="M58" s="10">
        <f t="shared" si="417"/>
        <v>550.34539591108387</v>
      </c>
      <c r="N58" s="10">
        <f t="shared" si="417"/>
        <v>554.4455975577016</v>
      </c>
      <c r="O58">
        <v>558.54579920431956</v>
      </c>
      <c r="P58" s="10">
        <f t="shared" ref="P58:S58" si="418">O58+(($T58-$O58)/5)</f>
        <v>553.66346126954375</v>
      </c>
      <c r="Q58" s="10">
        <f t="shared" si="418"/>
        <v>548.78112333476793</v>
      </c>
      <c r="R58" s="10">
        <f t="shared" si="418"/>
        <v>543.89878539999211</v>
      </c>
      <c r="S58" s="10">
        <f t="shared" si="418"/>
        <v>539.01644746521629</v>
      </c>
      <c r="T58">
        <v>534.13410953044036</v>
      </c>
      <c r="U58" s="10">
        <f t="shared" ref="U58:X58" si="419">T58+(($Y58-$T58)/5)</f>
        <v>523.73649826481926</v>
      </c>
      <c r="V58" s="10">
        <f t="shared" si="419"/>
        <v>513.33888699919817</v>
      </c>
      <c r="W58" s="10">
        <f t="shared" si="419"/>
        <v>502.94127573357713</v>
      </c>
      <c r="X58" s="10">
        <f t="shared" si="419"/>
        <v>492.54366446795609</v>
      </c>
      <c r="Y58">
        <v>482.14605320233511</v>
      </c>
      <c r="Z58" s="10">
        <f t="shared" ref="Z58:AC58" si="420">Y58+(($AD58-$Y58)/5)</f>
        <v>473.75592110419308</v>
      </c>
      <c r="AA58" s="10">
        <f t="shared" si="420"/>
        <v>465.36578900605105</v>
      </c>
      <c r="AB58" s="10">
        <f t="shared" si="420"/>
        <v>456.97565690790901</v>
      </c>
      <c r="AC58" s="10">
        <f t="shared" si="420"/>
        <v>448.58552480976698</v>
      </c>
      <c r="AD58">
        <v>440.19539271162489</v>
      </c>
      <c r="AE58" s="10">
        <f t="shared" ref="AE58:AH58" si="421">AD58+(($AI58-$AD58)/5)</f>
        <v>433.32916139485673</v>
      </c>
      <c r="AF58" s="10">
        <f t="shared" si="421"/>
        <v>426.46293007808856</v>
      </c>
      <c r="AG58" s="10">
        <f t="shared" si="421"/>
        <v>419.5966987613204</v>
      </c>
      <c r="AH58" s="10">
        <f t="shared" si="421"/>
        <v>412.73046744455223</v>
      </c>
      <c r="AI58">
        <v>405.86423612778395</v>
      </c>
      <c r="AJ58" s="10">
        <f t="shared" ref="AJ58:AM58" si="422">AI58+(($AN58-$AI58)/5)</f>
        <v>409.924201567409</v>
      </c>
      <c r="AK58" s="10">
        <f t="shared" si="422"/>
        <v>413.98416700703405</v>
      </c>
      <c r="AL58" s="10">
        <f t="shared" si="422"/>
        <v>418.04413244665909</v>
      </c>
      <c r="AM58" s="10">
        <f t="shared" si="422"/>
        <v>422.10409788628414</v>
      </c>
      <c r="AN58">
        <v>426.16406332590918</v>
      </c>
      <c r="AO58" s="10">
        <f t="shared" ref="AO58:AX58" si="423">AN58</f>
        <v>426.16406332590918</v>
      </c>
      <c r="AP58" s="10">
        <f t="shared" si="423"/>
        <v>426.16406332590918</v>
      </c>
      <c r="AQ58" s="10">
        <f t="shared" si="423"/>
        <v>426.16406332590918</v>
      </c>
      <c r="AR58" s="10">
        <f t="shared" si="423"/>
        <v>426.16406332590918</v>
      </c>
      <c r="AS58" s="10">
        <f t="shared" si="423"/>
        <v>426.16406332590918</v>
      </c>
      <c r="AT58" s="10">
        <f t="shared" si="423"/>
        <v>426.16406332590918</v>
      </c>
      <c r="AU58" s="10">
        <f t="shared" si="423"/>
        <v>426.16406332590918</v>
      </c>
      <c r="AV58" s="10">
        <f t="shared" si="423"/>
        <v>426.16406332590918</v>
      </c>
      <c r="AW58" s="10">
        <f t="shared" si="423"/>
        <v>426.16406332590918</v>
      </c>
      <c r="AX58" s="10">
        <f t="shared" si="423"/>
        <v>426.16406332590918</v>
      </c>
    </row>
    <row r="59" spans="1:50" x14ac:dyDescent="0.3">
      <c r="A59" t="s">
        <v>1415</v>
      </c>
      <c r="B59" t="s">
        <v>1435</v>
      </c>
      <c r="C59">
        <v>551.15025629678371</v>
      </c>
      <c r="D59">
        <v>411.43099999999993</v>
      </c>
      <c r="E59">
        <v>446.61644672972704</v>
      </c>
      <c r="F59" s="10">
        <f t="shared" ref="F59:I59" si="424">E59+(($J59-$E59)/5)</f>
        <v>444.00925889559642</v>
      </c>
      <c r="G59" s="10">
        <f t="shared" si="424"/>
        <v>441.40207106146579</v>
      </c>
      <c r="H59" s="10">
        <f t="shared" si="424"/>
        <v>438.79488322733516</v>
      </c>
      <c r="I59" s="10">
        <f t="shared" si="424"/>
        <v>436.18769539320454</v>
      </c>
      <c r="J59">
        <v>433.58050755907379</v>
      </c>
      <c r="K59" s="10">
        <f t="shared" ref="K59:N59" si="425">J59+(($O59-$J59)/5)</f>
        <v>444.83742644845017</v>
      </c>
      <c r="L59" s="10">
        <f t="shared" si="425"/>
        <v>456.09434533782655</v>
      </c>
      <c r="M59" s="10">
        <f t="shared" si="425"/>
        <v>467.35126422720293</v>
      </c>
      <c r="N59" s="10">
        <f t="shared" si="425"/>
        <v>478.60818311657931</v>
      </c>
      <c r="O59">
        <v>489.8651020059558</v>
      </c>
      <c r="P59" s="10">
        <f t="shared" ref="P59:S59" si="426">O59+(($T59-$O59)/5)</f>
        <v>489.4328695208514</v>
      </c>
      <c r="Q59" s="10">
        <f t="shared" si="426"/>
        <v>489.00063703574699</v>
      </c>
      <c r="R59" s="10">
        <f t="shared" si="426"/>
        <v>488.56840455064258</v>
      </c>
      <c r="S59" s="10">
        <f t="shared" si="426"/>
        <v>488.13617206553818</v>
      </c>
      <c r="T59">
        <v>487.70393958043383</v>
      </c>
      <c r="U59" s="10">
        <f t="shared" ref="U59:X59" si="427">T59+(($Y59-$T59)/5)</f>
        <v>480.95136699317078</v>
      </c>
      <c r="V59" s="10">
        <f t="shared" si="427"/>
        <v>474.19879440590773</v>
      </c>
      <c r="W59" s="10">
        <f t="shared" si="427"/>
        <v>467.44622181864469</v>
      </c>
      <c r="X59" s="10">
        <f t="shared" si="427"/>
        <v>460.69364923138164</v>
      </c>
      <c r="Y59">
        <v>453.94107664411854</v>
      </c>
      <c r="Z59" s="10">
        <f t="shared" ref="Z59:AC59" si="428">Y59+(($AD59-$Y59)/5)</f>
        <v>454.78163261206998</v>
      </c>
      <c r="AA59" s="10">
        <f t="shared" si="428"/>
        <v>455.62218858002143</v>
      </c>
      <c r="AB59" s="10">
        <f t="shared" si="428"/>
        <v>456.46274454797287</v>
      </c>
      <c r="AC59" s="10">
        <f t="shared" si="428"/>
        <v>457.30330051592432</v>
      </c>
      <c r="AD59">
        <v>458.14385648387588</v>
      </c>
      <c r="AE59" s="10">
        <f t="shared" ref="AE59:AH59" si="429">AD59+(($AI59-$AD59)/5)</f>
        <v>465.30187541742447</v>
      </c>
      <c r="AF59" s="10">
        <f t="shared" si="429"/>
        <v>472.45989435097306</v>
      </c>
      <c r="AG59" s="10">
        <f t="shared" si="429"/>
        <v>479.61791328452165</v>
      </c>
      <c r="AH59" s="10">
        <f t="shared" si="429"/>
        <v>486.77593221807024</v>
      </c>
      <c r="AI59">
        <v>493.93395115161894</v>
      </c>
      <c r="AJ59" s="10">
        <f t="shared" ref="AJ59:AM59" si="430">AI59+(($AN59-$AI59)/5)</f>
        <v>494.76310085273428</v>
      </c>
      <c r="AK59" s="10">
        <f t="shared" si="430"/>
        <v>495.59225055384962</v>
      </c>
      <c r="AL59" s="10">
        <f t="shared" si="430"/>
        <v>496.42140025496496</v>
      </c>
      <c r="AM59" s="10">
        <f t="shared" si="430"/>
        <v>497.25054995608031</v>
      </c>
      <c r="AN59">
        <v>498.07969965719576</v>
      </c>
      <c r="AO59" s="10">
        <f t="shared" ref="AO59:AX59" si="431">AN59</f>
        <v>498.07969965719576</v>
      </c>
      <c r="AP59" s="10">
        <f t="shared" si="431"/>
        <v>498.07969965719576</v>
      </c>
      <c r="AQ59" s="10">
        <f t="shared" si="431"/>
        <v>498.07969965719576</v>
      </c>
      <c r="AR59" s="10">
        <f t="shared" si="431"/>
        <v>498.07969965719576</v>
      </c>
      <c r="AS59" s="10">
        <f t="shared" si="431"/>
        <v>498.07969965719576</v>
      </c>
      <c r="AT59" s="10">
        <f t="shared" si="431"/>
        <v>498.07969965719576</v>
      </c>
      <c r="AU59" s="10">
        <f t="shared" si="431"/>
        <v>498.07969965719576</v>
      </c>
      <c r="AV59" s="10">
        <f t="shared" si="431"/>
        <v>498.07969965719576</v>
      </c>
      <c r="AW59" s="10">
        <f t="shared" si="431"/>
        <v>498.07969965719576</v>
      </c>
      <c r="AX59" s="10">
        <f t="shared" si="431"/>
        <v>498.07969965719576</v>
      </c>
    </row>
    <row r="60" spans="1:50" x14ac:dyDescent="0.3">
      <c r="A60" t="s">
        <v>1416</v>
      </c>
      <c r="B60" t="s">
        <v>1434</v>
      </c>
      <c r="C60">
        <v>780.78800000000012</v>
      </c>
      <c r="D60">
        <v>754.67100000015205</v>
      </c>
      <c r="E60">
        <v>645.72800000002565</v>
      </c>
      <c r="F60" s="10">
        <f t="shared" ref="F60:I60" si="432">E60+(($J60-$E60)/5)</f>
        <v>636.11039401371556</v>
      </c>
      <c r="G60" s="10">
        <f t="shared" si="432"/>
        <v>626.49278802740548</v>
      </c>
      <c r="H60" s="10">
        <f t="shared" si="432"/>
        <v>616.8751820410954</v>
      </c>
      <c r="I60" s="10">
        <f t="shared" si="432"/>
        <v>607.25757605478532</v>
      </c>
      <c r="J60">
        <v>597.63997006847535</v>
      </c>
      <c r="K60" s="10">
        <f t="shared" ref="K60:N60" si="433">J60+(($O60-$J60)/5)</f>
        <v>599.08212461706603</v>
      </c>
      <c r="L60" s="10">
        <f t="shared" si="433"/>
        <v>600.52427916565671</v>
      </c>
      <c r="M60" s="10">
        <f t="shared" si="433"/>
        <v>601.96643371424739</v>
      </c>
      <c r="N60" s="10">
        <f t="shared" si="433"/>
        <v>603.40858826283807</v>
      </c>
      <c r="O60">
        <v>604.85074281142852</v>
      </c>
      <c r="P60" s="10">
        <f t="shared" ref="P60:S60" si="434">O60+(($T60-$O60)/5)</f>
        <v>600.07117746712754</v>
      </c>
      <c r="Q60" s="10">
        <f t="shared" si="434"/>
        <v>595.29161212282656</v>
      </c>
      <c r="R60" s="10">
        <f t="shared" si="434"/>
        <v>590.51204677852559</v>
      </c>
      <c r="S60" s="10">
        <f t="shared" si="434"/>
        <v>585.73248143422461</v>
      </c>
      <c r="T60">
        <v>580.95291608992375</v>
      </c>
      <c r="U60" s="10">
        <f t="shared" ref="U60:X60" si="435">T60+(($Y60-$T60)/5)</f>
        <v>574.87570609818863</v>
      </c>
      <c r="V60" s="10">
        <f t="shared" si="435"/>
        <v>568.79849610645351</v>
      </c>
      <c r="W60" s="10">
        <f t="shared" si="435"/>
        <v>562.7212861147184</v>
      </c>
      <c r="X60" s="10">
        <f t="shared" si="435"/>
        <v>556.64407612298328</v>
      </c>
      <c r="Y60">
        <v>550.56686613124816</v>
      </c>
      <c r="Z60" s="10">
        <f t="shared" ref="Z60:AC60" si="436">Y60+(($AD60-$Y60)/5)</f>
        <v>545.61439294528543</v>
      </c>
      <c r="AA60" s="10">
        <f t="shared" si="436"/>
        <v>540.6619197593227</v>
      </c>
      <c r="AB60" s="10">
        <f t="shared" si="436"/>
        <v>535.70944657335997</v>
      </c>
      <c r="AC60" s="10">
        <f t="shared" si="436"/>
        <v>530.75697338739724</v>
      </c>
      <c r="AD60">
        <v>525.80450020143439</v>
      </c>
      <c r="AE60" s="10">
        <f t="shared" ref="AE60:AH60" si="437">AD60+(($AI60-$AD60)/5)</f>
        <v>522.53017507983122</v>
      </c>
      <c r="AF60" s="10">
        <f t="shared" si="437"/>
        <v>519.25584995822805</v>
      </c>
      <c r="AG60" s="10">
        <f t="shared" si="437"/>
        <v>515.98152483662489</v>
      </c>
      <c r="AH60" s="10">
        <f t="shared" si="437"/>
        <v>512.70719971502172</v>
      </c>
      <c r="AI60">
        <v>509.43287459341843</v>
      </c>
      <c r="AJ60" s="10">
        <f t="shared" ref="AJ60:AM60" si="438">AI60+(($AN60-$AI60)/5)</f>
        <v>505.17393024041547</v>
      </c>
      <c r="AK60" s="10">
        <f t="shared" si="438"/>
        <v>500.91498588741251</v>
      </c>
      <c r="AL60" s="10">
        <f t="shared" si="438"/>
        <v>496.65604153440955</v>
      </c>
      <c r="AM60" s="10">
        <f t="shared" si="438"/>
        <v>492.39709718140659</v>
      </c>
      <c r="AN60">
        <v>488.13815282840375</v>
      </c>
      <c r="AO60" s="10">
        <f t="shared" ref="AO60:AX60" si="439">AN60</f>
        <v>488.13815282840375</v>
      </c>
      <c r="AP60" s="10">
        <f t="shared" si="439"/>
        <v>488.13815282840375</v>
      </c>
      <c r="AQ60" s="10">
        <f t="shared" si="439"/>
        <v>488.13815282840375</v>
      </c>
      <c r="AR60" s="10">
        <f t="shared" si="439"/>
        <v>488.13815282840375</v>
      </c>
      <c r="AS60" s="10">
        <f t="shared" si="439"/>
        <v>488.13815282840375</v>
      </c>
      <c r="AT60" s="10">
        <f t="shared" si="439"/>
        <v>488.13815282840375</v>
      </c>
      <c r="AU60" s="10">
        <f t="shared" si="439"/>
        <v>488.13815282840375</v>
      </c>
      <c r="AV60" s="10">
        <f t="shared" si="439"/>
        <v>488.13815282840375</v>
      </c>
      <c r="AW60" s="10">
        <f t="shared" si="439"/>
        <v>488.13815282840375</v>
      </c>
      <c r="AX60" s="10">
        <f t="shared" si="439"/>
        <v>488.13815282840375</v>
      </c>
    </row>
    <row r="61" spans="1:50" x14ac:dyDescent="0.3">
      <c r="A61" t="s">
        <v>1416</v>
      </c>
      <c r="B61" t="s">
        <v>1439</v>
      </c>
      <c r="C61">
        <v>607.38600000000008</v>
      </c>
      <c r="D61">
        <v>605.71800000015207</v>
      </c>
      <c r="E61">
        <v>493.2410000000001</v>
      </c>
      <c r="F61" s="10">
        <f t="shared" ref="F61:I61" si="440">E61+(($J61-$E61)/5)</f>
        <v>488.8689041809867</v>
      </c>
      <c r="G61" s="10">
        <f t="shared" si="440"/>
        <v>484.49680836197331</v>
      </c>
      <c r="H61" s="10">
        <f t="shared" si="440"/>
        <v>480.12471254295991</v>
      </c>
      <c r="I61" s="10">
        <f t="shared" si="440"/>
        <v>475.75261672394652</v>
      </c>
      <c r="J61">
        <v>471.38052090493301</v>
      </c>
      <c r="K61" s="10">
        <f t="shared" ref="K61:N61" si="441">J61+(($O61-$J61)/5)</f>
        <v>470.56734268915102</v>
      </c>
      <c r="L61" s="10">
        <f t="shared" si="441"/>
        <v>469.75416447336903</v>
      </c>
      <c r="M61" s="10">
        <f t="shared" si="441"/>
        <v>468.94098625758704</v>
      </c>
      <c r="N61" s="10">
        <f t="shared" si="441"/>
        <v>468.12780804180505</v>
      </c>
      <c r="O61">
        <v>467.31462982602307</v>
      </c>
      <c r="P61" s="10">
        <f t="shared" ref="P61:S61" si="442">O61+(($T61-$O61)/5)</f>
        <v>462.49544148217416</v>
      </c>
      <c r="Q61" s="10">
        <f t="shared" si="442"/>
        <v>457.67625313832525</v>
      </c>
      <c r="R61" s="10">
        <f t="shared" si="442"/>
        <v>452.85706479447634</v>
      </c>
      <c r="S61" s="10">
        <f t="shared" si="442"/>
        <v>448.03787645062744</v>
      </c>
      <c r="T61">
        <v>443.21868810677864</v>
      </c>
      <c r="U61" s="10">
        <f t="shared" ref="U61:X61" si="443">T61+(($Y61-$T61)/5)</f>
        <v>437.78099798282204</v>
      </c>
      <c r="V61" s="10">
        <f t="shared" si="443"/>
        <v>432.34330785886544</v>
      </c>
      <c r="W61" s="10">
        <f t="shared" si="443"/>
        <v>426.90561773490884</v>
      </c>
      <c r="X61" s="10">
        <f t="shared" si="443"/>
        <v>421.46792761095224</v>
      </c>
      <c r="Y61">
        <v>416.03023748699559</v>
      </c>
      <c r="Z61" s="10">
        <f t="shared" ref="Z61:AC61" si="444">Y61+(($AD61-$Y61)/5)</f>
        <v>411.19026467928097</v>
      </c>
      <c r="AA61" s="10">
        <f t="shared" si="444"/>
        <v>406.35029187156636</v>
      </c>
      <c r="AB61" s="10">
        <f t="shared" si="444"/>
        <v>401.51031906385174</v>
      </c>
      <c r="AC61" s="10">
        <f t="shared" si="444"/>
        <v>396.67034625613712</v>
      </c>
      <c r="AD61">
        <v>391.83037344842245</v>
      </c>
      <c r="AE61" s="10">
        <f t="shared" ref="AE61:AH61" si="445">AD61+(($AI61-$AD61)/5)</f>
        <v>388.35723335979327</v>
      </c>
      <c r="AF61" s="10">
        <f t="shared" si="445"/>
        <v>384.88409327116409</v>
      </c>
      <c r="AG61" s="10">
        <f t="shared" si="445"/>
        <v>381.41095318253491</v>
      </c>
      <c r="AH61" s="10">
        <f t="shared" si="445"/>
        <v>377.93781309390573</v>
      </c>
      <c r="AI61">
        <v>374.46467300527661</v>
      </c>
      <c r="AJ61" s="10">
        <f t="shared" ref="AJ61:AM61" si="446">AI61+(($AN61-$AI61)/5)</f>
        <v>369.9221798491123</v>
      </c>
      <c r="AK61" s="10">
        <f t="shared" si="446"/>
        <v>365.37968669294798</v>
      </c>
      <c r="AL61" s="10">
        <f t="shared" si="446"/>
        <v>360.83719353678367</v>
      </c>
      <c r="AM61" s="10">
        <f t="shared" si="446"/>
        <v>356.29470038061936</v>
      </c>
      <c r="AN61">
        <v>351.75220722445499</v>
      </c>
      <c r="AO61" s="10">
        <f t="shared" ref="AO61:AX61" si="447">AN61</f>
        <v>351.75220722445499</v>
      </c>
      <c r="AP61" s="10">
        <f t="shared" si="447"/>
        <v>351.75220722445499</v>
      </c>
      <c r="AQ61" s="10">
        <f t="shared" si="447"/>
        <v>351.75220722445499</v>
      </c>
      <c r="AR61" s="10">
        <f t="shared" si="447"/>
        <v>351.75220722445499</v>
      </c>
      <c r="AS61" s="10">
        <f t="shared" si="447"/>
        <v>351.75220722445499</v>
      </c>
      <c r="AT61" s="10">
        <f t="shared" si="447"/>
        <v>351.75220722445499</v>
      </c>
      <c r="AU61" s="10">
        <f t="shared" si="447"/>
        <v>351.75220722445499</v>
      </c>
      <c r="AV61" s="10">
        <f t="shared" si="447"/>
        <v>351.75220722445499</v>
      </c>
      <c r="AW61" s="10">
        <f t="shared" si="447"/>
        <v>351.75220722445499</v>
      </c>
      <c r="AX61" s="10">
        <f t="shared" si="447"/>
        <v>351.75220722445499</v>
      </c>
    </row>
    <row r="62" spans="1:50" x14ac:dyDescent="0.3">
      <c r="A62" t="s">
        <v>1416</v>
      </c>
      <c r="B62" t="s">
        <v>1435</v>
      </c>
      <c r="C62">
        <v>173.40200000000004</v>
      </c>
      <c r="D62">
        <v>148.95299999999997</v>
      </c>
      <c r="E62">
        <v>152.48700000002555</v>
      </c>
      <c r="F62" s="10">
        <f t="shared" ref="F62:I62" si="448">E62+(($J62-$E62)/5)</f>
        <v>147.24148983272892</v>
      </c>
      <c r="G62" s="10">
        <f t="shared" si="448"/>
        <v>141.99597966543229</v>
      </c>
      <c r="H62" s="10">
        <f t="shared" si="448"/>
        <v>136.75046949813566</v>
      </c>
      <c r="I62" s="10">
        <f t="shared" si="448"/>
        <v>131.50495933083903</v>
      </c>
      <c r="J62">
        <v>126.25944916354234</v>
      </c>
      <c r="K62" s="10">
        <f t="shared" ref="K62:N62" si="449">J62+(($O62-$J62)/5)</f>
        <v>128.51478192791495</v>
      </c>
      <c r="L62" s="10">
        <f t="shared" si="449"/>
        <v>130.77011469228756</v>
      </c>
      <c r="M62" s="10">
        <f t="shared" si="449"/>
        <v>133.02544745666017</v>
      </c>
      <c r="N62" s="10">
        <f t="shared" si="449"/>
        <v>135.28078022103278</v>
      </c>
      <c r="O62">
        <v>137.53611298540545</v>
      </c>
      <c r="P62" s="10">
        <f t="shared" ref="P62:S62" si="450">O62+(($T62-$O62)/5)</f>
        <v>137.57573598495338</v>
      </c>
      <c r="Q62" s="10">
        <f t="shared" si="450"/>
        <v>137.61535898450131</v>
      </c>
      <c r="R62" s="10">
        <f t="shared" si="450"/>
        <v>137.65498198404924</v>
      </c>
      <c r="S62" s="10">
        <f t="shared" si="450"/>
        <v>137.69460498359717</v>
      </c>
      <c r="T62">
        <v>137.7342279831451</v>
      </c>
      <c r="U62" s="10">
        <f t="shared" ref="U62:X62" si="451">T62+(($Y62-$T62)/5)</f>
        <v>137.09470811536659</v>
      </c>
      <c r="V62" s="10">
        <f t="shared" si="451"/>
        <v>136.45518824758807</v>
      </c>
      <c r="W62" s="10">
        <f t="shared" si="451"/>
        <v>135.81566837980955</v>
      </c>
      <c r="X62" s="10">
        <f t="shared" si="451"/>
        <v>135.17614851203103</v>
      </c>
      <c r="Y62">
        <v>134.53662864425257</v>
      </c>
      <c r="Z62" s="10">
        <f t="shared" ref="Z62:AC62" si="452">Y62+(($AD62-$Y62)/5)</f>
        <v>134.42412826600446</v>
      </c>
      <c r="AA62" s="10">
        <f t="shared" si="452"/>
        <v>134.31162788775634</v>
      </c>
      <c r="AB62" s="10">
        <f t="shared" si="452"/>
        <v>134.19912750950823</v>
      </c>
      <c r="AC62" s="10">
        <f t="shared" si="452"/>
        <v>134.08662713126012</v>
      </c>
      <c r="AD62">
        <v>133.97412675301194</v>
      </c>
      <c r="AE62" s="10">
        <f t="shared" ref="AE62:AH62" si="453">AD62+(($AI62-$AD62)/5)</f>
        <v>134.17294172003793</v>
      </c>
      <c r="AF62" s="10">
        <f t="shared" si="453"/>
        <v>134.37175668706391</v>
      </c>
      <c r="AG62" s="10">
        <f t="shared" si="453"/>
        <v>134.57057165408989</v>
      </c>
      <c r="AH62" s="10">
        <f t="shared" si="453"/>
        <v>134.76938662111587</v>
      </c>
      <c r="AI62">
        <v>134.96820158814182</v>
      </c>
      <c r="AJ62" s="10">
        <f t="shared" ref="AJ62:AM62" si="454">AI62+(($AN62-$AI62)/5)</f>
        <v>135.2517503913032</v>
      </c>
      <c r="AK62" s="10">
        <f t="shared" si="454"/>
        <v>135.53529919446459</v>
      </c>
      <c r="AL62" s="10">
        <f t="shared" si="454"/>
        <v>135.81884799762597</v>
      </c>
      <c r="AM62" s="10">
        <f t="shared" si="454"/>
        <v>136.10239680078735</v>
      </c>
      <c r="AN62">
        <v>136.38594560394876</v>
      </c>
      <c r="AO62" s="10">
        <f t="shared" ref="AO62:AX62" si="455">AN62</f>
        <v>136.38594560394876</v>
      </c>
      <c r="AP62" s="10">
        <f t="shared" si="455"/>
        <v>136.38594560394876</v>
      </c>
      <c r="AQ62" s="10">
        <f t="shared" si="455"/>
        <v>136.38594560394876</v>
      </c>
      <c r="AR62" s="10">
        <f t="shared" si="455"/>
        <v>136.38594560394876</v>
      </c>
      <c r="AS62" s="10">
        <f t="shared" si="455"/>
        <v>136.38594560394876</v>
      </c>
      <c r="AT62" s="10">
        <f t="shared" si="455"/>
        <v>136.38594560394876</v>
      </c>
      <c r="AU62" s="10">
        <f t="shared" si="455"/>
        <v>136.38594560394876</v>
      </c>
      <c r="AV62" s="10">
        <f t="shared" si="455"/>
        <v>136.38594560394876</v>
      </c>
      <c r="AW62" s="10">
        <f t="shared" si="455"/>
        <v>136.38594560394876</v>
      </c>
      <c r="AX62" s="10">
        <f t="shared" si="455"/>
        <v>136.38594560394876</v>
      </c>
    </row>
    <row r="63" spans="1:50" x14ac:dyDescent="0.3">
      <c r="A63" t="s">
        <v>1417</v>
      </c>
      <c r="B63" t="s">
        <v>1434</v>
      </c>
      <c r="C63">
        <v>698.62400000000002</v>
      </c>
      <c r="D63">
        <v>773.84999498968546</v>
      </c>
      <c r="E63">
        <v>787.78298821502585</v>
      </c>
      <c r="F63" s="10">
        <f t="shared" ref="F63:I63" si="456">E63+(($J63-$E63)/5)</f>
        <v>784.76654263306204</v>
      </c>
      <c r="G63" s="10">
        <f t="shared" si="456"/>
        <v>781.75009705109824</v>
      </c>
      <c r="H63" s="10">
        <f t="shared" si="456"/>
        <v>778.73365146913443</v>
      </c>
      <c r="I63" s="10">
        <f t="shared" si="456"/>
        <v>775.71720588717062</v>
      </c>
      <c r="J63">
        <v>772.70076030520681</v>
      </c>
      <c r="K63" s="10">
        <f t="shared" ref="K63:N63" si="457">J63+(($O63-$J63)/5)</f>
        <v>781.41243987576422</v>
      </c>
      <c r="L63" s="10">
        <f t="shared" si="457"/>
        <v>790.12411944632163</v>
      </c>
      <c r="M63" s="10">
        <f t="shared" si="457"/>
        <v>798.83579901687904</v>
      </c>
      <c r="N63" s="10">
        <f t="shared" si="457"/>
        <v>807.54747858743644</v>
      </c>
      <c r="O63">
        <v>816.25915815799374</v>
      </c>
      <c r="P63" s="10">
        <f t="shared" ref="P63:S63" si="458">O63+(($T63-$O63)/5)</f>
        <v>812.43026731313398</v>
      </c>
      <c r="Q63" s="10">
        <f t="shared" si="458"/>
        <v>808.60137646827422</v>
      </c>
      <c r="R63" s="10">
        <f t="shared" si="458"/>
        <v>804.77248562341447</v>
      </c>
      <c r="S63" s="10">
        <f t="shared" si="458"/>
        <v>800.94359477855471</v>
      </c>
      <c r="T63">
        <v>797.11470393369484</v>
      </c>
      <c r="U63" s="10">
        <f t="shared" ref="U63:X63" si="459">T63+(($Y63-$T63)/5)</f>
        <v>797.63033462585463</v>
      </c>
      <c r="V63" s="10">
        <f t="shared" si="459"/>
        <v>798.14596531801442</v>
      </c>
      <c r="W63" s="10">
        <f t="shared" si="459"/>
        <v>798.66159601017421</v>
      </c>
      <c r="X63" s="10">
        <f t="shared" si="459"/>
        <v>799.177226702334</v>
      </c>
      <c r="Y63">
        <v>799.6928573944939</v>
      </c>
      <c r="Z63" s="10">
        <f t="shared" ref="Z63:AC63" si="460">Y63+(($AD63-$Y63)/5)</f>
        <v>788.15106883957435</v>
      </c>
      <c r="AA63" s="10">
        <f t="shared" si="460"/>
        <v>776.6092802846548</v>
      </c>
      <c r="AB63" s="10">
        <f t="shared" si="460"/>
        <v>765.06749172973525</v>
      </c>
      <c r="AC63" s="10">
        <f t="shared" si="460"/>
        <v>753.5257031748157</v>
      </c>
      <c r="AD63">
        <v>741.98391461989638</v>
      </c>
      <c r="AE63" s="10">
        <f t="shared" ref="AE63:AH63" si="461">AD63+(($AI63-$AD63)/5)</f>
        <v>732.74734323490452</v>
      </c>
      <c r="AF63" s="10">
        <f t="shared" si="461"/>
        <v>723.51077184991266</v>
      </c>
      <c r="AG63" s="10">
        <f t="shared" si="461"/>
        <v>714.2742004649208</v>
      </c>
      <c r="AH63" s="10">
        <f t="shared" si="461"/>
        <v>705.03762907992893</v>
      </c>
      <c r="AI63">
        <v>695.80105769493684</v>
      </c>
      <c r="AJ63" s="10">
        <f t="shared" ref="AJ63:AM63" si="462">AI63+(($AN63-$AI63)/5)</f>
        <v>688.70074248454921</v>
      </c>
      <c r="AK63" s="10">
        <f t="shared" si="462"/>
        <v>681.60042727416158</v>
      </c>
      <c r="AL63" s="10">
        <f t="shared" si="462"/>
        <v>674.50011206377394</v>
      </c>
      <c r="AM63" s="10">
        <f t="shared" si="462"/>
        <v>667.39979685338631</v>
      </c>
      <c r="AN63">
        <v>660.29948164299867</v>
      </c>
      <c r="AO63" s="10">
        <f t="shared" ref="AO63:AX63" si="463">AN63</f>
        <v>660.29948164299867</v>
      </c>
      <c r="AP63" s="10">
        <f t="shared" si="463"/>
        <v>660.29948164299867</v>
      </c>
      <c r="AQ63" s="10">
        <f t="shared" si="463"/>
        <v>660.29948164299867</v>
      </c>
      <c r="AR63" s="10">
        <f t="shared" si="463"/>
        <v>660.29948164299867</v>
      </c>
      <c r="AS63" s="10">
        <f t="shared" si="463"/>
        <v>660.29948164299867</v>
      </c>
      <c r="AT63" s="10">
        <f t="shared" si="463"/>
        <v>660.29948164299867</v>
      </c>
      <c r="AU63" s="10">
        <f t="shared" si="463"/>
        <v>660.29948164299867</v>
      </c>
      <c r="AV63" s="10">
        <f t="shared" si="463"/>
        <v>660.29948164299867</v>
      </c>
      <c r="AW63" s="10">
        <f t="shared" si="463"/>
        <v>660.29948164299867</v>
      </c>
      <c r="AX63" s="10">
        <f t="shared" si="463"/>
        <v>660.29948164299867</v>
      </c>
    </row>
    <row r="64" spans="1:50" x14ac:dyDescent="0.3">
      <c r="A64" t="s">
        <v>1417</v>
      </c>
      <c r="B64" t="s">
        <v>1439</v>
      </c>
      <c r="C64">
        <v>281.63400000000001</v>
      </c>
      <c r="D64">
        <v>304.91899498968547</v>
      </c>
      <c r="E64">
        <v>178.22068821423332</v>
      </c>
      <c r="F64" s="10">
        <f t="shared" ref="F64:I64" si="464">E64+(($J64-$E64)/5)</f>
        <v>174.84308970177807</v>
      </c>
      <c r="G64" s="10">
        <f t="shared" si="464"/>
        <v>171.46549118932282</v>
      </c>
      <c r="H64" s="10">
        <f t="shared" si="464"/>
        <v>168.08789267686757</v>
      </c>
      <c r="I64" s="10">
        <f t="shared" si="464"/>
        <v>164.71029416441232</v>
      </c>
      <c r="J64">
        <v>161.33269565195701</v>
      </c>
      <c r="K64" s="10">
        <f t="shared" ref="K64:N64" si="465">J64+(($O64-$J64)/5)</f>
        <v>161.82006156246541</v>
      </c>
      <c r="L64" s="10">
        <f t="shared" si="465"/>
        <v>162.30742747297381</v>
      </c>
      <c r="M64" s="10">
        <f t="shared" si="465"/>
        <v>162.79479338348222</v>
      </c>
      <c r="N64" s="10">
        <f t="shared" si="465"/>
        <v>163.28215929399062</v>
      </c>
      <c r="O64">
        <v>163.76952520449908</v>
      </c>
      <c r="P64" s="10">
        <f t="shared" ref="P64:S64" si="466">O64+(($T64-$O64)/5)</f>
        <v>159.5212717772535</v>
      </c>
      <c r="Q64" s="10">
        <f t="shared" si="466"/>
        <v>155.27301835000793</v>
      </c>
      <c r="R64" s="10">
        <f t="shared" si="466"/>
        <v>151.02476492276236</v>
      </c>
      <c r="S64" s="10">
        <f t="shared" si="466"/>
        <v>146.77651149551679</v>
      </c>
      <c r="T64">
        <v>142.52825806827127</v>
      </c>
      <c r="U64" s="10">
        <f t="shared" ref="U64:X64" si="467">T64+(($Y64-$T64)/5)</f>
        <v>141.9526304241418</v>
      </c>
      <c r="V64" s="10">
        <f t="shared" si="467"/>
        <v>141.37700278001233</v>
      </c>
      <c r="W64" s="10">
        <f t="shared" si="467"/>
        <v>140.80137513588286</v>
      </c>
      <c r="X64" s="10">
        <f t="shared" si="467"/>
        <v>140.2257474917534</v>
      </c>
      <c r="Y64">
        <v>139.65011984762396</v>
      </c>
      <c r="Z64" s="10">
        <f t="shared" ref="Z64:AC64" si="468">Y64+(($AD64-$Y64)/5)</f>
        <v>136.68578971079845</v>
      </c>
      <c r="AA64" s="10">
        <f t="shared" si="468"/>
        <v>133.72145957397294</v>
      </c>
      <c r="AB64" s="10">
        <f t="shared" si="468"/>
        <v>130.75712943714743</v>
      </c>
      <c r="AC64" s="10">
        <f t="shared" si="468"/>
        <v>127.79279930032193</v>
      </c>
      <c r="AD64">
        <v>124.82846916349645</v>
      </c>
      <c r="AE64" s="10">
        <f t="shared" ref="AE64:AH64" si="469">AD64+(($AI64-$AD64)/5)</f>
        <v>122.82271145462198</v>
      </c>
      <c r="AF64" s="10">
        <f t="shared" si="469"/>
        <v>120.81695374574751</v>
      </c>
      <c r="AG64" s="10">
        <f t="shared" si="469"/>
        <v>118.81119603687304</v>
      </c>
      <c r="AH64" s="10">
        <f t="shared" si="469"/>
        <v>116.80543832799857</v>
      </c>
      <c r="AI64">
        <v>114.79968061912408</v>
      </c>
      <c r="AJ64" s="10">
        <f t="shared" ref="AJ64:AM64" si="470">AI64+(($AN64-$AI64)/5)</f>
        <v>113.81559425050493</v>
      </c>
      <c r="AK64" s="10">
        <f t="shared" si="470"/>
        <v>112.83150788188578</v>
      </c>
      <c r="AL64" s="10">
        <f t="shared" si="470"/>
        <v>111.84742151326664</v>
      </c>
      <c r="AM64" s="10">
        <f t="shared" si="470"/>
        <v>110.86333514464749</v>
      </c>
      <c r="AN64">
        <v>109.87924877602836</v>
      </c>
      <c r="AO64" s="10">
        <f t="shared" ref="AO64:AX64" si="471">AN64</f>
        <v>109.87924877602836</v>
      </c>
      <c r="AP64" s="10">
        <f t="shared" si="471"/>
        <v>109.87924877602836</v>
      </c>
      <c r="AQ64" s="10">
        <f t="shared" si="471"/>
        <v>109.87924877602836</v>
      </c>
      <c r="AR64" s="10">
        <f t="shared" si="471"/>
        <v>109.87924877602836</v>
      </c>
      <c r="AS64" s="10">
        <f t="shared" si="471"/>
        <v>109.87924877602836</v>
      </c>
      <c r="AT64" s="10">
        <f t="shared" si="471"/>
        <v>109.87924877602836</v>
      </c>
      <c r="AU64" s="10">
        <f t="shared" si="471"/>
        <v>109.87924877602836</v>
      </c>
      <c r="AV64" s="10">
        <f t="shared" si="471"/>
        <v>109.87924877602836</v>
      </c>
      <c r="AW64" s="10">
        <f t="shared" si="471"/>
        <v>109.87924877602836</v>
      </c>
      <c r="AX64" s="10">
        <f t="shared" si="471"/>
        <v>109.87924877602836</v>
      </c>
    </row>
    <row r="65" spans="1:50" x14ac:dyDescent="0.3">
      <c r="A65" t="s">
        <v>1417</v>
      </c>
      <c r="B65" t="s">
        <v>1435</v>
      </c>
      <c r="C65">
        <v>416.99</v>
      </c>
      <c r="D65">
        <v>468.93099999999998</v>
      </c>
      <c r="E65">
        <v>609.56230000079256</v>
      </c>
      <c r="F65" s="10">
        <f t="shared" ref="F65:I65" si="472">E65+(($J65-$E65)/5)</f>
        <v>609.92345293128403</v>
      </c>
      <c r="G65" s="10">
        <f t="shared" si="472"/>
        <v>610.2846058617755</v>
      </c>
      <c r="H65" s="10">
        <f t="shared" si="472"/>
        <v>610.64575879226697</v>
      </c>
      <c r="I65" s="10">
        <f t="shared" si="472"/>
        <v>611.00691172275845</v>
      </c>
      <c r="J65">
        <v>611.3680646532498</v>
      </c>
      <c r="K65" s="10">
        <f t="shared" ref="K65:N65" si="473">J65+(($O65-$J65)/5)</f>
        <v>619.59237831329881</v>
      </c>
      <c r="L65" s="10">
        <f t="shared" si="473"/>
        <v>627.81669197334782</v>
      </c>
      <c r="M65" s="10">
        <f t="shared" si="473"/>
        <v>636.04100563339682</v>
      </c>
      <c r="N65" s="10">
        <f t="shared" si="473"/>
        <v>644.26531929344583</v>
      </c>
      <c r="O65">
        <v>652.48963295349472</v>
      </c>
      <c r="P65" s="10">
        <f t="shared" ref="P65:S65" si="474">O65+(($T65-$O65)/5)</f>
        <v>652.90899553588054</v>
      </c>
      <c r="Q65" s="10">
        <f t="shared" si="474"/>
        <v>653.32835811826635</v>
      </c>
      <c r="R65" s="10">
        <f t="shared" si="474"/>
        <v>653.74772070065217</v>
      </c>
      <c r="S65" s="10">
        <f t="shared" si="474"/>
        <v>654.16708328303798</v>
      </c>
      <c r="T65">
        <v>654.58644586542357</v>
      </c>
      <c r="U65" s="10">
        <f t="shared" ref="U65:X65" si="475">T65+(($Y65-$T65)/5)</f>
        <v>655.6777042017128</v>
      </c>
      <c r="V65" s="10">
        <f t="shared" si="475"/>
        <v>656.76896253800203</v>
      </c>
      <c r="W65" s="10">
        <f t="shared" si="475"/>
        <v>657.86022087429126</v>
      </c>
      <c r="X65" s="10">
        <f t="shared" si="475"/>
        <v>658.95147921058049</v>
      </c>
      <c r="Y65">
        <v>660.04273754686994</v>
      </c>
      <c r="Z65" s="10">
        <f t="shared" ref="Z65:AC65" si="476">Y65+(($AD65-$Y65)/5)</f>
        <v>651.46527912877593</v>
      </c>
      <c r="AA65" s="10">
        <f t="shared" si="476"/>
        <v>642.88782071068192</v>
      </c>
      <c r="AB65" s="10">
        <f t="shared" si="476"/>
        <v>634.31036229258791</v>
      </c>
      <c r="AC65" s="10">
        <f t="shared" si="476"/>
        <v>625.7329038744939</v>
      </c>
      <c r="AD65">
        <v>617.15544545639989</v>
      </c>
      <c r="AE65" s="10">
        <f t="shared" ref="AE65:AH65" si="477">AD65+(($AI65-$AD65)/5)</f>
        <v>609.92463178028243</v>
      </c>
      <c r="AF65" s="10">
        <f t="shared" si="477"/>
        <v>602.69381810416496</v>
      </c>
      <c r="AG65" s="10">
        <f t="shared" si="477"/>
        <v>595.4630044280475</v>
      </c>
      <c r="AH65" s="10">
        <f t="shared" si="477"/>
        <v>588.23219075193003</v>
      </c>
      <c r="AI65">
        <v>581.0013770758128</v>
      </c>
      <c r="AJ65" s="10">
        <f t="shared" ref="AJ65:AM65" si="478">AI65+(($AN65-$AI65)/5)</f>
        <v>574.88514823404432</v>
      </c>
      <c r="AK65" s="10">
        <f t="shared" si="478"/>
        <v>568.76891939227585</v>
      </c>
      <c r="AL65" s="10">
        <f t="shared" si="478"/>
        <v>562.65269055050737</v>
      </c>
      <c r="AM65" s="10">
        <f t="shared" si="478"/>
        <v>556.5364617087389</v>
      </c>
      <c r="AN65">
        <v>550.42023286697031</v>
      </c>
      <c r="AO65" s="10">
        <f t="shared" ref="AO65:AX65" si="479">AN65</f>
        <v>550.42023286697031</v>
      </c>
      <c r="AP65" s="10">
        <f t="shared" si="479"/>
        <v>550.42023286697031</v>
      </c>
      <c r="AQ65" s="10">
        <f t="shared" si="479"/>
        <v>550.42023286697031</v>
      </c>
      <c r="AR65" s="10">
        <f t="shared" si="479"/>
        <v>550.42023286697031</v>
      </c>
      <c r="AS65" s="10">
        <f t="shared" si="479"/>
        <v>550.42023286697031</v>
      </c>
      <c r="AT65" s="10">
        <f t="shared" si="479"/>
        <v>550.42023286697031</v>
      </c>
      <c r="AU65" s="10">
        <f t="shared" si="479"/>
        <v>550.42023286697031</v>
      </c>
      <c r="AV65" s="10">
        <f t="shared" si="479"/>
        <v>550.42023286697031</v>
      </c>
      <c r="AW65" s="10">
        <f t="shared" si="479"/>
        <v>550.42023286697031</v>
      </c>
      <c r="AX65" s="10">
        <f t="shared" si="479"/>
        <v>550.42023286697031</v>
      </c>
    </row>
    <row r="66" spans="1:50" x14ac:dyDescent="0.3">
      <c r="A66" t="s">
        <v>1418</v>
      </c>
      <c r="B66" t="s">
        <v>1434</v>
      </c>
      <c r="C66">
        <v>62.969281988391607</v>
      </c>
      <c r="D66">
        <v>53.297203422514045</v>
      </c>
      <c r="E66">
        <v>54.621522737897543</v>
      </c>
      <c r="F66" s="10">
        <f t="shared" ref="F66:I66" si="480">E66+(($J66-$E66)/5)</f>
        <v>53.954151986990027</v>
      </c>
      <c r="G66" s="10">
        <f t="shared" si="480"/>
        <v>53.286781236082511</v>
      </c>
      <c r="H66" s="10">
        <f t="shared" si="480"/>
        <v>52.619410485174996</v>
      </c>
      <c r="I66" s="10">
        <f t="shared" si="480"/>
        <v>51.95203973426748</v>
      </c>
      <c r="J66">
        <v>51.28466898335995</v>
      </c>
      <c r="K66" s="10">
        <f t="shared" ref="K66:N66" si="481">J66+(($O66-$J66)/5)</f>
        <v>53.730194577557342</v>
      </c>
      <c r="L66" s="10">
        <f t="shared" si="481"/>
        <v>56.175720171754733</v>
      </c>
      <c r="M66" s="10">
        <f t="shared" si="481"/>
        <v>58.621245765952125</v>
      </c>
      <c r="N66" s="10">
        <f t="shared" si="481"/>
        <v>61.066771360149517</v>
      </c>
      <c r="O66">
        <v>63.512296954346894</v>
      </c>
      <c r="P66" s="10">
        <f t="shared" ref="P66:S66" si="482">O66+(($T66-$O66)/5)</f>
        <v>66.162953553361433</v>
      </c>
      <c r="Q66" s="10">
        <f t="shared" si="482"/>
        <v>68.813610152375972</v>
      </c>
      <c r="R66" s="10">
        <f t="shared" si="482"/>
        <v>71.464266751390511</v>
      </c>
      <c r="S66" s="10">
        <f t="shared" si="482"/>
        <v>74.11492335040505</v>
      </c>
      <c r="T66">
        <v>76.765579949419617</v>
      </c>
      <c r="U66" s="10">
        <f t="shared" ref="U66:X66" si="483">T66+(($Y66-$T66)/5)</f>
        <v>77.01951677838332</v>
      </c>
      <c r="V66" s="10">
        <f t="shared" si="483"/>
        <v>77.273453607347022</v>
      </c>
      <c r="W66" s="10">
        <f t="shared" si="483"/>
        <v>77.527390436310725</v>
      </c>
      <c r="X66" s="10">
        <f t="shared" si="483"/>
        <v>77.781327265274427</v>
      </c>
      <c r="Y66">
        <v>78.035264094238102</v>
      </c>
      <c r="Z66" s="10">
        <f t="shared" ref="Z66:AC66" si="484">Y66+(($AD66-$Y66)/5)</f>
        <v>78.809716769548785</v>
      </c>
      <c r="AA66" s="10">
        <f t="shared" si="484"/>
        <v>79.584169444859469</v>
      </c>
      <c r="AB66" s="10">
        <f t="shared" si="484"/>
        <v>80.358622120170153</v>
      </c>
      <c r="AC66" s="10">
        <f t="shared" si="484"/>
        <v>81.133074795480837</v>
      </c>
      <c r="AD66">
        <v>81.907527470791507</v>
      </c>
      <c r="AE66" s="10">
        <f t="shared" ref="AE66:AH66" si="485">AD66+(($AI66-$AD66)/5)</f>
        <v>82.86451734340703</v>
      </c>
      <c r="AF66" s="10">
        <f t="shared" si="485"/>
        <v>83.821507216022553</v>
      </c>
      <c r="AG66" s="10">
        <f t="shared" si="485"/>
        <v>84.778497088638076</v>
      </c>
      <c r="AH66" s="10">
        <f t="shared" si="485"/>
        <v>85.735486961253599</v>
      </c>
      <c r="AI66">
        <v>86.692476833869122</v>
      </c>
      <c r="AJ66" s="10">
        <f t="shared" ref="AJ66:AM66" si="486">AI66+(($AN66-$AI66)/5)</f>
        <v>86.882186764816254</v>
      </c>
      <c r="AK66" s="10">
        <f t="shared" si="486"/>
        <v>87.071896695763385</v>
      </c>
      <c r="AL66" s="10">
        <f t="shared" si="486"/>
        <v>87.261606626710517</v>
      </c>
      <c r="AM66" s="10">
        <f t="shared" si="486"/>
        <v>87.451316557657648</v>
      </c>
      <c r="AN66">
        <v>87.64102648860478</v>
      </c>
      <c r="AO66" s="10">
        <f t="shared" ref="AO66:AX66" si="487">AN66</f>
        <v>87.64102648860478</v>
      </c>
      <c r="AP66" s="10">
        <f t="shared" si="487"/>
        <v>87.64102648860478</v>
      </c>
      <c r="AQ66" s="10">
        <f t="shared" si="487"/>
        <v>87.64102648860478</v>
      </c>
      <c r="AR66" s="10">
        <f t="shared" si="487"/>
        <v>87.64102648860478</v>
      </c>
      <c r="AS66" s="10">
        <f t="shared" si="487"/>
        <v>87.64102648860478</v>
      </c>
      <c r="AT66" s="10">
        <f t="shared" si="487"/>
        <v>87.64102648860478</v>
      </c>
      <c r="AU66" s="10">
        <f t="shared" si="487"/>
        <v>87.64102648860478</v>
      </c>
      <c r="AV66" s="10">
        <f t="shared" si="487"/>
        <v>87.64102648860478</v>
      </c>
      <c r="AW66" s="10">
        <f t="shared" si="487"/>
        <v>87.64102648860478</v>
      </c>
      <c r="AX66" s="10">
        <f t="shared" si="487"/>
        <v>87.64102648860478</v>
      </c>
    </row>
    <row r="67" spans="1:50" x14ac:dyDescent="0.3">
      <c r="A67" t="s">
        <v>1418</v>
      </c>
      <c r="B67" t="s">
        <v>1439</v>
      </c>
      <c r="C67">
        <v>15.265948254288244</v>
      </c>
      <c r="D67">
        <v>7.574733622244409</v>
      </c>
      <c r="E67">
        <v>7.6872747119427114</v>
      </c>
      <c r="F67" s="10">
        <f t="shared" ref="F67:I67" si="488">E67+(($J67-$E67)/5)</f>
        <v>7.6376887620943466</v>
      </c>
      <c r="G67" s="10">
        <f t="shared" si="488"/>
        <v>7.5881028122459817</v>
      </c>
      <c r="H67" s="10">
        <f t="shared" si="488"/>
        <v>7.5385168623976169</v>
      </c>
      <c r="I67" s="10">
        <f t="shared" si="488"/>
        <v>7.488930912549252</v>
      </c>
      <c r="J67">
        <v>7.4393449627008881</v>
      </c>
      <c r="K67" s="10">
        <f t="shared" ref="K67:N67" si="489">J67+(($O67-$J67)/5)</f>
        <v>7.5719837678467838</v>
      </c>
      <c r="L67" s="10">
        <f t="shared" si="489"/>
        <v>7.7046225729926796</v>
      </c>
      <c r="M67" s="10">
        <f t="shared" si="489"/>
        <v>7.8372613781385754</v>
      </c>
      <c r="N67" s="10">
        <f t="shared" si="489"/>
        <v>7.9699001832844711</v>
      </c>
      <c r="O67">
        <v>8.1025389884303678</v>
      </c>
      <c r="P67" s="10">
        <f t="shared" ref="P67:S67" si="490">O67+(($T67-$O67)/5)</f>
        <v>8.2009533718492822</v>
      </c>
      <c r="Q67" s="10">
        <f t="shared" si="490"/>
        <v>8.2993677552681966</v>
      </c>
      <c r="R67" s="10">
        <f t="shared" si="490"/>
        <v>8.397782138687111</v>
      </c>
      <c r="S67" s="10">
        <f t="shared" si="490"/>
        <v>8.4961965221060254</v>
      </c>
      <c r="T67">
        <v>8.5946109055249416</v>
      </c>
      <c r="U67" s="10">
        <f t="shared" ref="U67:X67" si="491">T67+(($Y67-$T67)/5)</f>
        <v>8.6411719628737984</v>
      </c>
      <c r="V67" s="10">
        <f t="shared" si="491"/>
        <v>8.6877330202226553</v>
      </c>
      <c r="W67" s="10">
        <f t="shared" si="491"/>
        <v>8.7342940775715121</v>
      </c>
      <c r="X67" s="10">
        <f t="shared" si="491"/>
        <v>8.780855134920369</v>
      </c>
      <c r="Y67">
        <v>8.8274161922692276</v>
      </c>
      <c r="Z67" s="10">
        <f t="shared" ref="Z67:AC67" si="492">Y67+(($AD67-$Y67)/5)</f>
        <v>8.8420022634603743</v>
      </c>
      <c r="AA67" s="10">
        <f t="shared" si="492"/>
        <v>8.8565883346515211</v>
      </c>
      <c r="AB67" s="10">
        <f t="shared" si="492"/>
        <v>8.8711744058426678</v>
      </c>
      <c r="AC67" s="10">
        <f t="shared" si="492"/>
        <v>8.8857604770338146</v>
      </c>
      <c r="AD67">
        <v>8.9003465482249577</v>
      </c>
      <c r="AE67" s="10">
        <f t="shared" ref="AE67:AH67" si="493">AD67+(($AI67-$AD67)/5)</f>
        <v>8.8968782359522329</v>
      </c>
      <c r="AF67" s="10">
        <f t="shared" si="493"/>
        <v>8.8934099236795081</v>
      </c>
      <c r="AG67" s="10">
        <f t="shared" si="493"/>
        <v>8.8899416114067833</v>
      </c>
      <c r="AH67" s="10">
        <f t="shared" si="493"/>
        <v>8.8864732991340585</v>
      </c>
      <c r="AI67">
        <v>8.8830049868613337</v>
      </c>
      <c r="AJ67" s="10">
        <f t="shared" ref="AJ67:AM67" si="494">AI67+(($AN67-$AI67)/5)</f>
        <v>8.88158902878342</v>
      </c>
      <c r="AK67" s="10">
        <f t="shared" si="494"/>
        <v>8.8801730707055064</v>
      </c>
      <c r="AL67" s="10">
        <f t="shared" si="494"/>
        <v>8.8787571126275928</v>
      </c>
      <c r="AM67" s="10">
        <f t="shared" si="494"/>
        <v>8.8773411545496792</v>
      </c>
      <c r="AN67">
        <v>8.8759251964717656</v>
      </c>
      <c r="AO67" s="10">
        <f t="shared" ref="AO67:AX67" si="495">AN67</f>
        <v>8.8759251964717656</v>
      </c>
      <c r="AP67" s="10">
        <f t="shared" si="495"/>
        <v>8.8759251964717656</v>
      </c>
      <c r="AQ67" s="10">
        <f t="shared" si="495"/>
        <v>8.8759251964717656</v>
      </c>
      <c r="AR67" s="10">
        <f t="shared" si="495"/>
        <v>8.8759251964717656</v>
      </c>
      <c r="AS67" s="10">
        <f t="shared" si="495"/>
        <v>8.8759251964717656</v>
      </c>
      <c r="AT67" s="10">
        <f t="shared" si="495"/>
        <v>8.8759251964717656</v>
      </c>
      <c r="AU67" s="10">
        <f t="shared" si="495"/>
        <v>8.8759251964717656</v>
      </c>
      <c r="AV67" s="10">
        <f t="shared" si="495"/>
        <v>8.8759251964717656</v>
      </c>
      <c r="AW67" s="10">
        <f t="shared" si="495"/>
        <v>8.8759251964717656</v>
      </c>
      <c r="AX67" s="10">
        <f t="shared" si="495"/>
        <v>8.8759251964717656</v>
      </c>
    </row>
    <row r="68" spans="1:50" x14ac:dyDescent="0.3">
      <c r="A68" t="s">
        <v>1418</v>
      </c>
      <c r="B68" t="s">
        <v>1435</v>
      </c>
      <c r="C68">
        <v>47.703333734103367</v>
      </c>
      <c r="D68">
        <v>45.722469800269636</v>
      </c>
      <c r="E68">
        <v>46.93424802595483</v>
      </c>
      <c r="F68" s="10">
        <f t="shared" ref="F68:I68" si="496">E68+(($J68-$E68)/5)</f>
        <v>46.316463224895678</v>
      </c>
      <c r="G68" s="10">
        <f t="shared" si="496"/>
        <v>45.698678423836526</v>
      </c>
      <c r="H68" s="10">
        <f t="shared" si="496"/>
        <v>45.080893622777374</v>
      </c>
      <c r="I68" s="10">
        <f t="shared" si="496"/>
        <v>44.463108821718222</v>
      </c>
      <c r="J68">
        <v>43.845324020659064</v>
      </c>
      <c r="K68" s="10">
        <f t="shared" ref="K68:N68" si="497">J68+(($O68-$J68)/5)</f>
        <v>46.158210809710553</v>
      </c>
      <c r="L68" s="10">
        <f t="shared" si="497"/>
        <v>48.471097598762043</v>
      </c>
      <c r="M68" s="10">
        <f t="shared" si="497"/>
        <v>50.783984387813533</v>
      </c>
      <c r="N68" s="10">
        <f t="shared" si="497"/>
        <v>53.096871176865022</v>
      </c>
      <c r="O68">
        <v>55.409757965916526</v>
      </c>
      <c r="P68" s="10">
        <f t="shared" ref="P68:S68" si="498">O68+(($T68-$O68)/5)</f>
        <v>57.962000181512153</v>
      </c>
      <c r="Q68" s="10">
        <f t="shared" si="498"/>
        <v>60.514242397107779</v>
      </c>
      <c r="R68" s="10">
        <f t="shared" si="498"/>
        <v>63.066484612703405</v>
      </c>
      <c r="S68" s="10">
        <f t="shared" si="498"/>
        <v>65.618726828299032</v>
      </c>
      <c r="T68">
        <v>68.170969043894672</v>
      </c>
      <c r="U68" s="10">
        <f t="shared" ref="U68:X68" si="499">T68+(($Y68-$T68)/5)</f>
        <v>68.378344815509507</v>
      </c>
      <c r="V68" s="10">
        <f t="shared" si="499"/>
        <v>68.585720587124342</v>
      </c>
      <c r="W68" s="10">
        <f t="shared" si="499"/>
        <v>68.793096358739177</v>
      </c>
      <c r="X68" s="10">
        <f t="shared" si="499"/>
        <v>69.000472130354012</v>
      </c>
      <c r="Y68">
        <v>69.207847901968876</v>
      </c>
      <c r="Z68" s="10">
        <f t="shared" ref="Z68:AC68" si="500">Y68+(($AD68-$Y68)/5)</f>
        <v>69.967714506088413</v>
      </c>
      <c r="AA68" s="10">
        <f t="shared" si="500"/>
        <v>70.72758111020795</v>
      </c>
      <c r="AB68" s="10">
        <f t="shared" si="500"/>
        <v>71.487447714327487</v>
      </c>
      <c r="AC68" s="10">
        <f t="shared" si="500"/>
        <v>72.247314318447025</v>
      </c>
      <c r="AD68">
        <v>73.007180922566548</v>
      </c>
      <c r="AE68" s="10">
        <f t="shared" ref="AE68:AH68" si="501">AD68+(($AI68-$AD68)/5)</f>
        <v>73.967639107454801</v>
      </c>
      <c r="AF68" s="10">
        <f t="shared" si="501"/>
        <v>74.928097292343054</v>
      </c>
      <c r="AG68" s="10">
        <f t="shared" si="501"/>
        <v>75.888555477231307</v>
      </c>
      <c r="AH68" s="10">
        <f t="shared" si="501"/>
        <v>76.84901366211956</v>
      </c>
      <c r="AI68">
        <v>77.809471847007785</v>
      </c>
      <c r="AJ68" s="10">
        <f t="shared" ref="AJ68:AM68" si="502">AI68+(($AN68-$AI68)/5)</f>
        <v>78.00059773603283</v>
      </c>
      <c r="AK68" s="10">
        <f t="shared" si="502"/>
        <v>78.191723625057875</v>
      </c>
      <c r="AL68" s="10">
        <f t="shared" si="502"/>
        <v>78.38284951408292</v>
      </c>
      <c r="AM68" s="10">
        <f t="shared" si="502"/>
        <v>78.573975403107966</v>
      </c>
      <c r="AN68">
        <v>78.765101292133011</v>
      </c>
      <c r="AO68" s="10">
        <f t="shared" ref="AO68:AX68" si="503">AN68</f>
        <v>78.765101292133011</v>
      </c>
      <c r="AP68" s="10">
        <f t="shared" si="503"/>
        <v>78.765101292133011</v>
      </c>
      <c r="AQ68" s="10">
        <f t="shared" si="503"/>
        <v>78.765101292133011</v>
      </c>
      <c r="AR68" s="10">
        <f t="shared" si="503"/>
        <v>78.765101292133011</v>
      </c>
      <c r="AS68" s="10">
        <f t="shared" si="503"/>
        <v>78.765101292133011</v>
      </c>
      <c r="AT68" s="10">
        <f t="shared" si="503"/>
        <v>78.765101292133011</v>
      </c>
      <c r="AU68" s="10">
        <f t="shared" si="503"/>
        <v>78.765101292133011</v>
      </c>
      <c r="AV68" s="10">
        <f t="shared" si="503"/>
        <v>78.765101292133011</v>
      </c>
      <c r="AW68" s="10">
        <f t="shared" si="503"/>
        <v>78.765101292133011</v>
      </c>
      <c r="AX68" s="10">
        <f t="shared" si="503"/>
        <v>78.765101292133011</v>
      </c>
    </row>
    <row r="69" spans="1:50" x14ac:dyDescent="0.3">
      <c r="A69" t="s">
        <v>1419</v>
      </c>
      <c r="B69" t="s">
        <v>1434</v>
      </c>
      <c r="C69">
        <v>15384.088190260967</v>
      </c>
      <c r="D69">
        <v>14155.607369376023</v>
      </c>
      <c r="E69">
        <v>12914.571348986075</v>
      </c>
      <c r="F69" s="10">
        <f t="shared" ref="F69:I69" si="504">E69+(($J69-$E69)/5)</f>
        <v>12874.636597630344</v>
      </c>
      <c r="G69" s="10">
        <f t="shared" si="504"/>
        <v>12834.701846274613</v>
      </c>
      <c r="H69" s="10">
        <f t="shared" si="504"/>
        <v>12794.767094918881</v>
      </c>
      <c r="I69" s="10">
        <f t="shared" si="504"/>
        <v>12754.83234356315</v>
      </c>
      <c r="J69">
        <v>12714.897592207417</v>
      </c>
      <c r="K69" s="10">
        <f t="shared" ref="K69:N69" si="505">J69+(($O69-$J69)/5)</f>
        <v>12823.266107463389</v>
      </c>
      <c r="L69" s="10">
        <f t="shared" si="505"/>
        <v>12931.634622719361</v>
      </c>
      <c r="M69" s="10">
        <f t="shared" si="505"/>
        <v>13040.003137975333</v>
      </c>
      <c r="N69" s="10">
        <f t="shared" si="505"/>
        <v>13148.371653231305</v>
      </c>
      <c r="O69">
        <v>13256.74016848728</v>
      </c>
      <c r="P69" s="10">
        <f t="shared" ref="P69:S69" si="506">O69+(($T69-$O69)/5)</f>
        <v>13032.452311503886</v>
      </c>
      <c r="Q69" s="10">
        <f t="shared" si="506"/>
        <v>12808.164454520493</v>
      </c>
      <c r="R69" s="10">
        <f t="shared" si="506"/>
        <v>12583.876597537099</v>
      </c>
      <c r="S69" s="10">
        <f t="shared" si="506"/>
        <v>12359.588740553705</v>
      </c>
      <c r="T69">
        <v>12135.300883570315</v>
      </c>
      <c r="U69" s="10">
        <f t="shared" ref="U69:X69" si="507">T69+(($Y69-$T69)/5)</f>
        <v>11997.251021061418</v>
      </c>
      <c r="V69" s="10">
        <f t="shared" si="507"/>
        <v>11859.201158552522</v>
      </c>
      <c r="W69" s="10">
        <f t="shared" si="507"/>
        <v>11721.151296043625</v>
      </c>
      <c r="X69" s="10">
        <f t="shared" si="507"/>
        <v>11583.101433534728</v>
      </c>
      <c r="Y69">
        <v>11445.051571025828</v>
      </c>
      <c r="Z69" s="10">
        <f t="shared" ref="Z69:AC69" si="508">Y69+(($AD69-$Y69)/5)</f>
        <v>11226.418205577165</v>
      </c>
      <c r="AA69" s="10">
        <f t="shared" si="508"/>
        <v>11007.784840128503</v>
      </c>
      <c r="AB69" s="10">
        <f t="shared" si="508"/>
        <v>10789.15147467984</v>
      </c>
      <c r="AC69" s="10">
        <f t="shared" si="508"/>
        <v>10570.518109231178</v>
      </c>
      <c r="AD69">
        <v>10351.884743782515</v>
      </c>
      <c r="AE69" s="10">
        <f t="shared" ref="AE69:AH69" si="509">AD69+(($AI69-$AD69)/5)</f>
        <v>10388.852369039088</v>
      </c>
      <c r="AF69" s="10">
        <f t="shared" si="509"/>
        <v>10425.819994295662</v>
      </c>
      <c r="AG69" s="10">
        <f t="shared" si="509"/>
        <v>10462.787619552235</v>
      </c>
      <c r="AH69" s="10">
        <f t="shared" si="509"/>
        <v>10499.755244808808</v>
      </c>
      <c r="AI69">
        <v>10536.722870065383</v>
      </c>
      <c r="AJ69" s="10">
        <f t="shared" ref="AJ69:AM69" si="510">AI69+(($AN69-$AI69)/5)</f>
        <v>10615.973363544186</v>
      </c>
      <c r="AK69" s="10">
        <f t="shared" si="510"/>
        <v>10695.223857022989</v>
      </c>
      <c r="AL69" s="10">
        <f t="shared" si="510"/>
        <v>10774.474350501792</v>
      </c>
      <c r="AM69" s="10">
        <f t="shared" si="510"/>
        <v>10853.724843980595</v>
      </c>
      <c r="AN69">
        <v>10932.975337459402</v>
      </c>
      <c r="AO69" s="10">
        <f t="shared" ref="AO69:AX69" si="511">AN69</f>
        <v>10932.975337459402</v>
      </c>
      <c r="AP69" s="10">
        <f t="shared" si="511"/>
        <v>10932.975337459402</v>
      </c>
      <c r="AQ69" s="10">
        <f t="shared" si="511"/>
        <v>10932.975337459402</v>
      </c>
      <c r="AR69" s="10">
        <f t="shared" si="511"/>
        <v>10932.975337459402</v>
      </c>
      <c r="AS69" s="10">
        <f t="shared" si="511"/>
        <v>10932.975337459402</v>
      </c>
      <c r="AT69" s="10">
        <f t="shared" si="511"/>
        <v>10932.975337459402</v>
      </c>
      <c r="AU69" s="10">
        <f t="shared" si="511"/>
        <v>10932.975337459402</v>
      </c>
      <c r="AV69" s="10">
        <f t="shared" si="511"/>
        <v>10932.975337459402</v>
      </c>
      <c r="AW69" s="10">
        <f t="shared" si="511"/>
        <v>10932.975337459402</v>
      </c>
      <c r="AX69" s="10">
        <f t="shared" si="511"/>
        <v>10932.975337459402</v>
      </c>
    </row>
    <row r="70" spans="1:50" x14ac:dyDescent="0.3">
      <c r="A70" t="s">
        <v>1419</v>
      </c>
      <c r="B70" t="s">
        <v>1439</v>
      </c>
      <c r="C70">
        <v>11063.08319026097</v>
      </c>
      <c r="D70">
        <v>10114.055369376023</v>
      </c>
      <c r="E70">
        <v>9097.2562578702891</v>
      </c>
      <c r="F70" s="10">
        <f t="shared" ref="F70:I70" si="512">E70+(($J70-$E70)/5)</f>
        <v>9055.5569087000658</v>
      </c>
      <c r="G70" s="10">
        <f t="shared" si="512"/>
        <v>9013.8575595298425</v>
      </c>
      <c r="H70" s="10">
        <f t="shared" si="512"/>
        <v>8972.1582103596193</v>
      </c>
      <c r="I70" s="10">
        <f t="shared" si="512"/>
        <v>8930.458861189396</v>
      </c>
      <c r="J70">
        <v>8888.7595120191727</v>
      </c>
      <c r="K70" s="10">
        <f t="shared" ref="K70:N70" si="513">J70+(($O70-$J70)/5)</f>
        <v>8930.404915756746</v>
      </c>
      <c r="L70" s="10">
        <f t="shared" si="513"/>
        <v>8972.0503194943194</v>
      </c>
      <c r="M70" s="10">
        <f t="shared" si="513"/>
        <v>9013.6957232318928</v>
      </c>
      <c r="N70" s="10">
        <f t="shared" si="513"/>
        <v>9055.3411269694661</v>
      </c>
      <c r="O70">
        <v>9096.9865307070413</v>
      </c>
      <c r="P70" s="10">
        <f t="shared" ref="P70:S70" si="514">O70+(($T70-$O70)/5)</f>
        <v>8914.3061955625781</v>
      </c>
      <c r="Q70" s="10">
        <f t="shared" si="514"/>
        <v>8731.6258604181148</v>
      </c>
      <c r="R70" s="10">
        <f t="shared" si="514"/>
        <v>8548.9455252736516</v>
      </c>
      <c r="S70" s="10">
        <f t="shared" si="514"/>
        <v>8366.2651901291883</v>
      </c>
      <c r="T70">
        <v>8183.5848549847233</v>
      </c>
      <c r="U70" s="10">
        <f t="shared" ref="U70:X70" si="515">T70+(($Y70-$T70)/5)</f>
        <v>8101.5752741051801</v>
      </c>
      <c r="V70" s="10">
        <f t="shared" si="515"/>
        <v>8019.565693225637</v>
      </c>
      <c r="W70" s="10">
        <f t="shared" si="515"/>
        <v>7937.5561123460939</v>
      </c>
      <c r="X70" s="10">
        <f t="shared" si="515"/>
        <v>7855.5465314665507</v>
      </c>
      <c r="Y70">
        <v>7773.5369505870085</v>
      </c>
      <c r="Z70" s="10">
        <f t="shared" ref="Z70:AC70" si="516">Y70+(($AD70-$Y70)/5)</f>
        <v>7542.0926383746455</v>
      </c>
      <c r="AA70" s="10">
        <f t="shared" si="516"/>
        <v>7310.6483261622825</v>
      </c>
      <c r="AB70" s="10">
        <f t="shared" si="516"/>
        <v>7079.2040139499195</v>
      </c>
      <c r="AC70" s="10">
        <f t="shared" si="516"/>
        <v>6847.7597017375565</v>
      </c>
      <c r="AD70">
        <v>6616.3153895251926</v>
      </c>
      <c r="AE70" s="10">
        <f t="shared" ref="AE70:AH70" si="517">AD70+(($AI70-$AD70)/5)</f>
        <v>6621.8408594575631</v>
      </c>
      <c r="AF70" s="10">
        <f t="shared" si="517"/>
        <v>6627.3663293899335</v>
      </c>
      <c r="AG70" s="10">
        <f t="shared" si="517"/>
        <v>6632.891799322304</v>
      </c>
      <c r="AH70" s="10">
        <f t="shared" si="517"/>
        <v>6638.4172692546745</v>
      </c>
      <c r="AI70">
        <v>6643.9427391870458</v>
      </c>
      <c r="AJ70" s="10">
        <f t="shared" ref="AJ70:AM70" si="518">AI70+(($AN70-$AI70)/5)</f>
        <v>6679.7485570766803</v>
      </c>
      <c r="AK70" s="10">
        <f t="shared" si="518"/>
        <v>6715.5543749663148</v>
      </c>
      <c r="AL70" s="10">
        <f t="shared" si="518"/>
        <v>6751.3601928559492</v>
      </c>
      <c r="AM70" s="10">
        <f t="shared" si="518"/>
        <v>6787.1660107455837</v>
      </c>
      <c r="AN70">
        <v>6822.9718286352172</v>
      </c>
      <c r="AO70" s="10">
        <f t="shared" ref="AO70:AX70" si="519">AN70</f>
        <v>6822.9718286352172</v>
      </c>
      <c r="AP70" s="10">
        <f t="shared" si="519"/>
        <v>6822.9718286352172</v>
      </c>
      <c r="AQ70" s="10">
        <f t="shared" si="519"/>
        <v>6822.9718286352172</v>
      </c>
      <c r="AR70" s="10">
        <f t="shared" si="519"/>
        <v>6822.9718286352172</v>
      </c>
      <c r="AS70" s="10">
        <f t="shared" si="519"/>
        <v>6822.9718286352172</v>
      </c>
      <c r="AT70" s="10">
        <f t="shared" si="519"/>
        <v>6822.9718286352172</v>
      </c>
      <c r="AU70" s="10">
        <f t="shared" si="519"/>
        <v>6822.9718286352172</v>
      </c>
      <c r="AV70" s="10">
        <f t="shared" si="519"/>
        <v>6822.9718286352172</v>
      </c>
      <c r="AW70" s="10">
        <f t="shared" si="519"/>
        <v>6822.9718286352172</v>
      </c>
      <c r="AX70" s="10">
        <f t="shared" si="519"/>
        <v>6822.9718286352172</v>
      </c>
    </row>
    <row r="71" spans="1:50" x14ac:dyDescent="0.3">
      <c r="A71" t="s">
        <v>1419</v>
      </c>
      <c r="B71" t="s">
        <v>1435</v>
      </c>
      <c r="C71">
        <v>4321.0049999999974</v>
      </c>
      <c r="D71">
        <v>4041.5519999999997</v>
      </c>
      <c r="E71">
        <v>3817.3150911157863</v>
      </c>
      <c r="F71" s="10">
        <f t="shared" ref="F71:I71" si="520">E71+(($J71-$E71)/5)</f>
        <v>3819.0796889302778</v>
      </c>
      <c r="G71" s="10">
        <f t="shared" si="520"/>
        <v>3820.8442867447693</v>
      </c>
      <c r="H71" s="10">
        <f t="shared" si="520"/>
        <v>3822.6088845592608</v>
      </c>
      <c r="I71" s="10">
        <f t="shared" si="520"/>
        <v>3824.3734823737523</v>
      </c>
      <c r="J71">
        <v>3826.1380801882442</v>
      </c>
      <c r="K71" s="10">
        <f t="shared" ref="K71:N71" si="521">J71+(($O71-$J71)/5)</f>
        <v>3892.8611917066432</v>
      </c>
      <c r="L71" s="10">
        <f t="shared" si="521"/>
        <v>3959.5843032250423</v>
      </c>
      <c r="M71" s="10">
        <f t="shared" si="521"/>
        <v>4026.3074147434413</v>
      </c>
      <c r="N71" s="10">
        <f t="shared" si="521"/>
        <v>4093.0305262618404</v>
      </c>
      <c r="O71">
        <v>4159.7536377802389</v>
      </c>
      <c r="P71" s="10">
        <f t="shared" ref="P71:S71" si="522">O71+(($T71-$O71)/5)</f>
        <v>4118.1461159413093</v>
      </c>
      <c r="Q71" s="10">
        <f t="shared" si="522"/>
        <v>4076.5385941023796</v>
      </c>
      <c r="R71" s="10">
        <f t="shared" si="522"/>
        <v>4034.93107226345</v>
      </c>
      <c r="S71" s="10">
        <f t="shared" si="522"/>
        <v>3993.3235504245204</v>
      </c>
      <c r="T71">
        <v>3951.7160285855916</v>
      </c>
      <c r="U71" s="10">
        <f t="shared" ref="U71:X71" si="523">T71+(($Y71-$T71)/5)</f>
        <v>3895.6757469562372</v>
      </c>
      <c r="V71" s="10">
        <f t="shared" si="523"/>
        <v>3839.6354653268827</v>
      </c>
      <c r="W71" s="10">
        <f t="shared" si="523"/>
        <v>3783.5951836975282</v>
      </c>
      <c r="X71" s="10">
        <f t="shared" si="523"/>
        <v>3727.5549020681738</v>
      </c>
      <c r="Y71">
        <v>3671.5146204388193</v>
      </c>
      <c r="Z71" s="10">
        <f t="shared" ref="Z71:AC71" si="524">Y71+(($AD71-$Y71)/5)</f>
        <v>3684.3255672025198</v>
      </c>
      <c r="AA71" s="10">
        <f t="shared" si="524"/>
        <v>3697.1365139662203</v>
      </c>
      <c r="AB71" s="10">
        <f t="shared" si="524"/>
        <v>3709.9474607299207</v>
      </c>
      <c r="AC71" s="10">
        <f t="shared" si="524"/>
        <v>3722.7584074936212</v>
      </c>
      <c r="AD71">
        <v>3735.5693542573226</v>
      </c>
      <c r="AE71" s="10">
        <f t="shared" ref="AE71:AH71" si="525">AD71+(($AI71-$AD71)/5)</f>
        <v>3767.0115095815254</v>
      </c>
      <c r="AF71" s="10">
        <f t="shared" si="525"/>
        <v>3798.4536649057281</v>
      </c>
      <c r="AG71" s="10">
        <f t="shared" si="525"/>
        <v>3829.8958202299309</v>
      </c>
      <c r="AH71" s="10">
        <f t="shared" si="525"/>
        <v>3861.3379755541337</v>
      </c>
      <c r="AI71">
        <v>3892.7801308783373</v>
      </c>
      <c r="AJ71" s="10">
        <f t="shared" ref="AJ71:AM71" si="526">AI71+(($AN71-$AI71)/5)</f>
        <v>3936.2248064675068</v>
      </c>
      <c r="AK71" s="10">
        <f t="shared" si="526"/>
        <v>3979.6694820566763</v>
      </c>
      <c r="AL71" s="10">
        <f t="shared" si="526"/>
        <v>4023.1141576458458</v>
      </c>
      <c r="AM71" s="10">
        <f t="shared" si="526"/>
        <v>4066.5588332350153</v>
      </c>
      <c r="AN71">
        <v>4110.0035088241848</v>
      </c>
      <c r="AO71" s="10">
        <f t="shared" ref="AO71:AX71" si="527">AN71</f>
        <v>4110.0035088241848</v>
      </c>
      <c r="AP71" s="10">
        <f t="shared" si="527"/>
        <v>4110.0035088241848</v>
      </c>
      <c r="AQ71" s="10">
        <f t="shared" si="527"/>
        <v>4110.0035088241848</v>
      </c>
      <c r="AR71" s="10">
        <f t="shared" si="527"/>
        <v>4110.0035088241848</v>
      </c>
      <c r="AS71" s="10">
        <f t="shared" si="527"/>
        <v>4110.0035088241848</v>
      </c>
      <c r="AT71" s="10">
        <f t="shared" si="527"/>
        <v>4110.0035088241848</v>
      </c>
      <c r="AU71" s="10">
        <f t="shared" si="527"/>
        <v>4110.0035088241848</v>
      </c>
      <c r="AV71" s="10">
        <f t="shared" si="527"/>
        <v>4110.0035088241848</v>
      </c>
      <c r="AW71" s="10">
        <f t="shared" si="527"/>
        <v>4110.0035088241848</v>
      </c>
      <c r="AX71" s="10">
        <f t="shared" si="527"/>
        <v>4110.0035088241848</v>
      </c>
    </row>
    <row r="72" spans="1:50" x14ac:dyDescent="0.3">
      <c r="A72" t="s">
        <v>1420</v>
      </c>
      <c r="B72" t="s">
        <v>1434</v>
      </c>
      <c r="C72">
        <v>14412.893350444017</v>
      </c>
      <c r="D72">
        <v>13291.94797419442</v>
      </c>
      <c r="E72">
        <v>13881.610095595155</v>
      </c>
      <c r="F72" s="10">
        <f t="shared" ref="F72:I72" si="528">E72+(($J72-$E72)/5)</f>
        <v>13999.87332984941</v>
      </c>
      <c r="G72" s="10">
        <f t="shared" si="528"/>
        <v>14118.136564103665</v>
      </c>
      <c r="H72" s="10">
        <f t="shared" si="528"/>
        <v>14236.399798357919</v>
      </c>
      <c r="I72" s="10">
        <f t="shared" si="528"/>
        <v>14354.663032612174</v>
      </c>
      <c r="J72">
        <v>14472.926266866427</v>
      </c>
      <c r="K72" s="10">
        <f t="shared" ref="K72:N72" si="529">J72+(($O72-$J72)/5)</f>
        <v>14492.459559508457</v>
      </c>
      <c r="L72" s="10">
        <f t="shared" si="529"/>
        <v>14511.992852150488</v>
      </c>
      <c r="M72" s="10">
        <f t="shared" si="529"/>
        <v>14531.526144792519</v>
      </c>
      <c r="N72" s="10">
        <f t="shared" si="529"/>
        <v>14551.059437434549</v>
      </c>
      <c r="O72">
        <v>14570.592730076578</v>
      </c>
      <c r="P72" s="10">
        <f t="shared" ref="P72:S72" si="530">O72+(($T72-$O72)/5)</f>
        <v>14724.274423733907</v>
      </c>
      <c r="Q72" s="10">
        <f t="shared" si="530"/>
        <v>14877.956117391235</v>
      </c>
      <c r="R72" s="10">
        <f t="shared" si="530"/>
        <v>15031.637811048564</v>
      </c>
      <c r="S72" s="10">
        <f t="shared" si="530"/>
        <v>15185.319504705893</v>
      </c>
      <c r="T72">
        <v>15339.001198363221</v>
      </c>
      <c r="U72" s="10">
        <f t="shared" ref="U72:X72" si="531">T72+(($Y72-$T72)/5)</f>
        <v>15178.226622266386</v>
      </c>
      <c r="V72" s="10">
        <f t="shared" si="531"/>
        <v>15017.45204616955</v>
      </c>
      <c r="W72" s="10">
        <f t="shared" si="531"/>
        <v>14856.677470072715</v>
      </c>
      <c r="X72" s="10">
        <f t="shared" si="531"/>
        <v>14695.902893975879</v>
      </c>
      <c r="Y72">
        <v>14535.128317879044</v>
      </c>
      <c r="Z72" s="10">
        <f t="shared" ref="Z72:AC72" si="532">Y72+(($AD72-$Y72)/5)</f>
        <v>14544.266043655944</v>
      </c>
      <c r="AA72" s="10">
        <f t="shared" si="532"/>
        <v>14553.403769432844</v>
      </c>
      <c r="AB72" s="10">
        <f t="shared" si="532"/>
        <v>14562.541495209744</v>
      </c>
      <c r="AC72" s="10">
        <f t="shared" si="532"/>
        <v>14571.679220986643</v>
      </c>
      <c r="AD72">
        <v>14580.816946763542</v>
      </c>
      <c r="AE72" s="10">
        <f t="shared" ref="AE72:AH72" si="533">AD72+(($AI72-$AD72)/5)</f>
        <v>14582.867523366005</v>
      </c>
      <c r="AF72" s="10">
        <f t="shared" si="533"/>
        <v>14584.918099968469</v>
      </c>
      <c r="AG72" s="10">
        <f t="shared" si="533"/>
        <v>14586.968676570932</v>
      </c>
      <c r="AH72" s="10">
        <f t="shared" si="533"/>
        <v>14589.019253173396</v>
      </c>
      <c r="AI72">
        <v>14591.069829775857</v>
      </c>
      <c r="AJ72" s="10">
        <f t="shared" ref="AJ72:AM72" si="534">AI72+(($AN72-$AI72)/5)</f>
        <v>14585.2858724213</v>
      </c>
      <c r="AK72" s="10">
        <f t="shared" si="534"/>
        <v>14579.501915066743</v>
      </c>
      <c r="AL72" s="10">
        <f t="shared" si="534"/>
        <v>14573.717957712186</v>
      </c>
      <c r="AM72" s="10">
        <f t="shared" si="534"/>
        <v>14567.934000357629</v>
      </c>
      <c r="AN72">
        <v>14562.150043003076</v>
      </c>
      <c r="AO72" s="10">
        <f t="shared" ref="AO72:AX72" si="535">AN72</f>
        <v>14562.150043003076</v>
      </c>
      <c r="AP72" s="10">
        <f t="shared" si="535"/>
        <v>14562.150043003076</v>
      </c>
      <c r="AQ72" s="10">
        <f t="shared" si="535"/>
        <v>14562.150043003076</v>
      </c>
      <c r="AR72" s="10">
        <f t="shared" si="535"/>
        <v>14562.150043003076</v>
      </c>
      <c r="AS72" s="10">
        <f t="shared" si="535"/>
        <v>14562.150043003076</v>
      </c>
      <c r="AT72" s="10">
        <f t="shared" si="535"/>
        <v>14562.150043003076</v>
      </c>
      <c r="AU72" s="10">
        <f t="shared" si="535"/>
        <v>14562.150043003076</v>
      </c>
      <c r="AV72" s="10">
        <f t="shared" si="535"/>
        <v>14562.150043003076</v>
      </c>
      <c r="AW72" s="10">
        <f t="shared" si="535"/>
        <v>14562.150043003076</v>
      </c>
      <c r="AX72" s="10">
        <f t="shared" si="535"/>
        <v>14562.150043003076</v>
      </c>
    </row>
    <row r="73" spans="1:50" x14ac:dyDescent="0.3">
      <c r="A73" t="s">
        <v>1420</v>
      </c>
      <c r="B73" t="s">
        <v>1439</v>
      </c>
      <c r="C73">
        <v>9229.7463504440166</v>
      </c>
      <c r="D73">
        <v>8468.4589741944201</v>
      </c>
      <c r="E73">
        <v>8625.225095595837</v>
      </c>
      <c r="F73" s="10">
        <f t="shared" ref="F73:I73" si="536">E73+(($J73-$E73)/5)</f>
        <v>8696.257964506216</v>
      </c>
      <c r="G73" s="10">
        <f t="shared" si="536"/>
        <v>8767.290833416595</v>
      </c>
      <c r="H73" s="10">
        <f t="shared" si="536"/>
        <v>8838.3237023269739</v>
      </c>
      <c r="I73" s="10">
        <f t="shared" si="536"/>
        <v>8909.3565712373529</v>
      </c>
      <c r="J73">
        <v>8980.3894401477337</v>
      </c>
      <c r="K73" s="10">
        <f t="shared" ref="K73:N73" si="537">J73+(($O73-$J73)/5)</f>
        <v>8992.2899121383507</v>
      </c>
      <c r="L73" s="10">
        <f t="shared" si="537"/>
        <v>9004.1903841289677</v>
      </c>
      <c r="M73" s="10">
        <f t="shared" si="537"/>
        <v>9016.0908561195847</v>
      </c>
      <c r="N73" s="10">
        <f t="shared" si="537"/>
        <v>9027.9913281102017</v>
      </c>
      <c r="O73">
        <v>9039.8918001008169</v>
      </c>
      <c r="P73" s="10">
        <f t="shared" ref="P73:S73" si="538">O73+(($T73-$O73)/5)</f>
        <v>9053.5859158655512</v>
      </c>
      <c r="Q73" s="10">
        <f t="shared" si="538"/>
        <v>9067.2800316302855</v>
      </c>
      <c r="R73" s="10">
        <f t="shared" si="538"/>
        <v>9080.9741473950198</v>
      </c>
      <c r="S73" s="10">
        <f t="shared" si="538"/>
        <v>9094.6682631597541</v>
      </c>
      <c r="T73">
        <v>9108.3623789244921</v>
      </c>
      <c r="U73" s="10">
        <f t="shared" ref="U73:X73" si="539">T73+(($Y73-$T73)/5)</f>
        <v>8917.7582159639387</v>
      </c>
      <c r="V73" s="10">
        <f t="shared" si="539"/>
        <v>8727.1540530033853</v>
      </c>
      <c r="W73" s="10">
        <f t="shared" si="539"/>
        <v>8536.549890042832</v>
      </c>
      <c r="X73" s="10">
        <f t="shared" si="539"/>
        <v>8345.9457270822786</v>
      </c>
      <c r="Y73">
        <v>8155.3415641217216</v>
      </c>
      <c r="Z73" s="10">
        <f t="shared" ref="Z73:AC73" si="540">Y73+(($AD73-$Y73)/5)</f>
        <v>8123.9562607300113</v>
      </c>
      <c r="AA73" s="10">
        <f t="shared" si="540"/>
        <v>8092.570957338301</v>
      </c>
      <c r="AB73" s="10">
        <f t="shared" si="540"/>
        <v>8061.1856539465907</v>
      </c>
      <c r="AC73" s="10">
        <f t="shared" si="540"/>
        <v>8029.8003505548804</v>
      </c>
      <c r="AD73">
        <v>7998.4150471631692</v>
      </c>
      <c r="AE73" s="10">
        <f t="shared" ref="AE73:AH73" si="541">AD73+(($AI73-$AD73)/5)</f>
        <v>7989.2446967507385</v>
      </c>
      <c r="AF73" s="10">
        <f t="shared" si="541"/>
        <v>7980.0743463383078</v>
      </c>
      <c r="AG73" s="10">
        <f t="shared" si="541"/>
        <v>7970.9039959258771</v>
      </c>
      <c r="AH73" s="10">
        <f t="shared" si="541"/>
        <v>7961.7336455134464</v>
      </c>
      <c r="AI73">
        <v>7952.5632951010148</v>
      </c>
      <c r="AJ73" s="10">
        <f t="shared" ref="AJ73:AM73" si="542">AI73+(($AN73-$AI73)/5)</f>
        <v>7933.4029408575716</v>
      </c>
      <c r="AK73" s="10">
        <f t="shared" si="542"/>
        <v>7914.2425866141284</v>
      </c>
      <c r="AL73" s="10">
        <f t="shared" si="542"/>
        <v>7895.0822323706852</v>
      </c>
      <c r="AM73" s="10">
        <f t="shared" si="542"/>
        <v>7875.9218781272421</v>
      </c>
      <c r="AN73">
        <v>7856.7615238837971</v>
      </c>
      <c r="AO73" s="10">
        <f t="shared" ref="AO73:AX73" si="543">AN73</f>
        <v>7856.7615238837971</v>
      </c>
      <c r="AP73" s="10">
        <f t="shared" si="543"/>
        <v>7856.7615238837971</v>
      </c>
      <c r="AQ73" s="10">
        <f t="shared" si="543"/>
        <v>7856.7615238837971</v>
      </c>
      <c r="AR73" s="10">
        <f t="shared" si="543"/>
        <v>7856.7615238837971</v>
      </c>
      <c r="AS73" s="10">
        <f t="shared" si="543"/>
        <v>7856.7615238837971</v>
      </c>
      <c r="AT73" s="10">
        <f t="shared" si="543"/>
        <v>7856.7615238837971</v>
      </c>
      <c r="AU73" s="10">
        <f t="shared" si="543"/>
        <v>7856.7615238837971</v>
      </c>
      <c r="AV73" s="10">
        <f t="shared" si="543"/>
        <v>7856.7615238837971</v>
      </c>
      <c r="AW73" s="10">
        <f t="shared" si="543"/>
        <v>7856.7615238837971</v>
      </c>
      <c r="AX73" s="10">
        <f t="shared" si="543"/>
        <v>7856.7615238837971</v>
      </c>
    </row>
    <row r="74" spans="1:50" x14ac:dyDescent="0.3">
      <c r="A74" t="s">
        <v>1420</v>
      </c>
      <c r="B74" t="s">
        <v>1435</v>
      </c>
      <c r="C74">
        <v>5183.1470000000008</v>
      </c>
      <c r="D74">
        <v>4823.4889999999996</v>
      </c>
      <c r="E74">
        <v>5256.3849999993181</v>
      </c>
      <c r="F74" s="10">
        <f t="shared" ref="F74:I74" si="544">E74+(($J74-$E74)/5)</f>
        <v>5303.6153653431929</v>
      </c>
      <c r="G74" s="10">
        <f t="shared" si="544"/>
        <v>5350.8457306870678</v>
      </c>
      <c r="H74" s="10">
        <f t="shared" si="544"/>
        <v>5398.0760960309426</v>
      </c>
      <c r="I74" s="10">
        <f t="shared" si="544"/>
        <v>5445.3064613748174</v>
      </c>
      <c r="J74">
        <v>5492.5368267186932</v>
      </c>
      <c r="K74" s="10">
        <f t="shared" ref="K74:N74" si="545">J74+(($O74-$J74)/5)</f>
        <v>5500.1696473701068</v>
      </c>
      <c r="L74" s="10">
        <f t="shared" si="545"/>
        <v>5507.8024680215203</v>
      </c>
      <c r="M74" s="10">
        <f t="shared" si="545"/>
        <v>5515.4352886729339</v>
      </c>
      <c r="N74" s="10">
        <f t="shared" si="545"/>
        <v>5523.0681093243475</v>
      </c>
      <c r="O74">
        <v>5530.700929975761</v>
      </c>
      <c r="P74" s="10">
        <f t="shared" ref="P74:S74" si="546">O74+(($T74-$O74)/5)</f>
        <v>5670.6885078683545</v>
      </c>
      <c r="Q74" s="10">
        <f t="shared" si="546"/>
        <v>5810.6760857609479</v>
      </c>
      <c r="R74" s="10">
        <f t="shared" si="546"/>
        <v>5950.6636636535413</v>
      </c>
      <c r="S74" s="10">
        <f t="shared" si="546"/>
        <v>6090.6512415461348</v>
      </c>
      <c r="T74">
        <v>6230.6388194387291</v>
      </c>
      <c r="U74" s="10">
        <f t="shared" ref="U74:X74" si="547">T74+(($Y74-$T74)/5)</f>
        <v>6260.4684063024479</v>
      </c>
      <c r="V74" s="10">
        <f t="shared" si="547"/>
        <v>6290.2979931661666</v>
      </c>
      <c r="W74" s="10">
        <f t="shared" si="547"/>
        <v>6320.1275800298854</v>
      </c>
      <c r="X74" s="10">
        <f t="shared" si="547"/>
        <v>6349.9571668936042</v>
      </c>
      <c r="Y74">
        <v>6379.786753757322</v>
      </c>
      <c r="Z74" s="10">
        <f t="shared" ref="Z74:AC74" si="548">Y74+(($AD74-$Y74)/5)</f>
        <v>6420.3097829259323</v>
      </c>
      <c r="AA74" s="10">
        <f t="shared" si="548"/>
        <v>6460.8328120945425</v>
      </c>
      <c r="AB74" s="10">
        <f t="shared" si="548"/>
        <v>6501.3558412631528</v>
      </c>
      <c r="AC74" s="10">
        <f t="shared" si="548"/>
        <v>6541.8788704317631</v>
      </c>
      <c r="AD74">
        <v>6582.4018996003724</v>
      </c>
      <c r="AE74" s="10">
        <f t="shared" ref="AE74:AH74" si="549">AD74+(($AI74-$AD74)/5)</f>
        <v>6593.6228266152666</v>
      </c>
      <c r="AF74" s="10">
        <f t="shared" si="549"/>
        <v>6604.8437536301608</v>
      </c>
      <c r="AG74" s="10">
        <f t="shared" si="549"/>
        <v>6616.064680645055</v>
      </c>
      <c r="AH74" s="10">
        <f t="shared" si="549"/>
        <v>6627.2856076599492</v>
      </c>
      <c r="AI74">
        <v>6638.5065346748424</v>
      </c>
      <c r="AJ74" s="10">
        <f t="shared" ref="AJ74:AM74" si="550">AI74+(($AN74-$AI74)/5)</f>
        <v>6651.8829315637295</v>
      </c>
      <c r="AK74" s="10">
        <f t="shared" si="550"/>
        <v>6665.2593284526165</v>
      </c>
      <c r="AL74" s="10">
        <f t="shared" si="550"/>
        <v>6678.6357253415035</v>
      </c>
      <c r="AM74" s="10">
        <f t="shared" si="550"/>
        <v>6692.0121222303906</v>
      </c>
      <c r="AN74">
        <v>6705.3885191192785</v>
      </c>
      <c r="AO74" s="10">
        <f t="shared" ref="AO74:AX74" si="551">AN74</f>
        <v>6705.3885191192785</v>
      </c>
      <c r="AP74" s="10">
        <f t="shared" si="551"/>
        <v>6705.3885191192785</v>
      </c>
      <c r="AQ74" s="10">
        <f t="shared" si="551"/>
        <v>6705.3885191192785</v>
      </c>
      <c r="AR74" s="10">
        <f t="shared" si="551"/>
        <v>6705.3885191192785</v>
      </c>
      <c r="AS74" s="10">
        <f t="shared" si="551"/>
        <v>6705.3885191192785</v>
      </c>
      <c r="AT74" s="10">
        <f t="shared" si="551"/>
        <v>6705.3885191192785</v>
      </c>
      <c r="AU74" s="10">
        <f t="shared" si="551"/>
        <v>6705.3885191192785</v>
      </c>
      <c r="AV74" s="10">
        <f t="shared" si="551"/>
        <v>6705.3885191192785</v>
      </c>
      <c r="AW74" s="10">
        <f t="shared" si="551"/>
        <v>6705.3885191192785</v>
      </c>
      <c r="AX74" s="10">
        <f t="shared" si="551"/>
        <v>6705.3885191192785</v>
      </c>
    </row>
    <row r="75" spans="1:50" x14ac:dyDescent="0.3">
      <c r="A75" t="s">
        <v>1421</v>
      </c>
      <c r="B75" t="s">
        <v>1434</v>
      </c>
      <c r="C75">
        <v>5797.2800000000007</v>
      </c>
      <c r="D75">
        <v>5453.5280000000002</v>
      </c>
      <c r="E75">
        <v>4412.0674818190537</v>
      </c>
      <c r="F75" s="10">
        <f t="shared" ref="F75:I75" si="552">E75+(($J75-$E75)/5)</f>
        <v>4414.5858112916321</v>
      </c>
      <c r="G75" s="10">
        <f t="shared" si="552"/>
        <v>4417.1041407642106</v>
      </c>
      <c r="H75" s="10">
        <f t="shared" si="552"/>
        <v>4419.622470236789</v>
      </c>
      <c r="I75" s="10">
        <f t="shared" si="552"/>
        <v>4422.1407997093675</v>
      </c>
      <c r="J75">
        <v>4424.6591291819441</v>
      </c>
      <c r="K75" s="10">
        <f t="shared" ref="K75:N75" si="553">J75+(($O75-$J75)/5)</f>
        <v>4430.9853559070871</v>
      </c>
      <c r="L75" s="10">
        <f t="shared" si="553"/>
        <v>4437.3115826322301</v>
      </c>
      <c r="M75" s="10">
        <f t="shared" si="553"/>
        <v>4443.637809357373</v>
      </c>
      <c r="N75" s="10">
        <f t="shared" si="553"/>
        <v>4449.964036082516</v>
      </c>
      <c r="O75">
        <v>4456.290262807659</v>
      </c>
      <c r="P75" s="10">
        <f t="shared" ref="P75:S75" si="554">O75+(($T75-$O75)/5)</f>
        <v>4419.7899508139817</v>
      </c>
      <c r="Q75" s="10">
        <f t="shared" si="554"/>
        <v>4383.2896388203044</v>
      </c>
      <c r="R75" s="10">
        <f t="shared" si="554"/>
        <v>4346.7893268266271</v>
      </c>
      <c r="S75" s="10">
        <f t="shared" si="554"/>
        <v>4310.2890148329498</v>
      </c>
      <c r="T75">
        <v>4273.7887028392724</v>
      </c>
      <c r="U75" s="10">
        <f t="shared" ref="U75:X75" si="555">T75+(($Y75-$T75)/5)</f>
        <v>4219.2927212128143</v>
      </c>
      <c r="V75" s="10">
        <f t="shared" si="555"/>
        <v>4164.7967395863561</v>
      </c>
      <c r="W75" s="10">
        <f t="shared" si="555"/>
        <v>4110.300757959898</v>
      </c>
      <c r="X75" s="10">
        <f t="shared" si="555"/>
        <v>4055.8047763334393</v>
      </c>
      <c r="Y75">
        <v>4001.3087947069798</v>
      </c>
      <c r="Z75" s="10">
        <f t="shared" ref="Z75:AC75" si="556">Y75+(($AD75-$Y75)/5)</f>
        <v>3947.7289936248239</v>
      </c>
      <c r="AA75" s="10">
        <f t="shared" si="556"/>
        <v>3894.1491925426681</v>
      </c>
      <c r="AB75" s="10">
        <f t="shared" si="556"/>
        <v>3840.5693914605122</v>
      </c>
      <c r="AC75" s="10">
        <f t="shared" si="556"/>
        <v>3786.9895903783563</v>
      </c>
      <c r="AD75">
        <v>3733.4097892962004</v>
      </c>
      <c r="AE75" s="10">
        <f t="shared" ref="AE75:AH75" si="557">AD75+(($AI75-$AD75)/5)</f>
        <v>3700.5792057874555</v>
      </c>
      <c r="AF75" s="10">
        <f t="shared" si="557"/>
        <v>3667.7486222787106</v>
      </c>
      <c r="AG75" s="10">
        <f t="shared" si="557"/>
        <v>3634.9180387699657</v>
      </c>
      <c r="AH75" s="10">
        <f t="shared" si="557"/>
        <v>3602.0874552612208</v>
      </c>
      <c r="AI75">
        <v>3569.2568717524764</v>
      </c>
      <c r="AJ75" s="10">
        <f t="shared" ref="AJ75:AM75" si="558">AI75+(($AN75-$AI75)/5)</f>
        <v>3543.1468845384356</v>
      </c>
      <c r="AK75" s="10">
        <f t="shared" si="558"/>
        <v>3517.0368973243949</v>
      </c>
      <c r="AL75" s="10">
        <f t="shared" si="558"/>
        <v>3490.9269101103541</v>
      </c>
      <c r="AM75" s="10">
        <f t="shared" si="558"/>
        <v>3464.8169228963134</v>
      </c>
      <c r="AN75">
        <v>3438.7069356822726</v>
      </c>
      <c r="AO75" s="10">
        <f t="shared" ref="AO75:AX75" si="559">AN75</f>
        <v>3438.7069356822726</v>
      </c>
      <c r="AP75" s="10">
        <f t="shared" si="559"/>
        <v>3438.7069356822726</v>
      </c>
      <c r="AQ75" s="10">
        <f t="shared" si="559"/>
        <v>3438.7069356822726</v>
      </c>
      <c r="AR75" s="10">
        <f t="shared" si="559"/>
        <v>3438.7069356822726</v>
      </c>
      <c r="AS75" s="10">
        <f t="shared" si="559"/>
        <v>3438.7069356822726</v>
      </c>
      <c r="AT75" s="10">
        <f t="shared" si="559"/>
        <v>3438.7069356822726</v>
      </c>
      <c r="AU75" s="10">
        <f t="shared" si="559"/>
        <v>3438.7069356822726</v>
      </c>
      <c r="AV75" s="10">
        <f t="shared" si="559"/>
        <v>3438.7069356822726</v>
      </c>
      <c r="AW75" s="10">
        <f t="shared" si="559"/>
        <v>3438.7069356822726</v>
      </c>
      <c r="AX75" s="10">
        <f t="shared" si="559"/>
        <v>3438.7069356822726</v>
      </c>
    </row>
    <row r="76" spans="1:50" x14ac:dyDescent="0.3">
      <c r="A76" t="s">
        <v>1421</v>
      </c>
      <c r="B76" t="s">
        <v>1439</v>
      </c>
      <c r="C76">
        <v>3889.6050000000005</v>
      </c>
      <c r="D76">
        <v>3634.192</v>
      </c>
      <c r="E76">
        <v>3023.4729885102261</v>
      </c>
      <c r="F76" s="10">
        <f t="shared" ref="F76:I76" si="560">E76+(($J76-$E76)/5)</f>
        <v>3024.6896974696483</v>
      </c>
      <c r="G76" s="10">
        <f t="shared" si="560"/>
        <v>3025.9064064290706</v>
      </c>
      <c r="H76" s="10">
        <f t="shared" si="560"/>
        <v>3027.1231153884928</v>
      </c>
      <c r="I76" s="10">
        <f t="shared" si="560"/>
        <v>3028.3398243479151</v>
      </c>
      <c r="J76">
        <v>3029.5565333073368</v>
      </c>
      <c r="K76" s="10">
        <f t="shared" ref="K76:N76" si="561">J76+(($O76-$J76)/5)</f>
        <v>3029.2581298487853</v>
      </c>
      <c r="L76" s="10">
        <f t="shared" si="561"/>
        <v>3028.9597263902338</v>
      </c>
      <c r="M76" s="10">
        <f t="shared" si="561"/>
        <v>3028.6613229316822</v>
      </c>
      <c r="N76" s="10">
        <f t="shared" si="561"/>
        <v>3028.3629194731307</v>
      </c>
      <c r="O76">
        <v>3028.0645160145796</v>
      </c>
      <c r="P76" s="10">
        <f t="shared" ref="P76:S76" si="562">O76+(($T76-$O76)/5)</f>
        <v>3003.7251715705697</v>
      </c>
      <c r="Q76" s="10">
        <f t="shared" si="562"/>
        <v>2979.3858271265599</v>
      </c>
      <c r="R76" s="10">
        <f t="shared" si="562"/>
        <v>2955.04648268255</v>
      </c>
      <c r="S76" s="10">
        <f t="shared" si="562"/>
        <v>2930.7071382385402</v>
      </c>
      <c r="T76">
        <v>2906.3677937945313</v>
      </c>
      <c r="U76" s="10">
        <f t="shared" ref="U76:X76" si="563">T76+(($Y76-$T76)/5)</f>
        <v>2866.6243180413503</v>
      </c>
      <c r="V76" s="10">
        <f t="shared" si="563"/>
        <v>2826.8808422881693</v>
      </c>
      <c r="W76" s="10">
        <f t="shared" si="563"/>
        <v>2787.1373665349884</v>
      </c>
      <c r="X76" s="10">
        <f t="shared" si="563"/>
        <v>2747.3938907818074</v>
      </c>
      <c r="Y76">
        <v>2707.6504150286264</v>
      </c>
      <c r="Z76" s="10">
        <f t="shared" ref="Z76:AC76" si="564">Y76+(($AD76-$Y76)/5)</f>
        <v>2653.9280895289744</v>
      </c>
      <c r="AA76" s="10">
        <f t="shared" si="564"/>
        <v>2600.2057640293224</v>
      </c>
      <c r="AB76" s="10">
        <f t="shared" si="564"/>
        <v>2546.4834385296704</v>
      </c>
      <c r="AC76" s="10">
        <f t="shared" si="564"/>
        <v>2492.7611130300184</v>
      </c>
      <c r="AD76">
        <v>2439.0387875303668</v>
      </c>
      <c r="AE76" s="10">
        <f t="shared" ref="AE76:AH76" si="565">AD76+(($AI76-$AD76)/5)</f>
        <v>2411.8262827241424</v>
      </c>
      <c r="AF76" s="10">
        <f t="shared" si="565"/>
        <v>2384.613777917918</v>
      </c>
      <c r="AG76" s="10">
        <f t="shared" si="565"/>
        <v>2357.4012731116936</v>
      </c>
      <c r="AH76" s="10">
        <f t="shared" si="565"/>
        <v>2330.1887683054692</v>
      </c>
      <c r="AI76">
        <v>2302.9762634992439</v>
      </c>
      <c r="AJ76" s="10">
        <f t="shared" ref="AJ76:AM76" si="566">AI76+(($AN76-$AI76)/5)</f>
        <v>2280.5350640796914</v>
      </c>
      <c r="AK76" s="10">
        <f t="shared" si="566"/>
        <v>2258.0938646601389</v>
      </c>
      <c r="AL76" s="10">
        <f t="shared" si="566"/>
        <v>2235.6526652405864</v>
      </c>
      <c r="AM76" s="10">
        <f t="shared" si="566"/>
        <v>2213.2114658210339</v>
      </c>
      <c r="AN76">
        <v>2190.7702664014823</v>
      </c>
      <c r="AO76" s="10">
        <f t="shared" ref="AO76:AX76" si="567">AN76</f>
        <v>2190.7702664014823</v>
      </c>
      <c r="AP76" s="10">
        <f t="shared" si="567"/>
        <v>2190.7702664014823</v>
      </c>
      <c r="AQ76" s="10">
        <f t="shared" si="567"/>
        <v>2190.7702664014823</v>
      </c>
      <c r="AR76" s="10">
        <f t="shared" si="567"/>
        <v>2190.7702664014823</v>
      </c>
      <c r="AS76" s="10">
        <f t="shared" si="567"/>
        <v>2190.7702664014823</v>
      </c>
      <c r="AT76" s="10">
        <f t="shared" si="567"/>
        <v>2190.7702664014823</v>
      </c>
      <c r="AU76" s="10">
        <f t="shared" si="567"/>
        <v>2190.7702664014823</v>
      </c>
      <c r="AV76" s="10">
        <f t="shared" si="567"/>
        <v>2190.7702664014823</v>
      </c>
      <c r="AW76" s="10">
        <f t="shared" si="567"/>
        <v>2190.7702664014823</v>
      </c>
      <c r="AX76" s="10">
        <f t="shared" si="567"/>
        <v>2190.7702664014823</v>
      </c>
    </row>
    <row r="77" spans="1:50" x14ac:dyDescent="0.3">
      <c r="A77" t="s">
        <v>1421</v>
      </c>
      <c r="B77" t="s">
        <v>1435</v>
      </c>
      <c r="C77">
        <v>1907.6750000000002</v>
      </c>
      <c r="D77">
        <v>1819.3360000000002</v>
      </c>
      <c r="E77">
        <v>1388.5944933088276</v>
      </c>
      <c r="F77" s="10">
        <f t="shared" ref="F77:I77" si="568">E77+(($J77-$E77)/5)</f>
        <v>1389.8961138219836</v>
      </c>
      <c r="G77" s="10">
        <f t="shared" si="568"/>
        <v>1391.1977343351396</v>
      </c>
      <c r="H77" s="10">
        <f t="shared" si="568"/>
        <v>1392.4993548482955</v>
      </c>
      <c r="I77" s="10">
        <f t="shared" si="568"/>
        <v>1393.8009753614515</v>
      </c>
      <c r="J77">
        <v>1395.1025958746072</v>
      </c>
      <c r="K77" s="10">
        <f t="shared" ref="K77:N77" si="569">J77+(($O77-$J77)/5)</f>
        <v>1401.7272260583018</v>
      </c>
      <c r="L77" s="10">
        <f t="shared" si="569"/>
        <v>1408.3518562419963</v>
      </c>
      <c r="M77" s="10">
        <f t="shared" si="569"/>
        <v>1414.9764864256908</v>
      </c>
      <c r="N77" s="10">
        <f t="shared" si="569"/>
        <v>1421.6011166093854</v>
      </c>
      <c r="O77">
        <v>1428.2257467930795</v>
      </c>
      <c r="P77" s="10">
        <f t="shared" ref="P77:S77" si="570">O77+(($T77-$O77)/5)</f>
        <v>1416.0647792434117</v>
      </c>
      <c r="Q77" s="10">
        <f t="shared" si="570"/>
        <v>1403.903811693744</v>
      </c>
      <c r="R77" s="10">
        <f t="shared" si="570"/>
        <v>1391.7428441440763</v>
      </c>
      <c r="S77" s="10">
        <f t="shared" si="570"/>
        <v>1379.5818765944086</v>
      </c>
      <c r="T77">
        <v>1367.4209090447412</v>
      </c>
      <c r="U77" s="10">
        <f t="shared" ref="U77:X77" si="571">T77+(($Y77-$T77)/5)</f>
        <v>1352.6684031714635</v>
      </c>
      <c r="V77" s="10">
        <f t="shared" si="571"/>
        <v>1337.9158972981859</v>
      </c>
      <c r="W77" s="10">
        <f t="shared" si="571"/>
        <v>1323.1633914249082</v>
      </c>
      <c r="X77" s="10">
        <f t="shared" si="571"/>
        <v>1308.4108855516306</v>
      </c>
      <c r="Y77">
        <v>1293.6583796783534</v>
      </c>
      <c r="Z77" s="10">
        <f t="shared" ref="Z77:AC77" si="572">Y77+(($AD77-$Y77)/5)</f>
        <v>1293.8009040958495</v>
      </c>
      <c r="AA77" s="10">
        <f t="shared" si="572"/>
        <v>1293.9434285133457</v>
      </c>
      <c r="AB77" s="10">
        <f t="shared" si="572"/>
        <v>1294.0859529308418</v>
      </c>
      <c r="AC77" s="10">
        <f t="shared" si="572"/>
        <v>1294.2284773483379</v>
      </c>
      <c r="AD77">
        <v>1294.3710017658336</v>
      </c>
      <c r="AE77" s="10">
        <f t="shared" ref="AE77:AH77" si="573">AD77+(($AI77-$AD77)/5)</f>
        <v>1288.7529230633133</v>
      </c>
      <c r="AF77" s="10">
        <f t="shared" si="573"/>
        <v>1283.1348443607931</v>
      </c>
      <c r="AG77" s="10">
        <f t="shared" si="573"/>
        <v>1277.5167656582728</v>
      </c>
      <c r="AH77" s="10">
        <f t="shared" si="573"/>
        <v>1271.8986869557525</v>
      </c>
      <c r="AI77">
        <v>1266.2806082532325</v>
      </c>
      <c r="AJ77" s="10">
        <f t="shared" ref="AJ77:AM77" si="574">AI77+(($AN77-$AI77)/5)</f>
        <v>1262.611820458744</v>
      </c>
      <c r="AK77" s="10">
        <f t="shared" si="574"/>
        <v>1258.9430326642555</v>
      </c>
      <c r="AL77" s="10">
        <f t="shared" si="574"/>
        <v>1255.274244869767</v>
      </c>
      <c r="AM77" s="10">
        <f t="shared" si="574"/>
        <v>1251.6054570752785</v>
      </c>
      <c r="AN77">
        <v>1247.9366692807903</v>
      </c>
      <c r="AO77" s="10">
        <f t="shared" ref="AO77:AX77" si="575">AN77</f>
        <v>1247.9366692807903</v>
      </c>
      <c r="AP77" s="10">
        <f t="shared" si="575"/>
        <v>1247.9366692807903</v>
      </c>
      <c r="AQ77" s="10">
        <f t="shared" si="575"/>
        <v>1247.9366692807903</v>
      </c>
      <c r="AR77" s="10">
        <f t="shared" si="575"/>
        <v>1247.9366692807903</v>
      </c>
      <c r="AS77" s="10">
        <f t="shared" si="575"/>
        <v>1247.9366692807903</v>
      </c>
      <c r="AT77" s="10">
        <f t="shared" si="575"/>
        <v>1247.9366692807903</v>
      </c>
      <c r="AU77" s="10">
        <f t="shared" si="575"/>
        <v>1247.9366692807903</v>
      </c>
      <c r="AV77" s="10">
        <f t="shared" si="575"/>
        <v>1247.9366692807903</v>
      </c>
      <c r="AW77" s="10">
        <f t="shared" si="575"/>
        <v>1247.9366692807903</v>
      </c>
      <c r="AX77" s="10">
        <f t="shared" si="575"/>
        <v>1247.9366692807903</v>
      </c>
    </row>
    <row r="78" spans="1:50" x14ac:dyDescent="0.3">
      <c r="A78" t="s">
        <v>1422</v>
      </c>
      <c r="B78" t="s">
        <v>1434</v>
      </c>
      <c r="C78">
        <v>8825.9691687280665</v>
      </c>
      <c r="D78">
        <v>6413.5745053877163</v>
      </c>
      <c r="E78">
        <v>6104.639736599247</v>
      </c>
      <c r="F78" s="10">
        <f t="shared" ref="F78:I78" si="576">E78+(($J78-$E78)/5)</f>
        <v>6062.1221749672832</v>
      </c>
      <c r="G78" s="10">
        <f t="shared" si="576"/>
        <v>6019.6046133353193</v>
      </c>
      <c r="H78" s="10">
        <f t="shared" si="576"/>
        <v>5977.0870517033554</v>
      </c>
      <c r="I78" s="10">
        <f t="shared" si="576"/>
        <v>5934.5694900713916</v>
      </c>
      <c r="J78">
        <v>5892.0519284394268</v>
      </c>
      <c r="K78" s="10">
        <f t="shared" ref="K78:N78" si="577">J78+(($O78-$J78)/5)</f>
        <v>6110.6330740631856</v>
      </c>
      <c r="L78" s="10">
        <f t="shared" si="577"/>
        <v>6329.2142196869445</v>
      </c>
      <c r="M78" s="10">
        <f t="shared" si="577"/>
        <v>6547.7953653107033</v>
      </c>
      <c r="N78" s="10">
        <f t="shared" si="577"/>
        <v>6766.3765109344622</v>
      </c>
      <c r="O78">
        <v>6984.9576565582211</v>
      </c>
      <c r="P78" s="10">
        <f t="shared" ref="P78:S78" si="578">O78+(($T78-$O78)/5)</f>
        <v>7037.4082702975647</v>
      </c>
      <c r="Q78" s="10">
        <f t="shared" si="578"/>
        <v>7089.8588840369084</v>
      </c>
      <c r="R78" s="10">
        <f t="shared" si="578"/>
        <v>7142.3094977762521</v>
      </c>
      <c r="S78" s="10">
        <f t="shared" si="578"/>
        <v>7194.7601115155958</v>
      </c>
      <c r="T78">
        <v>7247.2107252549395</v>
      </c>
      <c r="U78" s="10">
        <f t="shared" ref="U78:X78" si="579">T78+(($Y78-$T78)/5)</f>
        <v>7222.8199083462896</v>
      </c>
      <c r="V78" s="10">
        <f t="shared" si="579"/>
        <v>7198.4290914376397</v>
      </c>
      <c r="W78" s="10">
        <f t="shared" si="579"/>
        <v>7174.0382745289899</v>
      </c>
      <c r="X78" s="10">
        <f t="shared" si="579"/>
        <v>7149.64745762034</v>
      </c>
      <c r="Y78">
        <v>7125.2566407116883</v>
      </c>
      <c r="Z78" s="10">
        <f t="shared" ref="Z78:AC78" si="580">Y78+(($AD78-$Y78)/5)</f>
        <v>7071.6302871983253</v>
      </c>
      <c r="AA78" s="10">
        <f t="shared" si="580"/>
        <v>7018.0039336849622</v>
      </c>
      <c r="AB78" s="10">
        <f t="shared" si="580"/>
        <v>6964.3775801715992</v>
      </c>
      <c r="AC78" s="10">
        <f t="shared" si="580"/>
        <v>6910.7512266582362</v>
      </c>
      <c r="AD78">
        <v>6857.1248731448713</v>
      </c>
      <c r="AE78" s="10">
        <f t="shared" ref="AE78:AH78" si="581">AD78+(($AI78-$AD78)/5)</f>
        <v>6819.2845573352924</v>
      </c>
      <c r="AF78" s="10">
        <f t="shared" si="581"/>
        <v>6781.4442415257136</v>
      </c>
      <c r="AG78" s="10">
        <f t="shared" si="581"/>
        <v>6743.6039257161347</v>
      </c>
      <c r="AH78" s="10">
        <f t="shared" si="581"/>
        <v>6705.7636099065558</v>
      </c>
      <c r="AI78">
        <v>6667.923294096976</v>
      </c>
      <c r="AJ78" s="10">
        <f t="shared" ref="AJ78:AM78" si="582">AI78+(($AN78-$AI78)/5)</f>
        <v>6640.5776996417299</v>
      </c>
      <c r="AK78" s="10">
        <f t="shared" si="582"/>
        <v>6613.2321051864838</v>
      </c>
      <c r="AL78" s="10">
        <f t="shared" si="582"/>
        <v>6585.8865107312376</v>
      </c>
      <c r="AM78" s="10">
        <f t="shared" si="582"/>
        <v>6558.5409162759915</v>
      </c>
      <c r="AN78">
        <v>6531.1953218207436</v>
      </c>
      <c r="AO78" s="10">
        <f t="shared" ref="AO78:AX78" si="583">AN78</f>
        <v>6531.1953218207436</v>
      </c>
      <c r="AP78" s="10">
        <f t="shared" si="583"/>
        <v>6531.1953218207436</v>
      </c>
      <c r="AQ78" s="10">
        <f t="shared" si="583"/>
        <v>6531.1953218207436</v>
      </c>
      <c r="AR78" s="10">
        <f t="shared" si="583"/>
        <v>6531.1953218207436</v>
      </c>
      <c r="AS78" s="10">
        <f t="shared" si="583"/>
        <v>6531.1953218207436</v>
      </c>
      <c r="AT78" s="10">
        <f t="shared" si="583"/>
        <v>6531.1953218207436</v>
      </c>
      <c r="AU78" s="10">
        <f t="shared" si="583"/>
        <v>6531.1953218207436</v>
      </c>
      <c r="AV78" s="10">
        <f t="shared" si="583"/>
        <v>6531.1953218207436</v>
      </c>
      <c r="AW78" s="10">
        <f t="shared" si="583"/>
        <v>6531.1953218207436</v>
      </c>
      <c r="AX78" s="10">
        <f t="shared" si="583"/>
        <v>6531.1953218207436</v>
      </c>
    </row>
    <row r="79" spans="1:50" x14ac:dyDescent="0.3">
      <c r="A79" t="s">
        <v>1422</v>
      </c>
      <c r="B79" t="s">
        <v>1439</v>
      </c>
      <c r="C79">
        <v>6025.1831687280664</v>
      </c>
      <c r="D79">
        <v>4293.3185053877169</v>
      </c>
      <c r="E79">
        <v>3940.0077365992474</v>
      </c>
      <c r="F79" s="10">
        <f t="shared" ref="F79:I79" si="584">E79+(($J79-$E79)/5)</f>
        <v>3877.2003757630732</v>
      </c>
      <c r="G79" s="10">
        <f t="shared" si="584"/>
        <v>3814.393014926899</v>
      </c>
      <c r="H79" s="10">
        <f t="shared" si="584"/>
        <v>3751.5856540907248</v>
      </c>
      <c r="I79" s="10">
        <f t="shared" si="584"/>
        <v>3688.7782932545506</v>
      </c>
      <c r="J79">
        <v>3625.9709324183773</v>
      </c>
      <c r="K79" s="10">
        <f t="shared" ref="K79:N79" si="585">J79+(($O79-$J79)/5)</f>
        <v>3713.6492898707465</v>
      </c>
      <c r="L79" s="10">
        <f t="shared" si="585"/>
        <v>3801.3276473231158</v>
      </c>
      <c r="M79" s="10">
        <f t="shared" si="585"/>
        <v>3889.0060047754851</v>
      </c>
      <c r="N79" s="10">
        <f t="shared" si="585"/>
        <v>3976.6843622278543</v>
      </c>
      <c r="O79">
        <v>4064.3627196802231</v>
      </c>
      <c r="P79" s="10">
        <f t="shared" ref="P79:S79" si="586">O79+(($T79-$O79)/5)</f>
        <v>4054.7524740120361</v>
      </c>
      <c r="Q79" s="10">
        <f t="shared" si="586"/>
        <v>4045.1422283438492</v>
      </c>
      <c r="R79" s="10">
        <f t="shared" si="586"/>
        <v>4035.5319826756622</v>
      </c>
      <c r="S79" s="10">
        <f t="shared" si="586"/>
        <v>4025.9217370074753</v>
      </c>
      <c r="T79">
        <v>4016.3114913392874</v>
      </c>
      <c r="U79" s="10">
        <f t="shared" ref="U79:X79" si="587">T79+(($Y79-$T79)/5)</f>
        <v>3980.5401359555894</v>
      </c>
      <c r="V79" s="10">
        <f t="shared" si="587"/>
        <v>3944.7687805718915</v>
      </c>
      <c r="W79" s="10">
        <f t="shared" si="587"/>
        <v>3908.9974251881936</v>
      </c>
      <c r="X79" s="10">
        <f t="shared" si="587"/>
        <v>3873.2260698044956</v>
      </c>
      <c r="Y79">
        <v>3837.4547144207982</v>
      </c>
      <c r="Z79" s="10">
        <f t="shared" ref="Z79:AC79" si="588">Y79+(($AD79-$Y79)/5)</f>
        <v>3787.2005156353171</v>
      </c>
      <c r="AA79" s="10">
        <f t="shared" si="588"/>
        <v>3736.946316849836</v>
      </c>
      <c r="AB79" s="10">
        <f t="shared" si="588"/>
        <v>3686.6921180643549</v>
      </c>
      <c r="AC79" s="10">
        <f t="shared" si="588"/>
        <v>3636.4379192788738</v>
      </c>
      <c r="AD79">
        <v>3586.1837204933927</v>
      </c>
      <c r="AE79" s="10">
        <f t="shared" ref="AE79:AH79" si="589">AD79+(($AI79-$AD79)/5)</f>
        <v>3550.6510358513215</v>
      </c>
      <c r="AF79" s="10">
        <f t="shared" si="589"/>
        <v>3515.1183512092502</v>
      </c>
      <c r="AG79" s="10">
        <f t="shared" si="589"/>
        <v>3479.585666567179</v>
      </c>
      <c r="AH79" s="10">
        <f t="shared" si="589"/>
        <v>3444.0529819251078</v>
      </c>
      <c r="AI79">
        <v>3408.5202972830371</v>
      </c>
      <c r="AJ79" s="10">
        <f t="shared" ref="AJ79:AM79" si="590">AI79+(($AN79-$AI79)/5)</f>
        <v>3389.7418905590753</v>
      </c>
      <c r="AK79" s="10">
        <f t="shared" si="590"/>
        <v>3370.9634838351135</v>
      </c>
      <c r="AL79" s="10">
        <f t="shared" si="590"/>
        <v>3352.1850771111517</v>
      </c>
      <c r="AM79" s="10">
        <f t="shared" si="590"/>
        <v>3333.4066703871899</v>
      </c>
      <c r="AN79">
        <v>3314.6282636632286</v>
      </c>
      <c r="AO79" s="10">
        <f t="shared" ref="AO79:AX79" si="591">AN79</f>
        <v>3314.6282636632286</v>
      </c>
      <c r="AP79" s="10">
        <f t="shared" si="591"/>
        <v>3314.6282636632286</v>
      </c>
      <c r="AQ79" s="10">
        <f t="shared" si="591"/>
        <v>3314.6282636632286</v>
      </c>
      <c r="AR79" s="10">
        <f t="shared" si="591"/>
        <v>3314.6282636632286</v>
      </c>
      <c r="AS79" s="10">
        <f t="shared" si="591"/>
        <v>3314.6282636632286</v>
      </c>
      <c r="AT79" s="10">
        <f t="shared" si="591"/>
        <v>3314.6282636632286</v>
      </c>
      <c r="AU79" s="10">
        <f t="shared" si="591"/>
        <v>3314.6282636632286</v>
      </c>
      <c r="AV79" s="10">
        <f t="shared" si="591"/>
        <v>3314.6282636632286</v>
      </c>
      <c r="AW79" s="10">
        <f t="shared" si="591"/>
        <v>3314.6282636632286</v>
      </c>
      <c r="AX79" s="10">
        <f t="shared" si="591"/>
        <v>3314.6282636632286</v>
      </c>
    </row>
    <row r="80" spans="1:50" x14ac:dyDescent="0.3">
      <c r="A80" t="s">
        <v>1422</v>
      </c>
      <c r="B80" t="s">
        <v>1435</v>
      </c>
      <c r="C80">
        <v>2800.7860000000001</v>
      </c>
      <c r="D80">
        <v>2120.2559999999994</v>
      </c>
      <c r="E80">
        <v>2164.6319999999996</v>
      </c>
      <c r="F80" s="10">
        <f t="shared" ref="F80:I80" si="592">E80+(($J80-$E80)/5)</f>
        <v>2184.9217992042095</v>
      </c>
      <c r="G80" s="10">
        <f t="shared" si="592"/>
        <v>2205.2115984084194</v>
      </c>
      <c r="H80" s="10">
        <f t="shared" si="592"/>
        <v>2225.5013976126293</v>
      </c>
      <c r="I80" s="10">
        <f t="shared" si="592"/>
        <v>2245.7911968168391</v>
      </c>
      <c r="J80">
        <v>2266.0809960210495</v>
      </c>
      <c r="K80" s="10">
        <f t="shared" ref="K80:N80" si="593">J80+(($O80-$J80)/5)</f>
        <v>2396.9837841924391</v>
      </c>
      <c r="L80" s="10">
        <f t="shared" si="593"/>
        <v>2527.8865723638287</v>
      </c>
      <c r="M80" s="10">
        <f t="shared" si="593"/>
        <v>2658.7893605352183</v>
      </c>
      <c r="N80" s="10">
        <f t="shared" si="593"/>
        <v>2789.6921487066079</v>
      </c>
      <c r="O80">
        <v>2920.594936877998</v>
      </c>
      <c r="P80" s="10">
        <f t="shared" ref="P80:S80" si="594">O80+(($T80-$O80)/5)</f>
        <v>2982.6557962855286</v>
      </c>
      <c r="Q80" s="10">
        <f t="shared" si="594"/>
        <v>3044.7166556930592</v>
      </c>
      <c r="R80" s="10">
        <f t="shared" si="594"/>
        <v>3106.7775151005899</v>
      </c>
      <c r="S80" s="10">
        <f t="shared" si="594"/>
        <v>3168.8383745081205</v>
      </c>
      <c r="T80">
        <v>3230.8992339156521</v>
      </c>
      <c r="U80" s="10">
        <f t="shared" ref="U80:X80" si="595">T80+(($Y80-$T80)/5)</f>
        <v>3242.2797723906997</v>
      </c>
      <c r="V80" s="10">
        <f t="shared" si="595"/>
        <v>3253.6603108657473</v>
      </c>
      <c r="W80" s="10">
        <f t="shared" si="595"/>
        <v>3265.0408493407949</v>
      </c>
      <c r="X80" s="10">
        <f t="shared" si="595"/>
        <v>3276.4213878158425</v>
      </c>
      <c r="Y80">
        <v>3287.8019262908902</v>
      </c>
      <c r="Z80" s="10">
        <f t="shared" ref="Z80:AC80" si="596">Y80+(($AD80-$Y80)/5)</f>
        <v>3284.4297715630078</v>
      </c>
      <c r="AA80" s="10">
        <f t="shared" si="596"/>
        <v>3281.0576168351254</v>
      </c>
      <c r="AB80" s="10">
        <f t="shared" si="596"/>
        <v>3277.685462107243</v>
      </c>
      <c r="AC80" s="10">
        <f t="shared" si="596"/>
        <v>3274.3133073793606</v>
      </c>
      <c r="AD80">
        <v>3270.9411526514787</v>
      </c>
      <c r="AE80" s="10">
        <f t="shared" ref="AE80:AH80" si="597">AD80+(($AI80-$AD80)/5)</f>
        <v>3268.6335214839705</v>
      </c>
      <c r="AF80" s="10">
        <f t="shared" si="597"/>
        <v>3266.3258903164624</v>
      </c>
      <c r="AG80" s="10">
        <f t="shared" si="597"/>
        <v>3264.0182591489543</v>
      </c>
      <c r="AH80" s="10">
        <f t="shared" si="597"/>
        <v>3261.7106279814461</v>
      </c>
      <c r="AI80">
        <v>3259.4029968139389</v>
      </c>
      <c r="AJ80" s="10">
        <f t="shared" ref="AJ80:AM80" si="598">AI80+(($AN80-$AI80)/5)</f>
        <v>3250.8358090826541</v>
      </c>
      <c r="AK80" s="10">
        <f t="shared" si="598"/>
        <v>3242.2686213513693</v>
      </c>
      <c r="AL80" s="10">
        <f t="shared" si="598"/>
        <v>3233.7014336200846</v>
      </c>
      <c r="AM80" s="10">
        <f t="shared" si="598"/>
        <v>3225.1342458887998</v>
      </c>
      <c r="AN80">
        <v>3216.567058157515</v>
      </c>
      <c r="AO80" s="10">
        <f t="shared" ref="AO80:AX80" si="599">AN80</f>
        <v>3216.567058157515</v>
      </c>
      <c r="AP80" s="10">
        <f t="shared" si="599"/>
        <v>3216.567058157515</v>
      </c>
      <c r="AQ80" s="10">
        <f t="shared" si="599"/>
        <v>3216.567058157515</v>
      </c>
      <c r="AR80" s="10">
        <f t="shared" si="599"/>
        <v>3216.567058157515</v>
      </c>
      <c r="AS80" s="10">
        <f t="shared" si="599"/>
        <v>3216.567058157515</v>
      </c>
      <c r="AT80" s="10">
        <f t="shared" si="599"/>
        <v>3216.567058157515</v>
      </c>
      <c r="AU80" s="10">
        <f t="shared" si="599"/>
        <v>3216.567058157515</v>
      </c>
      <c r="AV80" s="10">
        <f t="shared" si="599"/>
        <v>3216.567058157515</v>
      </c>
      <c r="AW80" s="10">
        <f t="shared" si="599"/>
        <v>3216.567058157515</v>
      </c>
      <c r="AX80" s="10">
        <f t="shared" si="599"/>
        <v>3216.567058157515</v>
      </c>
    </row>
    <row r="81" spans="1:50" x14ac:dyDescent="0.3">
      <c r="A81" t="s">
        <v>1423</v>
      </c>
      <c r="B81" t="s">
        <v>1434</v>
      </c>
      <c r="C81">
        <v>11602.132603237853</v>
      </c>
      <c r="D81">
        <v>11327.441797813561</v>
      </c>
      <c r="E81">
        <v>10711.196430583645</v>
      </c>
      <c r="F81" s="10">
        <f t="shared" ref="F81:I81" si="600">E81+(($J81-$E81)/5)</f>
        <v>10608.342268419532</v>
      </c>
      <c r="G81" s="10">
        <f t="shared" si="600"/>
        <v>10505.48810625542</v>
      </c>
      <c r="H81" s="10">
        <f t="shared" si="600"/>
        <v>10402.633944091307</v>
      </c>
      <c r="I81" s="10">
        <f t="shared" si="600"/>
        <v>10299.779781927195</v>
      </c>
      <c r="J81">
        <v>10196.925619763078</v>
      </c>
      <c r="K81" s="10">
        <f t="shared" ref="K81:N81" si="601">J81+(($O81-$J81)/5)</f>
        <v>10207.064121376918</v>
      </c>
      <c r="L81" s="10">
        <f t="shared" si="601"/>
        <v>10217.202622990757</v>
      </c>
      <c r="M81" s="10">
        <f t="shared" si="601"/>
        <v>10227.341124604596</v>
      </c>
      <c r="N81" s="10">
        <f t="shared" si="601"/>
        <v>10237.479626218435</v>
      </c>
      <c r="O81">
        <v>10247.618127832273</v>
      </c>
      <c r="P81" s="10">
        <f t="shared" ref="P81:S81" si="602">O81+(($T81-$O81)/5)</f>
        <v>10279.344636839283</v>
      </c>
      <c r="Q81" s="10">
        <f t="shared" si="602"/>
        <v>10311.071145846294</v>
      </c>
      <c r="R81" s="10">
        <f t="shared" si="602"/>
        <v>10342.797654853304</v>
      </c>
      <c r="S81" s="10">
        <f t="shared" si="602"/>
        <v>10374.524163860315</v>
      </c>
      <c r="T81">
        <v>10406.250672867325</v>
      </c>
      <c r="U81" s="10">
        <f t="shared" ref="U81:X81" si="603">T81+(($Y81-$T81)/5)</f>
        <v>10278.839581996537</v>
      </c>
      <c r="V81" s="10">
        <f t="shared" si="603"/>
        <v>10151.428491125749</v>
      </c>
      <c r="W81" s="10">
        <f t="shared" si="603"/>
        <v>10024.017400254961</v>
      </c>
      <c r="X81" s="10">
        <f t="shared" si="603"/>
        <v>9896.6063093841731</v>
      </c>
      <c r="Y81">
        <v>9769.1952185133887</v>
      </c>
      <c r="Z81" s="10">
        <f t="shared" ref="Z81:AC81" si="604">Y81+(($AD81-$Y81)/5)</f>
        <v>9634.6477405156911</v>
      </c>
      <c r="AA81" s="10">
        <f t="shared" si="604"/>
        <v>9500.1002625179935</v>
      </c>
      <c r="AB81" s="10">
        <f t="shared" si="604"/>
        <v>9365.552784520296</v>
      </c>
      <c r="AC81" s="10">
        <f t="shared" si="604"/>
        <v>9231.0053065225984</v>
      </c>
      <c r="AD81">
        <v>9096.4578285249008</v>
      </c>
      <c r="AE81" s="10">
        <f t="shared" ref="AE81:AH81" si="605">AD81+(($AI81-$AD81)/5)</f>
        <v>9129.2077785318797</v>
      </c>
      <c r="AF81" s="10">
        <f t="shared" si="605"/>
        <v>9161.9577285388586</v>
      </c>
      <c r="AG81" s="10">
        <f t="shared" si="605"/>
        <v>9194.7076785458376</v>
      </c>
      <c r="AH81" s="10">
        <f t="shared" si="605"/>
        <v>9227.4576285528165</v>
      </c>
      <c r="AI81">
        <v>9260.2075785597972</v>
      </c>
      <c r="AJ81" s="10">
        <f t="shared" ref="AJ81:AM81" si="606">AI81+(($AN81-$AI81)/5)</f>
        <v>9284.676904293201</v>
      </c>
      <c r="AK81" s="10">
        <f t="shared" si="606"/>
        <v>9309.1462300266048</v>
      </c>
      <c r="AL81" s="10">
        <f t="shared" si="606"/>
        <v>9333.6155557600086</v>
      </c>
      <c r="AM81" s="10">
        <f t="shared" si="606"/>
        <v>9358.0848814934125</v>
      </c>
      <c r="AN81">
        <v>9382.5542072268163</v>
      </c>
      <c r="AO81" s="10">
        <f t="shared" ref="AO81:AX81" si="607">AN81</f>
        <v>9382.5542072268163</v>
      </c>
      <c r="AP81" s="10">
        <f t="shared" si="607"/>
        <v>9382.5542072268163</v>
      </c>
      <c r="AQ81" s="10">
        <f t="shared" si="607"/>
        <v>9382.5542072268163</v>
      </c>
      <c r="AR81" s="10">
        <f t="shared" si="607"/>
        <v>9382.5542072268163</v>
      </c>
      <c r="AS81" s="10">
        <f t="shared" si="607"/>
        <v>9382.5542072268163</v>
      </c>
      <c r="AT81" s="10">
        <f t="shared" si="607"/>
        <v>9382.5542072268163</v>
      </c>
      <c r="AU81" s="10">
        <f t="shared" si="607"/>
        <v>9382.5542072268163</v>
      </c>
      <c r="AV81" s="10">
        <f t="shared" si="607"/>
        <v>9382.5542072268163</v>
      </c>
      <c r="AW81" s="10">
        <f t="shared" si="607"/>
        <v>9382.5542072268163</v>
      </c>
      <c r="AX81" s="10">
        <f t="shared" si="607"/>
        <v>9382.5542072268163</v>
      </c>
    </row>
    <row r="82" spans="1:50" x14ac:dyDescent="0.3">
      <c r="A82" t="s">
        <v>1423</v>
      </c>
      <c r="B82" t="s">
        <v>1439</v>
      </c>
      <c r="C82">
        <v>8386.0546032378534</v>
      </c>
      <c r="D82">
        <v>8276.9367978135597</v>
      </c>
      <c r="E82">
        <v>7878.4964305836438</v>
      </c>
      <c r="F82" s="10">
        <f t="shared" ref="F82:I82" si="608">E82+(($J82-$E82)/5)</f>
        <v>7797.339103966121</v>
      </c>
      <c r="G82" s="10">
        <f t="shared" si="608"/>
        <v>7716.1817773485982</v>
      </c>
      <c r="H82" s="10">
        <f t="shared" si="608"/>
        <v>7635.0244507310754</v>
      </c>
      <c r="I82" s="10">
        <f t="shared" si="608"/>
        <v>7553.8671241135526</v>
      </c>
      <c r="J82">
        <v>7472.7097974960279</v>
      </c>
      <c r="K82" s="10">
        <f t="shared" ref="K82:N82" si="609">J82+(($O82-$J82)/5)</f>
        <v>7472.1905919343153</v>
      </c>
      <c r="L82" s="10">
        <f t="shared" si="609"/>
        <v>7471.6713863726027</v>
      </c>
      <c r="M82" s="10">
        <f t="shared" si="609"/>
        <v>7471.1521808108901</v>
      </c>
      <c r="N82" s="10">
        <f t="shared" si="609"/>
        <v>7470.6329752491774</v>
      </c>
      <c r="O82">
        <v>7470.113769687463</v>
      </c>
      <c r="P82" s="10">
        <f t="shared" ref="P82:S82" si="610">O82+(($T82-$O82)/5)</f>
        <v>7460.3935819282315</v>
      </c>
      <c r="Q82" s="10">
        <f t="shared" si="610"/>
        <v>7450.6733941689999</v>
      </c>
      <c r="R82" s="10">
        <f t="shared" si="610"/>
        <v>7440.9532064097684</v>
      </c>
      <c r="S82" s="10">
        <f t="shared" si="610"/>
        <v>7431.2330186505369</v>
      </c>
      <c r="T82">
        <v>7421.5128308913045</v>
      </c>
      <c r="U82" s="10">
        <f t="shared" ref="U82:X82" si="611">T82+(($Y82-$T82)/5)</f>
        <v>7293.2199850218994</v>
      </c>
      <c r="V82" s="10">
        <f t="shared" si="611"/>
        <v>7164.9271391524944</v>
      </c>
      <c r="W82" s="10">
        <f t="shared" si="611"/>
        <v>7036.6342932830894</v>
      </c>
      <c r="X82" s="10">
        <f t="shared" si="611"/>
        <v>6908.3414474136844</v>
      </c>
      <c r="Y82">
        <v>6780.0486015442784</v>
      </c>
      <c r="Z82" s="10">
        <f t="shared" ref="Z82:AC82" si="612">Y82+(($AD82-$Y82)/5)</f>
        <v>6636.3576977114244</v>
      </c>
      <c r="AA82" s="10">
        <f t="shared" si="612"/>
        <v>6492.6667938785704</v>
      </c>
      <c r="AB82" s="10">
        <f t="shared" si="612"/>
        <v>6348.9758900457164</v>
      </c>
      <c r="AC82" s="10">
        <f t="shared" si="612"/>
        <v>6205.2849862128623</v>
      </c>
      <c r="AD82">
        <v>6061.5940823800092</v>
      </c>
      <c r="AE82" s="10">
        <f t="shared" ref="AE82:AH82" si="613">AD82+(($AI82-$AD82)/5)</f>
        <v>6062.6883646341548</v>
      </c>
      <c r="AF82" s="10">
        <f t="shared" si="613"/>
        <v>6063.7826468883004</v>
      </c>
      <c r="AG82" s="10">
        <f t="shared" si="613"/>
        <v>6064.876929142446</v>
      </c>
      <c r="AH82" s="10">
        <f t="shared" si="613"/>
        <v>6065.9712113965916</v>
      </c>
      <c r="AI82">
        <v>6067.0654936507381</v>
      </c>
      <c r="AJ82" s="10">
        <f t="shared" ref="AJ82:AM82" si="614">AI82+(($AN82-$AI82)/5)</f>
        <v>6061.9282403910902</v>
      </c>
      <c r="AK82" s="10">
        <f t="shared" si="614"/>
        <v>6056.7909871314423</v>
      </c>
      <c r="AL82" s="10">
        <f t="shared" si="614"/>
        <v>6051.6537338717944</v>
      </c>
      <c r="AM82" s="10">
        <f t="shared" si="614"/>
        <v>6046.5164806121466</v>
      </c>
      <c r="AN82">
        <v>6041.3792273524969</v>
      </c>
      <c r="AO82" s="10">
        <f t="shared" ref="AO82:AX82" si="615">AN82</f>
        <v>6041.3792273524969</v>
      </c>
      <c r="AP82" s="10">
        <f t="shared" si="615"/>
        <v>6041.3792273524969</v>
      </c>
      <c r="AQ82" s="10">
        <f t="shared" si="615"/>
        <v>6041.3792273524969</v>
      </c>
      <c r="AR82" s="10">
        <f t="shared" si="615"/>
        <v>6041.3792273524969</v>
      </c>
      <c r="AS82" s="10">
        <f t="shared" si="615"/>
        <v>6041.3792273524969</v>
      </c>
      <c r="AT82" s="10">
        <f t="shared" si="615"/>
        <v>6041.3792273524969</v>
      </c>
      <c r="AU82" s="10">
        <f t="shared" si="615"/>
        <v>6041.3792273524969</v>
      </c>
      <c r="AV82" s="10">
        <f t="shared" si="615"/>
        <v>6041.3792273524969</v>
      </c>
      <c r="AW82" s="10">
        <f t="shared" si="615"/>
        <v>6041.3792273524969</v>
      </c>
      <c r="AX82" s="10">
        <f t="shared" si="615"/>
        <v>6041.3792273524969</v>
      </c>
    </row>
    <row r="83" spans="1:50" x14ac:dyDescent="0.3">
      <c r="A83" t="s">
        <v>1423</v>
      </c>
      <c r="B83" t="s">
        <v>1435</v>
      </c>
      <c r="C83">
        <v>3216.0779999999995</v>
      </c>
      <c r="D83">
        <v>3050.505000000001</v>
      </c>
      <c r="E83">
        <v>2832.7000000000007</v>
      </c>
      <c r="F83" s="10">
        <f t="shared" ref="F83:I83" si="616">E83+(($J83-$E83)/5)</f>
        <v>2811.0031644534106</v>
      </c>
      <c r="G83" s="10">
        <f t="shared" si="616"/>
        <v>2789.3063289068205</v>
      </c>
      <c r="H83" s="10">
        <f t="shared" si="616"/>
        <v>2767.6094933602303</v>
      </c>
      <c r="I83" s="10">
        <f t="shared" si="616"/>
        <v>2745.9126578136402</v>
      </c>
      <c r="J83">
        <v>2724.2158222670505</v>
      </c>
      <c r="K83" s="10">
        <f t="shared" ref="K83:N83" si="617">J83+(($O83-$J83)/5)</f>
        <v>2734.8735294426024</v>
      </c>
      <c r="L83" s="10">
        <f t="shared" si="617"/>
        <v>2745.5312366181543</v>
      </c>
      <c r="M83" s="10">
        <f t="shared" si="617"/>
        <v>2756.1889437937061</v>
      </c>
      <c r="N83" s="10">
        <f t="shared" si="617"/>
        <v>2766.846650969258</v>
      </c>
      <c r="O83">
        <v>2777.5043581448099</v>
      </c>
      <c r="P83" s="10">
        <f t="shared" ref="P83:S83" si="618">O83+(($T83-$O83)/5)</f>
        <v>2818.9510549110519</v>
      </c>
      <c r="Q83" s="10">
        <f t="shared" si="618"/>
        <v>2860.3977516772939</v>
      </c>
      <c r="R83" s="10">
        <f t="shared" si="618"/>
        <v>2901.8444484435358</v>
      </c>
      <c r="S83" s="10">
        <f t="shared" si="618"/>
        <v>2943.2911452097778</v>
      </c>
      <c r="T83">
        <v>2984.7378419760207</v>
      </c>
      <c r="U83" s="10">
        <f t="shared" ref="U83:X83" si="619">T83+(($Y83-$T83)/5)</f>
        <v>2985.6195969746386</v>
      </c>
      <c r="V83" s="10">
        <f t="shared" si="619"/>
        <v>2986.5013519732565</v>
      </c>
      <c r="W83" s="10">
        <f t="shared" si="619"/>
        <v>2987.3831069718744</v>
      </c>
      <c r="X83" s="10">
        <f t="shared" si="619"/>
        <v>2988.2648619704923</v>
      </c>
      <c r="Y83">
        <v>2989.1466169691103</v>
      </c>
      <c r="Z83" s="10">
        <f t="shared" ref="Z83:AC83" si="620">Y83+(($AD83-$Y83)/5)</f>
        <v>2998.2900428042667</v>
      </c>
      <c r="AA83" s="10">
        <f t="shared" si="620"/>
        <v>3007.4334686394232</v>
      </c>
      <c r="AB83" s="10">
        <f t="shared" si="620"/>
        <v>3016.5768944745796</v>
      </c>
      <c r="AC83" s="10">
        <f t="shared" si="620"/>
        <v>3025.7203203097361</v>
      </c>
      <c r="AD83">
        <v>3034.8637461448916</v>
      </c>
      <c r="AE83" s="10">
        <f t="shared" ref="AE83:AH83" si="621">AD83+(($AI83-$AD83)/5)</f>
        <v>3066.5194138977249</v>
      </c>
      <c r="AF83" s="10">
        <f t="shared" si="621"/>
        <v>3098.1750816505582</v>
      </c>
      <c r="AG83" s="10">
        <f t="shared" si="621"/>
        <v>3129.8307494033916</v>
      </c>
      <c r="AH83" s="10">
        <f t="shared" si="621"/>
        <v>3161.4864171562249</v>
      </c>
      <c r="AI83">
        <v>3193.1420849090591</v>
      </c>
      <c r="AJ83" s="10">
        <f t="shared" ref="AJ83:AM83" si="622">AI83+(($AN83-$AI83)/5)</f>
        <v>3222.7486639021113</v>
      </c>
      <c r="AK83" s="10">
        <f t="shared" si="622"/>
        <v>3252.3552428951634</v>
      </c>
      <c r="AL83" s="10">
        <f t="shared" si="622"/>
        <v>3281.9618218882156</v>
      </c>
      <c r="AM83" s="10">
        <f t="shared" si="622"/>
        <v>3311.5684008812677</v>
      </c>
      <c r="AN83">
        <v>3341.1749798743194</v>
      </c>
      <c r="AO83" s="10">
        <f t="shared" ref="AO83:AX83" si="623">AN83</f>
        <v>3341.1749798743194</v>
      </c>
      <c r="AP83" s="10">
        <f t="shared" si="623"/>
        <v>3341.1749798743194</v>
      </c>
      <c r="AQ83" s="10">
        <f t="shared" si="623"/>
        <v>3341.1749798743194</v>
      </c>
      <c r="AR83" s="10">
        <f t="shared" si="623"/>
        <v>3341.1749798743194</v>
      </c>
      <c r="AS83" s="10">
        <f t="shared" si="623"/>
        <v>3341.1749798743194</v>
      </c>
      <c r="AT83" s="10">
        <f t="shared" si="623"/>
        <v>3341.1749798743194</v>
      </c>
      <c r="AU83" s="10">
        <f t="shared" si="623"/>
        <v>3341.1749798743194</v>
      </c>
      <c r="AV83" s="10">
        <f t="shared" si="623"/>
        <v>3341.1749798743194</v>
      </c>
      <c r="AW83" s="10">
        <f t="shared" si="623"/>
        <v>3341.1749798743194</v>
      </c>
      <c r="AX83" s="10">
        <f t="shared" si="623"/>
        <v>3341.1749798743194</v>
      </c>
    </row>
    <row r="84" spans="1:50" x14ac:dyDescent="0.3">
      <c r="A84" t="s">
        <v>1424</v>
      </c>
      <c r="B84" t="s">
        <v>1434</v>
      </c>
      <c r="C84">
        <v>1645.847</v>
      </c>
      <c r="D84">
        <v>1274.0540000000001</v>
      </c>
      <c r="E84">
        <v>1228.0159793298508</v>
      </c>
      <c r="F84" s="10">
        <f t="shared" ref="F84:I84" si="624">E84+(($J84-$E84)/5)</f>
        <v>1209.5287556566807</v>
      </c>
      <c r="G84" s="10">
        <f t="shared" si="624"/>
        <v>1191.0415319835106</v>
      </c>
      <c r="H84" s="10">
        <f t="shared" si="624"/>
        <v>1172.5543083103405</v>
      </c>
      <c r="I84" s="10">
        <f t="shared" si="624"/>
        <v>1154.0670846371704</v>
      </c>
      <c r="J84">
        <v>1135.5798609640005</v>
      </c>
      <c r="K84" s="10">
        <f t="shared" ref="K84:N84" si="625">J84+(($O84-$J84)/5)</f>
        <v>1163.015201934528</v>
      </c>
      <c r="L84" s="10">
        <f t="shared" si="625"/>
        <v>1190.4505429050555</v>
      </c>
      <c r="M84" s="10">
        <f t="shared" si="625"/>
        <v>1217.885883875583</v>
      </c>
      <c r="N84" s="10">
        <f t="shared" si="625"/>
        <v>1245.3212248461105</v>
      </c>
      <c r="O84">
        <v>1272.7565658166384</v>
      </c>
      <c r="P84" s="10">
        <f t="shared" ref="P84:S84" si="626">O84+(($T84-$O84)/5)</f>
        <v>1295.6041658767892</v>
      </c>
      <c r="Q84" s="10">
        <f t="shared" si="626"/>
        <v>1318.4517659369401</v>
      </c>
      <c r="R84" s="10">
        <f t="shared" si="626"/>
        <v>1341.2993659970909</v>
      </c>
      <c r="S84" s="10">
        <f t="shared" si="626"/>
        <v>1364.1469660572418</v>
      </c>
      <c r="T84">
        <v>1386.9945661173929</v>
      </c>
      <c r="U84" s="10">
        <f t="shared" ref="U84:X84" si="627">T84+(($Y84-$T84)/5)</f>
        <v>1381.1224536614075</v>
      </c>
      <c r="V84" s="10">
        <f t="shared" si="627"/>
        <v>1375.250341205422</v>
      </c>
      <c r="W84" s="10">
        <f t="shared" si="627"/>
        <v>1369.3782287494366</v>
      </c>
      <c r="X84" s="10">
        <f t="shared" si="627"/>
        <v>1363.5061162934512</v>
      </c>
      <c r="Y84">
        <v>1357.6340038374658</v>
      </c>
      <c r="Z84" s="10">
        <f t="shared" ref="Z84:AC84" si="628">Y84+(($AD84-$Y84)/5)</f>
        <v>1363.7864750550805</v>
      </c>
      <c r="AA84" s="10">
        <f t="shared" si="628"/>
        <v>1369.9389462726951</v>
      </c>
      <c r="AB84" s="10">
        <f t="shared" si="628"/>
        <v>1376.0914174903098</v>
      </c>
      <c r="AC84" s="10">
        <f t="shared" si="628"/>
        <v>1382.2438887079245</v>
      </c>
      <c r="AD84">
        <v>1388.3963599255392</v>
      </c>
      <c r="AE84" s="10">
        <f t="shared" ref="AE84:AH84" si="629">AD84+(($AI84-$AD84)/5)</f>
        <v>1390.0977058936908</v>
      </c>
      <c r="AF84" s="10">
        <f t="shared" si="629"/>
        <v>1391.7990518618424</v>
      </c>
      <c r="AG84" s="10">
        <f t="shared" si="629"/>
        <v>1393.500397829994</v>
      </c>
      <c r="AH84" s="10">
        <f t="shared" si="629"/>
        <v>1395.2017437981456</v>
      </c>
      <c r="AI84">
        <v>1396.9030897662969</v>
      </c>
      <c r="AJ84" s="10">
        <f t="shared" ref="AJ84:AM84" si="630">AI84+(($AN84-$AI84)/5)</f>
        <v>1400.1192046528286</v>
      </c>
      <c r="AK84" s="10">
        <f t="shared" si="630"/>
        <v>1403.3353195393602</v>
      </c>
      <c r="AL84" s="10">
        <f t="shared" si="630"/>
        <v>1406.5514344258918</v>
      </c>
      <c r="AM84" s="10">
        <f t="shared" si="630"/>
        <v>1409.7675493124234</v>
      </c>
      <c r="AN84">
        <v>1412.983664198955</v>
      </c>
      <c r="AO84" s="10">
        <f t="shared" ref="AO84:AX84" si="631">AN84</f>
        <v>1412.983664198955</v>
      </c>
      <c r="AP84" s="10">
        <f t="shared" si="631"/>
        <v>1412.983664198955</v>
      </c>
      <c r="AQ84" s="10">
        <f t="shared" si="631"/>
        <v>1412.983664198955</v>
      </c>
      <c r="AR84" s="10">
        <f t="shared" si="631"/>
        <v>1412.983664198955</v>
      </c>
      <c r="AS84" s="10">
        <f t="shared" si="631"/>
        <v>1412.983664198955</v>
      </c>
      <c r="AT84" s="10">
        <f t="shared" si="631"/>
        <v>1412.983664198955</v>
      </c>
      <c r="AU84" s="10">
        <f t="shared" si="631"/>
        <v>1412.983664198955</v>
      </c>
      <c r="AV84" s="10">
        <f t="shared" si="631"/>
        <v>1412.983664198955</v>
      </c>
      <c r="AW84" s="10">
        <f t="shared" si="631"/>
        <v>1412.983664198955</v>
      </c>
      <c r="AX84" s="10">
        <f t="shared" si="631"/>
        <v>1412.983664198955</v>
      </c>
    </row>
    <row r="85" spans="1:50" x14ac:dyDescent="0.3">
      <c r="A85" t="s">
        <v>1424</v>
      </c>
      <c r="B85" t="s">
        <v>1439</v>
      </c>
      <c r="C85">
        <v>1029.1379999999999</v>
      </c>
      <c r="D85">
        <v>788.54700000000003</v>
      </c>
      <c r="E85">
        <v>807.46797932985055</v>
      </c>
      <c r="F85" s="10">
        <f t="shared" ref="F85:I85" si="632">E85+(($J85-$E85)/5)</f>
        <v>789.03467376837114</v>
      </c>
      <c r="G85" s="10">
        <f t="shared" si="632"/>
        <v>770.60136820689172</v>
      </c>
      <c r="H85" s="10">
        <f t="shared" si="632"/>
        <v>752.16806264541231</v>
      </c>
      <c r="I85" s="10">
        <f t="shared" si="632"/>
        <v>733.73475708393289</v>
      </c>
      <c r="J85">
        <v>715.3014515224537</v>
      </c>
      <c r="K85" s="10">
        <f t="shared" ref="K85:N85" si="633">J85+(($O85-$J85)/5)</f>
        <v>728.36889943229346</v>
      </c>
      <c r="L85" s="10">
        <f t="shared" si="633"/>
        <v>741.43634734213322</v>
      </c>
      <c r="M85" s="10">
        <f t="shared" si="633"/>
        <v>754.50379525197297</v>
      </c>
      <c r="N85" s="10">
        <f t="shared" si="633"/>
        <v>767.57124316181273</v>
      </c>
      <c r="O85">
        <v>780.63869107165272</v>
      </c>
      <c r="P85" s="10">
        <f t="shared" ref="P85:S85" si="634">O85+(($T85-$O85)/5)</f>
        <v>794.84995347649044</v>
      </c>
      <c r="Q85" s="10">
        <f t="shared" si="634"/>
        <v>809.06121588132817</v>
      </c>
      <c r="R85" s="10">
        <f t="shared" si="634"/>
        <v>823.27247828616589</v>
      </c>
      <c r="S85" s="10">
        <f t="shared" si="634"/>
        <v>837.48374069100362</v>
      </c>
      <c r="T85">
        <v>851.69500309584123</v>
      </c>
      <c r="U85" s="10">
        <f t="shared" ref="U85:X85" si="635">T85+(($Y85-$T85)/5)</f>
        <v>839.58756491335839</v>
      </c>
      <c r="V85" s="10">
        <f t="shared" si="635"/>
        <v>827.48012673087555</v>
      </c>
      <c r="W85" s="10">
        <f t="shared" si="635"/>
        <v>815.37268854839272</v>
      </c>
      <c r="X85" s="10">
        <f t="shared" si="635"/>
        <v>803.26525036590988</v>
      </c>
      <c r="Y85">
        <v>791.15781218342693</v>
      </c>
      <c r="Z85" s="10">
        <f t="shared" ref="Z85:AC85" si="636">Y85+(($AD85-$Y85)/5)</f>
        <v>793.52941349064008</v>
      </c>
      <c r="AA85" s="10">
        <f t="shared" si="636"/>
        <v>795.90101479785324</v>
      </c>
      <c r="AB85" s="10">
        <f t="shared" si="636"/>
        <v>798.27261610506639</v>
      </c>
      <c r="AC85" s="10">
        <f t="shared" si="636"/>
        <v>800.64421741227954</v>
      </c>
      <c r="AD85">
        <v>803.01581871949281</v>
      </c>
      <c r="AE85" s="10">
        <f t="shared" ref="AE85:AH85" si="637">AD85+(($AI85-$AD85)/5)</f>
        <v>801.21190333805032</v>
      </c>
      <c r="AF85" s="10">
        <f t="shared" si="637"/>
        <v>799.40798795660783</v>
      </c>
      <c r="AG85" s="10">
        <f t="shared" si="637"/>
        <v>797.60407257516533</v>
      </c>
      <c r="AH85" s="10">
        <f t="shared" si="637"/>
        <v>795.80015719372284</v>
      </c>
      <c r="AI85">
        <v>793.99624181228012</v>
      </c>
      <c r="AJ85" s="10">
        <f t="shared" ref="AJ85:AM85" si="638">AI85+(($AN85-$AI85)/5)</f>
        <v>792.20474869947122</v>
      </c>
      <c r="AK85" s="10">
        <f t="shared" si="638"/>
        <v>790.41325558666233</v>
      </c>
      <c r="AL85" s="10">
        <f t="shared" si="638"/>
        <v>788.62176247385344</v>
      </c>
      <c r="AM85" s="10">
        <f t="shared" si="638"/>
        <v>786.83026936104454</v>
      </c>
      <c r="AN85">
        <v>785.03877624823576</v>
      </c>
      <c r="AO85" s="10">
        <f t="shared" ref="AO85:AX85" si="639">AN85</f>
        <v>785.03877624823576</v>
      </c>
      <c r="AP85" s="10">
        <f t="shared" si="639"/>
        <v>785.03877624823576</v>
      </c>
      <c r="AQ85" s="10">
        <f t="shared" si="639"/>
        <v>785.03877624823576</v>
      </c>
      <c r="AR85" s="10">
        <f t="shared" si="639"/>
        <v>785.03877624823576</v>
      </c>
      <c r="AS85" s="10">
        <f t="shared" si="639"/>
        <v>785.03877624823576</v>
      </c>
      <c r="AT85" s="10">
        <f t="shared" si="639"/>
        <v>785.03877624823576</v>
      </c>
      <c r="AU85" s="10">
        <f t="shared" si="639"/>
        <v>785.03877624823576</v>
      </c>
      <c r="AV85" s="10">
        <f t="shared" si="639"/>
        <v>785.03877624823576</v>
      </c>
      <c r="AW85" s="10">
        <f t="shared" si="639"/>
        <v>785.03877624823576</v>
      </c>
      <c r="AX85" s="10">
        <f t="shared" si="639"/>
        <v>785.03877624823576</v>
      </c>
    </row>
    <row r="86" spans="1:50" x14ac:dyDescent="0.3">
      <c r="A86" t="s">
        <v>1424</v>
      </c>
      <c r="B86" t="s">
        <v>1435</v>
      </c>
      <c r="C86">
        <v>616.70900000000006</v>
      </c>
      <c r="D86">
        <v>485.50700000000006</v>
      </c>
      <c r="E86">
        <v>420.54800000000023</v>
      </c>
      <c r="F86" s="10">
        <f t="shared" ref="F86:I86" si="640">E86+(($J86-$E86)/5)</f>
        <v>420.49408188830955</v>
      </c>
      <c r="G86" s="10">
        <f t="shared" si="640"/>
        <v>420.44016377661887</v>
      </c>
      <c r="H86" s="10">
        <f t="shared" si="640"/>
        <v>420.3862456649282</v>
      </c>
      <c r="I86" s="10">
        <f t="shared" si="640"/>
        <v>420.33232755323752</v>
      </c>
      <c r="J86">
        <v>420.27840944154684</v>
      </c>
      <c r="K86" s="10">
        <f t="shared" ref="K86:N86" si="641">J86+(($O86-$J86)/5)</f>
        <v>434.64630250223462</v>
      </c>
      <c r="L86" s="10">
        <f t="shared" si="641"/>
        <v>449.0141955629224</v>
      </c>
      <c r="M86" s="10">
        <f t="shared" si="641"/>
        <v>463.38208862361017</v>
      </c>
      <c r="N86" s="10">
        <f t="shared" si="641"/>
        <v>477.74998168429795</v>
      </c>
      <c r="O86">
        <v>492.11787474498567</v>
      </c>
      <c r="P86" s="10">
        <f t="shared" ref="P86:S86" si="642">O86+(($T86-$O86)/5)</f>
        <v>500.75421240029885</v>
      </c>
      <c r="Q86" s="10">
        <f t="shared" si="642"/>
        <v>509.39055005561204</v>
      </c>
      <c r="R86" s="10">
        <f t="shared" si="642"/>
        <v>518.02688771092528</v>
      </c>
      <c r="S86" s="10">
        <f t="shared" si="642"/>
        <v>526.66322536623852</v>
      </c>
      <c r="T86">
        <v>535.29956302155165</v>
      </c>
      <c r="U86" s="10">
        <f t="shared" ref="U86:X86" si="643">T86+(($Y86-$T86)/5)</f>
        <v>541.53488874804907</v>
      </c>
      <c r="V86" s="10">
        <f t="shared" si="643"/>
        <v>547.77021447454649</v>
      </c>
      <c r="W86" s="10">
        <f t="shared" si="643"/>
        <v>554.00554020104391</v>
      </c>
      <c r="X86" s="10">
        <f t="shared" si="643"/>
        <v>560.24086592754134</v>
      </c>
      <c r="Y86">
        <v>566.47619165403887</v>
      </c>
      <c r="Z86" s="10">
        <f t="shared" ref="Z86:AC86" si="644">Y86+(($AD86-$Y86)/5)</f>
        <v>570.25706156444039</v>
      </c>
      <c r="AA86" s="10">
        <f t="shared" si="644"/>
        <v>574.03793147484191</v>
      </c>
      <c r="AB86" s="10">
        <f t="shared" si="644"/>
        <v>577.81880138524343</v>
      </c>
      <c r="AC86" s="10">
        <f t="shared" si="644"/>
        <v>581.59967129564495</v>
      </c>
      <c r="AD86">
        <v>585.38054120604636</v>
      </c>
      <c r="AE86" s="10">
        <f t="shared" ref="AE86:AH86" si="645">AD86+(($AI86-$AD86)/5)</f>
        <v>588.88580255564045</v>
      </c>
      <c r="AF86" s="10">
        <f t="shared" si="645"/>
        <v>592.39106390523455</v>
      </c>
      <c r="AG86" s="10">
        <f t="shared" si="645"/>
        <v>595.89632525482864</v>
      </c>
      <c r="AH86" s="10">
        <f t="shared" si="645"/>
        <v>599.40158660442273</v>
      </c>
      <c r="AI86">
        <v>602.90684795401683</v>
      </c>
      <c r="AJ86" s="10">
        <f t="shared" ref="AJ86:AM86" si="646">AI86+(($AN86-$AI86)/5)</f>
        <v>607.91445595335733</v>
      </c>
      <c r="AK86" s="10">
        <f t="shared" si="646"/>
        <v>612.92206395269784</v>
      </c>
      <c r="AL86" s="10">
        <f t="shared" si="646"/>
        <v>617.92967195203835</v>
      </c>
      <c r="AM86" s="10">
        <f t="shared" si="646"/>
        <v>622.93727995137886</v>
      </c>
      <c r="AN86">
        <v>627.94488795071925</v>
      </c>
      <c r="AO86" s="10">
        <f t="shared" ref="AO86:AX86" si="647">AN86</f>
        <v>627.94488795071925</v>
      </c>
      <c r="AP86" s="10">
        <f t="shared" si="647"/>
        <v>627.94488795071925</v>
      </c>
      <c r="AQ86" s="10">
        <f t="shared" si="647"/>
        <v>627.94488795071925</v>
      </c>
      <c r="AR86" s="10">
        <f t="shared" si="647"/>
        <v>627.94488795071925</v>
      </c>
      <c r="AS86" s="10">
        <f t="shared" si="647"/>
        <v>627.94488795071925</v>
      </c>
      <c r="AT86" s="10">
        <f t="shared" si="647"/>
        <v>627.94488795071925</v>
      </c>
      <c r="AU86" s="10">
        <f t="shared" si="647"/>
        <v>627.94488795071925</v>
      </c>
      <c r="AV86" s="10">
        <f t="shared" si="647"/>
        <v>627.94488795071925</v>
      </c>
      <c r="AW86" s="10">
        <f t="shared" si="647"/>
        <v>627.94488795071925</v>
      </c>
      <c r="AX86" s="10">
        <f t="shared" si="647"/>
        <v>627.94488795071925</v>
      </c>
    </row>
    <row r="87" spans="1:50" x14ac:dyDescent="0.3">
      <c r="A87" t="s">
        <v>1425</v>
      </c>
      <c r="B87" t="s">
        <v>1434</v>
      </c>
      <c r="C87">
        <v>3590.7949999990433</v>
      </c>
      <c r="D87">
        <v>3234.6842394667087</v>
      </c>
      <c r="E87">
        <v>3365.180935804487</v>
      </c>
      <c r="F87" s="10">
        <f t="shared" ref="F87:I87" si="648">E87+(($J87-$E87)/5)</f>
        <v>3333.4904155656295</v>
      </c>
      <c r="G87" s="10">
        <f t="shared" si="648"/>
        <v>3301.799895326772</v>
      </c>
      <c r="H87" s="10">
        <f t="shared" si="648"/>
        <v>3270.1093750879145</v>
      </c>
      <c r="I87" s="10">
        <f t="shared" si="648"/>
        <v>3238.418854849057</v>
      </c>
      <c r="J87">
        <v>3206.728334610199</v>
      </c>
      <c r="K87" s="10">
        <f t="shared" ref="K87:N87" si="649">J87+(($O87-$J87)/5)</f>
        <v>3220.1311454279275</v>
      </c>
      <c r="L87" s="10">
        <f t="shared" si="649"/>
        <v>3233.5339562456561</v>
      </c>
      <c r="M87" s="10">
        <f t="shared" si="649"/>
        <v>3246.9367670633847</v>
      </c>
      <c r="N87" s="10">
        <f t="shared" si="649"/>
        <v>3260.3395778811132</v>
      </c>
      <c r="O87">
        <v>3273.7423886988418</v>
      </c>
      <c r="P87" s="10">
        <f t="shared" ref="P87:S87" si="650">O87+(($T87-$O87)/5)</f>
        <v>3247.8634124565087</v>
      </c>
      <c r="Q87" s="10">
        <f t="shared" si="650"/>
        <v>3221.9844362141757</v>
      </c>
      <c r="R87" s="10">
        <f t="shared" si="650"/>
        <v>3196.1054599718427</v>
      </c>
      <c r="S87" s="10">
        <f t="shared" si="650"/>
        <v>3170.2264837295097</v>
      </c>
      <c r="T87">
        <v>3144.3475074871767</v>
      </c>
      <c r="U87" s="10">
        <f t="shared" ref="U87:X87" si="651">T87+(($Y87-$T87)/5)</f>
        <v>3136.1228352160656</v>
      </c>
      <c r="V87" s="10">
        <f t="shared" si="651"/>
        <v>3127.8981629449545</v>
      </c>
      <c r="W87" s="10">
        <f t="shared" si="651"/>
        <v>3119.6734906738434</v>
      </c>
      <c r="X87" s="10">
        <f t="shared" si="651"/>
        <v>3111.4488184027323</v>
      </c>
      <c r="Y87">
        <v>3103.2241461316207</v>
      </c>
      <c r="Z87" s="10">
        <f t="shared" ref="Z87:AC87" si="652">Y87+(($AD87-$Y87)/5)</f>
        <v>3061.9392003543771</v>
      </c>
      <c r="AA87" s="10">
        <f t="shared" si="652"/>
        <v>3020.6542545771335</v>
      </c>
      <c r="AB87" s="10">
        <f t="shared" si="652"/>
        <v>2979.36930879989</v>
      </c>
      <c r="AC87" s="10">
        <f t="shared" si="652"/>
        <v>2938.0843630226464</v>
      </c>
      <c r="AD87">
        <v>2896.7994172454032</v>
      </c>
      <c r="AE87" s="10">
        <f t="shared" ref="AE87:AH87" si="653">AD87+(($AI87-$AD87)/5)</f>
        <v>2863.6096672119465</v>
      </c>
      <c r="AF87" s="10">
        <f t="shared" si="653"/>
        <v>2830.4199171784899</v>
      </c>
      <c r="AG87" s="10">
        <f t="shared" si="653"/>
        <v>2797.2301671450332</v>
      </c>
      <c r="AH87" s="10">
        <f t="shared" si="653"/>
        <v>2764.0404171115765</v>
      </c>
      <c r="AI87">
        <v>2730.8506670781208</v>
      </c>
      <c r="AJ87" s="10">
        <f t="shared" ref="AJ87:AM87" si="654">AI87+(($AN87-$AI87)/5)</f>
        <v>2700.153581997251</v>
      </c>
      <c r="AK87" s="10">
        <f t="shared" si="654"/>
        <v>2669.4564969163812</v>
      </c>
      <c r="AL87" s="10">
        <f t="shared" si="654"/>
        <v>2638.7594118355114</v>
      </c>
      <c r="AM87" s="10">
        <f t="shared" si="654"/>
        <v>2608.0623267546416</v>
      </c>
      <c r="AN87">
        <v>2577.3652416737723</v>
      </c>
      <c r="AO87" s="10">
        <f t="shared" ref="AO87:AX87" si="655">AN87</f>
        <v>2577.3652416737723</v>
      </c>
      <c r="AP87" s="10">
        <f t="shared" si="655"/>
        <v>2577.3652416737723</v>
      </c>
      <c r="AQ87" s="10">
        <f t="shared" si="655"/>
        <v>2577.3652416737723</v>
      </c>
      <c r="AR87" s="10">
        <f t="shared" si="655"/>
        <v>2577.3652416737723</v>
      </c>
      <c r="AS87" s="10">
        <f t="shared" si="655"/>
        <v>2577.3652416737723</v>
      </c>
      <c r="AT87" s="10">
        <f t="shared" si="655"/>
        <v>2577.3652416737723</v>
      </c>
      <c r="AU87" s="10">
        <f t="shared" si="655"/>
        <v>2577.3652416737723</v>
      </c>
      <c r="AV87" s="10">
        <f t="shared" si="655"/>
        <v>2577.3652416737723</v>
      </c>
      <c r="AW87" s="10">
        <f t="shared" si="655"/>
        <v>2577.3652416737723</v>
      </c>
      <c r="AX87" s="10">
        <f t="shared" si="655"/>
        <v>2577.3652416737723</v>
      </c>
    </row>
    <row r="88" spans="1:50" x14ac:dyDescent="0.3">
      <c r="A88" t="s">
        <v>1425</v>
      </c>
      <c r="B88" t="s">
        <v>1439</v>
      </c>
      <c r="C88">
        <v>2764.5999999990427</v>
      </c>
      <c r="D88">
        <v>2511.0342394667086</v>
      </c>
      <c r="E88">
        <v>2603.7740300202368</v>
      </c>
      <c r="F88" s="10">
        <f t="shared" ref="F88:I88" si="656">E88+(($J88-$E88)/5)</f>
        <v>2575.4124882528645</v>
      </c>
      <c r="G88" s="10">
        <f t="shared" si="656"/>
        <v>2547.0509464854922</v>
      </c>
      <c r="H88" s="10">
        <f t="shared" si="656"/>
        <v>2518.6894047181199</v>
      </c>
      <c r="I88" s="10">
        <f t="shared" si="656"/>
        <v>2490.3278629507477</v>
      </c>
      <c r="J88">
        <v>2461.9663211833754</v>
      </c>
      <c r="K88" s="10">
        <f t="shared" ref="K88:N88" si="657">J88+(($O88-$J88)/5)</f>
        <v>2471.439385789472</v>
      </c>
      <c r="L88" s="10">
        <f t="shared" si="657"/>
        <v>2480.9124503955686</v>
      </c>
      <c r="M88" s="10">
        <f t="shared" si="657"/>
        <v>2490.3855150016652</v>
      </c>
      <c r="N88" s="10">
        <f t="shared" si="657"/>
        <v>2499.8585796077618</v>
      </c>
      <c r="O88">
        <v>2509.3316442138585</v>
      </c>
      <c r="P88" s="10">
        <f t="shared" ref="P88:S88" si="658">O88+(($T88-$O88)/5)</f>
        <v>2483.069634111077</v>
      </c>
      <c r="Q88" s="10">
        <f t="shared" si="658"/>
        <v>2456.8076240082955</v>
      </c>
      <c r="R88" s="10">
        <f t="shared" si="658"/>
        <v>2430.5456139055141</v>
      </c>
      <c r="S88" s="10">
        <f t="shared" si="658"/>
        <v>2404.2836038027326</v>
      </c>
      <c r="T88">
        <v>2378.0215936999516</v>
      </c>
      <c r="U88" s="10">
        <f t="shared" ref="U88:X88" si="659">T88+(($Y88-$T88)/5)</f>
        <v>2361.9121103591392</v>
      </c>
      <c r="V88" s="10">
        <f t="shared" si="659"/>
        <v>2345.8026270183268</v>
      </c>
      <c r="W88" s="10">
        <f t="shared" si="659"/>
        <v>2329.6931436775144</v>
      </c>
      <c r="X88" s="10">
        <f t="shared" si="659"/>
        <v>2313.583660336702</v>
      </c>
      <c r="Y88">
        <v>2297.4741769958887</v>
      </c>
      <c r="Z88" s="10">
        <f t="shared" ref="Z88:AC88" si="660">Y88+(($AD88-$Y88)/5)</f>
        <v>2256.2158710703702</v>
      </c>
      <c r="AA88" s="10">
        <f t="shared" si="660"/>
        <v>2214.9575651448517</v>
      </c>
      <c r="AB88" s="10">
        <f t="shared" si="660"/>
        <v>2173.6992592193333</v>
      </c>
      <c r="AC88" s="10">
        <f t="shared" si="660"/>
        <v>2132.4409532938148</v>
      </c>
      <c r="AD88">
        <v>2091.1826473682954</v>
      </c>
      <c r="AE88" s="10">
        <f t="shared" ref="AE88:AH88" si="661">AD88+(($AI88-$AD88)/5)</f>
        <v>2059.4203513137222</v>
      </c>
      <c r="AF88" s="10">
        <f t="shared" si="661"/>
        <v>2027.6580552591488</v>
      </c>
      <c r="AG88" s="10">
        <f t="shared" si="661"/>
        <v>1995.8957592045754</v>
      </c>
      <c r="AH88" s="10">
        <f t="shared" si="661"/>
        <v>1964.1334631500019</v>
      </c>
      <c r="AI88">
        <v>1932.3711670954287</v>
      </c>
      <c r="AJ88" s="10">
        <f t="shared" ref="AJ88:AM88" si="662">AI88+(($AN88-$AI88)/5)</f>
        <v>1901.1957417160377</v>
      </c>
      <c r="AK88" s="10">
        <f t="shared" si="662"/>
        <v>1870.0203163366466</v>
      </c>
      <c r="AL88" s="10">
        <f t="shared" si="662"/>
        <v>1838.8448909572555</v>
      </c>
      <c r="AM88" s="10">
        <f t="shared" si="662"/>
        <v>1807.6694655778645</v>
      </c>
      <c r="AN88">
        <v>1776.4940401984732</v>
      </c>
      <c r="AO88" s="10">
        <f t="shared" ref="AO88:AX88" si="663">AN88</f>
        <v>1776.4940401984732</v>
      </c>
      <c r="AP88" s="10">
        <f t="shared" si="663"/>
        <v>1776.4940401984732</v>
      </c>
      <c r="AQ88" s="10">
        <f t="shared" si="663"/>
        <v>1776.4940401984732</v>
      </c>
      <c r="AR88" s="10">
        <f t="shared" si="663"/>
        <v>1776.4940401984732</v>
      </c>
      <c r="AS88" s="10">
        <f t="shared" si="663"/>
        <v>1776.4940401984732</v>
      </c>
      <c r="AT88" s="10">
        <f t="shared" si="663"/>
        <v>1776.4940401984732</v>
      </c>
      <c r="AU88" s="10">
        <f t="shared" si="663"/>
        <v>1776.4940401984732</v>
      </c>
      <c r="AV88" s="10">
        <f t="shared" si="663"/>
        <v>1776.4940401984732</v>
      </c>
      <c r="AW88" s="10">
        <f t="shared" si="663"/>
        <v>1776.4940401984732</v>
      </c>
      <c r="AX88" s="10">
        <f t="shared" si="663"/>
        <v>1776.4940401984732</v>
      </c>
    </row>
    <row r="89" spans="1:50" x14ac:dyDescent="0.3">
      <c r="A89" t="s">
        <v>1425</v>
      </c>
      <c r="B89" t="s">
        <v>1435</v>
      </c>
      <c r="C89">
        <v>826.19500000000062</v>
      </c>
      <c r="D89">
        <v>723.65000000000009</v>
      </c>
      <c r="E89">
        <v>761.40690578425028</v>
      </c>
      <c r="F89" s="10">
        <f t="shared" ref="F89:I89" si="664">E89+(($J89-$E89)/5)</f>
        <v>758.07792731276493</v>
      </c>
      <c r="G89" s="10">
        <f t="shared" si="664"/>
        <v>754.74894884127957</v>
      </c>
      <c r="H89" s="10">
        <f t="shared" si="664"/>
        <v>751.41997036979421</v>
      </c>
      <c r="I89" s="10">
        <f t="shared" si="664"/>
        <v>748.09099189830886</v>
      </c>
      <c r="J89">
        <v>744.76201342682361</v>
      </c>
      <c r="K89" s="10">
        <f t="shared" ref="K89:N89" si="665">J89+(($O89-$J89)/5)</f>
        <v>748.69175963845555</v>
      </c>
      <c r="L89" s="10">
        <f t="shared" si="665"/>
        <v>752.62150585008749</v>
      </c>
      <c r="M89" s="10">
        <f t="shared" si="665"/>
        <v>756.55125206171942</v>
      </c>
      <c r="N89" s="10">
        <f t="shared" si="665"/>
        <v>760.48099827335136</v>
      </c>
      <c r="O89">
        <v>764.4107444849833</v>
      </c>
      <c r="P89" s="10">
        <f t="shared" ref="P89:S89" si="666">O89+(($T89-$O89)/5)</f>
        <v>764.79377834543163</v>
      </c>
      <c r="Q89" s="10">
        <f t="shared" si="666"/>
        <v>765.17681220587997</v>
      </c>
      <c r="R89" s="10">
        <f t="shared" si="666"/>
        <v>765.5598460663283</v>
      </c>
      <c r="S89" s="10">
        <f t="shared" si="666"/>
        <v>765.94287992677664</v>
      </c>
      <c r="T89">
        <v>766.32591378722509</v>
      </c>
      <c r="U89" s="10">
        <f t="shared" ref="U89:X89" si="667">T89+(($Y89-$T89)/5)</f>
        <v>774.2107248569265</v>
      </c>
      <c r="V89" s="10">
        <f t="shared" si="667"/>
        <v>782.09553592662792</v>
      </c>
      <c r="W89" s="10">
        <f t="shared" si="667"/>
        <v>789.98034699632933</v>
      </c>
      <c r="X89" s="10">
        <f t="shared" si="667"/>
        <v>797.86515806603074</v>
      </c>
      <c r="Y89">
        <v>805.74996913573204</v>
      </c>
      <c r="Z89" s="10">
        <f t="shared" ref="Z89:AC89" si="668">Y89+(($AD89-$Y89)/5)</f>
        <v>805.72332928400715</v>
      </c>
      <c r="AA89" s="10">
        <f t="shared" si="668"/>
        <v>805.69668943228226</v>
      </c>
      <c r="AB89" s="10">
        <f t="shared" si="668"/>
        <v>805.67004958055736</v>
      </c>
      <c r="AC89" s="10">
        <f t="shared" si="668"/>
        <v>805.64340972883247</v>
      </c>
      <c r="AD89">
        <v>805.6167698771078</v>
      </c>
      <c r="AE89" s="10">
        <f t="shared" ref="AE89:AH89" si="669">AD89+(($AI89-$AD89)/5)</f>
        <v>804.18931589822466</v>
      </c>
      <c r="AF89" s="10">
        <f t="shared" si="669"/>
        <v>802.76186191934153</v>
      </c>
      <c r="AG89" s="10">
        <f t="shared" si="669"/>
        <v>801.33440794045839</v>
      </c>
      <c r="AH89" s="10">
        <f t="shared" si="669"/>
        <v>799.90695396157525</v>
      </c>
      <c r="AI89">
        <v>798.479499982692</v>
      </c>
      <c r="AJ89" s="10">
        <f t="shared" ref="AJ89:AM89" si="670">AI89+(($AN89-$AI89)/5)</f>
        <v>798.95784028121341</v>
      </c>
      <c r="AK89" s="10">
        <f t="shared" si="670"/>
        <v>799.43618057973481</v>
      </c>
      <c r="AL89" s="10">
        <f t="shared" si="670"/>
        <v>799.91452087825621</v>
      </c>
      <c r="AM89" s="10">
        <f t="shared" si="670"/>
        <v>800.39286117677761</v>
      </c>
      <c r="AN89">
        <v>800.87120147529913</v>
      </c>
      <c r="AO89" s="10">
        <f t="shared" ref="AO89:AX89" si="671">AN89</f>
        <v>800.87120147529913</v>
      </c>
      <c r="AP89" s="10">
        <f t="shared" si="671"/>
        <v>800.87120147529913</v>
      </c>
      <c r="AQ89" s="10">
        <f t="shared" si="671"/>
        <v>800.87120147529913</v>
      </c>
      <c r="AR89" s="10">
        <f t="shared" si="671"/>
        <v>800.87120147529913</v>
      </c>
      <c r="AS89" s="10">
        <f t="shared" si="671"/>
        <v>800.87120147529913</v>
      </c>
      <c r="AT89" s="10">
        <f t="shared" si="671"/>
        <v>800.87120147529913</v>
      </c>
      <c r="AU89" s="10">
        <f t="shared" si="671"/>
        <v>800.87120147529913</v>
      </c>
      <c r="AV89" s="10">
        <f t="shared" si="671"/>
        <v>800.87120147529913</v>
      </c>
      <c r="AW89" s="10">
        <f t="shared" si="671"/>
        <v>800.87120147529913</v>
      </c>
      <c r="AX89" s="10">
        <f t="shared" si="671"/>
        <v>800.87120147529913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FC39-869B-4F2D-9E9B-7134D415BDCA}">
  <dimension ref="A1:AX89"/>
  <sheetViews>
    <sheetView workbookViewId="0">
      <selection activeCell="F6" sqref="F6"/>
    </sheetView>
  </sheetViews>
  <sheetFormatPr defaultRowHeight="14.4" x14ac:dyDescent="0.3"/>
  <cols>
    <col min="2" max="2" width="28" bestFit="1" customWidth="1"/>
  </cols>
  <sheetData>
    <row r="1" spans="1:50" x14ac:dyDescent="0.3">
      <c r="A1" s="3" t="s">
        <v>1441</v>
      </c>
    </row>
    <row r="2" spans="1:50" x14ac:dyDescent="0.3">
      <c r="A2" t="s">
        <v>1438</v>
      </c>
    </row>
    <row r="3" spans="1:50" x14ac:dyDescent="0.3">
      <c r="A3" t="s">
        <v>1440</v>
      </c>
    </row>
    <row r="5" spans="1:50" s="3" customFormat="1" x14ac:dyDescent="0.3">
      <c r="A5" s="3" t="s">
        <v>1387</v>
      </c>
      <c r="B5" s="3" t="s">
        <v>1436</v>
      </c>
      <c r="C5" s="3">
        <v>2005</v>
      </c>
      <c r="D5" s="3">
        <v>2010</v>
      </c>
      <c r="E5" s="3">
        <v>2015</v>
      </c>
      <c r="F5" s="3">
        <v>2016</v>
      </c>
      <c r="G5" s="3">
        <v>2017</v>
      </c>
      <c r="H5" s="3">
        <v>2018</v>
      </c>
      <c r="I5" s="3">
        <v>2019</v>
      </c>
      <c r="J5" s="3">
        <v>2020</v>
      </c>
      <c r="K5" s="3">
        <v>2021</v>
      </c>
      <c r="L5" s="3">
        <v>2022</v>
      </c>
      <c r="M5" s="3">
        <v>2023</v>
      </c>
      <c r="N5" s="3">
        <v>2024</v>
      </c>
      <c r="O5" s="3">
        <v>2025</v>
      </c>
      <c r="P5" s="3">
        <v>2026</v>
      </c>
      <c r="Q5" s="3">
        <v>2027</v>
      </c>
      <c r="R5" s="3">
        <v>2028</v>
      </c>
      <c r="S5" s="3">
        <v>2029</v>
      </c>
      <c r="T5" s="3">
        <v>2030</v>
      </c>
      <c r="U5" s="3">
        <v>2031</v>
      </c>
      <c r="V5" s="3">
        <v>2032</v>
      </c>
      <c r="W5" s="3">
        <v>2033</v>
      </c>
      <c r="X5" s="3">
        <v>2034</v>
      </c>
      <c r="Y5" s="3">
        <v>2035</v>
      </c>
      <c r="Z5" s="3">
        <v>2036</v>
      </c>
      <c r="AA5" s="3">
        <v>2037</v>
      </c>
      <c r="AB5" s="3">
        <v>2038</v>
      </c>
      <c r="AC5" s="3">
        <v>2039</v>
      </c>
      <c r="AD5" s="3">
        <v>2040</v>
      </c>
      <c r="AE5" s="3">
        <v>2041</v>
      </c>
      <c r="AF5" s="3">
        <v>2042</v>
      </c>
      <c r="AG5" s="3">
        <v>2043</v>
      </c>
      <c r="AH5" s="3">
        <v>2044</v>
      </c>
      <c r="AI5" s="3">
        <v>2045</v>
      </c>
      <c r="AJ5" s="3">
        <v>2046</v>
      </c>
      <c r="AK5" s="3">
        <v>2047</v>
      </c>
      <c r="AL5" s="3">
        <v>2048</v>
      </c>
      <c r="AM5" s="3">
        <v>2049</v>
      </c>
      <c r="AN5" s="3">
        <v>2050</v>
      </c>
      <c r="AO5" s="3">
        <v>2051</v>
      </c>
      <c r="AP5" s="3">
        <v>2052</v>
      </c>
      <c r="AQ5" s="3">
        <v>2053</v>
      </c>
      <c r="AR5" s="3">
        <v>2054</v>
      </c>
      <c r="AS5" s="3">
        <v>2055</v>
      </c>
      <c r="AT5" s="3">
        <v>2056</v>
      </c>
      <c r="AU5" s="3">
        <v>2057</v>
      </c>
      <c r="AV5" s="3">
        <v>2058</v>
      </c>
      <c r="AW5" s="3">
        <v>2059</v>
      </c>
      <c r="AX5" s="3">
        <v>2060</v>
      </c>
    </row>
    <row r="6" spans="1:50" x14ac:dyDescent="0.3">
      <c r="A6" t="s">
        <v>1433</v>
      </c>
      <c r="B6" t="s">
        <v>1434</v>
      </c>
      <c r="F6" s="11">
        <f>'EU Ref Scenario 2020'!F6/'EU Ref Scenario 2020'!E6</f>
        <v>0.99301548527307359</v>
      </c>
      <c r="G6" s="11">
        <f>'EU Ref Scenario 2020'!G6/'EU Ref Scenario 2020'!F6</f>
        <v>0.99296635870184269</v>
      </c>
      <c r="H6" s="11">
        <f>'EU Ref Scenario 2020'!H6/'EU Ref Scenario 2020'!G6</f>
        <v>0.99291653615802977</v>
      </c>
      <c r="I6" s="11">
        <f>'EU Ref Scenario 2020'!I6/'EU Ref Scenario 2020'!H6</f>
        <v>0.99286600274643544</v>
      </c>
      <c r="J6" s="11">
        <f>'EU Ref Scenario 2020'!J6/'EU Ref Scenario 2020'!I6</f>
        <v>0.99281474314375695</v>
      </c>
      <c r="K6" s="11">
        <f>'EU Ref Scenario 2020'!K6/'EU Ref Scenario 2020'!J6</f>
        <v>1.0090556523825385</v>
      </c>
      <c r="L6" s="11">
        <f>'EU Ref Scenario 2020'!L6/'EU Ref Scenario 2020'!K6</f>
        <v>1.0089743834853475</v>
      </c>
      <c r="M6" s="11">
        <f>'EU Ref Scenario 2020'!M6/'EU Ref Scenario 2020'!L6</f>
        <v>1.0088945602903683</v>
      </c>
      <c r="N6" s="11">
        <f>'EU Ref Scenario 2020'!N6/'EU Ref Scenario 2020'!M6</f>
        <v>1.0088161445610415</v>
      </c>
      <c r="O6" s="11">
        <f>'EU Ref Scenario 2020'!O6/'EU Ref Scenario 2020'!N6</f>
        <v>1.0087390993974208</v>
      </c>
      <c r="P6" s="11">
        <f>'EU Ref Scenario 2020'!P6/'EU Ref Scenario 2020'!O6</f>
        <v>0.99592239609089184</v>
      </c>
      <c r="Q6" s="11">
        <f>'EU Ref Scenario 2020'!Q6/'EU Ref Scenario 2020'!P6</f>
        <v>0.99590570116194466</v>
      </c>
      <c r="R6" s="11">
        <f>'EU Ref Scenario 2020'!R6/'EU Ref Scenario 2020'!Q6</f>
        <v>0.99588886896291651</v>
      </c>
      <c r="S6" s="11">
        <f>'EU Ref Scenario 2020'!S6/'EU Ref Scenario 2020'!R6</f>
        <v>0.99587189779381236</v>
      </c>
      <c r="T6" s="11">
        <f>'EU Ref Scenario 2020'!T6/'EU Ref Scenario 2020'!S6</f>
        <v>0.99585478592645038</v>
      </c>
      <c r="U6" s="11">
        <f>'EU Ref Scenario 2020'!U6/'EU Ref Scenario 2020'!T6</f>
        <v>0.990509829757384</v>
      </c>
      <c r="V6" s="11">
        <f>'EU Ref Scenario 2020'!V6/'EU Ref Scenario 2020'!U6</f>
        <v>0.99041890352068429</v>
      </c>
      <c r="W6" s="11">
        <f>'EU Ref Scenario 2020'!W6/'EU Ref Scenario 2020'!V6</f>
        <v>0.99032621808281596</v>
      </c>
      <c r="X6" s="11">
        <f>'EU Ref Scenario 2020'!X6/'EU Ref Scenario 2020'!W6</f>
        <v>0.99023172189067998</v>
      </c>
      <c r="Y6" s="11">
        <f>'EU Ref Scenario 2020'!Y6/'EU Ref Scenario 2020'!X6</f>
        <v>0.99013536135696711</v>
      </c>
      <c r="Z6" s="11">
        <f>'EU Ref Scenario 2020'!Z6/'EU Ref Scenario 2020'!Y6</f>
        <v>0.99409039166437363</v>
      </c>
      <c r="AA6" s="11">
        <f>'EU Ref Scenario 2020'!AA6/'EU Ref Scenario 2020'!Z6</f>
        <v>0.99405526058276039</v>
      </c>
      <c r="AB6" s="11">
        <f>'EU Ref Scenario 2020'!AB6/'EU Ref Scenario 2020'!AA6</f>
        <v>0.99401970931298678</v>
      </c>
      <c r="AC6" s="11">
        <f>'EU Ref Scenario 2020'!AC6/'EU Ref Scenario 2020'!AB6</f>
        <v>0.99398373027115683</v>
      </c>
      <c r="AD6" s="11">
        <f>'EU Ref Scenario 2020'!AD6/'EU Ref Scenario 2020'!AC6</f>
        <v>0.99394731568976302</v>
      </c>
      <c r="AE6" s="11">
        <f>'EU Ref Scenario 2020'!AE6/'EU Ref Scenario 2020'!AD6</f>
        <v>0.99885691811196009</v>
      </c>
      <c r="AF6" s="11">
        <f>'EU Ref Scenario 2020'!AF6/'EU Ref Scenario 2020'!AE6</f>
        <v>0.99885560998045597</v>
      </c>
      <c r="AG6" s="11">
        <f>'EU Ref Scenario 2020'!AG6/'EU Ref Scenario 2020'!AF6</f>
        <v>0.99885429885149624</v>
      </c>
      <c r="AH6" s="11">
        <f>'EU Ref Scenario 2020'!AH6/'EU Ref Scenario 2020'!AG6</f>
        <v>0.99885298471476658</v>
      </c>
      <c r="AI6" s="11">
        <f>'EU Ref Scenario 2020'!AI6/'EU Ref Scenario 2020'!AH6</f>
        <v>0.99885166755990507</v>
      </c>
      <c r="AJ6" s="11">
        <f>'EU Ref Scenario 2020'!AJ6/'EU Ref Scenario 2020'!AI6</f>
        <v>1.0021705871424527</v>
      </c>
      <c r="AK6" s="11">
        <f>'EU Ref Scenario 2020'!AK6/'EU Ref Scenario 2020'!AJ6</f>
        <v>1.0021658858983697</v>
      </c>
      <c r="AL6" s="11">
        <f>'EU Ref Scenario 2020'!AL6/'EU Ref Scenario 2020'!AK6</f>
        <v>1.0021612049749908</v>
      </c>
      <c r="AM6" s="11">
        <f>'EU Ref Scenario 2020'!AM6/'EU Ref Scenario 2020'!AL6</f>
        <v>1.0021565442408487</v>
      </c>
      <c r="AN6" s="11">
        <f>'EU Ref Scenario 2020'!AN6/'EU Ref Scenario 2020'!AM6</f>
        <v>1.0021519035656077</v>
      </c>
      <c r="AO6" s="11">
        <f>'EU Ref Scenario 2020'!AO6/'EU Ref Scenario 2020'!AN6</f>
        <v>1</v>
      </c>
      <c r="AP6" s="11">
        <f>'EU Ref Scenario 2020'!AP6/'EU Ref Scenario 2020'!AO6</f>
        <v>1</v>
      </c>
      <c r="AQ6" s="11">
        <f>'EU Ref Scenario 2020'!AQ6/'EU Ref Scenario 2020'!AP6</f>
        <v>1</v>
      </c>
      <c r="AR6" s="11">
        <f>'EU Ref Scenario 2020'!AR6/'EU Ref Scenario 2020'!AQ6</f>
        <v>1</v>
      </c>
      <c r="AS6" s="11">
        <f>'EU Ref Scenario 2020'!AS6/'EU Ref Scenario 2020'!AR6</f>
        <v>1</v>
      </c>
      <c r="AT6" s="11">
        <f>'EU Ref Scenario 2020'!AT6/'EU Ref Scenario 2020'!AS6</f>
        <v>1</v>
      </c>
      <c r="AU6" s="11">
        <f>'EU Ref Scenario 2020'!AU6/'EU Ref Scenario 2020'!AT6</f>
        <v>1</v>
      </c>
      <c r="AV6" s="11">
        <f>'EU Ref Scenario 2020'!AV6/'EU Ref Scenario 2020'!AU6</f>
        <v>1</v>
      </c>
      <c r="AW6" s="11">
        <f>'EU Ref Scenario 2020'!AW6/'EU Ref Scenario 2020'!AV6</f>
        <v>1</v>
      </c>
      <c r="AX6" s="11">
        <f>'EU Ref Scenario 2020'!AX6/'EU Ref Scenario 2020'!AW6</f>
        <v>1</v>
      </c>
    </row>
    <row r="7" spans="1:50" x14ac:dyDescent="0.3">
      <c r="A7" t="s">
        <v>1433</v>
      </c>
      <c r="B7" t="s">
        <v>1439</v>
      </c>
      <c r="F7" s="11">
        <f>'EU Ref Scenario 2020'!F7/'EU Ref Scenario 2020'!E7</f>
        <v>0.99186070855260522</v>
      </c>
      <c r="G7" s="11">
        <f>'EU Ref Scenario 2020'!G7/'EU Ref Scenario 2020'!F7</f>
        <v>0.99179391685020746</v>
      </c>
      <c r="H7" s="11">
        <f>'EU Ref Scenario 2020'!H7/'EU Ref Scenario 2020'!G7</f>
        <v>0.99172601988137432</v>
      </c>
      <c r="I7" s="11">
        <f>'EU Ref Scenario 2020'!I7/'EU Ref Scenario 2020'!H7</f>
        <v>0.99165698998235885</v>
      </c>
      <c r="J7" s="11">
        <f>'EU Ref Scenario 2020'!J7/'EU Ref Scenario 2020'!I7</f>
        <v>0.99158679855845155</v>
      </c>
      <c r="K7" s="11">
        <f>'EU Ref Scenario 2020'!K7/'EU Ref Scenario 2020'!J7</f>
        <v>1.0074331710724689</v>
      </c>
      <c r="L7" s="11">
        <f>'EU Ref Scenario 2020'!L7/'EU Ref Scenario 2020'!K7</f>
        <v>1.0073783267078211</v>
      </c>
      <c r="M7" s="11">
        <f>'EU Ref Scenario 2020'!M7/'EU Ref Scenario 2020'!L7</f>
        <v>1.0073242857347686</v>
      </c>
      <c r="N7" s="11">
        <f>'EU Ref Scenario 2020'!N7/'EU Ref Scenario 2020'!M7</f>
        <v>1.0072710306288566</v>
      </c>
      <c r="O7" s="11">
        <f>'EU Ref Scenario 2020'!O7/'EU Ref Scenario 2020'!N7</f>
        <v>1.0072185443716344</v>
      </c>
      <c r="P7" s="11">
        <f>'EU Ref Scenario 2020'!P7/'EU Ref Scenario 2020'!O7</f>
        <v>0.99492724814625111</v>
      </c>
      <c r="Q7" s="11">
        <f>'EU Ref Scenario 2020'!Q7/'EU Ref Scenario 2020'!P7</f>
        <v>0.99490138413316109</v>
      </c>
      <c r="R7" s="11">
        <f>'EU Ref Scenario 2020'!R7/'EU Ref Scenario 2020'!Q7</f>
        <v>0.99487525502712881</v>
      </c>
      <c r="S7" s="11">
        <f>'EU Ref Scenario 2020'!S7/'EU Ref Scenario 2020'!R7</f>
        <v>0.99484885673155943</v>
      </c>
      <c r="T7" s="11">
        <f>'EU Ref Scenario 2020'!T7/'EU Ref Scenario 2020'!S7</f>
        <v>0.99482218506501197</v>
      </c>
      <c r="U7" s="11">
        <f>'EU Ref Scenario 2020'!U7/'EU Ref Scenario 2020'!T7</f>
        <v>0.98574896010595969</v>
      </c>
      <c r="V7" s="11">
        <f>'EU Ref Scenario 2020'!V7/'EU Ref Scenario 2020'!U7</f>
        <v>0.98554293185101749</v>
      </c>
      <c r="W7" s="11">
        <f>'EU Ref Scenario 2020'!W7/'EU Ref Scenario 2020'!V7</f>
        <v>0.98533085908106544</v>
      </c>
      <c r="X7" s="11">
        <f>'EU Ref Scenario 2020'!X7/'EU Ref Scenario 2020'!W7</f>
        <v>0.98511247183244088</v>
      </c>
      <c r="Y7" s="11">
        <f>'EU Ref Scenario 2020'!Y7/'EU Ref Scenario 2020'!X7</f>
        <v>0.98488748382216096</v>
      </c>
      <c r="Z7" s="11">
        <f>'EU Ref Scenario 2020'!Z7/'EU Ref Scenario 2020'!Y7</f>
        <v>0.98865755743180361</v>
      </c>
      <c r="AA7" s="11">
        <f>'EU Ref Scenario 2020'!AA7/'EU Ref Scenario 2020'!Z7</f>
        <v>0.98852743047080915</v>
      </c>
      <c r="AB7" s="11">
        <f>'EU Ref Scenario 2020'!AB7/'EU Ref Scenario 2020'!AA7</f>
        <v>0.98839428307646782</v>
      </c>
      <c r="AC7" s="11">
        <f>'EU Ref Scenario 2020'!AC7/'EU Ref Scenario 2020'!AB7</f>
        <v>0.98825800885107484</v>
      </c>
      <c r="AD7" s="11">
        <f>'EU Ref Scenario 2020'!AD7/'EU Ref Scenario 2020'!AC7</f>
        <v>0.98811849634026605</v>
      </c>
      <c r="AE7" s="11">
        <f>'EU Ref Scenario 2020'!AE7/'EU Ref Scenario 2020'!AD7</f>
        <v>0.99500457293491473</v>
      </c>
      <c r="AF7" s="11">
        <f>'EU Ref Scenario 2020'!AF7/'EU Ref Scenario 2020'!AE7</f>
        <v>0.99497949336016567</v>
      </c>
      <c r="AG7" s="11">
        <f>'EU Ref Scenario 2020'!AG7/'EU Ref Scenario 2020'!AF7</f>
        <v>0.99495416069040832</v>
      </c>
      <c r="AH7" s="11">
        <f>'EU Ref Scenario 2020'!AH7/'EU Ref Scenario 2020'!AG7</f>
        <v>0.99492857107498267</v>
      </c>
      <c r="AI7" s="11">
        <f>'EU Ref Scenario 2020'!AI7/'EU Ref Scenario 2020'!AH7</f>
        <v>0.99490272058471729</v>
      </c>
      <c r="AJ7" s="11">
        <f>'EU Ref Scenario 2020'!AJ7/'EU Ref Scenario 2020'!AI7</f>
        <v>0.99953119212367292</v>
      </c>
      <c r="AK7" s="11">
        <f>'EU Ref Scenario 2020'!AK7/'EU Ref Scenario 2020'!AJ7</f>
        <v>0.99953097223976473</v>
      </c>
      <c r="AL7" s="11">
        <f>'EU Ref Scenario 2020'!AL7/'EU Ref Scenario 2020'!AK7</f>
        <v>0.99953075214949638</v>
      </c>
      <c r="AM7" s="11">
        <f>'EU Ref Scenario 2020'!AM7/'EU Ref Scenario 2020'!AL7</f>
        <v>0.99953053185257734</v>
      </c>
      <c r="AN7" s="11">
        <f>'EU Ref Scenario 2020'!AN7/'EU Ref Scenario 2020'!AM7</f>
        <v>0.99953031134871628</v>
      </c>
      <c r="AO7" s="11">
        <f>'EU Ref Scenario 2020'!AO7/'EU Ref Scenario 2020'!AN7</f>
        <v>1</v>
      </c>
      <c r="AP7" s="11">
        <f>'EU Ref Scenario 2020'!AP7/'EU Ref Scenario 2020'!AO7</f>
        <v>1</v>
      </c>
      <c r="AQ7" s="11">
        <f>'EU Ref Scenario 2020'!AQ7/'EU Ref Scenario 2020'!AP7</f>
        <v>1</v>
      </c>
      <c r="AR7" s="11">
        <f>'EU Ref Scenario 2020'!AR7/'EU Ref Scenario 2020'!AQ7</f>
        <v>1</v>
      </c>
      <c r="AS7" s="11">
        <f>'EU Ref Scenario 2020'!AS7/'EU Ref Scenario 2020'!AR7</f>
        <v>1</v>
      </c>
      <c r="AT7" s="11">
        <f>'EU Ref Scenario 2020'!AT7/'EU Ref Scenario 2020'!AS7</f>
        <v>1</v>
      </c>
      <c r="AU7" s="11">
        <f>'EU Ref Scenario 2020'!AU7/'EU Ref Scenario 2020'!AT7</f>
        <v>1</v>
      </c>
      <c r="AV7" s="11">
        <f>'EU Ref Scenario 2020'!AV7/'EU Ref Scenario 2020'!AU7</f>
        <v>1</v>
      </c>
      <c r="AW7" s="11">
        <f>'EU Ref Scenario 2020'!AW7/'EU Ref Scenario 2020'!AV7</f>
        <v>1</v>
      </c>
      <c r="AX7" s="11">
        <f>'EU Ref Scenario 2020'!AX7/'EU Ref Scenario 2020'!AW7</f>
        <v>1</v>
      </c>
    </row>
    <row r="8" spans="1:50" x14ac:dyDescent="0.3">
      <c r="A8" t="s">
        <v>1433</v>
      </c>
      <c r="B8" t="s">
        <v>1435</v>
      </c>
      <c r="F8" s="11">
        <f>'EU Ref Scenario 2020'!F8/'EU Ref Scenario 2020'!E8</f>
        <v>0.99500934768909066</v>
      </c>
      <c r="G8" s="11">
        <f>'EU Ref Scenario 2020'!G8/'EU Ref Scenario 2020'!F8</f>
        <v>0.99498431615491845</v>
      </c>
      <c r="H8" s="11">
        <f>'EU Ref Scenario 2020'!H8/'EU Ref Scenario 2020'!G8</f>
        <v>0.99495903225443338</v>
      </c>
      <c r="I8" s="11">
        <f>'EU Ref Scenario 2020'!I8/'EU Ref Scenario 2020'!H8</f>
        <v>0.99493349215178795</v>
      </c>
      <c r="J8" s="11">
        <f>'EU Ref Scenario 2020'!J8/'EU Ref Scenario 2020'!I8</f>
        <v>0.99490769193300066</v>
      </c>
      <c r="K8" s="11">
        <f>'EU Ref Scenario 2020'!K8/'EU Ref Scenario 2020'!J8</f>
        <v>1.0118118317924845</v>
      </c>
      <c r="L8" s="11">
        <f>'EU Ref Scenario 2020'!L8/'EU Ref Scenario 2020'!K8</f>
        <v>1.0116739411631104</v>
      </c>
      <c r="M8" s="11">
        <f>'EU Ref Scenario 2020'!M8/'EU Ref Scenario 2020'!L8</f>
        <v>1.0115392328378934</v>
      </c>
      <c r="N8" s="11">
        <f>'EU Ref Scenario 2020'!N8/'EU Ref Scenario 2020'!M8</f>
        <v>1.0114075979094947</v>
      </c>
      <c r="O8" s="11">
        <f>'EU Ref Scenario 2020'!O8/'EU Ref Scenario 2020'!N8</f>
        <v>1.0112789323840099</v>
      </c>
      <c r="P8" s="11">
        <f>'EU Ref Scenario 2020'!P8/'EU Ref Scenario 2020'!O8</f>
        <v>0.99757795036220642</v>
      </c>
      <c r="Q8" s="11">
        <f>'EU Ref Scenario 2020'!Q8/'EU Ref Scenario 2020'!P8</f>
        <v>0.99757206979473212</v>
      </c>
      <c r="R8" s="11">
        <f>'EU Ref Scenario 2020'!R8/'EU Ref Scenario 2020'!Q8</f>
        <v>0.99756616060254433</v>
      </c>
      <c r="S8" s="11">
        <f>'EU Ref Scenario 2020'!S8/'EU Ref Scenario 2020'!R8</f>
        <v>0.99756022257612909</v>
      </c>
      <c r="T8" s="11">
        <f>'EU Ref Scenario 2020'!T8/'EU Ref Scenario 2020'!S8</f>
        <v>0.99755425550392274</v>
      </c>
      <c r="U8" s="11">
        <f>'EU Ref Scenario 2020'!U8/'EU Ref Scenario 2020'!T8</f>
        <v>0.99832387890888508</v>
      </c>
      <c r="V8" s="11">
        <f>'EU Ref Scenario 2020'!V8/'EU Ref Scenario 2020'!U8</f>
        <v>0.99832106481020289</v>
      </c>
      <c r="W8" s="11">
        <f>'EU Ref Scenario 2020'!W8/'EU Ref Scenario 2020'!V8</f>
        <v>0.99831824124625046</v>
      </c>
      <c r="X8" s="11">
        <f>'EU Ref Scenario 2020'!X8/'EU Ref Scenario 2020'!W8</f>
        <v>0.99831540816919251</v>
      </c>
      <c r="Y8" s="11">
        <f>'EU Ref Scenario 2020'!Y8/'EU Ref Scenario 2020'!X8</f>
        <v>0.99831256553087055</v>
      </c>
      <c r="Z8" s="11">
        <f>'EU Ref Scenario 2020'!Z8/'EU Ref Scenario 2020'!Y8</f>
        <v>1.002441953187253</v>
      </c>
      <c r="AA8" s="11">
        <f>'EU Ref Scenario 2020'!AA8/'EU Ref Scenario 2020'!Z8</f>
        <v>1.0024360045781096</v>
      </c>
      <c r="AB8" s="11">
        <f>'EU Ref Scenario 2020'!AB8/'EU Ref Scenario 2020'!AA8</f>
        <v>1.0024300848802161</v>
      </c>
      <c r="AC8" s="11">
        <f>'EU Ref Scenario 2020'!AC8/'EU Ref Scenario 2020'!AB8</f>
        <v>1.0024241938833136</v>
      </c>
      <c r="AD8" s="11">
        <f>'EU Ref Scenario 2020'!AD8/'EU Ref Scenario 2020'!AC8</f>
        <v>1.0024183313791759</v>
      </c>
      <c r="AE8" s="11">
        <f>'EU Ref Scenario 2020'!AE8/'EU Ref Scenario 2020'!AD8</f>
        <v>1.0043756603872178</v>
      </c>
      <c r="AF8" s="11">
        <f>'EU Ref Scenario 2020'!AF8/'EU Ref Scenario 2020'!AE8</f>
        <v>1.0043565973965667</v>
      </c>
      <c r="AG8" s="11">
        <f>'EU Ref Scenario 2020'!AG8/'EU Ref Scenario 2020'!AF8</f>
        <v>1.0043376997849762</v>
      </c>
      <c r="AH8" s="11">
        <f>'EU Ref Scenario 2020'!AH8/'EU Ref Scenario 2020'!AG8</f>
        <v>1.0043189654096476</v>
      </c>
      <c r="AI8" s="11">
        <f>'EU Ref Scenario 2020'!AI8/'EU Ref Scenario 2020'!AH8</f>
        <v>1.0043003921646407</v>
      </c>
      <c r="AJ8" s="11">
        <f>'EU Ref Scenario 2020'!AJ8/'EU Ref Scenario 2020'!AI8</f>
        <v>1.0057783246749734</v>
      </c>
      <c r="AK8" s="11">
        <f>'EU Ref Scenario 2020'!AK8/'EU Ref Scenario 2020'!AJ8</f>
        <v>1.0057451274631919</v>
      </c>
      <c r="AL8" s="11">
        <f>'EU Ref Scenario 2020'!AL8/'EU Ref Scenario 2020'!AK8</f>
        <v>1.005712309516908</v>
      </c>
      <c r="AM8" s="11">
        <f>'EU Ref Scenario 2020'!AM8/'EU Ref Scenario 2020'!AL8</f>
        <v>1.005679864373592</v>
      </c>
      <c r="AN8" s="11">
        <f>'EU Ref Scenario 2020'!AN8/'EU Ref Scenario 2020'!AM8</f>
        <v>1.0056477857167099</v>
      </c>
      <c r="AO8" s="11">
        <f>'EU Ref Scenario 2020'!AO8/'EU Ref Scenario 2020'!AN8</f>
        <v>1</v>
      </c>
      <c r="AP8" s="11">
        <f>'EU Ref Scenario 2020'!AP8/'EU Ref Scenario 2020'!AO8</f>
        <v>1</v>
      </c>
      <c r="AQ8" s="11">
        <f>'EU Ref Scenario 2020'!AQ8/'EU Ref Scenario 2020'!AP8</f>
        <v>1</v>
      </c>
      <c r="AR8" s="11">
        <f>'EU Ref Scenario 2020'!AR8/'EU Ref Scenario 2020'!AQ8</f>
        <v>1</v>
      </c>
      <c r="AS8" s="11">
        <f>'EU Ref Scenario 2020'!AS8/'EU Ref Scenario 2020'!AR8</f>
        <v>1</v>
      </c>
      <c r="AT8" s="11">
        <f>'EU Ref Scenario 2020'!AT8/'EU Ref Scenario 2020'!AS8</f>
        <v>1</v>
      </c>
      <c r="AU8" s="11">
        <f>'EU Ref Scenario 2020'!AU8/'EU Ref Scenario 2020'!AT8</f>
        <v>1</v>
      </c>
      <c r="AV8" s="11">
        <f>'EU Ref Scenario 2020'!AV8/'EU Ref Scenario 2020'!AU8</f>
        <v>1</v>
      </c>
      <c r="AW8" s="11">
        <f>'EU Ref Scenario 2020'!AW8/'EU Ref Scenario 2020'!AV8</f>
        <v>1</v>
      </c>
      <c r="AX8" s="11">
        <f>'EU Ref Scenario 2020'!AX8/'EU Ref Scenario 2020'!AW8</f>
        <v>1</v>
      </c>
    </row>
    <row r="9" spans="1:50" x14ac:dyDescent="0.3">
      <c r="A9" t="s">
        <v>1390</v>
      </c>
      <c r="B9" t="s">
        <v>1434</v>
      </c>
      <c r="F9" s="11">
        <f>'EU Ref Scenario 2020'!F9/'EU Ref Scenario 2020'!E9</f>
        <v>0.99380442115632683</v>
      </c>
      <c r="G9" s="11">
        <f>'EU Ref Scenario 2020'!G9/'EU Ref Scenario 2020'!F9</f>
        <v>0.99376579665799392</v>
      </c>
      <c r="H9" s="11">
        <f>'EU Ref Scenario 2020'!H9/'EU Ref Scenario 2020'!G9</f>
        <v>0.99372668755256877</v>
      </c>
      <c r="I9" s="11">
        <f>'EU Ref Scenario 2020'!I9/'EU Ref Scenario 2020'!H9</f>
        <v>0.99368708466220057</v>
      </c>
      <c r="J9" s="11">
        <f>'EU Ref Scenario 2020'!J9/'EU Ref Scenario 2020'!I9</f>
        <v>0.99364697857581052</v>
      </c>
      <c r="K9" s="11">
        <f>'EU Ref Scenario 2020'!K9/'EU Ref Scenario 2020'!J9</f>
        <v>1.01075258218958</v>
      </c>
      <c r="L9" s="11">
        <f>'EU Ref Scenario 2020'!L9/'EU Ref Scenario 2020'!K9</f>
        <v>1.010638194132818</v>
      </c>
      <c r="M9" s="11">
        <f>'EU Ref Scenario 2020'!M9/'EU Ref Scenario 2020'!L9</f>
        <v>1.010526214222436</v>
      </c>
      <c r="N9" s="11">
        <f>'EU Ref Scenario 2020'!N9/'EU Ref Scenario 2020'!M9</f>
        <v>1.0104165672045784</v>
      </c>
      <c r="O9" s="11">
        <f>'EU Ref Scenario 2020'!O9/'EU Ref Scenario 2020'!N9</f>
        <v>1.0103091809286113</v>
      </c>
      <c r="P9" s="11">
        <f>'EU Ref Scenario 2020'!P9/'EU Ref Scenario 2020'!O9</f>
        <v>0.99256812975658559</v>
      </c>
      <c r="Q9" s="11">
        <f>'EU Ref Scenario 2020'!Q9/'EU Ref Scenario 2020'!P9</f>
        <v>0.99251248350555343</v>
      </c>
      <c r="R9" s="11">
        <f>'EU Ref Scenario 2020'!R9/'EU Ref Scenario 2020'!Q9</f>
        <v>0.99245599766362569</v>
      </c>
      <c r="S9" s="11">
        <f>'EU Ref Scenario 2020'!S9/'EU Ref Scenario 2020'!R9</f>
        <v>0.9923986530847374</v>
      </c>
      <c r="T9" s="11">
        <f>'EU Ref Scenario 2020'!T9/'EU Ref Scenario 2020'!S9</f>
        <v>0.99234043003622074</v>
      </c>
      <c r="U9" s="11">
        <f>'EU Ref Scenario 2020'!U9/'EU Ref Scenario 2020'!T9</f>
        <v>0.99753552689307878</v>
      </c>
      <c r="V9" s="11">
        <f>'EU Ref Scenario 2020'!V9/'EU Ref Scenario 2020'!U9</f>
        <v>0.99752943826011187</v>
      </c>
      <c r="W9" s="11">
        <f>'EU Ref Scenario 2020'!W9/'EU Ref Scenario 2020'!V9</f>
        <v>0.99752331946794748</v>
      </c>
      <c r="X9" s="11">
        <f>'EU Ref Scenario 2020'!X9/'EU Ref Scenario 2020'!W9</f>
        <v>0.99751717029194509</v>
      </c>
      <c r="Y9" s="11">
        <f>'EU Ref Scenario 2020'!Y9/'EU Ref Scenario 2020'!X9</f>
        <v>0.99751099050522785</v>
      </c>
      <c r="Z9" s="11">
        <f>'EU Ref Scenario 2020'!Z9/'EU Ref Scenario 2020'!Y9</f>
        <v>0.99963551114980609</v>
      </c>
      <c r="AA9" s="11">
        <f>'EU Ref Scenario 2020'!AA9/'EU Ref Scenario 2020'!Z9</f>
        <v>0.99963537824924342</v>
      </c>
      <c r="AB9" s="11">
        <f>'EU Ref Scenario 2020'!AB9/'EU Ref Scenario 2020'!AA9</f>
        <v>0.99963524525172853</v>
      </c>
      <c r="AC9" s="11">
        <f>'EU Ref Scenario 2020'!AC9/'EU Ref Scenario 2020'!AB9</f>
        <v>0.99963511215715528</v>
      </c>
      <c r="AD9" s="11">
        <f>'EU Ref Scenario 2020'!AD9/'EU Ref Scenario 2020'!AC9</f>
        <v>0.99963497896541742</v>
      </c>
      <c r="AE9" s="11">
        <f>'EU Ref Scenario 2020'!AE9/'EU Ref Scenario 2020'!AD9</f>
        <v>1.0014254726664094</v>
      </c>
      <c r="AF9" s="11">
        <f>'EU Ref Scenario 2020'!AF9/'EU Ref Scenario 2020'!AE9</f>
        <v>1.0014234435864846</v>
      </c>
      <c r="AG9" s="11">
        <f>'EU Ref Scenario 2020'!AG9/'EU Ref Scenario 2020'!AF9</f>
        <v>1.0014214202749105</v>
      </c>
      <c r="AH9" s="11">
        <f>'EU Ref Scenario 2020'!AH9/'EU Ref Scenario 2020'!AG9</f>
        <v>1.0014194027071244</v>
      </c>
      <c r="AI9" s="11">
        <f>'EU Ref Scenario 2020'!AI9/'EU Ref Scenario 2020'!AH9</f>
        <v>1.0014173908587023</v>
      </c>
      <c r="AJ9" s="11">
        <f>'EU Ref Scenario 2020'!AJ9/'EU Ref Scenario 2020'!AI9</f>
        <v>1.0025217379575779</v>
      </c>
      <c r="AK9" s="11">
        <f>'EU Ref Scenario 2020'!AK9/'EU Ref Scenario 2020'!AJ9</f>
        <v>1.002515394791055</v>
      </c>
      <c r="AL9" s="11">
        <f>'EU Ref Scenario 2020'!AL9/'EU Ref Scenario 2020'!AK9</f>
        <v>1.0025090834556003</v>
      </c>
      <c r="AM9" s="11">
        <f>'EU Ref Scenario 2020'!AM9/'EU Ref Scenario 2020'!AL9</f>
        <v>1.0025028037122135</v>
      </c>
      <c r="AN9" s="11">
        <f>'EU Ref Scenario 2020'!AN9/'EU Ref Scenario 2020'!AM9</f>
        <v>1.0024965553242802</v>
      </c>
      <c r="AO9" s="11">
        <f>'EU Ref Scenario 2020'!AO9/'EU Ref Scenario 2020'!AN9</f>
        <v>1</v>
      </c>
      <c r="AP9" s="11">
        <f>'EU Ref Scenario 2020'!AP9/'EU Ref Scenario 2020'!AO9</f>
        <v>1</v>
      </c>
      <c r="AQ9" s="11">
        <f>'EU Ref Scenario 2020'!AQ9/'EU Ref Scenario 2020'!AP9</f>
        <v>1</v>
      </c>
      <c r="AR9" s="11">
        <f>'EU Ref Scenario 2020'!AR9/'EU Ref Scenario 2020'!AQ9</f>
        <v>1</v>
      </c>
      <c r="AS9" s="11">
        <f>'EU Ref Scenario 2020'!AS9/'EU Ref Scenario 2020'!AR9</f>
        <v>1</v>
      </c>
      <c r="AT9" s="11">
        <f>'EU Ref Scenario 2020'!AT9/'EU Ref Scenario 2020'!AS9</f>
        <v>1</v>
      </c>
      <c r="AU9" s="11">
        <f>'EU Ref Scenario 2020'!AU9/'EU Ref Scenario 2020'!AT9</f>
        <v>1</v>
      </c>
      <c r="AV9" s="11">
        <f>'EU Ref Scenario 2020'!AV9/'EU Ref Scenario 2020'!AU9</f>
        <v>1</v>
      </c>
      <c r="AW9" s="11">
        <f>'EU Ref Scenario 2020'!AW9/'EU Ref Scenario 2020'!AV9</f>
        <v>1</v>
      </c>
      <c r="AX9" s="11">
        <f>'EU Ref Scenario 2020'!AX9/'EU Ref Scenario 2020'!AW9</f>
        <v>1</v>
      </c>
    </row>
    <row r="10" spans="1:50" x14ac:dyDescent="0.3">
      <c r="A10" t="s">
        <v>1390</v>
      </c>
      <c r="B10" t="s">
        <v>1439</v>
      </c>
      <c r="F10" s="11">
        <f>'EU Ref Scenario 2020'!F10/'EU Ref Scenario 2020'!E10</f>
        <v>0.99683945755375025</v>
      </c>
      <c r="G10" s="11">
        <f>'EU Ref Scenario 2020'!G10/'EU Ref Scenario 2020'!F10</f>
        <v>0.99682943685434999</v>
      </c>
      <c r="H10" s="11">
        <f>'EU Ref Scenario 2020'!H10/'EU Ref Scenario 2020'!G10</f>
        <v>0.99681935241032282</v>
      </c>
      <c r="I10" s="11">
        <f>'EU Ref Scenario 2020'!I10/'EU Ref Scenario 2020'!H10</f>
        <v>0.99680920361148051</v>
      </c>
      <c r="J10" s="11">
        <f>'EU Ref Scenario 2020'!J10/'EU Ref Scenario 2020'!I10</f>
        <v>0.99679898983982163</v>
      </c>
      <c r="K10" s="11">
        <f>'EU Ref Scenario 2020'!K10/'EU Ref Scenario 2020'!J10</f>
        <v>1.0075734832423531</v>
      </c>
      <c r="L10" s="11">
        <f>'EU Ref Scenario 2020'!L10/'EU Ref Scenario 2020'!K10</f>
        <v>1.007516556725949</v>
      </c>
      <c r="M10" s="11">
        <f>'EU Ref Scenario 2020'!M10/'EU Ref Scenario 2020'!L10</f>
        <v>1.0074604796077744</v>
      </c>
      <c r="N10" s="11">
        <f>'EU Ref Scenario 2020'!N10/'EU Ref Scenario 2020'!M10</f>
        <v>1.0074052330178538</v>
      </c>
      <c r="O10" s="11">
        <f>'EU Ref Scenario 2020'!O10/'EU Ref Scenario 2020'!N10</f>
        <v>1.0073507986410493</v>
      </c>
      <c r="P10" s="11">
        <f>'EU Ref Scenario 2020'!P10/'EU Ref Scenario 2020'!O10</f>
        <v>0.99219713659991582</v>
      </c>
      <c r="Q10" s="11">
        <f>'EU Ref Scenario 2020'!Q10/'EU Ref Scenario 2020'!P10</f>
        <v>0.9921357731117596</v>
      </c>
      <c r="R10" s="11">
        <f>'EU Ref Scenario 2020'!R10/'EU Ref Scenario 2020'!Q10</f>
        <v>0.99207343682047178</v>
      </c>
      <c r="S10" s="11">
        <f>'EU Ref Scenario 2020'!S10/'EU Ref Scenario 2020'!R10</f>
        <v>0.99201010440826609</v>
      </c>
      <c r="T10" s="11">
        <f>'EU Ref Scenario 2020'!T10/'EU Ref Scenario 2020'!S10</f>
        <v>0.99194575180612721</v>
      </c>
      <c r="U10" s="11">
        <f>'EU Ref Scenario 2020'!U10/'EU Ref Scenario 2020'!T10</f>
        <v>0.98866817417101704</v>
      </c>
      <c r="V10" s="11">
        <f>'EU Ref Scenario 2020'!V10/'EU Ref Scenario 2020'!U10</f>
        <v>0.98853829209331578</v>
      </c>
      <c r="W10" s="11">
        <f>'EU Ref Scenario 2020'!W10/'EU Ref Scenario 2020'!V10</f>
        <v>0.9884053981536588</v>
      </c>
      <c r="X10" s="11">
        <f>'EU Ref Scenario 2020'!X10/'EU Ref Scenario 2020'!W10</f>
        <v>0.98826938635907902</v>
      </c>
      <c r="Y10" s="11">
        <f>'EU Ref Scenario 2020'!Y10/'EU Ref Scenario 2020'!X10</f>
        <v>0.98813014568412583</v>
      </c>
      <c r="Z10" s="11">
        <f>'EU Ref Scenario 2020'!Z10/'EU Ref Scenario 2020'!Y10</f>
        <v>0.99047622153937165</v>
      </c>
      <c r="AA10" s="11">
        <f>'EU Ref Scenario 2020'!AA10/'EU Ref Scenario 2020'!Z10</f>
        <v>0.9903846470480363</v>
      </c>
      <c r="AB10" s="11">
        <f>'EU Ref Scenario 2020'!AB10/'EU Ref Scenario 2020'!AA10</f>
        <v>0.99029129441715058</v>
      </c>
      <c r="AC10" s="11">
        <f>'EU Ref Scenario 2020'!AC10/'EU Ref Scenario 2020'!AB10</f>
        <v>0.9901961113486677</v>
      </c>
      <c r="AD10" s="11">
        <f>'EU Ref Scenario 2020'!AD10/'EU Ref Scenario 2020'!AC10</f>
        <v>0.9900990434733391</v>
      </c>
      <c r="AE10" s="11">
        <f>'EU Ref Scenario 2020'!AE10/'EU Ref Scenario 2020'!AD10</f>
        <v>0.995358941424064</v>
      </c>
      <c r="AF10" s="11">
        <f>'EU Ref Scenario 2020'!AF10/'EU Ref Scenario 2020'!AE10</f>
        <v>0.99533730156751687</v>
      </c>
      <c r="AG10" s="11">
        <f>'EU Ref Scenario 2020'!AG10/'EU Ref Scenario 2020'!AF10</f>
        <v>0.99531545896537787</v>
      </c>
      <c r="AH10" s="11">
        <f>'EU Ref Scenario 2020'!AH10/'EU Ref Scenario 2020'!AG10</f>
        <v>0.99529341075492628</v>
      </c>
      <c r="AI10" s="11">
        <f>'EU Ref Scenario 2020'!AI10/'EU Ref Scenario 2020'!AH10</f>
        <v>0.995271154019292</v>
      </c>
      <c r="AJ10" s="11">
        <f>'EU Ref Scenario 2020'!AJ10/'EU Ref Scenario 2020'!AI10</f>
        <v>0.99753804867273754</v>
      </c>
      <c r="AK10" s="11">
        <f>'EU Ref Scenario 2020'!AK10/'EU Ref Scenario 2020'!AJ10</f>
        <v>0.9975319725091808</v>
      </c>
      <c r="AL10" s="11">
        <f>'EU Ref Scenario 2020'!AL10/'EU Ref Scenario 2020'!AK10</f>
        <v>0.99752586627914175</v>
      </c>
      <c r="AM10" s="11">
        <f>'EU Ref Scenario 2020'!AM10/'EU Ref Scenario 2020'!AL10</f>
        <v>0.99751972975890135</v>
      </c>
      <c r="AN10" s="11">
        <f>'EU Ref Scenario 2020'!AN10/'EU Ref Scenario 2020'!AM10</f>
        <v>0.99751356272251579</v>
      </c>
      <c r="AO10" s="11">
        <f>'EU Ref Scenario 2020'!AO10/'EU Ref Scenario 2020'!AN10</f>
        <v>1</v>
      </c>
      <c r="AP10" s="11">
        <f>'EU Ref Scenario 2020'!AP10/'EU Ref Scenario 2020'!AO10</f>
        <v>1</v>
      </c>
      <c r="AQ10" s="11">
        <f>'EU Ref Scenario 2020'!AQ10/'EU Ref Scenario 2020'!AP10</f>
        <v>1</v>
      </c>
      <c r="AR10" s="11">
        <f>'EU Ref Scenario 2020'!AR10/'EU Ref Scenario 2020'!AQ10</f>
        <v>1</v>
      </c>
      <c r="AS10" s="11">
        <f>'EU Ref Scenario 2020'!AS10/'EU Ref Scenario 2020'!AR10</f>
        <v>1</v>
      </c>
      <c r="AT10" s="11">
        <f>'EU Ref Scenario 2020'!AT10/'EU Ref Scenario 2020'!AS10</f>
        <v>1</v>
      </c>
      <c r="AU10" s="11">
        <f>'EU Ref Scenario 2020'!AU10/'EU Ref Scenario 2020'!AT10</f>
        <v>1</v>
      </c>
      <c r="AV10" s="11">
        <f>'EU Ref Scenario 2020'!AV10/'EU Ref Scenario 2020'!AU10</f>
        <v>1</v>
      </c>
      <c r="AW10" s="11">
        <f>'EU Ref Scenario 2020'!AW10/'EU Ref Scenario 2020'!AV10</f>
        <v>1</v>
      </c>
      <c r="AX10" s="11">
        <f>'EU Ref Scenario 2020'!AX10/'EU Ref Scenario 2020'!AW10</f>
        <v>1</v>
      </c>
    </row>
    <row r="11" spans="1:50" x14ac:dyDescent="0.3">
      <c r="A11" t="s">
        <v>1390</v>
      </c>
      <c r="B11" t="s">
        <v>1435</v>
      </c>
      <c r="F11" s="11">
        <f>'EU Ref Scenario 2020'!F11/'EU Ref Scenario 2020'!E11</f>
        <v>0.98898630249588904</v>
      </c>
      <c r="G11" s="11">
        <f>'EU Ref Scenario 2020'!G11/'EU Ref Scenario 2020'!F11</f>
        <v>0.98886365010686617</v>
      </c>
      <c r="H11" s="11">
        <f>'EU Ref Scenario 2020'!H11/'EU Ref Scenario 2020'!G11</f>
        <v>0.9887382351531171</v>
      </c>
      <c r="I11" s="11">
        <f>'EU Ref Scenario 2020'!I11/'EU Ref Scenario 2020'!H11</f>
        <v>0.9886099632375005</v>
      </c>
      <c r="J11" s="11">
        <f>'EU Ref Scenario 2020'!J11/'EU Ref Scenario 2020'!I11</f>
        <v>0.98847873561257704</v>
      </c>
      <c r="K11" s="11">
        <f>'EU Ref Scenario 2020'!K11/'EU Ref Scenario 2020'!J11</f>
        <v>1.0160091160283522</v>
      </c>
      <c r="L11" s="11">
        <f>'EU Ref Scenario 2020'!L11/'EU Ref Scenario 2020'!K11</f>
        <v>1.0157568625869549</v>
      </c>
      <c r="M11" s="11">
        <f>'EU Ref Scenario 2020'!M11/'EU Ref Scenario 2020'!L11</f>
        <v>1.0155124352759231</v>
      </c>
      <c r="N11" s="11">
        <f>'EU Ref Scenario 2020'!N11/'EU Ref Scenario 2020'!M11</f>
        <v>1.01527547545167</v>
      </c>
      <c r="O11" s="11">
        <f>'EU Ref Scenario 2020'!O11/'EU Ref Scenario 2020'!N11</f>
        <v>1.0150456460547068</v>
      </c>
      <c r="P11" s="11">
        <f>'EU Ref Scenario 2020'!P11/'EU Ref Scenario 2020'!O11</f>
        <v>0.99315759894781874</v>
      </c>
      <c r="Q11" s="11">
        <f>'EU Ref Scenario 2020'!Q11/'EU Ref Scenario 2020'!P11</f>
        <v>0.99311045793796449</v>
      </c>
      <c r="R11" s="11">
        <f>'EU Ref Scenario 2020'!R11/'EU Ref Scenario 2020'!Q11</f>
        <v>0.99306266286195333</v>
      </c>
      <c r="S11" s="11">
        <f>'EU Ref Scenario 2020'!S11/'EU Ref Scenario 2020'!R11</f>
        <v>0.99301420001225937</v>
      </c>
      <c r="T11" s="11">
        <f>'EU Ref Scenario 2020'!T11/'EU Ref Scenario 2020'!S11</f>
        <v>0.99296505529563006</v>
      </c>
      <c r="U11" s="11">
        <f>'EU Ref Scenario 2020'!U11/'EU Ref Scenario 2020'!T11</f>
        <v>1.0115547617628067</v>
      </c>
      <c r="V11" s="11">
        <f>'EU Ref Scenario 2020'!V11/'EU Ref Scenario 2020'!U11</f>
        <v>1.0114227743267903</v>
      </c>
      <c r="W11" s="11">
        <f>'EU Ref Scenario 2020'!W11/'EU Ref Scenario 2020'!V11</f>
        <v>1.0112937681617793</v>
      </c>
      <c r="X11" s="11">
        <f>'EU Ref Scenario 2020'!X11/'EU Ref Scenario 2020'!W11</f>
        <v>1.0111676433864591</v>
      </c>
      <c r="Y11" s="11">
        <f>'EU Ref Scenario 2020'!Y11/'EU Ref Scenario 2020'!X11</f>
        <v>1.0110443045319946</v>
      </c>
      <c r="Z11" s="11">
        <f>'EU Ref Scenario 2020'!Z11/'EU Ref Scenario 2020'!Y11</f>
        <v>1.012549724608677</v>
      </c>
      <c r="AA11" s="11">
        <f>'EU Ref Scenario 2020'!AA11/'EU Ref Scenario 2020'!Z11</f>
        <v>1.0123941810497525</v>
      </c>
      <c r="AB11" s="11">
        <f>'EU Ref Scenario 2020'!AB11/'EU Ref Scenario 2020'!AA11</f>
        <v>1.0122424459580566</v>
      </c>
      <c r="AC11" s="11">
        <f>'EU Ref Scenario 2020'!AC11/'EU Ref Scenario 2020'!AB11</f>
        <v>1.0120943811504262</v>
      </c>
      <c r="AD11" s="11">
        <f>'EU Ref Scenario 2020'!AD11/'EU Ref Scenario 2020'!AC11</f>
        <v>1.0119498550487742</v>
      </c>
      <c r="AE11" s="11">
        <f>'EU Ref Scenario 2020'!AE11/'EU Ref Scenario 2020'!AD11</f>
        <v>1.0090907315757611</v>
      </c>
      <c r="AF11" s="11">
        <f>'EU Ref Scenario 2020'!AF11/'EU Ref Scenario 2020'!AE11</f>
        <v>1.0090088346778938</v>
      </c>
      <c r="AG11" s="11">
        <f>'EU Ref Scenario 2020'!AG11/'EU Ref Scenario 2020'!AF11</f>
        <v>1.0089284001965848</v>
      </c>
      <c r="AH11" s="11">
        <f>'EU Ref Scenario 2020'!AH11/'EU Ref Scenario 2020'!AG11</f>
        <v>1.0088493893073534</v>
      </c>
      <c r="AI11" s="11">
        <f>'EU Ref Scenario 2020'!AI11/'EU Ref Scenario 2020'!AH11</f>
        <v>1.0087717645479559</v>
      </c>
      <c r="AJ11" s="11">
        <f>'EU Ref Scenario 2020'!AJ11/'EU Ref Scenario 2020'!AI11</f>
        <v>1.0084052393291505</v>
      </c>
      <c r="AK11" s="11">
        <f>'EU Ref Scenario 2020'!AK11/'EU Ref Scenario 2020'!AJ11</f>
        <v>1.0083351801451788</v>
      </c>
      <c r="AL11" s="11">
        <f>'EU Ref Scenario 2020'!AL11/'EU Ref Scenario 2020'!AK11</f>
        <v>1.00826627921876</v>
      </c>
      <c r="AM11" s="11">
        <f>'EU Ref Scenario 2020'!AM11/'EU Ref Scenario 2020'!AL11</f>
        <v>1.0081985080619427</v>
      </c>
      <c r="AN11" s="11">
        <f>'EU Ref Scenario 2020'!AN11/'EU Ref Scenario 2020'!AM11</f>
        <v>1.0081318391134131</v>
      </c>
      <c r="AO11" s="11">
        <f>'EU Ref Scenario 2020'!AO11/'EU Ref Scenario 2020'!AN11</f>
        <v>1</v>
      </c>
      <c r="AP11" s="11">
        <f>'EU Ref Scenario 2020'!AP11/'EU Ref Scenario 2020'!AO11</f>
        <v>1</v>
      </c>
      <c r="AQ11" s="11">
        <f>'EU Ref Scenario 2020'!AQ11/'EU Ref Scenario 2020'!AP11</f>
        <v>1</v>
      </c>
      <c r="AR11" s="11">
        <f>'EU Ref Scenario 2020'!AR11/'EU Ref Scenario 2020'!AQ11</f>
        <v>1</v>
      </c>
      <c r="AS11" s="11">
        <f>'EU Ref Scenario 2020'!AS11/'EU Ref Scenario 2020'!AR11</f>
        <v>1</v>
      </c>
      <c r="AT11" s="11">
        <f>'EU Ref Scenario 2020'!AT11/'EU Ref Scenario 2020'!AS11</f>
        <v>1</v>
      </c>
      <c r="AU11" s="11">
        <f>'EU Ref Scenario 2020'!AU11/'EU Ref Scenario 2020'!AT11</f>
        <v>1</v>
      </c>
      <c r="AV11" s="11">
        <f>'EU Ref Scenario 2020'!AV11/'EU Ref Scenario 2020'!AU11</f>
        <v>1</v>
      </c>
      <c r="AW11" s="11">
        <f>'EU Ref Scenario 2020'!AW11/'EU Ref Scenario 2020'!AV11</f>
        <v>1</v>
      </c>
      <c r="AX11" s="11">
        <f>'EU Ref Scenario 2020'!AX11/'EU Ref Scenario 2020'!AW11</f>
        <v>1</v>
      </c>
    </row>
    <row r="12" spans="1:50" x14ac:dyDescent="0.3">
      <c r="A12" t="s">
        <v>1396</v>
      </c>
      <c r="B12" t="s">
        <v>1434</v>
      </c>
      <c r="F12" s="11">
        <f>'EU Ref Scenario 2020'!F12/'EU Ref Scenario 2020'!E12</f>
        <v>0.98751501488111981</v>
      </c>
      <c r="G12" s="11">
        <f>'EU Ref Scenario 2020'!G12/'EU Ref Scenario 2020'!F12</f>
        <v>0.9873571693283234</v>
      </c>
      <c r="H12" s="11">
        <f>'EU Ref Scenario 2020'!H12/'EU Ref Scenario 2020'!G12</f>
        <v>0.98719528143976798</v>
      </c>
      <c r="I12" s="11">
        <f>'EU Ref Scenario 2020'!I12/'EU Ref Scenario 2020'!H12</f>
        <v>0.98702919391839361</v>
      </c>
      <c r="J12" s="11">
        <f>'EU Ref Scenario 2020'!J12/'EU Ref Scenario 2020'!I12</f>
        <v>0.98685874119881545</v>
      </c>
      <c r="K12" s="11">
        <f>'EU Ref Scenario 2020'!K12/'EU Ref Scenario 2020'!J12</f>
        <v>1.031466504125967</v>
      </c>
      <c r="L12" s="11">
        <f>'EU Ref Scenario 2020'!L12/'EU Ref Scenario 2020'!K12</f>
        <v>1.030506569045236</v>
      </c>
      <c r="M12" s="11">
        <f>'EU Ref Scenario 2020'!M12/'EU Ref Scenario 2020'!L12</f>
        <v>1.029603468780893</v>
      </c>
      <c r="N12" s="11">
        <f>'EU Ref Scenario 2020'!N12/'EU Ref Scenario 2020'!M12</f>
        <v>1.0287523009377049</v>
      </c>
      <c r="O12" s="11">
        <f>'EU Ref Scenario 2020'!O12/'EU Ref Scenario 2020'!N12</f>
        <v>1.0279487111829519</v>
      </c>
      <c r="P12" s="11">
        <f>'EU Ref Scenario 2020'!P12/'EU Ref Scenario 2020'!O12</f>
        <v>1.0212742906019261</v>
      </c>
      <c r="Q12" s="11">
        <f>'EU Ref Scenario 2020'!Q12/'EU Ref Scenario 2020'!P12</f>
        <v>1.020831123232709</v>
      </c>
      <c r="R12" s="11">
        <f>'EU Ref Scenario 2020'!R12/'EU Ref Scenario 2020'!Q12</f>
        <v>1.0204060424477872</v>
      </c>
      <c r="S12" s="11">
        <f>'EU Ref Scenario 2020'!S12/'EU Ref Scenario 2020'!R12</f>
        <v>1.0199979631626215</v>
      </c>
      <c r="T12" s="11">
        <f>'EU Ref Scenario 2020'!T12/'EU Ref Scenario 2020'!S12</f>
        <v>1.019605885388845</v>
      </c>
      <c r="U12" s="11">
        <f>'EU Ref Scenario 2020'!U12/'EU Ref Scenario 2020'!T12</f>
        <v>0.99255883043545146</v>
      </c>
      <c r="V12" s="11">
        <f>'EU Ref Scenario 2020'!V12/'EU Ref Scenario 2020'!U12</f>
        <v>0.99250304431699632</v>
      </c>
      <c r="W12" s="11">
        <f>'EU Ref Scenario 2020'!W12/'EU Ref Scenario 2020'!V12</f>
        <v>0.99244641542821377</v>
      </c>
      <c r="X12" s="11">
        <f>'EU Ref Scenario 2020'!X12/'EU Ref Scenario 2020'!W12</f>
        <v>0.99238892452593819</v>
      </c>
      <c r="Y12" s="11">
        <f>'EU Ref Scenario 2020'!Y12/'EU Ref Scenario 2020'!X12</f>
        <v>0.99233055177666607</v>
      </c>
      <c r="Z12" s="11">
        <f>'EU Ref Scenario 2020'!Z12/'EU Ref Scenario 2020'!Y12</f>
        <v>0.99747504905302653</v>
      </c>
      <c r="AA12" s="11">
        <f>'EU Ref Scenario 2020'!AA12/'EU Ref Scenario 2020'!Z12</f>
        <v>0.99746865753747871</v>
      </c>
      <c r="AB12" s="11">
        <f>'EU Ref Scenario 2020'!AB12/'EU Ref Scenario 2020'!AA12</f>
        <v>0.99746223358158381</v>
      </c>
      <c r="AC12" s="11">
        <f>'EU Ref Scenario 2020'!AC12/'EU Ref Scenario 2020'!AB12</f>
        <v>0.99745577693773535</v>
      </c>
      <c r="AD12" s="11">
        <f>'EU Ref Scenario 2020'!AD12/'EU Ref Scenario 2020'!AC12</f>
        <v>0.99744928735580085</v>
      </c>
      <c r="AE12" s="11">
        <f>'EU Ref Scenario 2020'!AE12/'EU Ref Scenario 2020'!AD12</f>
        <v>1.0025013837798178</v>
      </c>
      <c r="AF12" s="11">
        <f>'EU Ref Scenario 2020'!AF12/'EU Ref Scenario 2020'!AE12</f>
        <v>1.0024951424709128</v>
      </c>
      <c r="AG12" s="11">
        <f>'EU Ref Scenario 2020'!AG12/'EU Ref Scenario 2020'!AF12</f>
        <v>1.0024889322303974</v>
      </c>
      <c r="AH12" s="11">
        <f>'EU Ref Scenario 2020'!AH12/'EU Ref Scenario 2020'!AG12</f>
        <v>1.0024827528268665</v>
      </c>
      <c r="AI12" s="11">
        <f>'EU Ref Scenario 2020'!AI12/'EU Ref Scenario 2020'!AH12</f>
        <v>1.0024766040312068</v>
      </c>
      <c r="AJ12" s="11">
        <f>'EU Ref Scenario 2020'!AJ12/'EU Ref Scenario 2020'!AI12</f>
        <v>1.0022427469181783</v>
      </c>
      <c r="AK12" s="11">
        <f>'EU Ref Scenario 2020'!AK12/'EU Ref Scenario 2020'!AJ12</f>
        <v>1.0022377282600194</v>
      </c>
      <c r="AL12" s="11">
        <f>'EU Ref Scenario 2020'!AL12/'EU Ref Scenario 2020'!AK12</f>
        <v>1.002232732012498</v>
      </c>
      <c r="AM12" s="11">
        <f>'EU Ref Scenario 2020'!AM12/'EU Ref Scenario 2020'!AL12</f>
        <v>1.0022277580258376</v>
      </c>
      <c r="AN12" s="11">
        <f>'EU Ref Scenario 2020'!AN12/'EU Ref Scenario 2020'!AM12</f>
        <v>1.0022228061515936</v>
      </c>
      <c r="AO12" s="11">
        <f>'EU Ref Scenario 2020'!AO12/'EU Ref Scenario 2020'!AN12</f>
        <v>1</v>
      </c>
      <c r="AP12" s="11">
        <f>'EU Ref Scenario 2020'!AP12/'EU Ref Scenario 2020'!AO12</f>
        <v>1</v>
      </c>
      <c r="AQ12" s="11">
        <f>'EU Ref Scenario 2020'!AQ12/'EU Ref Scenario 2020'!AP12</f>
        <v>1</v>
      </c>
      <c r="AR12" s="11">
        <f>'EU Ref Scenario 2020'!AR12/'EU Ref Scenario 2020'!AQ12</f>
        <v>1</v>
      </c>
      <c r="AS12" s="11">
        <f>'EU Ref Scenario 2020'!AS12/'EU Ref Scenario 2020'!AR12</f>
        <v>1</v>
      </c>
      <c r="AT12" s="11">
        <f>'EU Ref Scenario 2020'!AT12/'EU Ref Scenario 2020'!AS12</f>
        <v>1</v>
      </c>
      <c r="AU12" s="11">
        <f>'EU Ref Scenario 2020'!AU12/'EU Ref Scenario 2020'!AT12</f>
        <v>1</v>
      </c>
      <c r="AV12" s="11">
        <f>'EU Ref Scenario 2020'!AV12/'EU Ref Scenario 2020'!AU12</f>
        <v>1</v>
      </c>
      <c r="AW12" s="11">
        <f>'EU Ref Scenario 2020'!AW12/'EU Ref Scenario 2020'!AV12</f>
        <v>1</v>
      </c>
      <c r="AX12" s="11">
        <f>'EU Ref Scenario 2020'!AX12/'EU Ref Scenario 2020'!AW12</f>
        <v>1</v>
      </c>
    </row>
    <row r="13" spans="1:50" x14ac:dyDescent="0.3">
      <c r="A13" t="s">
        <v>1396</v>
      </c>
      <c r="B13" t="s">
        <v>1439</v>
      </c>
      <c r="F13" s="11">
        <f>'EU Ref Scenario 2020'!F13/'EU Ref Scenario 2020'!E13</f>
        <v>0.99073030521938021</v>
      </c>
      <c r="G13" s="11">
        <f>'EU Ref Scenario 2020'!G13/'EU Ref Scenario 2020'!F13</f>
        <v>0.99064357400618008</v>
      </c>
      <c r="H13" s="11">
        <f>'EU Ref Scenario 2020'!H13/'EU Ref Scenario 2020'!G13</f>
        <v>0.99055520447583145</v>
      </c>
      <c r="I13" s="11">
        <f>'EU Ref Scenario 2020'!I13/'EU Ref Scenario 2020'!H13</f>
        <v>0.99046514976500843</v>
      </c>
      <c r="J13" s="11">
        <f>'EU Ref Scenario 2020'!J13/'EU Ref Scenario 2020'!I13</f>
        <v>0.99037336120583963</v>
      </c>
      <c r="K13" s="11">
        <f>'EU Ref Scenario 2020'!K13/'EU Ref Scenario 2020'!J13</f>
        <v>1.0332327072626839</v>
      </c>
      <c r="L13" s="11">
        <f>'EU Ref Scenario 2020'!L13/'EU Ref Scenario 2020'!K13</f>
        <v>1.0321638165624145</v>
      </c>
      <c r="M13" s="11">
        <f>'EU Ref Scenario 2020'!M13/'EU Ref Scenario 2020'!L13</f>
        <v>1.0311615424279597</v>
      </c>
      <c r="N13" s="11">
        <f>'EU Ref Scenario 2020'!N13/'EU Ref Scenario 2020'!M13</f>
        <v>1.030219845432353</v>
      </c>
      <c r="O13" s="11">
        <f>'EU Ref Scenario 2020'!O13/'EU Ref Scenario 2020'!N13</f>
        <v>1.0293333947762098</v>
      </c>
      <c r="P13" s="11">
        <f>'EU Ref Scenario 2020'!P13/'EU Ref Scenario 2020'!O13</f>
        <v>1.0302570812064797</v>
      </c>
      <c r="Q13" s="11">
        <f>'EU Ref Scenario 2020'!Q13/'EU Ref Scenario 2020'!P13</f>
        <v>1.0293684768184725</v>
      </c>
      <c r="R13" s="11">
        <f>'EU Ref Scenario 2020'!R13/'EU Ref Scenario 2020'!Q13</f>
        <v>1.0285305772226905</v>
      </c>
      <c r="S13" s="11">
        <f>'EU Ref Scenario 2020'!S13/'EU Ref Scenario 2020'!R13</f>
        <v>1.0277391628936601</v>
      </c>
      <c r="T13" s="11">
        <f>'EU Ref Scenario 2020'!T13/'EU Ref Scenario 2020'!S13</f>
        <v>1.0269904698538093</v>
      </c>
      <c r="U13" s="11">
        <f>'EU Ref Scenario 2020'!U13/'EU Ref Scenario 2020'!T13</f>
        <v>0.99377450674540679</v>
      </c>
      <c r="V13" s="11">
        <f>'EU Ref Scenario 2020'!V13/'EU Ref Scenario 2020'!U13</f>
        <v>0.99373550718766013</v>
      </c>
      <c r="W13" s="11">
        <f>'EU Ref Scenario 2020'!W13/'EU Ref Scenario 2020'!V13</f>
        <v>0.99369601592473145</v>
      </c>
      <c r="X13" s="11">
        <f>'EU Ref Scenario 2020'!X13/'EU Ref Scenario 2020'!W13</f>
        <v>0.99365602359852268</v>
      </c>
      <c r="Y13" s="11">
        <f>'EU Ref Scenario 2020'!Y13/'EU Ref Scenario 2020'!X13</f>
        <v>0.99361552061194924</v>
      </c>
      <c r="Z13" s="11">
        <f>'EU Ref Scenario 2020'!Z13/'EU Ref Scenario 2020'!Y13</f>
        <v>0.99477388963671443</v>
      </c>
      <c r="AA13" s="11">
        <f>'EU Ref Scenario 2020'!AA13/'EU Ref Scenario 2020'!Z13</f>
        <v>0.9947464339205826</v>
      </c>
      <c r="AB13" s="11">
        <f>'EU Ref Scenario 2020'!AB13/'EU Ref Scenario 2020'!AA13</f>
        <v>0.9947186882000556</v>
      </c>
      <c r="AC13" s="11">
        <f>'EU Ref Scenario 2020'!AC13/'EU Ref Scenario 2020'!AB13</f>
        <v>0.99469064785592698</v>
      </c>
      <c r="AD13" s="11">
        <f>'EU Ref Scenario 2020'!AD13/'EU Ref Scenario 2020'!AC13</f>
        <v>0.99466230817036694</v>
      </c>
      <c r="AE13" s="11">
        <f>'EU Ref Scenario 2020'!AE13/'EU Ref Scenario 2020'!AD13</f>
        <v>0.9998355916532331</v>
      </c>
      <c r="AF13" s="11">
        <f>'EU Ref Scenario 2020'!AF13/'EU Ref Scenario 2020'!AE13</f>
        <v>0.99983556461868395</v>
      </c>
      <c r="AG13" s="11">
        <f>'EU Ref Scenario 2020'!AG13/'EU Ref Scenario 2020'!AF13</f>
        <v>0.99983553757524235</v>
      </c>
      <c r="AH13" s="11">
        <f>'EU Ref Scenario 2020'!AH13/'EU Ref Scenario 2020'!AG13</f>
        <v>0.99983551052290409</v>
      </c>
      <c r="AI13" s="11">
        <f>'EU Ref Scenario 2020'!AI13/'EU Ref Scenario 2020'!AH13</f>
        <v>0.99983548346166518</v>
      </c>
      <c r="AJ13" s="11">
        <f>'EU Ref Scenario 2020'!AJ13/'EU Ref Scenario 2020'!AI13</f>
        <v>0.99947015060984556</v>
      </c>
      <c r="AK13" s="11">
        <f>'EU Ref Scenario 2020'!AK13/'EU Ref Scenario 2020'!AJ13</f>
        <v>0.99946986972064034</v>
      </c>
      <c r="AL13" s="11">
        <f>'EU Ref Scenario 2020'!AL13/'EU Ref Scenario 2020'!AK13</f>
        <v>0.99946958853346135</v>
      </c>
      <c r="AM13" s="11">
        <f>'EU Ref Scenario 2020'!AM13/'EU Ref Scenario 2020'!AL13</f>
        <v>0.99946930704783432</v>
      </c>
      <c r="AN13" s="11">
        <f>'EU Ref Scenario 2020'!AN13/'EU Ref Scenario 2020'!AM13</f>
        <v>0.99946902526328418</v>
      </c>
      <c r="AO13" s="11">
        <f>'EU Ref Scenario 2020'!AO13/'EU Ref Scenario 2020'!AN13</f>
        <v>1</v>
      </c>
      <c r="AP13" s="11">
        <f>'EU Ref Scenario 2020'!AP13/'EU Ref Scenario 2020'!AO13</f>
        <v>1</v>
      </c>
      <c r="AQ13" s="11">
        <f>'EU Ref Scenario 2020'!AQ13/'EU Ref Scenario 2020'!AP13</f>
        <v>1</v>
      </c>
      <c r="AR13" s="11">
        <f>'EU Ref Scenario 2020'!AR13/'EU Ref Scenario 2020'!AQ13</f>
        <v>1</v>
      </c>
      <c r="AS13" s="11">
        <f>'EU Ref Scenario 2020'!AS13/'EU Ref Scenario 2020'!AR13</f>
        <v>1</v>
      </c>
      <c r="AT13" s="11">
        <f>'EU Ref Scenario 2020'!AT13/'EU Ref Scenario 2020'!AS13</f>
        <v>1</v>
      </c>
      <c r="AU13" s="11">
        <f>'EU Ref Scenario 2020'!AU13/'EU Ref Scenario 2020'!AT13</f>
        <v>1</v>
      </c>
      <c r="AV13" s="11">
        <f>'EU Ref Scenario 2020'!AV13/'EU Ref Scenario 2020'!AU13</f>
        <v>1</v>
      </c>
      <c r="AW13" s="11">
        <f>'EU Ref Scenario 2020'!AW13/'EU Ref Scenario 2020'!AV13</f>
        <v>1</v>
      </c>
      <c r="AX13" s="11">
        <f>'EU Ref Scenario 2020'!AX13/'EU Ref Scenario 2020'!AW13</f>
        <v>1</v>
      </c>
    </row>
    <row r="14" spans="1:50" x14ac:dyDescent="0.3">
      <c r="A14" t="s">
        <v>1396</v>
      </c>
      <c r="B14" t="s">
        <v>1435</v>
      </c>
      <c r="F14" s="11">
        <f>'EU Ref Scenario 2020'!F14/'EU Ref Scenario 2020'!E14</f>
        <v>0.97941315750707458</v>
      </c>
      <c r="G14" s="11">
        <f>'EU Ref Scenario 2020'!G14/'EU Ref Scenario 2020'!F14</f>
        <v>0.97898043094976828</v>
      </c>
      <c r="H14" s="11">
        <f>'EU Ref Scenario 2020'!H14/'EU Ref Scenario 2020'!G14</f>
        <v>0.97852912235453027</v>
      </c>
      <c r="I14" s="11">
        <f>'EU Ref Scenario 2020'!I14/'EU Ref Scenario 2020'!H14</f>
        <v>0.97805800854060776</v>
      </c>
      <c r="J14" s="11">
        <f>'EU Ref Scenario 2020'!J14/'EU Ref Scenario 2020'!I14</f>
        <v>0.97756575656270894</v>
      </c>
      <c r="K14" s="11">
        <f>'EU Ref Scenario 2020'!K14/'EU Ref Scenario 2020'!J14</f>
        <v>1.0267353133105497</v>
      </c>
      <c r="L14" s="11">
        <f>'EU Ref Scenario 2020'!L14/'EU Ref Scenario 2020'!K14</f>
        <v>1.026039148516618</v>
      </c>
      <c r="M14" s="11">
        <f>'EU Ref Scenario 2020'!M14/'EU Ref Scenario 2020'!L14</f>
        <v>1.0253783187067118</v>
      </c>
      <c r="N14" s="11">
        <f>'EU Ref Scenario 2020'!N14/'EU Ref Scenario 2020'!M14</f>
        <v>1.0247502002370412</v>
      </c>
      <c r="O14" s="11">
        <f>'EU Ref Scenario 2020'!O14/'EU Ref Scenario 2020'!N14</f>
        <v>1.0241524229332342</v>
      </c>
      <c r="P14" s="11">
        <f>'EU Ref Scenario 2020'!P14/'EU Ref Scenario 2020'!O14</f>
        <v>0.99652222904249843</v>
      </c>
      <c r="Q14" s="11">
        <f>'EU Ref Scenario 2020'!Q14/'EU Ref Scenario 2020'!P14</f>
        <v>0.99651009194160856</v>
      </c>
      <c r="R14" s="11">
        <f>'EU Ref Scenario 2020'!R14/'EU Ref Scenario 2020'!Q14</f>
        <v>0.99649786982930433</v>
      </c>
      <c r="S14" s="11">
        <f>'EU Ref Scenario 2020'!S14/'EU Ref Scenario 2020'!R14</f>
        <v>0.9964855618092836</v>
      </c>
      <c r="T14" s="11">
        <f>'EU Ref Scenario 2020'!T14/'EU Ref Scenario 2020'!S14</f>
        <v>0.9964731669725998</v>
      </c>
      <c r="U14" s="11">
        <f>'EU Ref Scenario 2020'!U14/'EU Ref Scenario 2020'!T14</f>
        <v>0.98863401383552962</v>
      </c>
      <c r="V14" s="11">
        <f>'EU Ref Scenario 2020'!V14/'EU Ref Scenario 2020'!U14</f>
        <v>0.98850334299102793</v>
      </c>
      <c r="W14" s="11">
        <f>'EU Ref Scenario 2020'!W14/'EU Ref Scenario 2020'!V14</f>
        <v>0.98836963264667843</v>
      </c>
      <c r="X14" s="11">
        <f>'EU Ref Scenario 2020'!X14/'EU Ref Scenario 2020'!W14</f>
        <v>0.98823277550305</v>
      </c>
      <c r="Y14" s="11">
        <f>'EU Ref Scenario 2020'!Y14/'EU Ref Scenario 2020'!X14</f>
        <v>0.98809265915010758</v>
      </c>
      <c r="Z14" s="11">
        <f>'EU Ref Scenario 2020'!Z14/'EU Ref Scenario 2020'!Y14</f>
        <v>1.0064334039627807</v>
      </c>
      <c r="AA14" s="11">
        <f>'EU Ref Scenario 2020'!AA14/'EU Ref Scenario 2020'!Z14</f>
        <v>1.006392279844299</v>
      </c>
      <c r="AB14" s="11">
        <f>'EU Ref Scenario 2020'!AB14/'EU Ref Scenario 2020'!AA14</f>
        <v>1.0063516781401465</v>
      </c>
      <c r="AC14" s="11">
        <f>'EU Ref Scenario 2020'!AC14/'EU Ref Scenario 2020'!AB14</f>
        <v>1.006311588958529</v>
      </c>
      <c r="AD14" s="11">
        <f>'EU Ref Scenario 2020'!AD14/'EU Ref Scenario 2020'!AC14</f>
        <v>1.0062720026558185</v>
      </c>
      <c r="AE14" s="11">
        <f>'EU Ref Scenario 2020'!AE14/'EU Ref Scenario 2020'!AD14</f>
        <v>1.0108430938751001</v>
      </c>
      <c r="AF14" s="11">
        <f>'EU Ref Scenario 2020'!AF14/'EU Ref Scenario 2020'!AE14</f>
        <v>1.0107267823669179</v>
      </c>
      <c r="AG14" s="11">
        <f>'EU Ref Scenario 2020'!AG14/'EU Ref Scenario 2020'!AF14</f>
        <v>1.0106129396727748</v>
      </c>
      <c r="AH14" s="11">
        <f>'EU Ref Scenario 2020'!AH14/'EU Ref Scenario 2020'!AG14</f>
        <v>1.0105014880140077</v>
      </c>
      <c r="AI14" s="11">
        <f>'EU Ref Scenario 2020'!AI14/'EU Ref Scenario 2020'!AH14</f>
        <v>1.0103923528451668</v>
      </c>
      <c r="AJ14" s="11">
        <f>'EU Ref Scenario 2020'!AJ14/'EU Ref Scenario 2020'!AI14</f>
        <v>1.0104657208310468</v>
      </c>
      <c r="AK14" s="11">
        <f>'EU Ref Scenario 2020'!AK14/'EU Ref Scenario 2020'!AJ14</f>
        <v>1.0103573239698218</v>
      </c>
      <c r="AL14" s="11">
        <f>'EU Ref Scenario 2020'!AL14/'EU Ref Scenario 2020'!AK14</f>
        <v>1.010251149493455</v>
      </c>
      <c r="AM14" s="11">
        <f>'EU Ref Scenario 2020'!AM14/'EU Ref Scenario 2020'!AL14</f>
        <v>1.0101471297494637</v>
      </c>
      <c r="AN14" s="11">
        <f>'EU Ref Scenario 2020'!AN14/'EU Ref Scenario 2020'!AM14</f>
        <v>1.0100451998036966</v>
      </c>
      <c r="AO14" s="11">
        <f>'EU Ref Scenario 2020'!AO14/'EU Ref Scenario 2020'!AN14</f>
        <v>1</v>
      </c>
      <c r="AP14" s="11">
        <f>'EU Ref Scenario 2020'!AP14/'EU Ref Scenario 2020'!AO14</f>
        <v>1</v>
      </c>
      <c r="AQ14" s="11">
        <f>'EU Ref Scenario 2020'!AQ14/'EU Ref Scenario 2020'!AP14</f>
        <v>1</v>
      </c>
      <c r="AR14" s="11">
        <f>'EU Ref Scenario 2020'!AR14/'EU Ref Scenario 2020'!AQ14</f>
        <v>1</v>
      </c>
      <c r="AS14" s="11">
        <f>'EU Ref Scenario 2020'!AS14/'EU Ref Scenario 2020'!AR14</f>
        <v>1</v>
      </c>
      <c r="AT14" s="11">
        <f>'EU Ref Scenario 2020'!AT14/'EU Ref Scenario 2020'!AS14</f>
        <v>1</v>
      </c>
      <c r="AU14" s="11">
        <f>'EU Ref Scenario 2020'!AU14/'EU Ref Scenario 2020'!AT14</f>
        <v>1</v>
      </c>
      <c r="AV14" s="11">
        <f>'EU Ref Scenario 2020'!AV14/'EU Ref Scenario 2020'!AU14</f>
        <v>1</v>
      </c>
      <c r="AW14" s="11">
        <f>'EU Ref Scenario 2020'!AW14/'EU Ref Scenario 2020'!AV14</f>
        <v>1</v>
      </c>
      <c r="AX14" s="11">
        <f>'EU Ref Scenario 2020'!AX14/'EU Ref Scenario 2020'!AW14</f>
        <v>1</v>
      </c>
    </row>
    <row r="15" spans="1:50" x14ac:dyDescent="0.3">
      <c r="A15" t="s">
        <v>1398</v>
      </c>
      <c r="B15" t="s">
        <v>1434</v>
      </c>
      <c r="F15" s="11">
        <f>'EU Ref Scenario 2020'!F15/'EU Ref Scenario 2020'!E15</f>
        <v>0.98254521058008082</v>
      </c>
      <c r="G15" s="11">
        <f>'EU Ref Scenario 2020'!G15/'EU Ref Scenario 2020'!F15</f>
        <v>0.98223512848878058</v>
      </c>
      <c r="H15" s="11">
        <f>'EU Ref Scenario 2020'!H15/'EU Ref Scenario 2020'!G15</f>
        <v>0.98191383000264754</v>
      </c>
      <c r="I15" s="11">
        <f>'EU Ref Scenario 2020'!I15/'EU Ref Scenario 2020'!H15</f>
        <v>0.98158069532710046</v>
      </c>
      <c r="J15" s="11">
        <f>'EU Ref Scenario 2020'!J15/'EU Ref Scenario 2020'!I15</f>
        <v>0.98123505814592094</v>
      </c>
      <c r="K15" s="11">
        <f>'EU Ref Scenario 2020'!K15/'EU Ref Scenario 2020'!J15</f>
        <v>1.0208455183596503</v>
      </c>
      <c r="L15" s="11">
        <f>'EU Ref Scenario 2020'!L15/'EU Ref Scenario 2020'!K15</f>
        <v>1.0204198558790227</v>
      </c>
      <c r="M15" s="11">
        <f>'EU Ref Scenario 2020'!M15/'EU Ref Scenario 2020'!L15</f>
        <v>1.0200112294575376</v>
      </c>
      <c r="N15" s="11">
        <f>'EU Ref Scenario 2020'!N15/'EU Ref Scenario 2020'!M15</f>
        <v>1.0196186364224442</v>
      </c>
      <c r="O15" s="11">
        <f>'EU Ref Scenario 2020'!O15/'EU Ref Scenario 2020'!N15</f>
        <v>1.0192411512713031</v>
      </c>
      <c r="P15" s="11">
        <f>'EU Ref Scenario 2020'!P15/'EU Ref Scenario 2020'!O15</f>
        <v>1.006378345501163</v>
      </c>
      <c r="Q15" s="11">
        <f>'EU Ref Scenario 2020'!Q15/'EU Ref Scenario 2020'!P15</f>
        <v>1.0063379200572788</v>
      </c>
      <c r="R15" s="11">
        <f>'EU Ref Scenario 2020'!R15/'EU Ref Scenario 2020'!Q15</f>
        <v>1.0062980038125944</v>
      </c>
      <c r="S15" s="11">
        <f>'EU Ref Scenario 2020'!S15/'EU Ref Scenario 2020'!R15</f>
        <v>1.0062585872065062</v>
      </c>
      <c r="T15" s="11">
        <f>'EU Ref Scenario 2020'!T15/'EU Ref Scenario 2020'!S15</f>
        <v>1.006219660916267</v>
      </c>
      <c r="U15" s="11">
        <f>'EU Ref Scenario 2020'!U15/'EU Ref Scenario 2020'!T15</f>
        <v>0.98462892537725477</v>
      </c>
      <c r="V15" s="11">
        <f>'EU Ref Scenario 2020'!V15/'EU Ref Scenario 2020'!U15</f>
        <v>0.98438896702444945</v>
      </c>
      <c r="W15" s="11">
        <f>'EU Ref Scenario 2020'!W15/'EU Ref Scenario 2020'!V15</f>
        <v>0.98414139786355126</v>
      </c>
      <c r="X15" s="11">
        <f>'EU Ref Scenario 2020'!X15/'EU Ref Scenario 2020'!W15</f>
        <v>0.98388584996944972</v>
      </c>
      <c r="Y15" s="11">
        <f>'EU Ref Scenario 2020'!Y15/'EU Ref Scenario 2020'!X15</f>
        <v>0.98362193131342324</v>
      </c>
      <c r="Z15" s="11">
        <f>'EU Ref Scenario 2020'!Z15/'EU Ref Scenario 2020'!Y15</f>
        <v>0.99526147935811982</v>
      </c>
      <c r="AA15" s="11">
        <f>'EU Ref Scenario 2020'!AA15/'EU Ref Scenario 2020'!Z15</f>
        <v>0.9952389188769406</v>
      </c>
      <c r="AB15" s="11">
        <f>'EU Ref Scenario 2020'!AB15/'EU Ref Scenario 2020'!AA15</f>
        <v>0.9952161425435091</v>
      </c>
      <c r="AC15" s="11">
        <f>'EU Ref Scenario 2020'!AC15/'EU Ref Scenario 2020'!AB15</f>
        <v>0.99519314724511532</v>
      </c>
      <c r="AD15" s="11">
        <f>'EU Ref Scenario 2020'!AD15/'EU Ref Scenario 2020'!AC15</f>
        <v>0.99516992980891084</v>
      </c>
      <c r="AE15" s="11">
        <f>'EU Ref Scenario 2020'!AE15/'EU Ref Scenario 2020'!AD15</f>
        <v>1.0020959472714397</v>
      </c>
      <c r="AF15" s="11">
        <f>'EU Ref Scenario 2020'!AF15/'EU Ref Scenario 2020'!AE15</f>
        <v>1.0020915634647027</v>
      </c>
      <c r="AG15" s="11">
        <f>'EU Ref Scenario 2020'!AG15/'EU Ref Scenario 2020'!AF15</f>
        <v>1.0020871979577108</v>
      </c>
      <c r="AH15" s="11">
        <f>'EU Ref Scenario 2020'!AH15/'EU Ref Scenario 2020'!AG15</f>
        <v>1.0020828506361168</v>
      </c>
      <c r="AI15" s="11">
        <f>'EU Ref Scenario 2020'!AI15/'EU Ref Scenario 2020'!AH15</f>
        <v>1.0020785213865244</v>
      </c>
      <c r="AJ15" s="11">
        <f>'EU Ref Scenario 2020'!AJ15/'EU Ref Scenario 2020'!AI15</f>
        <v>0.99750744190172458</v>
      </c>
      <c r="AK15" s="11">
        <f>'EU Ref Scenario 2020'!AK15/'EU Ref Scenario 2020'!AJ15</f>
        <v>0.99750121353127608</v>
      </c>
      <c r="AL15" s="11">
        <f>'EU Ref Scenario 2020'!AL15/'EU Ref Scenario 2020'!AK15</f>
        <v>0.99749495395611809</v>
      </c>
      <c r="AM15" s="11">
        <f>'EU Ref Scenario 2020'!AM15/'EU Ref Scenario 2020'!AL15</f>
        <v>0.99748866294115401</v>
      </c>
      <c r="AN15" s="11">
        <f>'EU Ref Scenario 2020'!AN15/'EU Ref Scenario 2020'!AM15</f>
        <v>0.99748234024891935</v>
      </c>
      <c r="AO15" s="11">
        <f>'EU Ref Scenario 2020'!AO15/'EU Ref Scenario 2020'!AN15</f>
        <v>1</v>
      </c>
      <c r="AP15" s="11">
        <f>'EU Ref Scenario 2020'!AP15/'EU Ref Scenario 2020'!AO15</f>
        <v>1</v>
      </c>
      <c r="AQ15" s="11">
        <f>'EU Ref Scenario 2020'!AQ15/'EU Ref Scenario 2020'!AP15</f>
        <v>1</v>
      </c>
      <c r="AR15" s="11">
        <f>'EU Ref Scenario 2020'!AR15/'EU Ref Scenario 2020'!AQ15</f>
        <v>1</v>
      </c>
      <c r="AS15" s="11">
        <f>'EU Ref Scenario 2020'!AS15/'EU Ref Scenario 2020'!AR15</f>
        <v>1</v>
      </c>
      <c r="AT15" s="11">
        <f>'EU Ref Scenario 2020'!AT15/'EU Ref Scenario 2020'!AS15</f>
        <v>1</v>
      </c>
      <c r="AU15" s="11">
        <f>'EU Ref Scenario 2020'!AU15/'EU Ref Scenario 2020'!AT15</f>
        <v>1</v>
      </c>
      <c r="AV15" s="11">
        <f>'EU Ref Scenario 2020'!AV15/'EU Ref Scenario 2020'!AU15</f>
        <v>1</v>
      </c>
      <c r="AW15" s="11">
        <f>'EU Ref Scenario 2020'!AW15/'EU Ref Scenario 2020'!AV15</f>
        <v>1</v>
      </c>
      <c r="AX15" s="11">
        <f>'EU Ref Scenario 2020'!AX15/'EU Ref Scenario 2020'!AW15</f>
        <v>1</v>
      </c>
    </row>
    <row r="16" spans="1:50" x14ac:dyDescent="0.3">
      <c r="A16" t="s">
        <v>1398</v>
      </c>
      <c r="B16" t="s">
        <v>1439</v>
      </c>
      <c r="F16" s="11">
        <f>'EU Ref Scenario 2020'!F16/'EU Ref Scenario 2020'!E16</f>
        <v>0.98378117277931676</v>
      </c>
      <c r="G16" s="11">
        <f>'EU Ref Scenario 2020'!G16/'EU Ref Scenario 2020'!F16</f>
        <v>0.98351378571835968</v>
      </c>
      <c r="H16" s="11">
        <f>'EU Ref Scenario 2020'!H16/'EU Ref Scenario 2020'!G16</f>
        <v>0.98323743447114087</v>
      </c>
      <c r="I16" s="11">
        <f>'EU Ref Scenario 2020'!I16/'EU Ref Scenario 2020'!H16</f>
        <v>0.98295166056418992</v>
      </c>
      <c r="J16" s="11">
        <f>'EU Ref Scenario 2020'!J16/'EU Ref Scenario 2020'!I16</f>
        <v>0.98265597371693236</v>
      </c>
      <c r="K16" s="11">
        <f>'EU Ref Scenario 2020'!K16/'EU Ref Scenario 2020'!J16</f>
        <v>1.0142528258754886</v>
      </c>
      <c r="L16" s="11">
        <f>'EU Ref Scenario 2020'!L16/'EU Ref Scenario 2020'!K16</f>
        <v>1.0140525375053167</v>
      </c>
      <c r="M16" s="11">
        <f>'EU Ref Scenario 2020'!M16/'EU Ref Scenario 2020'!L16</f>
        <v>1.013857800247596</v>
      </c>
      <c r="N16" s="11">
        <f>'EU Ref Scenario 2020'!N16/'EU Ref Scenario 2020'!M16</f>
        <v>1.013668386478076</v>
      </c>
      <c r="O16" s="11">
        <f>'EU Ref Scenario 2020'!O16/'EU Ref Scenario 2020'!N16</f>
        <v>1.0134840808497203</v>
      </c>
      <c r="P16" s="11">
        <f>'EU Ref Scenario 2020'!P16/'EU Ref Scenario 2020'!O16</f>
        <v>0.99557728838057002</v>
      </c>
      <c r="Q16" s="11">
        <f>'EU Ref Scenario 2020'!Q16/'EU Ref Scenario 2020'!P16</f>
        <v>0.99555764110828193</v>
      </c>
      <c r="R16" s="11">
        <f>'EU Ref Scenario 2020'!R16/'EU Ref Scenario 2020'!Q16</f>
        <v>0.99553781849660383</v>
      </c>
      <c r="S16" s="11">
        <f>'EU Ref Scenario 2020'!S16/'EU Ref Scenario 2020'!R16</f>
        <v>0.9955178181878267</v>
      </c>
      <c r="T16" s="11">
        <f>'EU Ref Scenario 2020'!T16/'EU Ref Scenario 2020'!S16</f>
        <v>0.99549763778178069</v>
      </c>
      <c r="U16" s="11">
        <f>'EU Ref Scenario 2020'!U16/'EU Ref Scenario 2020'!T16</f>
        <v>0.97999157792428915</v>
      </c>
      <c r="V16" s="11">
        <f>'EU Ref Scenario 2020'!V16/'EU Ref Scenario 2020'!U16</f>
        <v>0.97958306731769018</v>
      </c>
      <c r="W16" s="11">
        <f>'EU Ref Scenario 2020'!W16/'EU Ref Scenario 2020'!V16</f>
        <v>0.97915752796930655</v>
      </c>
      <c r="X16" s="11">
        <f>'EU Ref Scenario 2020'!X16/'EU Ref Scenario 2020'!W16</f>
        <v>0.97871387245122954</v>
      </c>
      <c r="Y16" s="11">
        <f>'EU Ref Scenario 2020'!Y16/'EU Ref Scenario 2020'!X16</f>
        <v>0.9782509187333186</v>
      </c>
      <c r="Z16" s="11">
        <f>'EU Ref Scenario 2020'!Z16/'EU Ref Scenario 2020'!Y16</f>
        <v>0.99339741397819981</v>
      </c>
      <c r="AA16" s="11">
        <f>'EU Ref Scenario 2020'!AA16/'EU Ref Scenario 2020'!Z16</f>
        <v>0.99335353008887028</v>
      </c>
      <c r="AB16" s="11">
        <f>'EU Ref Scenario 2020'!AB16/'EU Ref Scenario 2020'!AA16</f>
        <v>0.9933090589505077</v>
      </c>
      <c r="AC16" s="11">
        <f>'EU Ref Scenario 2020'!AC16/'EU Ref Scenario 2020'!AB16</f>
        <v>0.99326398869596366</v>
      </c>
      <c r="AD16" s="11">
        <f>'EU Ref Scenario 2020'!AD16/'EU Ref Scenario 2020'!AC16</f>
        <v>0.99321830713617221</v>
      </c>
      <c r="AE16" s="11">
        <f>'EU Ref Scenario 2020'!AE16/'EU Ref Scenario 2020'!AD16</f>
        <v>0.99808804868351364</v>
      </c>
      <c r="AF16" s="11">
        <f>'EU Ref Scenario 2020'!AF16/'EU Ref Scenario 2020'!AE16</f>
        <v>0.99808438612303974</v>
      </c>
      <c r="AG16" s="11">
        <f>'EU Ref Scenario 2020'!AG16/'EU Ref Scenario 2020'!AF16</f>
        <v>0.99808070950353078</v>
      </c>
      <c r="AH16" s="11">
        <f>'EU Ref Scenario 2020'!AH16/'EU Ref Scenario 2020'!AG16</f>
        <v>0.99807701874388099</v>
      </c>
      <c r="AI16" s="11">
        <f>'EU Ref Scenario 2020'!AI16/'EU Ref Scenario 2020'!AH16</f>
        <v>0.99807331376235975</v>
      </c>
      <c r="AJ16" s="11">
        <f>'EU Ref Scenario 2020'!AJ16/'EU Ref Scenario 2020'!AI16</f>
        <v>0.99684677315731429</v>
      </c>
      <c r="AK16" s="11">
        <f>'EU Ref Scenario 2020'!AK16/'EU Ref Scenario 2020'!AJ16</f>
        <v>0.9968367988665916</v>
      </c>
      <c r="AL16" s="11">
        <f>'EU Ref Scenario 2020'!AL16/'EU Ref Scenario 2020'!AK16</f>
        <v>0.99682676127425773</v>
      </c>
      <c r="AM16" s="11">
        <f>'EU Ref Scenario 2020'!AM16/'EU Ref Scenario 2020'!AL16</f>
        <v>0.99681665977578104</v>
      </c>
      <c r="AN16" s="11">
        <f>'EU Ref Scenario 2020'!AN16/'EU Ref Scenario 2020'!AM16</f>
        <v>0.99680649375890718</v>
      </c>
      <c r="AO16" s="11">
        <f>'EU Ref Scenario 2020'!AO16/'EU Ref Scenario 2020'!AN16</f>
        <v>1</v>
      </c>
      <c r="AP16" s="11">
        <f>'EU Ref Scenario 2020'!AP16/'EU Ref Scenario 2020'!AO16</f>
        <v>1</v>
      </c>
      <c r="AQ16" s="11">
        <f>'EU Ref Scenario 2020'!AQ16/'EU Ref Scenario 2020'!AP16</f>
        <v>1</v>
      </c>
      <c r="AR16" s="11">
        <f>'EU Ref Scenario 2020'!AR16/'EU Ref Scenario 2020'!AQ16</f>
        <v>1</v>
      </c>
      <c r="AS16" s="11">
        <f>'EU Ref Scenario 2020'!AS16/'EU Ref Scenario 2020'!AR16</f>
        <v>1</v>
      </c>
      <c r="AT16" s="11">
        <f>'EU Ref Scenario 2020'!AT16/'EU Ref Scenario 2020'!AS16</f>
        <v>1</v>
      </c>
      <c r="AU16" s="11">
        <f>'EU Ref Scenario 2020'!AU16/'EU Ref Scenario 2020'!AT16</f>
        <v>1</v>
      </c>
      <c r="AV16" s="11">
        <f>'EU Ref Scenario 2020'!AV16/'EU Ref Scenario 2020'!AU16</f>
        <v>1</v>
      </c>
      <c r="AW16" s="11">
        <f>'EU Ref Scenario 2020'!AW16/'EU Ref Scenario 2020'!AV16</f>
        <v>1</v>
      </c>
      <c r="AX16" s="11">
        <f>'EU Ref Scenario 2020'!AX16/'EU Ref Scenario 2020'!AW16</f>
        <v>1</v>
      </c>
    </row>
    <row r="17" spans="1:50" x14ac:dyDescent="0.3">
      <c r="A17" t="s">
        <v>1398</v>
      </c>
      <c r="B17" t="s">
        <v>1435</v>
      </c>
      <c r="F17" s="11">
        <f>'EU Ref Scenario 2020'!F17/'EU Ref Scenario 2020'!E17</f>
        <v>0.9796685534330456</v>
      </c>
      <c r="G17" s="11">
        <f>'EU Ref Scenario 2020'!G17/'EU Ref Scenario 2020'!F17</f>
        <v>0.9792466069307757</v>
      </c>
      <c r="H17" s="11">
        <f>'EU Ref Scenario 2020'!H17/'EU Ref Scenario 2020'!G17</f>
        <v>0.97880677561470342</v>
      </c>
      <c r="I17" s="11">
        <f>'EU Ref Scenario 2020'!I17/'EU Ref Scenario 2020'!H17</f>
        <v>0.97834789775337738</v>
      </c>
      <c r="J17" s="11">
        <f>'EU Ref Scenario 2020'!J17/'EU Ref Scenario 2020'!I17</f>
        <v>0.97786870877287779</v>
      </c>
      <c r="K17" s="11">
        <f>'EU Ref Scenario 2020'!K17/'EU Ref Scenario 2020'!J17</f>
        <v>1.0365410012319802</v>
      </c>
      <c r="L17" s="11">
        <f>'EU Ref Scenario 2020'!L17/'EU Ref Scenario 2020'!K17</f>
        <v>1.0352528276146813</v>
      </c>
      <c r="M17" s="11">
        <f>'EU Ref Scenario 2020'!M17/'EU Ref Scenario 2020'!L17</f>
        <v>1.0340523847647025</v>
      </c>
      <c r="N17" s="11">
        <f>'EU Ref Scenario 2020'!N17/'EU Ref Scenario 2020'!M17</f>
        <v>1.0329310054949015</v>
      </c>
      <c r="O17" s="11">
        <f>'EU Ref Scenario 2020'!O17/'EU Ref Scenario 2020'!N17</f>
        <v>1.0318811278969438</v>
      </c>
      <c r="P17" s="11">
        <f>'EU Ref Scenario 2020'!P17/'EU Ref Scenario 2020'!O17</f>
        <v>1.029669888139884</v>
      </c>
      <c r="Q17" s="11">
        <f>'EU Ref Scenario 2020'!Q17/'EU Ref Scenario 2020'!P17</f>
        <v>1.0288149517448579</v>
      </c>
      <c r="R17" s="11">
        <f>'EU Ref Scenario 2020'!R17/'EU Ref Scenario 2020'!Q17</f>
        <v>1.0280079053050193</v>
      </c>
      <c r="S17" s="11">
        <f>'EU Ref Scenario 2020'!S17/'EU Ref Scenario 2020'!R17</f>
        <v>1.0272448345586498</v>
      </c>
      <c r="T17" s="11">
        <f>'EU Ref Scenario 2020'!T17/'EU Ref Scenario 2020'!S17</f>
        <v>1.0265222405039938</v>
      </c>
      <c r="U17" s="11">
        <f>'EU Ref Scenario 2020'!U17/'EU Ref Scenario 2020'!T17</f>
        <v>0.99314453980152106</v>
      </c>
      <c r="V17" s="11">
        <f>'EU Ref Scenario 2020'!V17/'EU Ref Scenario 2020'!U17</f>
        <v>0.9930972180546358</v>
      </c>
      <c r="W17" s="11">
        <f>'EU Ref Scenario 2020'!W17/'EU Ref Scenario 2020'!V17</f>
        <v>0.99304923846339443</v>
      </c>
      <c r="X17" s="11">
        <f>'EU Ref Scenario 2020'!X17/'EU Ref Scenario 2020'!W17</f>
        <v>0.99300058721422424</v>
      </c>
      <c r="Y17" s="11">
        <f>'EU Ref Scenario 2020'!Y17/'EU Ref Scenario 2020'!X17</f>
        <v>0.9929512501040787</v>
      </c>
      <c r="Z17" s="11">
        <f>'EU Ref Scenario 2020'!Z17/'EU Ref Scenario 2020'!Y17</f>
        <v>0.9984513806327544</v>
      </c>
      <c r="AA17" s="11">
        <f>'EU Ref Scenario 2020'!AA17/'EU Ref Scenario 2020'!Z17</f>
        <v>0.99844897869111648</v>
      </c>
      <c r="AB17" s="11">
        <f>'EU Ref Scenario 2020'!AB17/'EU Ref Scenario 2020'!AA17</f>
        <v>0.99844656928697872</v>
      </c>
      <c r="AC17" s="11">
        <f>'EU Ref Scenario 2020'!AC17/'EU Ref Scenario 2020'!AB17</f>
        <v>0.99844415238550954</v>
      </c>
      <c r="AD17" s="11">
        <f>'EU Ref Scenario 2020'!AD17/'EU Ref Scenario 2020'!AC17</f>
        <v>0.99844172795166042</v>
      </c>
      <c r="AE17" s="11">
        <f>'EU Ref Scenario 2020'!AE17/'EU Ref Scenario 2020'!AD17</f>
        <v>1.00877983834191</v>
      </c>
      <c r="AF17" s="11">
        <f>'EU Ref Scenario 2020'!AF17/'EU Ref Scenario 2020'!AE17</f>
        <v>1.0087034236889003</v>
      </c>
      <c r="AG17" s="11">
        <f>'EU Ref Scenario 2020'!AG17/'EU Ref Scenario 2020'!AF17</f>
        <v>1.0086283276972248</v>
      </c>
      <c r="AH17" s="11">
        <f>'EU Ref Scenario 2020'!AH17/'EU Ref Scenario 2020'!AG17</f>
        <v>1.0085545165253527</v>
      </c>
      <c r="AI17" s="11">
        <f>'EU Ref Scenario 2020'!AI17/'EU Ref Scenario 2020'!AH17</f>
        <v>1.0084819574799233</v>
      </c>
      <c r="AJ17" s="11">
        <f>'EU Ref Scenario 2020'!AJ17/'EU Ref Scenario 2020'!AI17</f>
        <v>0.99855280247817702</v>
      </c>
      <c r="AK17" s="11">
        <f>'EU Ref Scenario 2020'!AK17/'EU Ref Scenario 2020'!AJ17</f>
        <v>0.9985507050621345</v>
      </c>
      <c r="AL17" s="11">
        <f>'EU Ref Scenario 2020'!AL17/'EU Ref Scenario 2020'!AK17</f>
        <v>0.9985486015577193</v>
      </c>
      <c r="AM17" s="11">
        <f>'EU Ref Scenario 2020'!AM17/'EU Ref Scenario 2020'!AL17</f>
        <v>0.99854649193838285</v>
      </c>
      <c r="AN17" s="11">
        <f>'EU Ref Scenario 2020'!AN17/'EU Ref Scenario 2020'!AM17</f>
        <v>0.99854437617742209</v>
      </c>
      <c r="AO17" s="11">
        <f>'EU Ref Scenario 2020'!AO17/'EU Ref Scenario 2020'!AN17</f>
        <v>1</v>
      </c>
      <c r="AP17" s="11">
        <f>'EU Ref Scenario 2020'!AP17/'EU Ref Scenario 2020'!AO17</f>
        <v>1</v>
      </c>
      <c r="AQ17" s="11">
        <f>'EU Ref Scenario 2020'!AQ17/'EU Ref Scenario 2020'!AP17</f>
        <v>1</v>
      </c>
      <c r="AR17" s="11">
        <f>'EU Ref Scenario 2020'!AR17/'EU Ref Scenario 2020'!AQ17</f>
        <v>1</v>
      </c>
      <c r="AS17" s="11">
        <f>'EU Ref Scenario 2020'!AS17/'EU Ref Scenario 2020'!AR17</f>
        <v>1</v>
      </c>
      <c r="AT17" s="11">
        <f>'EU Ref Scenario 2020'!AT17/'EU Ref Scenario 2020'!AS17</f>
        <v>1</v>
      </c>
      <c r="AU17" s="11">
        <f>'EU Ref Scenario 2020'!AU17/'EU Ref Scenario 2020'!AT17</f>
        <v>1</v>
      </c>
      <c r="AV17" s="11">
        <f>'EU Ref Scenario 2020'!AV17/'EU Ref Scenario 2020'!AU17</f>
        <v>1</v>
      </c>
      <c r="AW17" s="11">
        <f>'EU Ref Scenario 2020'!AW17/'EU Ref Scenario 2020'!AV17</f>
        <v>1</v>
      </c>
      <c r="AX17" s="11">
        <f>'EU Ref Scenario 2020'!AX17/'EU Ref Scenario 2020'!AW17</f>
        <v>1</v>
      </c>
    </row>
    <row r="18" spans="1:50" x14ac:dyDescent="0.3">
      <c r="A18" t="s">
        <v>1400</v>
      </c>
      <c r="B18" t="s">
        <v>1434</v>
      </c>
      <c r="F18" s="11">
        <f>'EU Ref Scenario 2020'!F18/'EU Ref Scenario 2020'!E18</f>
        <v>1.0096192679534448</v>
      </c>
      <c r="G18" s="11">
        <f>'EU Ref Scenario 2020'!G18/'EU Ref Scenario 2020'!F18</f>
        <v>1.0095276192311025</v>
      </c>
      <c r="H18" s="11">
        <f>'EU Ref Scenario 2020'!H18/'EU Ref Scenario 2020'!G18</f>
        <v>1.0094377004151298</v>
      </c>
      <c r="I18" s="11">
        <f>'EU Ref Scenario 2020'!I18/'EU Ref Scenario 2020'!H18</f>
        <v>1.0093494629844404</v>
      </c>
      <c r="J18" s="11">
        <f>'EU Ref Scenario 2020'!J18/'EU Ref Scenario 2020'!I18</f>
        <v>1.0092628602157236</v>
      </c>
      <c r="K18" s="11">
        <f>'EU Ref Scenario 2020'!K18/'EU Ref Scenario 2020'!J18</f>
        <v>1.0118959848557574</v>
      </c>
      <c r="L18" s="11">
        <f>'EU Ref Scenario 2020'!L18/'EU Ref Scenario 2020'!K18</f>
        <v>1.0117561340629819</v>
      </c>
      <c r="M18" s="11">
        <f>'EU Ref Scenario 2020'!M18/'EU Ref Scenario 2020'!L18</f>
        <v>1.0116195332720861</v>
      </c>
      <c r="N18" s="11">
        <f>'EU Ref Scenario 2020'!N18/'EU Ref Scenario 2020'!M18</f>
        <v>1.0114860704938176</v>
      </c>
      <c r="O18" s="11">
        <f>'EU Ref Scenario 2020'!O18/'EU Ref Scenario 2020'!N18</f>
        <v>1.0113556388257623</v>
      </c>
      <c r="P18" s="11">
        <f>'EU Ref Scenario 2020'!P18/'EU Ref Scenario 2020'!O18</f>
        <v>0.98338496225240524</v>
      </c>
      <c r="Q18" s="11">
        <f>'EU Ref Scenario 2020'!Q18/'EU Ref Scenario 2020'!P18</f>
        <v>0.98310423853793871</v>
      </c>
      <c r="R18" s="11">
        <f>'EU Ref Scenario 2020'!R18/'EU Ref Scenario 2020'!Q18</f>
        <v>0.98281386571256324</v>
      </c>
      <c r="S18" s="11">
        <f>'EU Ref Scenario 2020'!S18/'EU Ref Scenario 2020'!R18</f>
        <v>0.98251333758404358</v>
      </c>
      <c r="T18" s="11">
        <f>'EU Ref Scenario 2020'!T18/'EU Ref Scenario 2020'!S18</f>
        <v>0.98220211192353346</v>
      </c>
      <c r="U18" s="11">
        <f>'EU Ref Scenario 2020'!U18/'EU Ref Scenario 2020'!T18</f>
        <v>1.0014418606015199</v>
      </c>
      <c r="V18" s="11">
        <f>'EU Ref Scenario 2020'!V18/'EU Ref Scenario 2020'!U18</f>
        <v>1.0014397846327832</v>
      </c>
      <c r="W18" s="11">
        <f>'EU Ref Scenario 2020'!W18/'EU Ref Scenario 2020'!V18</f>
        <v>1.0014377146333477</v>
      </c>
      <c r="X18" s="11">
        <f>'EU Ref Scenario 2020'!X18/'EU Ref Scenario 2020'!W18</f>
        <v>1.0014356505775042</v>
      </c>
      <c r="Y18" s="11">
        <f>'EU Ref Scenario 2020'!Y18/'EU Ref Scenario 2020'!X18</f>
        <v>1.0014335924396902</v>
      </c>
      <c r="Z18" s="11">
        <f>'EU Ref Scenario 2020'!Z18/'EU Ref Scenario 2020'!Y18</f>
        <v>1.0031045980885736</v>
      </c>
      <c r="AA18" s="11">
        <f>'EU Ref Scenario 2020'!AA18/'EU Ref Scenario 2020'!Z18</f>
        <v>1.0030949893904277</v>
      </c>
      <c r="AB18" s="11">
        <f>'EU Ref Scenario 2020'!AB18/'EU Ref Scenario 2020'!AA18</f>
        <v>1.0030854399864051</v>
      </c>
      <c r="AC18" s="11">
        <f>'EU Ref Scenario 2020'!AC18/'EU Ref Scenario 2020'!AB18</f>
        <v>1.0030759493293482</v>
      </c>
      <c r="AD18" s="11">
        <f>'EU Ref Scenario 2020'!AD18/'EU Ref Scenario 2020'!AC18</f>
        <v>1.0030665168788113</v>
      </c>
      <c r="AE18" s="11">
        <f>'EU Ref Scenario 2020'!AE18/'EU Ref Scenario 2020'!AD18</f>
        <v>1.0108619548396374</v>
      </c>
      <c r="AF18" s="11">
        <f>'EU Ref Scenario 2020'!AF18/'EU Ref Scenario 2020'!AE18</f>
        <v>1.0107452405223425</v>
      </c>
      <c r="AG18" s="11">
        <f>'EU Ref Scenario 2020'!AG18/'EU Ref Scenario 2020'!AF18</f>
        <v>1.0106310077866798</v>
      </c>
      <c r="AH18" s="11">
        <f>'EU Ref Scenario 2020'!AH18/'EU Ref Scenario 2020'!AG18</f>
        <v>1.0105191783200498</v>
      </c>
      <c r="AI18" s="11">
        <f>'EU Ref Scenario 2020'!AI18/'EU Ref Scenario 2020'!AH18</f>
        <v>1.0104096770706892</v>
      </c>
      <c r="AJ18" s="11">
        <f>'EU Ref Scenario 2020'!AJ18/'EU Ref Scenario 2020'!AI18</f>
        <v>0.9971510896228325</v>
      </c>
      <c r="AK18" s="11">
        <f>'EU Ref Scenario 2020'!AK18/'EU Ref Scenario 2020'!AJ18</f>
        <v>0.99714295014384924</v>
      </c>
      <c r="AL18" s="11">
        <f>'EU Ref Scenario 2020'!AL18/'EU Ref Scenario 2020'!AK18</f>
        <v>0.99713476402180989</v>
      </c>
      <c r="AM18" s="11">
        <f>'EU Ref Scenario 2020'!AM18/'EU Ref Scenario 2020'!AL18</f>
        <v>0.99712653085463232</v>
      </c>
      <c r="AN18" s="11">
        <f>'EU Ref Scenario 2020'!AN18/'EU Ref Scenario 2020'!AM18</f>
        <v>0.99711825023559952</v>
      </c>
      <c r="AO18" s="11">
        <f>'EU Ref Scenario 2020'!AO18/'EU Ref Scenario 2020'!AN18</f>
        <v>1</v>
      </c>
      <c r="AP18" s="11">
        <f>'EU Ref Scenario 2020'!AP18/'EU Ref Scenario 2020'!AO18</f>
        <v>1</v>
      </c>
      <c r="AQ18" s="11">
        <f>'EU Ref Scenario 2020'!AQ18/'EU Ref Scenario 2020'!AP18</f>
        <v>1</v>
      </c>
      <c r="AR18" s="11">
        <f>'EU Ref Scenario 2020'!AR18/'EU Ref Scenario 2020'!AQ18</f>
        <v>1</v>
      </c>
      <c r="AS18" s="11">
        <f>'EU Ref Scenario 2020'!AS18/'EU Ref Scenario 2020'!AR18</f>
        <v>1</v>
      </c>
      <c r="AT18" s="11">
        <f>'EU Ref Scenario 2020'!AT18/'EU Ref Scenario 2020'!AS18</f>
        <v>1</v>
      </c>
      <c r="AU18" s="11">
        <f>'EU Ref Scenario 2020'!AU18/'EU Ref Scenario 2020'!AT18</f>
        <v>1</v>
      </c>
      <c r="AV18" s="11">
        <f>'EU Ref Scenario 2020'!AV18/'EU Ref Scenario 2020'!AU18</f>
        <v>1</v>
      </c>
      <c r="AW18" s="11">
        <f>'EU Ref Scenario 2020'!AW18/'EU Ref Scenario 2020'!AV18</f>
        <v>1</v>
      </c>
      <c r="AX18" s="11">
        <f>'EU Ref Scenario 2020'!AX18/'EU Ref Scenario 2020'!AW18</f>
        <v>1</v>
      </c>
    </row>
    <row r="19" spans="1:50" x14ac:dyDescent="0.3">
      <c r="A19" t="s">
        <v>1400</v>
      </c>
      <c r="B19" t="s">
        <v>1439</v>
      </c>
      <c r="F19" s="11">
        <f>'EU Ref Scenario 2020'!F19/'EU Ref Scenario 2020'!E19</f>
        <v>0.99679450970757044</v>
      </c>
      <c r="G19" s="11">
        <f>'EU Ref Scenario 2020'!G19/'EU Ref Scenario 2020'!F19</f>
        <v>0.99678420149668567</v>
      </c>
      <c r="H19" s="11">
        <f>'EU Ref Scenario 2020'!H19/'EU Ref Scenario 2020'!G19</f>
        <v>0.996773826773653</v>
      </c>
      <c r="I19" s="11">
        <f>'EU Ref Scenario 2020'!I19/'EU Ref Scenario 2020'!H19</f>
        <v>0.9967633848926496</v>
      </c>
      <c r="J19" s="11">
        <f>'EU Ref Scenario 2020'!J19/'EU Ref Scenario 2020'!I19</f>
        <v>0.99675287519946509</v>
      </c>
      <c r="K19" s="11">
        <f>'EU Ref Scenario 2020'!K19/'EU Ref Scenario 2020'!J19</f>
        <v>1.0119947120776411</v>
      </c>
      <c r="L19" s="11">
        <f>'EU Ref Scenario 2020'!L19/'EU Ref Scenario 2020'!K19</f>
        <v>1.011852544222307</v>
      </c>
      <c r="M19" s="11">
        <f>'EU Ref Scenario 2020'!M19/'EU Ref Scenario 2020'!L19</f>
        <v>1.0117137069921751</v>
      </c>
      <c r="N19" s="11">
        <f>'EU Ref Scenario 2020'!N19/'EU Ref Scenario 2020'!M19</f>
        <v>1.0115780847004632</v>
      </c>
      <c r="O19" s="11">
        <f>'EU Ref Scenario 2020'!O19/'EU Ref Scenario 2020'!N19</f>
        <v>1.0114455669567928</v>
      </c>
      <c r="P19" s="11">
        <f>'EU Ref Scenario 2020'!P19/'EU Ref Scenario 2020'!O19</f>
        <v>0.98297298844883518</v>
      </c>
      <c r="Q19" s="11">
        <f>'EU Ref Scenario 2020'!Q19/'EU Ref Scenario 2020'!P19</f>
        <v>0.98267804736116493</v>
      </c>
      <c r="R19" s="11">
        <f>'EU Ref Scenario 2020'!R19/'EU Ref Scenario 2020'!Q19</f>
        <v>0.98237270824829093</v>
      </c>
      <c r="S19" s="11">
        <f>'EU Ref Scenario 2020'!S19/'EU Ref Scenario 2020'!R19</f>
        <v>0.98205641137655275</v>
      </c>
      <c r="T19" s="11">
        <f>'EU Ref Scenario 2020'!T19/'EU Ref Scenario 2020'!S19</f>
        <v>0.98172855610372123</v>
      </c>
      <c r="U19" s="11">
        <f>'EU Ref Scenario 2020'!U19/'EU Ref Scenario 2020'!T19</f>
        <v>0.9986826855140758</v>
      </c>
      <c r="V19" s="11">
        <f>'EU Ref Scenario 2020'!V19/'EU Ref Scenario 2020'!U19</f>
        <v>0.99868094790764683</v>
      </c>
      <c r="W19" s="11">
        <f>'EU Ref Scenario 2020'!W19/'EU Ref Scenario 2020'!V19</f>
        <v>0.99867920571117663</v>
      </c>
      <c r="X19" s="11">
        <f>'EU Ref Scenario 2020'!X19/'EU Ref Scenario 2020'!W19</f>
        <v>0.99867745890645354</v>
      </c>
      <c r="Y19" s="11">
        <f>'EU Ref Scenario 2020'!Y19/'EU Ref Scenario 2020'!X19</f>
        <v>0.99867570747516976</v>
      </c>
      <c r="Z19" s="11">
        <f>'EU Ref Scenario 2020'!Z19/'EU Ref Scenario 2020'!Y19</f>
        <v>1.0085700719391688</v>
      </c>
      <c r="AA19" s="11">
        <f>'EU Ref Scenario 2020'!AA19/'EU Ref Scenario 2020'!Z19</f>
        <v>1.0084972498962725</v>
      </c>
      <c r="AB19" s="11">
        <f>'EU Ref Scenario 2020'!AB19/'EU Ref Scenario 2020'!AA19</f>
        <v>1.0084256550001962</v>
      </c>
      <c r="AC19" s="11">
        <f>'EU Ref Scenario 2020'!AC19/'EU Ref Scenario 2020'!AB19</f>
        <v>1.0083552564915601</v>
      </c>
      <c r="AD19" s="11">
        <f>'EU Ref Scenario 2020'!AD19/'EU Ref Scenario 2020'!AC19</f>
        <v>1.0082860246304768</v>
      </c>
      <c r="AE19" s="11">
        <f>'EU Ref Scenario 2020'!AE19/'EU Ref Scenario 2020'!AD19</f>
        <v>1.0019317099515008</v>
      </c>
      <c r="AF19" s="11">
        <f>'EU Ref Scenario 2020'!AF19/'EU Ref Scenario 2020'!AE19</f>
        <v>1.001927985642449</v>
      </c>
      <c r="AG19" s="11">
        <f>'EU Ref Scenario 2020'!AG19/'EU Ref Scenario 2020'!AF19</f>
        <v>1.0019242756665916</v>
      </c>
      <c r="AH19" s="11">
        <f>'EU Ref Scenario 2020'!AH19/'EU Ref Scenario 2020'!AG19</f>
        <v>1.0019205799413449</v>
      </c>
      <c r="AI19" s="11">
        <f>'EU Ref Scenario 2020'!AI19/'EU Ref Scenario 2020'!AH19</f>
        <v>1.0019168983847575</v>
      </c>
      <c r="AJ19" s="11">
        <f>'EU Ref Scenario 2020'!AJ19/'EU Ref Scenario 2020'!AI19</f>
        <v>1.0036222043977756</v>
      </c>
      <c r="AK19" s="11">
        <f>'EU Ref Scenario 2020'!AK19/'EU Ref Scenario 2020'!AJ19</f>
        <v>1.0036091313861966</v>
      </c>
      <c r="AL19" s="11">
        <f>'EU Ref Scenario 2020'!AL19/'EU Ref Scenario 2020'!AK19</f>
        <v>1.0035961523997012</v>
      </c>
      <c r="AM19" s="11">
        <f>'EU Ref Scenario 2020'!AM19/'EU Ref Scenario 2020'!AL19</f>
        <v>1.003583266427539</v>
      </c>
      <c r="AN19" s="11">
        <f>'EU Ref Scenario 2020'!AN19/'EU Ref Scenario 2020'!AM19</f>
        <v>1.0035704724733943</v>
      </c>
      <c r="AO19" s="11">
        <f>'EU Ref Scenario 2020'!AO19/'EU Ref Scenario 2020'!AN19</f>
        <v>1</v>
      </c>
      <c r="AP19" s="11">
        <f>'EU Ref Scenario 2020'!AP19/'EU Ref Scenario 2020'!AO19</f>
        <v>1</v>
      </c>
      <c r="AQ19" s="11">
        <f>'EU Ref Scenario 2020'!AQ19/'EU Ref Scenario 2020'!AP19</f>
        <v>1</v>
      </c>
      <c r="AR19" s="11">
        <f>'EU Ref Scenario 2020'!AR19/'EU Ref Scenario 2020'!AQ19</f>
        <v>1</v>
      </c>
      <c r="AS19" s="11">
        <f>'EU Ref Scenario 2020'!AS19/'EU Ref Scenario 2020'!AR19</f>
        <v>1</v>
      </c>
      <c r="AT19" s="11">
        <f>'EU Ref Scenario 2020'!AT19/'EU Ref Scenario 2020'!AS19</f>
        <v>1</v>
      </c>
      <c r="AU19" s="11">
        <f>'EU Ref Scenario 2020'!AU19/'EU Ref Scenario 2020'!AT19</f>
        <v>1</v>
      </c>
      <c r="AV19" s="11">
        <f>'EU Ref Scenario 2020'!AV19/'EU Ref Scenario 2020'!AU19</f>
        <v>1</v>
      </c>
      <c r="AW19" s="11">
        <f>'EU Ref Scenario 2020'!AW19/'EU Ref Scenario 2020'!AV19</f>
        <v>1</v>
      </c>
      <c r="AX19" s="11">
        <f>'EU Ref Scenario 2020'!AX19/'EU Ref Scenario 2020'!AW19</f>
        <v>1</v>
      </c>
    </row>
    <row r="20" spans="1:50" x14ac:dyDescent="0.3">
      <c r="A20" t="s">
        <v>1400</v>
      </c>
      <c r="B20" t="s">
        <v>1435</v>
      </c>
      <c r="F20" s="11">
        <f>'EU Ref Scenario 2020'!F20/'EU Ref Scenario 2020'!E20</f>
        <v>1.0504102329046963</v>
      </c>
      <c r="G20" s="11">
        <f>'EU Ref Scenario 2020'!G20/'EU Ref Scenario 2020'!F20</f>
        <v>1.0479909956372921</v>
      </c>
      <c r="H20" s="11">
        <f>'EU Ref Scenario 2020'!H20/'EU Ref Scenario 2020'!G20</f>
        <v>1.0457933282223559</v>
      </c>
      <c r="I20" s="11">
        <f>'EU Ref Scenario 2020'!I20/'EU Ref Scenario 2020'!H20</f>
        <v>1.0437881242751814</v>
      </c>
      <c r="J20" s="11">
        <f>'EU Ref Scenario 2020'!J20/'EU Ref Scenario 2020'!I20</f>
        <v>1.0419511615976551</v>
      </c>
      <c r="K20" s="11">
        <f>'EU Ref Scenario 2020'!K20/'EU Ref Scenario 2020'!J20</f>
        <v>1.0116492033474405</v>
      </c>
      <c r="L20" s="11">
        <f>'EU Ref Scenario 2020'!L20/'EU Ref Scenario 2020'!K20</f>
        <v>1.0115150620480839</v>
      </c>
      <c r="M20" s="11">
        <f>'EU Ref Scenario 2020'!M20/'EU Ref Scenario 2020'!L20</f>
        <v>1.0113839748710896</v>
      </c>
      <c r="N20" s="11">
        <f>'EU Ref Scenario 2020'!N20/'EU Ref Scenario 2020'!M20</f>
        <v>1.0112558386863313</v>
      </c>
      <c r="O20" s="11">
        <f>'EU Ref Scenario 2020'!O20/'EU Ref Scenario 2020'!N20</f>
        <v>1.0111305549552654</v>
      </c>
      <c r="P20" s="11">
        <f>'EU Ref Scenario 2020'!P20/'EU Ref Scenario 2020'!O20</f>
        <v>0.98441642533605866</v>
      </c>
      <c r="Q20" s="11">
        <f>'EU Ref Scenario 2020'!Q20/'EU Ref Scenario 2020'!P20</f>
        <v>0.98416973319129508</v>
      </c>
      <c r="R20" s="11">
        <f>'EU Ref Scenario 2020'!R20/'EU Ref Scenario 2020'!Q20</f>
        <v>0.98391510501204582</v>
      </c>
      <c r="S20" s="11">
        <f>'EU Ref Scenario 2020'!S20/'EU Ref Scenario 2020'!R20</f>
        <v>0.98365215158704444</v>
      </c>
      <c r="T20" s="11">
        <f>'EU Ref Scenario 2020'!T20/'EU Ref Scenario 2020'!S20</f>
        <v>0.98338045783097217</v>
      </c>
      <c r="U20" s="11">
        <f>'EU Ref Scenario 2020'!U20/'EU Ref Scenario 2020'!T20</f>
        <v>1.0082959652324319</v>
      </c>
      <c r="V20" s="11">
        <f>'EU Ref Scenario 2020'!V20/'EU Ref Scenario 2020'!U20</f>
        <v>1.0082277084491948</v>
      </c>
      <c r="W20" s="11">
        <f>'EU Ref Scenario 2020'!W20/'EU Ref Scenario 2020'!V20</f>
        <v>1.008160565693885</v>
      </c>
      <c r="X20" s="11">
        <f>'EU Ref Scenario 2020'!X20/'EU Ref Scenario 2020'!W20</f>
        <v>1.0080945099139722</v>
      </c>
      <c r="Y20" s="11">
        <f>'EU Ref Scenario 2020'!Y20/'EU Ref Scenario 2020'!X20</f>
        <v>1.0080295149258012</v>
      </c>
      <c r="Z20" s="11">
        <f>'EU Ref Scenario 2020'!Z20/'EU Ref Scenario 2020'!Y20</f>
        <v>0.99015433908219985</v>
      </c>
      <c r="AA20" s="11">
        <f>'EU Ref Scenario 2020'!AA20/'EU Ref Scenario 2020'!Z20</f>
        <v>0.99005643814384903</v>
      </c>
      <c r="AB20" s="11">
        <f>'EU Ref Scenario 2020'!AB20/'EU Ref Scenario 2020'!AA20</f>
        <v>0.98995657068318943</v>
      </c>
      <c r="AC20" s="11">
        <f>'EU Ref Scenario 2020'!AC20/'EU Ref Scenario 2020'!AB20</f>
        <v>0.98985467684720818</v>
      </c>
      <c r="AD20" s="11">
        <f>'EU Ref Scenario 2020'!AD20/'EU Ref Scenario 2020'!AC20</f>
        <v>0.9897506943290848</v>
      </c>
      <c r="AE20" s="11">
        <f>'EU Ref Scenario 2020'!AE20/'EU Ref Scenario 2020'!AD20</f>
        <v>1.0340711325078218</v>
      </c>
      <c r="AF20" s="11">
        <f>'EU Ref Scenario 2020'!AF20/'EU Ref Scenario 2020'!AE20</f>
        <v>1.0329485384870891</v>
      </c>
      <c r="AG20" s="11">
        <f>'EU Ref Scenario 2020'!AG20/'EU Ref Scenario 2020'!AF20</f>
        <v>1.0318975604877156</v>
      </c>
      <c r="AH20" s="11">
        <f>'EU Ref Scenario 2020'!AH20/'EU Ref Scenario 2020'!AG20</f>
        <v>1.030911557221474</v>
      </c>
      <c r="AI20" s="11">
        <f>'EU Ref Scenario 2020'!AI20/'EU Ref Scenario 2020'!AH20</f>
        <v>1.0299846839478519</v>
      </c>
      <c r="AJ20" s="11">
        <f>'EU Ref Scenario 2020'!AJ20/'EU Ref Scenario 2020'!AI20</f>
        <v>0.9826422675796348</v>
      </c>
      <c r="AK20" s="11">
        <f>'EU Ref Scenario 2020'!AK20/'EU Ref Scenario 2020'!AJ20</f>
        <v>0.98233565459877958</v>
      </c>
      <c r="AL20" s="11">
        <f>'EU Ref Scenario 2020'!AL20/'EU Ref Scenario 2020'!AK20</f>
        <v>0.98201801459763238</v>
      </c>
      <c r="AM20" s="11">
        <f>'EU Ref Scenario 2020'!AM20/'EU Ref Scenario 2020'!AL20</f>
        <v>0.98168874182034693</v>
      </c>
      <c r="AN20" s="11">
        <f>'EU Ref Scenario 2020'!AN20/'EU Ref Scenario 2020'!AM20</f>
        <v>0.98134718531487075</v>
      </c>
      <c r="AO20" s="11">
        <f>'EU Ref Scenario 2020'!AO20/'EU Ref Scenario 2020'!AN20</f>
        <v>1</v>
      </c>
      <c r="AP20" s="11">
        <f>'EU Ref Scenario 2020'!AP20/'EU Ref Scenario 2020'!AO20</f>
        <v>1</v>
      </c>
      <c r="AQ20" s="11">
        <f>'EU Ref Scenario 2020'!AQ20/'EU Ref Scenario 2020'!AP20</f>
        <v>1</v>
      </c>
      <c r="AR20" s="11">
        <f>'EU Ref Scenario 2020'!AR20/'EU Ref Scenario 2020'!AQ20</f>
        <v>1</v>
      </c>
      <c r="AS20" s="11">
        <f>'EU Ref Scenario 2020'!AS20/'EU Ref Scenario 2020'!AR20</f>
        <v>1</v>
      </c>
      <c r="AT20" s="11">
        <f>'EU Ref Scenario 2020'!AT20/'EU Ref Scenario 2020'!AS20</f>
        <v>1</v>
      </c>
      <c r="AU20" s="11">
        <f>'EU Ref Scenario 2020'!AU20/'EU Ref Scenario 2020'!AT20</f>
        <v>1</v>
      </c>
      <c r="AV20" s="11">
        <f>'EU Ref Scenario 2020'!AV20/'EU Ref Scenario 2020'!AU20</f>
        <v>1</v>
      </c>
      <c r="AW20" s="11">
        <f>'EU Ref Scenario 2020'!AW20/'EU Ref Scenario 2020'!AV20</f>
        <v>1</v>
      </c>
      <c r="AX20" s="11">
        <f>'EU Ref Scenario 2020'!AX20/'EU Ref Scenario 2020'!AW20</f>
        <v>1</v>
      </c>
    </row>
    <row r="21" spans="1:50" x14ac:dyDescent="0.3">
      <c r="A21" t="s">
        <v>1401</v>
      </c>
      <c r="B21" t="s">
        <v>1434</v>
      </c>
      <c r="F21" s="11">
        <f>'EU Ref Scenario 2020'!F21/'EU Ref Scenario 2020'!E21</f>
        <v>0.99308612429280141</v>
      </c>
      <c r="G21" s="11">
        <f>'EU Ref Scenario 2020'!G21/'EU Ref Scenario 2020'!F21</f>
        <v>0.99303798981974278</v>
      </c>
      <c r="H21" s="11">
        <f>'EU Ref Scenario 2020'!H21/'EU Ref Scenario 2020'!G21</f>
        <v>0.99298918042247208</v>
      </c>
      <c r="I21" s="11">
        <f>'EU Ref Scenario 2020'!I21/'EU Ref Scenario 2020'!H21</f>
        <v>0.99293968180545022</v>
      </c>
      <c r="J21" s="11">
        <f>'EU Ref Scenario 2020'!J21/'EU Ref Scenario 2020'!I21</f>
        <v>0.99288947926654325</v>
      </c>
      <c r="K21" s="11">
        <f>'EU Ref Scenario 2020'!K21/'EU Ref Scenario 2020'!J21</f>
        <v>1.0160464185151019</v>
      </c>
      <c r="L21" s="11">
        <f>'EU Ref Scenario 2020'!L21/'EU Ref Scenario 2020'!K21</f>
        <v>1.0157929974681206</v>
      </c>
      <c r="M21" s="11">
        <f>'EU Ref Scenario 2020'!M21/'EU Ref Scenario 2020'!L21</f>
        <v>1.0155474565265608</v>
      </c>
      <c r="N21" s="11">
        <f>'EU Ref Scenario 2020'!N21/'EU Ref Scenario 2020'!M21</f>
        <v>1.0153094337705666</v>
      </c>
      <c r="O21" s="11">
        <f>'EU Ref Scenario 2020'!O21/'EU Ref Scenario 2020'!N21</f>
        <v>1.0150785891092449</v>
      </c>
      <c r="P21" s="11">
        <f>'EU Ref Scenario 2020'!P21/'EU Ref Scenario 2020'!O21</f>
        <v>0.99415088865795564</v>
      </c>
      <c r="Q21" s="11">
        <f>'EU Ref Scenario 2020'!Q21/'EU Ref Scenario 2020'!P21</f>
        <v>0.99411647526670699</v>
      </c>
      <c r="R21" s="11">
        <f>'EU Ref Scenario 2020'!R21/'EU Ref Scenario 2020'!Q21</f>
        <v>0.99408165453478214</v>
      </c>
      <c r="S21" s="11">
        <f>'EU Ref Scenario 2020'!S21/'EU Ref Scenario 2020'!R21</f>
        <v>0.99404641918677439</v>
      </c>
      <c r="T21" s="11">
        <f>'EU Ref Scenario 2020'!T21/'EU Ref Scenario 2020'!S21</f>
        <v>0.99401076177297987</v>
      </c>
      <c r="U21" s="11">
        <f>'EU Ref Scenario 2020'!U21/'EU Ref Scenario 2020'!T21</f>
        <v>0.99650365116972561</v>
      </c>
      <c r="V21" s="11">
        <f>'EU Ref Scenario 2020'!V21/'EU Ref Scenario 2020'!U21</f>
        <v>0.99649138382366165</v>
      </c>
      <c r="W21" s="11">
        <f>'EU Ref Scenario 2020'!W21/'EU Ref Scenario 2020'!V21</f>
        <v>0.99647903009168493</v>
      </c>
      <c r="X21" s="11">
        <f>'EU Ref Scenario 2020'!X21/'EU Ref Scenario 2020'!W21</f>
        <v>0.99646658905808472</v>
      </c>
      <c r="Y21" s="11">
        <f>'EU Ref Scenario 2020'!Y21/'EU Ref Scenario 2020'!X21</f>
        <v>0.99645405979416202</v>
      </c>
      <c r="Z21" s="11">
        <f>'EU Ref Scenario 2020'!Z21/'EU Ref Scenario 2020'!Y21</f>
        <v>0.99991990869762681</v>
      </c>
      <c r="AA21" s="11">
        <f>'EU Ref Scenario 2020'!AA21/'EU Ref Scenario 2020'!Z21</f>
        <v>0.99991990228249628</v>
      </c>
      <c r="AB21" s="11">
        <f>'EU Ref Scenario 2020'!AB21/'EU Ref Scenario 2020'!AA21</f>
        <v>0.999919895866338</v>
      </c>
      <c r="AC21" s="11">
        <f>'EU Ref Scenario 2020'!AC21/'EU Ref Scenario 2020'!AB21</f>
        <v>0.99991988944915178</v>
      </c>
      <c r="AD21" s="11">
        <f>'EU Ref Scenario 2020'!AD21/'EU Ref Scenario 2020'!AC21</f>
        <v>0.99991988303093715</v>
      </c>
      <c r="AE21" s="11">
        <f>'EU Ref Scenario 2020'!AE21/'EU Ref Scenario 2020'!AD21</f>
        <v>0.99951826398575983</v>
      </c>
      <c r="AF21" s="11">
        <f>'EU Ref Scenario 2020'!AF21/'EU Ref Scenario 2020'!AE21</f>
        <v>0.9995180318043223</v>
      </c>
      <c r="AG21" s="11">
        <f>'EU Ref Scenario 2020'!AG21/'EU Ref Scenario 2020'!AF21</f>
        <v>0.99951779939896868</v>
      </c>
      <c r="AH21" s="11">
        <f>'EU Ref Scenario 2020'!AH21/'EU Ref Scenario 2020'!AG21</f>
        <v>0.99951756676937487</v>
      </c>
      <c r="AI21" s="11">
        <f>'EU Ref Scenario 2020'!AI21/'EU Ref Scenario 2020'!AH21</f>
        <v>0.99951733391521658</v>
      </c>
      <c r="AJ21" s="11">
        <f>'EU Ref Scenario 2020'!AJ21/'EU Ref Scenario 2020'!AI21</f>
        <v>1.002040763857293</v>
      </c>
      <c r="AK21" s="11">
        <f>'EU Ref Scenario 2020'!AK21/'EU Ref Scenario 2020'!AJ21</f>
        <v>1.0020366076220664</v>
      </c>
      <c r="AL21" s="11">
        <f>'EU Ref Scenario 2020'!AL21/'EU Ref Scenario 2020'!AK21</f>
        <v>1.0020324682816724</v>
      </c>
      <c r="AM21" s="11">
        <f>'EU Ref Scenario 2020'!AM21/'EU Ref Scenario 2020'!AL21</f>
        <v>1.0020283457333052</v>
      </c>
      <c r="AN21" s="11">
        <f>'EU Ref Scenario 2020'!AN21/'EU Ref Scenario 2020'!AM21</f>
        <v>1.0020242398749917</v>
      </c>
      <c r="AO21" s="11">
        <f>'EU Ref Scenario 2020'!AO21/'EU Ref Scenario 2020'!AN21</f>
        <v>1</v>
      </c>
      <c r="AP21" s="11">
        <f>'EU Ref Scenario 2020'!AP21/'EU Ref Scenario 2020'!AO21</f>
        <v>1</v>
      </c>
      <c r="AQ21" s="11">
        <f>'EU Ref Scenario 2020'!AQ21/'EU Ref Scenario 2020'!AP21</f>
        <v>1</v>
      </c>
      <c r="AR21" s="11">
        <f>'EU Ref Scenario 2020'!AR21/'EU Ref Scenario 2020'!AQ21</f>
        <v>1</v>
      </c>
      <c r="AS21" s="11">
        <f>'EU Ref Scenario 2020'!AS21/'EU Ref Scenario 2020'!AR21</f>
        <v>1</v>
      </c>
      <c r="AT21" s="11">
        <f>'EU Ref Scenario 2020'!AT21/'EU Ref Scenario 2020'!AS21</f>
        <v>1</v>
      </c>
      <c r="AU21" s="11">
        <f>'EU Ref Scenario 2020'!AU21/'EU Ref Scenario 2020'!AT21</f>
        <v>1</v>
      </c>
      <c r="AV21" s="11">
        <f>'EU Ref Scenario 2020'!AV21/'EU Ref Scenario 2020'!AU21</f>
        <v>1</v>
      </c>
      <c r="AW21" s="11">
        <f>'EU Ref Scenario 2020'!AW21/'EU Ref Scenario 2020'!AV21</f>
        <v>1</v>
      </c>
      <c r="AX21" s="11">
        <f>'EU Ref Scenario 2020'!AX21/'EU Ref Scenario 2020'!AW21</f>
        <v>1</v>
      </c>
    </row>
    <row r="22" spans="1:50" x14ac:dyDescent="0.3">
      <c r="A22" t="s">
        <v>1401</v>
      </c>
      <c r="B22" t="s">
        <v>1439</v>
      </c>
      <c r="F22" s="11">
        <f>'EU Ref Scenario 2020'!F22/'EU Ref Scenario 2020'!E22</f>
        <v>0.99166029340980244</v>
      </c>
      <c r="G22" s="11">
        <f>'EU Ref Scenario 2020'!G22/'EU Ref Scenario 2020'!F22</f>
        <v>0.99159015779332893</v>
      </c>
      <c r="H22" s="11">
        <f>'EU Ref Scenario 2020'!H22/'EU Ref Scenario 2020'!G22</f>
        <v>0.9915188325130353</v>
      </c>
      <c r="I22" s="11">
        <f>'EU Ref Scenario 2020'!I22/'EU Ref Scenario 2020'!H22</f>
        <v>0.99144628704079274</v>
      </c>
      <c r="J22" s="11">
        <f>'EU Ref Scenario 2020'!J22/'EU Ref Scenario 2020'!I22</f>
        <v>0.99137248979494608</v>
      </c>
      <c r="K22" s="11">
        <f>'EU Ref Scenario 2020'!K22/'EU Ref Scenario 2020'!J22</f>
        <v>1.0024626864808983</v>
      </c>
      <c r="L22" s="11">
        <f>'EU Ref Scenario 2020'!L22/'EU Ref Scenario 2020'!K22</f>
        <v>1.0024566365552652</v>
      </c>
      <c r="M22" s="11">
        <f>'EU Ref Scenario 2020'!M22/'EU Ref Scenario 2020'!L22</f>
        <v>1.0024506162817246</v>
      </c>
      <c r="N22" s="11">
        <f>'EU Ref Scenario 2020'!N22/'EU Ref Scenario 2020'!M22</f>
        <v>1.0024446254428117</v>
      </c>
      <c r="O22" s="11">
        <f>'EU Ref Scenario 2020'!O22/'EU Ref Scenario 2020'!N22</f>
        <v>1.002438663823183</v>
      </c>
      <c r="P22" s="11">
        <f>'EU Ref Scenario 2020'!P22/'EU Ref Scenario 2020'!O22</f>
        <v>0.9812415949447596</v>
      </c>
      <c r="Q22" s="11">
        <f>'EU Ref Scenario 2020'!Q22/'EU Ref Scenario 2020'!P22</f>
        <v>0.98088299033399984</v>
      </c>
      <c r="R22" s="11">
        <f>'EU Ref Scenario 2020'!R22/'EU Ref Scenario 2020'!Q22</f>
        <v>0.9805104076078528</v>
      </c>
      <c r="S22" s="11">
        <f>'EU Ref Scenario 2020'!S22/'EU Ref Scenario 2020'!R22</f>
        <v>0.98012301323787487</v>
      </c>
      <c r="T22" s="11">
        <f>'EU Ref Scenario 2020'!T22/'EU Ref Scenario 2020'!S22</f>
        <v>0.97971990607948234</v>
      </c>
      <c r="U22" s="11">
        <f>'EU Ref Scenario 2020'!U22/'EU Ref Scenario 2020'!T22</f>
        <v>0.99029566724342954</v>
      </c>
      <c r="V22" s="11">
        <f>'EU Ref Scenario 2020'!V22/'EU Ref Scenario 2020'!U22</f>
        <v>0.99020057031696074</v>
      </c>
      <c r="W22" s="11">
        <f>'EU Ref Scenario 2020'!W22/'EU Ref Scenario 2020'!V22</f>
        <v>0.99010359115436331</v>
      </c>
      <c r="X22" s="11">
        <f>'EU Ref Scenario 2020'!X22/'EU Ref Scenario 2020'!W22</f>
        <v>0.99000467331494224</v>
      </c>
      <c r="Y22" s="11">
        <f>'EU Ref Scenario 2020'!Y22/'EU Ref Scenario 2020'!X22</f>
        <v>0.98990375807864717</v>
      </c>
      <c r="Z22" s="11">
        <f>'EU Ref Scenario 2020'!Z22/'EU Ref Scenario 2020'!Y22</f>
        <v>0.9936241619736883</v>
      </c>
      <c r="AA22" s="11">
        <f>'EU Ref Scenario 2020'!AA22/'EU Ref Scenario 2020'!Z22</f>
        <v>0.99358324981384616</v>
      </c>
      <c r="AB22" s="11">
        <f>'EU Ref Scenario 2020'!AB22/'EU Ref Scenario 2020'!AA22</f>
        <v>0.99354180921693669</v>
      </c>
      <c r="AC22" s="11">
        <f>'EU Ref Scenario 2020'!AC22/'EU Ref Scenario 2020'!AB22</f>
        <v>0.99349982987816754</v>
      </c>
      <c r="AD22" s="11">
        <f>'EU Ref Scenario 2020'!AD22/'EU Ref Scenario 2020'!AC22</f>
        <v>0.99345730122306164</v>
      </c>
      <c r="AE22" s="11">
        <f>'EU Ref Scenario 2020'!AE22/'EU Ref Scenario 2020'!AD22</f>
        <v>0.99183227277492103</v>
      </c>
      <c r="AF22" s="11">
        <f>'EU Ref Scenario 2020'!AF22/'EU Ref Scenario 2020'!AE22</f>
        <v>0.99176501163626429</v>
      </c>
      <c r="AG22" s="11">
        <f>'EU Ref Scenario 2020'!AG22/'EU Ref Scenario 2020'!AF22</f>
        <v>0.99169663350983805</v>
      </c>
      <c r="AH22" s="11">
        <f>'EU Ref Scenario 2020'!AH22/'EU Ref Scenario 2020'!AG22</f>
        <v>0.99162711033839601</v>
      </c>
      <c r="AI22" s="11">
        <f>'EU Ref Scenario 2020'!AI22/'EU Ref Scenario 2020'!AH22</f>
        <v>0.99155641311707698</v>
      </c>
      <c r="AJ22" s="11">
        <f>'EU Ref Scenario 2020'!AJ22/'EU Ref Scenario 2020'!AI22</f>
        <v>0.99501483424921888</v>
      </c>
      <c r="AK22" s="11">
        <f>'EU Ref Scenario 2020'!AK22/'EU Ref Scenario 2020'!AJ22</f>
        <v>0.9949898578602171</v>
      </c>
      <c r="AL22" s="11">
        <f>'EU Ref Scenario 2020'!AL22/'EU Ref Scenario 2020'!AK22</f>
        <v>0.99496462994049251</v>
      </c>
      <c r="AM22" s="11">
        <f>'EU Ref Scenario 2020'!AM22/'EU Ref Scenario 2020'!AL22</f>
        <v>0.9949391466711649</v>
      </c>
      <c r="AN22" s="11">
        <f>'EU Ref Scenario 2020'!AN22/'EU Ref Scenario 2020'!AM22</f>
        <v>0.99491340415565366</v>
      </c>
      <c r="AO22" s="11">
        <f>'EU Ref Scenario 2020'!AO22/'EU Ref Scenario 2020'!AN22</f>
        <v>1</v>
      </c>
      <c r="AP22" s="11">
        <f>'EU Ref Scenario 2020'!AP22/'EU Ref Scenario 2020'!AO22</f>
        <v>1</v>
      </c>
      <c r="AQ22" s="11">
        <f>'EU Ref Scenario 2020'!AQ22/'EU Ref Scenario 2020'!AP22</f>
        <v>1</v>
      </c>
      <c r="AR22" s="11">
        <f>'EU Ref Scenario 2020'!AR22/'EU Ref Scenario 2020'!AQ22</f>
        <v>1</v>
      </c>
      <c r="AS22" s="11">
        <f>'EU Ref Scenario 2020'!AS22/'EU Ref Scenario 2020'!AR22</f>
        <v>1</v>
      </c>
      <c r="AT22" s="11">
        <f>'EU Ref Scenario 2020'!AT22/'EU Ref Scenario 2020'!AS22</f>
        <v>1</v>
      </c>
      <c r="AU22" s="11">
        <f>'EU Ref Scenario 2020'!AU22/'EU Ref Scenario 2020'!AT22</f>
        <v>1</v>
      </c>
      <c r="AV22" s="11">
        <f>'EU Ref Scenario 2020'!AV22/'EU Ref Scenario 2020'!AU22</f>
        <v>1</v>
      </c>
      <c r="AW22" s="11">
        <f>'EU Ref Scenario 2020'!AW22/'EU Ref Scenario 2020'!AV22</f>
        <v>1</v>
      </c>
      <c r="AX22" s="11">
        <f>'EU Ref Scenario 2020'!AX22/'EU Ref Scenario 2020'!AW22</f>
        <v>1</v>
      </c>
    </row>
    <row r="23" spans="1:50" x14ac:dyDescent="0.3">
      <c r="A23" t="s">
        <v>1401</v>
      </c>
      <c r="B23" t="s">
        <v>1435</v>
      </c>
      <c r="F23" s="11">
        <f>'EU Ref Scenario 2020'!F23/'EU Ref Scenario 2020'!E23</f>
        <v>0.99502202472375989</v>
      </c>
      <c r="G23" s="11">
        <f>'EU Ref Scenario 2020'!G23/'EU Ref Scenario 2020'!F23</f>
        <v>0.99499712051336542</v>
      </c>
      <c r="H23" s="11">
        <f>'EU Ref Scenario 2020'!H23/'EU Ref Scenario 2020'!G23</f>
        <v>0.99497196586453096</v>
      </c>
      <c r="I23" s="11">
        <f>'EU Ref Scenario 2020'!I23/'EU Ref Scenario 2020'!H23</f>
        <v>0.99494655698052736</v>
      </c>
      <c r="J23" s="11">
        <f>'EU Ref Scenario 2020'!J23/'EU Ref Scenario 2020'!I23</f>
        <v>0.99492088998748984</v>
      </c>
      <c r="K23" s="11">
        <f>'EU Ref Scenario 2020'!K23/'EU Ref Scenario 2020'!J23</f>
        <v>1.0341716095541171</v>
      </c>
      <c r="L23" s="11">
        <f>'EU Ref Scenario 2020'!L23/'EU Ref Scenario 2020'!K23</f>
        <v>1.033042494338875</v>
      </c>
      <c r="M23" s="11">
        <f>'EU Ref Scenario 2020'!M23/'EU Ref Scenario 2020'!L23</f>
        <v>1.0319856100014757</v>
      </c>
      <c r="N23" s="11">
        <f>'EU Ref Scenario 2020'!N23/'EU Ref Scenario 2020'!M23</f>
        <v>1.0309942403183607</v>
      </c>
      <c r="O23" s="11">
        <f>'EU Ref Scenario 2020'!O23/'EU Ref Scenario 2020'!N23</f>
        <v>1.0300624766912279</v>
      </c>
      <c r="P23" s="11">
        <f>'EU Ref Scenario 2020'!P23/'EU Ref Scenario 2020'!O23</f>
        <v>1.0090437012078728</v>
      </c>
      <c r="Q23" s="11">
        <f>'EU Ref Scenario 2020'!Q23/'EU Ref Scenario 2020'!P23</f>
        <v>1.0089626457179675</v>
      </c>
      <c r="R23" s="11">
        <f>'EU Ref Scenario 2020'!R23/'EU Ref Scenario 2020'!Q23</f>
        <v>1.008883030264802</v>
      </c>
      <c r="S23" s="11">
        <f>'EU Ref Scenario 2020'!S23/'EU Ref Scenario 2020'!R23</f>
        <v>1.0088048168105974</v>
      </c>
      <c r="T23" s="11">
        <f>'EU Ref Scenario 2020'!T23/'EU Ref Scenario 2020'!S23</f>
        <v>1.0087279686455446</v>
      </c>
      <c r="U23" s="11">
        <f>'EU Ref Scenario 2020'!U23/'EU Ref Scenario 2020'!T23</f>
        <v>1.0027129936487387</v>
      </c>
      <c r="V23" s="11">
        <f>'EU Ref Scenario 2020'!V23/'EU Ref Scenario 2020'!U23</f>
        <v>1.0027056532287135</v>
      </c>
      <c r="W23" s="11">
        <f>'EU Ref Scenario 2020'!W23/'EU Ref Scenario 2020'!V23</f>
        <v>1.0026983524227686</v>
      </c>
      <c r="X23" s="11">
        <f>'EU Ref Scenario 2020'!X23/'EU Ref Scenario 2020'!W23</f>
        <v>1.0026910909110889</v>
      </c>
      <c r="Y23" s="11">
        <f>'EU Ref Scenario 2020'!Y23/'EU Ref Scenario 2020'!X23</f>
        <v>1.0026838683772918</v>
      </c>
      <c r="Z23" s="11">
        <f>'EU Ref Scenario 2020'!Z23/'EU Ref Scenario 2020'!Y23</f>
        <v>1.0058312984095936</v>
      </c>
      <c r="AA23" s="11">
        <f>'EU Ref Scenario 2020'!AA23/'EU Ref Scenario 2020'!Z23</f>
        <v>1.0057974915065917</v>
      </c>
      <c r="AB23" s="11">
        <f>'EU Ref Scenario 2020'!AB23/'EU Ref Scenario 2020'!AA23</f>
        <v>1.0057640743345935</v>
      </c>
      <c r="AC23" s="11">
        <f>'EU Ref Scenario 2020'!AC23/'EU Ref Scenario 2020'!AB23</f>
        <v>1.0057310401929072</v>
      </c>
      <c r="AD23" s="11">
        <f>'EU Ref Scenario 2020'!AD23/'EU Ref Scenario 2020'!AC23</f>
        <v>1.0056983825335728</v>
      </c>
      <c r="AE23" s="11">
        <f>'EU Ref Scenario 2020'!AE23/'EU Ref Scenario 2020'!AD23</f>
        <v>1.0063070225584518</v>
      </c>
      <c r="AF23" s="11">
        <f>'EU Ref Scenario 2020'!AF23/'EU Ref Scenario 2020'!AE23</f>
        <v>1.0062674933365929</v>
      </c>
      <c r="AG23" s="11">
        <f>'EU Ref Scenario 2020'!AG23/'EU Ref Scenario 2020'!AF23</f>
        <v>1.006228456526814</v>
      </c>
      <c r="AH23" s="11">
        <f>'EU Ref Scenario 2020'!AH23/'EU Ref Scenario 2020'!AG23</f>
        <v>1.0061899029851658</v>
      </c>
      <c r="AI23" s="11">
        <f>'EU Ref Scenario 2020'!AI23/'EU Ref Scenario 2020'!AH23</f>
        <v>1.006151823792707</v>
      </c>
      <c r="AJ23" s="11">
        <f>'EU Ref Scenario 2020'!AJ23/'EU Ref Scenario 2020'!AI23</f>
        <v>1.0078111109329568</v>
      </c>
      <c r="AK23" s="11">
        <f>'EU Ref Scenario 2020'!AK23/'EU Ref Scenario 2020'!AJ23</f>
        <v>1.0077505703680185</v>
      </c>
      <c r="AL23" s="11">
        <f>'EU Ref Scenario 2020'!AL23/'EU Ref Scenario 2020'!AK23</f>
        <v>1.007690961033332</v>
      </c>
      <c r="AM23" s="11">
        <f>'EU Ref Scenario 2020'!AM23/'EU Ref Scenario 2020'!AL23</f>
        <v>1.0076322616067184</v>
      </c>
      <c r="AN23" s="11">
        <f>'EU Ref Scenario 2020'!AN23/'EU Ref Scenario 2020'!AM23</f>
        <v>1.0075744514120148</v>
      </c>
      <c r="AO23" s="11">
        <f>'EU Ref Scenario 2020'!AO23/'EU Ref Scenario 2020'!AN23</f>
        <v>1</v>
      </c>
      <c r="AP23" s="11">
        <f>'EU Ref Scenario 2020'!AP23/'EU Ref Scenario 2020'!AO23</f>
        <v>1</v>
      </c>
      <c r="AQ23" s="11">
        <f>'EU Ref Scenario 2020'!AQ23/'EU Ref Scenario 2020'!AP23</f>
        <v>1</v>
      </c>
      <c r="AR23" s="11">
        <f>'EU Ref Scenario 2020'!AR23/'EU Ref Scenario 2020'!AQ23</f>
        <v>1</v>
      </c>
      <c r="AS23" s="11">
        <f>'EU Ref Scenario 2020'!AS23/'EU Ref Scenario 2020'!AR23</f>
        <v>1</v>
      </c>
      <c r="AT23" s="11">
        <f>'EU Ref Scenario 2020'!AT23/'EU Ref Scenario 2020'!AS23</f>
        <v>1</v>
      </c>
      <c r="AU23" s="11">
        <f>'EU Ref Scenario 2020'!AU23/'EU Ref Scenario 2020'!AT23</f>
        <v>1</v>
      </c>
      <c r="AV23" s="11">
        <f>'EU Ref Scenario 2020'!AV23/'EU Ref Scenario 2020'!AU23</f>
        <v>1</v>
      </c>
      <c r="AW23" s="11">
        <f>'EU Ref Scenario 2020'!AW23/'EU Ref Scenario 2020'!AV23</f>
        <v>1</v>
      </c>
      <c r="AX23" s="11">
        <f>'EU Ref Scenario 2020'!AX23/'EU Ref Scenario 2020'!AW23</f>
        <v>1</v>
      </c>
    </row>
    <row r="24" spans="1:50" x14ac:dyDescent="0.3">
      <c r="A24" t="s">
        <v>1402</v>
      </c>
      <c r="B24" t="s">
        <v>1434</v>
      </c>
      <c r="F24" s="11">
        <f>'EU Ref Scenario 2020'!F24/'EU Ref Scenario 2020'!E24</f>
        <v>0.98694214648364664</v>
      </c>
      <c r="G24" s="11">
        <f>'EU Ref Scenario 2020'!G24/'EU Ref Scenario 2020'!F24</f>
        <v>0.98676938302525952</v>
      </c>
      <c r="H24" s="11">
        <f>'EU Ref Scenario 2020'!H24/'EU Ref Scenario 2020'!G24</f>
        <v>0.98659198673738968</v>
      </c>
      <c r="I24" s="11">
        <f>'EU Ref Scenario 2020'!I24/'EU Ref Scenario 2020'!H24</f>
        <v>0.98640976873636499</v>
      </c>
      <c r="J24" s="11">
        <f>'EU Ref Scenario 2020'!J24/'EU Ref Scenario 2020'!I24</f>
        <v>0.98622252972915647</v>
      </c>
      <c r="K24" s="11">
        <f>'EU Ref Scenario 2020'!K24/'EU Ref Scenario 2020'!J24</f>
        <v>1.0061867708645917</v>
      </c>
      <c r="L24" s="11">
        <f>'EU Ref Scenario 2020'!L24/'EU Ref Scenario 2020'!K24</f>
        <v>1.0061487300804755</v>
      </c>
      <c r="M24" s="11">
        <f>'EU Ref Scenario 2020'!M24/'EU Ref Scenario 2020'!L24</f>
        <v>1.0061111542425578</v>
      </c>
      <c r="N24" s="11">
        <f>'EU Ref Scenario 2020'!N24/'EU Ref Scenario 2020'!M24</f>
        <v>1.0060740348785404</v>
      </c>
      <c r="O24" s="11">
        <f>'EU Ref Scenario 2020'!O24/'EU Ref Scenario 2020'!N24</f>
        <v>1.0060373637207263</v>
      </c>
      <c r="P24" s="11">
        <f>'EU Ref Scenario 2020'!P24/'EU Ref Scenario 2020'!O24</f>
        <v>0.98796601346680157</v>
      </c>
      <c r="Q24" s="11">
        <f>'EU Ref Scenario 2020'!Q24/'EU Ref Scenario 2020'!P24</f>
        <v>0.98781943268375105</v>
      </c>
      <c r="R24" s="11">
        <f>'EU Ref Scenario 2020'!R24/'EU Ref Scenario 2020'!Q24</f>
        <v>0.98766923699490683</v>
      </c>
      <c r="S24" s="11">
        <f>'EU Ref Scenario 2020'!S24/'EU Ref Scenario 2020'!R24</f>
        <v>0.9875152910071282</v>
      </c>
      <c r="T24" s="11">
        <f>'EU Ref Scenario 2020'!T24/'EU Ref Scenario 2020'!S24</f>
        <v>0.98735745248041773</v>
      </c>
      <c r="U24" s="11">
        <f>'EU Ref Scenario 2020'!U24/'EU Ref Scenario 2020'!T24</f>
        <v>0.9867607295496732</v>
      </c>
      <c r="V24" s="11">
        <f>'EU Ref Scenario 2020'!V24/'EU Ref Scenario 2020'!U24</f>
        <v>0.98658309957635948</v>
      </c>
      <c r="W24" s="11">
        <f>'EU Ref Scenario 2020'!W24/'EU Ref Scenario 2020'!V24</f>
        <v>0.98640063829453217</v>
      </c>
      <c r="X24" s="11">
        <f>'EU Ref Scenario 2020'!X24/'EU Ref Scenario 2020'!W24</f>
        <v>0.98621314587855402</v>
      </c>
      <c r="Y24" s="11">
        <f>'EU Ref Scenario 2020'!Y24/'EU Ref Scenario 2020'!X24</f>
        <v>0.98602041132886697</v>
      </c>
      <c r="Z24" s="11">
        <f>'EU Ref Scenario 2020'!Z24/'EU Ref Scenario 2020'!Y24</f>
        <v>0.99254877549977882</v>
      </c>
      <c r="AA24" s="11">
        <f>'EU Ref Scenario 2020'!AA24/'EU Ref Scenario 2020'!Z24</f>
        <v>0.99249283794998455</v>
      </c>
      <c r="AB24" s="11">
        <f>'EU Ref Scenario 2020'!AB24/'EU Ref Scenario 2020'!AA24</f>
        <v>0.99243605418299885</v>
      </c>
      <c r="AC24" s="11">
        <f>'EU Ref Scenario 2020'!AC24/'EU Ref Scenario 2020'!AB24</f>
        <v>0.99237840485024698</v>
      </c>
      <c r="AD24" s="11">
        <f>'EU Ref Scenario 2020'!AD24/'EU Ref Scenario 2020'!AC24</f>
        <v>0.99231987000875621</v>
      </c>
      <c r="AE24" s="11">
        <f>'EU Ref Scenario 2020'!AE24/'EU Ref Scenario 2020'!AD24</f>
        <v>0.99644382156748124</v>
      </c>
      <c r="AF24" s="11">
        <f>'EU Ref Scenario 2020'!AF24/'EU Ref Scenario 2020'!AE24</f>
        <v>0.99643113002906214</v>
      </c>
      <c r="AG24" s="11">
        <f>'EU Ref Scenario 2020'!AG24/'EU Ref Scenario 2020'!AF24</f>
        <v>0.99641834757728442</v>
      </c>
      <c r="AH24" s="11">
        <f>'EU Ref Scenario 2020'!AH24/'EU Ref Scenario 2020'!AG24</f>
        <v>0.99640547323177642</v>
      </c>
      <c r="AI24" s="11">
        <f>'EU Ref Scenario 2020'!AI24/'EU Ref Scenario 2020'!AH24</f>
        <v>0.99639250599801998</v>
      </c>
      <c r="AJ24" s="11">
        <f>'EU Ref Scenario 2020'!AJ24/'EU Ref Scenario 2020'!AI24</f>
        <v>0.99828266762826046</v>
      </c>
      <c r="AK24" s="11">
        <f>'EU Ref Scenario 2020'!AK24/'EU Ref Scenario 2020'!AJ24</f>
        <v>0.99827971332426346</v>
      </c>
      <c r="AL24" s="11">
        <f>'EU Ref Scenario 2020'!AL24/'EU Ref Scenario 2020'!AK24</f>
        <v>0.99827674883825102</v>
      </c>
      <c r="AM24" s="11">
        <f>'EU Ref Scenario 2020'!AM24/'EU Ref Scenario 2020'!AL24</f>
        <v>0.99827377411749352</v>
      </c>
      <c r="AN24" s="11">
        <f>'EU Ref Scenario 2020'!AN24/'EU Ref Scenario 2020'!AM24</f>
        <v>0.99827078910889666</v>
      </c>
      <c r="AO24" s="11">
        <f>'EU Ref Scenario 2020'!AO24/'EU Ref Scenario 2020'!AN24</f>
        <v>1</v>
      </c>
      <c r="AP24" s="11">
        <f>'EU Ref Scenario 2020'!AP24/'EU Ref Scenario 2020'!AO24</f>
        <v>1</v>
      </c>
      <c r="AQ24" s="11">
        <f>'EU Ref Scenario 2020'!AQ24/'EU Ref Scenario 2020'!AP24</f>
        <v>1</v>
      </c>
      <c r="AR24" s="11">
        <f>'EU Ref Scenario 2020'!AR24/'EU Ref Scenario 2020'!AQ24</f>
        <v>1</v>
      </c>
      <c r="AS24" s="11">
        <f>'EU Ref Scenario 2020'!AS24/'EU Ref Scenario 2020'!AR24</f>
        <v>1</v>
      </c>
      <c r="AT24" s="11">
        <f>'EU Ref Scenario 2020'!AT24/'EU Ref Scenario 2020'!AS24</f>
        <v>1</v>
      </c>
      <c r="AU24" s="11">
        <f>'EU Ref Scenario 2020'!AU24/'EU Ref Scenario 2020'!AT24</f>
        <v>1</v>
      </c>
      <c r="AV24" s="11">
        <f>'EU Ref Scenario 2020'!AV24/'EU Ref Scenario 2020'!AU24</f>
        <v>1</v>
      </c>
      <c r="AW24" s="11">
        <f>'EU Ref Scenario 2020'!AW24/'EU Ref Scenario 2020'!AV24</f>
        <v>1</v>
      </c>
      <c r="AX24" s="11">
        <f>'EU Ref Scenario 2020'!AX24/'EU Ref Scenario 2020'!AW24</f>
        <v>1</v>
      </c>
    </row>
    <row r="25" spans="1:50" x14ac:dyDescent="0.3">
      <c r="A25" t="s">
        <v>1402</v>
      </c>
      <c r="B25" t="s">
        <v>1439</v>
      </c>
      <c r="F25" s="11">
        <f>'EU Ref Scenario 2020'!F25/'EU Ref Scenario 2020'!E25</f>
        <v>0.98541485615094959</v>
      </c>
      <c r="G25" s="11">
        <f>'EU Ref Scenario 2020'!G25/'EU Ref Scenario 2020'!F25</f>
        <v>0.98519898116208615</v>
      </c>
      <c r="H25" s="11">
        <f>'EU Ref Scenario 2020'!H25/'EU Ref Scenario 2020'!G25</f>
        <v>0.98497661982916851</v>
      </c>
      <c r="I25" s="11">
        <f>'EU Ref Scenario 2020'!I25/'EU Ref Scenario 2020'!H25</f>
        <v>0.98474747535282914</v>
      </c>
      <c r="J25" s="11">
        <f>'EU Ref Scenario 2020'!J25/'EU Ref Scenario 2020'!I25</f>
        <v>0.98451123254547424</v>
      </c>
      <c r="K25" s="11">
        <f>'EU Ref Scenario 2020'!K25/'EU Ref Scenario 2020'!J25</f>
        <v>1.0063652977654565</v>
      </c>
      <c r="L25" s="11">
        <f>'EU Ref Scenario 2020'!L25/'EU Ref Scenario 2020'!K25</f>
        <v>1.0063250370214376</v>
      </c>
      <c r="M25" s="11">
        <f>'EU Ref Scenario 2020'!M25/'EU Ref Scenario 2020'!L25</f>
        <v>1.0062852823777084</v>
      </c>
      <c r="N25" s="11">
        <f>'EU Ref Scenario 2020'!N25/'EU Ref Scenario 2020'!M25</f>
        <v>1.0062460243509248</v>
      </c>
      <c r="O25" s="11">
        <f>'EU Ref Scenario 2020'!O25/'EU Ref Scenario 2020'!N25</f>
        <v>1.0062072536932045</v>
      </c>
      <c r="P25" s="11">
        <f>'EU Ref Scenario 2020'!P25/'EU Ref Scenario 2020'!O25</f>
        <v>0.98772586499662451</v>
      </c>
      <c r="Q25" s="11">
        <f>'EU Ref Scenario 2020'!Q25/'EU Ref Scenario 2020'!P25</f>
        <v>0.98757333847543072</v>
      </c>
      <c r="R25" s="11">
        <f>'EU Ref Scenario 2020'!R25/'EU Ref Scenario 2020'!Q25</f>
        <v>0.9874169734637096</v>
      </c>
      <c r="S25" s="11">
        <f>'EU Ref Scenario 2020'!S25/'EU Ref Scenario 2020'!R25</f>
        <v>0.98725662321546781</v>
      </c>
      <c r="T25" s="11">
        <f>'EU Ref Scenario 2020'!T25/'EU Ref Scenario 2020'!S25</f>
        <v>0.98709213340800117</v>
      </c>
      <c r="U25" s="11">
        <f>'EU Ref Scenario 2020'!U25/'EU Ref Scenario 2020'!T25</f>
        <v>0.98199940035445754</v>
      </c>
      <c r="V25" s="11">
        <f>'EU Ref Scenario 2020'!V25/'EU Ref Scenario 2020'!U25</f>
        <v>0.98166943926946892</v>
      </c>
      <c r="W25" s="11">
        <f>'EU Ref Scenario 2020'!W25/'EU Ref Scenario 2020'!V25</f>
        <v>0.98132715556045824</v>
      </c>
      <c r="X25" s="11">
        <f>'EU Ref Scenario 2020'!X25/'EU Ref Scenario 2020'!W25</f>
        <v>0.98097184579705499</v>
      </c>
      <c r="Y25" s="11">
        <f>'EU Ref Scenario 2020'!Y25/'EU Ref Scenario 2020'!X25</f>
        <v>0.98060275197043578</v>
      </c>
      <c r="Z25" s="11">
        <f>'EU Ref Scenario 2020'!Z25/'EU Ref Scenario 2020'!Y25</f>
        <v>0.99028108228357892</v>
      </c>
      <c r="AA25" s="11">
        <f>'EU Ref Scenario 2020'!AA25/'EU Ref Scenario 2020'!Z25</f>
        <v>0.99018569788891719</v>
      </c>
      <c r="AB25" s="11">
        <f>'EU Ref Scenario 2020'!AB25/'EU Ref Scenario 2020'!AA25</f>
        <v>0.99008842267464892</v>
      </c>
      <c r="AC25" s="11">
        <f>'EU Ref Scenario 2020'!AC25/'EU Ref Scenario 2020'!AB25</f>
        <v>0.98998919985492229</v>
      </c>
      <c r="AD25" s="11">
        <f>'EU Ref Scenario 2020'!AD25/'EU Ref Scenario 2020'!AC25</f>
        <v>0.98988797034700482</v>
      </c>
      <c r="AE25" s="11">
        <f>'EU Ref Scenario 2020'!AE25/'EU Ref Scenario 2020'!AD25</f>
        <v>0.99461335586578747</v>
      </c>
      <c r="AF25" s="11">
        <f>'EU Ref Scenario 2020'!AF25/'EU Ref Scenario 2020'!AE25</f>
        <v>0.99458418278575844</v>
      </c>
      <c r="AG25" s="11">
        <f>'EU Ref Scenario 2020'!AG25/'EU Ref Scenario 2020'!AF25</f>
        <v>0.99455469199291691</v>
      </c>
      <c r="AH25" s="11">
        <f>'EU Ref Scenario 2020'!AH25/'EU Ref Scenario 2020'!AG25</f>
        <v>0.99452487826871372</v>
      </c>
      <c r="AI25" s="11">
        <f>'EU Ref Scenario 2020'!AI25/'EU Ref Scenario 2020'!AH25</f>
        <v>0.99449473627968188</v>
      </c>
      <c r="AJ25" s="11">
        <f>'EU Ref Scenario 2020'!AJ25/'EU Ref Scenario 2020'!AI25</f>
        <v>0.99598875540850762</v>
      </c>
      <c r="AK25" s="11">
        <f>'EU Ref Scenario 2020'!AK25/'EU Ref Scenario 2020'!AJ25</f>
        <v>0.99597260052414227</v>
      </c>
      <c r="AL25" s="11">
        <f>'EU Ref Scenario 2020'!AL25/'EU Ref Scenario 2020'!AK25</f>
        <v>0.99595631498924952</v>
      </c>
      <c r="AM25" s="11">
        <f>'EU Ref Scenario 2020'!AM25/'EU Ref Scenario 2020'!AL25</f>
        <v>0.99593989721246545</v>
      </c>
      <c r="AN25" s="11">
        <f>'EU Ref Scenario 2020'!AN25/'EU Ref Scenario 2020'!AM25</f>
        <v>0.99592334557647655</v>
      </c>
      <c r="AO25" s="11">
        <f>'EU Ref Scenario 2020'!AO25/'EU Ref Scenario 2020'!AN25</f>
        <v>1</v>
      </c>
      <c r="AP25" s="11">
        <f>'EU Ref Scenario 2020'!AP25/'EU Ref Scenario 2020'!AO25</f>
        <v>1</v>
      </c>
      <c r="AQ25" s="11">
        <f>'EU Ref Scenario 2020'!AQ25/'EU Ref Scenario 2020'!AP25</f>
        <v>1</v>
      </c>
      <c r="AR25" s="11">
        <f>'EU Ref Scenario 2020'!AR25/'EU Ref Scenario 2020'!AQ25</f>
        <v>1</v>
      </c>
      <c r="AS25" s="11">
        <f>'EU Ref Scenario 2020'!AS25/'EU Ref Scenario 2020'!AR25</f>
        <v>1</v>
      </c>
      <c r="AT25" s="11">
        <f>'EU Ref Scenario 2020'!AT25/'EU Ref Scenario 2020'!AS25</f>
        <v>1</v>
      </c>
      <c r="AU25" s="11">
        <f>'EU Ref Scenario 2020'!AU25/'EU Ref Scenario 2020'!AT25</f>
        <v>1</v>
      </c>
      <c r="AV25" s="11">
        <f>'EU Ref Scenario 2020'!AV25/'EU Ref Scenario 2020'!AU25</f>
        <v>1</v>
      </c>
      <c r="AW25" s="11">
        <f>'EU Ref Scenario 2020'!AW25/'EU Ref Scenario 2020'!AV25</f>
        <v>1</v>
      </c>
      <c r="AX25" s="11">
        <f>'EU Ref Scenario 2020'!AX25/'EU Ref Scenario 2020'!AW25</f>
        <v>1</v>
      </c>
    </row>
    <row r="26" spans="1:50" x14ac:dyDescent="0.3">
      <c r="A26" t="s">
        <v>1402</v>
      </c>
      <c r="B26" t="s">
        <v>1435</v>
      </c>
      <c r="F26" s="11">
        <f>'EU Ref Scenario 2020'!F26/'EU Ref Scenario 2020'!E26</f>
        <v>0.98996198823451775</v>
      </c>
      <c r="G26" s="11">
        <f>'EU Ref Scenario 2020'!G26/'EU Ref Scenario 2020'!F26</f>
        <v>0.98986020485151771</v>
      </c>
      <c r="H26" s="11">
        <f>'EU Ref Scenario 2020'!H26/'EU Ref Scenario 2020'!G26</f>
        <v>0.98975633619900572</v>
      </c>
      <c r="I26" s="11">
        <f>'EU Ref Scenario 2020'!I26/'EU Ref Scenario 2020'!H26</f>
        <v>0.9896503175313498</v>
      </c>
      <c r="J26" s="11">
        <f>'EU Ref Scenario 2020'!J26/'EU Ref Scenario 2020'!I26</f>
        <v>0.98954208139450006</v>
      </c>
      <c r="K26" s="11">
        <f>'EU Ref Scenario 2020'!K26/'EU Ref Scenario 2020'!J26</f>
        <v>1.0058422273572702</v>
      </c>
      <c r="L26" s="11">
        <f>'EU Ref Scenario 2020'!L26/'EU Ref Scenario 2020'!K26</f>
        <v>1.0058082939832622</v>
      </c>
      <c r="M26" s="11">
        <f>'EU Ref Scenario 2020'!M26/'EU Ref Scenario 2020'!L26</f>
        <v>1.0057747525229284</v>
      </c>
      <c r="N26" s="11">
        <f>'EU Ref Scenario 2020'!N26/'EU Ref Scenario 2020'!M26</f>
        <v>1.0057415962256389</v>
      </c>
      <c r="O26" s="11">
        <f>'EU Ref Scenario 2020'!O26/'EU Ref Scenario 2020'!N26</f>
        <v>1.0057088184949154</v>
      </c>
      <c r="P26" s="11">
        <f>'EU Ref Scenario 2020'!P26/'EU Ref Scenario 2020'!O26</f>
        <v>0.98843065970420263</v>
      </c>
      <c r="Q26" s="11">
        <f>'EU Ref Scenario 2020'!Q26/'EU Ref Scenario 2020'!P26</f>
        <v>0.98829524339192432</v>
      </c>
      <c r="R26" s="11">
        <f>'EU Ref Scenario 2020'!R26/'EU Ref Scenario 2020'!Q26</f>
        <v>0.98815661950582312</v>
      </c>
      <c r="S26" s="11">
        <f>'EU Ref Scenario 2020'!S26/'EU Ref Scenario 2020'!R26</f>
        <v>0.98801467271443288</v>
      </c>
      <c r="T26" s="11">
        <f>'EU Ref Scenario 2020'!T26/'EU Ref Scenario 2020'!S26</f>
        <v>0.98786928209007374</v>
      </c>
      <c r="U26" s="11">
        <f>'EU Ref Scenario 2020'!U26/'EU Ref Scenario 2020'!T26</f>
        <v>0.99593863026272611</v>
      </c>
      <c r="V26" s="11">
        <f>'EU Ref Scenario 2020'!V26/'EU Ref Scenario 2020'!U26</f>
        <v>0.99592206827422436</v>
      </c>
      <c r="W26" s="11">
        <f>'EU Ref Scenario 2020'!W26/'EU Ref Scenario 2020'!V26</f>
        <v>0.99590537065531437</v>
      </c>
      <c r="X26" s="11">
        <f>'EU Ref Scenario 2020'!X26/'EU Ref Scenario 2020'!W26</f>
        <v>0.99588853573307745</v>
      </c>
      <c r="Y26" s="11">
        <f>'EU Ref Scenario 2020'!Y26/'EU Ref Scenario 2020'!X26</f>
        <v>0.99587156180696856</v>
      </c>
      <c r="Z26" s="11">
        <f>'EU Ref Scenario 2020'!Z26/'EU Ref Scenario 2020'!Y26</f>
        <v>0.99660899334868613</v>
      </c>
      <c r="AA26" s="11">
        <f>'EU Ref Scenario 2020'!AA26/'EU Ref Scenario 2020'!Z26</f>
        <v>0.99659745529696675</v>
      </c>
      <c r="AB26" s="11">
        <f>'EU Ref Scenario 2020'!AB26/'EU Ref Scenario 2020'!AA26</f>
        <v>0.9965858384597025</v>
      </c>
      <c r="AC26" s="11">
        <f>'EU Ref Scenario 2020'!AC26/'EU Ref Scenario 2020'!AB26</f>
        <v>0.99657414202716921</v>
      </c>
      <c r="AD26" s="11">
        <f>'EU Ref Scenario 2020'!AD26/'EU Ref Scenario 2020'!AC26</f>
        <v>0.99656236517850816</v>
      </c>
      <c r="AE26" s="11">
        <f>'EU Ref Scenario 2020'!AE26/'EU Ref Scenario 2020'!AD26</f>
        <v>0.99961571701972207</v>
      </c>
      <c r="AF26" s="11">
        <f>'EU Ref Scenario 2020'!AF26/'EU Ref Scenario 2020'!AE26</f>
        <v>0.99961556928954287</v>
      </c>
      <c r="AG26" s="11">
        <f>'EU Ref Scenario 2020'!AG26/'EU Ref Scenario 2020'!AF26</f>
        <v>0.99961542144573601</v>
      </c>
      <c r="AH26" s="11">
        <f>'EU Ref Scenario 2020'!AH26/'EU Ref Scenario 2020'!AG26</f>
        <v>0.99961527348817036</v>
      </c>
      <c r="AI26" s="11">
        <f>'EU Ref Scenario 2020'!AI26/'EU Ref Scenario 2020'!AH26</f>
        <v>0.99961512541671438</v>
      </c>
      <c r="AJ26" s="11">
        <f>'EU Ref Scenario 2020'!AJ26/'EU Ref Scenario 2020'!AI26</f>
        <v>1.002158026911055</v>
      </c>
      <c r="AK26" s="11">
        <f>'EU Ref Scenario 2020'!AK26/'EU Ref Scenario 2020'!AJ26</f>
        <v>1.0021533798593687</v>
      </c>
      <c r="AL26" s="11">
        <f>'EU Ref Scenario 2020'!AL26/'EU Ref Scenario 2020'!AK26</f>
        <v>1.002148752778413</v>
      </c>
      <c r="AM26" s="11">
        <f>'EU Ref Scenario 2020'!AM26/'EU Ref Scenario 2020'!AL26</f>
        <v>1.0021441455397273</v>
      </c>
      <c r="AN26" s="11">
        <f>'EU Ref Scenario 2020'!AN26/'EU Ref Scenario 2020'!AM26</f>
        <v>1.0021395580159502</v>
      </c>
      <c r="AO26" s="11">
        <f>'EU Ref Scenario 2020'!AO26/'EU Ref Scenario 2020'!AN26</f>
        <v>1</v>
      </c>
      <c r="AP26" s="11">
        <f>'EU Ref Scenario 2020'!AP26/'EU Ref Scenario 2020'!AO26</f>
        <v>1</v>
      </c>
      <c r="AQ26" s="11">
        <f>'EU Ref Scenario 2020'!AQ26/'EU Ref Scenario 2020'!AP26</f>
        <v>1</v>
      </c>
      <c r="AR26" s="11">
        <f>'EU Ref Scenario 2020'!AR26/'EU Ref Scenario 2020'!AQ26</f>
        <v>1</v>
      </c>
      <c r="AS26" s="11">
        <f>'EU Ref Scenario 2020'!AS26/'EU Ref Scenario 2020'!AR26</f>
        <v>1</v>
      </c>
      <c r="AT26" s="11">
        <f>'EU Ref Scenario 2020'!AT26/'EU Ref Scenario 2020'!AS26</f>
        <v>1</v>
      </c>
      <c r="AU26" s="11">
        <f>'EU Ref Scenario 2020'!AU26/'EU Ref Scenario 2020'!AT26</f>
        <v>1</v>
      </c>
      <c r="AV26" s="11">
        <f>'EU Ref Scenario 2020'!AV26/'EU Ref Scenario 2020'!AU26</f>
        <v>1</v>
      </c>
      <c r="AW26" s="11">
        <f>'EU Ref Scenario 2020'!AW26/'EU Ref Scenario 2020'!AV26</f>
        <v>1</v>
      </c>
      <c r="AX26" s="11">
        <f>'EU Ref Scenario 2020'!AX26/'EU Ref Scenario 2020'!AW26</f>
        <v>1</v>
      </c>
    </row>
    <row r="27" spans="1:50" x14ac:dyDescent="0.3">
      <c r="A27" t="s">
        <v>1403</v>
      </c>
      <c r="B27" t="s">
        <v>1434</v>
      </c>
      <c r="F27" s="11">
        <f>'EU Ref Scenario 2020'!F27/'EU Ref Scenario 2020'!E27</f>
        <v>0.99641192679156509</v>
      </c>
      <c r="G27" s="11">
        <f>'EU Ref Scenario 2020'!G27/'EU Ref Scenario 2020'!F27</f>
        <v>0.99639900616205135</v>
      </c>
      <c r="H27" s="11">
        <f>'EU Ref Scenario 2020'!H27/'EU Ref Scenario 2020'!G27</f>
        <v>0.9963859921420245</v>
      </c>
      <c r="I27" s="11">
        <f>'EU Ref Scenario 2020'!I27/'EU Ref Scenario 2020'!H27</f>
        <v>0.99637288371526966</v>
      </c>
      <c r="J27" s="11">
        <f>'EU Ref Scenario 2020'!J27/'EU Ref Scenario 2020'!I27</f>
        <v>0.99635967985077456</v>
      </c>
      <c r="K27" s="11">
        <f>'EU Ref Scenario 2020'!K27/'EU Ref Scenario 2020'!J27</f>
        <v>1.0152227980960207</v>
      </c>
      <c r="L27" s="11">
        <f>'EU Ref Scenario 2020'!L27/'EU Ref Scenario 2020'!K27</f>
        <v>1.014994539252438</v>
      </c>
      <c r="M27" s="11">
        <f>'EU Ref Scenario 2020'!M27/'EU Ref Scenario 2020'!L27</f>
        <v>1.0147730245558579</v>
      </c>
      <c r="N27" s="11">
        <f>'EU Ref Scenario 2020'!N27/'EU Ref Scenario 2020'!M27</f>
        <v>1.0145579594632246</v>
      </c>
      <c r="O27" s="11">
        <f>'EU Ref Scenario 2020'!O27/'EU Ref Scenario 2020'!N27</f>
        <v>1.0143490663371526</v>
      </c>
      <c r="P27" s="11">
        <f>'EU Ref Scenario 2020'!P27/'EU Ref Scenario 2020'!O27</f>
        <v>1.0229241513370555</v>
      </c>
      <c r="Q27" s="11">
        <f>'EU Ref Scenario 2020'!Q27/'EU Ref Scenario 2020'!P27</f>
        <v>1.0224104116684423</v>
      </c>
      <c r="R27" s="11">
        <f>'EU Ref Scenario 2020'!R27/'EU Ref Scenario 2020'!Q27</f>
        <v>1.0219191935182579</v>
      </c>
      <c r="S27" s="11">
        <f>'EU Ref Scenario 2020'!S27/'EU Ref Scenario 2020'!R27</f>
        <v>1.0214490476911335</v>
      </c>
      <c r="T27" s="11">
        <f>'EU Ref Scenario 2020'!T27/'EU Ref Scenario 2020'!S27</f>
        <v>1.0209986467162671</v>
      </c>
      <c r="U27" s="11">
        <f>'EU Ref Scenario 2020'!U27/'EU Ref Scenario 2020'!T27</f>
        <v>0.99387059664374588</v>
      </c>
      <c r="V27" s="11">
        <f>'EU Ref Scenario 2020'!V27/'EU Ref Scenario 2020'!U27</f>
        <v>0.99383279535892011</v>
      </c>
      <c r="W27" s="11">
        <f>'EU Ref Scenario 2020'!W27/'EU Ref Scenario 2020'!V27</f>
        <v>0.9937945249242327</v>
      </c>
      <c r="X27" s="11">
        <f>'EU Ref Scenario 2020'!X27/'EU Ref Scenario 2020'!W27</f>
        <v>0.99375577655125402</v>
      </c>
      <c r="Y27" s="11">
        <f>'EU Ref Scenario 2020'!Y27/'EU Ref Scenario 2020'!X27</f>
        <v>0.99371654123066711</v>
      </c>
      <c r="Z27" s="11">
        <f>'EU Ref Scenario 2020'!Z27/'EU Ref Scenario 2020'!Y27</f>
        <v>1.0128008019938486</v>
      </c>
      <c r="AA27" s="11">
        <f>'EU Ref Scenario 2020'!AA27/'EU Ref Scenario 2020'!Z27</f>
        <v>1.0126390124974707</v>
      </c>
      <c r="AB27" s="11">
        <f>'EU Ref Scenario 2020'!AB27/'EU Ref Scenario 2020'!AA27</f>
        <v>1.0124812616751739</v>
      </c>
      <c r="AC27" s="11">
        <f>'EU Ref Scenario 2020'!AC27/'EU Ref Scenario 2020'!AB27</f>
        <v>1.0123274001679037</v>
      </c>
      <c r="AD27" s="11">
        <f>'EU Ref Scenario 2020'!AD27/'EU Ref Scenario 2020'!AC27</f>
        <v>1.012177285891757</v>
      </c>
      <c r="AE27" s="11">
        <f>'EU Ref Scenario 2020'!AE27/'EU Ref Scenario 2020'!AD27</f>
        <v>1.0056348797780015</v>
      </c>
      <c r="AF27" s="11">
        <f>'EU Ref Scenario 2020'!AF27/'EU Ref Scenario 2020'!AE27</f>
        <v>1.0056033058233276</v>
      </c>
      <c r="AG27" s="11">
        <f>'EU Ref Scenario 2020'!AG27/'EU Ref Scenario 2020'!AF27</f>
        <v>1.0055720837340922</v>
      </c>
      <c r="AH27" s="11">
        <f>'EU Ref Scenario 2020'!AH27/'EU Ref Scenario 2020'!AG27</f>
        <v>1.0055412076610171</v>
      </c>
      <c r="AI27" s="11">
        <f>'EU Ref Scenario 2020'!AI27/'EU Ref Scenario 2020'!AH27</f>
        <v>1.0055106718837579</v>
      </c>
      <c r="AJ27" s="11">
        <f>'EU Ref Scenario 2020'!AJ27/'EU Ref Scenario 2020'!AI27</f>
        <v>1.0084424821621187</v>
      </c>
      <c r="AK27" s="11">
        <f>'EU Ref Scenario 2020'!AK27/'EU Ref Scenario 2020'!AJ27</f>
        <v>1.0083718033615738</v>
      </c>
      <c r="AL27" s="11">
        <f>'EU Ref Scenario 2020'!AL27/'EU Ref Scenario 2020'!AK27</f>
        <v>1.0083022981539795</v>
      </c>
      <c r="AM27" s="11">
        <f>'EU Ref Scenario 2020'!AM27/'EU Ref Scenario 2020'!AL27</f>
        <v>1.0082339375494627</v>
      </c>
      <c r="AN27" s="11">
        <f>'EU Ref Scenario 2020'!AN27/'EU Ref Scenario 2020'!AM27</f>
        <v>1.0081666935051554</v>
      </c>
      <c r="AO27" s="11">
        <f>'EU Ref Scenario 2020'!AO27/'EU Ref Scenario 2020'!AN27</f>
        <v>1</v>
      </c>
      <c r="AP27" s="11">
        <f>'EU Ref Scenario 2020'!AP27/'EU Ref Scenario 2020'!AO27</f>
        <v>1</v>
      </c>
      <c r="AQ27" s="11">
        <f>'EU Ref Scenario 2020'!AQ27/'EU Ref Scenario 2020'!AP27</f>
        <v>1</v>
      </c>
      <c r="AR27" s="11">
        <f>'EU Ref Scenario 2020'!AR27/'EU Ref Scenario 2020'!AQ27</f>
        <v>1</v>
      </c>
      <c r="AS27" s="11">
        <f>'EU Ref Scenario 2020'!AS27/'EU Ref Scenario 2020'!AR27</f>
        <v>1</v>
      </c>
      <c r="AT27" s="11">
        <f>'EU Ref Scenario 2020'!AT27/'EU Ref Scenario 2020'!AS27</f>
        <v>1</v>
      </c>
      <c r="AU27" s="11">
        <f>'EU Ref Scenario 2020'!AU27/'EU Ref Scenario 2020'!AT27</f>
        <v>1</v>
      </c>
      <c r="AV27" s="11">
        <f>'EU Ref Scenario 2020'!AV27/'EU Ref Scenario 2020'!AU27</f>
        <v>1</v>
      </c>
      <c r="AW27" s="11">
        <f>'EU Ref Scenario 2020'!AW27/'EU Ref Scenario 2020'!AV27</f>
        <v>1</v>
      </c>
      <c r="AX27" s="11">
        <f>'EU Ref Scenario 2020'!AX27/'EU Ref Scenario 2020'!AW27</f>
        <v>1</v>
      </c>
    </row>
    <row r="28" spans="1:50" x14ac:dyDescent="0.3">
      <c r="A28" t="s">
        <v>1403</v>
      </c>
      <c r="B28" t="s">
        <v>1439</v>
      </c>
      <c r="F28" s="11">
        <f>'EU Ref Scenario 2020'!F28/'EU Ref Scenario 2020'!E28</f>
        <v>0.99346665066822692</v>
      </c>
      <c r="G28" s="11">
        <f>'EU Ref Scenario 2020'!G28/'EU Ref Scenario 2020'!F28</f>
        <v>0.99342368530702196</v>
      </c>
      <c r="H28" s="11">
        <f>'EU Ref Scenario 2020'!H28/'EU Ref Scenario 2020'!G28</f>
        <v>0.99338015109741873</v>
      </c>
      <c r="I28" s="11">
        <f>'EU Ref Scenario 2020'!I28/'EU Ref Scenario 2020'!H28</f>
        <v>0.99333603666706227</v>
      </c>
      <c r="J28" s="11">
        <f>'EU Ref Scenario 2020'!J28/'EU Ref Scenario 2020'!I28</f>
        <v>0.99329133033842487</v>
      </c>
      <c r="K28" s="11">
        <f>'EU Ref Scenario 2020'!K28/'EU Ref Scenario 2020'!J28</f>
        <v>1.0180800941417842</v>
      </c>
      <c r="L28" s="11">
        <f>'EU Ref Scenario 2020'!L28/'EU Ref Scenario 2020'!K28</f>
        <v>1.0177590095767715</v>
      </c>
      <c r="M28" s="11">
        <f>'EU Ref Scenario 2020'!M28/'EU Ref Scenario 2020'!L28</f>
        <v>1.0174491303045858</v>
      </c>
      <c r="N28" s="11">
        <f>'EU Ref Scenario 2020'!N28/'EU Ref Scenario 2020'!M28</f>
        <v>1.0171498798169518</v>
      </c>
      <c r="O28" s="11">
        <f>'EU Ref Scenario 2020'!O28/'EU Ref Scenario 2020'!N28</f>
        <v>1.0168607204869733</v>
      </c>
      <c r="P28" s="11">
        <f>'EU Ref Scenario 2020'!P28/'EU Ref Scenario 2020'!O28</f>
        <v>1.0040482022042274</v>
      </c>
      <c r="Q28" s="11">
        <f>'EU Ref Scenario 2020'!Q28/'EU Ref Scenario 2020'!P28</f>
        <v>1.0040318803373587</v>
      </c>
      <c r="R28" s="11">
        <f>'EU Ref Scenario 2020'!R28/'EU Ref Scenario 2020'!Q28</f>
        <v>1.0040156895575905</v>
      </c>
      <c r="S28" s="11">
        <f>'EU Ref Scenario 2020'!S28/'EU Ref Scenario 2020'!R28</f>
        <v>1.0039996282920238</v>
      </c>
      <c r="T28" s="11">
        <f>'EU Ref Scenario 2020'!T28/'EU Ref Scenario 2020'!S28</f>
        <v>1.0039836949928236</v>
      </c>
      <c r="U28" s="11">
        <f>'EU Ref Scenario 2020'!U28/'EU Ref Scenario 2020'!T28</f>
        <v>0.97971400901427752</v>
      </c>
      <c r="V28" s="11">
        <f>'EU Ref Scenario 2020'!V28/'EU Ref Scenario 2020'!U28</f>
        <v>0.97929396660752777</v>
      </c>
      <c r="W28" s="11">
        <f>'EU Ref Scenario 2020'!W28/'EU Ref Scenario 2020'!V28</f>
        <v>0.97885616158322497</v>
      </c>
      <c r="X28" s="11">
        <f>'EU Ref Scenario 2020'!X28/'EU Ref Scenario 2020'!W28</f>
        <v>0.97839944289406477</v>
      </c>
      <c r="Y28" s="11">
        <f>'EU Ref Scenario 2020'!Y28/'EU Ref Scenario 2020'!X28</f>
        <v>0.97792255784402138</v>
      </c>
      <c r="Z28" s="11">
        <f>'EU Ref Scenario 2020'!Z28/'EU Ref Scenario 2020'!Y28</f>
        <v>1.0196081040510927</v>
      </c>
      <c r="AA28" s="11">
        <f>'EU Ref Scenario 2020'!AA28/'EU Ref Scenario 2020'!Z28</f>
        <v>1.019231020205887</v>
      </c>
      <c r="AB28" s="11">
        <f>'EU Ref Scenario 2020'!AB28/'EU Ref Scenario 2020'!AA28</f>
        <v>1.0188681661219476</v>
      </c>
      <c r="AC28" s="11">
        <f>'EU Ref Scenario 2020'!AC28/'EU Ref Scenario 2020'!AB28</f>
        <v>1.0185187512470475</v>
      </c>
      <c r="AD28" s="11">
        <f>'EU Ref Scenario 2020'!AD28/'EU Ref Scenario 2020'!AC28</f>
        <v>1.0181820425243751</v>
      </c>
      <c r="AE28" s="11">
        <f>'EU Ref Scenario 2020'!AE28/'EU Ref Scenario 2020'!AD28</f>
        <v>0.99286010828283733</v>
      </c>
      <c r="AF28" s="11">
        <f>'EU Ref Scenario 2020'!AF28/'EU Ref Scenario 2020'!AE28</f>
        <v>0.99280876363387061</v>
      </c>
      <c r="AG28" s="11">
        <f>'EU Ref Scenario 2020'!AG28/'EU Ref Scenario 2020'!AF28</f>
        <v>0.99275667517296273</v>
      </c>
      <c r="AH28" s="11">
        <f>'EU Ref Scenario 2020'!AH28/'EU Ref Scenario 2020'!AG28</f>
        <v>0.992703826619171</v>
      </c>
      <c r="AI28" s="11">
        <f>'EU Ref Scenario 2020'!AI28/'EU Ref Scenario 2020'!AH28</f>
        <v>0.99265020121290626</v>
      </c>
      <c r="AJ28" s="11">
        <f>'EU Ref Scenario 2020'!AJ28/'EU Ref Scenario 2020'!AI28</f>
        <v>1.0028982240891144</v>
      </c>
      <c r="AK28" s="11">
        <f>'EU Ref Scenario 2020'!AK28/'EU Ref Scenario 2020'!AJ28</f>
        <v>1.0028898486601139</v>
      </c>
      <c r="AL28" s="11">
        <f>'EU Ref Scenario 2020'!AL28/'EU Ref Scenario 2020'!AK28</f>
        <v>1.0028815214990707</v>
      </c>
      <c r="AM28" s="11">
        <f>'EU Ref Scenario 2020'!AM28/'EU Ref Scenario 2020'!AL28</f>
        <v>1.0028732421899282</v>
      </c>
      <c r="AN28" s="11">
        <f>'EU Ref Scenario 2020'!AN28/'EU Ref Scenario 2020'!AM28</f>
        <v>1.0028650103213985</v>
      </c>
      <c r="AO28" s="11">
        <f>'EU Ref Scenario 2020'!AO28/'EU Ref Scenario 2020'!AN28</f>
        <v>1</v>
      </c>
      <c r="AP28" s="11">
        <f>'EU Ref Scenario 2020'!AP28/'EU Ref Scenario 2020'!AO28</f>
        <v>1</v>
      </c>
      <c r="AQ28" s="11">
        <f>'EU Ref Scenario 2020'!AQ28/'EU Ref Scenario 2020'!AP28</f>
        <v>1</v>
      </c>
      <c r="AR28" s="11">
        <f>'EU Ref Scenario 2020'!AR28/'EU Ref Scenario 2020'!AQ28</f>
        <v>1</v>
      </c>
      <c r="AS28" s="11">
        <f>'EU Ref Scenario 2020'!AS28/'EU Ref Scenario 2020'!AR28</f>
        <v>1</v>
      </c>
      <c r="AT28" s="11">
        <f>'EU Ref Scenario 2020'!AT28/'EU Ref Scenario 2020'!AS28</f>
        <v>1</v>
      </c>
      <c r="AU28" s="11">
        <f>'EU Ref Scenario 2020'!AU28/'EU Ref Scenario 2020'!AT28</f>
        <v>1</v>
      </c>
      <c r="AV28" s="11">
        <f>'EU Ref Scenario 2020'!AV28/'EU Ref Scenario 2020'!AU28</f>
        <v>1</v>
      </c>
      <c r="AW28" s="11">
        <f>'EU Ref Scenario 2020'!AW28/'EU Ref Scenario 2020'!AV28</f>
        <v>1</v>
      </c>
      <c r="AX28" s="11">
        <f>'EU Ref Scenario 2020'!AX28/'EU Ref Scenario 2020'!AW28</f>
        <v>1</v>
      </c>
    </row>
    <row r="29" spans="1:50" x14ac:dyDescent="0.3">
      <c r="A29" t="s">
        <v>1403</v>
      </c>
      <c r="B29" t="s">
        <v>1435</v>
      </c>
      <c r="F29" s="11">
        <f>'EU Ref Scenario 2020'!F29/'EU Ref Scenario 2020'!E29</f>
        <v>0.9983599497610981</v>
      </c>
      <c r="G29" s="11">
        <f>'EU Ref Scenario 2020'!G29/'EU Ref Scenario 2020'!F29</f>
        <v>0.99835725557771593</v>
      </c>
      <c r="H29" s="11">
        <f>'EU Ref Scenario 2020'!H29/'EU Ref Scenario 2020'!G29</f>
        <v>0.99835455252805916</v>
      </c>
      <c r="I29" s="11">
        <f>'EU Ref Scenario 2020'!I29/'EU Ref Scenario 2020'!H29</f>
        <v>0.99835184056828896</v>
      </c>
      <c r="J29" s="11">
        <f>'EU Ref Scenario 2020'!J29/'EU Ref Scenario 2020'!I29</f>
        <v>0.99834911965427686</v>
      </c>
      <c r="K29" s="11">
        <f>'EU Ref Scenario 2020'!K29/'EU Ref Scenario 2020'!J29</f>
        <v>1.0133795855390024</v>
      </c>
      <c r="L29" s="11">
        <f>'EU Ref Scenario 2020'!L29/'EU Ref Scenario 2020'!K29</f>
        <v>1.0132029357310233</v>
      </c>
      <c r="M29" s="11">
        <f>'EU Ref Scenario 2020'!M29/'EU Ref Scenario 2020'!L29</f>
        <v>1.0130308897313818</v>
      </c>
      <c r="N29" s="11">
        <f>'EU Ref Scenario 2020'!N29/'EU Ref Scenario 2020'!M29</f>
        <v>1.0128632698799906</v>
      </c>
      <c r="O29" s="11">
        <f>'EU Ref Scenario 2020'!O29/'EU Ref Scenario 2020'!N29</f>
        <v>1.0126999075418288</v>
      </c>
      <c r="P29" s="11">
        <f>'EU Ref Scenario 2020'!P29/'EU Ref Scenario 2020'!O29</f>
        <v>1.0353690721435804</v>
      </c>
      <c r="Q29" s="11">
        <f>'EU Ref Scenario 2020'!Q29/'EU Ref Scenario 2020'!P29</f>
        <v>1.0341608351023601</v>
      </c>
      <c r="R29" s="11">
        <f>'EU Ref Scenario 2020'!R29/'EU Ref Scenario 2020'!Q29</f>
        <v>1.0330324200480663</v>
      </c>
      <c r="S29" s="11">
        <f>'EU Ref Scenario 2020'!S29/'EU Ref Scenario 2020'!R29</f>
        <v>1.0319761697764813</v>
      </c>
      <c r="T29" s="11">
        <f>'EU Ref Scenario 2020'!T29/'EU Ref Scenario 2020'!S29</f>
        <v>1.030985376128799</v>
      </c>
      <c r="U29" s="11">
        <f>'EU Ref Scenario 2020'!U29/'EU Ref Scenario 2020'!T29</f>
        <v>1.0019620269537208</v>
      </c>
      <c r="V29" s="11">
        <f>'EU Ref Scenario 2020'!V29/'EU Ref Scenario 2020'!U29</f>
        <v>1.001958184942084</v>
      </c>
      <c r="W29" s="11">
        <f>'EU Ref Scenario 2020'!W29/'EU Ref Scenario 2020'!V29</f>
        <v>1.0019543579477792</v>
      </c>
      <c r="X29" s="11">
        <f>'EU Ref Scenario 2020'!X29/'EU Ref Scenario 2020'!W29</f>
        <v>1.0019505458829305</v>
      </c>
      <c r="Y29" s="11">
        <f>'EU Ref Scenario 2020'!Y29/'EU Ref Scenario 2020'!X29</f>
        <v>1.0019467486603457</v>
      </c>
      <c r="Z29" s="11">
        <f>'EU Ref Scenario 2020'!Z29/'EU Ref Scenario 2020'!Y29</f>
        <v>1.0093385876617014</v>
      </c>
      <c r="AA29" s="11">
        <f>'EU Ref Scenario 2020'!AA29/'EU Ref Scenario 2020'!Z29</f>
        <v>1.0092521853180465</v>
      </c>
      <c r="AB29" s="11">
        <f>'EU Ref Scenario 2020'!AB29/'EU Ref Scenario 2020'!AA29</f>
        <v>1.0091673671384034</v>
      </c>
      <c r="AC29" s="11">
        <f>'EU Ref Scenario 2020'!AC29/'EU Ref Scenario 2020'!AB29</f>
        <v>1.009084089950707</v>
      </c>
      <c r="AD29" s="11">
        <f>'EU Ref Scenario 2020'!AD29/'EU Ref Scenario 2020'!AC29</f>
        <v>1.0090023121374856</v>
      </c>
      <c r="AE29" s="11">
        <f>'EU Ref Scenario 2020'!AE29/'EU Ref Scenario 2020'!AD29</f>
        <v>1.0124509042554573</v>
      </c>
      <c r="AF29" s="11">
        <f>'EU Ref Scenario 2020'!AF29/'EU Ref Scenario 2020'!AE29</f>
        <v>1.0122977857031137</v>
      </c>
      <c r="AG29" s="11">
        <f>'EU Ref Scenario 2020'!AG29/'EU Ref Scenario 2020'!AF29</f>
        <v>1.0121483874377655</v>
      </c>
      <c r="AH29" s="11">
        <f>'EU Ref Scenario 2020'!AH29/'EU Ref Scenario 2020'!AG29</f>
        <v>1.0120025755003363</v>
      </c>
      <c r="AI29" s="11">
        <f>'EU Ref Scenario 2020'!AI29/'EU Ref Scenario 2020'!AH29</f>
        <v>1.0118602222868873</v>
      </c>
      <c r="AJ29" s="11">
        <f>'EU Ref Scenario 2020'!AJ29/'EU Ref Scenario 2020'!AI29</f>
        <v>1.0111278591360457</v>
      </c>
      <c r="AK29" s="11">
        <f>'EU Ref Scenario 2020'!AK29/'EU Ref Scenario 2020'!AJ29</f>
        <v>1.0110053926766036</v>
      </c>
      <c r="AL29" s="11">
        <f>'EU Ref Scenario 2020'!AL29/'EU Ref Scenario 2020'!AK29</f>
        <v>1.0108855924570959</v>
      </c>
      <c r="AM29" s="11">
        <f>'EU Ref Scenario 2020'!AM29/'EU Ref Scenario 2020'!AL29</f>
        <v>1.0107683723443293</v>
      </c>
      <c r="AN29" s="11">
        <f>'EU Ref Scenario 2020'!AN29/'EU Ref Scenario 2020'!AM29</f>
        <v>1.0106536498756422</v>
      </c>
      <c r="AO29" s="11">
        <f>'EU Ref Scenario 2020'!AO29/'EU Ref Scenario 2020'!AN29</f>
        <v>1</v>
      </c>
      <c r="AP29" s="11">
        <f>'EU Ref Scenario 2020'!AP29/'EU Ref Scenario 2020'!AO29</f>
        <v>1</v>
      </c>
      <c r="AQ29" s="11">
        <f>'EU Ref Scenario 2020'!AQ29/'EU Ref Scenario 2020'!AP29</f>
        <v>1</v>
      </c>
      <c r="AR29" s="11">
        <f>'EU Ref Scenario 2020'!AR29/'EU Ref Scenario 2020'!AQ29</f>
        <v>1</v>
      </c>
      <c r="AS29" s="11">
        <f>'EU Ref Scenario 2020'!AS29/'EU Ref Scenario 2020'!AR29</f>
        <v>1</v>
      </c>
      <c r="AT29" s="11">
        <f>'EU Ref Scenario 2020'!AT29/'EU Ref Scenario 2020'!AS29</f>
        <v>1</v>
      </c>
      <c r="AU29" s="11">
        <f>'EU Ref Scenario 2020'!AU29/'EU Ref Scenario 2020'!AT29</f>
        <v>1</v>
      </c>
      <c r="AV29" s="11">
        <f>'EU Ref Scenario 2020'!AV29/'EU Ref Scenario 2020'!AU29</f>
        <v>1</v>
      </c>
      <c r="AW29" s="11">
        <f>'EU Ref Scenario 2020'!AW29/'EU Ref Scenario 2020'!AV29</f>
        <v>1</v>
      </c>
      <c r="AX29" s="11">
        <f>'EU Ref Scenario 2020'!AX29/'EU Ref Scenario 2020'!AW29</f>
        <v>1</v>
      </c>
    </row>
    <row r="30" spans="1:50" x14ac:dyDescent="0.3">
      <c r="A30" t="s">
        <v>1405</v>
      </c>
      <c r="B30" t="s">
        <v>1434</v>
      </c>
      <c r="F30" s="11">
        <f>'EU Ref Scenario 2020'!F30/'EU Ref Scenario 2020'!E30</f>
        <v>0.97401574103204724</v>
      </c>
      <c r="G30" s="11">
        <f>'EU Ref Scenario 2020'!G30/'EU Ref Scenario 2020'!F30</f>
        <v>0.97332254718961686</v>
      </c>
      <c r="H30" s="11">
        <f>'EU Ref Scenario 2020'!H30/'EU Ref Scenario 2020'!G30</f>
        <v>0.97259135433838251</v>
      </c>
      <c r="I30" s="11">
        <f>'EU Ref Scenario 2020'!I30/'EU Ref Scenario 2020'!H30</f>
        <v>0.97181894992243423</v>
      </c>
      <c r="J30" s="11">
        <f>'EU Ref Scenario 2020'!J30/'EU Ref Scenario 2020'!I30</f>
        <v>0.97100174875184797</v>
      </c>
      <c r="K30" s="11">
        <f>'EU Ref Scenario 2020'!K30/'EU Ref Scenario 2020'!J30</f>
        <v>1.0454324270283202</v>
      </c>
      <c r="L30" s="11">
        <f>'EU Ref Scenario 2020'!L30/'EU Ref Scenario 2020'!K30</f>
        <v>1.0434580235448248</v>
      </c>
      <c r="M30" s="11">
        <f>'EU Ref Scenario 2020'!M30/'EU Ref Scenario 2020'!L30</f>
        <v>1.0416480802909442</v>
      </c>
      <c r="N30" s="11">
        <f>'EU Ref Scenario 2020'!N30/'EU Ref Scenario 2020'!M30</f>
        <v>1.0399828704904936</v>
      </c>
      <c r="O30" s="11">
        <f>'EU Ref Scenario 2020'!O30/'EU Ref Scenario 2020'!N30</f>
        <v>1.0384457010062449</v>
      </c>
      <c r="P30" s="11">
        <f>'EU Ref Scenario 2020'!P30/'EU Ref Scenario 2020'!O30</f>
        <v>1.0238432961923709</v>
      </c>
      <c r="Q30" s="11">
        <f>'EU Ref Scenario 2020'!Q30/'EU Ref Scenario 2020'!P30</f>
        <v>1.023288032730246</v>
      </c>
      <c r="R30" s="11">
        <f>'EU Ref Scenario 2020'!R30/'EU Ref Scenario 2020'!Q30</f>
        <v>1.0227580426872684</v>
      </c>
      <c r="S30" s="11">
        <f>'EU Ref Scenario 2020'!S30/'EU Ref Scenario 2020'!R30</f>
        <v>1.0222516389384457</v>
      </c>
      <c r="T30" s="11">
        <f>'EU Ref Scenario 2020'!T30/'EU Ref Scenario 2020'!S30</f>
        <v>1.0217672812552816</v>
      </c>
      <c r="U30" s="11">
        <f>'EU Ref Scenario 2020'!U30/'EU Ref Scenario 2020'!T30</f>
        <v>0.99298031321591873</v>
      </c>
      <c r="V30" s="11">
        <f>'EU Ref Scenario 2020'!V30/'EU Ref Scenario 2020'!U30</f>
        <v>0.99293068886597868</v>
      </c>
      <c r="W30" s="11">
        <f>'EU Ref Scenario 2020'!W30/'EU Ref Scenario 2020'!V30</f>
        <v>0.99288035790081675</v>
      </c>
      <c r="X30" s="11">
        <f>'EU Ref Scenario 2020'!X30/'EU Ref Scenario 2020'!W30</f>
        <v>0.99282930511966627</v>
      </c>
      <c r="Y30" s="11">
        <f>'EU Ref Scenario 2020'!Y30/'EU Ref Scenario 2020'!X30</f>
        <v>0.9927775148826119</v>
      </c>
      <c r="Z30" s="11">
        <f>'EU Ref Scenario 2020'!Z30/'EU Ref Scenario 2020'!Y30</f>
        <v>0.99432896529890835</v>
      </c>
      <c r="AA30" s="11">
        <f>'EU Ref Scenario 2020'!AA30/'EU Ref Scenario 2020'!Z30</f>
        <v>0.99429662124004725</v>
      </c>
      <c r="AB30" s="11">
        <f>'EU Ref Scenario 2020'!AB30/'EU Ref Scenario 2020'!AA30</f>
        <v>0.99426390612407012</v>
      </c>
      <c r="AC30" s="11">
        <f>'EU Ref Scenario 2020'!AC30/'EU Ref Scenario 2020'!AB30</f>
        <v>0.99423081352888409</v>
      </c>
      <c r="AD30" s="11">
        <f>'EU Ref Scenario 2020'!AD30/'EU Ref Scenario 2020'!AC30</f>
        <v>0.99419733688333511</v>
      </c>
      <c r="AE30" s="11">
        <f>'EU Ref Scenario 2020'!AE30/'EU Ref Scenario 2020'!AD30</f>
        <v>0.99769500546888712</v>
      </c>
      <c r="AF30" s="11">
        <f>'EU Ref Scenario 2020'!AF30/'EU Ref Scenario 2020'!AE30</f>
        <v>0.99768968019436999</v>
      </c>
      <c r="AG30" s="11">
        <f>'EU Ref Scenario 2020'!AG30/'EU Ref Scenario 2020'!AF30</f>
        <v>0.99768433025669878</v>
      </c>
      <c r="AH30" s="11">
        <f>'EU Ref Scenario 2020'!AH30/'EU Ref Scenario 2020'!AG30</f>
        <v>0.99767895548414054</v>
      </c>
      <c r="AI30" s="11">
        <f>'EU Ref Scenario 2020'!AI30/'EU Ref Scenario 2020'!AH30</f>
        <v>0.99767355570336469</v>
      </c>
      <c r="AJ30" s="11">
        <f>'EU Ref Scenario 2020'!AJ30/'EU Ref Scenario 2020'!AI30</f>
        <v>0.99777788252182065</v>
      </c>
      <c r="AK30" s="11">
        <f>'EU Ref Scenario 2020'!AK30/'EU Ref Scenario 2020'!AJ30</f>
        <v>0.9977729337189124</v>
      </c>
      <c r="AL30" s="11">
        <f>'EU Ref Scenario 2020'!AL30/'EU Ref Scenario 2020'!AK30</f>
        <v>0.99776796282418001</v>
      </c>
      <c r="AM30" s="11">
        <f>'EU Ref Scenario 2020'!AM30/'EU Ref Scenario 2020'!AL30</f>
        <v>0.99776296968936318</v>
      </c>
      <c r="AN30" s="11">
        <f>'EU Ref Scenario 2020'!AN30/'EU Ref Scenario 2020'!AM30</f>
        <v>0.99775795416487234</v>
      </c>
      <c r="AO30" s="11">
        <f>'EU Ref Scenario 2020'!AO30/'EU Ref Scenario 2020'!AN30</f>
        <v>1</v>
      </c>
      <c r="AP30" s="11">
        <f>'EU Ref Scenario 2020'!AP30/'EU Ref Scenario 2020'!AO30</f>
        <v>1</v>
      </c>
      <c r="AQ30" s="11">
        <f>'EU Ref Scenario 2020'!AQ30/'EU Ref Scenario 2020'!AP30</f>
        <v>1</v>
      </c>
      <c r="AR30" s="11">
        <f>'EU Ref Scenario 2020'!AR30/'EU Ref Scenario 2020'!AQ30</f>
        <v>1</v>
      </c>
      <c r="AS30" s="11">
        <f>'EU Ref Scenario 2020'!AS30/'EU Ref Scenario 2020'!AR30</f>
        <v>1</v>
      </c>
      <c r="AT30" s="11">
        <f>'EU Ref Scenario 2020'!AT30/'EU Ref Scenario 2020'!AS30</f>
        <v>1</v>
      </c>
      <c r="AU30" s="11">
        <f>'EU Ref Scenario 2020'!AU30/'EU Ref Scenario 2020'!AT30</f>
        <v>1</v>
      </c>
      <c r="AV30" s="11">
        <f>'EU Ref Scenario 2020'!AV30/'EU Ref Scenario 2020'!AU30</f>
        <v>1</v>
      </c>
      <c r="AW30" s="11">
        <f>'EU Ref Scenario 2020'!AW30/'EU Ref Scenario 2020'!AV30</f>
        <v>1</v>
      </c>
      <c r="AX30" s="11">
        <f>'EU Ref Scenario 2020'!AX30/'EU Ref Scenario 2020'!AW30</f>
        <v>1</v>
      </c>
    </row>
    <row r="31" spans="1:50" x14ac:dyDescent="0.3">
      <c r="A31" t="s">
        <v>1405</v>
      </c>
      <c r="B31" t="s">
        <v>1439</v>
      </c>
      <c r="F31" s="11">
        <f>'EU Ref Scenario 2020'!F31/'EU Ref Scenario 2020'!E31</f>
        <v>0.99604757934179655</v>
      </c>
      <c r="G31" s="11">
        <f>'EU Ref Scenario 2020'!G31/'EU Ref Scenario 2020'!F31</f>
        <v>0.99603189572448414</v>
      </c>
      <c r="H31" s="11">
        <f>'EU Ref Scenario 2020'!H31/'EU Ref Scenario 2020'!G31</f>
        <v>0.99601608714284229</v>
      </c>
      <c r="I31" s="11">
        <f>'EU Ref Scenario 2020'!I31/'EU Ref Scenario 2020'!H31</f>
        <v>0.99600015209735637</v>
      </c>
      <c r="J31" s="11">
        <f>'EU Ref Scenario 2020'!J31/'EU Ref Scenario 2020'!I31</f>
        <v>0.99598408906442382</v>
      </c>
      <c r="K31" s="11">
        <f>'EU Ref Scenario 2020'!K31/'EU Ref Scenario 2020'!J31</f>
        <v>1.0482022305405523</v>
      </c>
      <c r="L31" s="11">
        <f>'EU Ref Scenario 2020'!L31/'EU Ref Scenario 2020'!K31</f>
        <v>1.0459856210339247</v>
      </c>
      <c r="M31" s="11">
        <f>'EU Ref Scenario 2020'!M31/'EU Ref Scenario 2020'!L31</f>
        <v>1.0439639131831175</v>
      </c>
      <c r="N31" s="11">
        <f>'EU Ref Scenario 2020'!N31/'EU Ref Scenario 2020'!M31</f>
        <v>1.0421124836097719</v>
      </c>
      <c r="O31" s="11">
        <f>'EU Ref Scenario 2020'!O31/'EU Ref Scenario 2020'!N31</f>
        <v>1.0404106891262819</v>
      </c>
      <c r="P31" s="11">
        <f>'EU Ref Scenario 2020'!P31/'EU Ref Scenario 2020'!O31</f>
        <v>1.0049750734239948</v>
      </c>
      <c r="Q31" s="11">
        <f>'EU Ref Scenario 2020'!Q31/'EU Ref Scenario 2020'!P31</f>
        <v>1.0049504445986353</v>
      </c>
      <c r="R31" s="11">
        <f>'EU Ref Scenario 2020'!R31/'EU Ref Scenario 2020'!Q31</f>
        <v>1.0049260584193407</v>
      </c>
      <c r="S31" s="11">
        <f>'EU Ref Scenario 2020'!S31/'EU Ref Scenario 2020'!R31</f>
        <v>1.0049019113178226</v>
      </c>
      <c r="T31" s="11">
        <f>'EU Ref Scenario 2020'!T31/'EU Ref Scenario 2020'!S31</f>
        <v>1.0048779997954174</v>
      </c>
      <c r="U31" s="11">
        <f>'EU Ref Scenario 2020'!U31/'EU Ref Scenario 2020'!T31</f>
        <v>0.97877886927581625</v>
      </c>
      <c r="V31" s="11">
        <f>'EU Ref Scenario 2020'!V31/'EU Ref Scenario 2020'!U31</f>
        <v>0.9783187690393389</v>
      </c>
      <c r="W31" s="11">
        <f>'EU Ref Scenario 2020'!W31/'EU Ref Scenario 2020'!V31</f>
        <v>0.97783827557356273</v>
      </c>
      <c r="X31" s="11">
        <f>'EU Ref Scenario 2020'!X31/'EU Ref Scenario 2020'!W31</f>
        <v>0.97733600230218232</v>
      </c>
      <c r="Y31" s="11">
        <f>'EU Ref Scenario 2020'!Y31/'EU Ref Scenario 2020'!X31</f>
        <v>0.97681043403248091</v>
      </c>
      <c r="Z31" s="11">
        <f>'EU Ref Scenario 2020'!Z31/'EU Ref Scenario 2020'!Y31</f>
        <v>0.99196572948008233</v>
      </c>
      <c r="AA31" s="11">
        <f>'EU Ref Scenario 2020'!AA31/'EU Ref Scenario 2020'!Z31</f>
        <v>0.99190065716874254</v>
      </c>
      <c r="AB31" s="11">
        <f>'EU Ref Scenario 2020'!AB31/'EU Ref Scenario 2020'!AA31</f>
        <v>0.99183452216437074</v>
      </c>
      <c r="AC31" s="11">
        <f>'EU Ref Scenario 2020'!AC31/'EU Ref Scenario 2020'!AB31</f>
        <v>0.9917672982204625</v>
      </c>
      <c r="AD31" s="11">
        <f>'EU Ref Scenario 2020'!AD31/'EU Ref Scenario 2020'!AC31</f>
        <v>0.99169895821902021</v>
      </c>
      <c r="AE31" s="11">
        <f>'EU Ref Scenario 2020'!AE31/'EU Ref Scenario 2020'!AD31</f>
        <v>0.99279473425825393</v>
      </c>
      <c r="AF31" s="11">
        <f>'EU Ref Scenario 2020'!AF31/'EU Ref Scenario 2020'!AE31</f>
        <v>0.9927424416215006</v>
      </c>
      <c r="AG31" s="11">
        <f>'EU Ref Scenario 2020'!AG31/'EU Ref Scenario 2020'!AF31</f>
        <v>0.99268938440201548</v>
      </c>
      <c r="AH31" s="11">
        <f>'EU Ref Scenario 2020'!AH31/'EU Ref Scenario 2020'!AG31</f>
        <v>0.99263554570759471</v>
      </c>
      <c r="AI31" s="11">
        <f>'EU Ref Scenario 2020'!AI31/'EU Ref Scenario 2020'!AH31</f>
        <v>0.99258090814473554</v>
      </c>
      <c r="AJ31" s="11">
        <f>'EU Ref Scenario 2020'!AJ31/'EU Ref Scenario 2020'!AI31</f>
        <v>0.99783483344183299</v>
      </c>
      <c r="AK31" s="11">
        <f>'EU Ref Scenario 2020'!AK31/'EU Ref Scenario 2020'!AJ31</f>
        <v>0.99783013532339948</v>
      </c>
      <c r="AL31" s="11">
        <f>'EU Ref Scenario 2020'!AL31/'EU Ref Scenario 2020'!AK31</f>
        <v>0.99782541677206693</v>
      </c>
      <c r="AM31" s="11">
        <f>'EU Ref Scenario 2020'!AM31/'EU Ref Scenario 2020'!AL31</f>
        <v>0.99782067765424554</v>
      </c>
      <c r="AN31" s="11">
        <f>'EU Ref Scenario 2020'!AN31/'EU Ref Scenario 2020'!AM31</f>
        <v>0.99781591783517909</v>
      </c>
      <c r="AO31" s="11">
        <f>'EU Ref Scenario 2020'!AO31/'EU Ref Scenario 2020'!AN31</f>
        <v>1</v>
      </c>
      <c r="AP31" s="11">
        <f>'EU Ref Scenario 2020'!AP31/'EU Ref Scenario 2020'!AO31</f>
        <v>1</v>
      </c>
      <c r="AQ31" s="11">
        <f>'EU Ref Scenario 2020'!AQ31/'EU Ref Scenario 2020'!AP31</f>
        <v>1</v>
      </c>
      <c r="AR31" s="11">
        <f>'EU Ref Scenario 2020'!AR31/'EU Ref Scenario 2020'!AQ31</f>
        <v>1</v>
      </c>
      <c r="AS31" s="11">
        <f>'EU Ref Scenario 2020'!AS31/'EU Ref Scenario 2020'!AR31</f>
        <v>1</v>
      </c>
      <c r="AT31" s="11">
        <f>'EU Ref Scenario 2020'!AT31/'EU Ref Scenario 2020'!AS31</f>
        <v>1</v>
      </c>
      <c r="AU31" s="11">
        <f>'EU Ref Scenario 2020'!AU31/'EU Ref Scenario 2020'!AT31</f>
        <v>1</v>
      </c>
      <c r="AV31" s="11">
        <f>'EU Ref Scenario 2020'!AV31/'EU Ref Scenario 2020'!AU31</f>
        <v>1</v>
      </c>
      <c r="AW31" s="11">
        <f>'EU Ref Scenario 2020'!AW31/'EU Ref Scenario 2020'!AV31</f>
        <v>1</v>
      </c>
      <c r="AX31" s="11">
        <f>'EU Ref Scenario 2020'!AX31/'EU Ref Scenario 2020'!AW31</f>
        <v>1</v>
      </c>
    </row>
    <row r="32" spans="1:50" x14ac:dyDescent="0.3">
      <c r="A32" t="s">
        <v>1405</v>
      </c>
      <c r="B32" t="s">
        <v>1435</v>
      </c>
      <c r="F32" s="11">
        <f>'EU Ref Scenario 2020'!F32/'EU Ref Scenario 2020'!E32</f>
        <v>0.96277370787559702</v>
      </c>
      <c r="G32" s="11">
        <f>'EU Ref Scenario 2020'!G32/'EU Ref Scenario 2020'!F32</f>
        <v>0.96133432828515397</v>
      </c>
      <c r="H32" s="11">
        <f>'EU Ref Scenario 2020'!H32/'EU Ref Scenario 2020'!G32</f>
        <v>0.95977916258975315</v>
      </c>
      <c r="I32" s="11">
        <f>'EU Ref Scenario 2020'!I32/'EU Ref Scenario 2020'!H32</f>
        <v>0.95809365427175996</v>
      </c>
      <c r="J32" s="11">
        <f>'EU Ref Scenario 2020'!J32/'EU Ref Scenario 2020'!I32</f>
        <v>0.95626070004597585</v>
      </c>
      <c r="K32" s="11">
        <f>'EU Ref Scenario 2020'!K32/'EU Ref Scenario 2020'!J32</f>
        <v>1.0437301888938968</v>
      </c>
      <c r="L32" s="11">
        <f>'EU Ref Scenario 2020'!L32/'EU Ref Scenario 2020'!K32</f>
        <v>1.0418979822172627</v>
      </c>
      <c r="M32" s="11">
        <f>'EU Ref Scenario 2020'!M32/'EU Ref Scenario 2020'!L32</f>
        <v>1.0402131330824729</v>
      </c>
      <c r="N32" s="11">
        <f>'EU Ref Scenario 2020'!N32/'EU Ref Scenario 2020'!M32</f>
        <v>1.0386585516021212</v>
      </c>
      <c r="O32" s="11">
        <f>'EU Ref Scenario 2020'!O32/'EU Ref Scenario 2020'!N32</f>
        <v>1.0372196922101984</v>
      </c>
      <c r="P32" s="11">
        <f>'EU Ref Scenario 2020'!P32/'EU Ref Scenario 2020'!O32</f>
        <v>1.0356519041415633</v>
      </c>
      <c r="Q32" s="11">
        <f>'EU Ref Scenario 2020'!Q32/'EU Ref Scenario 2020'!P32</f>
        <v>1.0344246015470948</v>
      </c>
      <c r="R32" s="11">
        <f>'EU Ref Scenario 2020'!R32/'EU Ref Scenario 2020'!Q32</f>
        <v>1.0332789857236662</v>
      </c>
      <c r="S32" s="11">
        <f>'EU Ref Scenario 2020'!S32/'EU Ref Scenario 2020'!R32</f>
        <v>1.0322071639735892</v>
      </c>
      <c r="T32" s="11">
        <f>'EU Ref Scenario 2020'!T32/'EU Ref Scenario 2020'!S32</f>
        <v>1.031202228678209</v>
      </c>
      <c r="U32" s="11">
        <f>'EU Ref Scenario 2020'!U32/'EU Ref Scenario 2020'!T32</f>
        <v>1.000711217744165</v>
      </c>
      <c r="V32" s="11">
        <f>'EU Ref Scenario 2020'!V32/'EU Ref Scenario 2020'!U32</f>
        <v>1.0007107122729855</v>
      </c>
      <c r="W32" s="11">
        <f>'EU Ref Scenario 2020'!W32/'EU Ref Scenario 2020'!V32</f>
        <v>1.0007102075197849</v>
      </c>
      <c r="X32" s="11">
        <f>'EU Ref Scenario 2020'!X32/'EU Ref Scenario 2020'!W32</f>
        <v>1.0007097034830343</v>
      </c>
      <c r="Y32" s="11">
        <f>'EU Ref Scenario 2020'!Y32/'EU Ref Scenario 2020'!X32</f>
        <v>1.0007092001612097</v>
      </c>
      <c r="Z32" s="11">
        <f>'EU Ref Scenario 2020'!Z32/'EU Ref Scenario 2020'!Y32</f>
        <v>0.99547487239030186</v>
      </c>
      <c r="AA32" s="11">
        <f>'EU Ref Scenario 2020'!AA32/'EU Ref Scenario 2020'!Z32</f>
        <v>0.99545430252917122</v>
      </c>
      <c r="AB32" s="11">
        <f>'EU Ref Scenario 2020'!AB32/'EU Ref Scenario 2020'!AA32</f>
        <v>0.99543354480534219</v>
      </c>
      <c r="AC32" s="11">
        <f>'EU Ref Scenario 2020'!AC32/'EU Ref Scenario 2020'!AB32</f>
        <v>0.99541259663340886</v>
      </c>
      <c r="AD32" s="11">
        <f>'EU Ref Scenario 2020'!AD32/'EU Ref Scenario 2020'!AC32</f>
        <v>0.99539145538030571</v>
      </c>
      <c r="AE32" s="11">
        <f>'EU Ref Scenario 2020'!AE32/'EU Ref Scenario 2020'!AD32</f>
        <v>1.0000284378968989</v>
      </c>
      <c r="AF32" s="11">
        <f>'EU Ref Scenario 2020'!AF32/'EU Ref Scenario 2020'!AE32</f>
        <v>1.0000284370882078</v>
      </c>
      <c r="AG32" s="11">
        <f>'EU Ref Scenario 2020'!AG32/'EU Ref Scenario 2020'!AF32</f>
        <v>1.0000284362795628</v>
      </c>
      <c r="AH32" s="11">
        <f>'EU Ref Scenario 2020'!AH32/'EU Ref Scenario 2020'!AG32</f>
        <v>1.0000284354709639</v>
      </c>
      <c r="AI32" s="11">
        <f>'EU Ref Scenario 2020'!AI32/'EU Ref Scenario 2020'!AH32</f>
        <v>1.0000284346624111</v>
      </c>
      <c r="AJ32" s="11">
        <f>'EU Ref Scenario 2020'!AJ32/'EU Ref Scenario 2020'!AI32</f>
        <v>0.99775174410491085</v>
      </c>
      <c r="AK32" s="11">
        <f>'EU Ref Scenario 2020'!AK32/'EU Ref Scenario 2020'!AJ32</f>
        <v>0.99774667806057704</v>
      </c>
      <c r="AL32" s="11">
        <f>'EU Ref Scenario 2020'!AL32/'EU Ref Scenario 2020'!AK32</f>
        <v>0.99774158913382405</v>
      </c>
      <c r="AM32" s="11">
        <f>'EU Ref Scenario 2020'!AM32/'EU Ref Scenario 2020'!AL32</f>
        <v>0.99773647716926728</v>
      </c>
      <c r="AN32" s="11">
        <f>'EU Ref Scenario 2020'!AN32/'EU Ref Scenario 2020'!AM32</f>
        <v>0.99773134201011171</v>
      </c>
      <c r="AO32" s="11">
        <f>'EU Ref Scenario 2020'!AO32/'EU Ref Scenario 2020'!AN32</f>
        <v>1</v>
      </c>
      <c r="AP32" s="11">
        <f>'EU Ref Scenario 2020'!AP32/'EU Ref Scenario 2020'!AO32</f>
        <v>1</v>
      </c>
      <c r="AQ32" s="11">
        <f>'EU Ref Scenario 2020'!AQ32/'EU Ref Scenario 2020'!AP32</f>
        <v>1</v>
      </c>
      <c r="AR32" s="11">
        <f>'EU Ref Scenario 2020'!AR32/'EU Ref Scenario 2020'!AQ32</f>
        <v>1</v>
      </c>
      <c r="AS32" s="11">
        <f>'EU Ref Scenario 2020'!AS32/'EU Ref Scenario 2020'!AR32</f>
        <v>1</v>
      </c>
      <c r="AT32" s="11">
        <f>'EU Ref Scenario 2020'!AT32/'EU Ref Scenario 2020'!AS32</f>
        <v>1</v>
      </c>
      <c r="AU32" s="11">
        <f>'EU Ref Scenario 2020'!AU32/'EU Ref Scenario 2020'!AT32</f>
        <v>1</v>
      </c>
      <c r="AV32" s="11">
        <f>'EU Ref Scenario 2020'!AV32/'EU Ref Scenario 2020'!AU32</f>
        <v>1</v>
      </c>
      <c r="AW32" s="11">
        <f>'EU Ref Scenario 2020'!AW32/'EU Ref Scenario 2020'!AV32</f>
        <v>1</v>
      </c>
      <c r="AX32" s="11">
        <f>'EU Ref Scenario 2020'!AX32/'EU Ref Scenario 2020'!AW32</f>
        <v>1</v>
      </c>
    </row>
    <row r="33" spans="1:50" x14ac:dyDescent="0.3">
      <c r="A33" t="s">
        <v>1407</v>
      </c>
      <c r="B33" t="s">
        <v>1434</v>
      </c>
      <c r="F33" s="11">
        <f>'EU Ref Scenario 2020'!F33/'EU Ref Scenario 2020'!E33</f>
        <v>0.9787111283951081</v>
      </c>
      <c r="G33" s="11">
        <f>'EU Ref Scenario 2020'!G33/'EU Ref Scenario 2020'!F33</f>
        <v>0.97824805400976556</v>
      </c>
      <c r="H33" s="11">
        <f>'EU Ref Scenario 2020'!H33/'EU Ref Scenario 2020'!G33</f>
        <v>0.97776438613797911</v>
      </c>
      <c r="I33" s="11">
        <f>'EU Ref Scenario 2020'!I33/'EU Ref Scenario 2020'!H33</f>
        <v>0.97725871981301327</v>
      </c>
      <c r="J33" s="11">
        <f>'EU Ref Scenario 2020'!J33/'EU Ref Scenario 2020'!I33</f>
        <v>0.97672951929112672</v>
      </c>
      <c r="K33" s="11">
        <f>'EU Ref Scenario 2020'!K33/'EU Ref Scenario 2020'!J33</f>
        <v>1.0321071218000422</v>
      </c>
      <c r="L33" s="11">
        <f>'EU Ref Scenario 2020'!L33/'EU Ref Scenario 2020'!K33</f>
        <v>1.0311083230818578</v>
      </c>
      <c r="M33" s="11">
        <f>'EU Ref Scenario 2020'!M33/'EU Ref Scenario 2020'!L33</f>
        <v>1.0301697914617534</v>
      </c>
      <c r="N33" s="11">
        <f>'EU Ref Scenario 2020'!N33/'EU Ref Scenario 2020'!M33</f>
        <v>1.0292862319510885</v>
      </c>
      <c r="O33" s="11">
        <f>'EU Ref Scenario 2020'!O33/'EU Ref Scenario 2020'!N33</f>
        <v>1.0284529521934573</v>
      </c>
      <c r="P33" s="11">
        <f>'EU Ref Scenario 2020'!P33/'EU Ref Scenario 2020'!O33</f>
        <v>0.98537541045694044</v>
      </c>
      <c r="Q33" s="11">
        <f>'EU Ref Scenario 2020'!Q33/'EU Ref Scenario 2020'!P33</f>
        <v>0.98515835752763725</v>
      </c>
      <c r="R33" s="11">
        <f>'EU Ref Scenario 2020'!R33/'EU Ref Scenario 2020'!Q33</f>
        <v>0.98493476469142538</v>
      </c>
      <c r="S33" s="11">
        <f>'EU Ref Scenario 2020'!S33/'EU Ref Scenario 2020'!R33</f>
        <v>0.98470433185156736</v>
      </c>
      <c r="T33" s="11">
        <f>'EU Ref Scenario 2020'!T33/'EU Ref Scenario 2020'!S33</f>
        <v>0.98446674026540359</v>
      </c>
      <c r="U33" s="11">
        <f>'EU Ref Scenario 2020'!U33/'EU Ref Scenario 2020'!T33</f>
        <v>1.0011601189482264</v>
      </c>
      <c r="V33" s="11">
        <f>'EU Ref Scenario 2020'!V33/'EU Ref Scenario 2020'!U33</f>
        <v>1.0011587746318193</v>
      </c>
      <c r="W33" s="11">
        <f>'EU Ref Scenario 2020'!W33/'EU Ref Scenario 2020'!V33</f>
        <v>1.0011574334273257</v>
      </c>
      <c r="X33" s="11">
        <f>'EU Ref Scenario 2020'!X33/'EU Ref Scenario 2020'!W33</f>
        <v>1.0011560953239524</v>
      </c>
      <c r="Y33" s="11">
        <f>'EU Ref Scenario 2020'!Y33/'EU Ref Scenario 2020'!X33</f>
        <v>1.001154760310957</v>
      </c>
      <c r="Z33" s="11">
        <f>'EU Ref Scenario 2020'!Z33/'EU Ref Scenario 2020'!Y33</f>
        <v>0.99797405849284526</v>
      </c>
      <c r="AA33" s="11">
        <f>'EU Ref Scenario 2020'!AA33/'EU Ref Scenario 2020'!Z33</f>
        <v>0.9979699457216209</v>
      </c>
      <c r="AB33" s="11">
        <f>'EU Ref Scenario 2020'!AB33/'EU Ref Scenario 2020'!AA33</f>
        <v>0.99796581621813152</v>
      </c>
      <c r="AC33" s="11">
        <f>'EU Ref Scenario 2020'!AC33/'EU Ref Scenario 2020'!AB33</f>
        <v>0.99796166988005941</v>
      </c>
      <c r="AD33" s="11">
        <f>'EU Ref Scenario 2020'!AD33/'EU Ref Scenario 2020'!AC33</f>
        <v>0.99795750660425098</v>
      </c>
      <c r="AE33" s="11">
        <f>'EU Ref Scenario 2020'!AE33/'EU Ref Scenario 2020'!AD33</f>
        <v>1.0031230231589332</v>
      </c>
      <c r="AF33" s="11">
        <f>'EU Ref Scenario 2020'!AF33/'EU Ref Scenario 2020'!AE33</f>
        <v>1.0031133002501513</v>
      </c>
      <c r="AG33" s="11">
        <f>'EU Ref Scenario 2020'!AG33/'EU Ref Scenario 2020'!AF33</f>
        <v>1.0031036376941418</v>
      </c>
      <c r="AH33" s="11">
        <f>'EU Ref Scenario 2020'!AH33/'EU Ref Scenario 2020'!AG33</f>
        <v>1.0030940349307038</v>
      </c>
      <c r="AI33" s="11">
        <f>'EU Ref Scenario 2020'!AI33/'EU Ref Scenario 2020'!AH33</f>
        <v>1.0030844914065484</v>
      </c>
      <c r="AJ33" s="11">
        <f>'EU Ref Scenario 2020'!AJ33/'EU Ref Scenario 2020'!AI33</f>
        <v>0.99850327287839413</v>
      </c>
      <c r="AK33" s="11">
        <f>'EU Ref Scenario 2020'!AK33/'EU Ref Scenario 2020'!AJ33</f>
        <v>0.9985010293283354</v>
      </c>
      <c r="AL33" s="11">
        <f>'EU Ref Scenario 2020'!AL33/'EU Ref Scenario 2020'!AK33</f>
        <v>0.9984987790421479</v>
      </c>
      <c r="AM33" s="11">
        <f>'EU Ref Scenario 2020'!AM33/'EU Ref Scenario 2020'!AL33</f>
        <v>0.99849652198944872</v>
      </c>
      <c r="AN33" s="11">
        <f>'EU Ref Scenario 2020'!AN33/'EU Ref Scenario 2020'!AM33</f>
        <v>0.99849425813967208</v>
      </c>
      <c r="AO33" s="11">
        <f>'EU Ref Scenario 2020'!AO33/'EU Ref Scenario 2020'!AN33</f>
        <v>1</v>
      </c>
      <c r="AP33" s="11">
        <f>'EU Ref Scenario 2020'!AP33/'EU Ref Scenario 2020'!AO33</f>
        <v>1</v>
      </c>
      <c r="AQ33" s="11">
        <f>'EU Ref Scenario 2020'!AQ33/'EU Ref Scenario 2020'!AP33</f>
        <v>1</v>
      </c>
      <c r="AR33" s="11">
        <f>'EU Ref Scenario 2020'!AR33/'EU Ref Scenario 2020'!AQ33</f>
        <v>1</v>
      </c>
      <c r="AS33" s="11">
        <f>'EU Ref Scenario 2020'!AS33/'EU Ref Scenario 2020'!AR33</f>
        <v>1</v>
      </c>
      <c r="AT33" s="11">
        <f>'EU Ref Scenario 2020'!AT33/'EU Ref Scenario 2020'!AS33</f>
        <v>1</v>
      </c>
      <c r="AU33" s="11">
        <f>'EU Ref Scenario 2020'!AU33/'EU Ref Scenario 2020'!AT33</f>
        <v>1</v>
      </c>
      <c r="AV33" s="11">
        <f>'EU Ref Scenario 2020'!AV33/'EU Ref Scenario 2020'!AU33</f>
        <v>1</v>
      </c>
      <c r="AW33" s="11">
        <f>'EU Ref Scenario 2020'!AW33/'EU Ref Scenario 2020'!AV33</f>
        <v>1</v>
      </c>
      <c r="AX33" s="11">
        <f>'EU Ref Scenario 2020'!AX33/'EU Ref Scenario 2020'!AW33</f>
        <v>1</v>
      </c>
    </row>
    <row r="34" spans="1:50" x14ac:dyDescent="0.3">
      <c r="A34" t="s">
        <v>1407</v>
      </c>
      <c r="B34" t="s">
        <v>1439</v>
      </c>
      <c r="F34" s="11">
        <f>'EU Ref Scenario 2020'!F34/'EU Ref Scenario 2020'!E34</f>
        <v>0.97915944985952652</v>
      </c>
      <c r="G34" s="11">
        <f>'EU Ref Scenario 2020'!G34/'EU Ref Scenario 2020'!F34</f>
        <v>0.97871587702752261</v>
      </c>
      <c r="H34" s="11">
        <f>'EU Ref Scenario 2020'!H34/'EU Ref Scenario 2020'!G34</f>
        <v>0.9782530114489203</v>
      </c>
      <c r="I34" s="11">
        <f>'EU Ref Scenario 2020'!I34/'EU Ref Scenario 2020'!H34</f>
        <v>0.97776956646535695</v>
      </c>
      <c r="J34" s="11">
        <f>'EU Ref Scenario 2020'!J34/'EU Ref Scenario 2020'!I34</f>
        <v>0.97726413840532345</v>
      </c>
      <c r="K34" s="11">
        <f>'EU Ref Scenario 2020'!K34/'EU Ref Scenario 2020'!J34</f>
        <v>1.0373270781706267</v>
      </c>
      <c r="L34" s="11">
        <f>'EU Ref Scenario 2020'!L34/'EU Ref Scenario 2020'!K34</f>
        <v>1.0359839041669043</v>
      </c>
      <c r="M34" s="11">
        <f>'EU Ref Scenario 2020'!M34/'EU Ref Scenario 2020'!L34</f>
        <v>1.0347340378766223</v>
      </c>
      <c r="N34" s="11">
        <f>'EU Ref Scenario 2020'!N34/'EU Ref Scenario 2020'!M34</f>
        <v>1.0335680828166243</v>
      </c>
      <c r="O34" s="11">
        <f>'EU Ref Scenario 2020'!O34/'EU Ref Scenario 2020'!N34</f>
        <v>1.0324778632145317</v>
      </c>
      <c r="P34" s="11">
        <f>'EU Ref Scenario 2020'!P34/'EU Ref Scenario 2020'!O34</f>
        <v>0.99327470206708701</v>
      </c>
      <c r="Q34" s="11">
        <f>'EU Ref Scenario 2020'!Q34/'EU Ref Scenario 2020'!P34</f>
        <v>0.99322916619247703</v>
      </c>
      <c r="R34" s="11">
        <f>'EU Ref Scenario 2020'!R34/'EU Ref Scenario 2020'!Q34</f>
        <v>0.9931830094826164</v>
      </c>
      <c r="S34" s="11">
        <f>'EU Ref Scenario 2020'!S34/'EU Ref Scenario 2020'!R34</f>
        <v>0.99313621915367367</v>
      </c>
      <c r="T34" s="11">
        <f>'EU Ref Scenario 2020'!T34/'EU Ref Scenario 2020'!S34</f>
        <v>0.99308878206841</v>
      </c>
      <c r="U34" s="11">
        <f>'EU Ref Scenario 2020'!U34/'EU Ref Scenario 2020'!T34</f>
        <v>0.99341788672333742</v>
      </c>
      <c r="V34" s="11">
        <f>'EU Ref Scenario 2020'!V34/'EU Ref Scenario 2020'!U34</f>
        <v>0.99337427545383461</v>
      </c>
      <c r="W34" s="11">
        <f>'EU Ref Scenario 2020'!W34/'EU Ref Scenario 2020'!V34</f>
        <v>0.99333008241718523</v>
      </c>
      <c r="X34" s="11">
        <f>'EU Ref Scenario 2020'!X34/'EU Ref Scenario 2020'!W34</f>
        <v>0.99328529589420667</v>
      </c>
      <c r="Y34" s="11">
        <f>'EU Ref Scenario 2020'!Y34/'EU Ref Scenario 2020'!X34</f>
        <v>0.99323990384882455</v>
      </c>
      <c r="Z34" s="11">
        <f>'EU Ref Scenario 2020'!Z34/'EU Ref Scenario 2020'!Y34</f>
        <v>0.9959471297158945</v>
      </c>
      <c r="AA34" s="11">
        <f>'EU Ref Scenario 2020'!AA34/'EU Ref Scenario 2020'!Z34</f>
        <v>0.99593063711598662</v>
      </c>
      <c r="AB34" s="11">
        <f>'EU Ref Scenario 2020'!AB34/'EU Ref Scenario 2020'!AA34</f>
        <v>0.99591400973887356</v>
      </c>
      <c r="AC34" s="11">
        <f>'EU Ref Scenario 2020'!AC34/'EU Ref Scenario 2020'!AB34</f>
        <v>0.99589724592568207</v>
      </c>
      <c r="AD34" s="11">
        <f>'EU Ref Scenario 2020'!AD34/'EU Ref Scenario 2020'!AC34</f>
        <v>0.99588034399020298</v>
      </c>
      <c r="AE34" s="11">
        <f>'EU Ref Scenario 2020'!AE34/'EU Ref Scenario 2020'!AD34</f>
        <v>1.0021377477717337</v>
      </c>
      <c r="AF34" s="11">
        <f>'EU Ref Scenario 2020'!AF34/'EU Ref Scenario 2020'!AE34</f>
        <v>1.0021331875547916</v>
      </c>
      <c r="AG34" s="11">
        <f>'EU Ref Scenario 2020'!AG34/'EU Ref Scenario 2020'!AF34</f>
        <v>1.0021286467520318</v>
      </c>
      <c r="AH34" s="11">
        <f>'EU Ref Scenario 2020'!AH34/'EU Ref Scenario 2020'!AG34</f>
        <v>1.0021241252397393</v>
      </c>
      <c r="AI34" s="11">
        <f>'EU Ref Scenario 2020'!AI34/'EU Ref Scenario 2020'!AH34</f>
        <v>1.0021196228952485</v>
      </c>
      <c r="AJ34" s="11">
        <f>'EU Ref Scenario 2020'!AJ34/'EU Ref Scenario 2020'!AI34</f>
        <v>0.9958103470020393</v>
      </c>
      <c r="AK34" s="11">
        <f>'EU Ref Scenario 2020'!AK34/'EU Ref Scenario 2020'!AJ34</f>
        <v>0.99579271995860053</v>
      </c>
      <c r="AL34" s="11">
        <f>'EU Ref Scenario 2020'!AL34/'EU Ref Scenario 2020'!AK34</f>
        <v>0.99577494396466937</v>
      </c>
      <c r="AM34" s="11">
        <f>'EU Ref Scenario 2020'!AM34/'EU Ref Scenario 2020'!AL34</f>
        <v>0.99575701712426234</v>
      </c>
      <c r="AN34" s="11">
        <f>'EU Ref Scenario 2020'!AN34/'EU Ref Scenario 2020'!AM34</f>
        <v>0.99573893750908116</v>
      </c>
      <c r="AO34" s="11">
        <f>'EU Ref Scenario 2020'!AO34/'EU Ref Scenario 2020'!AN34</f>
        <v>1</v>
      </c>
      <c r="AP34" s="11">
        <f>'EU Ref Scenario 2020'!AP34/'EU Ref Scenario 2020'!AO34</f>
        <v>1</v>
      </c>
      <c r="AQ34" s="11">
        <f>'EU Ref Scenario 2020'!AQ34/'EU Ref Scenario 2020'!AP34</f>
        <v>1</v>
      </c>
      <c r="AR34" s="11">
        <f>'EU Ref Scenario 2020'!AR34/'EU Ref Scenario 2020'!AQ34</f>
        <v>1</v>
      </c>
      <c r="AS34" s="11">
        <f>'EU Ref Scenario 2020'!AS34/'EU Ref Scenario 2020'!AR34</f>
        <v>1</v>
      </c>
      <c r="AT34" s="11">
        <f>'EU Ref Scenario 2020'!AT34/'EU Ref Scenario 2020'!AS34</f>
        <v>1</v>
      </c>
      <c r="AU34" s="11">
        <f>'EU Ref Scenario 2020'!AU34/'EU Ref Scenario 2020'!AT34</f>
        <v>1</v>
      </c>
      <c r="AV34" s="11">
        <f>'EU Ref Scenario 2020'!AV34/'EU Ref Scenario 2020'!AU34</f>
        <v>1</v>
      </c>
      <c r="AW34" s="11">
        <f>'EU Ref Scenario 2020'!AW34/'EU Ref Scenario 2020'!AV34</f>
        <v>1</v>
      </c>
      <c r="AX34" s="11">
        <f>'EU Ref Scenario 2020'!AX34/'EU Ref Scenario 2020'!AW34</f>
        <v>1</v>
      </c>
    </row>
    <row r="35" spans="1:50" x14ac:dyDescent="0.3">
      <c r="A35" t="s">
        <v>1407</v>
      </c>
      <c r="B35" t="s">
        <v>1435</v>
      </c>
      <c r="F35" s="11">
        <f>'EU Ref Scenario 2020'!F35/'EU Ref Scenario 2020'!E35</f>
        <v>0.97795765491508346</v>
      </c>
      <c r="G35" s="11">
        <f>'EU Ref Scenario 2020'!G35/'EU Ref Scenario 2020'!F35</f>
        <v>0.97746083894927893</v>
      </c>
      <c r="H35" s="11">
        <f>'EU Ref Scenario 2020'!H35/'EU Ref Scenario 2020'!G35</f>
        <v>0.97694111093499203</v>
      </c>
      <c r="I35" s="11">
        <f>'EU Ref Scenario 2020'!I35/'EU Ref Scenario 2020'!H35</f>
        <v>0.97639684848256691</v>
      </c>
      <c r="J35" s="11">
        <f>'EU Ref Scenario 2020'!J35/'EU Ref Scenario 2020'!I35</f>
        <v>0.97582627232552499</v>
      </c>
      <c r="K35" s="11">
        <f>'EU Ref Scenario 2020'!K35/'EU Ref Scenario 2020'!J35</f>
        <v>1.0232749327160411</v>
      </c>
      <c r="L35" s="11">
        <f>'EU Ref Scenario 2020'!L35/'EU Ref Scenario 2020'!K35</f>
        <v>1.0227455319893972</v>
      </c>
      <c r="M35" s="11">
        <f>'EU Ref Scenario 2020'!M35/'EU Ref Scenario 2020'!L35</f>
        <v>1.0222396786668466</v>
      </c>
      <c r="N35" s="11">
        <f>'EU Ref Scenario 2020'!N35/'EU Ref Scenario 2020'!M35</f>
        <v>1.0217558358680134</v>
      </c>
      <c r="O35" s="11">
        <f>'EU Ref Scenario 2020'!O35/'EU Ref Scenario 2020'!N35</f>
        <v>1.0212925976092238</v>
      </c>
      <c r="P35" s="11">
        <f>'EU Ref Scenario 2020'!P35/'EU Ref Scenario 2020'!O35</f>
        <v>0.97116858787776494</v>
      </c>
      <c r="Q35" s="11">
        <f>'EU Ref Scenario 2020'!Q35/'EU Ref Scenario 2020'!P35</f>
        <v>0.9703126599417321</v>
      </c>
      <c r="R35" s="11">
        <f>'EU Ref Scenario 2020'!R35/'EU Ref Scenario 2020'!Q35</f>
        <v>0.96940435667401204</v>
      </c>
      <c r="S35" s="11">
        <f>'EU Ref Scenario 2020'!S35/'EU Ref Scenario 2020'!R35</f>
        <v>0.96843871897691858</v>
      </c>
      <c r="T35" s="11">
        <f>'EU Ref Scenario 2020'!T35/'EU Ref Scenario 2020'!S35</f>
        <v>0.96741014128759384</v>
      </c>
      <c r="U35" s="11">
        <f>'EU Ref Scenario 2020'!U35/'EU Ref Scenario 2020'!T35</f>
        <v>1.0168827762571178</v>
      </c>
      <c r="V35" s="11">
        <f>'EU Ref Scenario 2020'!V35/'EU Ref Scenario 2020'!U35</f>
        <v>1.0166024802969511</v>
      </c>
      <c r="W35" s="11">
        <f>'EU Ref Scenario 2020'!W35/'EU Ref Scenario 2020'!V35</f>
        <v>1.0163313395537865</v>
      </c>
      <c r="X35" s="11">
        <f>'EU Ref Scenario 2020'!X35/'EU Ref Scenario 2020'!W35</f>
        <v>1.0160689126844762</v>
      </c>
      <c r="Y35" s="11">
        <f>'EU Ref Scenario 2020'!Y35/'EU Ref Scenario 2020'!X35</f>
        <v>1.0158147862648628</v>
      </c>
      <c r="Z35" s="11">
        <f>'EU Ref Scenario 2020'!Z35/'EU Ref Scenario 2020'!Y35</f>
        <v>1.0016449353295664</v>
      </c>
      <c r="AA35" s="11">
        <f>'EU Ref Scenario 2020'!AA35/'EU Ref Scenario 2020'!Z35</f>
        <v>1.0016422339609048</v>
      </c>
      <c r="AB35" s="11">
        <f>'EU Ref Scenario 2020'!AB35/'EU Ref Scenario 2020'!AA35</f>
        <v>1.0016395414502548</v>
      </c>
      <c r="AC35" s="11">
        <f>'EU Ref Scenario 2020'!AC35/'EU Ref Scenario 2020'!AB35</f>
        <v>1.0016368577541188</v>
      </c>
      <c r="AD35" s="11">
        <f>'EU Ref Scenario 2020'!AD35/'EU Ref Scenario 2020'!AC35</f>
        <v>1.0016341828292827</v>
      </c>
      <c r="AE35" s="11">
        <f>'EU Ref Scenario 2020'!AE35/'EU Ref Scenario 2020'!AD35</f>
        <v>1.0048569890363024</v>
      </c>
      <c r="AF35" s="11">
        <f>'EU Ref Scenario 2020'!AF35/'EU Ref Scenario 2020'!AE35</f>
        <v>1.0048335127180241</v>
      </c>
      <c r="AG35" s="11">
        <f>'EU Ref Scenario 2020'!AG35/'EU Ref Scenario 2020'!AF35</f>
        <v>1.0048102622542412</v>
      </c>
      <c r="AH35" s="11">
        <f>'EU Ref Scenario 2020'!AH35/'EU Ref Scenario 2020'!AG35</f>
        <v>1.0047872344012985</v>
      </c>
      <c r="AI35" s="11">
        <f>'EU Ref Scenario 2020'!AI35/'EU Ref Scenario 2020'!AH35</f>
        <v>1.0047644259773572</v>
      </c>
      <c r="AJ35" s="11">
        <f>'EU Ref Scenario 2020'!AJ35/'EU Ref Scenario 2020'!AI35</f>
        <v>1.0031795899419462</v>
      </c>
      <c r="AK35" s="11">
        <f>'EU Ref Scenario 2020'!AK35/'EU Ref Scenario 2020'!AJ35</f>
        <v>1.003169512192857</v>
      </c>
      <c r="AL35" s="11">
        <f>'EU Ref Scenario 2020'!AL35/'EU Ref Scenario 2020'!AK35</f>
        <v>1.0031594981250265</v>
      </c>
      <c r="AM35" s="11">
        <f>'EU Ref Scenario 2020'!AM35/'EU Ref Scenario 2020'!AL35</f>
        <v>1.0031495471367531</v>
      </c>
      <c r="AN35" s="11">
        <f>'EU Ref Scenario 2020'!AN35/'EU Ref Scenario 2020'!AM35</f>
        <v>1.0031396586338925</v>
      </c>
      <c r="AO35" s="11">
        <f>'EU Ref Scenario 2020'!AO35/'EU Ref Scenario 2020'!AN35</f>
        <v>1</v>
      </c>
      <c r="AP35" s="11">
        <f>'EU Ref Scenario 2020'!AP35/'EU Ref Scenario 2020'!AO35</f>
        <v>1</v>
      </c>
      <c r="AQ35" s="11">
        <f>'EU Ref Scenario 2020'!AQ35/'EU Ref Scenario 2020'!AP35</f>
        <v>1</v>
      </c>
      <c r="AR35" s="11">
        <f>'EU Ref Scenario 2020'!AR35/'EU Ref Scenario 2020'!AQ35</f>
        <v>1</v>
      </c>
      <c r="AS35" s="11">
        <f>'EU Ref Scenario 2020'!AS35/'EU Ref Scenario 2020'!AR35</f>
        <v>1</v>
      </c>
      <c r="AT35" s="11">
        <f>'EU Ref Scenario 2020'!AT35/'EU Ref Scenario 2020'!AS35</f>
        <v>1</v>
      </c>
      <c r="AU35" s="11">
        <f>'EU Ref Scenario 2020'!AU35/'EU Ref Scenario 2020'!AT35</f>
        <v>1</v>
      </c>
      <c r="AV35" s="11">
        <f>'EU Ref Scenario 2020'!AV35/'EU Ref Scenario 2020'!AU35</f>
        <v>1</v>
      </c>
      <c r="AW35" s="11">
        <f>'EU Ref Scenario 2020'!AW35/'EU Ref Scenario 2020'!AV35</f>
        <v>1</v>
      </c>
      <c r="AX35" s="11">
        <f>'EU Ref Scenario 2020'!AX35/'EU Ref Scenario 2020'!AW35</f>
        <v>1</v>
      </c>
    </row>
    <row r="36" spans="1:50" x14ac:dyDescent="0.3">
      <c r="A36" t="s">
        <v>1408</v>
      </c>
      <c r="B36" t="s">
        <v>1434</v>
      </c>
      <c r="F36" s="11">
        <f>'EU Ref Scenario 2020'!F36/'EU Ref Scenario 2020'!E36</f>
        <v>1.0065826120846806</v>
      </c>
      <c r="G36" s="11">
        <f>'EU Ref Scenario 2020'!G36/'EU Ref Scenario 2020'!F36</f>
        <v>1.0065395646672732</v>
      </c>
      <c r="H36" s="11">
        <f>'EU Ref Scenario 2020'!H36/'EU Ref Scenario 2020'!G36</f>
        <v>1.0064970766146037</v>
      </c>
      <c r="I36" s="11">
        <f>'EU Ref Scenario 2020'!I36/'EU Ref Scenario 2020'!H36</f>
        <v>1.0064551370943442</v>
      </c>
      <c r="J36" s="11">
        <f>'EU Ref Scenario 2020'!J36/'EU Ref Scenario 2020'!I36</f>
        <v>1.0064137355520688</v>
      </c>
      <c r="K36" s="11">
        <f>'EU Ref Scenario 2020'!K36/'EU Ref Scenario 2020'!J36</f>
        <v>1.0103121204782011</v>
      </c>
      <c r="L36" s="11">
        <f>'EU Ref Scenario 2020'!L36/'EU Ref Scenario 2020'!K36</f>
        <v>1.0102068660458314</v>
      </c>
      <c r="M36" s="11">
        <f>'EU Ref Scenario 2020'!M36/'EU Ref Scenario 2020'!L36</f>
        <v>1.0101037385399918</v>
      </c>
      <c r="N36" s="11">
        <f>'EU Ref Scenario 2020'!N36/'EU Ref Scenario 2020'!M36</f>
        <v>1.0100026741358226</v>
      </c>
      <c r="O36" s="11">
        <f>'EU Ref Scenario 2020'!O36/'EU Ref Scenario 2020'!N36</f>
        <v>1.0099036115368514</v>
      </c>
      <c r="P36" s="11">
        <f>'EU Ref Scenario 2020'!P36/'EU Ref Scenario 2020'!O36</f>
        <v>0.99739693183067735</v>
      </c>
      <c r="Q36" s="11">
        <f>'EU Ref Scenario 2020'!Q36/'EU Ref Scenario 2020'!P36</f>
        <v>0.99739013818245381</v>
      </c>
      <c r="R36" s="11">
        <f>'EU Ref Scenario 2020'!R36/'EU Ref Scenario 2020'!Q36</f>
        <v>0.99738330898047356</v>
      </c>
      <c r="S36" s="11">
        <f>'EU Ref Scenario 2020'!S36/'EU Ref Scenario 2020'!R36</f>
        <v>0.99737644394490499</v>
      </c>
      <c r="T36" s="11">
        <f>'EU Ref Scenario 2020'!T36/'EU Ref Scenario 2020'!S36</f>
        <v>0.9973695427929723</v>
      </c>
      <c r="U36" s="11">
        <f>'EU Ref Scenario 2020'!U36/'EU Ref Scenario 2020'!T36</f>
        <v>0.9866160877926885</v>
      </c>
      <c r="V36" s="11">
        <f>'EU Ref Scenario 2020'!V36/'EU Ref Scenario 2020'!U36</f>
        <v>0.98643452871597237</v>
      </c>
      <c r="W36" s="11">
        <f>'EU Ref Scenario 2020'!W36/'EU Ref Scenario 2020'!V36</f>
        <v>0.98624797602970604</v>
      </c>
      <c r="X36" s="11">
        <f>'EU Ref Scenario 2020'!X36/'EU Ref Scenario 2020'!W36</f>
        <v>0.98605622084452349</v>
      </c>
      <c r="Y36" s="11">
        <f>'EU Ref Scenario 2020'!Y36/'EU Ref Scenario 2020'!X36</f>
        <v>0.98585904245547562</v>
      </c>
      <c r="Z36" s="11">
        <f>'EU Ref Scenario 2020'!Z36/'EU Ref Scenario 2020'!Y36</f>
        <v>0.99479585020253758</v>
      </c>
      <c r="AA36" s="11">
        <f>'EU Ref Scenario 2020'!AA36/'EU Ref Scenario 2020'!Z36</f>
        <v>0.99476862534518729</v>
      </c>
      <c r="AB36" s="11">
        <f>'EU Ref Scenario 2020'!AB36/'EU Ref Scenario 2020'!AA36</f>
        <v>0.99474111414300248</v>
      </c>
      <c r="AC36" s="11">
        <f>'EU Ref Scenario 2020'!AC36/'EU Ref Scenario 2020'!AB36</f>
        <v>0.99471331205453573</v>
      </c>
      <c r="AD36" s="11">
        <f>'EU Ref Scenario 2020'!AD36/'EU Ref Scenario 2020'!AC36</f>
        <v>0.99468521444179214</v>
      </c>
      <c r="AE36" s="11">
        <f>'EU Ref Scenario 2020'!AE36/'EU Ref Scenario 2020'!AD36</f>
        <v>1.0006539411455471</v>
      </c>
      <c r="AF36" s="11">
        <f>'EU Ref Scenario 2020'!AF36/'EU Ref Scenario 2020'!AE36</f>
        <v>1.0006535137859931</v>
      </c>
      <c r="AG36" s="11">
        <f>'EU Ref Scenario 2020'!AG36/'EU Ref Scenario 2020'!AF36</f>
        <v>1.0006530869846453</v>
      </c>
      <c r="AH36" s="11">
        <f>'EU Ref Scenario 2020'!AH36/'EU Ref Scenario 2020'!AG36</f>
        <v>1.0006526607404103</v>
      </c>
      <c r="AI36" s="11">
        <f>'EU Ref Scenario 2020'!AI36/'EU Ref Scenario 2020'!AH36</f>
        <v>1.000652235052198</v>
      </c>
      <c r="AJ36" s="11">
        <f>'EU Ref Scenario 2020'!AJ36/'EU Ref Scenario 2020'!AI36</f>
        <v>1.0048214124629546</v>
      </c>
      <c r="AK36" s="11">
        <f>'EU Ref Scenario 2020'!AK36/'EU Ref Scenario 2020'!AJ36</f>
        <v>1.0047982779856737</v>
      </c>
      <c r="AL36" s="11">
        <f>'EU Ref Scenario 2020'!AL36/'EU Ref Scenario 2020'!AK36</f>
        <v>1.0047753644595141</v>
      </c>
      <c r="AM36" s="11">
        <f>'EU Ref Scenario 2020'!AM36/'EU Ref Scenario 2020'!AL36</f>
        <v>1.0047526687341533</v>
      </c>
      <c r="AN36" s="11">
        <f>'EU Ref Scenario 2020'!AN36/'EU Ref Scenario 2020'!AM36</f>
        <v>1.0047301877188755</v>
      </c>
      <c r="AO36" s="11">
        <f>'EU Ref Scenario 2020'!AO36/'EU Ref Scenario 2020'!AN36</f>
        <v>1</v>
      </c>
      <c r="AP36" s="11">
        <f>'EU Ref Scenario 2020'!AP36/'EU Ref Scenario 2020'!AO36</f>
        <v>1</v>
      </c>
      <c r="AQ36" s="11">
        <f>'EU Ref Scenario 2020'!AQ36/'EU Ref Scenario 2020'!AP36</f>
        <v>1</v>
      </c>
      <c r="AR36" s="11">
        <f>'EU Ref Scenario 2020'!AR36/'EU Ref Scenario 2020'!AQ36</f>
        <v>1</v>
      </c>
      <c r="AS36" s="11">
        <f>'EU Ref Scenario 2020'!AS36/'EU Ref Scenario 2020'!AR36</f>
        <v>1</v>
      </c>
      <c r="AT36" s="11">
        <f>'EU Ref Scenario 2020'!AT36/'EU Ref Scenario 2020'!AS36</f>
        <v>1</v>
      </c>
      <c r="AU36" s="11">
        <f>'EU Ref Scenario 2020'!AU36/'EU Ref Scenario 2020'!AT36</f>
        <v>1</v>
      </c>
      <c r="AV36" s="11">
        <f>'EU Ref Scenario 2020'!AV36/'EU Ref Scenario 2020'!AU36</f>
        <v>1</v>
      </c>
      <c r="AW36" s="11">
        <f>'EU Ref Scenario 2020'!AW36/'EU Ref Scenario 2020'!AV36</f>
        <v>1</v>
      </c>
      <c r="AX36" s="11">
        <f>'EU Ref Scenario 2020'!AX36/'EU Ref Scenario 2020'!AW36</f>
        <v>1</v>
      </c>
    </row>
    <row r="37" spans="1:50" x14ac:dyDescent="0.3">
      <c r="A37" t="s">
        <v>1408</v>
      </c>
      <c r="B37" t="s">
        <v>1439</v>
      </c>
      <c r="F37" s="11">
        <f>'EU Ref Scenario 2020'!F37/'EU Ref Scenario 2020'!E37</f>
        <v>1.0082662363198551</v>
      </c>
      <c r="G37" s="11">
        <f>'EU Ref Scenario 2020'!G37/'EU Ref Scenario 2020'!F37</f>
        <v>1.0081984658635665</v>
      </c>
      <c r="H37" s="11">
        <f>'EU Ref Scenario 2020'!H37/'EU Ref Scenario 2020'!G37</f>
        <v>1.0081317975985455</v>
      </c>
      <c r="I37" s="11">
        <f>'EU Ref Scenario 2020'!I37/'EU Ref Scenario 2020'!H37</f>
        <v>1.00806620485329</v>
      </c>
      <c r="J37" s="11">
        <f>'EU Ref Scenario 2020'!J37/'EU Ref Scenario 2020'!I37</f>
        <v>1.0080016618099641</v>
      </c>
      <c r="K37" s="11">
        <f>'EU Ref Scenario 2020'!K37/'EU Ref Scenario 2020'!J37</f>
        <v>1.0079273599853298</v>
      </c>
      <c r="L37" s="11">
        <f>'EU Ref Scenario 2020'!L37/'EU Ref Scenario 2020'!K37</f>
        <v>1.0078650112101779</v>
      </c>
      <c r="M37" s="11">
        <f>'EU Ref Scenario 2020'!M37/'EU Ref Scenario 2020'!L37</f>
        <v>1.0078036355292603</v>
      </c>
      <c r="N37" s="11">
        <f>'EU Ref Scenario 2020'!N37/'EU Ref Scenario 2020'!M37</f>
        <v>1.0077432103379564</v>
      </c>
      <c r="O37" s="11">
        <f>'EU Ref Scenario 2020'!O37/'EU Ref Scenario 2020'!N37</f>
        <v>1.0076837137263965</v>
      </c>
      <c r="P37" s="11">
        <f>'EU Ref Scenario 2020'!P37/'EU Ref Scenario 2020'!O37</f>
        <v>0.99642086827902021</v>
      </c>
      <c r="Q37" s="11">
        <f>'EU Ref Scenario 2020'!Q37/'EU Ref Scenario 2020'!P37</f>
        <v>0.9964080120811184</v>
      </c>
      <c r="R37" s="11">
        <f>'EU Ref Scenario 2020'!R37/'EU Ref Scenario 2020'!Q37</f>
        <v>0.9963950631916545</v>
      </c>
      <c r="S37" s="11">
        <f>'EU Ref Scenario 2020'!S37/'EU Ref Scenario 2020'!R37</f>
        <v>0.99638202060455994</v>
      </c>
      <c r="T37" s="11">
        <f>'EU Ref Scenario 2020'!T37/'EU Ref Scenario 2020'!S37</f>
        <v>0.99636888329915352</v>
      </c>
      <c r="U37" s="11">
        <f>'EU Ref Scenario 2020'!U37/'EU Ref Scenario 2020'!T37</f>
        <v>0.98311659083600256</v>
      </c>
      <c r="V37" s="11">
        <f>'EU Ref Scenario 2020'!V37/'EU Ref Scenario 2020'!U37</f>
        <v>0.98282664607496806</v>
      </c>
      <c r="W37" s="11">
        <f>'EU Ref Scenario 2020'!W37/'EU Ref Scenario 2020'!V37</f>
        <v>0.98252656865418164</v>
      </c>
      <c r="X37" s="11">
        <f>'EU Ref Scenario 2020'!X37/'EU Ref Scenario 2020'!W37</f>
        <v>0.98221581797044666</v>
      </c>
      <c r="Y37" s="11">
        <f>'EU Ref Scenario 2020'!Y37/'EU Ref Scenario 2020'!X37</f>
        <v>0.98189381426751954</v>
      </c>
      <c r="Z37" s="11">
        <f>'EU Ref Scenario 2020'!Z37/'EU Ref Scenario 2020'!Y37</f>
        <v>0.99049965394359041</v>
      </c>
      <c r="AA37" s="11">
        <f>'EU Ref Scenario 2020'!AA37/'EU Ref Scenario 2020'!Z37</f>
        <v>0.99040853167531684</v>
      </c>
      <c r="AB37" s="11">
        <f>'EU Ref Scenario 2020'!AB37/'EU Ref Scenario 2020'!AA37</f>
        <v>0.99031564448616094</v>
      </c>
      <c r="AC37" s="11">
        <f>'EU Ref Scenario 2020'!AC37/'EU Ref Scenario 2020'!AB37</f>
        <v>0.99022094059832411</v>
      </c>
      <c r="AD37" s="11">
        <f>'EU Ref Scenario 2020'!AD37/'EU Ref Scenario 2020'!AC37</f>
        <v>0.99012436618865374</v>
      </c>
      <c r="AE37" s="11">
        <f>'EU Ref Scenario 2020'!AE37/'EU Ref Scenario 2020'!AD37</f>
        <v>0.99751046078744965</v>
      </c>
      <c r="AF37" s="11">
        <f>'EU Ref Scenario 2020'!AF37/'EU Ref Scenario 2020'!AE37</f>
        <v>0.99750424751377043</v>
      </c>
      <c r="AG37" s="11">
        <f>'EU Ref Scenario 2020'!AG37/'EU Ref Scenario 2020'!AF37</f>
        <v>0.99749800314890869</v>
      </c>
      <c r="AH37" s="11">
        <f>'EU Ref Scenario 2020'!AH37/'EU Ref Scenario 2020'!AG37</f>
        <v>0.99749172745890924</v>
      </c>
      <c r="AI37" s="11">
        <f>'EU Ref Scenario 2020'!AI37/'EU Ref Scenario 2020'!AH37</f>
        <v>0.99748542020746356</v>
      </c>
      <c r="AJ37" s="11">
        <f>'EU Ref Scenario 2020'!AJ37/'EU Ref Scenario 2020'!AI37</f>
        <v>1.0010302747602489</v>
      </c>
      <c r="AK37" s="11">
        <f>'EU Ref Scenario 2020'!AK37/'EU Ref Scenario 2020'!AJ37</f>
        <v>1.0010292143866435</v>
      </c>
      <c r="AL37" s="11">
        <f>'EU Ref Scenario 2020'!AL37/'EU Ref Scenario 2020'!AK37</f>
        <v>1.0010281561934973</v>
      </c>
      <c r="AM37" s="11">
        <f>'EU Ref Scenario 2020'!AM37/'EU Ref Scenario 2020'!AL37</f>
        <v>1.001027100174092</v>
      </c>
      <c r="AN37" s="11">
        <f>'EU Ref Scenario 2020'!AN37/'EU Ref Scenario 2020'!AM37</f>
        <v>1.0010260463217362</v>
      </c>
      <c r="AO37" s="11">
        <f>'EU Ref Scenario 2020'!AO37/'EU Ref Scenario 2020'!AN37</f>
        <v>1</v>
      </c>
      <c r="AP37" s="11">
        <f>'EU Ref Scenario 2020'!AP37/'EU Ref Scenario 2020'!AO37</f>
        <v>1</v>
      </c>
      <c r="AQ37" s="11">
        <f>'EU Ref Scenario 2020'!AQ37/'EU Ref Scenario 2020'!AP37</f>
        <v>1</v>
      </c>
      <c r="AR37" s="11">
        <f>'EU Ref Scenario 2020'!AR37/'EU Ref Scenario 2020'!AQ37</f>
        <v>1</v>
      </c>
      <c r="AS37" s="11">
        <f>'EU Ref Scenario 2020'!AS37/'EU Ref Scenario 2020'!AR37</f>
        <v>1</v>
      </c>
      <c r="AT37" s="11">
        <f>'EU Ref Scenario 2020'!AT37/'EU Ref Scenario 2020'!AS37</f>
        <v>1</v>
      </c>
      <c r="AU37" s="11">
        <f>'EU Ref Scenario 2020'!AU37/'EU Ref Scenario 2020'!AT37</f>
        <v>1</v>
      </c>
      <c r="AV37" s="11">
        <f>'EU Ref Scenario 2020'!AV37/'EU Ref Scenario 2020'!AU37</f>
        <v>1</v>
      </c>
      <c r="AW37" s="11">
        <f>'EU Ref Scenario 2020'!AW37/'EU Ref Scenario 2020'!AV37</f>
        <v>1</v>
      </c>
      <c r="AX37" s="11">
        <f>'EU Ref Scenario 2020'!AX37/'EU Ref Scenario 2020'!AW37</f>
        <v>1</v>
      </c>
    </row>
    <row r="38" spans="1:50" x14ac:dyDescent="0.3">
      <c r="A38" t="s">
        <v>1408</v>
      </c>
      <c r="B38" t="s">
        <v>1435</v>
      </c>
      <c r="F38" s="11">
        <f>'EU Ref Scenario 2020'!F38/'EU Ref Scenario 2020'!E38</f>
        <v>1.0039566453468851</v>
      </c>
      <c r="G38" s="11">
        <f>'EU Ref Scenario 2020'!G38/'EU Ref Scenario 2020'!F38</f>
        <v>1.0039410520018202</v>
      </c>
      <c r="H38" s="11">
        <f>'EU Ref Scenario 2020'!H38/'EU Ref Scenario 2020'!G38</f>
        <v>1.0039255810826362</v>
      </c>
      <c r="I38" s="11">
        <f>'EU Ref Scenario 2020'!I38/'EU Ref Scenario 2020'!H38</f>
        <v>1.0039102311531924</v>
      </c>
      <c r="J38" s="11">
        <f>'EU Ref Scenario 2020'!J38/'EU Ref Scenario 2020'!I38</f>
        <v>1.0038950007997238</v>
      </c>
      <c r="K38" s="11">
        <f>'EU Ref Scenario 2020'!K38/'EU Ref Scenario 2020'!J38</f>
        <v>1.0141102505101149</v>
      </c>
      <c r="L38" s="11">
        <f>'EU Ref Scenario 2020'!L38/'EU Ref Scenario 2020'!K38</f>
        <v>1.0139139215908892</v>
      </c>
      <c r="M38" s="11">
        <f>'EU Ref Scenario 2020'!M38/'EU Ref Scenario 2020'!L38</f>
        <v>1.0137229811077626</v>
      </c>
      <c r="N38" s="11">
        <f>'EU Ref Scenario 2020'!N38/'EU Ref Scenario 2020'!M38</f>
        <v>1.0135372102275582</v>
      </c>
      <c r="O38" s="11">
        <f>'EU Ref Scenario 2020'!O38/'EU Ref Scenario 2020'!N38</f>
        <v>1.0133564018083938</v>
      </c>
      <c r="P38" s="11">
        <f>'EU Ref Scenario 2020'!P38/'EU Ref Scenario 2020'!O38</f>
        <v>0.99890658553199629</v>
      </c>
      <c r="Q38" s="11">
        <f>'EU Ref Scenario 2020'!Q38/'EU Ref Scenario 2020'!P38</f>
        <v>0.99890538866812917</v>
      </c>
      <c r="R38" s="11">
        <f>'EU Ref Scenario 2020'!R38/'EU Ref Scenario 2020'!Q38</f>
        <v>0.99890418918118928</v>
      </c>
      <c r="S38" s="11">
        <f>'EU Ref Scenario 2020'!S38/'EU Ref Scenario 2020'!R38</f>
        <v>0.99890298706254399</v>
      </c>
      <c r="T38" s="11">
        <f>'EU Ref Scenario 2020'!T38/'EU Ref Scenario 2020'!S38</f>
        <v>0.99890178230352311</v>
      </c>
      <c r="U38" s="11">
        <f>'EU Ref Scenario 2020'!U38/'EU Ref Scenario 2020'!T38</f>
        <v>0.99196103383053813</v>
      </c>
      <c r="V38" s="11">
        <f>'EU Ref Scenario 2020'!V38/'EU Ref Scenario 2020'!U38</f>
        <v>0.99189588512522642</v>
      </c>
      <c r="W38" s="11">
        <f>'EU Ref Scenario 2020'!W38/'EU Ref Scenario 2020'!V38</f>
        <v>0.99182967184731241</v>
      </c>
      <c r="X38" s="11">
        <f>'EU Ref Scenario 2020'!X38/'EU Ref Scenario 2020'!W38</f>
        <v>0.9917623676881232</v>
      </c>
      <c r="Y38" s="11">
        <f>'EU Ref Scenario 2020'!Y38/'EU Ref Scenario 2020'!X38</f>
        <v>0.99169394546490042</v>
      </c>
      <c r="Z38" s="11">
        <f>'EU Ref Scenario 2020'!Z38/'EU Ref Scenario 2020'!Y38</f>
        <v>1.0010553039036705</v>
      </c>
      <c r="AA38" s="11">
        <f>'EU Ref Scenario 2020'!AA38/'EU Ref Scenario 2020'!Z38</f>
        <v>1.0010541914113589</v>
      </c>
      <c r="AB38" s="11">
        <f>'EU Ref Scenario 2020'!AB38/'EU Ref Scenario 2020'!AA38</f>
        <v>1.001053081262137</v>
      </c>
      <c r="AC38" s="11">
        <f>'EU Ref Scenario 2020'!AC38/'EU Ref Scenario 2020'!AB38</f>
        <v>1.0010519734486099</v>
      </c>
      <c r="AD38" s="11">
        <f>'EU Ref Scenario 2020'!AD38/'EU Ref Scenario 2020'!AC38</f>
        <v>1.0010508679634145</v>
      </c>
      <c r="AE38" s="11">
        <f>'EU Ref Scenario 2020'!AE38/'EU Ref Scenario 2020'!AD38</f>
        <v>1.0049934614680047</v>
      </c>
      <c r="AF38" s="11">
        <f>'EU Ref Scenario 2020'!AF38/'EU Ref Scenario 2020'!AE38</f>
        <v>1.0049686507021753</v>
      </c>
      <c r="AG38" s="11">
        <f>'EU Ref Scenario 2020'!AG38/'EU Ref Scenario 2020'!AF38</f>
        <v>1.0049440852694298</v>
      </c>
      <c r="AH38" s="11">
        <f>'EU Ref Scenario 2020'!AH38/'EU Ref Scenario 2020'!AG38</f>
        <v>1.004919761548827</v>
      </c>
      <c r="AI38" s="11">
        <f>'EU Ref Scenario 2020'!AI38/'EU Ref Scenario 2020'!AH38</f>
        <v>1.0048956759903347</v>
      </c>
      <c r="AJ38" s="11">
        <f>'EU Ref Scenario 2020'!AJ38/'EU Ref Scenario 2020'!AI38</f>
        <v>1.009863967280435</v>
      </c>
      <c r="AK38" s="11">
        <f>'EU Ref Scenario 2020'!AK38/'EU Ref Scenario 2020'!AJ38</f>
        <v>1.0097676197983365</v>
      </c>
      <c r="AL38" s="11">
        <f>'EU Ref Scenario 2020'!AL38/'EU Ref Scenario 2020'!AK38</f>
        <v>1.0096731362808873</v>
      </c>
      <c r="AM38" s="11">
        <f>'EU Ref Scenario 2020'!AM38/'EU Ref Scenario 2020'!AL38</f>
        <v>1.0095804631551535</v>
      </c>
      <c r="AN38" s="11">
        <f>'EU Ref Scenario 2020'!AN38/'EU Ref Scenario 2020'!AM38</f>
        <v>1.009489548881733</v>
      </c>
      <c r="AO38" s="11">
        <f>'EU Ref Scenario 2020'!AO38/'EU Ref Scenario 2020'!AN38</f>
        <v>1</v>
      </c>
      <c r="AP38" s="11">
        <f>'EU Ref Scenario 2020'!AP38/'EU Ref Scenario 2020'!AO38</f>
        <v>1</v>
      </c>
      <c r="AQ38" s="11">
        <f>'EU Ref Scenario 2020'!AQ38/'EU Ref Scenario 2020'!AP38</f>
        <v>1</v>
      </c>
      <c r="AR38" s="11">
        <f>'EU Ref Scenario 2020'!AR38/'EU Ref Scenario 2020'!AQ38</f>
        <v>1</v>
      </c>
      <c r="AS38" s="11">
        <f>'EU Ref Scenario 2020'!AS38/'EU Ref Scenario 2020'!AR38</f>
        <v>1</v>
      </c>
      <c r="AT38" s="11">
        <f>'EU Ref Scenario 2020'!AT38/'EU Ref Scenario 2020'!AS38</f>
        <v>1</v>
      </c>
      <c r="AU38" s="11">
        <f>'EU Ref Scenario 2020'!AU38/'EU Ref Scenario 2020'!AT38</f>
        <v>1</v>
      </c>
      <c r="AV38" s="11">
        <f>'EU Ref Scenario 2020'!AV38/'EU Ref Scenario 2020'!AU38</f>
        <v>1</v>
      </c>
      <c r="AW38" s="11">
        <f>'EU Ref Scenario 2020'!AW38/'EU Ref Scenario 2020'!AV38</f>
        <v>1</v>
      </c>
      <c r="AX38" s="11">
        <f>'EU Ref Scenario 2020'!AX38/'EU Ref Scenario 2020'!AW38</f>
        <v>1</v>
      </c>
    </row>
    <row r="39" spans="1:50" x14ac:dyDescent="0.3">
      <c r="A39" t="s">
        <v>1409</v>
      </c>
      <c r="B39" t="s">
        <v>1434</v>
      </c>
      <c r="F39" s="11">
        <f>'EU Ref Scenario 2020'!F39/'EU Ref Scenario 2020'!E39</f>
        <v>0.99879854445165117</v>
      </c>
      <c r="G39" s="11">
        <f>'EU Ref Scenario 2020'!G39/'EU Ref Scenario 2020'!F39</f>
        <v>0.99879709921983473</v>
      </c>
      <c r="H39" s="11">
        <f>'EU Ref Scenario 2020'!H39/'EU Ref Scenario 2020'!G39</f>
        <v>0.99879565050688979</v>
      </c>
      <c r="I39" s="11">
        <f>'EU Ref Scenario 2020'!I39/'EU Ref Scenario 2020'!H39</f>
        <v>0.99879419830022398</v>
      </c>
      <c r="J39" s="11">
        <f>'EU Ref Scenario 2020'!J39/'EU Ref Scenario 2020'!I39</f>
        <v>0.99879274258718309</v>
      </c>
      <c r="K39" s="11">
        <f>'EU Ref Scenario 2020'!K39/'EU Ref Scenario 2020'!J39</f>
        <v>1.0080116890839785</v>
      </c>
      <c r="L39" s="11">
        <f>'EU Ref Scenario 2020'!L39/'EU Ref Scenario 2020'!K39</f>
        <v>1.0079480120823392</v>
      </c>
      <c r="M39" s="11">
        <f>'EU Ref Scenario 2020'!M39/'EU Ref Scenario 2020'!L39</f>
        <v>1.0078853393102283</v>
      </c>
      <c r="N39" s="11">
        <f>'EU Ref Scenario 2020'!N39/'EU Ref Scenario 2020'!M39</f>
        <v>1.0078236471974329</v>
      </c>
      <c r="O39" s="11">
        <f>'EU Ref Scenario 2020'!O39/'EU Ref Scenario 2020'!N39</f>
        <v>1.0077629129056349</v>
      </c>
      <c r="P39" s="11">
        <f>'EU Ref Scenario 2020'!P39/'EU Ref Scenario 2020'!O39</f>
        <v>1.0059484723643455</v>
      </c>
      <c r="Q39" s="11">
        <f>'EU Ref Scenario 2020'!Q39/'EU Ref Scenario 2020'!P39</f>
        <v>1.0059132972788998</v>
      </c>
      <c r="R39" s="11">
        <f>'EU Ref Scenario 2020'!R39/'EU Ref Scenario 2020'!Q39</f>
        <v>1.0058785357494486</v>
      </c>
      <c r="S39" s="11">
        <f>'EU Ref Scenario 2020'!S39/'EU Ref Scenario 2020'!R39</f>
        <v>1.0058441805253044</v>
      </c>
      <c r="T39" s="11">
        <f>'EU Ref Scenario 2020'!T39/'EU Ref Scenario 2020'!S39</f>
        <v>1.0058102245242919</v>
      </c>
      <c r="U39" s="11">
        <f>'EU Ref Scenario 2020'!U39/'EU Ref Scenario 2020'!T39</f>
        <v>0.98968522030471451</v>
      </c>
      <c r="V39" s="11">
        <f>'EU Ref Scenario 2020'!V39/'EU Ref Scenario 2020'!U39</f>
        <v>0.98957771674905926</v>
      </c>
      <c r="W39" s="11">
        <f>'EU Ref Scenario 2020'!W39/'EU Ref Scenario 2020'!V39</f>
        <v>0.98946794872748367</v>
      </c>
      <c r="X39" s="11">
        <f>'EU Ref Scenario 2020'!X39/'EU Ref Scenario 2020'!W39</f>
        <v>0.98935584393000175</v>
      </c>
      <c r="Y39" s="11">
        <f>'EU Ref Scenario 2020'!Y39/'EU Ref Scenario 2020'!X39</f>
        <v>0.98924132693478972</v>
      </c>
      <c r="Z39" s="11">
        <f>'EU Ref Scenario 2020'!Z39/'EU Ref Scenario 2020'!Y39</f>
        <v>0.99312270074253739</v>
      </c>
      <c r="AA39" s="11">
        <f>'EU Ref Scenario 2020'!AA39/'EU Ref Scenario 2020'!Z39</f>
        <v>0.99307507596763167</v>
      </c>
      <c r="AB39" s="11">
        <f>'EU Ref Scenario 2020'!AB39/'EU Ref Scenario 2020'!AA39</f>
        <v>0.9930267869973266</v>
      </c>
      <c r="AC39" s="11">
        <f>'EU Ref Scenario 2020'!AC39/'EU Ref Scenario 2020'!AB39</f>
        <v>0.99297781983932298</v>
      </c>
      <c r="AD39" s="11">
        <f>'EU Ref Scenario 2020'!AD39/'EU Ref Scenario 2020'!AC39</f>
        <v>0.99292816010551688</v>
      </c>
      <c r="AE39" s="11">
        <f>'EU Ref Scenario 2020'!AE39/'EU Ref Scenario 2020'!AD39</f>
        <v>0.99912143213833093</v>
      </c>
      <c r="AF39" s="11">
        <f>'EU Ref Scenario 2020'!AF39/'EU Ref Scenario 2020'!AE39</f>
        <v>0.99912065957809681</v>
      </c>
      <c r="AG39" s="11">
        <f>'EU Ref Scenario 2020'!AG39/'EU Ref Scenario 2020'!AF39</f>
        <v>0.99911988565797993</v>
      </c>
      <c r="AH39" s="11">
        <f>'EU Ref Scenario 2020'!AH39/'EU Ref Scenario 2020'!AG39</f>
        <v>0.99911911037438672</v>
      </c>
      <c r="AI39" s="11">
        <f>'EU Ref Scenario 2020'!AI39/'EU Ref Scenario 2020'!AH39</f>
        <v>0.99911833372371095</v>
      </c>
      <c r="AJ39" s="11">
        <f>'EU Ref Scenario 2020'!AJ39/'EU Ref Scenario 2020'!AI39</f>
        <v>1.002801027547493</v>
      </c>
      <c r="AK39" s="11">
        <f>'EU Ref Scenario 2020'!AK39/'EU Ref Scenario 2020'!AJ39</f>
        <v>1.002793203706964</v>
      </c>
      <c r="AL39" s="11">
        <f>'EU Ref Scenario 2020'!AL39/'EU Ref Scenario 2020'!AK39</f>
        <v>1.0027854234518527</v>
      </c>
      <c r="AM39" s="11">
        <f>'EU Ref Scenario 2020'!AM39/'EU Ref Scenario 2020'!AL39</f>
        <v>1.0027776864189595</v>
      </c>
      <c r="AN39" s="11">
        <f>'EU Ref Scenario 2020'!AN39/'EU Ref Scenario 2020'!AM39</f>
        <v>1.0027699922491085</v>
      </c>
      <c r="AO39" s="11">
        <f>'EU Ref Scenario 2020'!AO39/'EU Ref Scenario 2020'!AN39</f>
        <v>1</v>
      </c>
      <c r="AP39" s="11">
        <f>'EU Ref Scenario 2020'!AP39/'EU Ref Scenario 2020'!AO39</f>
        <v>1</v>
      </c>
      <c r="AQ39" s="11">
        <f>'EU Ref Scenario 2020'!AQ39/'EU Ref Scenario 2020'!AP39</f>
        <v>1</v>
      </c>
      <c r="AR39" s="11">
        <f>'EU Ref Scenario 2020'!AR39/'EU Ref Scenario 2020'!AQ39</f>
        <v>1</v>
      </c>
      <c r="AS39" s="11">
        <f>'EU Ref Scenario 2020'!AS39/'EU Ref Scenario 2020'!AR39</f>
        <v>1</v>
      </c>
      <c r="AT39" s="11">
        <f>'EU Ref Scenario 2020'!AT39/'EU Ref Scenario 2020'!AS39</f>
        <v>1</v>
      </c>
      <c r="AU39" s="11">
        <f>'EU Ref Scenario 2020'!AU39/'EU Ref Scenario 2020'!AT39</f>
        <v>1</v>
      </c>
      <c r="AV39" s="11">
        <f>'EU Ref Scenario 2020'!AV39/'EU Ref Scenario 2020'!AU39</f>
        <v>1</v>
      </c>
      <c r="AW39" s="11">
        <f>'EU Ref Scenario 2020'!AW39/'EU Ref Scenario 2020'!AV39</f>
        <v>1</v>
      </c>
      <c r="AX39" s="11">
        <f>'EU Ref Scenario 2020'!AX39/'EU Ref Scenario 2020'!AW39</f>
        <v>1</v>
      </c>
    </row>
    <row r="40" spans="1:50" x14ac:dyDescent="0.3">
      <c r="A40" t="s">
        <v>1409</v>
      </c>
      <c r="B40" t="s">
        <v>1439</v>
      </c>
      <c r="F40" s="11">
        <f>'EU Ref Scenario 2020'!F40/'EU Ref Scenario 2020'!E40</f>
        <v>1.0000487970674394</v>
      </c>
      <c r="G40" s="11">
        <f>'EU Ref Scenario 2020'!G40/'EU Ref Scenario 2020'!F40</f>
        <v>1.0000487946864018</v>
      </c>
      <c r="H40" s="11">
        <f>'EU Ref Scenario 2020'!H40/'EU Ref Scenario 2020'!G40</f>
        <v>1.0000487923055965</v>
      </c>
      <c r="I40" s="11">
        <f>'EU Ref Scenario 2020'!I40/'EU Ref Scenario 2020'!H40</f>
        <v>1.0000487899250237</v>
      </c>
      <c r="J40" s="11">
        <f>'EU Ref Scenario 2020'!J40/'EU Ref Scenario 2020'!I40</f>
        <v>1.0000487875446828</v>
      </c>
      <c r="K40" s="11">
        <f>'EU Ref Scenario 2020'!K40/'EU Ref Scenario 2020'!J40</f>
        <v>1.0029169508793792</v>
      </c>
      <c r="L40" s="11">
        <f>'EU Ref Scenario 2020'!L40/'EU Ref Scenario 2020'!K40</f>
        <v>1.0029084670239361</v>
      </c>
      <c r="M40" s="11">
        <f>'EU Ref Scenario 2020'!M40/'EU Ref Scenario 2020'!L40</f>
        <v>1.0029000323754038</v>
      </c>
      <c r="N40" s="11">
        <f>'EU Ref Scenario 2020'!N40/'EU Ref Scenario 2020'!M40</f>
        <v>1.0028916465069155</v>
      </c>
      <c r="O40" s="11">
        <f>'EU Ref Scenario 2020'!O40/'EU Ref Scenario 2020'!N40</f>
        <v>1.0028833089965272</v>
      </c>
      <c r="P40" s="11">
        <f>'EU Ref Scenario 2020'!P40/'EU Ref Scenario 2020'!O40</f>
        <v>1.0019724808648711</v>
      </c>
      <c r="Q40" s="11">
        <f>'EU Ref Scenario 2020'!Q40/'EU Ref Scenario 2020'!P40</f>
        <v>1.0019685978432946</v>
      </c>
      <c r="R40" s="11">
        <f>'EU Ref Scenario 2020'!R40/'EU Ref Scenario 2020'!Q40</f>
        <v>1.0019647300798968</v>
      </c>
      <c r="S40" s="11">
        <f>'EU Ref Scenario 2020'!S40/'EU Ref Scenario 2020'!R40</f>
        <v>1.0019608774849191</v>
      </c>
      <c r="T40" s="11">
        <f>'EU Ref Scenario 2020'!T40/'EU Ref Scenario 2020'!S40</f>
        <v>1.0019570399693061</v>
      </c>
      <c r="U40" s="11">
        <f>'EU Ref Scenario 2020'!U40/'EU Ref Scenario 2020'!T40</f>
        <v>0.98935034946350164</v>
      </c>
      <c r="V40" s="11">
        <f>'EU Ref Scenario 2020'!V40/'EU Ref Scenario 2020'!U40</f>
        <v>0.98923571357479845</v>
      </c>
      <c r="W40" s="11">
        <f>'EU Ref Scenario 2020'!W40/'EU Ref Scenario 2020'!V40</f>
        <v>0.98911858288425247</v>
      </c>
      <c r="X40" s="11">
        <f>'EU Ref Scenario 2020'!X40/'EU Ref Scenario 2020'!W40</f>
        <v>0.9889988750549833</v>
      </c>
      <c r="Y40" s="11">
        <f>'EU Ref Scenario 2020'!Y40/'EU Ref Scenario 2020'!X40</f>
        <v>0.98887650408661465</v>
      </c>
      <c r="Z40" s="11">
        <f>'EU Ref Scenario 2020'!Z40/'EU Ref Scenario 2020'!Y40</f>
        <v>0.98985078804469195</v>
      </c>
      <c r="AA40" s="11">
        <f>'EU Ref Scenario 2020'!AA40/'EU Ref Scenario 2020'!Z40</f>
        <v>0.98974672538741282</v>
      </c>
      <c r="AB40" s="11">
        <f>'EU Ref Scenario 2020'!AB40/'EU Ref Scenario 2020'!AA40</f>
        <v>0.98964050665732306</v>
      </c>
      <c r="AC40" s="11">
        <f>'EU Ref Scenario 2020'!AC40/'EU Ref Scenario 2020'!AB40</f>
        <v>0.98953206414552708</v>
      </c>
      <c r="AD40" s="11">
        <f>'EU Ref Scenario 2020'!AD40/'EU Ref Scenario 2020'!AC40</f>
        <v>0.98942132727804832</v>
      </c>
      <c r="AE40" s="11">
        <f>'EU Ref Scenario 2020'!AE40/'EU Ref Scenario 2020'!AD40</f>
        <v>0.99634819503717764</v>
      </c>
      <c r="AF40" s="11">
        <f>'EU Ref Scenario 2020'!AF40/'EU Ref Scenario 2020'!AE40</f>
        <v>0.99633481047989847</v>
      </c>
      <c r="AG40" s="11">
        <f>'EU Ref Scenario 2020'!AG40/'EU Ref Scenario 2020'!AF40</f>
        <v>0.99632132744781232</v>
      </c>
      <c r="AH40" s="11">
        <f>'EU Ref Scenario 2020'!AH40/'EU Ref Scenario 2020'!AG40</f>
        <v>0.99630774485013684</v>
      </c>
      <c r="AI40" s="11">
        <f>'EU Ref Scenario 2020'!AI40/'EU Ref Scenario 2020'!AH40</f>
        <v>0.9962940615799204</v>
      </c>
      <c r="AJ40" s="11">
        <f>'EU Ref Scenario 2020'!AJ40/'EU Ref Scenario 2020'!AI40</f>
        <v>1.0006414734868798</v>
      </c>
      <c r="AK40" s="11">
        <f>'EU Ref Scenario 2020'!AK40/'EU Ref Scenario 2020'!AJ40</f>
        <v>1.0006410622624351</v>
      </c>
      <c r="AL40" s="11">
        <f>'EU Ref Scenario 2020'!AL40/'EU Ref Scenario 2020'!AK40</f>
        <v>1.0006406515648933</v>
      </c>
      <c r="AM40" s="11">
        <f>'EU Ref Scenario 2020'!AM40/'EU Ref Scenario 2020'!AL40</f>
        <v>1.0006402413932429</v>
      </c>
      <c r="AN40" s="11">
        <f>'EU Ref Scenario 2020'!AN40/'EU Ref Scenario 2020'!AM40</f>
        <v>1.000639831746474</v>
      </c>
      <c r="AO40" s="11">
        <f>'EU Ref Scenario 2020'!AO40/'EU Ref Scenario 2020'!AN40</f>
        <v>1</v>
      </c>
      <c r="AP40" s="11">
        <f>'EU Ref Scenario 2020'!AP40/'EU Ref Scenario 2020'!AO40</f>
        <v>1</v>
      </c>
      <c r="AQ40" s="11">
        <f>'EU Ref Scenario 2020'!AQ40/'EU Ref Scenario 2020'!AP40</f>
        <v>1</v>
      </c>
      <c r="AR40" s="11">
        <f>'EU Ref Scenario 2020'!AR40/'EU Ref Scenario 2020'!AQ40</f>
        <v>1</v>
      </c>
      <c r="AS40" s="11">
        <f>'EU Ref Scenario 2020'!AS40/'EU Ref Scenario 2020'!AR40</f>
        <v>1</v>
      </c>
      <c r="AT40" s="11">
        <f>'EU Ref Scenario 2020'!AT40/'EU Ref Scenario 2020'!AS40</f>
        <v>1</v>
      </c>
      <c r="AU40" s="11">
        <f>'EU Ref Scenario 2020'!AU40/'EU Ref Scenario 2020'!AT40</f>
        <v>1</v>
      </c>
      <c r="AV40" s="11">
        <f>'EU Ref Scenario 2020'!AV40/'EU Ref Scenario 2020'!AU40</f>
        <v>1</v>
      </c>
      <c r="AW40" s="11">
        <f>'EU Ref Scenario 2020'!AW40/'EU Ref Scenario 2020'!AV40</f>
        <v>1</v>
      </c>
      <c r="AX40" s="11">
        <f>'EU Ref Scenario 2020'!AX40/'EU Ref Scenario 2020'!AW40</f>
        <v>1</v>
      </c>
    </row>
    <row r="41" spans="1:50" x14ac:dyDescent="0.3">
      <c r="A41" t="s">
        <v>1409</v>
      </c>
      <c r="B41" t="s">
        <v>1435</v>
      </c>
      <c r="F41" s="11">
        <f>'EU Ref Scenario 2020'!F41/'EU Ref Scenario 2020'!E41</f>
        <v>0.99388977799671796</v>
      </c>
      <c r="G41" s="11">
        <f>'EU Ref Scenario 2020'!G41/'EU Ref Scenario 2020'!F41</f>
        <v>0.99385221365733545</v>
      </c>
      <c r="H41" s="11">
        <f>'EU Ref Scenario 2020'!H41/'EU Ref Scenario 2020'!G41</f>
        <v>0.99381418458581394</v>
      </c>
      <c r="I41" s="11">
        <f>'EU Ref Scenario 2020'!I41/'EU Ref Scenario 2020'!H41</f>
        <v>0.99377568210423151</v>
      </c>
      <c r="J41" s="11">
        <f>'EU Ref Scenario 2020'!J41/'EU Ref Scenario 2020'!I41</f>
        <v>0.99373669731725689</v>
      </c>
      <c r="K41" s="11">
        <f>'EU Ref Scenario 2020'!K41/'EU Ref Scenario 2020'!J41</f>
        <v>1.028650159234838</v>
      </c>
      <c r="L41" s="11">
        <f>'EU Ref Scenario 2020'!L41/'EU Ref Scenario 2020'!K41</f>
        <v>1.0278521895686572</v>
      </c>
      <c r="M41" s="11">
        <f>'EU Ref Scenario 2020'!M41/'EU Ref Scenario 2020'!L41</f>
        <v>1.027097465813976</v>
      </c>
      <c r="N41" s="11">
        <f>'EU Ref Scenario 2020'!N41/'EU Ref Scenario 2020'!M41</f>
        <v>1.0263825651565612</v>
      </c>
      <c r="O41" s="11">
        <f>'EU Ref Scenario 2020'!O41/'EU Ref Scenario 2020'!N41</f>
        <v>1.0257044167079519</v>
      </c>
      <c r="P41" s="11">
        <f>'EU Ref Scenario 2020'!P41/'EU Ref Scenario 2020'!O41</f>
        <v>1.0202422787763561</v>
      </c>
      <c r="Q41" s="11">
        <f>'EU Ref Scenario 2020'!Q41/'EU Ref Scenario 2020'!P41</f>
        <v>1.0198406586331963</v>
      </c>
      <c r="R41" s="11">
        <f>'EU Ref Scenario 2020'!R41/'EU Ref Scenario 2020'!Q41</f>
        <v>1.0194546652609311</v>
      </c>
      <c r="S41" s="11">
        <f>'EU Ref Scenario 2020'!S41/'EU Ref Scenario 2020'!R41</f>
        <v>1.0190834040236127</v>
      </c>
      <c r="T41" s="11">
        <f>'EU Ref Scenario 2020'!T41/'EU Ref Scenario 2020'!S41</f>
        <v>1.0187260472972739</v>
      </c>
      <c r="U41" s="11">
        <f>'EU Ref Scenario 2020'!U41/'EU Ref Scenario 2020'!T41</f>
        <v>0.9907892259393315</v>
      </c>
      <c r="V41" s="11">
        <f>'EU Ref Scenario 2020'!V41/'EU Ref Scenario 2020'!U41</f>
        <v>0.99070359888912185</v>
      </c>
      <c r="W41" s="11">
        <f>'EU Ref Scenario 2020'!W41/'EU Ref Scenario 2020'!V41</f>
        <v>0.99061636485291638</v>
      </c>
      <c r="X41" s="11">
        <f>'EU Ref Scenario 2020'!X41/'EU Ref Scenario 2020'!W41</f>
        <v>0.99052747816408537</v>
      </c>
      <c r="Y41" s="11">
        <f>'EU Ref Scenario 2020'!Y41/'EU Ref Scenario 2020'!X41</f>
        <v>0.99043689140913949</v>
      </c>
      <c r="Z41" s="11">
        <f>'EU Ref Scenario 2020'!Z41/'EU Ref Scenario 2020'!Y41</f>
        <v>1.0038282247317114</v>
      </c>
      <c r="AA41" s="11">
        <f>'EU Ref Scenario 2020'!AA41/'EU Ref Scenario 2020'!Z41</f>
        <v>1.0038136253169554</v>
      </c>
      <c r="AB41" s="11">
        <f>'EU Ref Scenario 2020'!AB41/'EU Ref Scenario 2020'!AA41</f>
        <v>1.0037991368325483</v>
      </c>
      <c r="AC41" s="11">
        <f>'EU Ref Scenario 2020'!AC41/'EU Ref Scenario 2020'!AB41</f>
        <v>1.0037847580189563</v>
      </c>
      <c r="AD41" s="11">
        <f>'EU Ref Scenario 2020'!AD41/'EU Ref Scenario 2020'!AC41</f>
        <v>1.0037704876356419</v>
      </c>
      <c r="AE41" s="11">
        <f>'EU Ref Scenario 2020'!AE41/'EU Ref Scenario 2020'!AD41</f>
        <v>1.0075730782848069</v>
      </c>
      <c r="AF41" s="11">
        <f>'EU Ref Scenario 2020'!AF41/'EU Ref Scenario 2020'!AE41</f>
        <v>1.0075161578331358</v>
      </c>
      <c r="AG41" s="11">
        <f>'EU Ref Scenario 2020'!AG41/'EU Ref Scenario 2020'!AF41</f>
        <v>1.007460086644467</v>
      </c>
      <c r="AH41" s="11">
        <f>'EU Ref Scenario 2020'!AH41/'EU Ref Scenario 2020'!AG41</f>
        <v>1.0074048458528162</v>
      </c>
      <c r="AI41" s="11">
        <f>'EU Ref Scenario 2020'!AI41/'EU Ref Scenario 2020'!AH41</f>
        <v>1.0073504171468894</v>
      </c>
      <c r="AJ41" s="11">
        <f>'EU Ref Scenario 2020'!AJ41/'EU Ref Scenario 2020'!AI41</f>
        <v>1.0090265280390047</v>
      </c>
      <c r="AK41" s="11">
        <f>'EU Ref Scenario 2020'!AK41/'EU Ref Scenario 2020'!AJ41</f>
        <v>1.0089457787165887</v>
      </c>
      <c r="AL41" s="11">
        <f>'EU Ref Scenario 2020'!AL41/'EU Ref Scenario 2020'!AK41</f>
        <v>1.0088664613156597</v>
      </c>
      <c r="AM41" s="11">
        <f>'EU Ref Scenario 2020'!AM41/'EU Ref Scenario 2020'!AL41</f>
        <v>1.0087885380827279</v>
      </c>
      <c r="AN41" s="11">
        <f>'EU Ref Scenario 2020'!AN41/'EU Ref Scenario 2020'!AM41</f>
        <v>1.0087119725799334</v>
      </c>
      <c r="AO41" s="11">
        <f>'EU Ref Scenario 2020'!AO41/'EU Ref Scenario 2020'!AN41</f>
        <v>1</v>
      </c>
      <c r="AP41" s="11">
        <f>'EU Ref Scenario 2020'!AP41/'EU Ref Scenario 2020'!AO41</f>
        <v>1</v>
      </c>
      <c r="AQ41" s="11">
        <f>'EU Ref Scenario 2020'!AQ41/'EU Ref Scenario 2020'!AP41</f>
        <v>1</v>
      </c>
      <c r="AR41" s="11">
        <f>'EU Ref Scenario 2020'!AR41/'EU Ref Scenario 2020'!AQ41</f>
        <v>1</v>
      </c>
      <c r="AS41" s="11">
        <f>'EU Ref Scenario 2020'!AS41/'EU Ref Scenario 2020'!AR41</f>
        <v>1</v>
      </c>
      <c r="AT41" s="11">
        <f>'EU Ref Scenario 2020'!AT41/'EU Ref Scenario 2020'!AS41</f>
        <v>1</v>
      </c>
      <c r="AU41" s="11">
        <f>'EU Ref Scenario 2020'!AU41/'EU Ref Scenario 2020'!AT41</f>
        <v>1</v>
      </c>
      <c r="AV41" s="11">
        <f>'EU Ref Scenario 2020'!AV41/'EU Ref Scenario 2020'!AU41</f>
        <v>1</v>
      </c>
      <c r="AW41" s="11">
        <f>'EU Ref Scenario 2020'!AW41/'EU Ref Scenario 2020'!AV41</f>
        <v>1</v>
      </c>
      <c r="AX41" s="11">
        <f>'EU Ref Scenario 2020'!AX41/'EU Ref Scenario 2020'!AW41</f>
        <v>1</v>
      </c>
    </row>
    <row r="42" spans="1:50" x14ac:dyDescent="0.3">
      <c r="A42" t="s">
        <v>1410</v>
      </c>
      <c r="B42" t="s">
        <v>1434</v>
      </c>
      <c r="F42" s="11">
        <f>'EU Ref Scenario 2020'!F42/'EU Ref Scenario 2020'!E42</f>
        <v>0.98853558527174179</v>
      </c>
      <c r="G42" s="11">
        <f>'EU Ref Scenario 2020'!G42/'EU Ref Scenario 2020'!F42</f>
        <v>0.98840262819157221</v>
      </c>
      <c r="H42" s="11">
        <f>'EU Ref Scenario 2020'!H42/'EU Ref Scenario 2020'!G42</f>
        <v>0.98826655102116945</v>
      </c>
      <c r="I42" s="11">
        <f>'EU Ref Scenario 2020'!I42/'EU Ref Scenario 2020'!H42</f>
        <v>0.98812724262831064</v>
      </c>
      <c r="J42" s="11">
        <f>'EU Ref Scenario 2020'!J42/'EU Ref Scenario 2020'!I42</f>
        <v>0.98798458653957422</v>
      </c>
      <c r="K42" s="11">
        <f>'EU Ref Scenario 2020'!K42/'EU Ref Scenario 2020'!J42</f>
        <v>0.99814060315571695</v>
      </c>
      <c r="L42" s="11">
        <f>'EU Ref Scenario 2020'!L42/'EU Ref Scenario 2020'!K42</f>
        <v>0.99813713935851878</v>
      </c>
      <c r="M42" s="11">
        <f>'EU Ref Scenario 2020'!M42/'EU Ref Scenario 2020'!L42</f>
        <v>0.99813366263209236</v>
      </c>
      <c r="N42" s="11">
        <f>'EU Ref Scenario 2020'!N42/'EU Ref Scenario 2020'!M42</f>
        <v>0.99813017290391148</v>
      </c>
      <c r="O42" s="11">
        <f>'EU Ref Scenario 2020'!O42/'EU Ref Scenario 2020'!N42</f>
        <v>0.99812667010090617</v>
      </c>
      <c r="P42" s="11">
        <f>'EU Ref Scenario 2020'!P42/'EU Ref Scenario 2020'!O42</f>
        <v>0.98250836424597565</v>
      </c>
      <c r="Q42" s="11">
        <f>'EU Ref Scenario 2020'!Q42/'EU Ref Scenario 2020'!P42</f>
        <v>0.98219695995417977</v>
      </c>
      <c r="R42" s="11">
        <f>'EU Ref Scenario 2020'!R42/'EU Ref Scenario 2020'!Q42</f>
        <v>0.98187426680016332</v>
      </c>
      <c r="S42" s="11">
        <f>'EU Ref Scenario 2020'!S42/'EU Ref Scenario 2020'!R42</f>
        <v>0.98153965959520784</v>
      </c>
      <c r="T42" s="11">
        <f>'EU Ref Scenario 2020'!T42/'EU Ref Scenario 2020'!S42</f>
        <v>0.98119246611756328</v>
      </c>
      <c r="U42" s="11">
        <f>'EU Ref Scenario 2020'!U42/'EU Ref Scenario 2020'!T42</f>
        <v>1.0010961018821893</v>
      </c>
      <c r="V42" s="11">
        <f>'EU Ref Scenario 2020'!V42/'EU Ref Scenario 2020'!U42</f>
        <v>1.0010949017583113</v>
      </c>
      <c r="W42" s="11">
        <f>'EU Ref Scenario 2020'!W42/'EU Ref Scenario 2020'!V42</f>
        <v>1.0010937042595944</v>
      </c>
      <c r="X42" s="11">
        <f>'EU Ref Scenario 2020'!X42/'EU Ref Scenario 2020'!W42</f>
        <v>1.0010925093774345</v>
      </c>
      <c r="Y42" s="11">
        <f>'EU Ref Scenario 2020'!Y42/'EU Ref Scenario 2020'!X42</f>
        <v>1.0010913171032656</v>
      </c>
      <c r="Z42" s="11">
        <f>'EU Ref Scenario 2020'!Z42/'EU Ref Scenario 2020'!Y42</f>
        <v>0.9998646660226016</v>
      </c>
      <c r="AA42" s="11">
        <f>'EU Ref Scenario 2020'!AA42/'EU Ref Scenario 2020'!Z42</f>
        <v>0.99986464770483707</v>
      </c>
      <c r="AB42" s="11">
        <f>'EU Ref Scenario 2020'!AB42/'EU Ref Scenario 2020'!AA42</f>
        <v>0.99986462938211329</v>
      </c>
      <c r="AC42" s="11">
        <f>'EU Ref Scenario 2020'!AC42/'EU Ref Scenario 2020'!AB42</f>
        <v>0.99986461105442803</v>
      </c>
      <c r="AD42" s="11">
        <f>'EU Ref Scenario 2020'!AD42/'EU Ref Scenario 2020'!AC42</f>
        <v>0.99986459272177974</v>
      </c>
      <c r="AE42" s="11">
        <f>'EU Ref Scenario 2020'!AE42/'EU Ref Scenario 2020'!AD42</f>
        <v>1.0025645829026806</v>
      </c>
      <c r="AF42" s="11">
        <f>'EU Ref Scenario 2020'!AF42/'EU Ref Scenario 2020'!AE42</f>
        <v>1.0025580226415494</v>
      </c>
      <c r="AG42" s="11">
        <f>'EU Ref Scenario 2020'!AG42/'EU Ref Scenario 2020'!AF42</f>
        <v>1.0025514958573765</v>
      </c>
      <c r="AH42" s="11">
        <f>'EU Ref Scenario 2020'!AH42/'EU Ref Scenario 2020'!AG42</f>
        <v>1.0025450022945648</v>
      </c>
      <c r="AI42" s="11">
        <f>'EU Ref Scenario 2020'!AI42/'EU Ref Scenario 2020'!AH42</f>
        <v>1.0025385417001129</v>
      </c>
      <c r="AJ42" s="11">
        <f>'EU Ref Scenario 2020'!AJ42/'EU Ref Scenario 2020'!AI42</f>
        <v>1.0051372380551831</v>
      </c>
      <c r="AK42" s="11">
        <f>'EU Ref Scenario 2020'!AK42/'EU Ref Scenario 2020'!AJ42</f>
        <v>1.0051109817253643</v>
      </c>
      <c r="AL42" s="11">
        <f>'EU Ref Scenario 2020'!AL42/'EU Ref Scenario 2020'!AK42</f>
        <v>1.0050849924220218</v>
      </c>
      <c r="AM42" s="11">
        <f>'EU Ref Scenario 2020'!AM42/'EU Ref Scenario 2020'!AL42</f>
        <v>1.0050592660922815</v>
      </c>
      <c r="AN42" s="11">
        <f>'EU Ref Scenario 2020'!AN42/'EU Ref Scenario 2020'!AM42</f>
        <v>1.0050337987648748</v>
      </c>
      <c r="AO42" s="11">
        <f>'EU Ref Scenario 2020'!AO42/'EU Ref Scenario 2020'!AN42</f>
        <v>1</v>
      </c>
      <c r="AP42" s="11">
        <f>'EU Ref Scenario 2020'!AP42/'EU Ref Scenario 2020'!AO42</f>
        <v>1</v>
      </c>
      <c r="AQ42" s="11">
        <f>'EU Ref Scenario 2020'!AQ42/'EU Ref Scenario 2020'!AP42</f>
        <v>1</v>
      </c>
      <c r="AR42" s="11">
        <f>'EU Ref Scenario 2020'!AR42/'EU Ref Scenario 2020'!AQ42</f>
        <v>1</v>
      </c>
      <c r="AS42" s="11">
        <f>'EU Ref Scenario 2020'!AS42/'EU Ref Scenario 2020'!AR42</f>
        <v>1</v>
      </c>
      <c r="AT42" s="11">
        <f>'EU Ref Scenario 2020'!AT42/'EU Ref Scenario 2020'!AS42</f>
        <v>1</v>
      </c>
      <c r="AU42" s="11">
        <f>'EU Ref Scenario 2020'!AU42/'EU Ref Scenario 2020'!AT42</f>
        <v>1</v>
      </c>
      <c r="AV42" s="11">
        <f>'EU Ref Scenario 2020'!AV42/'EU Ref Scenario 2020'!AU42</f>
        <v>1</v>
      </c>
      <c r="AW42" s="11">
        <f>'EU Ref Scenario 2020'!AW42/'EU Ref Scenario 2020'!AV42</f>
        <v>1</v>
      </c>
      <c r="AX42" s="11">
        <f>'EU Ref Scenario 2020'!AX42/'EU Ref Scenario 2020'!AW42</f>
        <v>1</v>
      </c>
    </row>
    <row r="43" spans="1:50" x14ac:dyDescent="0.3">
      <c r="A43" t="s">
        <v>1410</v>
      </c>
      <c r="B43" t="s">
        <v>1439</v>
      </c>
      <c r="F43" s="11">
        <f>'EU Ref Scenario 2020'!F43/'EU Ref Scenario 2020'!E43</f>
        <v>0.98679402952472395</v>
      </c>
      <c r="G43" s="11">
        <f>'EU Ref Scenario 2020'!G43/'EU Ref Scenario 2020'!F43</f>
        <v>0.9866172979566602</v>
      </c>
      <c r="H43" s="11">
        <f>'EU Ref Scenario 2020'!H43/'EU Ref Scenario 2020'!G43</f>
        <v>0.98643577193400511</v>
      </c>
      <c r="I43" s="11">
        <f>'EU Ref Scenario 2020'!I43/'EU Ref Scenario 2020'!H43</f>
        <v>0.98624925367477212</v>
      </c>
      <c r="J43" s="11">
        <f>'EU Ref Scenario 2020'!J43/'EU Ref Scenario 2020'!I43</f>
        <v>0.98605753436670007</v>
      </c>
      <c r="K43" s="11">
        <f>'EU Ref Scenario 2020'!K43/'EU Ref Scenario 2020'!J43</f>
        <v>0.99886642046375951</v>
      </c>
      <c r="L43" s="11">
        <f>'EU Ref Scenario 2020'!L43/'EU Ref Scenario 2020'!K43</f>
        <v>0.99886513400288879</v>
      </c>
      <c r="M43" s="11">
        <f>'EU Ref Scenario 2020'!M43/'EU Ref Scenario 2020'!L43</f>
        <v>0.9988638446187792</v>
      </c>
      <c r="N43" s="11">
        <f>'EU Ref Scenario 2020'!N43/'EU Ref Scenario 2020'!M43</f>
        <v>0.9988625523014556</v>
      </c>
      <c r="O43" s="11">
        <f>'EU Ref Scenario 2020'!O43/'EU Ref Scenario 2020'!N43</f>
        <v>0.99886125704089723</v>
      </c>
      <c r="P43" s="11">
        <f>'EU Ref Scenario 2020'!P43/'EU Ref Scenario 2020'!O43</f>
        <v>0.99027368086906375</v>
      </c>
      <c r="Q43" s="11">
        <f>'EU Ref Scenario 2020'!Q43/'EU Ref Scenario 2020'!P43</f>
        <v>0.9901781504256475</v>
      </c>
      <c r="R43" s="11">
        <f>'EU Ref Scenario 2020'!R43/'EU Ref Scenario 2020'!Q43</f>
        <v>0.99008072479671427</v>
      </c>
      <c r="S43" s="11">
        <f>'EU Ref Scenario 2020'!S43/'EU Ref Scenario 2020'!R43</f>
        <v>0.98998134702064577</v>
      </c>
      <c r="T43" s="11">
        <f>'EU Ref Scenario 2020'!T43/'EU Ref Scenario 2020'!S43</f>
        <v>0.98987995783000826</v>
      </c>
      <c r="U43" s="11">
        <f>'EU Ref Scenario 2020'!U43/'EU Ref Scenario 2020'!T43</f>
        <v>0.99298425037447291</v>
      </c>
      <c r="V43" s="11">
        <f>'EU Ref Scenario 2020'!V43/'EU Ref Scenario 2020'!U43</f>
        <v>0.99293468187145839</v>
      </c>
      <c r="W43" s="11">
        <f>'EU Ref Scenario 2020'!W43/'EU Ref Scenario 2020'!V43</f>
        <v>0.99288440794995192</v>
      </c>
      <c r="X43" s="11">
        <f>'EU Ref Scenario 2020'!X43/'EU Ref Scenario 2020'!W43</f>
        <v>0.99283341344362541</v>
      </c>
      <c r="Y43" s="11">
        <f>'EU Ref Scenario 2020'!Y43/'EU Ref Scenario 2020'!X43</f>
        <v>0.99278168274824918</v>
      </c>
      <c r="Z43" s="11">
        <f>'EU Ref Scenario 2020'!Z43/'EU Ref Scenario 2020'!Y43</f>
        <v>0.98976247483093127</v>
      </c>
      <c r="AA43" s="11">
        <f>'EU Ref Scenario 2020'!AA43/'EU Ref Scenario 2020'!Z43</f>
        <v>0.98965658384773836</v>
      </c>
      <c r="AB43" s="11">
        <f>'EU Ref Scenario 2020'!AB43/'EU Ref Scenario 2020'!AA43</f>
        <v>0.98954847942096547</v>
      </c>
      <c r="AC43" s="11">
        <f>'EU Ref Scenario 2020'!AC43/'EU Ref Scenario 2020'!AB43</f>
        <v>0.98943809141604644</v>
      </c>
      <c r="AD43" s="11">
        <f>'EU Ref Scenario 2020'!AD43/'EU Ref Scenario 2020'!AC43</f>
        <v>0.98932534670376659</v>
      </c>
      <c r="AE43" s="11">
        <f>'EU Ref Scenario 2020'!AE43/'EU Ref Scenario 2020'!AD43</f>
        <v>0.99098613184585171</v>
      </c>
      <c r="AF43" s="11">
        <f>'EU Ref Scenario 2020'!AF43/'EU Ref Scenario 2020'!AE43</f>
        <v>0.99090414299001472</v>
      </c>
      <c r="AG43" s="11">
        <f>'EU Ref Scenario 2020'!AG43/'EU Ref Scenario 2020'!AF43</f>
        <v>0.99082064892519384</v>
      </c>
      <c r="AH43" s="11">
        <f>'EU Ref Scenario 2020'!AH43/'EU Ref Scenario 2020'!AG43</f>
        <v>0.99073560781685011</v>
      </c>
      <c r="AI43" s="11">
        <f>'EU Ref Scenario 2020'!AI43/'EU Ref Scenario 2020'!AH43</f>
        <v>0.9906489762656614</v>
      </c>
      <c r="AJ43" s="11">
        <f>'EU Ref Scenario 2020'!AJ43/'EU Ref Scenario 2020'!AI43</f>
        <v>0.99910533830285142</v>
      </c>
      <c r="AK43" s="11">
        <f>'EU Ref Scenario 2020'!AK43/'EU Ref Scenario 2020'!AJ43</f>
        <v>0.99910453716655312</v>
      </c>
      <c r="AL43" s="11">
        <f>'EU Ref Scenario 2020'!AL43/'EU Ref Scenario 2020'!AK43</f>
        <v>0.99910373459419333</v>
      </c>
      <c r="AM43" s="11">
        <f>'EU Ref Scenario 2020'!AM43/'EU Ref Scenario 2020'!AL43</f>
        <v>0.99910293058190724</v>
      </c>
      <c r="AN43" s="11">
        <f>'EU Ref Scenario 2020'!AN43/'EU Ref Scenario 2020'!AM43</f>
        <v>0.99910212512581642</v>
      </c>
      <c r="AO43" s="11">
        <f>'EU Ref Scenario 2020'!AO43/'EU Ref Scenario 2020'!AN43</f>
        <v>1</v>
      </c>
      <c r="AP43" s="11">
        <f>'EU Ref Scenario 2020'!AP43/'EU Ref Scenario 2020'!AO43</f>
        <v>1</v>
      </c>
      <c r="AQ43" s="11">
        <f>'EU Ref Scenario 2020'!AQ43/'EU Ref Scenario 2020'!AP43</f>
        <v>1</v>
      </c>
      <c r="AR43" s="11">
        <f>'EU Ref Scenario 2020'!AR43/'EU Ref Scenario 2020'!AQ43</f>
        <v>1</v>
      </c>
      <c r="AS43" s="11">
        <f>'EU Ref Scenario 2020'!AS43/'EU Ref Scenario 2020'!AR43</f>
        <v>1</v>
      </c>
      <c r="AT43" s="11">
        <f>'EU Ref Scenario 2020'!AT43/'EU Ref Scenario 2020'!AS43</f>
        <v>1</v>
      </c>
      <c r="AU43" s="11">
        <f>'EU Ref Scenario 2020'!AU43/'EU Ref Scenario 2020'!AT43</f>
        <v>1</v>
      </c>
      <c r="AV43" s="11">
        <f>'EU Ref Scenario 2020'!AV43/'EU Ref Scenario 2020'!AU43</f>
        <v>1</v>
      </c>
      <c r="AW43" s="11">
        <f>'EU Ref Scenario 2020'!AW43/'EU Ref Scenario 2020'!AV43</f>
        <v>1</v>
      </c>
      <c r="AX43" s="11">
        <f>'EU Ref Scenario 2020'!AX43/'EU Ref Scenario 2020'!AW43</f>
        <v>1</v>
      </c>
    </row>
    <row r="44" spans="1:50" x14ac:dyDescent="0.3">
      <c r="A44" t="s">
        <v>1410</v>
      </c>
      <c r="B44" t="s">
        <v>1435</v>
      </c>
      <c r="F44" s="11">
        <f>'EU Ref Scenario 2020'!F44/'EU Ref Scenario 2020'!E44</f>
        <v>0.99031673118647412</v>
      </c>
      <c r="G44" s="11">
        <f>'EU Ref Scenario 2020'!G44/'EU Ref Scenario 2020'!F44</f>
        <v>0.99022204865515639</v>
      </c>
      <c r="H44" s="11">
        <f>'EU Ref Scenario 2020'!H44/'EU Ref Scenario 2020'!G44</f>
        <v>0.99012549623781532</v>
      </c>
      <c r="I44" s="11">
        <f>'EU Ref Scenario 2020'!I44/'EU Ref Scenario 2020'!H44</f>
        <v>0.99002701798943171</v>
      </c>
      <c r="J44" s="11">
        <f>'EU Ref Scenario 2020'!J44/'EU Ref Scenario 2020'!I44</f>
        <v>0.98992655571075028</v>
      </c>
      <c r="K44" s="11">
        <f>'EU Ref Scenario 2020'!K44/'EU Ref Scenario 2020'!J44</f>
        <v>0.99741202615145474</v>
      </c>
      <c r="L44" s="11">
        <f>'EU Ref Scenario 2020'!L44/'EU Ref Scenario 2020'!K44</f>
        <v>0.99740531116460363</v>
      </c>
      <c r="M44" s="11">
        <f>'EU Ref Scenario 2020'!M44/'EU Ref Scenario 2020'!L44</f>
        <v>0.99739856124049842</v>
      </c>
      <c r="N44" s="11">
        <f>'EU Ref Scenario 2020'!N44/'EU Ref Scenario 2020'!M44</f>
        <v>0.99739177610576646</v>
      </c>
      <c r="O44" s="11">
        <f>'EU Ref Scenario 2020'!O44/'EU Ref Scenario 2020'!N44</f>
        <v>0.99738495548417616</v>
      </c>
      <c r="P44" s="11">
        <f>'EU Ref Scenario 2020'!P44/'EU Ref Scenario 2020'!O44</f>
        <v>0.97465609543832243</v>
      </c>
      <c r="Q44" s="11">
        <f>'EU Ref Scenario 2020'!Q44/'EU Ref Scenario 2020'!P44</f>
        <v>0.97399707991332074</v>
      </c>
      <c r="R44" s="11">
        <f>'EU Ref Scenario 2020'!R44/'EU Ref Scenario 2020'!Q44</f>
        <v>0.97330287675093097</v>
      </c>
      <c r="S44" s="11">
        <f>'EU Ref Scenario 2020'!S44/'EU Ref Scenario 2020'!R44</f>
        <v>0.97257059042279914</v>
      </c>
      <c r="T44" s="11">
        <f>'EU Ref Scenario 2020'!T44/'EU Ref Scenario 2020'!S44</f>
        <v>0.97179699875021208</v>
      </c>
      <c r="U44" s="11">
        <f>'EU Ref Scenario 2020'!U44/'EU Ref Scenario 2020'!T44</f>
        <v>1.010032262268554</v>
      </c>
      <c r="V44" s="11">
        <f>'EU Ref Scenario 2020'!V44/'EU Ref Scenario 2020'!U44</f>
        <v>1.009932615663208</v>
      </c>
      <c r="W44" s="11">
        <f>'EU Ref Scenario 2020'!W44/'EU Ref Scenario 2020'!V44</f>
        <v>1.0098349290924578</v>
      </c>
      <c r="X44" s="11">
        <f>'EU Ref Scenario 2020'!X44/'EU Ref Scenario 2020'!W44</f>
        <v>1.0097391452891182</v>
      </c>
      <c r="Y44" s="11">
        <f>'EU Ref Scenario 2020'!Y44/'EU Ref Scenario 2020'!X44</f>
        <v>1.0096452091954198</v>
      </c>
      <c r="Z44" s="11">
        <f>'EU Ref Scenario 2020'!Z44/'EU Ref Scenario 2020'!Y44</f>
        <v>1.0100901154121724</v>
      </c>
      <c r="AA44" s="11">
        <f>'EU Ref Scenario 2020'!AA44/'EU Ref Scenario 2020'!Z44</f>
        <v>1.0099893220003</v>
      </c>
      <c r="AB44" s="11">
        <f>'EU Ref Scenario 2020'!AB44/'EU Ref Scenario 2020'!AA44</f>
        <v>1.0098905223874208</v>
      </c>
      <c r="AC44" s="11">
        <f>'EU Ref Scenario 2020'!AC44/'EU Ref Scenario 2020'!AB44</f>
        <v>1.0097936579937787</v>
      </c>
      <c r="AD44" s="11">
        <f>'EU Ref Scenario 2020'!AD44/'EU Ref Scenario 2020'!AC44</f>
        <v>1.0096986725122008</v>
      </c>
      <c r="AE44" s="11">
        <f>'EU Ref Scenario 2020'!AE44/'EU Ref Scenario 2020'!AD44</f>
        <v>1.0131503418469203</v>
      </c>
      <c r="AF44" s="11">
        <f>'EU Ref Scenario 2020'!AF44/'EU Ref Scenario 2020'!AE44</f>
        <v>1.0129796549473082</v>
      </c>
      <c r="AG44" s="11">
        <f>'EU Ref Scenario 2020'!AG44/'EU Ref Scenario 2020'!AF44</f>
        <v>1.0128133421869991</v>
      </c>
      <c r="AH44" s="11">
        <f>'EU Ref Scenario 2020'!AH44/'EU Ref Scenario 2020'!AG44</f>
        <v>1.0126512375511669</v>
      </c>
      <c r="AI44" s="11">
        <f>'EU Ref Scenario 2020'!AI44/'EU Ref Scenario 2020'!AH44</f>
        <v>1.0124931833212003</v>
      </c>
      <c r="AJ44" s="11">
        <f>'EU Ref Scenario 2020'!AJ44/'EU Ref Scenario 2020'!AI44</f>
        <v>1.0100785406546096</v>
      </c>
      <c r="AK44" s="11">
        <f>'EU Ref Scenario 2020'!AK44/'EU Ref Scenario 2020'!AJ44</f>
        <v>1.0099779772056912</v>
      </c>
      <c r="AL44" s="11">
        <f>'EU Ref Scenario 2020'!AL44/'EU Ref Scenario 2020'!AK44</f>
        <v>1.0098794007700023</v>
      </c>
      <c r="AM44" s="11">
        <f>'EU Ref Scenario 2020'!AM44/'EU Ref Scenario 2020'!AL44</f>
        <v>1.0097827530321635</v>
      </c>
      <c r="AN44" s="11">
        <f>'EU Ref Scenario 2020'!AN44/'EU Ref Scenario 2020'!AM44</f>
        <v>1.0096879779366281</v>
      </c>
      <c r="AO44" s="11">
        <f>'EU Ref Scenario 2020'!AO44/'EU Ref Scenario 2020'!AN44</f>
        <v>1</v>
      </c>
      <c r="AP44" s="11">
        <f>'EU Ref Scenario 2020'!AP44/'EU Ref Scenario 2020'!AO44</f>
        <v>1</v>
      </c>
      <c r="AQ44" s="11">
        <f>'EU Ref Scenario 2020'!AQ44/'EU Ref Scenario 2020'!AP44</f>
        <v>1</v>
      </c>
      <c r="AR44" s="11">
        <f>'EU Ref Scenario 2020'!AR44/'EU Ref Scenario 2020'!AQ44</f>
        <v>1</v>
      </c>
      <c r="AS44" s="11">
        <f>'EU Ref Scenario 2020'!AS44/'EU Ref Scenario 2020'!AR44</f>
        <v>1</v>
      </c>
      <c r="AT44" s="11">
        <f>'EU Ref Scenario 2020'!AT44/'EU Ref Scenario 2020'!AS44</f>
        <v>1</v>
      </c>
      <c r="AU44" s="11">
        <f>'EU Ref Scenario 2020'!AU44/'EU Ref Scenario 2020'!AT44</f>
        <v>1</v>
      </c>
      <c r="AV44" s="11">
        <f>'EU Ref Scenario 2020'!AV44/'EU Ref Scenario 2020'!AU44</f>
        <v>1</v>
      </c>
      <c r="AW44" s="11">
        <f>'EU Ref Scenario 2020'!AW44/'EU Ref Scenario 2020'!AV44</f>
        <v>1</v>
      </c>
      <c r="AX44" s="11">
        <f>'EU Ref Scenario 2020'!AX44/'EU Ref Scenario 2020'!AW44</f>
        <v>1</v>
      </c>
    </row>
    <row r="45" spans="1:50" x14ac:dyDescent="0.3">
      <c r="A45" t="s">
        <v>1411</v>
      </c>
      <c r="B45" t="s">
        <v>1434</v>
      </c>
      <c r="F45" s="11">
        <f>'EU Ref Scenario 2020'!F45/'EU Ref Scenario 2020'!E45</f>
        <v>0.98863662369101213</v>
      </c>
      <c r="G45" s="11">
        <f>'EU Ref Scenario 2020'!G45/'EU Ref Scenario 2020'!F45</f>
        <v>0.98850601319364095</v>
      </c>
      <c r="H45" s="11">
        <f>'EU Ref Scenario 2020'!H45/'EU Ref Scenario 2020'!G45</f>
        <v>0.98837236531397055</v>
      </c>
      <c r="I45" s="11">
        <f>'EU Ref Scenario 2020'!I45/'EU Ref Scenario 2020'!H45</f>
        <v>0.98823557285281272</v>
      </c>
      <c r="J45" s="11">
        <f>'EU Ref Scenario 2020'!J45/'EU Ref Scenario 2020'!I45</f>
        <v>0.98809552350637786</v>
      </c>
      <c r="K45" s="11">
        <f>'EU Ref Scenario 2020'!K45/'EU Ref Scenario 2020'!J45</f>
        <v>1.0079928545088155</v>
      </c>
      <c r="L45" s="11">
        <f>'EU Ref Scenario 2020'!L45/'EU Ref Scenario 2020'!K45</f>
        <v>1.0079294753658847</v>
      </c>
      <c r="M45" s="11">
        <f>'EU Ref Scenario 2020'!M45/'EU Ref Scenario 2020'!L45</f>
        <v>1.0078670934422336</v>
      </c>
      <c r="N45" s="11">
        <f>'EU Ref Scenario 2020'!N45/'EU Ref Scenario 2020'!M45</f>
        <v>1.0078056853859219</v>
      </c>
      <c r="O45" s="11">
        <f>'EU Ref Scenario 2020'!O45/'EU Ref Scenario 2020'!N45</f>
        <v>1.007745228568474</v>
      </c>
      <c r="P45" s="11">
        <f>'EU Ref Scenario 2020'!P45/'EU Ref Scenario 2020'!O45</f>
        <v>0.98741553963712003</v>
      </c>
      <c r="Q45" s="11">
        <f>'EU Ref Scenario 2020'!Q45/'EU Ref Scenario 2020'!P45</f>
        <v>0.9872551526103136</v>
      </c>
      <c r="R45" s="11">
        <f>'EU Ref Scenario 2020'!R45/'EU Ref Scenario 2020'!Q45</f>
        <v>0.98709062459082753</v>
      </c>
      <c r="S45" s="11">
        <f>'EU Ref Scenario 2020'!S45/'EU Ref Scenario 2020'!R45</f>
        <v>0.98692179310838479</v>
      </c>
      <c r="T45" s="11">
        <f>'EU Ref Scenario 2020'!T45/'EU Ref Scenario 2020'!S45</f>
        <v>0.98674848708080087</v>
      </c>
      <c r="U45" s="11">
        <f>'EU Ref Scenario 2020'!U45/'EU Ref Scenario 2020'!T45</f>
        <v>0.99205843751564027</v>
      </c>
      <c r="V45" s="11">
        <f>'EU Ref Scenario 2020'!V45/'EU Ref Scenario 2020'!U45</f>
        <v>0.99199486422972483</v>
      </c>
      <c r="W45" s="11">
        <f>'EU Ref Scenario 2020'!W45/'EU Ref Scenario 2020'!V45</f>
        <v>0.99193026490465652</v>
      </c>
      <c r="X45" s="11">
        <f>'EU Ref Scenario 2020'!X45/'EU Ref Scenario 2020'!W45</f>
        <v>0.99186461449876295</v>
      </c>
      <c r="Y45" s="11">
        <f>'EU Ref Scenario 2020'!Y45/'EU Ref Scenario 2020'!X45</f>
        <v>0.9917978871487938</v>
      </c>
      <c r="Z45" s="11">
        <f>'EU Ref Scenario 2020'!Z45/'EU Ref Scenario 2020'!Y45</f>
        <v>1.0042460227694316</v>
      </c>
      <c r="AA45" s="11">
        <f>'EU Ref Scenario 2020'!AA45/'EU Ref Scenario 2020'!Z45</f>
        <v>1.0042280702867235</v>
      </c>
      <c r="AB45" s="11">
        <f>'EU Ref Scenario 2020'!AB45/'EU Ref Scenario 2020'!AA45</f>
        <v>1.0042102689735772</v>
      </c>
      <c r="AC45" s="11">
        <f>'EU Ref Scenario 2020'!AC45/'EU Ref Scenario 2020'!AB45</f>
        <v>1.0041926169286046</v>
      </c>
      <c r="AD45" s="11">
        <f>'EU Ref Scenario 2020'!AD45/'EU Ref Scenario 2020'!AC45</f>
        <v>1.0041751122821718</v>
      </c>
      <c r="AE45" s="11">
        <f>'EU Ref Scenario 2020'!AE45/'EU Ref Scenario 2020'!AD45</f>
        <v>1.0018619882478037</v>
      </c>
      <c r="AF45" s="11">
        <f>'EU Ref Scenario 2020'!AF45/'EU Ref Scenario 2020'!AE45</f>
        <v>1.0018585276910847</v>
      </c>
      <c r="AG45" s="11">
        <f>'EU Ref Scenario 2020'!AG45/'EU Ref Scenario 2020'!AF45</f>
        <v>1.0018550799735846</v>
      </c>
      <c r="AH45" s="11">
        <f>'EU Ref Scenario 2020'!AH45/'EU Ref Scenario 2020'!AG45</f>
        <v>1.0018516450239825</v>
      </c>
      <c r="AI45" s="11">
        <f>'EU Ref Scenario 2020'!AI45/'EU Ref Scenario 2020'!AH45</f>
        <v>1.0018482227714842</v>
      </c>
      <c r="AJ45" s="11">
        <f>'EU Ref Scenario 2020'!AJ45/'EU Ref Scenario 2020'!AI45</f>
        <v>1.0039829140176166</v>
      </c>
      <c r="AK45" s="11">
        <f>'EU Ref Scenario 2020'!AK45/'EU Ref Scenario 2020'!AJ45</f>
        <v>1.0039671133462604</v>
      </c>
      <c r="AL45" s="11">
        <f>'EU Ref Scenario 2020'!AL45/'EU Ref Scenario 2020'!AK45</f>
        <v>1.0039514375456362</v>
      </c>
      <c r="AM45" s="11">
        <f>'EU Ref Scenario 2020'!AM45/'EU Ref Scenario 2020'!AL45</f>
        <v>1.0039358851413134</v>
      </c>
      <c r="AN45" s="11">
        <f>'EU Ref Scenario 2020'!AN45/'EU Ref Scenario 2020'!AM45</f>
        <v>1.0039204546819835</v>
      </c>
      <c r="AO45" s="11">
        <f>'EU Ref Scenario 2020'!AO45/'EU Ref Scenario 2020'!AN45</f>
        <v>1</v>
      </c>
      <c r="AP45" s="11">
        <f>'EU Ref Scenario 2020'!AP45/'EU Ref Scenario 2020'!AO45</f>
        <v>1</v>
      </c>
      <c r="AQ45" s="11">
        <f>'EU Ref Scenario 2020'!AQ45/'EU Ref Scenario 2020'!AP45</f>
        <v>1</v>
      </c>
      <c r="AR45" s="11">
        <f>'EU Ref Scenario 2020'!AR45/'EU Ref Scenario 2020'!AQ45</f>
        <v>1</v>
      </c>
      <c r="AS45" s="11">
        <f>'EU Ref Scenario 2020'!AS45/'EU Ref Scenario 2020'!AR45</f>
        <v>1</v>
      </c>
      <c r="AT45" s="11">
        <f>'EU Ref Scenario 2020'!AT45/'EU Ref Scenario 2020'!AS45</f>
        <v>1</v>
      </c>
      <c r="AU45" s="11">
        <f>'EU Ref Scenario 2020'!AU45/'EU Ref Scenario 2020'!AT45</f>
        <v>1</v>
      </c>
      <c r="AV45" s="11">
        <f>'EU Ref Scenario 2020'!AV45/'EU Ref Scenario 2020'!AU45</f>
        <v>1</v>
      </c>
      <c r="AW45" s="11">
        <f>'EU Ref Scenario 2020'!AW45/'EU Ref Scenario 2020'!AV45</f>
        <v>1</v>
      </c>
      <c r="AX45" s="11">
        <f>'EU Ref Scenario 2020'!AX45/'EU Ref Scenario 2020'!AW45</f>
        <v>1</v>
      </c>
    </row>
    <row r="46" spans="1:50" x14ac:dyDescent="0.3">
      <c r="A46" t="s">
        <v>1411</v>
      </c>
      <c r="B46" t="s">
        <v>1439</v>
      </c>
      <c r="F46" s="11">
        <f>'EU Ref Scenario 2020'!F46/'EU Ref Scenario 2020'!E46</f>
        <v>0.99197067471723932</v>
      </c>
      <c r="G46" s="11">
        <f>'EU Ref Scenario 2020'!G46/'EU Ref Scenario 2020'!F46</f>
        <v>0.99190568281159175</v>
      </c>
      <c r="H46" s="11">
        <f>'EU Ref Scenario 2020'!H46/'EU Ref Scenario 2020'!G46</f>
        <v>0.99183963018997467</v>
      </c>
      <c r="I46" s="11">
        <f>'EU Ref Scenario 2020'!I46/'EU Ref Scenario 2020'!H46</f>
        <v>0.99177249067123652</v>
      </c>
      <c r="J46" s="11">
        <f>'EU Ref Scenario 2020'!J46/'EU Ref Scenario 2020'!I46</f>
        <v>0.9917042372054552</v>
      </c>
      <c r="K46" s="11">
        <f>'EU Ref Scenario 2020'!K46/'EU Ref Scenario 2020'!J46</f>
        <v>1.0112727398562611</v>
      </c>
      <c r="L46" s="11">
        <f>'EU Ref Scenario 2020'!L46/'EU Ref Scenario 2020'!K46</f>
        <v>1.0111470817040549</v>
      </c>
      <c r="M46" s="11">
        <f>'EU Ref Scenario 2020'!M46/'EU Ref Scenario 2020'!L46</f>
        <v>1.0110241941115719</v>
      </c>
      <c r="N46" s="11">
        <f>'EU Ref Scenario 2020'!N46/'EU Ref Scenario 2020'!M46</f>
        <v>1.0109039864483751</v>
      </c>
      <c r="O46" s="11">
        <f>'EU Ref Scenario 2020'!O46/'EU Ref Scenario 2020'!N46</f>
        <v>1.0107863719943215</v>
      </c>
      <c r="P46" s="11">
        <f>'EU Ref Scenario 2020'!P46/'EU Ref Scenario 2020'!O46</f>
        <v>0.98271739068110675</v>
      </c>
      <c r="Q46" s="11">
        <f>'EU Ref Scenario 2020'!Q46/'EU Ref Scenario 2020'!P46</f>
        <v>0.98241344919426432</v>
      </c>
      <c r="R46" s="11">
        <f>'EU Ref Scenario 2020'!R46/'EU Ref Scenario 2020'!Q46</f>
        <v>0.98209862576682005</v>
      </c>
      <c r="S46" s="11">
        <f>'EU Ref Scenario 2020'!S46/'EU Ref Scenario 2020'!R46</f>
        <v>0.98177232534135506</v>
      </c>
      <c r="T46" s="11">
        <f>'EU Ref Scenario 2020'!T46/'EU Ref Scenario 2020'!S46</f>
        <v>0.9814339086688888</v>
      </c>
      <c r="U46" s="11">
        <f>'EU Ref Scenario 2020'!U46/'EU Ref Scenario 2020'!T46</f>
        <v>0.99113259118366992</v>
      </c>
      <c r="V46" s="11">
        <f>'EU Ref Scenario 2020'!V46/'EU Ref Scenario 2020'!U46</f>
        <v>0.99105325675373046</v>
      </c>
      <c r="W46" s="11">
        <f>'EU Ref Scenario 2020'!W46/'EU Ref Scenario 2020'!V46</f>
        <v>0.99097248993906217</v>
      </c>
      <c r="X46" s="11">
        <f>'EU Ref Scenario 2020'!X46/'EU Ref Scenario 2020'!W46</f>
        <v>0.99089025159367139</v>
      </c>
      <c r="Y46" s="11">
        <f>'EU Ref Scenario 2020'!Y46/'EU Ref Scenario 2020'!X46</f>
        <v>0.99080650113201019</v>
      </c>
      <c r="Z46" s="11">
        <f>'EU Ref Scenario 2020'!Z46/'EU Ref Scenario 2020'!Y46</f>
        <v>1.0045249687607438</v>
      </c>
      <c r="AA46" s="11">
        <f>'EU Ref Scenario 2020'!AA46/'EU Ref Scenario 2020'!Z46</f>
        <v>1.0045045856513912</v>
      </c>
      <c r="AB46" s="11">
        <f>'EU Ref Scenario 2020'!AB46/'EU Ref Scenario 2020'!AA46</f>
        <v>1.0044843853534726</v>
      </c>
      <c r="AC46" s="11">
        <f>'EU Ref Scenario 2020'!AC46/'EU Ref Scenario 2020'!AB46</f>
        <v>1.004464365418577</v>
      </c>
      <c r="AD46" s="11">
        <f>'EU Ref Scenario 2020'!AD46/'EU Ref Scenario 2020'!AC46</f>
        <v>1.0044445234418213</v>
      </c>
      <c r="AE46" s="11">
        <f>'EU Ref Scenario 2020'!AE46/'EU Ref Scenario 2020'!AD46</f>
        <v>1.0045807341017783</v>
      </c>
      <c r="AF46" s="11">
        <f>'EU Ref Scenario 2020'!AF46/'EU Ref Scenario 2020'!AE46</f>
        <v>1.004559846656699</v>
      </c>
      <c r="AG46" s="11">
        <f>'EU Ref Scenario 2020'!AG46/'EU Ref Scenario 2020'!AF46</f>
        <v>1.0045391488340638</v>
      </c>
      <c r="AH46" s="11">
        <f>'EU Ref Scenario 2020'!AH46/'EU Ref Scenario 2020'!AG46</f>
        <v>1.0045186380633668</v>
      </c>
      <c r="AI46" s="11">
        <f>'EU Ref Scenario 2020'!AI46/'EU Ref Scenario 2020'!AH46</f>
        <v>1.0044983118203543</v>
      </c>
      <c r="AJ46" s="11">
        <f>'EU Ref Scenario 2020'!AJ46/'EU Ref Scenario 2020'!AI46</f>
        <v>1.0029289113837596</v>
      </c>
      <c r="AK46" s="11">
        <f>'EU Ref Scenario 2020'!AK46/'EU Ref Scenario 2020'!AJ46</f>
        <v>1.0029203579142201</v>
      </c>
      <c r="AL46" s="11">
        <f>'EU Ref Scenario 2020'!AL46/'EU Ref Scenario 2020'!AK46</f>
        <v>1.0029118542575939</v>
      </c>
      <c r="AM46" s="11">
        <f>'EU Ref Scenario 2020'!AM46/'EU Ref Scenario 2020'!AL46</f>
        <v>1.0029033999800006</v>
      </c>
      <c r="AN46" s="11">
        <f>'EU Ref Scenario 2020'!AN46/'EU Ref Scenario 2020'!AM46</f>
        <v>1.0028949946525842</v>
      </c>
      <c r="AO46" s="11">
        <f>'EU Ref Scenario 2020'!AO46/'EU Ref Scenario 2020'!AN46</f>
        <v>1</v>
      </c>
      <c r="AP46" s="11">
        <f>'EU Ref Scenario 2020'!AP46/'EU Ref Scenario 2020'!AO46</f>
        <v>1</v>
      </c>
      <c r="AQ46" s="11">
        <f>'EU Ref Scenario 2020'!AQ46/'EU Ref Scenario 2020'!AP46</f>
        <v>1</v>
      </c>
      <c r="AR46" s="11">
        <f>'EU Ref Scenario 2020'!AR46/'EU Ref Scenario 2020'!AQ46</f>
        <v>1</v>
      </c>
      <c r="AS46" s="11">
        <f>'EU Ref Scenario 2020'!AS46/'EU Ref Scenario 2020'!AR46</f>
        <v>1</v>
      </c>
      <c r="AT46" s="11">
        <f>'EU Ref Scenario 2020'!AT46/'EU Ref Scenario 2020'!AS46</f>
        <v>1</v>
      </c>
      <c r="AU46" s="11">
        <f>'EU Ref Scenario 2020'!AU46/'EU Ref Scenario 2020'!AT46</f>
        <v>1</v>
      </c>
      <c r="AV46" s="11">
        <f>'EU Ref Scenario 2020'!AV46/'EU Ref Scenario 2020'!AU46</f>
        <v>1</v>
      </c>
      <c r="AW46" s="11">
        <f>'EU Ref Scenario 2020'!AW46/'EU Ref Scenario 2020'!AV46</f>
        <v>1</v>
      </c>
      <c r="AX46" s="11">
        <f>'EU Ref Scenario 2020'!AX46/'EU Ref Scenario 2020'!AW46</f>
        <v>1</v>
      </c>
    </row>
    <row r="47" spans="1:50" x14ac:dyDescent="0.3">
      <c r="A47" t="s">
        <v>1411</v>
      </c>
      <c r="B47" t="s">
        <v>1435</v>
      </c>
      <c r="F47" s="11">
        <f>'EU Ref Scenario 2020'!F47/'EU Ref Scenario 2020'!E47</f>
        <v>0.98498336432061684</v>
      </c>
      <c r="G47" s="11">
        <f>'EU Ref Scenario 2020'!G47/'EU Ref Scenario 2020'!F47</f>
        <v>0.98475442710675531</v>
      </c>
      <c r="H47" s="11">
        <f>'EU Ref Scenario 2020'!H47/'EU Ref Scenario 2020'!G47</f>
        <v>0.98451840126473289</v>
      </c>
      <c r="I47" s="11">
        <f>'EU Ref Scenario 2020'!I47/'EU Ref Scenario 2020'!H47</f>
        <v>0.98427495238750318</v>
      </c>
      <c r="J47" s="11">
        <f>'EU Ref Scenario 2020'!J47/'EU Ref Scenario 2020'!I47</f>
        <v>0.98402372469770427</v>
      </c>
      <c r="K47" s="11">
        <f>'EU Ref Scenario 2020'!K47/'EU Ref Scenario 2020'!J47</f>
        <v>1.0042631953501469</v>
      </c>
      <c r="L47" s="11">
        <f>'EU Ref Scenario 2020'!L47/'EU Ref Scenario 2020'!K47</f>
        <v>1.0042450976695014</v>
      </c>
      <c r="M47" s="11">
        <f>'EU Ref Scenario 2020'!M47/'EU Ref Scenario 2020'!L47</f>
        <v>1.0042271529921856</v>
      </c>
      <c r="N47" s="11">
        <f>'EU Ref Scenario 2020'!N47/'EU Ref Scenario 2020'!M47</f>
        <v>1.0042093593860617</v>
      </c>
      <c r="O47" s="11">
        <f>'EU Ref Scenario 2020'!O47/'EU Ref Scenario 2020'!N47</f>
        <v>1.004191714951387</v>
      </c>
      <c r="P47" s="11">
        <f>'EU Ref Scenario 2020'!P47/'EU Ref Scenario 2020'!O47</f>
        <v>0.99294128168408002</v>
      </c>
      <c r="Q47" s="11">
        <f>'EU Ref Scenario 2020'!Q47/'EU Ref Scenario 2020'!P47</f>
        <v>0.99289110197538766</v>
      </c>
      <c r="R47" s="11">
        <f>'EU Ref Scenario 2020'!R47/'EU Ref Scenario 2020'!Q47</f>
        <v>0.99284020371371151</v>
      </c>
      <c r="S47" s="11">
        <f>'EU Ref Scenario 2020'!S47/'EU Ref Scenario 2020'!R47</f>
        <v>0.9927885713536706</v>
      </c>
      <c r="T47" s="11">
        <f>'EU Ref Scenario 2020'!T47/'EU Ref Scenario 2020'!S47</f>
        <v>0.99273618889820958</v>
      </c>
      <c r="U47" s="11">
        <f>'EU Ref Scenario 2020'!U47/'EU Ref Scenario 2020'!T47</f>
        <v>0.99308967207987153</v>
      </c>
      <c r="V47" s="11">
        <f>'EU Ref Scenario 2020'!V47/'EU Ref Scenario 2020'!U47</f>
        <v>0.99304158716538071</v>
      </c>
      <c r="W47" s="11">
        <f>'EU Ref Scenario 2020'!W47/'EU Ref Scenario 2020'!V47</f>
        <v>0.99299282837239278</v>
      </c>
      <c r="X47" s="11">
        <f>'EU Ref Scenario 2020'!X47/'EU Ref Scenario 2020'!W47</f>
        <v>0.99294338143499727</v>
      </c>
      <c r="Y47" s="11">
        <f>'EU Ref Scenario 2020'!Y47/'EU Ref Scenario 2020'!X47</f>
        <v>0.99289323168174548</v>
      </c>
      <c r="Z47" s="11">
        <f>'EU Ref Scenario 2020'!Z47/'EU Ref Scenario 2020'!Y47</f>
        <v>1.0039384737279258</v>
      </c>
      <c r="AA47" s="11">
        <f>'EU Ref Scenario 2020'!AA47/'EU Ref Scenario 2020'!Z47</f>
        <v>1.003923023004887</v>
      </c>
      <c r="AB47" s="11">
        <f>'EU Ref Scenario 2020'!AB47/'EU Ref Scenario 2020'!AA47</f>
        <v>1.0039076930352138</v>
      </c>
      <c r="AC47" s="11">
        <f>'EU Ref Scenario 2020'!AC47/'EU Ref Scenario 2020'!AB47</f>
        <v>1.0038924824088151</v>
      </c>
      <c r="AD47" s="11">
        <f>'EU Ref Scenario 2020'!AD47/'EU Ref Scenario 2020'!AC47</f>
        <v>1.0038773897374698</v>
      </c>
      <c r="AE47" s="11">
        <f>'EU Ref Scenario 2020'!AE47/'EU Ref Scenario 2020'!AD47</f>
        <v>0.99885584248100667</v>
      </c>
      <c r="AF47" s="11">
        <f>'EU Ref Scenario 2020'!AF47/'EU Ref Scenario 2020'!AE47</f>
        <v>0.99885453188505025</v>
      </c>
      <c r="AG47" s="11">
        <f>'EU Ref Scenario 2020'!AG47/'EU Ref Scenario 2020'!AF47</f>
        <v>0.99885321828315876</v>
      </c>
      <c r="AH47" s="11">
        <f>'EU Ref Scenario 2020'!AH47/'EU Ref Scenario 2020'!AG47</f>
        <v>0.99885190166497906</v>
      </c>
      <c r="AI47" s="11">
        <f>'EU Ref Scenario 2020'!AI47/'EU Ref Scenario 2020'!AH47</f>
        <v>0.99885058202011012</v>
      </c>
      <c r="AJ47" s="11">
        <f>'EU Ref Scenario 2020'!AJ47/'EU Ref Scenario 2020'!AI47</f>
        <v>1.0051818872766174</v>
      </c>
      <c r="AK47" s="11">
        <f>'EU Ref Scenario 2020'!AK47/'EU Ref Scenario 2020'!AJ47</f>
        <v>1.005155173747367</v>
      </c>
      <c r="AL47" s="11">
        <f>'EU Ref Scenario 2020'!AL47/'EU Ref Scenario 2020'!AK47</f>
        <v>1.0051287342313007</v>
      </c>
      <c r="AM47" s="11">
        <f>'EU Ref Scenario 2020'!AM47/'EU Ref Scenario 2020'!AL47</f>
        <v>1.0051025645339082</v>
      </c>
      <c r="AN47" s="11">
        <f>'EU Ref Scenario 2020'!AN47/'EU Ref Scenario 2020'!AM47</f>
        <v>1.0050766605458561</v>
      </c>
      <c r="AO47" s="11">
        <f>'EU Ref Scenario 2020'!AO47/'EU Ref Scenario 2020'!AN47</f>
        <v>1</v>
      </c>
      <c r="AP47" s="11">
        <f>'EU Ref Scenario 2020'!AP47/'EU Ref Scenario 2020'!AO47</f>
        <v>1</v>
      </c>
      <c r="AQ47" s="11">
        <f>'EU Ref Scenario 2020'!AQ47/'EU Ref Scenario 2020'!AP47</f>
        <v>1</v>
      </c>
      <c r="AR47" s="11">
        <f>'EU Ref Scenario 2020'!AR47/'EU Ref Scenario 2020'!AQ47</f>
        <v>1</v>
      </c>
      <c r="AS47" s="11">
        <f>'EU Ref Scenario 2020'!AS47/'EU Ref Scenario 2020'!AR47</f>
        <v>1</v>
      </c>
      <c r="AT47" s="11">
        <f>'EU Ref Scenario 2020'!AT47/'EU Ref Scenario 2020'!AS47</f>
        <v>1</v>
      </c>
      <c r="AU47" s="11">
        <f>'EU Ref Scenario 2020'!AU47/'EU Ref Scenario 2020'!AT47</f>
        <v>1</v>
      </c>
      <c r="AV47" s="11">
        <f>'EU Ref Scenario 2020'!AV47/'EU Ref Scenario 2020'!AU47</f>
        <v>1</v>
      </c>
      <c r="AW47" s="11">
        <f>'EU Ref Scenario 2020'!AW47/'EU Ref Scenario 2020'!AV47</f>
        <v>1</v>
      </c>
      <c r="AX47" s="11">
        <f>'EU Ref Scenario 2020'!AX47/'EU Ref Scenario 2020'!AW47</f>
        <v>1</v>
      </c>
    </row>
    <row r="48" spans="1:50" x14ac:dyDescent="0.3">
      <c r="A48" t="s">
        <v>1412</v>
      </c>
      <c r="B48" t="s">
        <v>1434</v>
      </c>
      <c r="F48" s="11">
        <f>'EU Ref Scenario 2020'!F48/'EU Ref Scenario 2020'!E48</f>
        <v>0.99767674304447918</v>
      </c>
      <c r="G48" s="11">
        <f>'EU Ref Scenario 2020'!G48/'EU Ref Scenario 2020'!F48</f>
        <v>0.99767133295256416</v>
      </c>
      <c r="H48" s="11">
        <f>'EU Ref Scenario 2020'!H48/'EU Ref Scenario 2020'!G48</f>
        <v>0.99766589760523217</v>
      </c>
      <c r="I48" s="11">
        <f>'EU Ref Scenario 2020'!I48/'EU Ref Scenario 2020'!H48</f>
        <v>0.99766043682522321</v>
      </c>
      <c r="J48" s="11">
        <f>'EU Ref Scenario 2020'!J48/'EU Ref Scenario 2020'!I48</f>
        <v>0.99765495043361441</v>
      </c>
      <c r="K48" s="11">
        <f>'EU Ref Scenario 2020'!K48/'EU Ref Scenario 2020'!J48</f>
        <v>1.0222014776399209</v>
      </c>
      <c r="L48" s="11">
        <f>'EU Ref Scenario 2020'!L48/'EU Ref Scenario 2020'!K48</f>
        <v>1.0217192775842783</v>
      </c>
      <c r="M48" s="11">
        <f>'EU Ref Scenario 2020'!M48/'EU Ref Scenario 2020'!L48</f>
        <v>1.0212575783395519</v>
      </c>
      <c r="N48" s="11">
        <f>'EU Ref Scenario 2020'!N48/'EU Ref Scenario 2020'!M48</f>
        <v>1.0208150997264709</v>
      </c>
      <c r="O48" s="11">
        <f>'EU Ref Scenario 2020'!O48/'EU Ref Scenario 2020'!N48</f>
        <v>1.0203906659805955</v>
      </c>
      <c r="P48" s="11">
        <f>'EU Ref Scenario 2020'!P48/'EU Ref Scenario 2020'!O48</f>
        <v>1.0295045600958845</v>
      </c>
      <c r="Q48" s="11">
        <f>'EU Ref Scenario 2020'!Q48/'EU Ref Scenario 2020'!P48</f>
        <v>1.0286589892259792</v>
      </c>
      <c r="R48" s="11">
        <f>'EU Ref Scenario 2020'!R48/'EU Ref Scenario 2020'!Q48</f>
        <v>1.0278605344688077</v>
      </c>
      <c r="S48" s="11">
        <f>'EU Ref Scenario 2020'!S48/'EU Ref Scenario 2020'!R48</f>
        <v>1.0271053645261377</v>
      </c>
      <c r="T48" s="11">
        <f>'EU Ref Scenario 2020'!T48/'EU Ref Scenario 2020'!S48</f>
        <v>1.0263900525323835</v>
      </c>
      <c r="U48" s="11">
        <f>'EU Ref Scenario 2020'!U48/'EU Ref Scenario 2020'!T48</f>
        <v>0.98390733191926583</v>
      </c>
      <c r="V48" s="11">
        <f>'EU Ref Scenario 2020'!V48/'EU Ref Scenario 2020'!U48</f>
        <v>0.98364412220677033</v>
      </c>
      <c r="W48" s="11">
        <f>'EU Ref Scenario 2020'!W48/'EU Ref Scenario 2020'!V48</f>
        <v>0.98337215927592203</v>
      </c>
      <c r="X48" s="11">
        <f>'EU Ref Scenario 2020'!X48/'EU Ref Scenario 2020'!W48</f>
        <v>0.98309099910219</v>
      </c>
      <c r="Y48" s="11">
        <f>'EU Ref Scenario 2020'!Y48/'EU Ref Scenario 2020'!X48</f>
        <v>0.98280016711245222</v>
      </c>
      <c r="Z48" s="11">
        <f>'EU Ref Scenario 2020'!Z48/'EU Ref Scenario 2020'!Y48</f>
        <v>0.99378189213715995</v>
      </c>
      <c r="AA48" s="11">
        <f>'EU Ref Scenario 2020'!AA48/'EU Ref Scenario 2020'!Z48</f>
        <v>0.99374298534513672</v>
      </c>
      <c r="AB48" s="11">
        <f>'EU Ref Scenario 2020'!AB48/'EU Ref Scenario 2020'!AA48</f>
        <v>0.99370358860677621</v>
      </c>
      <c r="AC48" s="11">
        <f>'EU Ref Scenario 2020'!AC48/'EU Ref Scenario 2020'!AB48</f>
        <v>0.99366369260872689</v>
      </c>
      <c r="AD48" s="11">
        <f>'EU Ref Scenario 2020'!AD48/'EU Ref Scenario 2020'!AC48</f>
        <v>0.99362328780008247</v>
      </c>
      <c r="AE48" s="11">
        <f>'EU Ref Scenario 2020'!AE48/'EU Ref Scenario 2020'!AD48</f>
        <v>0.99457734551317412</v>
      </c>
      <c r="AF48" s="11">
        <f>'EU Ref Scenario 2020'!AF48/'EU Ref Scenario 2020'!AE48</f>
        <v>0.99454778000797117</v>
      </c>
      <c r="AG48" s="11">
        <f>'EU Ref Scenario 2020'!AG48/'EU Ref Scenario 2020'!AF48</f>
        <v>0.99451789034008486</v>
      </c>
      <c r="AH48" s="11">
        <f>'EU Ref Scenario 2020'!AH48/'EU Ref Scenario 2020'!AG48</f>
        <v>0.99448767114884129</v>
      </c>
      <c r="AI48" s="11">
        <f>'EU Ref Scenario 2020'!AI48/'EU Ref Scenario 2020'!AH48</f>
        <v>0.99445711695471173</v>
      </c>
      <c r="AJ48" s="11">
        <f>'EU Ref Scenario 2020'!AJ48/'EU Ref Scenario 2020'!AI48</f>
        <v>1.0062917693914217</v>
      </c>
      <c r="AK48" s="11">
        <f>'EU Ref Scenario 2020'!AK48/'EU Ref Scenario 2020'!AJ48</f>
        <v>1.006252430540326</v>
      </c>
      <c r="AL48" s="11">
        <f>'EU Ref Scenario 2020'!AL48/'EU Ref Scenario 2020'!AK48</f>
        <v>1.0062135805594712</v>
      </c>
      <c r="AM48" s="11">
        <f>'EU Ref Scenario 2020'!AM48/'EU Ref Scenario 2020'!AL48</f>
        <v>1.0061752103922275</v>
      </c>
      <c r="AN48" s="11">
        <f>'EU Ref Scenario 2020'!AN48/'EU Ref Scenario 2020'!AM48</f>
        <v>1.0061373112042986</v>
      </c>
      <c r="AO48" s="11">
        <f>'EU Ref Scenario 2020'!AO48/'EU Ref Scenario 2020'!AN48</f>
        <v>1</v>
      </c>
      <c r="AP48" s="11">
        <f>'EU Ref Scenario 2020'!AP48/'EU Ref Scenario 2020'!AO48</f>
        <v>1</v>
      </c>
      <c r="AQ48" s="11">
        <f>'EU Ref Scenario 2020'!AQ48/'EU Ref Scenario 2020'!AP48</f>
        <v>1</v>
      </c>
      <c r="AR48" s="11">
        <f>'EU Ref Scenario 2020'!AR48/'EU Ref Scenario 2020'!AQ48</f>
        <v>1</v>
      </c>
      <c r="AS48" s="11">
        <f>'EU Ref Scenario 2020'!AS48/'EU Ref Scenario 2020'!AR48</f>
        <v>1</v>
      </c>
      <c r="AT48" s="11">
        <f>'EU Ref Scenario 2020'!AT48/'EU Ref Scenario 2020'!AS48</f>
        <v>1</v>
      </c>
      <c r="AU48" s="11">
        <f>'EU Ref Scenario 2020'!AU48/'EU Ref Scenario 2020'!AT48</f>
        <v>1</v>
      </c>
      <c r="AV48" s="11">
        <f>'EU Ref Scenario 2020'!AV48/'EU Ref Scenario 2020'!AU48</f>
        <v>1</v>
      </c>
      <c r="AW48" s="11">
        <f>'EU Ref Scenario 2020'!AW48/'EU Ref Scenario 2020'!AV48</f>
        <v>1</v>
      </c>
      <c r="AX48" s="11">
        <f>'EU Ref Scenario 2020'!AX48/'EU Ref Scenario 2020'!AW48</f>
        <v>1</v>
      </c>
    </row>
    <row r="49" spans="1:50" x14ac:dyDescent="0.3">
      <c r="A49" t="s">
        <v>1412</v>
      </c>
      <c r="B49" t="s">
        <v>1439</v>
      </c>
      <c r="F49" s="11">
        <f>'EU Ref Scenario 2020'!F49/'EU Ref Scenario 2020'!E49</f>
        <v>0.99447718982250444</v>
      </c>
      <c r="G49" s="11">
        <f>'EU Ref Scenario 2020'!G49/'EU Ref Scenario 2020'!F49</f>
        <v>0.99444651900112335</v>
      </c>
      <c r="H49" s="11">
        <f>'EU Ref Scenario 2020'!H49/'EU Ref Scenario 2020'!G49</f>
        <v>0.99441550561768277</v>
      </c>
      <c r="I49" s="11">
        <f>'EU Ref Scenario 2020'!I49/'EU Ref Scenario 2020'!H49</f>
        <v>0.99438414390084517</v>
      </c>
      <c r="J49" s="11">
        <f>'EU Ref Scenario 2020'!J49/'EU Ref Scenario 2020'!I49</f>
        <v>0.99435242794889611</v>
      </c>
      <c r="K49" s="11">
        <f>'EU Ref Scenario 2020'!K49/'EU Ref Scenario 2020'!J49</f>
        <v>1.0280882604743991</v>
      </c>
      <c r="L49" s="11">
        <f>'EU Ref Scenario 2020'!L49/'EU Ref Scenario 2020'!K49</f>
        <v>1.0273208649045735</v>
      </c>
      <c r="M49" s="11">
        <f>'EU Ref Scenario 2020'!M49/'EU Ref Scenario 2020'!L49</f>
        <v>1.0265942860092805</v>
      </c>
      <c r="N49" s="11">
        <f>'EU Ref Scenario 2020'!N49/'EU Ref Scenario 2020'!M49</f>
        <v>1.0259053516775956</v>
      </c>
      <c r="O49" s="11">
        <f>'EU Ref Scenario 2020'!O49/'EU Ref Scenario 2020'!N49</f>
        <v>1.0252512101971534</v>
      </c>
      <c r="P49" s="11">
        <f>'EU Ref Scenario 2020'!P49/'EU Ref Scenario 2020'!O49</f>
        <v>1.0167185437789745</v>
      </c>
      <c r="Q49" s="11">
        <f>'EU Ref Scenario 2020'!Q49/'EU Ref Scenario 2020'!P49</f>
        <v>1.0164436302271369</v>
      </c>
      <c r="R49" s="11">
        <f>'EU Ref Scenario 2020'!R49/'EU Ref Scenario 2020'!Q49</f>
        <v>1.0161776115646102</v>
      </c>
      <c r="S49" s="11">
        <f>'EU Ref Scenario 2020'!S49/'EU Ref Scenario 2020'!R49</f>
        <v>1.0159200629698006</v>
      </c>
      <c r="T49" s="11">
        <f>'EU Ref Scenario 2020'!T49/'EU Ref Scenario 2020'!S49</f>
        <v>1.0156705862499278</v>
      </c>
      <c r="U49" s="11">
        <f>'EU Ref Scenario 2020'!U49/'EU Ref Scenario 2020'!T49</f>
        <v>0.96545388296034518</v>
      </c>
      <c r="V49" s="11">
        <f>'EU Ref Scenario 2020'!V49/'EU Ref Scenario 2020'!U49</f>
        <v>0.96421774499085655</v>
      </c>
      <c r="W49" s="11">
        <f>'EU Ref Scenario 2020'!W49/'EU Ref Scenario 2020'!V49</f>
        <v>0.96288986051643055</v>
      </c>
      <c r="X49" s="11">
        <f>'EU Ref Scenario 2020'!X49/'EU Ref Scenario 2020'!W49</f>
        <v>0.96145962170204391</v>
      </c>
      <c r="Y49" s="11">
        <f>'EU Ref Scenario 2020'!Y49/'EU Ref Scenario 2020'!X49</f>
        <v>0.95991471984051835</v>
      </c>
      <c r="Z49" s="11">
        <f>'EU Ref Scenario 2020'!Z49/'EU Ref Scenario 2020'!Y49</f>
        <v>0.99244642809393968</v>
      </c>
      <c r="AA49" s="11">
        <f>'EU Ref Scenario 2020'!AA49/'EU Ref Scenario 2020'!Z49</f>
        <v>0.99238893738519707</v>
      </c>
      <c r="AB49" s="11">
        <f>'EU Ref Scenario 2020'!AB49/'EU Ref Scenario 2020'!AA49</f>
        <v>0.9923305648339279</v>
      </c>
      <c r="AC49" s="11">
        <f>'EU Ref Scenario 2020'!AC49/'EU Ref Scenario 2020'!AB49</f>
        <v>0.99227128999361658</v>
      </c>
      <c r="AD49" s="11">
        <f>'EU Ref Scenario 2020'!AD49/'EU Ref Scenario 2020'!AC49</f>
        <v>0.99221109178072375</v>
      </c>
      <c r="AE49" s="11">
        <f>'EU Ref Scenario 2020'!AE49/'EU Ref Scenario 2020'!AD49</f>
        <v>0.99607604392672222</v>
      </c>
      <c r="AF49" s="11">
        <f>'EU Ref Scenario 2020'!AF49/'EU Ref Scenario 2020'!AE49</f>
        <v>0.99606058583859847</v>
      </c>
      <c r="AG49" s="11">
        <f>'EU Ref Scenario 2020'!AG49/'EU Ref Scenario 2020'!AF49</f>
        <v>0.9960450054771669</v>
      </c>
      <c r="AH49" s="11">
        <f>'EU Ref Scenario 2020'!AH49/'EU Ref Scenario 2020'!AG49</f>
        <v>0.99602930138589629</v>
      </c>
      <c r="AI49" s="11">
        <f>'EU Ref Scenario 2020'!AI49/'EU Ref Scenario 2020'!AH49</f>
        <v>0.99601347208502922</v>
      </c>
      <c r="AJ49" s="11">
        <f>'EU Ref Scenario 2020'!AJ49/'EU Ref Scenario 2020'!AI49</f>
        <v>1.0006513927335561</v>
      </c>
      <c r="AK49" s="11">
        <f>'EU Ref Scenario 2020'!AK49/'EU Ref Scenario 2020'!AJ49</f>
        <v>1.0006509686972771</v>
      </c>
      <c r="AL49" s="11">
        <f>'EU Ref Scenario 2020'!AL49/'EU Ref Scenario 2020'!AK49</f>
        <v>1.0006505452127072</v>
      </c>
      <c r="AM49" s="11">
        <f>'EU Ref Scenario 2020'!AM49/'EU Ref Scenario 2020'!AL49</f>
        <v>1.0006501222787711</v>
      </c>
      <c r="AN49" s="11">
        <f>'EU Ref Scenario 2020'!AN49/'EU Ref Scenario 2020'!AM49</f>
        <v>1.0006496998943952</v>
      </c>
      <c r="AO49" s="11">
        <f>'EU Ref Scenario 2020'!AO49/'EU Ref Scenario 2020'!AN49</f>
        <v>1</v>
      </c>
      <c r="AP49" s="11">
        <f>'EU Ref Scenario 2020'!AP49/'EU Ref Scenario 2020'!AO49</f>
        <v>1</v>
      </c>
      <c r="AQ49" s="11">
        <f>'EU Ref Scenario 2020'!AQ49/'EU Ref Scenario 2020'!AP49</f>
        <v>1</v>
      </c>
      <c r="AR49" s="11">
        <f>'EU Ref Scenario 2020'!AR49/'EU Ref Scenario 2020'!AQ49</f>
        <v>1</v>
      </c>
      <c r="AS49" s="11">
        <f>'EU Ref Scenario 2020'!AS49/'EU Ref Scenario 2020'!AR49</f>
        <v>1</v>
      </c>
      <c r="AT49" s="11">
        <f>'EU Ref Scenario 2020'!AT49/'EU Ref Scenario 2020'!AS49</f>
        <v>1</v>
      </c>
      <c r="AU49" s="11">
        <f>'EU Ref Scenario 2020'!AU49/'EU Ref Scenario 2020'!AT49</f>
        <v>1</v>
      </c>
      <c r="AV49" s="11">
        <f>'EU Ref Scenario 2020'!AV49/'EU Ref Scenario 2020'!AU49</f>
        <v>1</v>
      </c>
      <c r="AW49" s="11">
        <f>'EU Ref Scenario 2020'!AW49/'EU Ref Scenario 2020'!AV49</f>
        <v>1</v>
      </c>
      <c r="AX49" s="11">
        <f>'EU Ref Scenario 2020'!AX49/'EU Ref Scenario 2020'!AW49</f>
        <v>1</v>
      </c>
    </row>
    <row r="50" spans="1:50" x14ac:dyDescent="0.3">
      <c r="A50" t="s">
        <v>1412</v>
      </c>
      <c r="B50" t="s">
        <v>1435</v>
      </c>
      <c r="F50" s="11">
        <f>'EU Ref Scenario 2020'!F50/'EU Ref Scenario 2020'!E50</f>
        <v>1.0015167693996898</v>
      </c>
      <c r="G50" s="11">
        <f>'EU Ref Scenario 2020'!G50/'EU Ref Scenario 2020'!F50</f>
        <v>1.0015144722944569</v>
      </c>
      <c r="H50" s="11">
        <f>'EU Ref Scenario 2020'!H50/'EU Ref Scenario 2020'!G50</f>
        <v>1.0015121821365069</v>
      </c>
      <c r="I50" s="11">
        <f>'EU Ref Scenario 2020'!I50/'EU Ref Scenario 2020'!H50</f>
        <v>1.0015098988943711</v>
      </c>
      <c r="J50" s="11">
        <f>'EU Ref Scenario 2020'!J50/'EU Ref Scenario 2020'!I50</f>
        <v>1.0015076225367696</v>
      </c>
      <c r="K50" s="11">
        <f>'EU Ref Scenario 2020'!K50/'EU Ref Scenario 2020'!J50</f>
        <v>1.0153831108619251</v>
      </c>
      <c r="L50" s="11">
        <f>'EU Ref Scenario 2020'!L50/'EU Ref Scenario 2020'!K50</f>
        <v>1.0151500558728683</v>
      </c>
      <c r="M50" s="11">
        <f>'EU Ref Scenario 2020'!M50/'EU Ref Scenario 2020'!L50</f>
        <v>1.0149239570891238</v>
      </c>
      <c r="N50" s="11">
        <f>'EU Ref Scenario 2020'!N50/'EU Ref Scenario 2020'!M50</f>
        <v>1.0147045076479688</v>
      </c>
      <c r="O50" s="11">
        <f>'EU Ref Scenario 2020'!O50/'EU Ref Scenario 2020'!N50</f>
        <v>1.0144914184741853</v>
      </c>
      <c r="P50" s="11">
        <f>'EU Ref Scenario 2020'!P50/'EU Ref Scenario 2020'!O50</f>
        <v>1.0451875508552126</v>
      </c>
      <c r="Q50" s="11">
        <f>'EU Ref Scenario 2020'!Q50/'EU Ref Scenario 2020'!P50</f>
        <v>1.043233916073951</v>
      </c>
      <c r="R50" s="11">
        <f>'EU Ref Scenario 2020'!R50/'EU Ref Scenario 2020'!Q50</f>
        <v>1.0414422071673581</v>
      </c>
      <c r="S50" s="11">
        <f>'EU Ref Scenario 2020'!S50/'EU Ref Scenario 2020'!R50</f>
        <v>1.0397930935410018</v>
      </c>
      <c r="T50" s="11">
        <f>'EU Ref Scenario 2020'!T50/'EU Ref Scenario 2020'!S50</f>
        <v>1.0382702037435998</v>
      </c>
      <c r="U50" s="11">
        <f>'EU Ref Scenario 2020'!U50/'EU Ref Scenario 2020'!T50</f>
        <v>1.003913726888402</v>
      </c>
      <c r="V50" s="11">
        <f>'EU Ref Scenario 2020'!V50/'EU Ref Scenario 2020'!U50</f>
        <v>1.0038984693441064</v>
      </c>
      <c r="W50" s="11">
        <f>'EU Ref Scenario 2020'!W50/'EU Ref Scenario 2020'!V50</f>
        <v>1.0038833302999788</v>
      </c>
      <c r="X50" s="11">
        <f>'EU Ref Scenario 2020'!X50/'EU Ref Scenario 2020'!W50</f>
        <v>1.003868308380834</v>
      </c>
      <c r="Y50" s="11">
        <f>'EU Ref Scenario 2020'!Y50/'EU Ref Scenario 2020'!X50</f>
        <v>1.0038534022326822</v>
      </c>
      <c r="Z50" s="11">
        <f>'EU Ref Scenario 2020'!Z50/'EU Ref Scenario 2020'!Y50</f>
        <v>0.9949566652318077</v>
      </c>
      <c r="AA50" s="11">
        <f>'EU Ref Scenario 2020'!AA50/'EU Ref Scenario 2020'!Z50</f>
        <v>0.99493110107763605</v>
      </c>
      <c r="AB50" s="11">
        <f>'EU Ref Scenario 2020'!AB50/'EU Ref Scenario 2020'!AA50</f>
        <v>0.99490527643886728</v>
      </c>
      <c r="AC50" s="11">
        <f>'EU Ref Scenario 2020'!AC50/'EU Ref Scenario 2020'!AB50</f>
        <v>0.99487918731382285</v>
      </c>
      <c r="AD50" s="11">
        <f>'EU Ref Scenario 2020'!AD50/'EU Ref Scenario 2020'!AC50</f>
        <v>0.99485282961843546</v>
      </c>
      <c r="AE50" s="11">
        <f>'EU Ref Scenario 2020'!AE50/'EU Ref Scenario 2020'!AD50</f>
        <v>0.99327595448919925</v>
      </c>
      <c r="AF50" s="11">
        <f>'EU Ref Scenario 2020'!AF50/'EU Ref Scenario 2020'!AE50</f>
        <v>0.99323043563028901</v>
      </c>
      <c r="AG50" s="11">
        <f>'EU Ref Scenario 2020'!AG50/'EU Ref Scenario 2020'!AF50</f>
        <v>0.99318429628526728</v>
      </c>
      <c r="AH50" s="11">
        <f>'EU Ref Scenario 2020'!AH50/'EU Ref Scenario 2020'!AG50</f>
        <v>0.99313752367992025</v>
      </c>
      <c r="AI50" s="11">
        <f>'EU Ref Scenario 2020'!AI50/'EU Ref Scenario 2020'!AH50</f>
        <v>0.99309010468696002</v>
      </c>
      <c r="AJ50" s="11">
        <f>'EU Ref Scenario 2020'!AJ50/'EU Ref Scenario 2020'!AI50</f>
        <v>1.0112605334550278</v>
      </c>
      <c r="AK50" s="11">
        <f>'EU Ref Scenario 2020'!AK50/'EU Ref Scenario 2020'!AJ50</f>
        <v>1.0111351457735183</v>
      </c>
      <c r="AL50" s="11">
        <f>'EU Ref Scenario 2020'!AL50/'EU Ref Scenario 2020'!AK50</f>
        <v>1.0110125197606497</v>
      </c>
      <c r="AM50" s="11">
        <f>'EU Ref Scenario 2020'!AM50/'EU Ref Scenario 2020'!AL50</f>
        <v>1.0108925651714549</v>
      </c>
      <c r="AN50" s="11">
        <f>'EU Ref Scenario 2020'!AN50/'EU Ref Scenario 2020'!AM50</f>
        <v>1.0107751956505957</v>
      </c>
      <c r="AO50" s="11">
        <f>'EU Ref Scenario 2020'!AO50/'EU Ref Scenario 2020'!AN50</f>
        <v>1</v>
      </c>
      <c r="AP50" s="11">
        <f>'EU Ref Scenario 2020'!AP50/'EU Ref Scenario 2020'!AO50</f>
        <v>1</v>
      </c>
      <c r="AQ50" s="11">
        <f>'EU Ref Scenario 2020'!AQ50/'EU Ref Scenario 2020'!AP50</f>
        <v>1</v>
      </c>
      <c r="AR50" s="11">
        <f>'EU Ref Scenario 2020'!AR50/'EU Ref Scenario 2020'!AQ50</f>
        <v>1</v>
      </c>
      <c r="AS50" s="11">
        <f>'EU Ref Scenario 2020'!AS50/'EU Ref Scenario 2020'!AR50</f>
        <v>1</v>
      </c>
      <c r="AT50" s="11">
        <f>'EU Ref Scenario 2020'!AT50/'EU Ref Scenario 2020'!AS50</f>
        <v>1</v>
      </c>
      <c r="AU50" s="11">
        <f>'EU Ref Scenario 2020'!AU50/'EU Ref Scenario 2020'!AT50</f>
        <v>1</v>
      </c>
      <c r="AV50" s="11">
        <f>'EU Ref Scenario 2020'!AV50/'EU Ref Scenario 2020'!AU50</f>
        <v>1</v>
      </c>
      <c r="AW50" s="11">
        <f>'EU Ref Scenario 2020'!AW50/'EU Ref Scenario 2020'!AV50</f>
        <v>1</v>
      </c>
      <c r="AX50" s="11">
        <f>'EU Ref Scenario 2020'!AX50/'EU Ref Scenario 2020'!AW50</f>
        <v>1</v>
      </c>
    </row>
    <row r="51" spans="1:50" x14ac:dyDescent="0.3">
      <c r="A51" t="s">
        <v>1413</v>
      </c>
      <c r="B51" t="s">
        <v>1434</v>
      </c>
      <c r="F51" s="11">
        <f>'EU Ref Scenario 2020'!F51/'EU Ref Scenario 2020'!E51</f>
        <v>1.008446154014867</v>
      </c>
      <c r="G51" s="11">
        <f>'EU Ref Scenario 2020'!G51/'EU Ref Scenario 2020'!F51</f>
        <v>1.0083754139784666</v>
      </c>
      <c r="H51" s="11">
        <f>'EU Ref Scenario 2020'!H51/'EU Ref Scenario 2020'!G51</f>
        <v>1.0083058490541952</v>
      </c>
      <c r="I51" s="11">
        <f>'EU Ref Scenario 2020'!I51/'EU Ref Scenario 2020'!H51</f>
        <v>1.00823743020234</v>
      </c>
      <c r="J51" s="11">
        <f>'EU Ref Scenario 2020'!J51/'EU Ref Scenario 2020'!I51</f>
        <v>1.0081701293322214</v>
      </c>
      <c r="K51" s="11">
        <f>'EU Ref Scenario 2020'!K51/'EU Ref Scenario 2020'!J51</f>
        <v>1.0132949740373964</v>
      </c>
      <c r="L51" s="11">
        <f>'EU Ref Scenario 2020'!L51/'EU Ref Scenario 2020'!K51</f>
        <v>1.0131205368407419</v>
      </c>
      <c r="M51" s="11">
        <f>'EU Ref Scenario 2020'!M51/'EU Ref Scenario 2020'!L51</f>
        <v>1.0129506177830097</v>
      </c>
      <c r="N51" s="11">
        <f>'EU Ref Scenario 2020'!N51/'EU Ref Scenario 2020'!M51</f>
        <v>1.0127850435703905</v>
      </c>
      <c r="O51" s="11">
        <f>'EU Ref Scenario 2020'!O51/'EU Ref Scenario 2020'!N51</f>
        <v>1.0126236496594763</v>
      </c>
      <c r="P51" s="11">
        <f>'EU Ref Scenario 2020'!P51/'EU Ref Scenario 2020'!O51</f>
        <v>1.0124908929065615</v>
      </c>
      <c r="Q51" s="11">
        <f>'EU Ref Scenario 2020'!Q51/'EU Ref Scenario 2020'!P51</f>
        <v>1.0123367953174411</v>
      </c>
      <c r="R51" s="11">
        <f>'EU Ref Scenario 2020'!R51/'EU Ref Scenario 2020'!Q51</f>
        <v>1.0121864535345402</v>
      </c>
      <c r="S51" s="11">
        <f>'EU Ref Scenario 2020'!S51/'EU Ref Scenario 2020'!R51</f>
        <v>1.0120397319011583</v>
      </c>
      <c r="T51" s="11">
        <f>'EU Ref Scenario 2020'!T51/'EU Ref Scenario 2020'!S51</f>
        <v>1.0118965012159564</v>
      </c>
      <c r="U51" s="11">
        <f>'EU Ref Scenario 2020'!U51/'EU Ref Scenario 2020'!T51</f>
        <v>0.98366433404152864</v>
      </c>
      <c r="V51" s="11">
        <f>'EU Ref Scenario 2020'!V51/'EU Ref Scenario 2020'!U51</f>
        <v>0.98339304842806097</v>
      </c>
      <c r="W51" s="11">
        <f>'EU Ref Scenario 2020'!W51/'EU Ref Scenario 2020'!V51</f>
        <v>0.98311260019736257</v>
      </c>
      <c r="X51" s="11">
        <f>'EU Ref Scenario 2020'!X51/'EU Ref Scenario 2020'!W51</f>
        <v>0.98282251717733327</v>
      </c>
      <c r="Y51" s="11">
        <f>'EU Ref Scenario 2020'!Y51/'EU Ref Scenario 2020'!X51</f>
        <v>0.98252229418593229</v>
      </c>
      <c r="Z51" s="11">
        <f>'EU Ref Scenario 2020'!Z51/'EU Ref Scenario 2020'!Y51</f>
        <v>0.99955292155004416</v>
      </c>
      <c r="AA51" s="11">
        <f>'EU Ref Scenario 2020'!AA51/'EU Ref Scenario 2020'!Z51</f>
        <v>0.9995527215815021</v>
      </c>
      <c r="AB51" s="11">
        <f>'EU Ref Scenario 2020'!AB51/'EU Ref Scenario 2020'!AA51</f>
        <v>0.99955252143399675</v>
      </c>
      <c r="AC51" s="11">
        <f>'EU Ref Scenario 2020'!AC51/'EU Ref Scenario 2020'!AB51</f>
        <v>0.99955232110728787</v>
      </c>
      <c r="AD51" s="11">
        <f>'EU Ref Scenario 2020'!AD51/'EU Ref Scenario 2020'!AC51</f>
        <v>0.99955212060113485</v>
      </c>
      <c r="AE51" s="11">
        <f>'EU Ref Scenario 2020'!AE51/'EU Ref Scenario 2020'!AD51</f>
        <v>0.99976313165204311</v>
      </c>
      <c r="AF51" s="11">
        <f>'EU Ref Scenario 2020'!AF51/'EU Ref Scenario 2020'!AE51</f>
        <v>0.99976307553213584</v>
      </c>
      <c r="AG51" s="11">
        <f>'EU Ref Scenario 2020'!AG51/'EU Ref Scenario 2020'!AF51</f>
        <v>0.99976301938562984</v>
      </c>
      <c r="AH51" s="11">
        <f>'EU Ref Scenario 2020'!AH51/'EU Ref Scenario 2020'!AG51</f>
        <v>0.99976296321250635</v>
      </c>
      <c r="AI51" s="11">
        <f>'EU Ref Scenario 2020'!AI51/'EU Ref Scenario 2020'!AH51</f>
        <v>0.99976290701274662</v>
      </c>
      <c r="AJ51" s="11">
        <f>'EU Ref Scenario 2020'!AJ51/'EU Ref Scenario 2020'!AI51</f>
        <v>1.0002231667029897</v>
      </c>
      <c r="AK51" s="11">
        <f>'EU Ref Scenario 2020'!AK51/'EU Ref Scenario 2020'!AJ51</f>
        <v>1.0002231169107243</v>
      </c>
      <c r="AL51" s="11">
        <f>'EU Ref Scenario 2020'!AL51/'EU Ref Scenario 2020'!AK51</f>
        <v>1.0002230671406731</v>
      </c>
      <c r="AM51" s="11">
        <f>'EU Ref Scenario 2020'!AM51/'EU Ref Scenario 2020'!AL51</f>
        <v>1.000223017392821</v>
      </c>
      <c r="AN51" s="11">
        <f>'EU Ref Scenario 2020'!AN51/'EU Ref Scenario 2020'!AM51</f>
        <v>1.000222967667153</v>
      </c>
      <c r="AO51" s="11">
        <f>'EU Ref Scenario 2020'!AO51/'EU Ref Scenario 2020'!AN51</f>
        <v>1</v>
      </c>
      <c r="AP51" s="11">
        <f>'EU Ref Scenario 2020'!AP51/'EU Ref Scenario 2020'!AO51</f>
        <v>1</v>
      </c>
      <c r="AQ51" s="11">
        <f>'EU Ref Scenario 2020'!AQ51/'EU Ref Scenario 2020'!AP51</f>
        <v>1</v>
      </c>
      <c r="AR51" s="11">
        <f>'EU Ref Scenario 2020'!AR51/'EU Ref Scenario 2020'!AQ51</f>
        <v>1</v>
      </c>
      <c r="AS51" s="11">
        <f>'EU Ref Scenario 2020'!AS51/'EU Ref Scenario 2020'!AR51</f>
        <v>1</v>
      </c>
      <c r="AT51" s="11">
        <f>'EU Ref Scenario 2020'!AT51/'EU Ref Scenario 2020'!AS51</f>
        <v>1</v>
      </c>
      <c r="AU51" s="11">
        <f>'EU Ref Scenario 2020'!AU51/'EU Ref Scenario 2020'!AT51</f>
        <v>1</v>
      </c>
      <c r="AV51" s="11">
        <f>'EU Ref Scenario 2020'!AV51/'EU Ref Scenario 2020'!AU51</f>
        <v>1</v>
      </c>
      <c r="AW51" s="11">
        <f>'EU Ref Scenario 2020'!AW51/'EU Ref Scenario 2020'!AV51</f>
        <v>1</v>
      </c>
      <c r="AX51" s="11">
        <f>'EU Ref Scenario 2020'!AX51/'EU Ref Scenario 2020'!AW51</f>
        <v>1</v>
      </c>
    </row>
    <row r="52" spans="1:50" x14ac:dyDescent="0.3">
      <c r="A52" t="s">
        <v>1413</v>
      </c>
      <c r="B52" t="s">
        <v>1439</v>
      </c>
      <c r="F52" s="11">
        <f>'EU Ref Scenario 2020'!F52/'EU Ref Scenario 2020'!E52</f>
        <v>1.0103483757398863</v>
      </c>
      <c r="G52" s="11">
        <f>'EU Ref Scenario 2020'!G52/'EU Ref Scenario 2020'!F52</f>
        <v>1.0102423837048367</v>
      </c>
      <c r="H52" s="11">
        <f>'EU Ref Scenario 2020'!H52/'EU Ref Scenario 2020'!G52</f>
        <v>1.0101385408789472</v>
      </c>
      <c r="I52" s="11">
        <f>'EU Ref Scenario 2020'!I52/'EU Ref Scenario 2020'!H52</f>
        <v>1.0100367825487833</v>
      </c>
      <c r="J52" s="11">
        <f>'EU Ref Scenario 2020'!J52/'EU Ref Scenario 2020'!I52</f>
        <v>1.0099370465731512</v>
      </c>
      <c r="K52" s="11">
        <f>'EU Ref Scenario 2020'!K52/'EU Ref Scenario 2020'!J52</f>
        <v>0.99834118437300146</v>
      </c>
      <c r="L52" s="11">
        <f>'EU Ref Scenario 2020'!L52/'EU Ref Scenario 2020'!K52</f>
        <v>0.99833842813162088</v>
      </c>
      <c r="M52" s="11">
        <f>'EU Ref Scenario 2020'!M52/'EU Ref Scenario 2020'!L52</f>
        <v>0.99833566271560958</v>
      </c>
      <c r="N52" s="11">
        <f>'EU Ref Scenario 2020'!N52/'EU Ref Scenario 2020'!M52</f>
        <v>0.99833288807908238</v>
      </c>
      <c r="O52" s="11">
        <f>'EU Ref Scenario 2020'!O52/'EU Ref Scenario 2020'!N52</f>
        <v>0.99833010417584755</v>
      </c>
      <c r="P52" s="11">
        <f>'EU Ref Scenario 2020'!P52/'EU Ref Scenario 2020'!O52</f>
        <v>1.0051056716181324</v>
      </c>
      <c r="Q52" s="11">
        <f>'EU Ref Scenario 2020'!Q52/'EU Ref Scenario 2020'!P52</f>
        <v>1.0050797361534263</v>
      </c>
      <c r="R52" s="11">
        <f>'EU Ref Scenario 2020'!R52/'EU Ref Scenario 2020'!Q52</f>
        <v>1.0050540628476572</v>
      </c>
      <c r="S52" s="11">
        <f>'EU Ref Scenario 2020'!S52/'EU Ref Scenario 2020'!R52</f>
        <v>1.0050286477459107</v>
      </c>
      <c r="T52" s="11">
        <f>'EU Ref Scenario 2020'!T52/'EU Ref Scenario 2020'!S52</f>
        <v>1.0050034869724256</v>
      </c>
      <c r="U52" s="11">
        <f>'EU Ref Scenario 2020'!U52/'EU Ref Scenario 2020'!T52</f>
        <v>0.97243502036400953</v>
      </c>
      <c r="V52" s="11">
        <f>'EU Ref Scenario 2020'!V52/'EU Ref Scenario 2020'!U52</f>
        <v>0.9716536539113203</v>
      </c>
      <c r="W52" s="11">
        <f>'EU Ref Scenario 2020'!W52/'EU Ref Scenario 2020'!V52</f>
        <v>0.97082669737866611</v>
      </c>
      <c r="X52" s="11">
        <f>'EU Ref Scenario 2020'!X52/'EU Ref Scenario 2020'!W52</f>
        <v>0.96995004082592207</v>
      </c>
      <c r="Y52" s="11">
        <f>'EU Ref Scenario 2020'!Y52/'EU Ref Scenario 2020'!X52</f>
        <v>0.9690190649938113</v>
      </c>
      <c r="Z52" s="11">
        <f>'EU Ref Scenario 2020'!Z52/'EU Ref Scenario 2020'!Y52</f>
        <v>0.99952529363437292</v>
      </c>
      <c r="AA52" s="11">
        <f>'EU Ref Scenario 2020'!AA52/'EU Ref Scenario 2020'!Z52</f>
        <v>0.99952506818121534</v>
      </c>
      <c r="AB52" s="11">
        <f>'EU Ref Scenario 2020'!AB52/'EU Ref Scenario 2020'!AA52</f>
        <v>0.99952484251380613</v>
      </c>
      <c r="AC52" s="11">
        <f>'EU Ref Scenario 2020'!AC52/'EU Ref Scenario 2020'!AB52</f>
        <v>0.99952461663184</v>
      </c>
      <c r="AD52" s="11">
        <f>'EU Ref Scenario 2020'!AD52/'EU Ref Scenario 2020'!AC52</f>
        <v>0.99952439053501019</v>
      </c>
      <c r="AE52" s="11">
        <f>'EU Ref Scenario 2020'!AE52/'EU Ref Scenario 2020'!AD52</f>
        <v>0.9970564010183729</v>
      </c>
      <c r="AF52" s="11">
        <f>'EU Ref Scenario 2020'!AF52/'EU Ref Scenario 2020'!AE52</f>
        <v>0.99704771066248554</v>
      </c>
      <c r="AG52" s="11">
        <f>'EU Ref Scenario 2020'!AG52/'EU Ref Scenario 2020'!AF52</f>
        <v>0.99703896884176901</v>
      </c>
      <c r="AH52" s="11">
        <f>'EU Ref Scenario 2020'!AH52/'EU Ref Scenario 2020'!AG52</f>
        <v>0.99703017509769887</v>
      </c>
      <c r="AI52" s="11">
        <f>'EU Ref Scenario 2020'!AI52/'EU Ref Scenario 2020'!AH52</f>
        <v>0.99702132896628692</v>
      </c>
      <c r="AJ52" s="11">
        <f>'EU Ref Scenario 2020'!AJ52/'EU Ref Scenario 2020'!AI52</f>
        <v>0.99783181377687402</v>
      </c>
      <c r="AK52" s="11">
        <f>'EU Ref Scenario 2020'!AK52/'EU Ref Scenario 2020'!AJ52</f>
        <v>0.99782710253051643</v>
      </c>
      <c r="AL52" s="11">
        <f>'EU Ref Scenario 2020'!AL52/'EU Ref Scenario 2020'!AK52</f>
        <v>0.99782237076546332</v>
      </c>
      <c r="AM52" s="11">
        <f>'EU Ref Scenario 2020'!AM52/'EU Ref Scenario 2020'!AL52</f>
        <v>0.99781761834737559</v>
      </c>
      <c r="AN52" s="11">
        <f>'EU Ref Scenario 2020'!AN52/'EU Ref Scenario 2020'!AM52</f>
        <v>0.99781284514073976</v>
      </c>
      <c r="AO52" s="11">
        <f>'EU Ref Scenario 2020'!AO52/'EU Ref Scenario 2020'!AN52</f>
        <v>1</v>
      </c>
      <c r="AP52" s="11">
        <f>'EU Ref Scenario 2020'!AP52/'EU Ref Scenario 2020'!AO52</f>
        <v>1</v>
      </c>
      <c r="AQ52" s="11">
        <f>'EU Ref Scenario 2020'!AQ52/'EU Ref Scenario 2020'!AP52</f>
        <v>1</v>
      </c>
      <c r="AR52" s="11">
        <f>'EU Ref Scenario 2020'!AR52/'EU Ref Scenario 2020'!AQ52</f>
        <v>1</v>
      </c>
      <c r="AS52" s="11">
        <f>'EU Ref Scenario 2020'!AS52/'EU Ref Scenario 2020'!AR52</f>
        <v>1</v>
      </c>
      <c r="AT52" s="11">
        <f>'EU Ref Scenario 2020'!AT52/'EU Ref Scenario 2020'!AS52</f>
        <v>1</v>
      </c>
      <c r="AU52" s="11">
        <f>'EU Ref Scenario 2020'!AU52/'EU Ref Scenario 2020'!AT52</f>
        <v>1</v>
      </c>
      <c r="AV52" s="11">
        <f>'EU Ref Scenario 2020'!AV52/'EU Ref Scenario 2020'!AU52</f>
        <v>1</v>
      </c>
      <c r="AW52" s="11">
        <f>'EU Ref Scenario 2020'!AW52/'EU Ref Scenario 2020'!AV52</f>
        <v>1</v>
      </c>
      <c r="AX52" s="11">
        <f>'EU Ref Scenario 2020'!AX52/'EU Ref Scenario 2020'!AW52</f>
        <v>1</v>
      </c>
    </row>
    <row r="53" spans="1:50" x14ac:dyDescent="0.3">
      <c r="A53" t="s">
        <v>1413</v>
      </c>
      <c r="B53" t="s">
        <v>1435</v>
      </c>
      <c r="F53" s="11">
        <f>'EU Ref Scenario 2020'!F53/'EU Ref Scenario 2020'!E53</f>
        <v>1.006542373833516</v>
      </c>
      <c r="G53" s="11">
        <f>'EU Ref Scenario 2020'!G53/'EU Ref Scenario 2020'!F53</f>
        <v>1.0064998493889519</v>
      </c>
      <c r="H53" s="11">
        <f>'EU Ref Scenario 2020'!H53/'EU Ref Scenario 2020'!G53</f>
        <v>1.006457874179413</v>
      </c>
      <c r="I53" s="11">
        <f>'EU Ref Scenario 2020'!I53/'EU Ref Scenario 2020'!H53</f>
        <v>1.0064164376325022</v>
      </c>
      <c r="J53" s="11">
        <f>'EU Ref Scenario 2020'!J53/'EU Ref Scenario 2020'!I53</f>
        <v>1.0063755294454408</v>
      </c>
      <c r="K53" s="11">
        <f>'EU Ref Scenario 2020'!K53/'EU Ref Scenario 2020'!J53</f>
        <v>1.0285367976161441</v>
      </c>
      <c r="L53" s="11">
        <f>'EU Ref Scenario 2020'!L53/'EU Ref Scenario 2020'!K53</f>
        <v>1.0277450429408888</v>
      </c>
      <c r="M53" s="11">
        <f>'EU Ref Scenario 2020'!M53/'EU Ref Scenario 2020'!L53</f>
        <v>1.0269960367422415</v>
      </c>
      <c r="N53" s="11">
        <f>'EU Ref Scenario 2020'!N53/'EU Ref Scenario 2020'!M53</f>
        <v>1.0262864079085214</v>
      </c>
      <c r="O53" s="11">
        <f>'EU Ref Scenario 2020'!O53/'EU Ref Scenario 2020'!N53</f>
        <v>1.0256131307069443</v>
      </c>
      <c r="P53" s="11">
        <f>'EU Ref Scenario 2020'!P53/'EU Ref Scenario 2020'!O53</f>
        <v>1.0190237918528586</v>
      </c>
      <c r="Q53" s="11">
        <f>'EU Ref Scenario 2020'!Q53/'EU Ref Scenario 2020'!P53</f>
        <v>1.0186686434653978</v>
      </c>
      <c r="R53" s="11">
        <f>'EU Ref Scenario 2020'!R53/'EU Ref Scenario 2020'!Q53</f>
        <v>1.0183265123405478</v>
      </c>
      <c r="S53" s="11">
        <f>'EU Ref Scenario 2020'!S53/'EU Ref Scenario 2020'!R53</f>
        <v>1.0179966956751678</v>
      </c>
      <c r="T53" s="11">
        <f>'EU Ref Scenario 2020'!T53/'EU Ref Scenario 2020'!S53</f>
        <v>1.017678540364251</v>
      </c>
      <c r="U53" s="11">
        <f>'EU Ref Scenario 2020'!U53/'EU Ref Scenario 2020'!T53</f>
        <v>0.99296645574544651</v>
      </c>
      <c r="V53" s="11">
        <f>'EU Ref Scenario 2020'!V53/'EU Ref Scenario 2020'!U53</f>
        <v>0.99291663458130297</v>
      </c>
      <c r="W53" s="11">
        <f>'EU Ref Scenario 2020'!W53/'EU Ref Scenario 2020'!V53</f>
        <v>0.99286610257901065</v>
      </c>
      <c r="X53" s="11">
        <f>'EU Ref Scenario 2020'!X53/'EU Ref Scenario 2020'!W53</f>
        <v>0.99281484441612133</v>
      </c>
      <c r="Y53" s="11">
        <f>'EU Ref Scenario 2020'!Y53/'EU Ref Scenario 2020'!X53</f>
        <v>0.9927628443266231</v>
      </c>
      <c r="Z53" s="11">
        <f>'EU Ref Scenario 2020'!Z53/'EU Ref Scenario 2020'!Y53</f>
        <v>0.99957337283396797</v>
      </c>
      <c r="AA53" s="11">
        <f>'EU Ref Scenario 2020'!AA53/'EU Ref Scenario 2020'!Z53</f>
        <v>0.99957319074554529</v>
      </c>
      <c r="AB53" s="11">
        <f>'EU Ref Scenario 2020'!AB53/'EU Ref Scenario 2020'!AA53</f>
        <v>0.99957300850162223</v>
      </c>
      <c r="AC53" s="11">
        <f>'EU Ref Scenario 2020'!AC53/'EU Ref Scenario 2020'!AB53</f>
        <v>0.99957282610199949</v>
      </c>
      <c r="AD53" s="11">
        <f>'EU Ref Scenario 2020'!AD53/'EU Ref Scenario 2020'!AC53</f>
        <v>0.99957264354647757</v>
      </c>
      <c r="AE53" s="11">
        <f>'EU Ref Scenario 2020'!AE53/'EU Ref Scenario 2020'!AD53</f>
        <v>1.0017662788136581</v>
      </c>
      <c r="AF53" s="11">
        <f>'EU Ref Scenario 2020'!AF53/'EU Ref Scenario 2020'!AE53</f>
        <v>1.0017631645734271</v>
      </c>
      <c r="AG53" s="11">
        <f>'EU Ref Scenario 2020'!AG53/'EU Ref Scenario 2020'!AF53</f>
        <v>1.0017600612957034</v>
      </c>
      <c r="AH53" s="11">
        <f>'EU Ref Scenario 2020'!AH53/'EU Ref Scenario 2020'!AG53</f>
        <v>1.0017569689227048</v>
      </c>
      <c r="AI53" s="11">
        <f>'EU Ref Scenario 2020'!AI53/'EU Ref Scenario 2020'!AH53</f>
        <v>1.0017538873970542</v>
      </c>
      <c r="AJ53" s="11">
        <f>'EU Ref Scenario 2020'!AJ53/'EU Ref Scenario 2020'!AI53</f>
        <v>1.0019516033112599</v>
      </c>
      <c r="AK53" s="11">
        <f>'EU Ref Scenario 2020'!AK53/'EU Ref Scenario 2020'!AJ53</f>
        <v>1.0019478019744767</v>
      </c>
      <c r="AL53" s="11">
        <f>'EU Ref Scenario 2020'!AL53/'EU Ref Scenario 2020'!AK53</f>
        <v>1.0019440154174084</v>
      </c>
      <c r="AM53" s="11">
        <f>'EU Ref Scenario 2020'!AM53/'EU Ref Scenario 2020'!AL53</f>
        <v>1.0019402435540259</v>
      </c>
      <c r="AN53" s="11">
        <f>'EU Ref Scenario 2020'!AN53/'EU Ref Scenario 2020'!AM53</f>
        <v>1.001936486298967</v>
      </c>
      <c r="AO53" s="11">
        <f>'EU Ref Scenario 2020'!AO53/'EU Ref Scenario 2020'!AN53</f>
        <v>1</v>
      </c>
      <c r="AP53" s="11">
        <f>'EU Ref Scenario 2020'!AP53/'EU Ref Scenario 2020'!AO53</f>
        <v>1</v>
      </c>
      <c r="AQ53" s="11">
        <f>'EU Ref Scenario 2020'!AQ53/'EU Ref Scenario 2020'!AP53</f>
        <v>1</v>
      </c>
      <c r="AR53" s="11">
        <f>'EU Ref Scenario 2020'!AR53/'EU Ref Scenario 2020'!AQ53</f>
        <v>1</v>
      </c>
      <c r="AS53" s="11">
        <f>'EU Ref Scenario 2020'!AS53/'EU Ref Scenario 2020'!AR53</f>
        <v>1</v>
      </c>
      <c r="AT53" s="11">
        <f>'EU Ref Scenario 2020'!AT53/'EU Ref Scenario 2020'!AS53</f>
        <v>1</v>
      </c>
      <c r="AU53" s="11">
        <f>'EU Ref Scenario 2020'!AU53/'EU Ref Scenario 2020'!AT53</f>
        <v>1</v>
      </c>
      <c r="AV53" s="11">
        <f>'EU Ref Scenario 2020'!AV53/'EU Ref Scenario 2020'!AU53</f>
        <v>1</v>
      </c>
      <c r="AW53" s="11">
        <f>'EU Ref Scenario 2020'!AW53/'EU Ref Scenario 2020'!AV53</f>
        <v>1</v>
      </c>
      <c r="AX53" s="11">
        <f>'EU Ref Scenario 2020'!AX53/'EU Ref Scenario 2020'!AW53</f>
        <v>1</v>
      </c>
    </row>
    <row r="54" spans="1:50" x14ac:dyDescent="0.3">
      <c r="A54" t="s">
        <v>1414</v>
      </c>
      <c r="B54" t="s">
        <v>1434</v>
      </c>
      <c r="F54" s="11">
        <f>'EU Ref Scenario 2020'!F54/'EU Ref Scenario 2020'!E54</f>
        <v>0.99176233914410372</v>
      </c>
      <c r="G54" s="11">
        <f>'EU Ref Scenario 2020'!G54/'EU Ref Scenario 2020'!F54</f>
        <v>0.9916939164447347</v>
      </c>
      <c r="H54" s="11">
        <f>'EU Ref Scenario 2020'!H54/'EU Ref Scenario 2020'!G54</f>
        <v>0.99162434757587004</v>
      </c>
      <c r="I54" s="11">
        <f>'EU Ref Scenario 2020'!I54/'EU Ref Scenario 2020'!H54</f>
        <v>0.99155360349450361</v>
      </c>
      <c r="J54" s="11">
        <f>'EU Ref Scenario 2020'!J54/'EU Ref Scenario 2020'!I54</f>
        <v>0.9914816541680358</v>
      </c>
      <c r="K54" s="11">
        <f>'EU Ref Scenario 2020'!K54/'EU Ref Scenario 2020'!J54</f>
        <v>1.0090614008939296</v>
      </c>
      <c r="L54" s="11">
        <f>'EU Ref Scenario 2020'!L54/'EU Ref Scenario 2020'!K54</f>
        <v>1.0089800292488664</v>
      </c>
      <c r="M54" s="11">
        <f>'EU Ref Scenario 2020'!M54/'EU Ref Scenario 2020'!L54</f>
        <v>1.0089001060363421</v>
      </c>
      <c r="N54" s="11">
        <f>'EU Ref Scenario 2020'!N54/'EU Ref Scenario 2020'!M54</f>
        <v>1.0088215929239097</v>
      </c>
      <c r="O54" s="11">
        <f>'EU Ref Scenario 2020'!O54/'EU Ref Scenario 2020'!N54</f>
        <v>1.0087444529199081</v>
      </c>
      <c r="P54" s="11">
        <f>'EU Ref Scenario 2020'!P54/'EU Ref Scenario 2020'!O54</f>
        <v>0.99257811972743282</v>
      </c>
      <c r="Q54" s="11">
        <f>'EU Ref Scenario 2020'!Q54/'EU Ref Scenario 2020'!P54</f>
        <v>0.99252262353455334</v>
      </c>
      <c r="R54" s="11">
        <f>'EU Ref Scenario 2020'!R54/'EU Ref Scenario 2020'!Q54</f>
        <v>0.99246629115735585</v>
      </c>
      <c r="S54" s="11">
        <f>'EU Ref Scenario 2020'!S54/'EU Ref Scenario 2020'!R54</f>
        <v>0.99240910355367462</v>
      </c>
      <c r="T54" s="11">
        <f>'EU Ref Scenario 2020'!T54/'EU Ref Scenario 2020'!S54</f>
        <v>0.99235104109873251</v>
      </c>
      <c r="U54" s="11">
        <f>'EU Ref Scenario 2020'!U54/'EU Ref Scenario 2020'!T54</f>
        <v>0.98794227020722691</v>
      </c>
      <c r="V54" s="11">
        <f>'EU Ref Scenario 2020'!V54/'EU Ref Scenario 2020'!U54</f>
        <v>0.9877951069041272</v>
      </c>
      <c r="W54" s="11">
        <f>'EU Ref Scenario 2020'!W54/'EU Ref Scenario 2020'!V54</f>
        <v>0.98764430699183714</v>
      </c>
      <c r="X54" s="11">
        <f>'EU Ref Scenario 2020'!X54/'EU Ref Scenario 2020'!W54</f>
        <v>0.98748973398551165</v>
      </c>
      <c r="Y54" s="11">
        <f>'EU Ref Scenario 2020'!Y54/'EU Ref Scenario 2020'!X54</f>
        <v>0.98733124448393284</v>
      </c>
      <c r="Z54" s="11">
        <f>'EU Ref Scenario 2020'!Z54/'EU Ref Scenario 2020'!Y54</f>
        <v>0.99078144311257743</v>
      </c>
      <c r="AA54" s="11">
        <f>'EU Ref Scenario 2020'!AA54/'EU Ref Scenario 2020'!Z54</f>
        <v>0.99069567062291541</v>
      </c>
      <c r="AB54" s="11">
        <f>'EU Ref Scenario 2020'!AB54/'EU Ref Scenario 2020'!AA54</f>
        <v>0.99060828703204651</v>
      </c>
      <c r="AC54" s="11">
        <f>'EU Ref Scenario 2020'!AC54/'EU Ref Scenario 2020'!AB54</f>
        <v>0.99051924651661061</v>
      </c>
      <c r="AD54" s="11">
        <f>'EU Ref Scenario 2020'!AD54/'EU Ref Scenario 2020'!AC54</f>
        <v>0.99042850149885431</v>
      </c>
      <c r="AE54" s="11">
        <f>'EU Ref Scenario 2020'!AE54/'EU Ref Scenario 2020'!AD54</f>
        <v>0.99321793353143806</v>
      </c>
      <c r="AF54" s="11">
        <f>'EU Ref Scenario 2020'!AF54/'EU Ref Scenario 2020'!AE54</f>
        <v>0.99317162302492068</v>
      </c>
      <c r="AG54" s="11">
        <f>'EU Ref Scenario 2020'!AG54/'EU Ref Scenario 2020'!AF54</f>
        <v>0.99312467571890339</v>
      </c>
      <c r="AH54" s="11">
        <f>'EU Ref Scenario 2020'!AH54/'EU Ref Scenario 2020'!AG54</f>
        <v>0.9930770783878472</v>
      </c>
      <c r="AI54" s="11">
        <f>'EU Ref Scenario 2020'!AI54/'EU Ref Scenario 2020'!AH54</f>
        <v>0.99302881743742255</v>
      </c>
      <c r="AJ54" s="11">
        <f>'EU Ref Scenario 2020'!AJ54/'EU Ref Scenario 2020'!AI54</f>
        <v>1.00897671570921</v>
      </c>
      <c r="AK54" s="11">
        <f>'EU Ref Scenario 2020'!AK54/'EU Ref Scenario 2020'!AJ54</f>
        <v>1.0088968512052334</v>
      </c>
      <c r="AL54" s="11">
        <f>'EU Ref Scenario 2020'!AL54/'EU Ref Scenario 2020'!AK54</f>
        <v>1.0088183952547827</v>
      </c>
      <c r="AM54" s="11">
        <f>'EU Ref Scenario 2020'!AM54/'EU Ref Scenario 2020'!AL54</f>
        <v>1.0087413109200447</v>
      </c>
      <c r="AN54" s="11">
        <f>'EU Ref Scenario 2020'!AN54/'EU Ref Scenario 2020'!AM54</f>
        <v>1.0086655625435543</v>
      </c>
      <c r="AO54" s="11">
        <f>'EU Ref Scenario 2020'!AO54/'EU Ref Scenario 2020'!AN54</f>
        <v>1</v>
      </c>
      <c r="AP54" s="11">
        <f>'EU Ref Scenario 2020'!AP54/'EU Ref Scenario 2020'!AO54</f>
        <v>1</v>
      </c>
      <c r="AQ54" s="11">
        <f>'EU Ref Scenario 2020'!AQ54/'EU Ref Scenario 2020'!AP54</f>
        <v>1</v>
      </c>
      <c r="AR54" s="11">
        <f>'EU Ref Scenario 2020'!AR54/'EU Ref Scenario 2020'!AQ54</f>
        <v>1</v>
      </c>
      <c r="AS54" s="11">
        <f>'EU Ref Scenario 2020'!AS54/'EU Ref Scenario 2020'!AR54</f>
        <v>1</v>
      </c>
      <c r="AT54" s="11">
        <f>'EU Ref Scenario 2020'!AT54/'EU Ref Scenario 2020'!AS54</f>
        <v>1</v>
      </c>
      <c r="AU54" s="11">
        <f>'EU Ref Scenario 2020'!AU54/'EU Ref Scenario 2020'!AT54</f>
        <v>1</v>
      </c>
      <c r="AV54" s="11">
        <f>'EU Ref Scenario 2020'!AV54/'EU Ref Scenario 2020'!AU54</f>
        <v>1</v>
      </c>
      <c r="AW54" s="11">
        <f>'EU Ref Scenario 2020'!AW54/'EU Ref Scenario 2020'!AV54</f>
        <v>1</v>
      </c>
      <c r="AX54" s="11">
        <f>'EU Ref Scenario 2020'!AX54/'EU Ref Scenario 2020'!AW54</f>
        <v>1</v>
      </c>
    </row>
    <row r="55" spans="1:50" x14ac:dyDescent="0.3">
      <c r="A55" t="s">
        <v>1414</v>
      </c>
      <c r="B55" t="s">
        <v>1439</v>
      </c>
      <c r="F55" s="11">
        <f>'EU Ref Scenario 2020'!F55/'EU Ref Scenario 2020'!E55</f>
        <v>0.98631761356827663</v>
      </c>
      <c r="G55" s="11">
        <f>'EU Ref Scenario 2020'!G55/'EU Ref Scenario 2020'!F55</f>
        <v>0.986127808888839</v>
      </c>
      <c r="H55" s="11">
        <f>'EU Ref Scenario 2020'!H55/'EU Ref Scenario 2020'!G55</f>
        <v>0.98593266411704583</v>
      </c>
      <c r="I55" s="11">
        <f>'EU Ref Scenario 2020'!I55/'EU Ref Scenario 2020'!H55</f>
        <v>0.98573195067479358</v>
      </c>
      <c r="J55" s="11">
        <f>'EU Ref Scenario 2020'!J55/'EU Ref Scenario 2020'!I55</f>
        <v>0.98552542674969723</v>
      </c>
      <c r="K55" s="11">
        <f>'EU Ref Scenario 2020'!K55/'EU Ref Scenario 2020'!J55</f>
        <v>1.0068551261167498</v>
      </c>
      <c r="L55" s="11">
        <f>'EU Ref Scenario 2020'!L55/'EU Ref Scenario 2020'!K55</f>
        <v>1.0068084533106452</v>
      </c>
      <c r="M55" s="11">
        <f>'EU Ref Scenario 2020'!M55/'EU Ref Scenario 2020'!L55</f>
        <v>1.0067624117460052</v>
      </c>
      <c r="N55" s="11">
        <f>'EU Ref Scenario 2020'!N55/'EU Ref Scenario 2020'!M55</f>
        <v>1.0067169887027043</v>
      </c>
      <c r="O55" s="11">
        <f>'EU Ref Scenario 2020'!O55/'EU Ref Scenario 2020'!N55</f>
        <v>1.0066721718001006</v>
      </c>
      <c r="P55" s="11">
        <f>'EU Ref Scenario 2020'!P55/'EU Ref Scenario 2020'!O55</f>
        <v>0.99364147160772931</v>
      </c>
      <c r="Q55" s="11">
        <f>'EU Ref Scenario 2020'!Q55/'EU Ref Scenario 2020'!P55</f>
        <v>0.99360078199837765</v>
      </c>
      <c r="R55" s="11">
        <f>'EU Ref Scenario 2020'!R55/'EU Ref Scenario 2020'!Q55</f>
        <v>0.99355956827172376</v>
      </c>
      <c r="S55" s="11">
        <f>'EU Ref Scenario 2020'!S55/'EU Ref Scenario 2020'!R55</f>
        <v>0.99351782023550017</v>
      </c>
      <c r="T55" s="11">
        <f>'EU Ref Scenario 2020'!T55/'EU Ref Scenario 2020'!S55</f>
        <v>0.99347552743144241</v>
      </c>
      <c r="U55" s="11">
        <f>'EU Ref Scenario 2020'!U55/'EU Ref Scenario 2020'!T55</f>
        <v>0.98603471521204489</v>
      </c>
      <c r="V55" s="11">
        <f>'EU Ref Scenario 2020'!V55/'EU Ref Scenario 2020'!U55</f>
        <v>0.98583692381971366</v>
      </c>
      <c r="W55" s="11">
        <f>'EU Ref Scenario 2020'!W55/'EU Ref Scenario 2020'!V55</f>
        <v>0.98563344926723762</v>
      </c>
      <c r="X55" s="11">
        <f>'EU Ref Scenario 2020'!X55/'EU Ref Scenario 2020'!W55</f>
        <v>0.98542404304212372</v>
      </c>
      <c r="Y55" s="11">
        <f>'EU Ref Scenario 2020'!Y55/'EU Ref Scenario 2020'!X55</f>
        <v>0.98520844192833124</v>
      </c>
      <c r="Z55" s="11">
        <f>'EU Ref Scenario 2020'!Z55/'EU Ref Scenario 2020'!Y55</f>
        <v>0.98390887474918232</v>
      </c>
      <c r="AA55" s="11">
        <f>'EU Ref Scenario 2020'!AA55/'EU Ref Scenario 2020'!Z55</f>
        <v>0.98364571591559269</v>
      </c>
      <c r="AB55" s="11">
        <f>'EU Ref Scenario 2020'!AB55/'EU Ref Scenario 2020'!AA55</f>
        <v>0.98337380642258521</v>
      </c>
      <c r="AC55" s="11">
        <f>'EU Ref Scenario 2020'!AC55/'EU Ref Scenario 2020'!AB55</f>
        <v>0.98309270242015179</v>
      </c>
      <c r="AD55" s="11">
        <f>'EU Ref Scenario 2020'!AD55/'EU Ref Scenario 2020'!AC55</f>
        <v>0.9828019295248287</v>
      </c>
      <c r="AE55" s="11">
        <f>'EU Ref Scenario 2020'!AE55/'EU Ref Scenario 2020'!AD55</f>
        <v>0.98783291128224304</v>
      </c>
      <c r="AF55" s="11">
        <f>'EU Ref Scenario 2020'!AF55/'EU Ref Scenario 2020'!AE55</f>
        <v>0.98768304985712252</v>
      </c>
      <c r="AG55" s="11">
        <f>'EU Ref Scenario 2020'!AG55/'EU Ref Scenario 2020'!AF55</f>
        <v>0.98752945072342868</v>
      </c>
      <c r="AH55" s="11">
        <f>'EU Ref Scenario 2020'!AH55/'EU Ref Scenario 2020'!AG55</f>
        <v>0.9873719722814992</v>
      </c>
      <c r="AI55" s="11">
        <f>'EU Ref Scenario 2020'!AI55/'EU Ref Scenario 2020'!AH55</f>
        <v>0.98721046568769644</v>
      </c>
      <c r="AJ55" s="11">
        <f>'EU Ref Scenario 2020'!AJ55/'EU Ref Scenario 2020'!AI55</f>
        <v>1.013514177481736</v>
      </c>
      <c r="AK55" s="11">
        <f>'EU Ref Scenario 2020'!AK55/'EU Ref Scenario 2020'!AJ55</f>
        <v>1.0133339797133518</v>
      </c>
      <c r="AL55" s="11">
        <f>'EU Ref Scenario 2020'!AL55/'EU Ref Scenario 2020'!AK55</f>
        <v>1.0131585242183665</v>
      </c>
      <c r="AM55" s="11">
        <f>'EU Ref Scenario 2020'!AM55/'EU Ref Scenario 2020'!AL55</f>
        <v>1.0129876262241568</v>
      </c>
      <c r="AN55" s="11">
        <f>'EU Ref Scenario 2020'!AN55/'EU Ref Scenario 2020'!AM55</f>
        <v>1.012821110434061</v>
      </c>
      <c r="AO55" s="11">
        <f>'EU Ref Scenario 2020'!AO55/'EU Ref Scenario 2020'!AN55</f>
        <v>1</v>
      </c>
      <c r="AP55" s="11">
        <f>'EU Ref Scenario 2020'!AP55/'EU Ref Scenario 2020'!AO55</f>
        <v>1</v>
      </c>
      <c r="AQ55" s="11">
        <f>'EU Ref Scenario 2020'!AQ55/'EU Ref Scenario 2020'!AP55</f>
        <v>1</v>
      </c>
      <c r="AR55" s="11">
        <f>'EU Ref Scenario 2020'!AR55/'EU Ref Scenario 2020'!AQ55</f>
        <v>1</v>
      </c>
      <c r="AS55" s="11">
        <f>'EU Ref Scenario 2020'!AS55/'EU Ref Scenario 2020'!AR55</f>
        <v>1</v>
      </c>
      <c r="AT55" s="11">
        <f>'EU Ref Scenario 2020'!AT55/'EU Ref Scenario 2020'!AS55</f>
        <v>1</v>
      </c>
      <c r="AU55" s="11">
        <f>'EU Ref Scenario 2020'!AU55/'EU Ref Scenario 2020'!AT55</f>
        <v>1</v>
      </c>
      <c r="AV55" s="11">
        <f>'EU Ref Scenario 2020'!AV55/'EU Ref Scenario 2020'!AU55</f>
        <v>1</v>
      </c>
      <c r="AW55" s="11">
        <f>'EU Ref Scenario 2020'!AW55/'EU Ref Scenario 2020'!AV55</f>
        <v>1</v>
      </c>
      <c r="AX55" s="11">
        <f>'EU Ref Scenario 2020'!AX55/'EU Ref Scenario 2020'!AW55</f>
        <v>1</v>
      </c>
    </row>
    <row r="56" spans="1:50" x14ac:dyDescent="0.3">
      <c r="A56" t="s">
        <v>1414</v>
      </c>
      <c r="B56" t="s">
        <v>1435</v>
      </c>
      <c r="F56" s="11">
        <f>'EU Ref Scenario 2020'!F56/'EU Ref Scenario 2020'!E56</f>
        <v>0.99974933916807007</v>
      </c>
      <c r="G56" s="11">
        <f>'EU Ref Scenario 2020'!G56/'EU Ref Scenario 2020'!F56</f>
        <v>0.99974927632146426</v>
      </c>
      <c r="H56" s="11">
        <f>'EU Ref Scenario 2020'!H56/'EU Ref Scenario 2020'!G56</f>
        <v>0.99974921344333623</v>
      </c>
      <c r="I56" s="11">
        <f>'EU Ref Scenario 2020'!I56/'EU Ref Scenario 2020'!H56</f>
        <v>0.99974915053366231</v>
      </c>
      <c r="J56" s="11">
        <f>'EU Ref Scenario 2020'!J56/'EU Ref Scenario 2020'!I56</f>
        <v>0.99974908759241898</v>
      </c>
      <c r="K56" s="11">
        <f>'EU Ref Scenario 2020'!K56/'EU Ref Scenario 2020'!J56</f>
        <v>1.0120802113953919</v>
      </c>
      <c r="L56" s="11">
        <f>'EU Ref Scenario 2020'!L56/'EU Ref Scenario 2020'!K56</f>
        <v>1.0119360217296776</v>
      </c>
      <c r="M56" s="11">
        <f>'EU Ref Scenario 2020'!M56/'EU Ref Scenario 2020'!L56</f>
        <v>1.0117952335655327</v>
      </c>
      <c r="N56" s="11">
        <f>'EU Ref Scenario 2020'!N56/'EU Ref Scenario 2020'!M56</f>
        <v>1.0116577279416179</v>
      </c>
      <c r="O56" s="11">
        <f>'EU Ref Scenario 2020'!O56/'EU Ref Scenario 2020'!N56</f>
        <v>1.0115233913799457</v>
      </c>
      <c r="P56" s="11">
        <f>'EU Ref Scenario 2020'!P56/'EU Ref Scenario 2020'!O56</f>
        <v>0.99115899882949543</v>
      </c>
      <c r="Q56" s="11">
        <f>'EU Ref Scenario 2020'!Q56/'EU Ref Scenario 2020'!P56</f>
        <v>0.99108013832195918</v>
      </c>
      <c r="R56" s="11">
        <f>'EU Ref Scenario 2020'!R56/'EU Ref Scenario 2020'!Q56</f>
        <v>0.99099985830293857</v>
      </c>
      <c r="S56" s="11">
        <f>'EU Ref Scenario 2020'!S56/'EU Ref Scenario 2020'!R56</f>
        <v>0.99091812009693536</v>
      </c>
      <c r="T56" s="11">
        <f>'EU Ref Scenario 2020'!T56/'EU Ref Scenario 2020'!S56</f>
        <v>0.99083488361058891</v>
      </c>
      <c r="U56" s="11">
        <f>'EU Ref Scenario 2020'!U56/'EU Ref Scenario 2020'!T56</f>
        <v>0.99052110242285596</v>
      </c>
      <c r="V56" s="11">
        <f>'EU Ref Scenario 2020'!V56/'EU Ref Scenario 2020'!U56</f>
        <v>0.99043039309918968</v>
      </c>
      <c r="W56" s="11">
        <f>'EU Ref Scenario 2020'!W56/'EU Ref Scenario 2020'!V56</f>
        <v>0.99033793089601607</v>
      </c>
      <c r="X56" s="11">
        <f>'EU Ref Scenario 2020'!X56/'EU Ref Scenario 2020'!W56</f>
        <v>0.9902436645082936</v>
      </c>
      <c r="Y56" s="11">
        <f>'EU Ref Scenario 2020'!Y56/'EU Ref Scenario 2020'!X56</f>
        <v>0.99014754060905708</v>
      </c>
      <c r="Z56" s="11">
        <f>'EU Ref Scenario 2020'!Z56/'EU Ref Scenario 2020'!Y56</f>
        <v>0.99985371371987564</v>
      </c>
      <c r="AA56" s="11">
        <f>'EU Ref Scenario 2020'!AA56/'EU Ref Scenario 2020'!Z56</f>
        <v>0.99985369231706889</v>
      </c>
      <c r="AB56" s="11">
        <f>'EU Ref Scenario 2020'!AB56/'EU Ref Scenario 2020'!AA56</f>
        <v>0.99985367090799859</v>
      </c>
      <c r="AC56" s="11">
        <f>'EU Ref Scenario 2020'!AC56/'EU Ref Scenario 2020'!AB56</f>
        <v>0.99985364949266164</v>
      </c>
      <c r="AD56" s="11">
        <f>'EU Ref Scenario 2020'!AD56/'EU Ref Scenario 2020'!AC56</f>
        <v>0.99985362807105604</v>
      </c>
      <c r="AE56" s="11">
        <f>'EU Ref Scenario 2020'!AE56/'EU Ref Scenario 2020'!AD56</f>
        <v>0.99975939659698987</v>
      </c>
      <c r="AF56" s="11">
        <f>'EU Ref Scenario 2020'!AF56/'EU Ref Scenario 2020'!AE56</f>
        <v>0.99975933869306044</v>
      </c>
      <c r="AG56" s="11">
        <f>'EU Ref Scenario 2020'!AG56/'EU Ref Scenario 2020'!AF56</f>
        <v>0.99975928076125387</v>
      </c>
      <c r="AH56" s="11">
        <f>'EU Ref Scenario 2020'!AH56/'EU Ref Scenario 2020'!AG56</f>
        <v>0.99975922280154994</v>
      </c>
      <c r="AI56" s="11">
        <f>'EU Ref Scenario 2020'!AI56/'EU Ref Scenario 2020'!AH56</f>
        <v>0.9997591648139289</v>
      </c>
      <c r="AJ56" s="11">
        <f>'EU Ref Scenario 2020'!AJ56/'EU Ref Scenario 2020'!AI56</f>
        <v>1.003793911018704</v>
      </c>
      <c r="AK56" s="11">
        <f>'EU Ref Scenario 2020'!AK56/'EU Ref Scenario 2020'!AJ56</f>
        <v>1.0037795716601365</v>
      </c>
      <c r="AL56" s="11">
        <f>'EU Ref Scenario 2020'!AL56/'EU Ref Scenario 2020'!AK56</f>
        <v>1.0037653402866982</v>
      </c>
      <c r="AM56" s="11">
        <f>'EU Ref Scenario 2020'!AM56/'EU Ref Scenario 2020'!AL56</f>
        <v>1.0037512156831623</v>
      </c>
      <c r="AN56" s="11">
        <f>'EU Ref Scenario 2020'!AN56/'EU Ref Scenario 2020'!AM56</f>
        <v>1.0037371966524682</v>
      </c>
      <c r="AO56" s="11">
        <f>'EU Ref Scenario 2020'!AO56/'EU Ref Scenario 2020'!AN56</f>
        <v>1</v>
      </c>
      <c r="AP56" s="11">
        <f>'EU Ref Scenario 2020'!AP56/'EU Ref Scenario 2020'!AO56</f>
        <v>1</v>
      </c>
      <c r="AQ56" s="11">
        <f>'EU Ref Scenario 2020'!AQ56/'EU Ref Scenario 2020'!AP56</f>
        <v>1</v>
      </c>
      <c r="AR56" s="11">
        <f>'EU Ref Scenario 2020'!AR56/'EU Ref Scenario 2020'!AQ56</f>
        <v>1</v>
      </c>
      <c r="AS56" s="11">
        <f>'EU Ref Scenario 2020'!AS56/'EU Ref Scenario 2020'!AR56</f>
        <v>1</v>
      </c>
      <c r="AT56" s="11">
        <f>'EU Ref Scenario 2020'!AT56/'EU Ref Scenario 2020'!AS56</f>
        <v>1</v>
      </c>
      <c r="AU56" s="11">
        <f>'EU Ref Scenario 2020'!AU56/'EU Ref Scenario 2020'!AT56</f>
        <v>1</v>
      </c>
      <c r="AV56" s="11">
        <f>'EU Ref Scenario 2020'!AV56/'EU Ref Scenario 2020'!AU56</f>
        <v>1</v>
      </c>
      <c r="AW56" s="11">
        <f>'EU Ref Scenario 2020'!AW56/'EU Ref Scenario 2020'!AV56</f>
        <v>1</v>
      </c>
      <c r="AX56" s="11">
        <f>'EU Ref Scenario 2020'!AX56/'EU Ref Scenario 2020'!AW56</f>
        <v>1</v>
      </c>
    </row>
    <row r="57" spans="1:50" x14ac:dyDescent="0.3">
      <c r="A57" t="s">
        <v>1415</v>
      </c>
      <c r="B57" t="s">
        <v>1434</v>
      </c>
      <c r="F57" s="11">
        <f>'EU Ref Scenario 2020'!F57/'EU Ref Scenario 2020'!E57</f>
        <v>0.99773560619301027</v>
      </c>
      <c r="G57" s="11">
        <f>'EU Ref Scenario 2020'!G57/'EU Ref Scenario 2020'!F57</f>
        <v>0.99773046707671409</v>
      </c>
      <c r="H57" s="11">
        <f>'EU Ref Scenario 2020'!H57/'EU Ref Scenario 2020'!G57</f>
        <v>0.99772530458056918</v>
      </c>
      <c r="I57" s="11">
        <f>'EU Ref Scenario 2020'!I57/'EU Ref Scenario 2020'!H57</f>
        <v>0.99772011854466591</v>
      </c>
      <c r="J57" s="11">
        <f>'EU Ref Scenario 2020'!J57/'EU Ref Scenario 2020'!I57</f>
        <v>0.99771490880763269</v>
      </c>
      <c r="K57" s="11">
        <f>'EU Ref Scenario 2020'!K57/'EU Ref Scenario 2020'!J57</f>
        <v>1.015805599709295</v>
      </c>
      <c r="L57" s="11">
        <f>'EU Ref Scenario 2020'!L57/'EU Ref Scenario 2020'!K57</f>
        <v>1.0155596697968767</v>
      </c>
      <c r="M57" s="11">
        <f>'EU Ref Scenario 2020'!M57/'EU Ref Scenario 2020'!L57</f>
        <v>1.0153212758044921</v>
      </c>
      <c r="N57" s="11">
        <f>'EU Ref Scenario 2020'!N57/'EU Ref Scenario 2020'!M57</f>
        <v>1.0150900765793094</v>
      </c>
      <c r="O57" s="11">
        <f>'EU Ref Scenario 2020'!O57/'EU Ref Scenario 2020'!N57</f>
        <v>1.0148657512544703</v>
      </c>
      <c r="P57" s="11">
        <f>'EU Ref Scenario 2020'!P57/'EU Ref Scenario 2020'!O57</f>
        <v>0.99493083254500192</v>
      </c>
      <c r="Q57" s="11">
        <f>'EU Ref Scenario 2020'!Q57/'EU Ref Scenario 2020'!P57</f>
        <v>0.99490500516299085</v>
      </c>
      <c r="R57" s="11">
        <f>'EU Ref Scenario 2020'!R57/'EU Ref Scenario 2020'!Q57</f>
        <v>0.99487891325245215</v>
      </c>
      <c r="S57" s="11">
        <f>'EU Ref Scenario 2020'!S57/'EU Ref Scenario 2020'!R57</f>
        <v>0.99485255272844608</v>
      </c>
      <c r="T57" s="11">
        <f>'EU Ref Scenario 2020'!T57/'EU Ref Scenario 2020'!S57</f>
        <v>0.99482591942148968</v>
      </c>
      <c r="U57" s="11">
        <f>'EU Ref Scenario 2020'!U57/'EU Ref Scenario 2020'!T57</f>
        <v>0.98321633856969126</v>
      </c>
      <c r="V57" s="11">
        <f>'EU Ref Scenario 2020'!V57/'EU Ref Scenario 2020'!U57</f>
        <v>0.9829298387629275</v>
      </c>
      <c r="W57" s="11">
        <f>'EU Ref Scenario 2020'!W57/'EU Ref Scenario 2020'!V57</f>
        <v>0.98263338789413868</v>
      </c>
      <c r="X57" s="11">
        <f>'EU Ref Scenario 2020'!X57/'EU Ref Scenario 2020'!W57</f>
        <v>0.98232645835179766</v>
      </c>
      <c r="Y57" s="11">
        <f>'EU Ref Scenario 2020'!Y57/'EU Ref Scenario 2020'!X57</f>
        <v>0.98200848455425283</v>
      </c>
      <c r="Z57" s="11">
        <f>'EU Ref Scenario 2020'!Z57/'EU Ref Scenario 2020'!Y57</f>
        <v>0.99193496428967154</v>
      </c>
      <c r="AA57" s="11">
        <f>'EU Ref Scenario 2020'!AA57/'EU Ref Scenario 2020'!Z57</f>
        <v>0.9918693906347944</v>
      </c>
      <c r="AB57" s="11">
        <f>'EU Ref Scenario 2020'!AB57/'EU Ref Scenario 2020'!AA57</f>
        <v>0.99180274193157425</v>
      </c>
      <c r="AC57" s="11">
        <f>'EU Ref Scenario 2020'!AC57/'EU Ref Scenario 2020'!AB57</f>
        <v>0.99173499152416011</v>
      </c>
      <c r="AD57" s="11">
        <f>'EU Ref Scenario 2020'!AD57/'EU Ref Scenario 2020'!AC57</f>
        <v>0.99166611186811304</v>
      </c>
      <c r="AE57" s="11">
        <f>'EU Ref Scenario 2020'!AE57/'EU Ref Scenario 2020'!AD57</f>
        <v>1.0003248078240394</v>
      </c>
      <c r="AF57" s="11">
        <f>'EU Ref Scenario 2020'!AF57/'EU Ref Scenario 2020'!AE57</f>
        <v>1.0003247023581729</v>
      </c>
      <c r="AG57" s="11">
        <f>'EU Ref Scenario 2020'!AG57/'EU Ref Scenario 2020'!AF57</f>
        <v>1.0003245969607744</v>
      </c>
      <c r="AH57" s="11">
        <f>'EU Ref Scenario 2020'!AH57/'EU Ref Scenario 2020'!AG57</f>
        <v>1.0003244916317768</v>
      </c>
      <c r="AI57" s="11">
        <f>'EU Ref Scenario 2020'!AI57/'EU Ref Scenario 2020'!AH57</f>
        <v>1.000324386371114</v>
      </c>
      <c r="AJ57" s="11">
        <f>'EU Ref Scenario 2020'!AJ57/'EU Ref Scenario 2020'!AI57</f>
        <v>1.0054335685599933</v>
      </c>
      <c r="AK57" s="11">
        <f>'EU Ref Scenario 2020'!AK57/'EU Ref Scenario 2020'!AJ57</f>
        <v>1.0054042044446312</v>
      </c>
      <c r="AL57" s="11">
        <f>'EU Ref Scenario 2020'!AL57/'EU Ref Scenario 2020'!AK57</f>
        <v>1.0053751560026709</v>
      </c>
      <c r="AM57" s="11">
        <f>'EU Ref Scenario 2020'!AM57/'EU Ref Scenario 2020'!AL57</f>
        <v>1.0053464181709466</v>
      </c>
      <c r="AN57" s="11">
        <f>'EU Ref Scenario 2020'!AN57/'EU Ref Scenario 2020'!AM57</f>
        <v>1.0053179859939956</v>
      </c>
      <c r="AO57" s="11">
        <f>'EU Ref Scenario 2020'!AO57/'EU Ref Scenario 2020'!AN57</f>
        <v>1</v>
      </c>
      <c r="AP57" s="11">
        <f>'EU Ref Scenario 2020'!AP57/'EU Ref Scenario 2020'!AO57</f>
        <v>1</v>
      </c>
      <c r="AQ57" s="11">
        <f>'EU Ref Scenario 2020'!AQ57/'EU Ref Scenario 2020'!AP57</f>
        <v>1</v>
      </c>
      <c r="AR57" s="11">
        <f>'EU Ref Scenario 2020'!AR57/'EU Ref Scenario 2020'!AQ57</f>
        <v>1</v>
      </c>
      <c r="AS57" s="11">
        <f>'EU Ref Scenario 2020'!AS57/'EU Ref Scenario 2020'!AR57</f>
        <v>1</v>
      </c>
      <c r="AT57" s="11">
        <f>'EU Ref Scenario 2020'!AT57/'EU Ref Scenario 2020'!AS57</f>
        <v>1</v>
      </c>
      <c r="AU57" s="11">
        <f>'EU Ref Scenario 2020'!AU57/'EU Ref Scenario 2020'!AT57</f>
        <v>1</v>
      </c>
      <c r="AV57" s="11">
        <f>'EU Ref Scenario 2020'!AV57/'EU Ref Scenario 2020'!AU57</f>
        <v>1</v>
      </c>
      <c r="AW57" s="11">
        <f>'EU Ref Scenario 2020'!AW57/'EU Ref Scenario 2020'!AV57</f>
        <v>1</v>
      </c>
      <c r="AX57" s="11">
        <f>'EU Ref Scenario 2020'!AX57/'EU Ref Scenario 2020'!AW57</f>
        <v>1</v>
      </c>
    </row>
    <row r="58" spans="1:50" x14ac:dyDescent="0.3">
      <c r="A58" t="s">
        <v>1415</v>
      </c>
      <c r="B58" t="s">
        <v>1439</v>
      </c>
      <c r="F58" s="11">
        <f>'EU Ref Scenario 2020'!F58/'EU Ref Scenario 2020'!E58</f>
        <v>1.000712227216815</v>
      </c>
      <c r="G58" s="11">
        <f>'EU Ref Scenario 2020'!G58/'EU Ref Scenario 2020'!F58</f>
        <v>1.0007117203102391</v>
      </c>
      <c r="H58" s="11">
        <f>'EU Ref Scenario 2020'!H58/'EU Ref Scenario 2020'!G58</f>
        <v>1.0007112141247017</v>
      </c>
      <c r="I58" s="11">
        <f>'EU Ref Scenario 2020'!I58/'EU Ref Scenario 2020'!H58</f>
        <v>1.0007107086586651</v>
      </c>
      <c r="J58" s="11">
        <f>'EU Ref Scenario 2020'!J58/'EU Ref Scenario 2020'!I58</f>
        <v>1.0007102039105966</v>
      </c>
      <c r="K58" s="11">
        <f>'EU Ref Scenario 2020'!K58/'EU Ref Scenario 2020'!J58</f>
        <v>1.0076205582052313</v>
      </c>
      <c r="L58" s="11">
        <f>'EU Ref Scenario 2020'!L58/'EU Ref Scenario 2020'!K58</f>
        <v>1.0075629244988857</v>
      </c>
      <c r="M58" s="11">
        <f>'EU Ref Scenario 2020'!M58/'EU Ref Scenario 2020'!L58</f>
        <v>1.0075061560077225</v>
      </c>
      <c r="N58" s="11">
        <f>'EU Ref Scenario 2020'!N58/'EU Ref Scenario 2020'!M58</f>
        <v>1.0074502333935764</v>
      </c>
      <c r="O58" s="11">
        <f>'EU Ref Scenario 2020'!O58/'EU Ref Scenario 2020'!N58</f>
        <v>1.0073951378903161</v>
      </c>
      <c r="P58" s="11">
        <f>'EU Ref Scenario 2020'!P58/'EU Ref Scenario 2020'!O58</f>
        <v>0.99125884047157642</v>
      </c>
      <c r="Q58" s="11">
        <f>'EU Ref Scenario 2020'!Q58/'EU Ref Scenario 2020'!P58</f>
        <v>0.99118175881865012</v>
      </c>
      <c r="R58" s="11">
        <f>'EU Ref Scenario 2020'!R58/'EU Ref Scenario 2020'!Q58</f>
        <v>0.99110330562190729</v>
      </c>
      <c r="S58" s="11">
        <f>'EU Ref Scenario 2020'!S58/'EU Ref Scenario 2020'!R58</f>
        <v>0.99102344394612818</v>
      </c>
      <c r="T58" s="11">
        <f>'EU Ref Scenario 2020'!T58/'EU Ref Scenario 2020'!S58</f>
        <v>0.9909421355178758</v>
      </c>
      <c r="U58" s="11">
        <f>'EU Ref Scenario 2020'!U58/'EU Ref Scenario 2020'!T58</f>
        <v>0.98053370664764006</v>
      </c>
      <c r="V58" s="11">
        <f>'EU Ref Scenario 2020'!V58/'EU Ref Scenario 2020'!U58</f>
        <v>0.98014724713654822</v>
      </c>
      <c r="W58" s="11">
        <f>'EU Ref Scenario 2020'!W58/'EU Ref Scenario 2020'!V58</f>
        <v>0.97974513225288296</v>
      </c>
      <c r="X58" s="11">
        <f>'EU Ref Scenario 2020'!X58/'EU Ref Scenario 2020'!W58</f>
        <v>0.97932639103749175</v>
      </c>
      <c r="Y58" s="11">
        <f>'EU Ref Scenario 2020'!Y58/'EU Ref Scenario 2020'!X58</f>
        <v>0.97888997054331728</v>
      </c>
      <c r="Z58" s="11">
        <f>'EU Ref Scenario 2020'!Z58/'EU Ref Scenario 2020'!Y58</f>
        <v>0.98259835989029432</v>
      </c>
      <c r="AA58" s="11">
        <f>'EU Ref Scenario 2020'!AA58/'EU Ref Scenario 2020'!Z58</f>
        <v>0.98229017997582602</v>
      </c>
      <c r="AB58" s="11">
        <f>'EU Ref Scenario 2020'!AB58/'EU Ref Scenario 2020'!AA58</f>
        <v>0.98197088764074802</v>
      </c>
      <c r="AC58" s="11">
        <f>'EU Ref Scenario 2020'!AC58/'EU Ref Scenario 2020'!AB58</f>
        <v>0.98163987080862636</v>
      </c>
      <c r="AD58" s="11">
        <f>'EU Ref Scenario 2020'!AD58/'EU Ref Scenario 2020'!AC58</f>
        <v>0.98129647161107103</v>
      </c>
      <c r="AE58" s="11">
        <f>'EU Ref Scenario 2020'!AE58/'EU Ref Scenario 2020'!AD58</f>
        <v>0.98440185556129556</v>
      </c>
      <c r="AF58" s="11">
        <f>'EU Ref Scenario 2020'!AF58/'EU Ref Scenario 2020'!AE58</f>
        <v>0.98415469825601809</v>
      </c>
      <c r="AG58" s="11">
        <f>'EU Ref Scenario 2020'!AG58/'EU Ref Scenario 2020'!AF58</f>
        <v>0.98389958227902508</v>
      </c>
      <c r="AH58" s="11">
        <f>'EU Ref Scenario 2020'!AH58/'EU Ref Scenario 2020'!AG58</f>
        <v>0.9836361169259964</v>
      </c>
      <c r="AI58" s="11">
        <f>'EU Ref Scenario 2020'!AI58/'EU Ref Scenario 2020'!AH58</f>
        <v>0.98336388549340448</v>
      </c>
      <c r="AJ58" s="11">
        <f>'EU Ref Scenario 2020'!AJ58/'EU Ref Scenario 2020'!AI58</f>
        <v>1.0100032599037545</v>
      </c>
      <c r="AK58" s="11">
        <f>'EU Ref Scenario 2020'!AK58/'EU Ref Scenario 2020'!AJ58</f>
        <v>1.0099041857594675</v>
      </c>
      <c r="AL58" s="11">
        <f>'EU Ref Scenario 2020'!AL58/'EU Ref Scenario 2020'!AK58</f>
        <v>1.0098070548663183</v>
      </c>
      <c r="AM58" s="11">
        <f>'EU Ref Scenario 2020'!AM58/'EU Ref Scenario 2020'!AL58</f>
        <v>1.0097118106068457</v>
      </c>
      <c r="AN58" s="11">
        <f>'EU Ref Scenario 2020'!AN58/'EU Ref Scenario 2020'!AM58</f>
        <v>1.0096183985418659</v>
      </c>
      <c r="AO58" s="11">
        <f>'EU Ref Scenario 2020'!AO58/'EU Ref Scenario 2020'!AN58</f>
        <v>1</v>
      </c>
      <c r="AP58" s="11">
        <f>'EU Ref Scenario 2020'!AP58/'EU Ref Scenario 2020'!AO58</f>
        <v>1</v>
      </c>
      <c r="AQ58" s="11">
        <f>'EU Ref Scenario 2020'!AQ58/'EU Ref Scenario 2020'!AP58</f>
        <v>1</v>
      </c>
      <c r="AR58" s="11">
        <f>'EU Ref Scenario 2020'!AR58/'EU Ref Scenario 2020'!AQ58</f>
        <v>1</v>
      </c>
      <c r="AS58" s="11">
        <f>'EU Ref Scenario 2020'!AS58/'EU Ref Scenario 2020'!AR58</f>
        <v>1</v>
      </c>
      <c r="AT58" s="11">
        <f>'EU Ref Scenario 2020'!AT58/'EU Ref Scenario 2020'!AS58</f>
        <v>1</v>
      </c>
      <c r="AU58" s="11">
        <f>'EU Ref Scenario 2020'!AU58/'EU Ref Scenario 2020'!AT58</f>
        <v>1</v>
      </c>
      <c r="AV58" s="11">
        <f>'EU Ref Scenario 2020'!AV58/'EU Ref Scenario 2020'!AU58</f>
        <v>1</v>
      </c>
      <c r="AW58" s="11">
        <f>'EU Ref Scenario 2020'!AW58/'EU Ref Scenario 2020'!AV58</f>
        <v>1</v>
      </c>
      <c r="AX58" s="11">
        <f>'EU Ref Scenario 2020'!AX58/'EU Ref Scenario 2020'!AW58</f>
        <v>1</v>
      </c>
    </row>
    <row r="59" spans="1:50" x14ac:dyDescent="0.3">
      <c r="A59" t="s">
        <v>1415</v>
      </c>
      <c r="B59" t="s">
        <v>1435</v>
      </c>
      <c r="F59" s="11">
        <f>'EU Ref Scenario 2020'!F59/'EU Ref Scenario 2020'!E59</f>
        <v>0.99416235596959912</v>
      </c>
      <c r="G59" s="11">
        <f>'EU Ref Scenario 2020'!G59/'EU Ref Scenario 2020'!F59</f>
        <v>0.99412807777789225</v>
      </c>
      <c r="H59" s="11">
        <f>'EU Ref Scenario 2020'!H59/'EU Ref Scenario 2020'!G59</f>
        <v>0.99409339465068447</v>
      </c>
      <c r="I59" s="11">
        <f>'EU Ref Scenario 2020'!I59/'EU Ref Scenario 2020'!H59</f>
        <v>0.99405829936995904</v>
      </c>
      <c r="J59" s="11">
        <f>'EU Ref Scenario 2020'!J59/'EU Ref Scenario 2020'!I59</f>
        <v>0.9940227845451246</v>
      </c>
      <c r="K59" s="11">
        <f>'EU Ref Scenario 2020'!K59/'EU Ref Scenario 2020'!J59</f>
        <v>1.0259626959540904</v>
      </c>
      <c r="L59" s="11">
        <f>'EU Ref Scenario 2020'!L59/'EU Ref Scenario 2020'!K59</f>
        <v>1.0253056919676269</v>
      </c>
      <c r="M59" s="11">
        <f>'EU Ref Scenario 2020'!M59/'EU Ref Scenario 2020'!L59</f>
        <v>1.0246811191685317</v>
      </c>
      <c r="N59" s="11">
        <f>'EU Ref Scenario 2020'!N59/'EU Ref Scenario 2020'!M59</f>
        <v>1.0240866340823758</v>
      </c>
      <c r="O59" s="11">
        <f>'EU Ref Scenario 2020'!O59/'EU Ref Scenario 2020'!N59</f>
        <v>1.0235201137098706</v>
      </c>
      <c r="P59" s="11">
        <f>'EU Ref Scenario 2020'!P59/'EU Ref Scenario 2020'!O59</f>
        <v>0.99911764997479013</v>
      </c>
      <c r="Q59" s="11">
        <f>'EU Ref Scenario 2020'!Q59/'EU Ref Scenario 2020'!P59</f>
        <v>0.99911687074567024</v>
      </c>
      <c r="R59" s="11">
        <f>'EU Ref Scenario 2020'!R59/'EU Ref Scenario 2020'!Q59</f>
        <v>0.99911609013901381</v>
      </c>
      <c r="S59" s="11">
        <f>'EU Ref Scenario 2020'!S59/'EU Ref Scenario 2020'!R59</f>
        <v>0.99911530815116478</v>
      </c>
      <c r="T59" s="11">
        <f>'EU Ref Scenario 2020'!T59/'EU Ref Scenario 2020'!S59</f>
        <v>0.99911452477845397</v>
      </c>
      <c r="U59" s="11">
        <f>'EU Ref Scenario 2020'!U59/'EU Ref Scenario 2020'!T59</f>
        <v>0.98615436120308519</v>
      </c>
      <c r="V59" s="11">
        <f>'EU Ref Scenario 2020'!V59/'EU Ref Scenario 2020'!U59</f>
        <v>0.98595996799119412</v>
      </c>
      <c r="W59" s="11">
        <f>'EU Ref Scenario 2020'!W59/'EU Ref Scenario 2020'!V59</f>
        <v>0.98576003847558724</v>
      </c>
      <c r="X59" s="11">
        <f>'EU Ref Scenario 2020'!X59/'EU Ref Scenario 2020'!W59</f>
        <v>0.98555433272946025</v>
      </c>
      <c r="Y59" s="11">
        <f>'EU Ref Scenario 2020'!Y59/'EU Ref Scenario 2020'!X59</f>
        <v>0.98534259675919333</v>
      </c>
      <c r="Z59" s="11">
        <f>'EU Ref Scenario 2020'!Z59/'EU Ref Scenario 2020'!Y59</f>
        <v>1.0018516851882309</v>
      </c>
      <c r="AA59" s="11">
        <f>'EU Ref Scenario 2020'!AA59/'EU Ref Scenario 2020'!Z59</f>
        <v>1.0018482627874035</v>
      </c>
      <c r="AB59" s="11">
        <f>'EU Ref Scenario 2020'!AB59/'EU Ref Scenario 2020'!AA59</f>
        <v>1.001844853014229</v>
      </c>
      <c r="AC59" s="11">
        <f>'EU Ref Scenario 2020'!AC59/'EU Ref Scenario 2020'!AB59</f>
        <v>1.0018414557989477</v>
      </c>
      <c r="AD59" s="11">
        <f>'EU Ref Scenario 2020'!AD59/'EU Ref Scenario 2020'!AC59</f>
        <v>1.0018380710723129</v>
      </c>
      <c r="AE59" s="11">
        <f>'EU Ref Scenario 2020'!AE59/'EU Ref Scenario 2020'!AD59</f>
        <v>1.0156239548610002</v>
      </c>
      <c r="AF59" s="11">
        <f>'EU Ref Scenario 2020'!AF59/'EU Ref Scenario 2020'!AE59</f>
        <v>1.0153836021553257</v>
      </c>
      <c r="AG59" s="11">
        <f>'EU Ref Scenario 2020'!AG59/'EU Ref Scenario 2020'!AF59</f>
        <v>1.0151505323925571</v>
      </c>
      <c r="AH59" s="11">
        <f>'EU Ref Scenario 2020'!AH59/'EU Ref Scenario 2020'!AG59</f>
        <v>1.0149244194916096</v>
      </c>
      <c r="AI59" s="11">
        <f>'EU Ref Scenario 2020'!AI59/'EU Ref Scenario 2020'!AH59</f>
        <v>1.0147049565514303</v>
      </c>
      <c r="AJ59" s="11">
        <f>'EU Ref Scenario 2020'!AJ59/'EU Ref Scenario 2020'!AI59</f>
        <v>1.0016786651316074</v>
      </c>
      <c r="AK59" s="11">
        <f>'EU Ref Scenario 2020'!AK59/'EU Ref Scenario 2020'!AJ59</f>
        <v>1.0016758519373945</v>
      </c>
      <c r="AL59" s="11">
        <f>'EU Ref Scenario 2020'!AL59/'EU Ref Scenario 2020'!AK59</f>
        <v>1.0016730481564002</v>
      </c>
      <c r="AM59" s="11">
        <f>'EU Ref Scenario 2020'!AM59/'EU Ref Scenario 2020'!AL59</f>
        <v>1.0016702537414572</v>
      </c>
      <c r="AN59" s="11">
        <f>'EU Ref Scenario 2020'!AN59/'EU Ref Scenario 2020'!AM59</f>
        <v>1.0016674686457132</v>
      </c>
      <c r="AO59" s="11">
        <f>'EU Ref Scenario 2020'!AO59/'EU Ref Scenario 2020'!AN59</f>
        <v>1</v>
      </c>
      <c r="AP59" s="11">
        <f>'EU Ref Scenario 2020'!AP59/'EU Ref Scenario 2020'!AO59</f>
        <v>1</v>
      </c>
      <c r="AQ59" s="11">
        <f>'EU Ref Scenario 2020'!AQ59/'EU Ref Scenario 2020'!AP59</f>
        <v>1</v>
      </c>
      <c r="AR59" s="11">
        <f>'EU Ref Scenario 2020'!AR59/'EU Ref Scenario 2020'!AQ59</f>
        <v>1</v>
      </c>
      <c r="AS59" s="11">
        <f>'EU Ref Scenario 2020'!AS59/'EU Ref Scenario 2020'!AR59</f>
        <v>1</v>
      </c>
      <c r="AT59" s="11">
        <f>'EU Ref Scenario 2020'!AT59/'EU Ref Scenario 2020'!AS59</f>
        <v>1</v>
      </c>
      <c r="AU59" s="11">
        <f>'EU Ref Scenario 2020'!AU59/'EU Ref Scenario 2020'!AT59</f>
        <v>1</v>
      </c>
      <c r="AV59" s="11">
        <f>'EU Ref Scenario 2020'!AV59/'EU Ref Scenario 2020'!AU59</f>
        <v>1</v>
      </c>
      <c r="AW59" s="11">
        <f>'EU Ref Scenario 2020'!AW59/'EU Ref Scenario 2020'!AV59</f>
        <v>1</v>
      </c>
      <c r="AX59" s="11">
        <f>'EU Ref Scenario 2020'!AX59/'EU Ref Scenario 2020'!AW59</f>
        <v>1</v>
      </c>
    </row>
    <row r="60" spans="1:50" x14ac:dyDescent="0.3">
      <c r="A60" t="s">
        <v>1416</v>
      </c>
      <c r="B60" t="s">
        <v>1434</v>
      </c>
      <c r="F60" s="11">
        <f>'EU Ref Scenario 2020'!F60/'EU Ref Scenario 2020'!E60</f>
        <v>0.98510579379195307</v>
      </c>
      <c r="G60" s="11">
        <f>'EU Ref Scenario 2020'!G60/'EU Ref Scenario 2020'!F60</f>
        <v>0.98488060236584862</v>
      </c>
      <c r="H60" s="11">
        <f>'EU Ref Scenario 2020'!H60/'EU Ref Scenario 2020'!G60</f>
        <v>0.98464849688598588</v>
      </c>
      <c r="I60" s="11">
        <f>'EU Ref Scenario 2020'!I60/'EU Ref Scenario 2020'!H60</f>
        <v>0.98440915396452211</v>
      </c>
      <c r="J60" s="11">
        <f>'EU Ref Scenario 2020'!J60/'EU Ref Scenario 2020'!I60</f>
        <v>0.98416222972664524</v>
      </c>
      <c r="K60" s="11">
        <f>'EU Ref Scenario 2020'!K60/'EU Ref Scenario 2020'!J60</f>
        <v>1.0024130824925004</v>
      </c>
      <c r="L60" s="11">
        <f>'EU Ref Scenario 2020'!L60/'EU Ref Scenario 2020'!K60</f>
        <v>1.0024072735428595</v>
      </c>
      <c r="M60" s="11">
        <f>'EU Ref Scenario 2020'!M60/'EU Ref Scenario 2020'!L60</f>
        <v>1.0024014924935165</v>
      </c>
      <c r="N60" s="11">
        <f>'EU Ref Scenario 2020'!N60/'EU Ref Scenario 2020'!M60</f>
        <v>1.0023957391439458</v>
      </c>
      <c r="O60" s="11">
        <f>'EU Ref Scenario 2020'!O60/'EU Ref Scenario 2020'!N60</f>
        <v>1.0023900132955388</v>
      </c>
      <c r="P60" s="11">
        <f>'EU Ref Scenario 2020'!P60/'EU Ref Scenario 2020'!O60</f>
        <v>0.99209794250713013</v>
      </c>
      <c r="Q60" s="11">
        <f>'EU Ref Scenario 2020'!Q60/'EU Ref Scenario 2020'!P60</f>
        <v>0.99203500264006128</v>
      </c>
      <c r="R60" s="11">
        <f>'EU Ref Scenario 2020'!R60/'EU Ref Scenario 2020'!Q60</f>
        <v>0.99197105209116432</v>
      </c>
      <c r="S60" s="11">
        <f>'EU Ref Scenario 2020'!S60/'EU Ref Scenario 2020'!R60</f>
        <v>0.99190606631926415</v>
      </c>
      <c r="T60" s="11">
        <f>'EU Ref Scenario 2020'!T60/'EU Ref Scenario 2020'!S60</f>
        <v>0.99184001998216387</v>
      </c>
      <c r="U60" s="11">
        <f>'EU Ref Scenario 2020'!U60/'EU Ref Scenario 2020'!T60</f>
        <v>0.98953923833856017</v>
      </c>
      <c r="V60" s="11">
        <f>'EU Ref Scenario 2020'!V60/'EU Ref Scenario 2020'!U60</f>
        <v>0.98942865400769409</v>
      </c>
      <c r="W60" s="11">
        <f>'EU Ref Scenario 2020'!W60/'EU Ref Scenario 2020'!V60</f>
        <v>0.98931570664596524</v>
      </c>
      <c r="X60" s="11">
        <f>'EU Ref Scenario 2020'!X60/'EU Ref Scenario 2020'!W60</f>
        <v>0.98920031969344024</v>
      </c>
      <c r="Y60" s="11">
        <f>'EU Ref Scenario 2020'!Y60/'EU Ref Scenario 2020'!X60</f>
        <v>0.98908241324678636</v>
      </c>
      <c r="Z60" s="11">
        <f>'EU Ref Scenario 2020'!Z60/'EU Ref Scenario 2020'!Y60</f>
        <v>0.99100477436871015</v>
      </c>
      <c r="AA60" s="11">
        <f>'EU Ref Scenario 2020'!AA60/'EU Ref Scenario 2020'!Z60</f>
        <v>0.99092312583759246</v>
      </c>
      <c r="AB60" s="11">
        <f>'EU Ref Scenario 2020'!AB60/'EU Ref Scenario 2020'!AA60</f>
        <v>0.99083998150236408</v>
      </c>
      <c r="AC60" s="11">
        <f>'EU Ref Scenario 2020'!AC60/'EU Ref Scenario 2020'!AB60</f>
        <v>0.99075529987824373</v>
      </c>
      <c r="AD60" s="11">
        <f>'EU Ref Scenario 2020'!AD60/'EU Ref Scenario 2020'!AC60</f>
        <v>0.99066903793207806</v>
      </c>
      <c r="AE60" s="11">
        <f>'EU Ref Scenario 2020'!AE60/'EU Ref Scenario 2020'!AD60</f>
        <v>0.99377273279260869</v>
      </c>
      <c r="AF60" s="11">
        <f>'EU Ref Scenario 2020'!AF60/'EU Ref Scenario 2020'!AE60</f>
        <v>0.99373371093620977</v>
      </c>
      <c r="AG60" s="11">
        <f>'EU Ref Scenario 2020'!AG60/'EU Ref Scenario 2020'!AF60</f>
        <v>0.99369419695152872</v>
      </c>
      <c r="AH60" s="11">
        <f>'EU Ref Scenario 2020'!AH60/'EU Ref Scenario 2020'!AG60</f>
        <v>0.9936541814696952</v>
      </c>
      <c r="AI60" s="11">
        <f>'EU Ref Scenario 2020'!AI60/'EU Ref Scenario 2020'!AH60</f>
        <v>0.99361365488250752</v>
      </c>
      <c r="AJ60" s="11">
        <f>'EU Ref Scenario 2020'!AJ60/'EU Ref Scenario 2020'!AI60</f>
        <v>0.99163983212429696</v>
      </c>
      <c r="AK60" s="11">
        <f>'EU Ref Scenario 2020'!AK60/'EU Ref Scenario 2020'!AJ60</f>
        <v>0.99156935047900019</v>
      </c>
      <c r="AL60" s="11">
        <f>'EU Ref Scenario 2020'!AL60/'EU Ref Scenario 2020'!AK60</f>
        <v>0.9914976703173336</v>
      </c>
      <c r="AM60" s="11">
        <f>'EU Ref Scenario 2020'!AM60/'EU Ref Scenario 2020'!AL60</f>
        <v>0.99142476080660369</v>
      </c>
      <c r="AN60" s="11">
        <f>'EU Ref Scenario 2020'!AN60/'EU Ref Scenario 2020'!AM60</f>
        <v>0.99135059004737835</v>
      </c>
      <c r="AO60" s="11">
        <f>'EU Ref Scenario 2020'!AO60/'EU Ref Scenario 2020'!AN60</f>
        <v>1</v>
      </c>
      <c r="AP60" s="11">
        <f>'EU Ref Scenario 2020'!AP60/'EU Ref Scenario 2020'!AO60</f>
        <v>1</v>
      </c>
      <c r="AQ60" s="11">
        <f>'EU Ref Scenario 2020'!AQ60/'EU Ref Scenario 2020'!AP60</f>
        <v>1</v>
      </c>
      <c r="AR60" s="11">
        <f>'EU Ref Scenario 2020'!AR60/'EU Ref Scenario 2020'!AQ60</f>
        <v>1</v>
      </c>
      <c r="AS60" s="11">
        <f>'EU Ref Scenario 2020'!AS60/'EU Ref Scenario 2020'!AR60</f>
        <v>1</v>
      </c>
      <c r="AT60" s="11">
        <f>'EU Ref Scenario 2020'!AT60/'EU Ref Scenario 2020'!AS60</f>
        <v>1</v>
      </c>
      <c r="AU60" s="11">
        <f>'EU Ref Scenario 2020'!AU60/'EU Ref Scenario 2020'!AT60</f>
        <v>1</v>
      </c>
      <c r="AV60" s="11">
        <f>'EU Ref Scenario 2020'!AV60/'EU Ref Scenario 2020'!AU60</f>
        <v>1</v>
      </c>
      <c r="AW60" s="11">
        <f>'EU Ref Scenario 2020'!AW60/'EU Ref Scenario 2020'!AV60</f>
        <v>1</v>
      </c>
      <c r="AX60" s="11">
        <f>'EU Ref Scenario 2020'!AX60/'EU Ref Scenario 2020'!AW60</f>
        <v>1</v>
      </c>
    </row>
    <row r="61" spans="1:50" x14ac:dyDescent="0.3">
      <c r="A61" t="s">
        <v>1416</v>
      </c>
      <c r="B61" t="s">
        <v>1439</v>
      </c>
      <c r="F61" s="11">
        <f>'EU Ref Scenario 2020'!F61/'EU Ref Scenario 2020'!E61</f>
        <v>0.99113598460182062</v>
      </c>
      <c r="G61" s="11">
        <f>'EU Ref Scenario 2020'!G61/'EU Ref Scenario 2020'!F61</f>
        <v>0.99105671115175942</v>
      </c>
      <c r="H61" s="11">
        <f>'EU Ref Scenario 2020'!H61/'EU Ref Scenario 2020'!G61</f>
        <v>0.99097600697557753</v>
      </c>
      <c r="I61" s="11">
        <f>'EU Ref Scenario 2020'!I61/'EU Ref Scenario 2020'!H61</f>
        <v>0.99089383298798184</v>
      </c>
      <c r="J61" s="11">
        <f>'EU Ref Scenario 2020'!J61/'EU Ref Scenario 2020'!I61</f>
        <v>0.99081014866692707</v>
      </c>
      <c r="K61" s="11">
        <f>'EU Ref Scenario 2020'!K61/'EU Ref Scenario 2020'!J61</f>
        <v>0.99827490068062019</v>
      </c>
      <c r="L61" s="11">
        <f>'EU Ref Scenario 2020'!L61/'EU Ref Scenario 2020'!K61</f>
        <v>0.99827191957024697</v>
      </c>
      <c r="M61" s="11">
        <f>'EU Ref Scenario 2020'!M61/'EU Ref Scenario 2020'!L61</f>
        <v>0.99826892813884127</v>
      </c>
      <c r="N61" s="11">
        <f>'EU Ref Scenario 2020'!N61/'EU Ref Scenario 2020'!M61</f>
        <v>0.99826592633271061</v>
      </c>
      <c r="O61" s="11">
        <f>'EU Ref Scenario 2020'!O61/'EU Ref Scenario 2020'!N61</f>
        <v>0.99826291409778978</v>
      </c>
      <c r="P61" s="11">
        <f>'EU Ref Scenario 2020'!P61/'EU Ref Scenario 2020'!O61</f>
        <v>0.98968748668184636</v>
      </c>
      <c r="Q61" s="11">
        <f>'EU Ref Scenario 2020'!Q61/'EU Ref Scenario 2020'!P61</f>
        <v>0.98958003060872402</v>
      </c>
      <c r="R61" s="11">
        <f>'EU Ref Scenario 2020'!R61/'EU Ref Scenario 2020'!Q61</f>
        <v>0.98947031157766363</v>
      </c>
      <c r="S61" s="11">
        <f>'EU Ref Scenario 2020'!S61/'EU Ref Scenario 2020'!R61</f>
        <v>0.98935825734321703</v>
      </c>
      <c r="T61" s="11">
        <f>'EU Ref Scenario 2020'!T61/'EU Ref Scenario 2020'!S61</f>
        <v>0.98924379255158834</v>
      </c>
      <c r="U61" s="11">
        <f>'EU Ref Scenario 2020'!U61/'EU Ref Scenario 2020'!T61</f>
        <v>0.98773136090631952</v>
      </c>
      <c r="V61" s="11">
        <f>'EU Ref Scenario 2020'!V61/'EU Ref Scenario 2020'!U61</f>
        <v>0.98757897179408882</v>
      </c>
      <c r="W61" s="11">
        <f>'EU Ref Scenario 2020'!W61/'EU Ref Scenario 2020'!V61</f>
        <v>0.9874227494097545</v>
      </c>
      <c r="X61" s="11">
        <f>'EU Ref Scenario 2020'!X61/'EU Ref Scenario 2020'!W61</f>
        <v>0.98726254727495011</v>
      </c>
      <c r="Y61" s="11">
        <f>'EU Ref Scenario 2020'!Y61/'EU Ref Scenario 2020'!X61</f>
        <v>0.98709821135197728</v>
      </c>
      <c r="Z61" s="11">
        <f>'EU Ref Scenario 2020'!Z61/'EU Ref Scenario 2020'!Y61</f>
        <v>0.98836629559199796</v>
      </c>
      <c r="AA61" s="11">
        <f>'EU Ref Scenario 2020'!AA61/'EU Ref Scenario 2020'!Z61</f>
        <v>0.98822935943901857</v>
      </c>
      <c r="AB61" s="11">
        <f>'EU Ref Scenario 2020'!AB61/'EU Ref Scenario 2020'!AA61</f>
        <v>0.9880891612371614</v>
      </c>
      <c r="AC61" s="11">
        <f>'EU Ref Scenario 2020'!AC61/'EU Ref Scenario 2020'!AB61</f>
        <v>0.98794558302013424</v>
      </c>
      <c r="AD61" s="11">
        <f>'EU Ref Scenario 2020'!AD61/'EU Ref Scenario 2020'!AC61</f>
        <v>0.98779850106418232</v>
      </c>
      <c r="AE61" s="11">
        <f>'EU Ref Scenario 2020'!AE61/'EU Ref Scenario 2020'!AD61</f>
        <v>0.99113611316534056</v>
      </c>
      <c r="AF61" s="11">
        <f>'EU Ref Scenario 2020'!AF61/'EU Ref Scenario 2020'!AE61</f>
        <v>0.99105684202510658</v>
      </c>
      <c r="AG61" s="11">
        <f>'EU Ref Scenario 2020'!AG61/'EU Ref Scenario 2020'!AF61</f>
        <v>0.99097614022156477</v>
      </c>
      <c r="AH61" s="11">
        <f>'EU Ref Scenario 2020'!AH61/'EU Ref Scenario 2020'!AG61</f>
        <v>0.9908939686717203</v>
      </c>
      <c r="AI61" s="11">
        <f>'EU Ref Scenario 2020'!AI61/'EU Ref Scenario 2020'!AH61</f>
        <v>0.99081028685593264</v>
      </c>
      <c r="AJ61" s="11">
        <f>'EU Ref Scenario 2020'!AJ61/'EU Ref Scenario 2020'!AI61</f>
        <v>0.98786936797079306</v>
      </c>
      <c r="AK61" s="11">
        <f>'EU Ref Scenario 2020'!AK61/'EU Ref Scenario 2020'!AJ61</f>
        <v>0.98772040876808964</v>
      </c>
      <c r="AL61" s="11">
        <f>'EU Ref Scenario 2020'!AL61/'EU Ref Scenario 2020'!AK61</f>
        <v>0.98756774576802986</v>
      </c>
      <c r="AM61" s="11">
        <f>'EU Ref Scenario 2020'!AM61/'EU Ref Scenario 2020'!AL61</f>
        <v>0.98741123909195561</v>
      </c>
      <c r="AN61" s="11">
        <f>'EU Ref Scenario 2020'!AN61/'EU Ref Scenario 2020'!AM61</f>
        <v>0.98725074172781202</v>
      </c>
      <c r="AO61" s="11">
        <f>'EU Ref Scenario 2020'!AO61/'EU Ref Scenario 2020'!AN61</f>
        <v>1</v>
      </c>
      <c r="AP61" s="11">
        <f>'EU Ref Scenario 2020'!AP61/'EU Ref Scenario 2020'!AO61</f>
        <v>1</v>
      </c>
      <c r="AQ61" s="11">
        <f>'EU Ref Scenario 2020'!AQ61/'EU Ref Scenario 2020'!AP61</f>
        <v>1</v>
      </c>
      <c r="AR61" s="11">
        <f>'EU Ref Scenario 2020'!AR61/'EU Ref Scenario 2020'!AQ61</f>
        <v>1</v>
      </c>
      <c r="AS61" s="11">
        <f>'EU Ref Scenario 2020'!AS61/'EU Ref Scenario 2020'!AR61</f>
        <v>1</v>
      </c>
      <c r="AT61" s="11">
        <f>'EU Ref Scenario 2020'!AT61/'EU Ref Scenario 2020'!AS61</f>
        <v>1</v>
      </c>
      <c r="AU61" s="11">
        <f>'EU Ref Scenario 2020'!AU61/'EU Ref Scenario 2020'!AT61</f>
        <v>1</v>
      </c>
      <c r="AV61" s="11">
        <f>'EU Ref Scenario 2020'!AV61/'EU Ref Scenario 2020'!AU61</f>
        <v>1</v>
      </c>
      <c r="AW61" s="11">
        <f>'EU Ref Scenario 2020'!AW61/'EU Ref Scenario 2020'!AV61</f>
        <v>1</v>
      </c>
      <c r="AX61" s="11">
        <f>'EU Ref Scenario 2020'!AX61/'EU Ref Scenario 2020'!AW61</f>
        <v>1</v>
      </c>
    </row>
    <row r="62" spans="1:50" x14ac:dyDescent="0.3">
      <c r="A62" t="s">
        <v>1416</v>
      </c>
      <c r="B62" t="s">
        <v>1435</v>
      </c>
      <c r="F62" s="11">
        <f>'EU Ref Scenario 2020'!F62/'EU Ref Scenario 2020'!E62</f>
        <v>0.96560027958254968</v>
      </c>
      <c r="G62" s="11">
        <f>'EU Ref Scenario 2020'!G62/'EU Ref Scenario 2020'!F62</f>
        <v>0.96437478204508997</v>
      </c>
      <c r="H62" s="11">
        <f>'EU Ref Scenario 2020'!H62/'EU Ref Scenario 2020'!G62</f>
        <v>0.96305874166539096</v>
      </c>
      <c r="I62" s="11">
        <f>'EU Ref Scenario 2020'!I62/'EU Ref Scenario 2020'!H62</f>
        <v>0.96164173924559626</v>
      </c>
      <c r="J62" s="11">
        <f>'EU Ref Scenario 2020'!J62/'EU Ref Scenario 2020'!I62</f>
        <v>0.96011169317120526</v>
      </c>
      <c r="K62" s="11">
        <f>'EU Ref Scenario 2020'!K62/'EU Ref Scenario 2020'!J62</f>
        <v>1.0178626849658698</v>
      </c>
      <c r="L62" s="11">
        <f>'EU Ref Scenario 2020'!L62/'EU Ref Scenario 2020'!K62</f>
        <v>1.017549208974557</v>
      </c>
      <c r="M62" s="11">
        <f>'EU Ref Scenario 2020'!M62/'EU Ref Scenario 2020'!L62</f>
        <v>1.017246545739289</v>
      </c>
      <c r="N62" s="11">
        <f>'EU Ref Scenario 2020'!N62/'EU Ref Scenario 2020'!M62</f>
        <v>1.0169541452969546</v>
      </c>
      <c r="O62" s="11">
        <f>'EU Ref Scenario 2020'!O62/'EU Ref Scenario 2020'!N62</f>
        <v>1.0166714943592705</v>
      </c>
      <c r="P62" s="11">
        <f>'EU Ref Scenario 2020'!P62/'EU Ref Scenario 2020'!O62</f>
        <v>1.0002880916050909</v>
      </c>
      <c r="Q62" s="11">
        <f>'EU Ref Scenario 2020'!Q62/'EU Ref Scenario 2020'!P62</f>
        <v>1.0002880086322217</v>
      </c>
      <c r="R62" s="11">
        <f>'EU Ref Scenario 2020'!R62/'EU Ref Scenario 2020'!Q62</f>
        <v>1.0002879257071327</v>
      </c>
      <c r="S62" s="11">
        <f>'EU Ref Scenario 2020'!S62/'EU Ref Scenario 2020'!R62</f>
        <v>1.0002878428297823</v>
      </c>
      <c r="T62" s="11">
        <f>'EU Ref Scenario 2020'!T62/'EU Ref Scenario 2020'!S62</f>
        <v>1.0002877600001296</v>
      </c>
      <c r="U62" s="11">
        <f>'EU Ref Scenario 2020'!U62/'EU Ref Scenario 2020'!T62</f>
        <v>0.99535685590181133</v>
      </c>
      <c r="V62" s="11">
        <f>'EU Ref Scenario 2020'!V62/'EU Ref Scenario 2020'!U62</f>
        <v>0.99533519654719016</v>
      </c>
      <c r="W62" s="11">
        <f>'EU Ref Scenario 2020'!W62/'EU Ref Scenario 2020'!V62</f>
        <v>0.99531333417225476</v>
      </c>
      <c r="X62" s="11">
        <f>'EU Ref Scenario 2020'!X62/'EU Ref Scenario 2020'!W62</f>
        <v>0.995291265909099</v>
      </c>
      <c r="Y62" s="11">
        <f>'EU Ref Scenario 2020'!Y62/'EU Ref Scenario 2020'!X62</f>
        <v>0.99526898883554493</v>
      </c>
      <c r="Z62" s="11">
        <f>'EU Ref Scenario 2020'!Z62/'EU Ref Scenario 2020'!Y62</f>
        <v>0.99916379368665764</v>
      </c>
      <c r="AA62" s="11">
        <f>'EU Ref Scenario 2020'!AA62/'EU Ref Scenario 2020'!Z62</f>
        <v>0.99916309386046009</v>
      </c>
      <c r="AB62" s="11">
        <f>'EU Ref Scenario 2020'!AB62/'EU Ref Scenario 2020'!AA62</f>
        <v>0.99916239286190378</v>
      </c>
      <c r="AC62" s="11">
        <f>'EU Ref Scenario 2020'!AC62/'EU Ref Scenario 2020'!AB62</f>
        <v>0.99916169068804006</v>
      </c>
      <c r="AD62" s="11">
        <f>'EU Ref Scenario 2020'!AD62/'EU Ref Scenario 2020'!AC62</f>
        <v>0.99916098733591052</v>
      </c>
      <c r="AE62" s="11">
        <f>'EU Ref Scenario 2020'!AE62/'EU Ref Scenario 2020'!AD62</f>
        <v>1.0014839803165316</v>
      </c>
      <c r="AF62" s="11">
        <f>'EU Ref Scenario 2020'!AF62/'EU Ref Scenario 2020'!AE62</f>
        <v>1.0014817813821271</v>
      </c>
      <c r="AG62" s="11">
        <f>'EU Ref Scenario 2020'!AG62/'EU Ref Scenario 2020'!AF62</f>
        <v>1.0014795889547607</v>
      </c>
      <c r="AH62" s="11">
        <f>'EU Ref Scenario 2020'!AH62/'EU Ref Scenario 2020'!AG62</f>
        <v>1.001477403005592</v>
      </c>
      <c r="AI62" s="11">
        <f>'EU Ref Scenario 2020'!AI62/'EU Ref Scenario 2020'!AH62</f>
        <v>1.0014752235059501</v>
      </c>
      <c r="AJ62" s="11">
        <f>'EU Ref Scenario 2020'!AJ62/'EU Ref Scenario 2020'!AI62</f>
        <v>1.0021008563485689</v>
      </c>
      <c r="AK62" s="11">
        <f>'EU Ref Scenario 2020'!AK62/'EU Ref Scenario 2020'!AJ62</f>
        <v>1.0020964520040667</v>
      </c>
      <c r="AL62" s="11">
        <f>'EU Ref Scenario 2020'!AL62/'EU Ref Scenario 2020'!AK62</f>
        <v>1.002092066087924</v>
      </c>
      <c r="AM62" s="11">
        <f>'EU Ref Scenario 2020'!AM62/'EU Ref Scenario 2020'!AL62</f>
        <v>1.0020876984847225</v>
      </c>
      <c r="AN62" s="11">
        <f>'EU Ref Scenario 2020'!AN62/'EU Ref Scenario 2020'!AM62</f>
        <v>1.0020833490800052</v>
      </c>
      <c r="AO62" s="11">
        <f>'EU Ref Scenario 2020'!AO62/'EU Ref Scenario 2020'!AN62</f>
        <v>1</v>
      </c>
      <c r="AP62" s="11">
        <f>'EU Ref Scenario 2020'!AP62/'EU Ref Scenario 2020'!AO62</f>
        <v>1</v>
      </c>
      <c r="AQ62" s="11">
        <f>'EU Ref Scenario 2020'!AQ62/'EU Ref Scenario 2020'!AP62</f>
        <v>1</v>
      </c>
      <c r="AR62" s="11">
        <f>'EU Ref Scenario 2020'!AR62/'EU Ref Scenario 2020'!AQ62</f>
        <v>1</v>
      </c>
      <c r="AS62" s="11">
        <f>'EU Ref Scenario 2020'!AS62/'EU Ref Scenario 2020'!AR62</f>
        <v>1</v>
      </c>
      <c r="AT62" s="11">
        <f>'EU Ref Scenario 2020'!AT62/'EU Ref Scenario 2020'!AS62</f>
        <v>1</v>
      </c>
      <c r="AU62" s="11">
        <f>'EU Ref Scenario 2020'!AU62/'EU Ref Scenario 2020'!AT62</f>
        <v>1</v>
      </c>
      <c r="AV62" s="11">
        <f>'EU Ref Scenario 2020'!AV62/'EU Ref Scenario 2020'!AU62</f>
        <v>1</v>
      </c>
      <c r="AW62" s="11">
        <f>'EU Ref Scenario 2020'!AW62/'EU Ref Scenario 2020'!AV62</f>
        <v>1</v>
      </c>
      <c r="AX62" s="11">
        <f>'EU Ref Scenario 2020'!AX62/'EU Ref Scenario 2020'!AW62</f>
        <v>1</v>
      </c>
    </row>
    <row r="63" spans="1:50" x14ac:dyDescent="0.3">
      <c r="A63" t="s">
        <v>1417</v>
      </c>
      <c r="B63" t="s">
        <v>1434</v>
      </c>
      <c r="F63" s="11">
        <f>'EU Ref Scenario 2020'!F63/'EU Ref Scenario 2020'!E63</f>
        <v>0.99617096887456469</v>
      </c>
      <c r="G63" s="11">
        <f>'EU Ref Scenario 2020'!G63/'EU Ref Scenario 2020'!F63</f>
        <v>0.99615625104015904</v>
      </c>
      <c r="H63" s="11">
        <f>'EU Ref Scenario 2020'!H63/'EU Ref Scenario 2020'!G63</f>
        <v>0.99614141962585945</v>
      </c>
      <c r="I63" s="11">
        <f>'EU Ref Scenario 2020'!I63/'EU Ref Scenario 2020'!H63</f>
        <v>0.99612647331180171</v>
      </c>
      <c r="J63" s="11">
        <f>'EU Ref Scenario 2020'!J63/'EU Ref Scenario 2020'!I63</f>
        <v>0.9961114107575918</v>
      </c>
      <c r="K63" s="11">
        <f>'EU Ref Scenario 2020'!K63/'EU Ref Scenario 2020'!J63</f>
        <v>1.0112743250920531</v>
      </c>
      <c r="L63" s="11">
        <f>'EU Ref Scenario 2020'!L63/'EU Ref Scenario 2020'!K63</f>
        <v>1.0111486317928884</v>
      </c>
      <c r="M63" s="11">
        <f>'EU Ref Scenario 2020'!M63/'EU Ref Scenario 2020'!L63</f>
        <v>1.0110257102095075</v>
      </c>
      <c r="N63" s="11">
        <f>'EU Ref Scenario 2020'!N63/'EU Ref Scenario 2020'!M63</f>
        <v>1.0109054696613231</v>
      </c>
      <c r="O63" s="11">
        <f>'EU Ref Scenario 2020'!O63/'EU Ref Scenario 2020'!N63</f>
        <v>1.0107878233807328</v>
      </c>
      <c r="P63" s="11">
        <f>'EU Ref Scenario 2020'!P63/'EU Ref Scenario 2020'!O63</f>
        <v>0.99530922157920998</v>
      </c>
      <c r="Q63" s="11">
        <f>'EU Ref Scenario 2020'!Q63/'EU Ref Scenario 2020'!P63</f>
        <v>0.9952871144775014</v>
      </c>
      <c r="R63" s="11">
        <f>'EU Ref Scenario 2020'!R63/'EU Ref Scenario 2020'!Q63</f>
        <v>0.99526479801260892</v>
      </c>
      <c r="S63" s="11">
        <f>'EU Ref Scenario 2020'!S63/'EU Ref Scenario 2020'!R63</f>
        <v>0.99524226919625147</v>
      </c>
      <c r="T63" s="11">
        <f>'EU Ref Scenario 2020'!T63/'EU Ref Scenario 2020'!S63</f>
        <v>0.99521952498300648</v>
      </c>
      <c r="U63" s="11">
        <f>'EU Ref Scenario 2020'!U63/'EU Ref Scenario 2020'!T63</f>
        <v>1.0006468713845262</v>
      </c>
      <c r="V63" s="11">
        <f>'EU Ref Scenario 2020'!V63/'EU Ref Scenario 2020'!U63</f>
        <v>1.0006464532124417</v>
      </c>
      <c r="W63" s="11">
        <f>'EU Ref Scenario 2020'!W63/'EU Ref Scenario 2020'!V63</f>
        <v>1.0006460355806652</v>
      </c>
      <c r="X63" s="11">
        <f>'EU Ref Scenario 2020'!X63/'EU Ref Scenario 2020'!W63</f>
        <v>1.0006456184881503</v>
      </c>
      <c r="Y63" s="11">
        <f>'EU Ref Scenario 2020'!Y63/'EU Ref Scenario 2020'!X63</f>
        <v>1.0006452019338534</v>
      </c>
      <c r="Z63" s="11">
        <f>'EU Ref Scenario 2020'!Z63/'EU Ref Scenario 2020'!Y63</f>
        <v>0.98556722315549472</v>
      </c>
      <c r="AA63" s="11">
        <f>'EU Ref Scenario 2020'!AA63/'EU Ref Scenario 2020'!Z63</f>
        <v>0.98535586766136984</v>
      </c>
      <c r="AB63" s="11">
        <f>'EU Ref Scenario 2020'!AB63/'EU Ref Scenario 2020'!AA63</f>
        <v>0.98513822993373312</v>
      </c>
      <c r="AC63" s="11">
        <f>'EU Ref Scenario 2020'!AC63/'EU Ref Scenario 2020'!AB63</f>
        <v>0.98491402565174369</v>
      </c>
      <c r="AD63" s="11">
        <f>'EU Ref Scenario 2020'!AD63/'EU Ref Scenario 2020'!AC63</f>
        <v>0.98468295307473852</v>
      </c>
      <c r="AE63" s="11">
        <f>'EU Ref Scenario 2020'!AE63/'EU Ref Scenario 2020'!AD63</f>
        <v>0.98755152072302865</v>
      </c>
      <c r="AF63" s="11">
        <f>'EU Ref Scenario 2020'!AF63/'EU Ref Scenario 2020'!AE63</f>
        <v>0.98739460269591073</v>
      </c>
      <c r="AG63" s="11">
        <f>'EU Ref Scenario 2020'!AG63/'EU Ref Scenario 2020'!AF63</f>
        <v>0.98723367813671203</v>
      </c>
      <c r="AH63" s="11">
        <f>'EU Ref Scenario 2020'!AH63/'EU Ref Scenario 2020'!AG63</f>
        <v>0.98706859161512517</v>
      </c>
      <c r="AI63" s="11">
        <f>'EU Ref Scenario 2020'!AI63/'EU Ref Scenario 2020'!AH63</f>
        <v>0.98689917955578377</v>
      </c>
      <c r="AJ63" s="11">
        <f>'EU Ref Scenario 2020'!AJ63/'EU Ref Scenario 2020'!AI63</f>
        <v>0.9897954808607079</v>
      </c>
      <c r="AK63" s="11">
        <f>'EU Ref Scenario 2020'!AK63/'EU Ref Scenario 2020'!AJ63</f>
        <v>0.98969027507539398</v>
      </c>
      <c r="AL63" s="11">
        <f>'EU Ref Scenario 2020'!AL63/'EU Ref Scenario 2020'!AK63</f>
        <v>0.98958287740695372</v>
      </c>
      <c r="AM63" s="11">
        <f>'EU Ref Scenario 2020'!AM63/'EU Ref Scenario 2020'!AL63</f>
        <v>0.98947321863496396</v>
      </c>
      <c r="AN63" s="11">
        <f>'EU Ref Scenario 2020'!AN63/'EU Ref Scenario 2020'!AM63</f>
        <v>0.98936122659331971</v>
      </c>
      <c r="AO63" s="11">
        <f>'EU Ref Scenario 2020'!AO63/'EU Ref Scenario 2020'!AN63</f>
        <v>1</v>
      </c>
      <c r="AP63" s="11">
        <f>'EU Ref Scenario 2020'!AP63/'EU Ref Scenario 2020'!AO63</f>
        <v>1</v>
      </c>
      <c r="AQ63" s="11">
        <f>'EU Ref Scenario 2020'!AQ63/'EU Ref Scenario 2020'!AP63</f>
        <v>1</v>
      </c>
      <c r="AR63" s="11">
        <f>'EU Ref Scenario 2020'!AR63/'EU Ref Scenario 2020'!AQ63</f>
        <v>1</v>
      </c>
      <c r="AS63" s="11">
        <f>'EU Ref Scenario 2020'!AS63/'EU Ref Scenario 2020'!AR63</f>
        <v>1</v>
      </c>
      <c r="AT63" s="11">
        <f>'EU Ref Scenario 2020'!AT63/'EU Ref Scenario 2020'!AS63</f>
        <v>1</v>
      </c>
      <c r="AU63" s="11">
        <f>'EU Ref Scenario 2020'!AU63/'EU Ref Scenario 2020'!AT63</f>
        <v>1</v>
      </c>
      <c r="AV63" s="11">
        <f>'EU Ref Scenario 2020'!AV63/'EU Ref Scenario 2020'!AU63</f>
        <v>1</v>
      </c>
      <c r="AW63" s="11">
        <f>'EU Ref Scenario 2020'!AW63/'EU Ref Scenario 2020'!AV63</f>
        <v>1</v>
      </c>
      <c r="AX63" s="11">
        <f>'EU Ref Scenario 2020'!AX63/'EU Ref Scenario 2020'!AW63</f>
        <v>1</v>
      </c>
    </row>
    <row r="64" spans="1:50" x14ac:dyDescent="0.3">
      <c r="A64" t="s">
        <v>1417</v>
      </c>
      <c r="B64" t="s">
        <v>1439</v>
      </c>
      <c r="F64" s="11">
        <f>'EU Ref Scenario 2020'!F64/'EU Ref Scenario 2020'!E64</f>
        <v>0.98104822427576333</v>
      </c>
      <c r="G64" s="11">
        <f>'EU Ref Scenario 2020'!G64/'EU Ref Scenario 2020'!F64</f>
        <v>0.98068211607209488</v>
      </c>
      <c r="H64" s="11">
        <f>'EU Ref Scenario 2020'!H64/'EU Ref Scenario 2020'!G64</f>
        <v>0.98030158436530013</v>
      </c>
      <c r="I64" s="11">
        <f>'EU Ref Scenario 2020'!I64/'EU Ref Scenario 2020'!H64</f>
        <v>0.97990575966736426</v>
      </c>
      <c r="J64" s="11">
        <f>'EU Ref Scenario 2020'!J64/'EU Ref Scenario 2020'!I64</f>
        <v>0.97949370117034806</v>
      </c>
      <c r="K64" s="11">
        <f>'EU Ref Scenario 2020'!K64/'EU Ref Scenario 2020'!J64</f>
        <v>1.0030208750218852</v>
      </c>
      <c r="L64" s="11">
        <f>'EU Ref Scenario 2020'!L64/'EU Ref Scenario 2020'!K64</f>
        <v>1.0030117768205167</v>
      </c>
      <c r="M64" s="11">
        <f>'EU Ref Scenario 2020'!M64/'EU Ref Scenario 2020'!L64</f>
        <v>1.0030027332580917</v>
      </c>
      <c r="N64" s="11">
        <f>'EU Ref Scenario 2020'!N64/'EU Ref Scenario 2020'!M64</f>
        <v>1.0029937438438854</v>
      </c>
      <c r="O64" s="11">
        <f>'EU Ref Scenario 2020'!O64/'EU Ref Scenario 2020'!N64</f>
        <v>1.0029848080930321</v>
      </c>
      <c r="P64" s="11">
        <f>'EU Ref Scenario 2020'!P64/'EU Ref Scenario 2020'!O64</f>
        <v>0.97405956070312361</v>
      </c>
      <c r="Q64" s="11">
        <f>'EU Ref Scenario 2020'!Q64/'EU Ref Scenario 2020'!P64</f>
        <v>0.97336873396309431</v>
      </c>
      <c r="R64" s="11">
        <f>'EU Ref Scenario 2020'!R64/'EU Ref Scenario 2020'!Q64</f>
        <v>0.97264010532937928</v>
      </c>
      <c r="S64" s="11">
        <f>'EU Ref Scenario 2020'!S64/'EU Ref Scenario 2020'!R64</f>
        <v>0.97187048475514448</v>
      </c>
      <c r="T64" s="11">
        <f>'EU Ref Scenario 2020'!T64/'EU Ref Scenario 2020'!S64</f>
        <v>0.97105631286668592</v>
      </c>
      <c r="U64" s="11">
        <f>'EU Ref Scenario 2020'!U64/'EU Ref Scenario 2020'!T64</f>
        <v>0.9959613086420116</v>
      </c>
      <c r="V64" s="11">
        <f>'EU Ref Scenario 2020'!V64/'EU Ref Scenario 2020'!U64</f>
        <v>0.99594493147179064</v>
      </c>
      <c r="W64" s="11">
        <f>'EU Ref Scenario 2020'!W64/'EU Ref Scenario 2020'!V64</f>
        <v>0.99592842093968303</v>
      </c>
      <c r="X64" s="11">
        <f>'EU Ref Scenario 2020'!X64/'EU Ref Scenario 2020'!W64</f>
        <v>0.99591177541004872</v>
      </c>
      <c r="Y64" s="11">
        <f>'EU Ref Scenario 2020'!Y64/'EU Ref Scenario 2020'!X64</f>
        <v>0.99589499322039066</v>
      </c>
      <c r="Z64" s="11">
        <f>'EU Ref Scenario 2020'!Z64/'EU Ref Scenario 2020'!Y64</f>
        <v>0.97877316439069317</v>
      </c>
      <c r="AA64" s="11">
        <f>'EU Ref Scenario 2020'!AA64/'EU Ref Scenario 2020'!Z64</f>
        <v>0.97831281405991455</v>
      </c>
      <c r="AB64" s="11">
        <f>'EU Ref Scenario 2020'!AB64/'EU Ref Scenario 2020'!AA64</f>
        <v>0.97783205368629944</v>
      </c>
      <c r="AC64" s="11">
        <f>'EU Ref Scenario 2020'!AC64/'EU Ref Scenario 2020'!AB64</f>
        <v>0.97732949515192291</v>
      </c>
      <c r="AD64" s="11">
        <f>'EU Ref Scenario 2020'!AD64/'EU Ref Scenario 2020'!AC64</f>
        <v>0.97680362154162459</v>
      </c>
      <c r="AE64" s="11">
        <f>'EU Ref Scenario 2020'!AE64/'EU Ref Scenario 2020'!AD64</f>
        <v>0.98393188891672312</v>
      </c>
      <c r="AF64" s="11">
        <f>'EU Ref Scenario 2020'!AF64/'EU Ref Scenario 2020'!AE64</f>
        <v>0.98366948844297808</v>
      </c>
      <c r="AG64" s="11">
        <f>'EU Ref Scenario 2020'!AG64/'EU Ref Scenario 2020'!AF64</f>
        <v>0.98339837542092412</v>
      </c>
      <c r="AH64" s="11">
        <f>'EU Ref Scenario 2020'!AH64/'EU Ref Scenario 2020'!AG64</f>
        <v>0.98311810859767812</v>
      </c>
      <c r="AI64" s="11">
        <f>'EU Ref Scenario 2020'!AI64/'EU Ref Scenario 2020'!AH64</f>
        <v>0.98282821641196039</v>
      </c>
      <c r="AJ64" s="11">
        <f>'EU Ref Scenario 2020'!AJ64/'EU Ref Scenario 2020'!AI64</f>
        <v>0.99142779524026647</v>
      </c>
      <c r="AK64" s="11">
        <f>'EU Ref Scenario 2020'!AK64/'EU Ref Scenario 2020'!AJ64</f>
        <v>0.99135367719072665</v>
      </c>
      <c r="AL64" s="11">
        <f>'EU Ref Scenario 2020'!AL64/'EU Ref Scenario 2020'!AK64</f>
        <v>0.99127826626540072</v>
      </c>
      <c r="AM64" s="11">
        <f>'EU Ref Scenario 2020'!AM64/'EU Ref Scenario 2020'!AL64</f>
        <v>0.99120152833829589</v>
      </c>
      <c r="AN64" s="11">
        <f>'EU Ref Scenario 2020'!AN64/'EU Ref Scenario 2020'!AM64</f>
        <v>0.99112342807173215</v>
      </c>
      <c r="AO64" s="11">
        <f>'EU Ref Scenario 2020'!AO64/'EU Ref Scenario 2020'!AN64</f>
        <v>1</v>
      </c>
      <c r="AP64" s="11">
        <f>'EU Ref Scenario 2020'!AP64/'EU Ref Scenario 2020'!AO64</f>
        <v>1</v>
      </c>
      <c r="AQ64" s="11">
        <f>'EU Ref Scenario 2020'!AQ64/'EU Ref Scenario 2020'!AP64</f>
        <v>1</v>
      </c>
      <c r="AR64" s="11">
        <f>'EU Ref Scenario 2020'!AR64/'EU Ref Scenario 2020'!AQ64</f>
        <v>1</v>
      </c>
      <c r="AS64" s="11">
        <f>'EU Ref Scenario 2020'!AS64/'EU Ref Scenario 2020'!AR64</f>
        <v>1</v>
      </c>
      <c r="AT64" s="11">
        <f>'EU Ref Scenario 2020'!AT64/'EU Ref Scenario 2020'!AS64</f>
        <v>1</v>
      </c>
      <c r="AU64" s="11">
        <f>'EU Ref Scenario 2020'!AU64/'EU Ref Scenario 2020'!AT64</f>
        <v>1</v>
      </c>
      <c r="AV64" s="11">
        <f>'EU Ref Scenario 2020'!AV64/'EU Ref Scenario 2020'!AU64</f>
        <v>1</v>
      </c>
      <c r="AW64" s="11">
        <f>'EU Ref Scenario 2020'!AW64/'EU Ref Scenario 2020'!AV64</f>
        <v>1</v>
      </c>
      <c r="AX64" s="11">
        <f>'EU Ref Scenario 2020'!AX64/'EU Ref Scenario 2020'!AW64</f>
        <v>1</v>
      </c>
    </row>
    <row r="65" spans="1:50" x14ac:dyDescent="0.3">
      <c r="A65" t="s">
        <v>1417</v>
      </c>
      <c r="B65" t="s">
        <v>1435</v>
      </c>
      <c r="F65" s="11">
        <f>'EU Ref Scenario 2020'!F65/'EU Ref Scenario 2020'!E65</f>
        <v>1.0005924791124565</v>
      </c>
      <c r="G65" s="11">
        <f>'EU Ref Scenario 2020'!G65/'EU Ref Scenario 2020'!F65</f>
        <v>1.0005921282888135</v>
      </c>
      <c r="H65" s="11">
        <f>'EU Ref Scenario 2020'!H65/'EU Ref Scenario 2020'!G65</f>
        <v>1.0005917778803899</v>
      </c>
      <c r="I65" s="11">
        <f>'EU Ref Scenario 2020'!I65/'EU Ref Scenario 2020'!H65</f>
        <v>1.0005914278864489</v>
      </c>
      <c r="J65" s="11">
        <f>'EU Ref Scenario 2020'!J65/'EU Ref Scenario 2020'!I65</f>
        <v>1.0005910783062553</v>
      </c>
      <c r="K65" s="11">
        <f>'EU Ref Scenario 2020'!K65/'EU Ref Scenario 2020'!J65</f>
        <v>1.0134523115215603</v>
      </c>
      <c r="L65" s="11">
        <f>'EU Ref Scenario 2020'!L65/'EU Ref Scenario 2020'!K65</f>
        <v>1.0132737489160824</v>
      </c>
      <c r="M65" s="11">
        <f>'EU Ref Scenario 2020'!M65/'EU Ref Scenario 2020'!L65</f>
        <v>1.0130998646025138</v>
      </c>
      <c r="N65" s="11">
        <f>'EU Ref Scenario 2020'!N65/'EU Ref Scenario 2020'!M65</f>
        <v>1.0129304771032159</v>
      </c>
      <c r="O65" s="11">
        <f>'EU Ref Scenario 2020'!O65/'EU Ref Scenario 2020'!N65</f>
        <v>1.0127654142070976</v>
      </c>
      <c r="P65" s="11">
        <f>'EU Ref Scenario 2020'!P65/'EU Ref Scenario 2020'!O65</f>
        <v>1.0006427114872118</v>
      </c>
      <c r="Q65" s="11">
        <f>'EU Ref Scenario 2020'!Q65/'EU Ref Scenario 2020'!P65</f>
        <v>1.0006422986744754</v>
      </c>
      <c r="R65" s="11">
        <f>'EU Ref Scenario 2020'!R65/'EU Ref Scenario 2020'!Q65</f>
        <v>1.0006418863916968</v>
      </c>
      <c r="S65" s="11">
        <f>'EU Ref Scenario 2020'!S65/'EU Ref Scenario 2020'!R65</f>
        <v>1.0006414746378562</v>
      </c>
      <c r="T65" s="11">
        <f>'EU Ref Scenario 2020'!T65/'EU Ref Scenario 2020'!S65</f>
        <v>1.0006410634119358</v>
      </c>
      <c r="U65" s="11">
        <f>'EU Ref Scenario 2020'!U65/'EU Ref Scenario 2020'!T65</f>
        <v>1.0016670958330745</v>
      </c>
      <c r="V65" s="11">
        <f>'EU Ref Scenario 2020'!V65/'EU Ref Scenario 2020'!U65</f>
        <v>1.0016643212500536</v>
      </c>
      <c r="W65" s="11">
        <f>'EU Ref Scenario 2020'!W65/'EU Ref Scenario 2020'!V65</f>
        <v>1.0016615558872821</v>
      </c>
      <c r="X65" s="11">
        <f>'EU Ref Scenario 2020'!X65/'EU Ref Scenario 2020'!W65</f>
        <v>1.0016587996988766</v>
      </c>
      <c r="Y65" s="11">
        <f>'EU Ref Scenario 2020'!Y65/'EU Ref Scenario 2020'!X65</f>
        <v>1.0016560526392577</v>
      </c>
      <c r="Z65" s="11">
        <f>'EU Ref Scenario 2020'!Z65/'EU Ref Scenario 2020'!Y65</f>
        <v>0.98700469237799182</v>
      </c>
      <c r="AA65" s="11">
        <f>'EU Ref Scenario 2020'!AA65/'EU Ref Scenario 2020'!Z65</f>
        <v>0.98683359084068933</v>
      </c>
      <c r="AB65" s="11">
        <f>'EU Ref Scenario 2020'!AB65/'EU Ref Scenario 2020'!AA65</f>
        <v>0.98665792360382243</v>
      </c>
      <c r="AC65" s="11">
        <f>'EU Ref Scenario 2020'!AC65/'EU Ref Scenario 2020'!AB65</f>
        <v>0.98647750544844881</v>
      </c>
      <c r="AD65" s="11">
        <f>'EU Ref Scenario 2020'!AD65/'EU Ref Scenario 2020'!AC65</f>
        <v>0.98629214099980522</v>
      </c>
      <c r="AE65" s="11">
        <f>'EU Ref Scenario 2020'!AE65/'EU Ref Scenario 2020'!AD65</f>
        <v>0.98828364275264535</v>
      </c>
      <c r="AF65" s="11">
        <f>'EU Ref Scenario 2020'!AF65/'EU Ref Scenario 2020'!AE65</f>
        <v>0.98814474231838811</v>
      </c>
      <c r="AG65" s="11">
        <f>'EU Ref Scenario 2020'!AG65/'EU Ref Scenario 2020'!AF65</f>
        <v>0.98800250897070307</v>
      </c>
      <c r="AH65" s="11">
        <f>'EU Ref Scenario 2020'!AH65/'EU Ref Scenario 2020'!AG65</f>
        <v>0.98785682129309982</v>
      </c>
      <c r="AI65" s="11">
        <f>'EU Ref Scenario 2020'!AI65/'EU Ref Scenario 2020'!AH65</f>
        <v>0.98770755189906523</v>
      </c>
      <c r="AJ65" s="11">
        <f>'EU Ref Scenario 2020'!AJ65/'EU Ref Scenario 2020'!AI65</f>
        <v>0.98947295293420556</v>
      </c>
      <c r="AK65" s="11">
        <f>'EU Ref Scenario 2020'!AK65/'EU Ref Scenario 2020'!AJ65</f>
        <v>0.98936095520895506</v>
      </c>
      <c r="AL65" s="11">
        <f>'EU Ref Scenario 2020'!AL65/'EU Ref Scenario 2020'!AK65</f>
        <v>0.98924654875954965</v>
      </c>
      <c r="AM65" s="11">
        <f>'EU Ref Scenario 2020'!AM65/'EU Ref Scenario 2020'!AL65</f>
        <v>0.98912965503500161</v>
      </c>
      <c r="AN65" s="11">
        <f>'EU Ref Scenario 2020'!AN65/'EU Ref Scenario 2020'!AM65</f>
        <v>0.98901019203128238</v>
      </c>
      <c r="AO65" s="11">
        <f>'EU Ref Scenario 2020'!AO65/'EU Ref Scenario 2020'!AN65</f>
        <v>1</v>
      </c>
      <c r="AP65" s="11">
        <f>'EU Ref Scenario 2020'!AP65/'EU Ref Scenario 2020'!AO65</f>
        <v>1</v>
      </c>
      <c r="AQ65" s="11">
        <f>'EU Ref Scenario 2020'!AQ65/'EU Ref Scenario 2020'!AP65</f>
        <v>1</v>
      </c>
      <c r="AR65" s="11">
        <f>'EU Ref Scenario 2020'!AR65/'EU Ref Scenario 2020'!AQ65</f>
        <v>1</v>
      </c>
      <c r="AS65" s="11">
        <f>'EU Ref Scenario 2020'!AS65/'EU Ref Scenario 2020'!AR65</f>
        <v>1</v>
      </c>
      <c r="AT65" s="11">
        <f>'EU Ref Scenario 2020'!AT65/'EU Ref Scenario 2020'!AS65</f>
        <v>1</v>
      </c>
      <c r="AU65" s="11">
        <f>'EU Ref Scenario 2020'!AU65/'EU Ref Scenario 2020'!AT65</f>
        <v>1</v>
      </c>
      <c r="AV65" s="11">
        <f>'EU Ref Scenario 2020'!AV65/'EU Ref Scenario 2020'!AU65</f>
        <v>1</v>
      </c>
      <c r="AW65" s="11">
        <f>'EU Ref Scenario 2020'!AW65/'EU Ref Scenario 2020'!AV65</f>
        <v>1</v>
      </c>
      <c r="AX65" s="11">
        <f>'EU Ref Scenario 2020'!AX65/'EU Ref Scenario 2020'!AW65</f>
        <v>1</v>
      </c>
    </row>
    <row r="66" spans="1:50" x14ac:dyDescent="0.3">
      <c r="A66" t="s">
        <v>1418</v>
      </c>
      <c r="B66" t="s">
        <v>1434</v>
      </c>
      <c r="F66" s="11">
        <f>'EU Ref Scenario 2020'!F66/'EU Ref Scenario 2020'!E66</f>
        <v>0.98778190871554594</v>
      </c>
      <c r="G66" s="11">
        <f>'EU Ref Scenario 2020'!G66/'EU Ref Scenario 2020'!F66</f>
        <v>0.98763078046211461</v>
      </c>
      <c r="H66" s="11">
        <f>'EU Ref Scenario 2020'!H66/'EU Ref Scenario 2020'!G66</f>
        <v>0.98747586670790288</v>
      </c>
      <c r="I66" s="11">
        <f>'EU Ref Scenario 2020'!I66/'EU Ref Scenario 2020'!H66</f>
        <v>0.98731702341865768</v>
      </c>
      <c r="J66" s="11">
        <f>'EU Ref Scenario 2020'!J66/'EU Ref Scenario 2020'!I66</f>
        <v>0.98715409915912633</v>
      </c>
      <c r="K66" s="11">
        <f>'EU Ref Scenario 2020'!K66/'EU Ref Scenario 2020'!J66</f>
        <v>1.0476853149815761</v>
      </c>
      <c r="L66" s="11">
        <f>'EU Ref Scenario 2020'!L66/'EU Ref Scenario 2020'!K66</f>
        <v>1.0455149216083217</v>
      </c>
      <c r="M66" s="11">
        <f>'EU Ref Scenario 2020'!M66/'EU Ref Scenario 2020'!L66</f>
        <v>1.0435334978656314</v>
      </c>
      <c r="N66" s="11">
        <f>'EU Ref Scenario 2020'!N66/'EU Ref Scenario 2020'!M66</f>
        <v>1.0417173937920265</v>
      </c>
      <c r="O66" s="11">
        <f>'EU Ref Scenario 2020'!O66/'EU Ref Scenario 2020'!N66</f>
        <v>1.0400467478422031</v>
      </c>
      <c r="P66" s="11">
        <f>'EU Ref Scenario 2020'!P66/'EU Ref Scenario 2020'!O66</f>
        <v>1.041734541594675</v>
      </c>
      <c r="Q66" s="11">
        <f>'EU Ref Scenario 2020'!Q66/'EU Ref Scenario 2020'!P66</f>
        <v>1.0400625494579341</v>
      </c>
      <c r="R66" s="11">
        <f>'EU Ref Scenario 2020'!R66/'EU Ref Scenario 2020'!Q66</f>
        <v>1.0385193654735614</v>
      </c>
      <c r="S66" s="11">
        <f>'EU Ref Scenario 2020'!S66/'EU Ref Scenario 2020'!R66</f>
        <v>1.0370906569045986</v>
      </c>
      <c r="T66" s="11">
        <f>'EU Ref Scenario 2020'!T66/'EU Ref Scenario 2020'!S66</f>
        <v>1.0357641414062135</v>
      </c>
      <c r="U66" s="11">
        <f>'EU Ref Scenario 2020'!U66/'EU Ref Scenario 2020'!T66</f>
        <v>1.0033079516774448</v>
      </c>
      <c r="V66" s="11">
        <f>'EU Ref Scenario 2020'!V66/'EU Ref Scenario 2020'!U66</f>
        <v>1.0032970452112078</v>
      </c>
      <c r="W66" s="11">
        <f>'EU Ref Scenario 2020'!W66/'EU Ref Scenario 2020'!V66</f>
        <v>1.003286210426857</v>
      </c>
      <c r="X66" s="11">
        <f>'EU Ref Scenario 2020'!X66/'EU Ref Scenario 2020'!W66</f>
        <v>1.0032754466200215</v>
      </c>
      <c r="Y66" s="11">
        <f>'EU Ref Scenario 2020'!Y66/'EU Ref Scenario 2020'!X66</f>
        <v>1.0032647530955292</v>
      </c>
      <c r="Z66" s="11">
        <f>'EU Ref Scenario 2020'!Z66/'EU Ref Scenario 2020'!Y66</f>
        <v>1.0099243935969182</v>
      </c>
      <c r="AA66" s="11">
        <f>'EU Ref Scenario 2020'!AA66/'EU Ref Scenario 2020'!Z66</f>
        <v>1.0098268678921318</v>
      </c>
      <c r="AB66" s="11">
        <f>'EU Ref Scenario 2020'!AB66/'EU Ref Scenario 2020'!AA66</f>
        <v>1.0097312402794789</v>
      </c>
      <c r="AC66" s="11">
        <f>'EU Ref Scenario 2020'!AC66/'EU Ref Scenario 2020'!AB66</f>
        <v>1.0096374558806216</v>
      </c>
      <c r="AD66" s="11">
        <f>'EU Ref Scenario 2020'!AD66/'EU Ref Scenario 2020'!AC66</f>
        <v>1.0095454619125788</v>
      </c>
      <c r="AE66" s="11">
        <f>'EU Ref Scenario 2020'!AE66/'EU Ref Scenario 2020'!AD66</f>
        <v>1.0116837841669288</v>
      </c>
      <c r="AF66" s="11">
        <f>'EU Ref Scenario 2020'!AF66/'EU Ref Scenario 2020'!AE66</f>
        <v>1.0115488498973519</v>
      </c>
      <c r="AG66" s="11">
        <f>'EU Ref Scenario 2020'!AG66/'EU Ref Scenario 2020'!AF66</f>
        <v>1.0114169967160003</v>
      </c>
      <c r="AH66" s="11">
        <f>'EU Ref Scenario 2020'!AH66/'EU Ref Scenario 2020'!AG66</f>
        <v>1.0112881202837904</v>
      </c>
      <c r="AI66" s="11">
        <f>'EU Ref Scenario 2020'!AI66/'EU Ref Scenario 2020'!AH66</f>
        <v>1.0111621209202208</v>
      </c>
      <c r="AJ66" s="11">
        <f>'EU Ref Scenario 2020'!AJ66/'EU Ref Scenario 2020'!AI66</f>
        <v>1.0021883090422099</v>
      </c>
      <c r="AK66" s="11">
        <f>'EU Ref Scenario 2020'!AK66/'EU Ref Scenario 2020'!AJ66</f>
        <v>1.0021835308020119</v>
      </c>
      <c r="AL66" s="11">
        <f>'EU Ref Scenario 2020'!AL66/'EU Ref Scenario 2020'!AK66</f>
        <v>1.002178773383219</v>
      </c>
      <c r="AM66" s="11">
        <f>'EU Ref Scenario 2020'!AM66/'EU Ref Scenario 2020'!AL66</f>
        <v>1.0021740366500318</v>
      </c>
      <c r="AN66" s="11">
        <f>'EU Ref Scenario 2020'!AN66/'EU Ref Scenario 2020'!AM66</f>
        <v>1.002169320467829</v>
      </c>
      <c r="AO66" s="11">
        <f>'EU Ref Scenario 2020'!AO66/'EU Ref Scenario 2020'!AN66</f>
        <v>1</v>
      </c>
      <c r="AP66" s="11">
        <f>'EU Ref Scenario 2020'!AP66/'EU Ref Scenario 2020'!AO66</f>
        <v>1</v>
      </c>
      <c r="AQ66" s="11">
        <f>'EU Ref Scenario 2020'!AQ66/'EU Ref Scenario 2020'!AP66</f>
        <v>1</v>
      </c>
      <c r="AR66" s="11">
        <f>'EU Ref Scenario 2020'!AR66/'EU Ref Scenario 2020'!AQ66</f>
        <v>1</v>
      </c>
      <c r="AS66" s="11">
        <f>'EU Ref Scenario 2020'!AS66/'EU Ref Scenario 2020'!AR66</f>
        <v>1</v>
      </c>
      <c r="AT66" s="11">
        <f>'EU Ref Scenario 2020'!AT66/'EU Ref Scenario 2020'!AS66</f>
        <v>1</v>
      </c>
      <c r="AU66" s="11">
        <f>'EU Ref Scenario 2020'!AU66/'EU Ref Scenario 2020'!AT66</f>
        <v>1</v>
      </c>
      <c r="AV66" s="11">
        <f>'EU Ref Scenario 2020'!AV66/'EU Ref Scenario 2020'!AU66</f>
        <v>1</v>
      </c>
      <c r="AW66" s="11">
        <f>'EU Ref Scenario 2020'!AW66/'EU Ref Scenario 2020'!AV66</f>
        <v>1</v>
      </c>
      <c r="AX66" s="11">
        <f>'EU Ref Scenario 2020'!AX66/'EU Ref Scenario 2020'!AW66</f>
        <v>1</v>
      </c>
    </row>
    <row r="67" spans="1:50" x14ac:dyDescent="0.3">
      <c r="A67" t="s">
        <v>1418</v>
      </c>
      <c r="B67" t="s">
        <v>1439</v>
      </c>
      <c r="F67" s="11">
        <f>'EU Ref Scenario 2020'!F67/'EU Ref Scenario 2020'!E67</f>
        <v>0.99354960610795795</v>
      </c>
      <c r="G67" s="11">
        <f>'EU Ref Scenario 2020'!G67/'EU Ref Scenario 2020'!F67</f>
        <v>0.99350772839887658</v>
      </c>
      <c r="H67" s="11">
        <f>'EU Ref Scenario 2020'!H67/'EU Ref Scenario 2020'!G67</f>
        <v>0.99346530337354666</v>
      </c>
      <c r="I67" s="11">
        <f>'EU Ref Scenario 2020'!I67/'EU Ref Scenario 2020'!H67</f>
        <v>0.99342232023175525</v>
      </c>
      <c r="J67" s="11">
        <f>'EU Ref Scenario 2020'!J67/'EU Ref Scenario 2020'!I67</f>
        <v>0.99337876788724644</v>
      </c>
      <c r="K67" s="11">
        <f>'EU Ref Scenario 2020'!K67/'EU Ref Scenario 2020'!J67</f>
        <v>1.0178293661351794</v>
      </c>
      <c r="L67" s="11">
        <f>'EU Ref Scenario 2020'!L67/'EU Ref Scenario 2020'!K67</f>
        <v>1.0175170482680014</v>
      </c>
      <c r="M67" s="11">
        <f>'EU Ref Scenario 2020'!M67/'EU Ref Scenario 2020'!L67</f>
        <v>1.0172154838071938</v>
      </c>
      <c r="N67" s="11">
        <f>'EU Ref Scenario 2020'!N67/'EU Ref Scenario 2020'!M67</f>
        <v>1.0169241267767184</v>
      </c>
      <c r="O67" s="11">
        <f>'EU Ref Scenario 2020'!O67/'EU Ref Scenario 2020'!N67</f>
        <v>1.016642467546091</v>
      </c>
      <c r="P67" s="11">
        <f>'EU Ref Scenario 2020'!P67/'EU Ref Scenario 2020'!O67</f>
        <v>1.0121461166135011</v>
      </c>
      <c r="Q67" s="11">
        <f>'EU Ref Scenario 2020'!Q67/'EU Ref Scenario 2020'!P67</f>
        <v>1.0120003588554392</v>
      </c>
      <c r="R67" s="11">
        <f>'EU Ref Scenario 2020'!R67/'EU Ref Scenario 2020'!Q67</f>
        <v>1.0118580579052474</v>
      </c>
      <c r="S67" s="11">
        <f>'EU Ref Scenario 2020'!S67/'EU Ref Scenario 2020'!R67</f>
        <v>1.0117190922309758</v>
      </c>
      <c r="T67" s="11">
        <f>'EU Ref Scenario 2020'!T67/'EU Ref Scenario 2020'!S67</f>
        <v>1.0115833459316594</v>
      </c>
      <c r="U67" s="11">
        <f>'EU Ref Scenario 2020'!U67/'EU Ref Scenario 2020'!T67</f>
        <v>1.0054174712340875</v>
      </c>
      <c r="V67" s="11">
        <f>'EU Ref Scenario 2020'!V67/'EU Ref Scenario 2020'!U67</f>
        <v>1.0053882803801271</v>
      </c>
      <c r="W67" s="11">
        <f>'EU Ref Scenario 2020'!W67/'EU Ref Scenario 2020'!V67</f>
        <v>1.005359402417233</v>
      </c>
      <c r="X67" s="11">
        <f>'EU Ref Scenario 2020'!X67/'EU Ref Scenario 2020'!W67</f>
        <v>1.0053308323414962</v>
      </c>
      <c r="Y67" s="11">
        <f>'EU Ref Scenario 2020'!Y67/'EU Ref Scenario 2020'!X67</f>
        <v>1.0053025652551415</v>
      </c>
      <c r="Z67" s="11">
        <f>'EU Ref Scenario 2020'!Z67/'EU Ref Scenario 2020'!Y67</f>
        <v>1.001652360200703</v>
      </c>
      <c r="AA67" s="11">
        <f>'EU Ref Scenario 2020'!AA67/'EU Ref Scenario 2020'!Z67</f>
        <v>1.0016496344104575</v>
      </c>
      <c r="AB67" s="11">
        <f>'EU Ref Scenario 2020'!AB67/'EU Ref Scenario 2020'!AA67</f>
        <v>1.0016469175985157</v>
      </c>
      <c r="AC67" s="11">
        <f>'EU Ref Scenario 2020'!AC67/'EU Ref Scenario 2020'!AB67</f>
        <v>1.0016442097205913</v>
      </c>
      <c r="AD67" s="11">
        <f>'EU Ref Scenario 2020'!AD67/'EU Ref Scenario 2020'!AC67</f>
        <v>1.0016415107326877</v>
      </c>
      <c r="AE67" s="11">
        <f>'EU Ref Scenario 2020'!AE67/'EU Ref Scenario 2020'!AD67</f>
        <v>0.99961031716530002</v>
      </c>
      <c r="AF67" s="11">
        <f>'EU Ref Scenario 2020'!AF67/'EU Ref Scenario 2020'!AE67</f>
        <v>0.99961016525339086</v>
      </c>
      <c r="AG67" s="11">
        <f>'EU Ref Scenario 2020'!AG67/'EU Ref Scenario 2020'!AF67</f>
        <v>0.99961001322299448</v>
      </c>
      <c r="AH67" s="11">
        <f>'EU Ref Scenario 2020'!AH67/'EU Ref Scenario 2020'!AG67</f>
        <v>0.99960986107397209</v>
      </c>
      <c r="AI67" s="11">
        <f>'EU Ref Scenario 2020'!AI67/'EU Ref Scenario 2020'!AH67</f>
        <v>0.99960970880618494</v>
      </c>
      <c r="AJ67" s="11">
        <f>'EU Ref Scenario 2020'!AJ67/'EU Ref Scenario 2020'!AI67</f>
        <v>0.9998405992026338</v>
      </c>
      <c r="AK67" s="11">
        <f>'EU Ref Scenario 2020'!AK67/'EU Ref Scenario 2020'!AJ67</f>
        <v>0.99984057378996882</v>
      </c>
      <c r="AL67" s="11">
        <f>'EU Ref Scenario 2020'!AL67/'EU Ref Scenario 2020'!AK67</f>
        <v>0.99984054836919967</v>
      </c>
      <c r="AM67" s="11">
        <f>'EU Ref Scenario 2020'!AM67/'EU Ref Scenario 2020'!AL67</f>
        <v>0.99984052294032233</v>
      </c>
      <c r="AN67" s="11">
        <f>'EU Ref Scenario 2020'!AN67/'EU Ref Scenario 2020'!AM67</f>
        <v>0.99984049750333315</v>
      </c>
      <c r="AO67" s="11">
        <f>'EU Ref Scenario 2020'!AO67/'EU Ref Scenario 2020'!AN67</f>
        <v>1</v>
      </c>
      <c r="AP67" s="11">
        <f>'EU Ref Scenario 2020'!AP67/'EU Ref Scenario 2020'!AO67</f>
        <v>1</v>
      </c>
      <c r="AQ67" s="11">
        <f>'EU Ref Scenario 2020'!AQ67/'EU Ref Scenario 2020'!AP67</f>
        <v>1</v>
      </c>
      <c r="AR67" s="11">
        <f>'EU Ref Scenario 2020'!AR67/'EU Ref Scenario 2020'!AQ67</f>
        <v>1</v>
      </c>
      <c r="AS67" s="11">
        <f>'EU Ref Scenario 2020'!AS67/'EU Ref Scenario 2020'!AR67</f>
        <v>1</v>
      </c>
      <c r="AT67" s="11">
        <f>'EU Ref Scenario 2020'!AT67/'EU Ref Scenario 2020'!AS67</f>
        <v>1</v>
      </c>
      <c r="AU67" s="11">
        <f>'EU Ref Scenario 2020'!AU67/'EU Ref Scenario 2020'!AT67</f>
        <v>1</v>
      </c>
      <c r="AV67" s="11">
        <f>'EU Ref Scenario 2020'!AV67/'EU Ref Scenario 2020'!AU67</f>
        <v>1</v>
      </c>
      <c r="AW67" s="11">
        <f>'EU Ref Scenario 2020'!AW67/'EU Ref Scenario 2020'!AV67</f>
        <v>1</v>
      </c>
      <c r="AX67" s="11">
        <f>'EU Ref Scenario 2020'!AX67/'EU Ref Scenario 2020'!AW67</f>
        <v>1</v>
      </c>
    </row>
    <row r="68" spans="1:50" x14ac:dyDescent="0.3">
      <c r="A68" t="s">
        <v>1418</v>
      </c>
      <c r="B68" t="s">
        <v>1435</v>
      </c>
      <c r="F68" s="11">
        <f>'EU Ref Scenario 2020'!F68/'EU Ref Scenario 2020'!E68</f>
        <v>0.98683722810009622</v>
      </c>
      <c r="G68" s="11">
        <f>'EU Ref Scenario 2020'!G68/'EU Ref Scenario 2020'!F68</f>
        <v>0.98666165855412113</v>
      </c>
      <c r="H68" s="11">
        <f>'EU Ref Scenario 2020'!H68/'EU Ref Scenario 2020'!G68</f>
        <v>0.98648134207887916</v>
      </c>
      <c r="I68" s="11">
        <f>'EU Ref Scenario 2020'!I68/'EU Ref Scenario 2020'!H68</f>
        <v>0.9862960835198038</v>
      </c>
      <c r="J68" s="11">
        <f>'EU Ref Scenario 2020'!J68/'EU Ref Scenario 2020'!I68</f>
        <v>0.98610567687616568</v>
      </c>
      <c r="K68" s="11">
        <f>'EU Ref Scenario 2020'!K68/'EU Ref Scenario 2020'!J68</f>
        <v>1.0527510479329951</v>
      </c>
      <c r="L68" s="11">
        <f>'EU Ref Scenario 2020'!L68/'EU Ref Scenario 2020'!K68</f>
        <v>1.0501078085237419</v>
      </c>
      <c r="M68" s="11">
        <f>'EU Ref Scenario 2020'!M68/'EU Ref Scenario 2020'!L68</f>
        <v>1.0477168230890352</v>
      </c>
      <c r="N68" s="11">
        <f>'EU Ref Scenario 2020'!N68/'EU Ref Scenario 2020'!M68</f>
        <v>1.0455436259468942</v>
      </c>
      <c r="O68" s="11">
        <f>'EU Ref Scenario 2020'!O68/'EU Ref Scenario 2020'!N68</f>
        <v>1.0435597566822217</v>
      </c>
      <c r="P68" s="11">
        <f>'EU Ref Scenario 2020'!P68/'EU Ref Scenario 2020'!O68</f>
        <v>1.046061241003174</v>
      </c>
      <c r="Q68" s="11">
        <f>'EU Ref Scenario 2020'!Q68/'EU Ref Scenario 2020'!P68</f>
        <v>1.0440330252165746</v>
      </c>
      <c r="R68" s="11">
        <f>'EU Ref Scenario 2020'!R68/'EU Ref Scenario 2020'!Q68</f>
        <v>1.042175893054188</v>
      </c>
      <c r="S68" s="11">
        <f>'EU Ref Scenario 2020'!S68/'EU Ref Scenario 2020'!R68</f>
        <v>1.0404690737286082</v>
      </c>
      <c r="T68" s="11">
        <f>'EU Ref Scenario 2020'!T68/'EU Ref Scenario 2020'!S68</f>
        <v>1.038895027973858</v>
      </c>
      <c r="U68" s="11">
        <f>'EU Ref Scenario 2020'!U68/'EU Ref Scenario 2020'!T68</f>
        <v>1.0030419953614171</v>
      </c>
      <c r="V68" s="11">
        <f>'EU Ref Scenario 2020'!V68/'EU Ref Scenario 2020'!U68</f>
        <v>1.0030327696900876</v>
      </c>
      <c r="W68" s="11">
        <f>'EU Ref Scenario 2020'!W68/'EU Ref Scenario 2020'!V68</f>
        <v>1.0030235998082342</v>
      </c>
      <c r="X68" s="11">
        <f>'EU Ref Scenario 2020'!X68/'EU Ref Scenario 2020'!W68</f>
        <v>1.0030144852113274</v>
      </c>
      <c r="Y68" s="11">
        <f>'EU Ref Scenario 2020'!Y68/'EU Ref Scenario 2020'!X68</f>
        <v>1.0030054254009029</v>
      </c>
      <c r="Z68" s="11">
        <f>'EU Ref Scenario 2020'!Z68/'EU Ref Scenario 2020'!Y68</f>
        <v>1.0109794861009964</v>
      </c>
      <c r="AA68" s="11">
        <f>'EU Ref Scenario 2020'!AA68/'EU Ref Scenario 2020'!Z68</f>
        <v>1.0108602461790204</v>
      </c>
      <c r="AB68" s="11">
        <f>'EU Ref Scenario 2020'!AB68/'EU Ref Scenario 2020'!AA68</f>
        <v>1.0107435683815555</v>
      </c>
      <c r="AC68" s="11">
        <f>'EU Ref Scenario 2020'!AC68/'EU Ref Scenario 2020'!AB68</f>
        <v>1.0106293710072858</v>
      </c>
      <c r="AD68" s="11">
        <f>'EU Ref Scenario 2020'!AD68/'EU Ref Scenario 2020'!AC68</f>
        <v>1.0105175757920943</v>
      </c>
      <c r="AE68" s="11">
        <f>'EU Ref Scenario 2020'!AE68/'EU Ref Scenario 2020'!AD68</f>
        <v>1.013155667329587</v>
      </c>
      <c r="AF68" s="11">
        <f>'EU Ref Scenario 2020'!AF68/'EU Ref Scenario 2020'!AE68</f>
        <v>1.0129848430540411</v>
      </c>
      <c r="AG68" s="11">
        <f>'EU Ref Scenario 2020'!AG68/'EU Ref Scenario 2020'!AF68</f>
        <v>1.0128183981656558</v>
      </c>
      <c r="AH68" s="11">
        <f>'EU Ref Scenario 2020'!AH68/'EU Ref Scenario 2020'!AG68</f>
        <v>1.0126561663856735</v>
      </c>
      <c r="AI68" s="11">
        <f>'EU Ref Scenario 2020'!AI68/'EU Ref Scenario 2020'!AH68</f>
        <v>1.0124979897479367</v>
      </c>
      <c r="AJ68" s="11">
        <f>'EU Ref Scenario 2020'!AJ68/'EU Ref Scenario 2020'!AI68</f>
        <v>1.0024563319154878</v>
      </c>
      <c r="AK68" s="11">
        <f>'EU Ref Scenario 2020'!AK68/'EU Ref Scenario 2020'!AJ68</f>
        <v>1.0024503131331357</v>
      </c>
      <c r="AL68" s="11">
        <f>'EU Ref Scenario 2020'!AL68/'EU Ref Scenario 2020'!AK68</f>
        <v>1.0024443237744896</v>
      </c>
      <c r="AM68" s="11">
        <f>'EU Ref Scenario 2020'!AM68/'EU Ref Scenario 2020'!AL68</f>
        <v>1.0024383636243117</v>
      </c>
      <c r="AN68" s="11">
        <f>'EU Ref Scenario 2020'!AN68/'EU Ref Scenario 2020'!AM68</f>
        <v>1.0024324324694596</v>
      </c>
      <c r="AO68" s="11">
        <f>'EU Ref Scenario 2020'!AO68/'EU Ref Scenario 2020'!AN68</f>
        <v>1</v>
      </c>
      <c r="AP68" s="11">
        <f>'EU Ref Scenario 2020'!AP68/'EU Ref Scenario 2020'!AO68</f>
        <v>1</v>
      </c>
      <c r="AQ68" s="11">
        <f>'EU Ref Scenario 2020'!AQ68/'EU Ref Scenario 2020'!AP68</f>
        <v>1</v>
      </c>
      <c r="AR68" s="11">
        <f>'EU Ref Scenario 2020'!AR68/'EU Ref Scenario 2020'!AQ68</f>
        <v>1</v>
      </c>
      <c r="AS68" s="11">
        <f>'EU Ref Scenario 2020'!AS68/'EU Ref Scenario 2020'!AR68</f>
        <v>1</v>
      </c>
      <c r="AT68" s="11">
        <f>'EU Ref Scenario 2020'!AT68/'EU Ref Scenario 2020'!AS68</f>
        <v>1</v>
      </c>
      <c r="AU68" s="11">
        <f>'EU Ref Scenario 2020'!AU68/'EU Ref Scenario 2020'!AT68</f>
        <v>1</v>
      </c>
      <c r="AV68" s="11">
        <f>'EU Ref Scenario 2020'!AV68/'EU Ref Scenario 2020'!AU68</f>
        <v>1</v>
      </c>
      <c r="AW68" s="11">
        <f>'EU Ref Scenario 2020'!AW68/'EU Ref Scenario 2020'!AV68</f>
        <v>1</v>
      </c>
      <c r="AX68" s="11">
        <f>'EU Ref Scenario 2020'!AX68/'EU Ref Scenario 2020'!AW68</f>
        <v>1</v>
      </c>
    </row>
    <row r="69" spans="1:50" x14ac:dyDescent="0.3">
      <c r="A69" t="s">
        <v>1419</v>
      </c>
      <c r="B69" t="s">
        <v>1434</v>
      </c>
      <c r="F69" s="11">
        <f>'EU Ref Scenario 2020'!F69/'EU Ref Scenario 2020'!E69</f>
        <v>0.99690777569951117</v>
      </c>
      <c r="G69" s="11">
        <f>'EU Ref Scenario 2020'!G69/'EU Ref Scenario 2020'!F69</f>
        <v>0.99689818418928566</v>
      </c>
      <c r="H69" s="11">
        <f>'EU Ref Scenario 2020'!H69/'EU Ref Scenario 2020'!G69</f>
        <v>0.99688853299172486</v>
      </c>
      <c r="I69" s="11">
        <f>'EU Ref Scenario 2020'!I69/'EU Ref Scenario 2020'!H69</f>
        <v>0.99687882154794438</v>
      </c>
      <c r="J69" s="11">
        <f>'EU Ref Scenario 2020'!J69/'EU Ref Scenario 2020'!I69</f>
        <v>0.99686904929206011</v>
      </c>
      <c r="K69" s="11">
        <f>'EU Ref Scenario 2020'!K69/'EU Ref Scenario 2020'!J69</f>
        <v>1.0085229561992215</v>
      </c>
      <c r="L69" s="11">
        <f>'EU Ref Scenario 2020'!L69/'EU Ref Scenario 2020'!K69</f>
        <v>1.0084509292989638</v>
      </c>
      <c r="M69" s="11">
        <f>'EU Ref Scenario 2020'!M69/'EU Ref Scenario 2020'!L69</f>
        <v>1.0083801095853406</v>
      </c>
      <c r="N69" s="11">
        <f>'EU Ref Scenario 2020'!N69/'EU Ref Scenario 2020'!M69</f>
        <v>1.0083104669614977</v>
      </c>
      <c r="O69" s="11">
        <f>'EU Ref Scenario 2020'!O69/'EU Ref Scenario 2020'!N69</f>
        <v>1.0082419723228118</v>
      </c>
      <c r="P69" s="11">
        <f>'EU Ref Scenario 2020'!P69/'EU Ref Scenario 2020'!O69</f>
        <v>0.98308122101415618</v>
      </c>
      <c r="Q69" s="11">
        <f>'EU Ref Scenario 2020'!Q69/'EU Ref Scenario 2020'!P69</f>
        <v>0.98279004966813399</v>
      </c>
      <c r="R69" s="11">
        <f>'EU Ref Scenario 2020'!R69/'EU Ref Scenario 2020'!Q69</f>
        <v>0.98248868073330886</v>
      </c>
      <c r="S69" s="11">
        <f>'EU Ref Scenario 2020'!S69/'EU Ref Scenario 2020'!R69</f>
        <v>0.98217656894161764</v>
      </c>
      <c r="T69" s="11">
        <f>'EU Ref Scenario 2020'!T69/'EU Ref Scenario 2020'!S69</f>
        <v>0.98185312944536196</v>
      </c>
      <c r="U69" s="11">
        <f>'EU Ref Scenario 2020'!U69/'EU Ref Scenario 2020'!T69</f>
        <v>0.98862410880180163</v>
      </c>
      <c r="V69" s="11">
        <f>'EU Ref Scenario 2020'!V69/'EU Ref Scenario 2020'!U69</f>
        <v>0.98849320879703628</v>
      </c>
      <c r="W69" s="11">
        <f>'EU Ref Scenario 2020'!W69/'EU Ref Scenario 2020'!V69</f>
        <v>0.98835926124675444</v>
      </c>
      <c r="X69" s="11">
        <f>'EU Ref Scenario 2020'!X69/'EU Ref Scenario 2020'!W69</f>
        <v>0.9882221584704316</v>
      </c>
      <c r="Y69" s="11">
        <f>'EU Ref Scenario 2020'!Y69/'EU Ref Scenario 2020'!X69</f>
        <v>0.98808178765410559</v>
      </c>
      <c r="Z69" s="11">
        <f>'EU Ref Scenario 2020'!Z69/'EU Ref Scenario 2020'!Y69</f>
        <v>0.98089712710407073</v>
      </c>
      <c r="AA69" s="11">
        <f>'EU Ref Scenario 2020'!AA69/'EU Ref Scenario 2020'!Z69</f>
        <v>0.98052510057570741</v>
      </c>
      <c r="AB69" s="11">
        <f>'EU Ref Scenario 2020'!AB69/'EU Ref Scenario 2020'!AA69</f>
        <v>0.98013829588568613</v>
      </c>
      <c r="AC69" s="11">
        <f>'EU Ref Scenario 2020'!AC69/'EU Ref Scenario 2020'!AB69</f>
        <v>0.97973581463178505</v>
      </c>
      <c r="AD69" s="11">
        <f>'EU Ref Scenario 2020'!AD69/'EU Ref Scenario 2020'!AC69</f>
        <v>0.97931668408403449</v>
      </c>
      <c r="AE69" s="11">
        <f>'EU Ref Scenario 2020'!AE69/'EU Ref Scenario 2020'!AD69</f>
        <v>1.0035711009320092</v>
      </c>
      <c r="AF69" s="11">
        <f>'EU Ref Scenario 2020'!AF69/'EU Ref Scenario 2020'!AE69</f>
        <v>1.0035583935494881</v>
      </c>
      <c r="AG69" s="11">
        <f>'EU Ref Scenario 2020'!AG69/'EU Ref Scenario 2020'!AF69</f>
        <v>1.0035457762820381</v>
      </c>
      <c r="AH69" s="11">
        <f>'EU Ref Scenario 2020'!AH69/'EU Ref Scenario 2020'!AG69</f>
        <v>1.0035332481744625</v>
      </c>
      <c r="AI69" s="11">
        <f>'EU Ref Scenario 2020'!AI69/'EU Ref Scenario 2020'!AH69</f>
        <v>1.0035208082850171</v>
      </c>
      <c r="AJ69" s="11">
        <f>'EU Ref Scenario 2020'!AJ69/'EU Ref Scenario 2020'!AI69</f>
        <v>1.0075213607168081</v>
      </c>
      <c r="AK69" s="11">
        <f>'EU Ref Scenario 2020'!AK69/'EU Ref Scenario 2020'!AJ69</f>
        <v>1.0074652121633003</v>
      </c>
      <c r="AL69" s="11">
        <f>'EU Ref Scenario 2020'!AL69/'EU Ref Scenario 2020'!AK69</f>
        <v>1.0074098957196453</v>
      </c>
      <c r="AM69" s="11">
        <f>'EU Ref Scenario 2020'!AM69/'EU Ref Scenario 2020'!AL69</f>
        <v>1.0073553930243577</v>
      </c>
      <c r="AN69" s="11">
        <f>'EU Ref Scenario 2020'!AN69/'EU Ref Scenario 2020'!AM69</f>
        <v>1.0073016862522324</v>
      </c>
      <c r="AO69" s="11">
        <f>'EU Ref Scenario 2020'!AO69/'EU Ref Scenario 2020'!AN69</f>
        <v>1</v>
      </c>
      <c r="AP69" s="11">
        <f>'EU Ref Scenario 2020'!AP69/'EU Ref Scenario 2020'!AO69</f>
        <v>1</v>
      </c>
      <c r="AQ69" s="11">
        <f>'EU Ref Scenario 2020'!AQ69/'EU Ref Scenario 2020'!AP69</f>
        <v>1</v>
      </c>
      <c r="AR69" s="11">
        <f>'EU Ref Scenario 2020'!AR69/'EU Ref Scenario 2020'!AQ69</f>
        <v>1</v>
      </c>
      <c r="AS69" s="11">
        <f>'EU Ref Scenario 2020'!AS69/'EU Ref Scenario 2020'!AR69</f>
        <v>1</v>
      </c>
      <c r="AT69" s="11">
        <f>'EU Ref Scenario 2020'!AT69/'EU Ref Scenario 2020'!AS69</f>
        <v>1</v>
      </c>
      <c r="AU69" s="11">
        <f>'EU Ref Scenario 2020'!AU69/'EU Ref Scenario 2020'!AT69</f>
        <v>1</v>
      </c>
      <c r="AV69" s="11">
        <f>'EU Ref Scenario 2020'!AV69/'EU Ref Scenario 2020'!AU69</f>
        <v>1</v>
      </c>
      <c r="AW69" s="11">
        <f>'EU Ref Scenario 2020'!AW69/'EU Ref Scenario 2020'!AV69</f>
        <v>1</v>
      </c>
      <c r="AX69" s="11">
        <f>'EU Ref Scenario 2020'!AX69/'EU Ref Scenario 2020'!AW69</f>
        <v>1</v>
      </c>
    </row>
    <row r="70" spans="1:50" x14ac:dyDescent="0.3">
      <c r="A70" t="s">
        <v>1419</v>
      </c>
      <c r="B70" t="s">
        <v>1439</v>
      </c>
      <c r="F70" s="11">
        <f>'EU Ref Scenario 2020'!F70/'EU Ref Scenario 2020'!E70</f>
        <v>0.99541627189690873</v>
      </c>
      <c r="G70" s="11">
        <f>'EU Ref Scenario 2020'!G70/'EU Ref Scenario 2020'!F70</f>
        <v>0.99539516458339949</v>
      </c>
      <c r="H70" s="11">
        <f>'EU Ref Scenario 2020'!H70/'EU Ref Scenario 2020'!G70</f>
        <v>0.99537386197919919</v>
      </c>
      <c r="I70" s="11">
        <f>'EU Ref Scenario 2020'!I70/'EU Ref Scenario 2020'!H70</f>
        <v>0.99535236136138616</v>
      </c>
      <c r="J70" s="11">
        <f>'EU Ref Scenario 2020'!J70/'EU Ref Scenario 2020'!I70</f>
        <v>0.99533065995618175</v>
      </c>
      <c r="K70" s="11">
        <f>'EU Ref Scenario 2020'!K70/'EU Ref Scenario 2020'!J70</f>
        <v>1.0046851761127367</v>
      </c>
      <c r="L70" s="11">
        <f>'EU Ref Scenario 2020'!L70/'EU Ref Scenario 2020'!K70</f>
        <v>1.0046633276016517</v>
      </c>
      <c r="M70" s="11">
        <f>'EU Ref Scenario 2020'!M70/'EU Ref Scenario 2020'!L70</f>
        <v>1.0046416819182442</v>
      </c>
      <c r="N70" s="11">
        <f>'EU Ref Scenario 2020'!N70/'EU Ref Scenario 2020'!M70</f>
        <v>1.0046202362511791</v>
      </c>
      <c r="O70" s="11">
        <f>'EU Ref Scenario 2020'!O70/'EU Ref Scenario 2020'!N70</f>
        <v>1.0045989878408383</v>
      </c>
      <c r="P70" s="11">
        <f>'EU Ref Scenario 2020'!P70/'EU Ref Scenario 2020'!O70</f>
        <v>0.97991858792713138</v>
      </c>
      <c r="Q70" s="11">
        <f>'EU Ref Scenario 2020'!Q70/'EU Ref Scenario 2020'!P70</f>
        <v>0.97950706076986682</v>
      </c>
      <c r="R70" s="11">
        <f>'EU Ref Scenario 2020'!R70/'EU Ref Scenario 2020'!Q70</f>
        <v>0.979078313928614</v>
      </c>
      <c r="S70" s="11">
        <f>'EU Ref Scenario 2020'!S70/'EU Ref Scenario 2020'!R70</f>
        <v>0.97863124351367115</v>
      </c>
      <c r="T70" s="11">
        <f>'EU Ref Scenario 2020'!T70/'EU Ref Scenario 2020'!S70</f>
        <v>0.97816464922006086</v>
      </c>
      <c r="U70" s="11">
        <f>'EU Ref Scenario 2020'!U70/'EU Ref Scenario 2020'!T70</f>
        <v>0.98997877063258044</v>
      </c>
      <c r="V70" s="11">
        <f>'EU Ref Scenario 2020'!V70/'EU Ref Scenario 2020'!U70</f>
        <v>0.98987732902492831</v>
      </c>
      <c r="W70" s="11">
        <f>'EU Ref Scenario 2020'!W70/'EU Ref Scenario 2020'!V70</f>
        <v>0.98977381269551556</v>
      </c>
      <c r="X70" s="11">
        <f>'EU Ref Scenario 2020'!X70/'EU Ref Scenario 2020'!W70</f>
        <v>0.98966815733724578</v>
      </c>
      <c r="Y70" s="11">
        <f>'EU Ref Scenario 2020'!Y70/'EU Ref Scenario 2020'!X70</f>
        <v>0.98956029595763439</v>
      </c>
      <c r="Z70" s="11">
        <f>'EU Ref Scenario 2020'!Z70/'EU Ref Scenario 2020'!Y70</f>
        <v>0.97022664024323113</v>
      </c>
      <c r="AA70" s="11">
        <f>'EU Ref Scenario 2020'!AA70/'EU Ref Scenario 2020'!Z70</f>
        <v>0.96931298469674587</v>
      </c>
      <c r="AB70" s="11">
        <f>'EU Ref Scenario 2020'!AB70/'EU Ref Scenario 2020'!AA70</f>
        <v>0.9683414791839865</v>
      </c>
      <c r="AC70" s="11">
        <f>'EU Ref Scenario 2020'!AC70/'EU Ref Scenario 2020'!AB70</f>
        <v>0.96730644974261359</v>
      </c>
      <c r="AD70" s="11">
        <f>'EU Ref Scenario 2020'!AD70/'EU Ref Scenario 2020'!AC70</f>
        <v>0.96620145532360946</v>
      </c>
      <c r="AE70" s="11">
        <f>'EU Ref Scenario 2020'!AE70/'EU Ref Scenario 2020'!AD70</f>
        <v>1.0008351279537124</v>
      </c>
      <c r="AF70" s="11">
        <f>'EU Ref Scenario 2020'!AF70/'EU Ref Scenario 2020'!AE70</f>
        <v>1.0008344310969779</v>
      </c>
      <c r="AG70" s="11">
        <f>'EU Ref Scenario 2020'!AG70/'EU Ref Scenario 2020'!AF70</f>
        <v>1.0008337354022316</v>
      </c>
      <c r="AH70" s="11">
        <f>'EU Ref Scenario 2020'!AH70/'EU Ref Scenario 2020'!AG70</f>
        <v>1.0008330408665698</v>
      </c>
      <c r="AI70" s="11">
        <f>'EU Ref Scenario 2020'!AI70/'EU Ref Scenario 2020'!AH70</f>
        <v>1.0008323474870979</v>
      </c>
      <c r="AJ70" s="11">
        <f>'EU Ref Scenario 2020'!AJ70/'EU Ref Scenario 2020'!AI70</f>
        <v>1.0053892423964532</v>
      </c>
      <c r="AK70" s="11">
        <f>'EU Ref Scenario 2020'!AK70/'EU Ref Scenario 2020'!AJ70</f>
        <v>1.0053603541486156</v>
      </c>
      <c r="AL70" s="11">
        <f>'EU Ref Scenario 2020'!AL70/'EU Ref Scenario 2020'!AK70</f>
        <v>1.0053317739519925</v>
      </c>
      <c r="AM70" s="11">
        <f>'EU Ref Scenario 2020'!AM70/'EU Ref Scenario 2020'!AL70</f>
        <v>1.005303496905338</v>
      </c>
      <c r="AN70" s="11">
        <f>'EU Ref Scenario 2020'!AN70/'EU Ref Scenario 2020'!AM70</f>
        <v>1.0052755182108328</v>
      </c>
      <c r="AO70" s="11">
        <f>'EU Ref Scenario 2020'!AO70/'EU Ref Scenario 2020'!AN70</f>
        <v>1</v>
      </c>
      <c r="AP70" s="11">
        <f>'EU Ref Scenario 2020'!AP70/'EU Ref Scenario 2020'!AO70</f>
        <v>1</v>
      </c>
      <c r="AQ70" s="11">
        <f>'EU Ref Scenario 2020'!AQ70/'EU Ref Scenario 2020'!AP70</f>
        <v>1</v>
      </c>
      <c r="AR70" s="11">
        <f>'EU Ref Scenario 2020'!AR70/'EU Ref Scenario 2020'!AQ70</f>
        <v>1</v>
      </c>
      <c r="AS70" s="11">
        <f>'EU Ref Scenario 2020'!AS70/'EU Ref Scenario 2020'!AR70</f>
        <v>1</v>
      </c>
      <c r="AT70" s="11">
        <f>'EU Ref Scenario 2020'!AT70/'EU Ref Scenario 2020'!AS70</f>
        <v>1</v>
      </c>
      <c r="AU70" s="11">
        <f>'EU Ref Scenario 2020'!AU70/'EU Ref Scenario 2020'!AT70</f>
        <v>1</v>
      </c>
      <c r="AV70" s="11">
        <f>'EU Ref Scenario 2020'!AV70/'EU Ref Scenario 2020'!AU70</f>
        <v>1</v>
      </c>
      <c r="AW70" s="11">
        <f>'EU Ref Scenario 2020'!AW70/'EU Ref Scenario 2020'!AV70</f>
        <v>1</v>
      </c>
      <c r="AX70" s="11">
        <f>'EU Ref Scenario 2020'!AX70/'EU Ref Scenario 2020'!AW70</f>
        <v>1</v>
      </c>
    </row>
    <row r="71" spans="1:50" x14ac:dyDescent="0.3">
      <c r="A71" t="s">
        <v>1419</v>
      </c>
      <c r="B71" t="s">
        <v>1435</v>
      </c>
      <c r="F71" s="11">
        <f>'EU Ref Scenario 2020'!F71/'EU Ref Scenario 2020'!E71</f>
        <v>1.0004622615037984</v>
      </c>
      <c r="G71" s="11">
        <f>'EU Ref Scenario 2020'!G71/'EU Ref Scenario 2020'!F71</f>
        <v>1.0004620479168336</v>
      </c>
      <c r="H71" s="11">
        <f>'EU Ref Scenario 2020'!H71/'EU Ref Scenario 2020'!G71</f>
        <v>1.0004618345271523</v>
      </c>
      <c r="I71" s="11">
        <f>'EU Ref Scenario 2020'!I71/'EU Ref Scenario 2020'!H71</f>
        <v>1.0004616213344817</v>
      </c>
      <c r="J71" s="11">
        <f>'EU Ref Scenario 2020'!J71/'EU Ref Scenario 2020'!I71</f>
        <v>1.0004614083385488</v>
      </c>
      <c r="K71" s="11">
        <f>'EU Ref Scenario 2020'!K71/'EU Ref Scenario 2020'!J71</f>
        <v>1.0174387620415195</v>
      </c>
      <c r="L71" s="11">
        <f>'EU Ref Scenario 2020'!L71/'EU Ref Scenario 2020'!K71</f>
        <v>1.0171398640312546</v>
      </c>
      <c r="M71" s="11">
        <f>'EU Ref Scenario 2020'!M71/'EU Ref Scenario 2020'!L71</f>
        <v>1.0168510395053476</v>
      </c>
      <c r="N71" s="11">
        <f>'EU Ref Scenario 2020'!N71/'EU Ref Scenario 2020'!M71</f>
        <v>1.0165717876568674</v>
      </c>
      <c r="O71" s="11">
        <f>'EU Ref Scenario 2020'!O71/'EU Ref Scenario 2020'!N71</f>
        <v>1.0163016403347807</v>
      </c>
      <c r="P71" s="11">
        <f>'EU Ref Scenario 2020'!P71/'EU Ref Scenario 2020'!O71</f>
        <v>0.98999759950660626</v>
      </c>
      <c r="Q71" s="11">
        <f>'EU Ref Scenario 2020'!Q71/'EU Ref Scenario 2020'!P71</f>
        <v>0.98989654065991795</v>
      </c>
      <c r="R71" s="11">
        <f>'EU Ref Scenario 2020'!R71/'EU Ref Scenario 2020'!Q71</f>
        <v>0.98979341888259709</v>
      </c>
      <c r="S71" s="11">
        <f>'EU Ref Scenario 2020'!S71/'EU Ref Scenario 2020'!R71</f>
        <v>0.98968817035687573</v>
      </c>
      <c r="T71" s="11">
        <f>'EU Ref Scenario 2020'!T71/'EU Ref Scenario 2020'!S71</f>
        <v>0.98958072860524771</v>
      </c>
      <c r="U71" s="11">
        <f>'EU Ref Scenario 2020'!U71/'EU Ref Scenario 2020'!T71</f>
        <v>0.98581874779868417</v>
      </c>
      <c r="V71" s="11">
        <f>'EU Ref Scenario 2020'!V71/'EU Ref Scenario 2020'!U71</f>
        <v>0.98561474689644291</v>
      </c>
      <c r="W71" s="11">
        <f>'EU Ref Scenario 2020'!W71/'EU Ref Scenario 2020'!V71</f>
        <v>0.98540479112264279</v>
      </c>
      <c r="X71" s="11">
        <f>'EU Ref Scenario 2020'!X71/'EU Ref Scenario 2020'!W71</f>
        <v>0.98518861587761375</v>
      </c>
      <c r="Y71" s="11">
        <f>'EU Ref Scenario 2020'!Y71/'EU Ref Scenario 2020'!X71</f>
        <v>0.98496594064965715</v>
      </c>
      <c r="Z71" s="11">
        <f>'EU Ref Scenario 2020'!Z71/'EU Ref Scenario 2020'!Y71</f>
        <v>1.0034892811518124</v>
      </c>
      <c r="AA71" s="11">
        <f>'EU Ref Scenario 2020'!AA71/'EU Ref Scenario 2020'!Z71</f>
        <v>1.0034771484034262</v>
      </c>
      <c r="AB71" s="11">
        <f>'EU Ref Scenario 2020'!AB71/'EU Ref Scenario 2020'!AA71</f>
        <v>1.0034650997374066</v>
      </c>
      <c r="AC71" s="11">
        <f>'EU Ref Scenario 2020'!AC71/'EU Ref Scenario 2020'!AB71</f>
        <v>1.0034531342827102</v>
      </c>
      <c r="AD71" s="11">
        <f>'EU Ref Scenario 2020'!AD71/'EU Ref Scenario 2020'!AC71</f>
        <v>1.0034412511802844</v>
      </c>
      <c r="AE71" s="11">
        <f>'EU Ref Scenario 2020'!AE71/'EU Ref Scenario 2020'!AD71</f>
        <v>1.0084169646826042</v>
      </c>
      <c r="AF71" s="11">
        <f>'EU Ref Scenario 2020'!AF71/'EU Ref Scenario 2020'!AE71</f>
        <v>1.0083467107133144</v>
      </c>
      <c r="AG71" s="11">
        <f>'EU Ref Scenario 2020'!AG71/'EU Ref Scenario 2020'!AF71</f>
        <v>1.0082776198153212</v>
      </c>
      <c r="AH71" s="11">
        <f>'EU Ref Scenario 2020'!AH71/'EU Ref Scenario 2020'!AG71</f>
        <v>1.008209663343353</v>
      </c>
      <c r="AI71" s="11">
        <f>'EU Ref Scenario 2020'!AI71/'EU Ref Scenario 2020'!AH71</f>
        <v>1.0081428135851516</v>
      </c>
      <c r="AJ71" s="11">
        <f>'EU Ref Scenario 2020'!AJ71/'EU Ref Scenario 2020'!AI71</f>
        <v>1.0111603209347884</v>
      </c>
      <c r="AK71" s="11">
        <f>'EU Ref Scenario 2020'!AK71/'EU Ref Scenario 2020'!AJ71</f>
        <v>1.011037142878066</v>
      </c>
      <c r="AL71" s="11">
        <f>'EU Ref Scenario 2020'!AL71/'EU Ref Scenario 2020'!AK71</f>
        <v>1.0109166542058456</v>
      </c>
      <c r="AM71" s="11">
        <f>'EU Ref Scenario 2020'!AM71/'EU Ref Scenario 2020'!AL71</f>
        <v>1.0107987677920109</v>
      </c>
      <c r="AN71" s="11">
        <f>'EU Ref Scenario 2020'!AN71/'EU Ref Scenario 2020'!AM71</f>
        <v>1.0106834002336587</v>
      </c>
      <c r="AO71" s="11">
        <f>'EU Ref Scenario 2020'!AO71/'EU Ref Scenario 2020'!AN71</f>
        <v>1</v>
      </c>
      <c r="AP71" s="11">
        <f>'EU Ref Scenario 2020'!AP71/'EU Ref Scenario 2020'!AO71</f>
        <v>1</v>
      </c>
      <c r="AQ71" s="11">
        <f>'EU Ref Scenario 2020'!AQ71/'EU Ref Scenario 2020'!AP71</f>
        <v>1</v>
      </c>
      <c r="AR71" s="11">
        <f>'EU Ref Scenario 2020'!AR71/'EU Ref Scenario 2020'!AQ71</f>
        <v>1</v>
      </c>
      <c r="AS71" s="11">
        <f>'EU Ref Scenario 2020'!AS71/'EU Ref Scenario 2020'!AR71</f>
        <v>1</v>
      </c>
      <c r="AT71" s="11">
        <f>'EU Ref Scenario 2020'!AT71/'EU Ref Scenario 2020'!AS71</f>
        <v>1</v>
      </c>
      <c r="AU71" s="11">
        <f>'EU Ref Scenario 2020'!AU71/'EU Ref Scenario 2020'!AT71</f>
        <v>1</v>
      </c>
      <c r="AV71" s="11">
        <f>'EU Ref Scenario 2020'!AV71/'EU Ref Scenario 2020'!AU71</f>
        <v>1</v>
      </c>
      <c r="AW71" s="11">
        <f>'EU Ref Scenario 2020'!AW71/'EU Ref Scenario 2020'!AV71</f>
        <v>1</v>
      </c>
      <c r="AX71" s="11">
        <f>'EU Ref Scenario 2020'!AX71/'EU Ref Scenario 2020'!AW71</f>
        <v>1</v>
      </c>
    </row>
    <row r="72" spans="1:50" x14ac:dyDescent="0.3">
      <c r="A72" t="s">
        <v>1420</v>
      </c>
      <c r="B72" t="s">
        <v>1434</v>
      </c>
      <c r="F72" s="11">
        <f>'EU Ref Scenario 2020'!F72/'EU Ref Scenario 2020'!E72</f>
        <v>1.0085194176640779</v>
      </c>
      <c r="G72" s="11">
        <f>'EU Ref Scenario 2020'!G72/'EU Ref Scenario 2020'!F72</f>
        <v>1.0084474503067185</v>
      </c>
      <c r="H72" s="11">
        <f>'EU Ref Scenario 2020'!H72/'EU Ref Scenario 2020'!G72</f>
        <v>1.0083766886456493</v>
      </c>
      <c r="I72" s="11">
        <f>'EU Ref Scenario 2020'!I72/'EU Ref Scenario 2020'!H72</f>
        <v>1.0083071026333423</v>
      </c>
      <c r="J72" s="11">
        <f>'EU Ref Scenario 2020'!J72/'EU Ref Scenario 2020'!I72</f>
        <v>1.0082386632124747</v>
      </c>
      <c r="K72" s="11">
        <f>'EU Ref Scenario 2020'!K72/'EU Ref Scenario 2020'!J72</f>
        <v>1.0013496436229865</v>
      </c>
      <c r="L72" s="11">
        <f>'EU Ref Scenario 2020'!L72/'EU Ref Scenario 2020'!K72</f>
        <v>1.001347824540191</v>
      </c>
      <c r="M72" s="11">
        <f>'EU Ref Scenario 2020'!M72/'EU Ref Scenario 2020'!L72</f>
        <v>1.0013460103544038</v>
      </c>
      <c r="N72" s="11">
        <f>'EU Ref Scenario 2020'!N72/'EU Ref Scenario 2020'!M72</f>
        <v>1.0013442010458777</v>
      </c>
      <c r="O72" s="11">
        <f>'EU Ref Scenario 2020'!O72/'EU Ref Scenario 2020'!N72</f>
        <v>1.0013423965949708</v>
      </c>
      <c r="P72" s="11">
        <f>'EU Ref Scenario 2020'!P72/'EU Ref Scenario 2020'!O72</f>
        <v>1.0105473879137463</v>
      </c>
      <c r="Q72" s="11">
        <f>'EU Ref Scenario 2020'!Q72/'EU Ref Scenario 2020'!P72</f>
        <v>1.0104373016445287</v>
      </c>
      <c r="R72" s="11">
        <f>'EU Ref Scenario 2020'!R72/'EU Ref Scenario 2020'!Q72</f>
        <v>1.010329489645267</v>
      </c>
      <c r="S72" s="11">
        <f>'EU Ref Scenario 2020'!S72/'EU Ref Scenario 2020'!R72</f>
        <v>1.0102238821603571</v>
      </c>
      <c r="T72" s="11">
        <f>'EU Ref Scenario 2020'!T72/'EU Ref Scenario 2020'!S72</f>
        <v>1.010120412258017</v>
      </c>
      <c r="U72" s="11">
        <f>'EU Ref Scenario 2020'!U72/'EU Ref Scenario 2020'!T72</f>
        <v>0.98951857594782699</v>
      </c>
      <c r="V72" s="11">
        <f>'EU Ref Scenario 2020'!V72/'EU Ref Scenario 2020'!U72</f>
        <v>0.98940755200867936</v>
      </c>
      <c r="W72" s="11">
        <f>'EU Ref Scenario 2020'!W72/'EU Ref Scenario 2020'!V72</f>
        <v>0.98929415085844452</v>
      </c>
      <c r="X72" s="11">
        <f>'EU Ref Scenario 2020'!X72/'EU Ref Scenario 2020'!W72</f>
        <v>0.98917829532069335</v>
      </c>
      <c r="Y72" s="11">
        <f>'EU Ref Scenario 2020'!Y72/'EU Ref Scenario 2020'!X72</f>
        <v>0.98905990484172701</v>
      </c>
      <c r="Z72" s="11">
        <f>'EU Ref Scenario 2020'!Z72/'EU Ref Scenario 2020'!Y72</f>
        <v>1.0006286649541072</v>
      </c>
      <c r="AA72" s="11">
        <f>'EU Ref Scenario 2020'!AA72/'EU Ref Scenario 2020'!Z72</f>
        <v>1.0006282699827871</v>
      </c>
      <c r="AB72" s="11">
        <f>'EU Ref Scenario 2020'!AB72/'EU Ref Scenario 2020'!AA72</f>
        <v>1.0006278755074529</v>
      </c>
      <c r="AC72" s="11">
        <f>'EU Ref Scenario 2020'!AC72/'EU Ref Scenario 2020'!AB72</f>
        <v>1.0006274815271707</v>
      </c>
      <c r="AD72" s="11">
        <f>'EU Ref Scenario 2020'!AD72/'EU Ref Scenario 2020'!AC72</f>
        <v>1.0006270880410089</v>
      </c>
      <c r="AE72" s="11">
        <f>'EU Ref Scenario 2020'!AE72/'EU Ref Scenario 2020'!AD72</f>
        <v>1.0001406352339481</v>
      </c>
      <c r="AF72" s="11">
        <f>'EU Ref Scenario 2020'!AF72/'EU Ref Scenario 2020'!AE72</f>
        <v>1.0001406154584602</v>
      </c>
      <c r="AG72" s="11">
        <f>'EU Ref Scenario 2020'!AG72/'EU Ref Scenario 2020'!AF72</f>
        <v>1.000140595688533</v>
      </c>
      <c r="AH72" s="11">
        <f>'EU Ref Scenario 2020'!AH72/'EU Ref Scenario 2020'!AG72</f>
        <v>1.0001405759241642</v>
      </c>
      <c r="AI72" s="11">
        <f>'EU Ref Scenario 2020'!AI72/'EU Ref Scenario 2020'!AH72</f>
        <v>1.0001405561653514</v>
      </c>
      <c r="AJ72" s="11">
        <f>'EU Ref Scenario 2020'!AJ72/'EU Ref Scenario 2020'!AI72</f>
        <v>0.99960359607472005</v>
      </c>
      <c r="AK72" s="11">
        <f>'EU Ref Scenario 2020'!AK72/'EU Ref Scenario 2020'!AJ72</f>
        <v>0.99960343887633396</v>
      </c>
      <c r="AL72" s="11">
        <f>'EU Ref Scenario 2020'!AL72/'EU Ref Scenario 2020'!AK72</f>
        <v>0.99960328155322098</v>
      </c>
      <c r="AM72" s="11">
        <f>'EU Ref Scenario 2020'!AM72/'EU Ref Scenario 2020'!AL72</f>
        <v>0.99960312410523244</v>
      </c>
      <c r="AN72" s="11">
        <f>'EU Ref Scenario 2020'!AN72/'EU Ref Scenario 2020'!AM72</f>
        <v>0.99960296653221992</v>
      </c>
      <c r="AO72" s="11">
        <f>'EU Ref Scenario 2020'!AO72/'EU Ref Scenario 2020'!AN72</f>
        <v>1</v>
      </c>
      <c r="AP72" s="11">
        <f>'EU Ref Scenario 2020'!AP72/'EU Ref Scenario 2020'!AO72</f>
        <v>1</v>
      </c>
      <c r="AQ72" s="11">
        <f>'EU Ref Scenario 2020'!AQ72/'EU Ref Scenario 2020'!AP72</f>
        <v>1</v>
      </c>
      <c r="AR72" s="11">
        <f>'EU Ref Scenario 2020'!AR72/'EU Ref Scenario 2020'!AQ72</f>
        <v>1</v>
      </c>
      <c r="AS72" s="11">
        <f>'EU Ref Scenario 2020'!AS72/'EU Ref Scenario 2020'!AR72</f>
        <v>1</v>
      </c>
      <c r="AT72" s="11">
        <f>'EU Ref Scenario 2020'!AT72/'EU Ref Scenario 2020'!AS72</f>
        <v>1</v>
      </c>
      <c r="AU72" s="11">
        <f>'EU Ref Scenario 2020'!AU72/'EU Ref Scenario 2020'!AT72</f>
        <v>1</v>
      </c>
      <c r="AV72" s="11">
        <f>'EU Ref Scenario 2020'!AV72/'EU Ref Scenario 2020'!AU72</f>
        <v>1</v>
      </c>
      <c r="AW72" s="11">
        <f>'EU Ref Scenario 2020'!AW72/'EU Ref Scenario 2020'!AV72</f>
        <v>1</v>
      </c>
      <c r="AX72" s="11">
        <f>'EU Ref Scenario 2020'!AX72/'EU Ref Scenario 2020'!AW72</f>
        <v>1</v>
      </c>
    </row>
    <row r="73" spans="1:50" x14ac:dyDescent="0.3">
      <c r="A73" t="s">
        <v>1420</v>
      </c>
      <c r="B73" t="s">
        <v>1439</v>
      </c>
      <c r="F73" s="11">
        <f>'EU Ref Scenario 2020'!F73/'EU Ref Scenario 2020'!E73</f>
        <v>1.0082354800162432</v>
      </c>
      <c r="G73" s="11">
        <f>'EU Ref Scenario 2020'!G73/'EU Ref Scenario 2020'!F73</f>
        <v>1.0081682108787826</v>
      </c>
      <c r="H73" s="11">
        <f>'EU Ref Scenario 2020'!H73/'EU Ref Scenario 2020'!G73</f>
        <v>1.0081020317747003</v>
      </c>
      <c r="I73" s="11">
        <f>'EU Ref Scenario 2020'!I73/'EU Ref Scenario 2020'!H73</f>
        <v>1.0080369164224747</v>
      </c>
      <c r="J73" s="11">
        <f>'EU Ref Scenario 2020'!J73/'EU Ref Scenario 2020'!I73</f>
        <v>1.0079728393787382</v>
      </c>
      <c r="K73" s="11">
        <f>'EU Ref Scenario 2020'!K73/'EU Ref Scenario 2020'!J73</f>
        <v>1.0013251621290959</v>
      </c>
      <c r="L73" s="11">
        <f>'EU Ref Scenario 2020'!L73/'EU Ref Scenario 2020'!K73</f>
        <v>1.0013234083984051</v>
      </c>
      <c r="M73" s="11">
        <f>'EU Ref Scenario 2020'!M73/'EU Ref Scenario 2020'!L73</f>
        <v>1.0013216593033831</v>
      </c>
      <c r="N73" s="11">
        <f>'EU Ref Scenario 2020'!N73/'EU Ref Scenario 2020'!M73</f>
        <v>1.0013199148256742</v>
      </c>
      <c r="O73" s="11">
        <f>'EU Ref Scenario 2020'!O73/'EU Ref Scenario 2020'!N73</f>
        <v>1.0013181749470186</v>
      </c>
      <c r="P73" s="11">
        <f>'EU Ref Scenario 2020'!P73/'EU Ref Scenario 2020'!O73</f>
        <v>1.0015148539459933</v>
      </c>
      <c r="Q73" s="11">
        <f>'EU Ref Scenario 2020'!Q73/'EU Ref Scenario 2020'!P73</f>
        <v>1.0015125626345178</v>
      </c>
      <c r="R73" s="11">
        <f>'EU Ref Scenario 2020'!R73/'EU Ref Scenario 2020'!Q73</f>
        <v>1.0015102782440781</v>
      </c>
      <c r="S73" s="11">
        <f>'EU Ref Scenario 2020'!S73/'EU Ref Scenario 2020'!R73</f>
        <v>1.0015080007433632</v>
      </c>
      <c r="T73" s="11">
        <f>'EU Ref Scenario 2020'!T73/'EU Ref Scenario 2020'!S73</f>
        <v>1.0015057301012518</v>
      </c>
      <c r="U73" s="11">
        <f>'EU Ref Scenario 2020'!U73/'EU Ref Scenario 2020'!T73</f>
        <v>0.97907371764197859</v>
      </c>
      <c r="V73" s="11">
        <f>'EU Ref Scenario 2020'!V73/'EU Ref Scenario 2020'!U73</f>
        <v>0.97862644867189297</v>
      </c>
      <c r="W73" s="11">
        <f>'EU Ref Scenario 2020'!W73/'EU Ref Scenario 2020'!V73</f>
        <v>0.97815964267355193</v>
      </c>
      <c r="X73" s="11">
        <f>'EU Ref Scenario 2020'!X73/'EU Ref Scenario 2020'!W73</f>
        <v>0.97767199097812607</v>
      </c>
      <c r="Y73" s="11">
        <f>'EU Ref Scenario 2020'!Y73/'EU Ref Scenario 2020'!X73</f>
        <v>0.97716206536761274</v>
      </c>
      <c r="Z73" s="11">
        <f>'EU Ref Scenario 2020'!Z73/'EU Ref Scenario 2020'!Y73</f>
        <v>0.99615156481859868</v>
      </c>
      <c r="AA73" s="11">
        <f>'EU Ref Scenario 2020'!AA73/'EU Ref Scenario 2020'!Z73</f>
        <v>0.99613669714798658</v>
      </c>
      <c r="AB73" s="11">
        <f>'EU Ref Scenario 2020'!AB73/'EU Ref Scenario 2020'!AA73</f>
        <v>0.99612171415522155</v>
      </c>
      <c r="AC73" s="11">
        <f>'EU Ref Scenario 2020'!AC73/'EU Ref Scenario 2020'!AB73</f>
        <v>0.99610661449332272</v>
      </c>
      <c r="AD73" s="11">
        <f>'EU Ref Scenario 2020'!AD73/'EU Ref Scenario 2020'!AC73</f>
        <v>0.99609139679424996</v>
      </c>
      <c r="AE73" s="11">
        <f>'EU Ref Scenario 2020'!AE73/'EU Ref Scenario 2020'!AD73</f>
        <v>0.99885347905074229</v>
      </c>
      <c r="AF73" s="11">
        <f>'EU Ref Scenario 2020'!AF73/'EU Ref Scenario 2020'!AE73</f>
        <v>0.99885216303161173</v>
      </c>
      <c r="AG73" s="11">
        <f>'EU Ref Scenario 2020'!AG73/'EU Ref Scenario 2020'!AF73</f>
        <v>0.99885084398785851</v>
      </c>
      <c r="AH73" s="11">
        <f>'EU Ref Scenario 2020'!AH73/'EU Ref Scenario 2020'!AG73</f>
        <v>0.99884952190904341</v>
      </c>
      <c r="AI73" s="11">
        <f>'EU Ref Scenario 2020'!AI73/'EU Ref Scenario 2020'!AH73</f>
        <v>0.99884819678467907</v>
      </c>
      <c r="AJ73" s="11">
        <f>'EU Ref Scenario 2020'!AJ73/'EU Ref Scenario 2020'!AI73</f>
        <v>0.99759066938137464</v>
      </c>
      <c r="AK73" s="11">
        <f>'EU Ref Scenario 2020'!AK73/'EU Ref Scenario 2020'!AJ73</f>
        <v>0.99758485048770607</v>
      </c>
      <c r="AL73" s="11">
        <f>'EU Ref Scenario 2020'!AL73/'EU Ref Scenario 2020'!AK73</f>
        <v>0.99757900341899419</v>
      </c>
      <c r="AM73" s="11">
        <f>'EU Ref Scenario 2020'!AM73/'EU Ref Scenario 2020'!AL73</f>
        <v>0.99757312797010733</v>
      </c>
      <c r="AN73" s="11">
        <f>'EU Ref Scenario 2020'!AN73/'EU Ref Scenario 2020'!AM73</f>
        <v>0.99756722393391728</v>
      </c>
      <c r="AO73" s="11">
        <f>'EU Ref Scenario 2020'!AO73/'EU Ref Scenario 2020'!AN73</f>
        <v>1</v>
      </c>
      <c r="AP73" s="11">
        <f>'EU Ref Scenario 2020'!AP73/'EU Ref Scenario 2020'!AO73</f>
        <v>1</v>
      </c>
      <c r="AQ73" s="11">
        <f>'EU Ref Scenario 2020'!AQ73/'EU Ref Scenario 2020'!AP73</f>
        <v>1</v>
      </c>
      <c r="AR73" s="11">
        <f>'EU Ref Scenario 2020'!AR73/'EU Ref Scenario 2020'!AQ73</f>
        <v>1</v>
      </c>
      <c r="AS73" s="11">
        <f>'EU Ref Scenario 2020'!AS73/'EU Ref Scenario 2020'!AR73</f>
        <v>1</v>
      </c>
      <c r="AT73" s="11">
        <f>'EU Ref Scenario 2020'!AT73/'EU Ref Scenario 2020'!AS73</f>
        <v>1</v>
      </c>
      <c r="AU73" s="11">
        <f>'EU Ref Scenario 2020'!AU73/'EU Ref Scenario 2020'!AT73</f>
        <v>1</v>
      </c>
      <c r="AV73" s="11">
        <f>'EU Ref Scenario 2020'!AV73/'EU Ref Scenario 2020'!AU73</f>
        <v>1</v>
      </c>
      <c r="AW73" s="11">
        <f>'EU Ref Scenario 2020'!AW73/'EU Ref Scenario 2020'!AV73</f>
        <v>1</v>
      </c>
      <c r="AX73" s="11">
        <f>'EU Ref Scenario 2020'!AX73/'EU Ref Scenario 2020'!AW73</f>
        <v>1</v>
      </c>
    </row>
    <row r="74" spans="1:50" x14ac:dyDescent="0.3">
      <c r="A74" t="s">
        <v>1420</v>
      </c>
      <c r="B74" t="s">
        <v>1435</v>
      </c>
      <c r="F74" s="11">
        <f>'EU Ref Scenario 2020'!F74/'EU Ref Scenario 2020'!E74</f>
        <v>1.0089853321900661</v>
      </c>
      <c r="G74" s="11">
        <f>'EU Ref Scenario 2020'!G74/'EU Ref Scenario 2020'!F74</f>
        <v>1.0089053149767431</v>
      </c>
      <c r="H74" s="11">
        <f>'EU Ref Scenario 2020'!H74/'EU Ref Scenario 2020'!G74</f>
        <v>1.0088267103409483</v>
      </c>
      <c r="I74" s="11">
        <f>'EU Ref Scenario 2020'!I74/'EU Ref Scenario 2020'!H74</f>
        <v>1.0087494812047206</v>
      </c>
      <c r="J74" s="11">
        <f>'EU Ref Scenario 2020'!J74/'EU Ref Scenario 2020'!I74</f>
        <v>1.0086735917764951</v>
      </c>
      <c r="K74" s="11">
        <f>'EU Ref Scenario 2020'!K74/'EU Ref Scenario 2020'!J74</f>
        <v>1.0013896712743524</v>
      </c>
      <c r="L74" s="11">
        <f>'EU Ref Scenario 2020'!L74/'EU Ref Scenario 2020'!K74</f>
        <v>1.0013877427680913</v>
      </c>
      <c r="M74" s="11">
        <f>'EU Ref Scenario 2020'!M74/'EU Ref Scenario 2020'!L74</f>
        <v>1.0013858196069541</v>
      </c>
      <c r="N74" s="11">
        <f>'EU Ref Scenario 2020'!N74/'EU Ref Scenario 2020'!M74</f>
        <v>1.0013839017687487</v>
      </c>
      <c r="O74" s="11">
        <f>'EU Ref Scenario 2020'!O74/'EU Ref Scenario 2020'!N74</f>
        <v>1.0013819892314071</v>
      </c>
      <c r="P74" s="11">
        <f>'EU Ref Scenario 2020'!P74/'EU Ref Scenario 2020'!O74</f>
        <v>1.0253110012030984</v>
      </c>
      <c r="Q74" s="11">
        <f>'EU Ref Scenario 2020'!Q74/'EU Ref Scenario 2020'!P74</f>
        <v>1.0246861695362659</v>
      </c>
      <c r="R74" s="11">
        <f>'EU Ref Scenario 2020'!R74/'EU Ref Scenario 2020'!Q74</f>
        <v>1.0240914440637352</v>
      </c>
      <c r="S74" s="11">
        <f>'EU Ref Scenario 2020'!S74/'EU Ref Scenario 2020'!R74</f>
        <v>1.0235247000679324</v>
      </c>
      <c r="T74" s="11">
        <f>'EU Ref Scenario 2020'!T74/'EU Ref Scenario 2020'!S74</f>
        <v>1.0229840081693888</v>
      </c>
      <c r="U74" s="11">
        <f>'EU Ref Scenario 2020'!U74/'EU Ref Scenario 2020'!T74</f>
        <v>1.0047875647631275</v>
      </c>
      <c r="V74" s="11">
        <f>'EU Ref Scenario 2020'!V74/'EU Ref Scenario 2020'!U74</f>
        <v>1.0047647531986088</v>
      </c>
      <c r="W74" s="11">
        <f>'EU Ref Scenario 2020'!W74/'EU Ref Scenario 2020'!V74</f>
        <v>1.0047421579861759</v>
      </c>
      <c r="X74" s="11">
        <f>'EU Ref Scenario 2020'!X74/'EU Ref Scenario 2020'!W74</f>
        <v>1.0047197760624285</v>
      </c>
      <c r="Y74" s="11">
        <f>'EU Ref Scenario 2020'!Y74/'EU Ref Scenario 2020'!X74</f>
        <v>1.0046976044215288</v>
      </c>
      <c r="Z74" s="11">
        <f>'EU Ref Scenario 2020'!Z74/'EU Ref Scenario 2020'!Y74</f>
        <v>1.0063517842731569</v>
      </c>
      <c r="AA74" s="11">
        <f>'EU Ref Scenario 2020'!AA74/'EU Ref Scenario 2020'!Z74</f>
        <v>1.0063116937560204</v>
      </c>
      <c r="AB74" s="11">
        <f>'EU Ref Scenario 2020'!AB74/'EU Ref Scenario 2020'!AA74</f>
        <v>1.0062721061428415</v>
      </c>
      <c r="AC74" s="11">
        <f>'EU Ref Scenario 2020'!AC74/'EU Ref Scenario 2020'!AB74</f>
        <v>1.0062330120298011</v>
      </c>
      <c r="AD74" s="11">
        <f>'EU Ref Scenario 2020'!AD74/'EU Ref Scenario 2020'!AC74</f>
        <v>1.0061944022460836</v>
      </c>
      <c r="AE74" s="11">
        <f>'EU Ref Scenario 2020'!AE74/'EU Ref Scenario 2020'!AD74</f>
        <v>1.001704685794949</v>
      </c>
      <c r="AF74" s="11">
        <f>'EU Ref Scenario 2020'!AF74/'EU Ref Scenario 2020'!AE74</f>
        <v>1.0017017847865972</v>
      </c>
      <c r="AG74" s="11">
        <f>'EU Ref Scenario 2020'!AG74/'EU Ref Scenario 2020'!AF74</f>
        <v>1.0016988936352547</v>
      </c>
      <c r="AH74" s="11">
        <f>'EU Ref Scenario 2020'!AH74/'EU Ref Scenario 2020'!AG74</f>
        <v>1.0016960122907685</v>
      </c>
      <c r="AI74" s="11">
        <f>'EU Ref Scenario 2020'!AI74/'EU Ref Scenario 2020'!AH74</f>
        <v>1.0016931407033256</v>
      </c>
      <c r="AJ74" s="11">
        <f>'EU Ref Scenario 2020'!AJ74/'EU Ref Scenario 2020'!AI74</f>
        <v>1.0020149708099282</v>
      </c>
      <c r="AK74" s="11">
        <f>'EU Ref Scenario 2020'!AK74/'EU Ref Scenario 2020'!AJ74</f>
        <v>1.0020109188671098</v>
      </c>
      <c r="AL74" s="11">
        <f>'EU Ref Scenario 2020'!AL74/'EU Ref Scenario 2020'!AK74</f>
        <v>1.0020068831878433</v>
      </c>
      <c r="AM74" s="11">
        <f>'EU Ref Scenario 2020'!AM74/'EU Ref Scenario 2020'!AL74</f>
        <v>1.0020028636744076</v>
      </c>
      <c r="AN74" s="11">
        <f>'EU Ref Scenario 2020'!AN74/'EU Ref Scenario 2020'!AM74</f>
        <v>1.0019988602298631</v>
      </c>
      <c r="AO74" s="11">
        <f>'EU Ref Scenario 2020'!AO74/'EU Ref Scenario 2020'!AN74</f>
        <v>1</v>
      </c>
      <c r="AP74" s="11">
        <f>'EU Ref Scenario 2020'!AP74/'EU Ref Scenario 2020'!AO74</f>
        <v>1</v>
      </c>
      <c r="AQ74" s="11">
        <f>'EU Ref Scenario 2020'!AQ74/'EU Ref Scenario 2020'!AP74</f>
        <v>1</v>
      </c>
      <c r="AR74" s="11">
        <f>'EU Ref Scenario 2020'!AR74/'EU Ref Scenario 2020'!AQ74</f>
        <v>1</v>
      </c>
      <c r="AS74" s="11">
        <f>'EU Ref Scenario 2020'!AS74/'EU Ref Scenario 2020'!AR74</f>
        <v>1</v>
      </c>
      <c r="AT74" s="11">
        <f>'EU Ref Scenario 2020'!AT74/'EU Ref Scenario 2020'!AS74</f>
        <v>1</v>
      </c>
      <c r="AU74" s="11">
        <f>'EU Ref Scenario 2020'!AU74/'EU Ref Scenario 2020'!AT74</f>
        <v>1</v>
      </c>
      <c r="AV74" s="11">
        <f>'EU Ref Scenario 2020'!AV74/'EU Ref Scenario 2020'!AU74</f>
        <v>1</v>
      </c>
      <c r="AW74" s="11">
        <f>'EU Ref Scenario 2020'!AW74/'EU Ref Scenario 2020'!AV74</f>
        <v>1</v>
      </c>
      <c r="AX74" s="11">
        <f>'EU Ref Scenario 2020'!AX74/'EU Ref Scenario 2020'!AW74</f>
        <v>1</v>
      </c>
    </row>
    <row r="75" spans="1:50" x14ac:dyDescent="0.3">
      <c r="A75" t="s">
        <v>1421</v>
      </c>
      <c r="B75" t="s">
        <v>1434</v>
      </c>
      <c r="F75" s="11">
        <f>'EU Ref Scenario 2020'!F75/'EU Ref Scenario 2020'!E75</f>
        <v>1.0005707821747867</v>
      </c>
      <c r="G75" s="11">
        <f>'EU Ref Scenario 2020'!G75/'EU Ref Scenario 2020'!F75</f>
        <v>1.000570456568346</v>
      </c>
      <c r="H75" s="11">
        <f>'EU Ref Scenario 2020'!H75/'EU Ref Scenario 2020'!G75</f>
        <v>1.0005701313331823</v>
      </c>
      <c r="I75" s="11">
        <f>'EU Ref Scenario 2020'!I75/'EU Ref Scenario 2020'!H75</f>
        <v>1.0005698064686606</v>
      </c>
      <c r="J75" s="11">
        <f>'EU Ref Scenario 2020'!J75/'EU Ref Scenario 2020'!I75</f>
        <v>1.0005694819741475</v>
      </c>
      <c r="K75" s="11">
        <f>'EU Ref Scenario 2020'!K75/'EU Ref Scenario 2020'!J75</f>
        <v>1.0014297658961839</v>
      </c>
      <c r="L75" s="11">
        <f>'EU Ref Scenario 2020'!L75/'EU Ref Scenario 2020'!K75</f>
        <v>1.0014277245842642</v>
      </c>
      <c r="M75" s="11">
        <f>'EU Ref Scenario 2020'!M75/'EU Ref Scenario 2020'!L75</f>
        <v>1.0014256890928968</v>
      </c>
      <c r="N75" s="11">
        <f>'EU Ref Scenario 2020'!N75/'EU Ref Scenario 2020'!M75</f>
        <v>1.0014236593972221</v>
      </c>
      <c r="O75" s="11">
        <f>'EU Ref Scenario 2020'!O75/'EU Ref Scenario 2020'!N75</f>
        <v>1.0014216354725223</v>
      </c>
      <c r="P75" s="11">
        <f>'EU Ref Scenario 2020'!P75/'EU Ref Scenario 2020'!O75</f>
        <v>0.9918092606537976</v>
      </c>
      <c r="Q75" s="11">
        <f>'EU Ref Scenario 2020'!Q75/'EU Ref Scenario 2020'!P75</f>
        <v>0.9917416184027128</v>
      </c>
      <c r="R75" s="11">
        <f>'EU Ref Scenario 2020'!R75/'EU Ref Scenario 2020'!Q75</f>
        <v>0.9916728496172339</v>
      </c>
      <c r="S75" s="11">
        <f>'EU Ref Scenario 2020'!S75/'EU Ref Scenario 2020'!R75</f>
        <v>0.99160292591858268</v>
      </c>
      <c r="T75" s="11">
        <f>'EU Ref Scenario 2020'!T75/'EU Ref Scenario 2020'!S75</f>
        <v>0.9915318179667143</v>
      </c>
      <c r="U75" s="11">
        <f>'EU Ref Scenario 2020'!U75/'EU Ref Scenario 2020'!T75</f>
        <v>0.98724878897493129</v>
      </c>
      <c r="V75" s="11">
        <f>'EU Ref Scenario 2020'!V75/'EU Ref Scenario 2020'!U75</f>
        <v>0.98708409555173182</v>
      </c>
      <c r="W75" s="11">
        <f>'EU Ref Scenario 2020'!W75/'EU Ref Scenario 2020'!V75</f>
        <v>0.98691509213199424</v>
      </c>
      <c r="X75" s="11">
        <f>'EU Ref Scenario 2020'!X75/'EU Ref Scenario 2020'!W75</f>
        <v>0.9867416072848384</v>
      </c>
      <c r="Y75" s="11">
        <f>'EU Ref Scenario 2020'!Y75/'EU Ref Scenario 2020'!X75</f>
        <v>0.98656346036563292</v>
      </c>
      <c r="Z75" s="11">
        <f>'EU Ref Scenario 2020'!Z75/'EU Ref Scenario 2020'!Y75</f>
        <v>0.98660943110588406</v>
      </c>
      <c r="AA75" s="11">
        <f>'EU Ref Scenario 2020'!AA75/'EU Ref Scenario 2020'!Z75</f>
        <v>0.98642769015586385</v>
      </c>
      <c r="AB75" s="11">
        <f>'EU Ref Scenario 2020'!AB75/'EU Ref Scenario 2020'!AA75</f>
        <v>0.98624094803949425</v>
      </c>
      <c r="AC75" s="11">
        <f>'EU Ref Scenario 2020'!AC75/'EU Ref Scenario 2020'!AB75</f>
        <v>0.98604899544289182</v>
      </c>
      <c r="AD75" s="11">
        <f>'EU Ref Scenario 2020'!AD75/'EU Ref Scenario 2020'!AC75</f>
        <v>0.98585161120635589</v>
      </c>
      <c r="AE75" s="11">
        <f>'EU Ref Scenario 2020'!AE75/'EU Ref Scenario 2020'!AD75</f>
        <v>0.99120627379215875</v>
      </c>
      <c r="AF75" s="11">
        <f>'EU Ref Scenario 2020'!AF75/'EU Ref Scenario 2020'!AE75</f>
        <v>0.99112825812310679</v>
      </c>
      <c r="AG75" s="11">
        <f>'EU Ref Scenario 2020'!AG75/'EU Ref Scenario 2020'!AF75</f>
        <v>0.99104884579348629</v>
      </c>
      <c r="AH75" s="11">
        <f>'EU Ref Scenario 2020'!AH75/'EU Ref Scenario 2020'!AG75</f>
        <v>0.99096799895937826</v>
      </c>
      <c r="AI75" s="11">
        <f>'EU Ref Scenario 2020'!AI75/'EU Ref Scenario 2020'!AH75</f>
        <v>0.99088567839717723</v>
      </c>
      <c r="AJ75" s="11">
        <f>'EU Ref Scenario 2020'!AJ75/'EU Ref Scenario 2020'!AI75</f>
        <v>0.99268475535602996</v>
      </c>
      <c r="AK75" s="11">
        <f>'EU Ref Scenario 2020'!AK75/'EU Ref Scenario 2020'!AJ75</f>
        <v>0.99263084820785175</v>
      </c>
      <c r="AL75" s="11">
        <f>'EU Ref Scenario 2020'!AL75/'EU Ref Scenario 2020'!AK75</f>
        <v>0.9925761406615029</v>
      </c>
      <c r="AM75" s="11">
        <f>'EU Ref Scenario 2020'!AM75/'EU Ref Scenario 2020'!AL75</f>
        <v>0.99252061475752429</v>
      </c>
      <c r="AN75" s="11">
        <f>'EU Ref Scenario 2020'!AN75/'EU Ref Scenario 2020'!AM75</f>
        <v>0.99246425199510546</v>
      </c>
      <c r="AO75" s="11">
        <f>'EU Ref Scenario 2020'!AO75/'EU Ref Scenario 2020'!AN75</f>
        <v>1</v>
      </c>
      <c r="AP75" s="11">
        <f>'EU Ref Scenario 2020'!AP75/'EU Ref Scenario 2020'!AO75</f>
        <v>1</v>
      </c>
      <c r="AQ75" s="11">
        <f>'EU Ref Scenario 2020'!AQ75/'EU Ref Scenario 2020'!AP75</f>
        <v>1</v>
      </c>
      <c r="AR75" s="11">
        <f>'EU Ref Scenario 2020'!AR75/'EU Ref Scenario 2020'!AQ75</f>
        <v>1</v>
      </c>
      <c r="AS75" s="11">
        <f>'EU Ref Scenario 2020'!AS75/'EU Ref Scenario 2020'!AR75</f>
        <v>1</v>
      </c>
      <c r="AT75" s="11">
        <f>'EU Ref Scenario 2020'!AT75/'EU Ref Scenario 2020'!AS75</f>
        <v>1</v>
      </c>
      <c r="AU75" s="11">
        <f>'EU Ref Scenario 2020'!AU75/'EU Ref Scenario 2020'!AT75</f>
        <v>1</v>
      </c>
      <c r="AV75" s="11">
        <f>'EU Ref Scenario 2020'!AV75/'EU Ref Scenario 2020'!AU75</f>
        <v>1</v>
      </c>
      <c r="AW75" s="11">
        <f>'EU Ref Scenario 2020'!AW75/'EU Ref Scenario 2020'!AV75</f>
        <v>1</v>
      </c>
      <c r="AX75" s="11">
        <f>'EU Ref Scenario 2020'!AX75/'EU Ref Scenario 2020'!AW75</f>
        <v>1</v>
      </c>
    </row>
    <row r="76" spans="1:50" x14ac:dyDescent="0.3">
      <c r="A76" t="s">
        <v>1421</v>
      </c>
      <c r="B76" t="s">
        <v>1439</v>
      </c>
      <c r="F76" s="11">
        <f>'EU Ref Scenario 2020'!F76/'EU Ref Scenario 2020'!E76</f>
        <v>1.0004024209788036</v>
      </c>
      <c r="G76" s="11">
        <f>'EU Ref Scenario 2020'!G76/'EU Ref Scenario 2020'!F76</f>
        <v>1.0004022591013022</v>
      </c>
      <c r="H76" s="11">
        <f>'EU Ref Scenario 2020'!H76/'EU Ref Scenario 2020'!G76</f>
        <v>1.000402097353982</v>
      </c>
      <c r="I76" s="11">
        <f>'EU Ref Scenario 2020'!I76/'EU Ref Scenario 2020'!H76</f>
        <v>1.0004019357366858</v>
      </c>
      <c r="J76" s="11">
        <f>'EU Ref Scenario 2020'!J76/'EU Ref Scenario 2020'!I76</f>
        <v>1.0004017742492568</v>
      </c>
      <c r="K76" s="11">
        <f>'EU Ref Scenario 2020'!K76/'EU Ref Scenario 2020'!J76</f>
        <v>0.99990150259443222</v>
      </c>
      <c r="L76" s="11">
        <f>'EU Ref Scenario 2020'!L76/'EU Ref Scenario 2020'!K76</f>
        <v>0.99990149289173769</v>
      </c>
      <c r="M76" s="11">
        <f>'EU Ref Scenario 2020'!M76/'EU Ref Scenario 2020'!L76</f>
        <v>0.99990148318713135</v>
      </c>
      <c r="N76" s="11">
        <f>'EU Ref Scenario 2020'!N76/'EU Ref Scenario 2020'!M76</f>
        <v>0.99990147348061265</v>
      </c>
      <c r="O76" s="11">
        <f>'EU Ref Scenario 2020'!O76/'EU Ref Scenario 2020'!N76</f>
        <v>0.99990146377218125</v>
      </c>
      <c r="P76" s="11">
        <f>'EU Ref Scenario 2020'!P76/'EU Ref Scenario 2020'!O76</f>
        <v>0.99196207864288033</v>
      </c>
      <c r="Q76" s="11">
        <f>'EU Ref Scenario 2020'!Q76/'EU Ref Scenario 2020'!P76</f>
        <v>0.99189694693962849</v>
      </c>
      <c r="R76" s="11">
        <f>'EU Ref Scenario 2020'!R76/'EU Ref Scenario 2020'!Q76</f>
        <v>0.99183075108218399</v>
      </c>
      <c r="S76" s="11">
        <f>'EU Ref Scenario 2020'!S76/'EU Ref Scenario 2020'!R76</f>
        <v>0.99176346477571653</v>
      </c>
      <c r="T76" s="11">
        <f>'EU Ref Scenario 2020'!T76/'EU Ref Scenario 2020'!S76</f>
        <v>0.99169506085188786</v>
      </c>
      <c r="U76" s="11">
        <f>'EU Ref Scenario 2020'!U76/'EU Ref Scenario 2020'!T76</f>
        <v>0.9863253797960333</v>
      </c>
      <c r="V76" s="11">
        <f>'EU Ref Scenario 2020'!V76/'EU Ref Scenario 2020'!U76</f>
        <v>0.98613579201744295</v>
      </c>
      <c r="W76" s="11">
        <f>'EU Ref Scenario 2020'!W76/'EU Ref Scenario 2020'!V76</f>
        <v>0.98594087336167613</v>
      </c>
      <c r="X76" s="11">
        <f>'EU Ref Scenario 2020'!X76/'EU Ref Scenario 2020'!W76</f>
        <v>0.98574039578013672</v>
      </c>
      <c r="Y76" s="11">
        <f>'EU Ref Scenario 2020'!Y76/'EU Ref Scenario 2020'!X76</f>
        <v>0.9855341180285323</v>
      </c>
      <c r="Z76" s="11">
        <f>'EU Ref Scenario 2020'!Z76/'EU Ref Scenario 2020'!Y76</f>
        <v>0.98015906144993092</v>
      </c>
      <c r="AA76" s="11">
        <f>'EU Ref Scenario 2020'!AA76/'EU Ref Scenario 2020'!Z76</f>
        <v>0.97975742985968139</v>
      </c>
      <c r="AB76" s="11">
        <f>'EU Ref Scenario 2020'!AB76/'EU Ref Scenario 2020'!AA76</f>
        <v>0.97933920221128845</v>
      </c>
      <c r="AC76" s="11">
        <f>'EU Ref Scenario 2020'!AC76/'EU Ref Scenario 2020'!AB76</f>
        <v>0.97890332813997361</v>
      </c>
      <c r="AD76" s="11">
        <f>'EU Ref Scenario 2020'!AD76/'EU Ref Scenario 2020'!AC76</f>
        <v>0.97844866673391317</v>
      </c>
      <c r="AE76" s="11">
        <f>'EU Ref Scenario 2020'!AE76/'EU Ref Scenario 2020'!AD76</f>
        <v>0.98884293888832397</v>
      </c>
      <c r="AF76" s="11">
        <f>'EU Ref Scenario 2020'!AF76/'EU Ref Scenario 2020'!AE76</f>
        <v>0.98871705437446011</v>
      </c>
      <c r="AG76" s="11">
        <f>'EU Ref Scenario 2020'!AG76/'EU Ref Scenario 2020'!AF76</f>
        <v>0.98858829674716364</v>
      </c>
      <c r="AH76" s="11">
        <f>'EU Ref Scenario 2020'!AH76/'EU Ref Scenario 2020'!AG76</f>
        <v>0.98845656650965286</v>
      </c>
      <c r="AI76" s="11">
        <f>'EU Ref Scenario 2020'!AI76/'EU Ref Scenario 2020'!AH76</f>
        <v>0.9883217595173569</v>
      </c>
      <c r="AJ76" s="11">
        <f>'EU Ref Scenario 2020'!AJ76/'EU Ref Scenario 2020'!AI76</f>
        <v>0.99025556634029122</v>
      </c>
      <c r="AK76" s="11">
        <f>'EU Ref Scenario 2020'!AK76/'EU Ref Scenario 2020'!AJ76</f>
        <v>0.9901596779751296</v>
      </c>
      <c r="AL76" s="11">
        <f>'EU Ref Scenario 2020'!AL76/'EU Ref Scenario 2020'!AK76</f>
        <v>0.99006188371052051</v>
      </c>
      <c r="AM76" s="11">
        <f>'EU Ref Scenario 2020'!AM76/'EU Ref Scenario 2020'!AL76</f>
        <v>0.98996212615292922</v>
      </c>
      <c r="AN76" s="11">
        <f>'EU Ref Scenario 2020'!AN76/'EU Ref Scenario 2020'!AM76</f>
        <v>0.98986034558101899</v>
      </c>
      <c r="AO76" s="11">
        <f>'EU Ref Scenario 2020'!AO76/'EU Ref Scenario 2020'!AN76</f>
        <v>1</v>
      </c>
      <c r="AP76" s="11">
        <f>'EU Ref Scenario 2020'!AP76/'EU Ref Scenario 2020'!AO76</f>
        <v>1</v>
      </c>
      <c r="AQ76" s="11">
        <f>'EU Ref Scenario 2020'!AQ76/'EU Ref Scenario 2020'!AP76</f>
        <v>1</v>
      </c>
      <c r="AR76" s="11">
        <f>'EU Ref Scenario 2020'!AR76/'EU Ref Scenario 2020'!AQ76</f>
        <v>1</v>
      </c>
      <c r="AS76" s="11">
        <f>'EU Ref Scenario 2020'!AS76/'EU Ref Scenario 2020'!AR76</f>
        <v>1</v>
      </c>
      <c r="AT76" s="11">
        <f>'EU Ref Scenario 2020'!AT76/'EU Ref Scenario 2020'!AS76</f>
        <v>1</v>
      </c>
      <c r="AU76" s="11">
        <f>'EU Ref Scenario 2020'!AU76/'EU Ref Scenario 2020'!AT76</f>
        <v>1</v>
      </c>
      <c r="AV76" s="11">
        <f>'EU Ref Scenario 2020'!AV76/'EU Ref Scenario 2020'!AU76</f>
        <v>1</v>
      </c>
      <c r="AW76" s="11">
        <f>'EU Ref Scenario 2020'!AW76/'EU Ref Scenario 2020'!AV76</f>
        <v>1</v>
      </c>
      <c r="AX76" s="11">
        <f>'EU Ref Scenario 2020'!AX76/'EU Ref Scenario 2020'!AW76</f>
        <v>1</v>
      </c>
    </row>
    <row r="77" spans="1:50" x14ac:dyDescent="0.3">
      <c r="A77" t="s">
        <v>1421</v>
      </c>
      <c r="B77" t="s">
        <v>1435</v>
      </c>
      <c r="F77" s="11">
        <f>'EU Ref Scenario 2020'!F77/'EU Ref Scenario 2020'!E77</f>
        <v>1.0009373654579707</v>
      </c>
      <c r="G77" s="11">
        <f>'EU Ref Scenario 2020'!G77/'EU Ref Scenario 2020'!F77</f>
        <v>1.0009364876268174</v>
      </c>
      <c r="H77" s="11">
        <f>'EU Ref Scenario 2020'!H77/'EU Ref Scenario 2020'!G77</f>
        <v>1.0009356114382819</v>
      </c>
      <c r="I77" s="11">
        <f>'EU Ref Scenario 2020'!I77/'EU Ref Scenario 2020'!H77</f>
        <v>1.0009347368877581</v>
      </c>
      <c r="J77" s="11">
        <f>'EU Ref Scenario 2020'!J77/'EU Ref Scenario 2020'!I77</f>
        <v>1.0009338639706564</v>
      </c>
      <c r="K77" s="11">
        <f>'EU Ref Scenario 2020'!K77/'EU Ref Scenario 2020'!J77</f>
        <v>1.0047484896116485</v>
      </c>
      <c r="L77" s="11">
        <f>'EU Ref Scenario 2020'!L77/'EU Ref Scenario 2020'!K77</f>
        <v>1.0047260480217133</v>
      </c>
      <c r="M77" s="11">
        <f>'EU Ref Scenario 2020'!M77/'EU Ref Scenario 2020'!L77</f>
        <v>1.0047038175540675</v>
      </c>
      <c r="N77" s="11">
        <f>'EU Ref Scenario 2020'!N77/'EU Ref Scenario 2020'!M77</f>
        <v>1.0046817952434168</v>
      </c>
      <c r="O77" s="11">
        <f>'EU Ref Scenario 2020'!O77/'EU Ref Scenario 2020'!N77</f>
        <v>1.0046599781797403</v>
      </c>
      <c r="P77" s="11">
        <f>'EU Ref Scenario 2020'!P77/'EU Ref Scenario 2020'!O77</f>
        <v>0.99148526234247369</v>
      </c>
      <c r="Q77" s="11">
        <f>'EU Ref Scenario 2020'!Q77/'EU Ref Scenario 2020'!P77</f>
        <v>0.99141213895866742</v>
      </c>
      <c r="R77" s="11">
        <f>'EU Ref Scenario 2020'!R77/'EU Ref Scenario 2020'!Q77</f>
        <v>0.99133774874861547</v>
      </c>
      <c r="S77" s="11">
        <f>'EU Ref Scenario 2020'!S77/'EU Ref Scenario 2020'!R77</f>
        <v>0.99126205850395677</v>
      </c>
      <c r="T77" s="11">
        <f>'EU Ref Scenario 2020'!T77/'EU Ref Scenario 2020'!S77</f>
        <v>0.99118503384540857</v>
      </c>
      <c r="U77" s="11">
        <f>'EU Ref Scenario 2020'!U77/'EU Ref Scenario 2020'!T77</f>
        <v>0.98921143754955199</v>
      </c>
      <c r="V77" s="11">
        <f>'EU Ref Scenario 2020'!V77/'EU Ref Scenario 2020'!U77</f>
        <v>0.98909377506069562</v>
      </c>
      <c r="W77" s="11">
        <f>'EU Ref Scenario 2020'!W77/'EU Ref Scenario 2020'!V77</f>
        <v>0.98897351776515319</v>
      </c>
      <c r="X77" s="11">
        <f>'EU Ref Scenario 2020'!X77/'EU Ref Scenario 2020'!W77</f>
        <v>0.98885057887114702</v>
      </c>
      <c r="Y77" s="11">
        <f>'EU Ref Scenario 2020'!Y77/'EU Ref Scenario 2020'!X77</f>
        <v>0.98872486767254497</v>
      </c>
      <c r="Z77" s="11">
        <f>'EU Ref Scenario 2020'!Z77/'EU Ref Scenario 2020'!Y77</f>
        <v>1.000110171603056</v>
      </c>
      <c r="AA77" s="11">
        <f>'EU Ref Scenario 2020'!AA77/'EU Ref Scenario 2020'!Z77</f>
        <v>1.0001101594666111</v>
      </c>
      <c r="AB77" s="11">
        <f>'EU Ref Scenario 2020'!AB77/'EU Ref Scenario 2020'!AA77</f>
        <v>1.0001101473328395</v>
      </c>
      <c r="AC77" s="11">
        <f>'EU Ref Scenario 2020'!AC77/'EU Ref Scenario 2020'!AB77</f>
        <v>1.000110135201741</v>
      </c>
      <c r="AD77" s="11">
        <f>'EU Ref Scenario 2020'!AD77/'EU Ref Scenario 2020'!AC77</f>
        <v>1.0001101230733136</v>
      </c>
      <c r="AE77" s="11">
        <f>'EU Ref Scenario 2020'!AE77/'EU Ref Scenario 2020'!AD77</f>
        <v>0.99565960710271173</v>
      </c>
      <c r="AF77" s="11">
        <f>'EU Ref Scenario 2020'!AF77/'EU Ref Scenario 2020'!AE77</f>
        <v>0.99564068596704614</v>
      </c>
      <c r="AG77" s="11">
        <f>'EU Ref Scenario 2020'!AG77/'EU Ref Scenario 2020'!AF77</f>
        <v>0.99562159914274717</v>
      </c>
      <c r="AH77" s="11">
        <f>'EU Ref Scenario 2020'!AH77/'EU Ref Scenario 2020'!AG77</f>
        <v>0.9956023444438904</v>
      </c>
      <c r="AI77" s="11">
        <f>'EU Ref Scenario 2020'!AI77/'EU Ref Scenario 2020'!AH77</f>
        <v>0.99558291964592971</v>
      </c>
      <c r="AJ77" s="11">
        <f>'EU Ref Scenario 2020'!AJ77/'EU Ref Scenario 2020'!AI77</f>
        <v>0.99710270553732216</v>
      </c>
      <c r="AK77" s="11">
        <f>'EU Ref Scenario 2020'!AK77/'EU Ref Scenario 2020'!AJ77</f>
        <v>0.99709428683064638</v>
      </c>
      <c r="AL77" s="11">
        <f>'EU Ref Scenario 2020'!AL77/'EU Ref Scenario 2020'!AK77</f>
        <v>0.99708581905670157</v>
      </c>
      <c r="AM77" s="11">
        <f>'EU Ref Scenario 2020'!AM77/'EU Ref Scenario 2020'!AL77</f>
        <v>0.99707730178526122</v>
      </c>
      <c r="AN77" s="11">
        <f>'EU Ref Scenario 2020'!AN77/'EU Ref Scenario 2020'!AM77</f>
        <v>0.99706873458105449</v>
      </c>
      <c r="AO77" s="11">
        <f>'EU Ref Scenario 2020'!AO77/'EU Ref Scenario 2020'!AN77</f>
        <v>1</v>
      </c>
      <c r="AP77" s="11">
        <f>'EU Ref Scenario 2020'!AP77/'EU Ref Scenario 2020'!AO77</f>
        <v>1</v>
      </c>
      <c r="AQ77" s="11">
        <f>'EU Ref Scenario 2020'!AQ77/'EU Ref Scenario 2020'!AP77</f>
        <v>1</v>
      </c>
      <c r="AR77" s="11">
        <f>'EU Ref Scenario 2020'!AR77/'EU Ref Scenario 2020'!AQ77</f>
        <v>1</v>
      </c>
      <c r="AS77" s="11">
        <f>'EU Ref Scenario 2020'!AS77/'EU Ref Scenario 2020'!AR77</f>
        <v>1</v>
      </c>
      <c r="AT77" s="11">
        <f>'EU Ref Scenario 2020'!AT77/'EU Ref Scenario 2020'!AS77</f>
        <v>1</v>
      </c>
      <c r="AU77" s="11">
        <f>'EU Ref Scenario 2020'!AU77/'EU Ref Scenario 2020'!AT77</f>
        <v>1</v>
      </c>
      <c r="AV77" s="11">
        <f>'EU Ref Scenario 2020'!AV77/'EU Ref Scenario 2020'!AU77</f>
        <v>1</v>
      </c>
      <c r="AW77" s="11">
        <f>'EU Ref Scenario 2020'!AW77/'EU Ref Scenario 2020'!AV77</f>
        <v>1</v>
      </c>
      <c r="AX77" s="11">
        <f>'EU Ref Scenario 2020'!AX77/'EU Ref Scenario 2020'!AW77</f>
        <v>1</v>
      </c>
    </row>
    <row r="78" spans="1:50" x14ac:dyDescent="0.3">
      <c r="A78" t="s">
        <v>1422</v>
      </c>
      <c r="B78" t="s">
        <v>1434</v>
      </c>
      <c r="F78" s="11">
        <f>'EU Ref Scenario 2020'!F78/'EU Ref Scenario 2020'!E78</f>
        <v>0.99303520543938772</v>
      </c>
      <c r="G78" s="11">
        <f>'EU Ref Scenario 2020'!G78/'EU Ref Scenario 2020'!F78</f>
        <v>0.99298635685576675</v>
      </c>
      <c r="H78" s="11">
        <f>'EU Ref Scenario 2020'!H78/'EU Ref Scenario 2020'!G78</f>
        <v>0.99293681821929403</v>
      </c>
      <c r="I78" s="11">
        <f>'EU Ref Scenario 2020'!I78/'EU Ref Scenario 2020'!H78</f>
        <v>0.99288657480405151</v>
      </c>
      <c r="J78" s="11">
        <f>'EU Ref Scenario 2020'!J78/'EU Ref Scenario 2020'!I78</f>
        <v>0.99283561146211241</v>
      </c>
      <c r="K78" s="11">
        <f>'EU Ref Scenario 2020'!K78/'EU Ref Scenario 2020'!J78</f>
        <v>1.0370976271557832</v>
      </c>
      <c r="L78" s="11">
        <f>'EU Ref Scenario 2020'!L78/'EU Ref Scenario 2020'!K78</f>
        <v>1.03577062195921</v>
      </c>
      <c r="M78" s="11">
        <f>'EU Ref Scenario 2020'!M78/'EU Ref Scenario 2020'!L78</f>
        <v>1.0345352737380678</v>
      </c>
      <c r="N78" s="11">
        <f>'EU Ref Scenario 2020'!N78/'EU Ref Scenario 2020'!M78</f>
        <v>1.0333824033019985</v>
      </c>
      <c r="O78" s="11">
        <f>'EU Ref Scenario 2020'!O78/'EU Ref Scenario 2020'!N78</f>
        <v>1.0323040175595508</v>
      </c>
      <c r="P78" s="11">
        <f>'EU Ref Scenario 2020'!P78/'EU Ref Scenario 2020'!O78</f>
        <v>1.0075090811309497</v>
      </c>
      <c r="Q78" s="11">
        <f>'EU Ref Scenario 2020'!Q78/'EU Ref Scenario 2020'!P78</f>
        <v>1.0074531150850974</v>
      </c>
      <c r="R78" s="11">
        <f>'EU Ref Scenario 2020'!R78/'EU Ref Scenario 2020'!Q78</f>
        <v>1.0073979771102974</v>
      </c>
      <c r="S78" s="11">
        <f>'EU Ref Scenario 2020'!S78/'EU Ref Scenario 2020'!R78</f>
        <v>1.0073436489633605</v>
      </c>
      <c r="T78" s="11">
        <f>'EU Ref Scenario 2020'!T78/'EU Ref Scenario 2020'!S78</f>
        <v>1.0072901129330767</v>
      </c>
      <c r="U78" s="11">
        <f>'EU Ref Scenario 2020'!U78/'EU Ref Scenario 2020'!T78</f>
        <v>0.99663445457386068</v>
      </c>
      <c r="V78" s="11">
        <f>'EU Ref Scenario 2020'!V78/'EU Ref Scenario 2020'!U78</f>
        <v>0.99662308942793032</v>
      </c>
      <c r="W78" s="11">
        <f>'EU Ref Scenario 2020'!W78/'EU Ref Scenario 2020'!V78</f>
        <v>0.9966116472637534</v>
      </c>
      <c r="X78" s="11">
        <f>'EU Ref Scenario 2020'!X78/'EU Ref Scenario 2020'!W78</f>
        <v>0.99660012729577319</v>
      </c>
      <c r="Y78" s="11">
        <f>'EU Ref Scenario 2020'!Y78/'EU Ref Scenario 2020'!X78</f>
        <v>0.99658852872771297</v>
      </c>
      <c r="Z78" s="11">
        <f>'EU Ref Scenario 2020'!Z78/'EU Ref Scenario 2020'!Y78</f>
        <v>0.99247376533682208</v>
      </c>
      <c r="AA78" s="11">
        <f>'EU Ref Scenario 2020'!AA78/'EU Ref Scenario 2020'!Z78</f>
        <v>0.99241669157811574</v>
      </c>
      <c r="AB78" s="11">
        <f>'EU Ref Scenario 2020'!AB78/'EU Ref Scenario 2020'!AA78</f>
        <v>0.99235874558918846</v>
      </c>
      <c r="AC78" s="11">
        <f>'EU Ref Scenario 2020'!AC78/'EU Ref Scenario 2020'!AB78</f>
        <v>0.99229990722127936</v>
      </c>
      <c r="AD78" s="11">
        <f>'EU Ref Scenario 2020'!AD78/'EU Ref Scenario 2020'!AC78</f>
        <v>0.99224015570022239</v>
      </c>
      <c r="AE78" s="11">
        <f>'EU Ref Scenario 2020'!AE78/'EU Ref Scenario 2020'!AD78</f>
        <v>0.99448160613819703</v>
      </c>
      <c r="AF78" s="11">
        <f>'EU Ref Scenario 2020'!AF78/'EU Ref Scenario 2020'!AE78</f>
        <v>0.99445098448504021</v>
      </c>
      <c r="AG78" s="11">
        <f>'EU Ref Scenario 2020'!AG78/'EU Ref Scenario 2020'!AF78</f>
        <v>0.99442002109552619</v>
      </c>
      <c r="AH78" s="11">
        <f>'EU Ref Scenario 2020'!AH78/'EU Ref Scenario 2020'!AG78</f>
        <v>0.99438871021690967</v>
      </c>
      <c r="AI78" s="11">
        <f>'EU Ref Scenario 2020'!AI78/'EU Ref Scenario 2020'!AH78</f>
        <v>0.99435704596659547</v>
      </c>
      <c r="AJ78" s="11">
        <f>'EU Ref Scenario 2020'!AJ78/'EU Ref Scenario 2020'!AI78</f>
        <v>0.99589893385854411</v>
      </c>
      <c r="AK78" s="11">
        <f>'EU Ref Scenario 2020'!AK78/'EU Ref Scenario 2020'!AJ78</f>
        <v>0.99588204585623308</v>
      </c>
      <c r="AL78" s="11">
        <f>'EU Ref Scenario 2020'!AL78/'EU Ref Scenario 2020'!AK78</f>
        <v>0.99586501819075723</v>
      </c>
      <c r="AM78" s="11">
        <f>'EU Ref Scenario 2020'!AM78/'EU Ref Scenario 2020'!AL78</f>
        <v>0.9958478491224092</v>
      </c>
      <c r="AN78" s="11">
        <f>'EU Ref Scenario 2020'!AN78/'EU Ref Scenario 2020'!AM78</f>
        <v>0.99583053688246637</v>
      </c>
      <c r="AO78" s="11">
        <f>'EU Ref Scenario 2020'!AO78/'EU Ref Scenario 2020'!AN78</f>
        <v>1</v>
      </c>
      <c r="AP78" s="11">
        <f>'EU Ref Scenario 2020'!AP78/'EU Ref Scenario 2020'!AO78</f>
        <v>1</v>
      </c>
      <c r="AQ78" s="11">
        <f>'EU Ref Scenario 2020'!AQ78/'EU Ref Scenario 2020'!AP78</f>
        <v>1</v>
      </c>
      <c r="AR78" s="11">
        <f>'EU Ref Scenario 2020'!AR78/'EU Ref Scenario 2020'!AQ78</f>
        <v>1</v>
      </c>
      <c r="AS78" s="11">
        <f>'EU Ref Scenario 2020'!AS78/'EU Ref Scenario 2020'!AR78</f>
        <v>1</v>
      </c>
      <c r="AT78" s="11">
        <f>'EU Ref Scenario 2020'!AT78/'EU Ref Scenario 2020'!AS78</f>
        <v>1</v>
      </c>
      <c r="AU78" s="11">
        <f>'EU Ref Scenario 2020'!AU78/'EU Ref Scenario 2020'!AT78</f>
        <v>1</v>
      </c>
      <c r="AV78" s="11">
        <f>'EU Ref Scenario 2020'!AV78/'EU Ref Scenario 2020'!AU78</f>
        <v>1</v>
      </c>
      <c r="AW78" s="11">
        <f>'EU Ref Scenario 2020'!AW78/'EU Ref Scenario 2020'!AV78</f>
        <v>1</v>
      </c>
      <c r="AX78" s="11">
        <f>'EU Ref Scenario 2020'!AX78/'EU Ref Scenario 2020'!AW78</f>
        <v>1</v>
      </c>
    </row>
    <row r="79" spans="1:50" x14ac:dyDescent="0.3">
      <c r="A79" t="s">
        <v>1422</v>
      </c>
      <c r="B79" t="s">
        <v>1439</v>
      </c>
      <c r="F79" s="11">
        <f>'EU Ref Scenario 2020'!F79/'EU Ref Scenario 2020'!E79</f>
        <v>0.98405907677471072</v>
      </c>
      <c r="G79" s="11">
        <f>'EU Ref Scenario 2020'!G79/'EU Ref Scenario 2020'!F79</f>
        <v>0.98380084732561368</v>
      </c>
      <c r="H79" s="11">
        <f>'EU Ref Scenario 2020'!H79/'EU Ref Scenario 2020'!G79</f>
        <v>0.9835341139231355</v>
      </c>
      <c r="I79" s="11">
        <f>'EU Ref Scenario 2020'!I79/'EU Ref Scenario 2020'!H79</f>
        <v>0.98325844945918028</v>
      </c>
      <c r="J79" s="11">
        <f>'EU Ref Scenario 2020'!J79/'EU Ref Scenario 2020'!I79</f>
        <v>0.98297339773685355</v>
      </c>
      <c r="K79" s="11">
        <f>'EU Ref Scenario 2020'!K79/'EU Ref Scenario 2020'!J79</f>
        <v>1.0241806564604452</v>
      </c>
      <c r="L79" s="11">
        <f>'EU Ref Scenario 2020'!L79/'EU Ref Scenario 2020'!K79</f>
        <v>1.0236097570364326</v>
      </c>
      <c r="M79" s="11">
        <f>'EU Ref Scenario 2020'!M79/'EU Ref Scenario 2020'!L79</f>
        <v>1.0230651934237007</v>
      </c>
      <c r="N79" s="11">
        <f>'EU Ref Scenario 2020'!N79/'EU Ref Scenario 2020'!M79</f>
        <v>1.0225451843850859</v>
      </c>
      <c r="O79" s="11">
        <f>'EU Ref Scenario 2020'!O79/'EU Ref Scenario 2020'!N79</f>
        <v>1.0220481057750455</v>
      </c>
      <c r="P79" s="11">
        <f>'EU Ref Scenario 2020'!P79/'EU Ref Scenario 2020'!O79</f>
        <v>0.99763548523323153</v>
      </c>
      <c r="Q79" s="11">
        <f>'EU Ref Scenario 2020'!Q79/'EU Ref Scenario 2020'!P79</f>
        <v>0.99762988105198003</v>
      </c>
      <c r="R79" s="11">
        <f>'EU Ref Scenario 2020'!R79/'EU Ref Scenario 2020'!Q79</f>
        <v>0.99762425024246393</v>
      </c>
      <c r="S79" s="11">
        <f>'EU Ref Scenario 2020'!S79/'EU Ref Scenario 2020'!R79</f>
        <v>0.99761859261444508</v>
      </c>
      <c r="T79" s="11">
        <f>'EU Ref Scenario 2020'!T79/'EU Ref Scenario 2020'!S79</f>
        <v>0.99761290797586855</v>
      </c>
      <c r="U79" s="11">
        <f>'EU Ref Scenario 2020'!U79/'EU Ref Scenario 2020'!T79</f>
        <v>0.99109348080674653</v>
      </c>
      <c r="V79" s="11">
        <f>'EU Ref Scenario 2020'!V79/'EU Ref Scenario 2020'!U79</f>
        <v>0.99101344185413909</v>
      </c>
      <c r="W79" s="11">
        <f>'EU Ref Scenario 2020'!W79/'EU Ref Scenario 2020'!V79</f>
        <v>0.99093195130729261</v>
      </c>
      <c r="X79" s="11">
        <f>'EU Ref Scenario 2020'!X79/'EU Ref Scenario 2020'!W79</f>
        <v>0.99084896931545674</v>
      </c>
      <c r="Y79" s="11">
        <f>'EU Ref Scenario 2020'!Y79/'EU Ref Scenario 2020'!X79</f>
        <v>0.99076445455570761</v>
      </c>
      <c r="Z79" s="11">
        <f>'EU Ref Scenario 2020'!Z79/'EU Ref Scenario 2020'!Y79</f>
        <v>0.98690428877332925</v>
      </c>
      <c r="AA79" s="11">
        <f>'EU Ref Scenario 2020'!AA79/'EU Ref Scenario 2020'!Z79</f>
        <v>0.98673051543534374</v>
      </c>
      <c r="AB79" s="11">
        <f>'EU Ref Scenario 2020'!AB79/'EU Ref Scenario 2020'!AA79</f>
        <v>0.98655206831340192</v>
      </c>
      <c r="AC79" s="11">
        <f>'EU Ref Scenario 2020'!AC79/'EU Ref Scenario 2020'!AB79</f>
        <v>0.98636875627903897</v>
      </c>
      <c r="AD79" s="11">
        <f>'EU Ref Scenario 2020'!AD79/'EU Ref Scenario 2020'!AC79</f>
        <v>0.98618037763849775</v>
      </c>
      <c r="AE79" s="11">
        <f>'EU Ref Scenario 2020'!AE79/'EU Ref Scenario 2020'!AD79</f>
        <v>0.99009178351933891</v>
      </c>
      <c r="AF79" s="11">
        <f>'EU Ref Scenario 2020'!AF79/'EU Ref Scenario 2020'!AE79</f>
        <v>0.98999262831427426</v>
      </c>
      <c r="AG79" s="11">
        <f>'EU Ref Scenario 2020'!AG79/'EU Ref Scenario 2020'!AF79</f>
        <v>0.98989146848217857</v>
      </c>
      <c r="AH79" s="11">
        <f>'EU Ref Scenario 2020'!AH79/'EU Ref Scenario 2020'!AG79</f>
        <v>0.98978824261075704</v>
      </c>
      <c r="AI79" s="11">
        <f>'EU Ref Scenario 2020'!AI79/'EU Ref Scenario 2020'!AH79</f>
        <v>0.98968288675332483</v>
      </c>
      <c r="AJ79" s="11">
        <f>'EU Ref Scenario 2020'!AJ79/'EU Ref Scenario 2020'!AI79</f>
        <v>0.99449074522486192</v>
      </c>
      <c r="AK79" s="11">
        <f>'EU Ref Scenario 2020'!AK79/'EU Ref Scenario 2020'!AJ79</f>
        <v>0.99446022519405908</v>
      </c>
      <c r="AL79" s="11">
        <f>'EU Ref Scenario 2020'!AL79/'EU Ref Scenario 2020'!AK79</f>
        <v>0.99442936513136071</v>
      </c>
      <c r="AM79" s="11">
        <f>'EU Ref Scenario 2020'!AM79/'EU Ref Scenario 2020'!AL79</f>
        <v>0.9943981593223532</v>
      </c>
      <c r="AN79" s="11">
        <f>'EU Ref Scenario 2020'!AN79/'EU Ref Scenario 2020'!AM79</f>
        <v>0.99436660192385706</v>
      </c>
      <c r="AO79" s="11">
        <f>'EU Ref Scenario 2020'!AO79/'EU Ref Scenario 2020'!AN79</f>
        <v>1</v>
      </c>
      <c r="AP79" s="11">
        <f>'EU Ref Scenario 2020'!AP79/'EU Ref Scenario 2020'!AO79</f>
        <v>1</v>
      </c>
      <c r="AQ79" s="11">
        <f>'EU Ref Scenario 2020'!AQ79/'EU Ref Scenario 2020'!AP79</f>
        <v>1</v>
      </c>
      <c r="AR79" s="11">
        <f>'EU Ref Scenario 2020'!AR79/'EU Ref Scenario 2020'!AQ79</f>
        <v>1</v>
      </c>
      <c r="AS79" s="11">
        <f>'EU Ref Scenario 2020'!AS79/'EU Ref Scenario 2020'!AR79</f>
        <v>1</v>
      </c>
      <c r="AT79" s="11">
        <f>'EU Ref Scenario 2020'!AT79/'EU Ref Scenario 2020'!AS79</f>
        <v>1</v>
      </c>
      <c r="AU79" s="11">
        <f>'EU Ref Scenario 2020'!AU79/'EU Ref Scenario 2020'!AT79</f>
        <v>1</v>
      </c>
      <c r="AV79" s="11">
        <f>'EU Ref Scenario 2020'!AV79/'EU Ref Scenario 2020'!AU79</f>
        <v>1</v>
      </c>
      <c r="AW79" s="11">
        <f>'EU Ref Scenario 2020'!AW79/'EU Ref Scenario 2020'!AV79</f>
        <v>1</v>
      </c>
      <c r="AX79" s="11">
        <f>'EU Ref Scenario 2020'!AX79/'EU Ref Scenario 2020'!AW79</f>
        <v>1</v>
      </c>
    </row>
    <row r="80" spans="1:50" x14ac:dyDescent="0.3">
      <c r="A80" t="s">
        <v>1422</v>
      </c>
      <c r="B80" t="s">
        <v>1435</v>
      </c>
      <c r="F80" s="11">
        <f>'EU Ref Scenario 2020'!F80/'EU Ref Scenario 2020'!E80</f>
        <v>1.0093733249828192</v>
      </c>
      <c r="G80" s="11">
        <f>'EU Ref Scenario 2020'!G80/'EU Ref Scenario 2020'!F80</f>
        <v>1.0092862816470594</v>
      </c>
      <c r="H80" s="11">
        <f>'EU Ref Scenario 2020'!H80/'EU Ref Scenario 2020'!G80</f>
        <v>1.0092008400549197</v>
      </c>
      <c r="I80" s="11">
        <f>'EU Ref Scenario 2020'!I80/'EU Ref Scenario 2020'!H80</f>
        <v>1.0091169563973204</v>
      </c>
      <c r="J80" s="11">
        <f>'EU Ref Scenario 2020'!J80/'EU Ref Scenario 2020'!I80</f>
        <v>1.0090345884483691</v>
      </c>
      <c r="K80" s="11">
        <f>'EU Ref Scenario 2020'!K80/'EU Ref Scenario 2020'!J80</f>
        <v>1.0577661559323071</v>
      </c>
      <c r="L80" s="11">
        <f>'EU Ref Scenario 2020'!L80/'EU Ref Scenario 2020'!K80</f>
        <v>1.0546114617189584</v>
      </c>
      <c r="M80" s="11">
        <f>'EU Ref Scenario 2020'!M80/'EU Ref Scenario 2020'!L80</f>
        <v>1.051783489655939</v>
      </c>
      <c r="N80" s="11">
        <f>'EU Ref Scenario 2020'!N80/'EU Ref Scenario 2020'!M80</f>
        <v>1.0492339822456032</v>
      </c>
      <c r="O80" s="11">
        <f>'EU Ref Scenario 2020'!O80/'EU Ref Scenario 2020'!N80</f>
        <v>1.0469237396793338</v>
      </c>
      <c r="P80" s="11">
        <f>'EU Ref Scenario 2020'!P80/'EU Ref Scenario 2020'!O80</f>
        <v>1.0212493895075609</v>
      </c>
      <c r="Q80" s="11">
        <f>'EU Ref Scenario 2020'!Q80/'EU Ref Scenario 2020'!P80</f>
        <v>1.0208072481862702</v>
      </c>
      <c r="R80" s="11">
        <f>'EU Ref Scenario 2020'!R80/'EU Ref Scenario 2020'!Q80</f>
        <v>1.0203831313142024</v>
      </c>
      <c r="S80" s="11">
        <f>'EU Ref Scenario 2020'!S80/'EU Ref Scenario 2020'!R80</f>
        <v>1.0199759587243959</v>
      </c>
      <c r="T80" s="11">
        <f>'EU Ref Scenario 2020'!T80/'EU Ref Scenario 2020'!S80</f>
        <v>1.0195847348690243</v>
      </c>
      <c r="U80" s="11">
        <f>'EU Ref Scenario 2020'!U80/'EU Ref Scenario 2020'!T80</f>
        <v>1.0035224058848951</v>
      </c>
      <c r="V80" s="11">
        <f>'EU Ref Scenario 2020'!V80/'EU Ref Scenario 2020'!U80</f>
        <v>1.003510042091974</v>
      </c>
      <c r="W80" s="11">
        <f>'EU Ref Scenario 2020'!W80/'EU Ref Scenario 2020'!V80</f>
        <v>1.0034977647903323</v>
      </c>
      <c r="X80" s="11">
        <f>'EU Ref Scenario 2020'!X80/'EU Ref Scenario 2020'!W80</f>
        <v>1.0034855730755545</v>
      </c>
      <c r="Y80" s="11">
        <f>'EU Ref Scenario 2020'!Y80/'EU Ref Scenario 2020'!X80</f>
        <v>1.0034734660557916</v>
      </c>
      <c r="Z80" s="11">
        <f>'EU Ref Scenario 2020'!Z80/'EU Ref Scenario 2020'!Y80</f>
        <v>0.99897434370941962</v>
      </c>
      <c r="AA80" s="11">
        <f>'EU Ref Scenario 2020'!AA80/'EU Ref Scenario 2020'!Z80</f>
        <v>0.99897329065852503</v>
      </c>
      <c r="AB80" s="11">
        <f>'EU Ref Scenario 2020'!AB80/'EU Ref Scenario 2020'!AA80</f>
        <v>0.99897223544305358</v>
      </c>
      <c r="AC80" s="11">
        <f>'EU Ref Scenario 2020'!AC80/'EU Ref Scenario 2020'!AB80</f>
        <v>0.9989711780563244</v>
      </c>
      <c r="AD80" s="11">
        <f>'EU Ref Scenario 2020'!AD80/'EU Ref Scenario 2020'!AC80</f>
        <v>0.99897011849162931</v>
      </c>
      <c r="AE80" s="11">
        <f>'EU Ref Scenario 2020'!AE80/'EU Ref Scenario 2020'!AD80</f>
        <v>0.99929450544665488</v>
      </c>
      <c r="AF80" s="11">
        <f>'EU Ref Scenario 2020'!AF80/'EU Ref Scenario 2020'!AE80</f>
        <v>0.99929400737270158</v>
      </c>
      <c r="AG80" s="11">
        <f>'EU Ref Scenario 2020'!AG80/'EU Ref Scenario 2020'!AF80</f>
        <v>0.99929350859497834</v>
      </c>
      <c r="AH80" s="11">
        <f>'EU Ref Scenario 2020'!AH80/'EU Ref Scenario 2020'!AG80</f>
        <v>0.99929300911199259</v>
      </c>
      <c r="AI80" s="11">
        <f>'EU Ref Scenario 2020'!AI80/'EU Ref Scenario 2020'!AH80</f>
        <v>0.99929250892224752</v>
      </c>
      <c r="AJ80" s="11">
        <f>'EU Ref Scenario 2020'!AJ80/'EU Ref Scenario 2020'!AI80</f>
        <v>0.99737154695517583</v>
      </c>
      <c r="AK80" s="11">
        <f>'EU Ref Scenario 2020'!AK80/'EU Ref Scenario 2020'!AJ80</f>
        <v>0.99736461998254466</v>
      </c>
      <c r="AL80" s="11">
        <f>'EU Ref Scenario 2020'!AL80/'EU Ref Scenario 2020'!AK80</f>
        <v>0.99735765640302998</v>
      </c>
      <c r="AM80" s="11">
        <f>'EU Ref Scenario 2020'!AM80/'EU Ref Scenario 2020'!AL80</f>
        <v>0.99735065592567895</v>
      </c>
      <c r="AN80" s="11">
        <f>'EU Ref Scenario 2020'!AN80/'EU Ref Scenario 2020'!AM80</f>
        <v>0.99734361825644757</v>
      </c>
      <c r="AO80" s="11">
        <f>'EU Ref Scenario 2020'!AO80/'EU Ref Scenario 2020'!AN80</f>
        <v>1</v>
      </c>
      <c r="AP80" s="11">
        <f>'EU Ref Scenario 2020'!AP80/'EU Ref Scenario 2020'!AO80</f>
        <v>1</v>
      </c>
      <c r="AQ80" s="11">
        <f>'EU Ref Scenario 2020'!AQ80/'EU Ref Scenario 2020'!AP80</f>
        <v>1</v>
      </c>
      <c r="AR80" s="11">
        <f>'EU Ref Scenario 2020'!AR80/'EU Ref Scenario 2020'!AQ80</f>
        <v>1</v>
      </c>
      <c r="AS80" s="11">
        <f>'EU Ref Scenario 2020'!AS80/'EU Ref Scenario 2020'!AR80</f>
        <v>1</v>
      </c>
      <c r="AT80" s="11">
        <f>'EU Ref Scenario 2020'!AT80/'EU Ref Scenario 2020'!AS80</f>
        <v>1</v>
      </c>
      <c r="AU80" s="11">
        <f>'EU Ref Scenario 2020'!AU80/'EU Ref Scenario 2020'!AT80</f>
        <v>1</v>
      </c>
      <c r="AV80" s="11">
        <f>'EU Ref Scenario 2020'!AV80/'EU Ref Scenario 2020'!AU80</f>
        <v>1</v>
      </c>
      <c r="AW80" s="11">
        <f>'EU Ref Scenario 2020'!AW80/'EU Ref Scenario 2020'!AV80</f>
        <v>1</v>
      </c>
      <c r="AX80" s="11">
        <f>'EU Ref Scenario 2020'!AX80/'EU Ref Scenario 2020'!AW80</f>
        <v>1</v>
      </c>
    </row>
    <row r="81" spans="1:50" x14ac:dyDescent="0.3">
      <c r="A81" t="s">
        <v>1423</v>
      </c>
      <c r="B81" t="s">
        <v>1434</v>
      </c>
      <c r="F81" s="11">
        <f>'EU Ref Scenario 2020'!F81/'EU Ref Scenario 2020'!E81</f>
        <v>0.99039750948172012</v>
      </c>
      <c r="G81" s="11">
        <f>'EU Ref Scenario 2020'!G81/'EU Ref Scenario 2020'!F81</f>
        <v>0.9903044076480918</v>
      </c>
      <c r="H81" s="11">
        <f>'EU Ref Scenario 2020'!H81/'EU Ref Scenario 2020'!G81</f>
        <v>0.99020948278425358</v>
      </c>
      <c r="I81" s="11">
        <f>'EU Ref Scenario 2020'!I81/'EU Ref Scenario 2020'!H81</f>
        <v>0.99011268081556081</v>
      </c>
      <c r="J81" s="11">
        <f>'EU Ref Scenario 2020'!J81/'EU Ref Scenario 2020'!I81</f>
        <v>0.99001394550739885</v>
      </c>
      <c r="K81" s="11">
        <f>'EU Ref Scenario 2020'!K81/'EU Ref Scenario 2020'!J81</f>
        <v>1.0009942704293331</v>
      </c>
      <c r="L81" s="11">
        <f>'EU Ref Scenario 2020'!L81/'EU Ref Scenario 2020'!K81</f>
        <v>1.0009932828375796</v>
      </c>
      <c r="M81" s="11">
        <f>'EU Ref Scenario 2020'!M81/'EU Ref Scenario 2020'!L81</f>
        <v>1.0009922972057954</v>
      </c>
      <c r="N81" s="11">
        <f>'EU Ref Scenario 2020'!N81/'EU Ref Scenario 2020'!M81</f>
        <v>1.0009913135281514</v>
      </c>
      <c r="O81" s="11">
        <f>'EU Ref Scenario 2020'!O81/'EU Ref Scenario 2020'!N81</f>
        <v>1.0009903317988416</v>
      </c>
      <c r="P81" s="11">
        <f>'EU Ref Scenario 2020'!P81/'EU Ref Scenario 2020'!O81</f>
        <v>1.0030959886103525</v>
      </c>
      <c r="Q81" s="11">
        <f>'EU Ref Scenario 2020'!Q81/'EU Ref Scenario 2020'!P81</f>
        <v>1.0030864330487868</v>
      </c>
      <c r="R81" s="11">
        <f>'EU Ref Scenario 2020'!R81/'EU Ref Scenario 2020'!Q81</f>
        <v>1.0030769362909295</v>
      </c>
      <c r="S81" s="11">
        <f>'EU Ref Scenario 2020'!S81/'EU Ref Scenario 2020'!R81</f>
        <v>1.0030674977956398</v>
      </c>
      <c r="T81" s="11">
        <f>'EU Ref Scenario 2020'!T81/'EU Ref Scenario 2020'!S81</f>
        <v>1.0030581170283963</v>
      </c>
      <c r="U81" s="11">
        <f>'EU Ref Scenario 2020'!U81/'EU Ref Scenario 2020'!T81</f>
        <v>0.98775629235964957</v>
      </c>
      <c r="V81" s="11">
        <f>'EU Ref Scenario 2020'!V81/'EU Ref Scenario 2020'!U81</f>
        <v>0.98760452579744995</v>
      </c>
      <c r="W81" s="11">
        <f>'EU Ref Scenario 2020'!W81/'EU Ref Scenario 2020'!V81</f>
        <v>0.98744894957570073</v>
      </c>
      <c r="X81" s="11">
        <f>'EU Ref Scenario 2020'!X81/'EU Ref Scenario 2020'!W81</f>
        <v>0.98728941842543616</v>
      </c>
      <c r="Y81" s="11">
        <f>'EU Ref Scenario 2020'!Y81/'EU Ref Scenario 2020'!X81</f>
        <v>0.9871257795967926</v>
      </c>
      <c r="Z81" s="11">
        <f>'EU Ref Scenario 2020'!Z81/'EU Ref Scenario 2020'!Y81</f>
        <v>0.98622737339277244</v>
      </c>
      <c r="AA81" s="11">
        <f>'EU Ref Scenario 2020'!AA81/'EU Ref Scenario 2020'!Z81</f>
        <v>0.98603503920211866</v>
      </c>
      <c r="AB81" s="11">
        <f>'EU Ref Scenario 2020'!AB81/'EU Ref Scenario 2020'!AA81</f>
        <v>0.98583725705206027</v>
      </c>
      <c r="AC81" s="11">
        <f>'EU Ref Scenario 2020'!AC81/'EU Ref Scenario 2020'!AB81</f>
        <v>0.98563379214304547</v>
      </c>
      <c r="AD81" s="11">
        <f>'EU Ref Scenario 2020'!AD81/'EU Ref Scenario 2020'!AC81</f>
        <v>0.98542439598614173</v>
      </c>
      <c r="AE81" s="11">
        <f>'EU Ref Scenario 2020'!AE81/'EU Ref Scenario 2020'!AD81</f>
        <v>1.0036002970193827</v>
      </c>
      <c r="AF81" s="11">
        <f>'EU Ref Scenario 2020'!AF81/'EU Ref Scenario 2020'!AE81</f>
        <v>1.0035873813808898</v>
      </c>
      <c r="AG81" s="11">
        <f>'EU Ref Scenario 2020'!AG81/'EU Ref Scenario 2020'!AF81</f>
        <v>1.0035745580777966</v>
      </c>
      <c r="AH81" s="11">
        <f>'EU Ref Scenario 2020'!AH81/'EU Ref Scenario 2020'!AG81</f>
        <v>1.0035618261234551</v>
      </c>
      <c r="AI81" s="11">
        <f>'EU Ref Scenario 2020'!AI81/'EU Ref Scenario 2020'!AH81</f>
        <v>1.0035491845452253</v>
      </c>
      <c r="AJ81" s="11">
        <f>'EU Ref Scenario 2020'!AJ81/'EU Ref Scenario 2020'!AI81</f>
        <v>1.0026424165469097</v>
      </c>
      <c r="AK81" s="11">
        <f>'EU Ref Scenario 2020'!AK81/'EU Ref Scenario 2020'!AJ81</f>
        <v>1.0026354525833947</v>
      </c>
      <c r="AL81" s="11">
        <f>'EU Ref Scenario 2020'!AL81/'EU Ref Scenario 2020'!AK81</f>
        <v>1.0026285252297873</v>
      </c>
      <c r="AM81" s="11">
        <f>'EU Ref Scenario 2020'!AM81/'EU Ref Scenario 2020'!AL81</f>
        <v>1.0026216341981542</v>
      </c>
      <c r="AN81" s="11">
        <f>'EU Ref Scenario 2020'!AN81/'EU Ref Scenario 2020'!AM81</f>
        <v>1.0026147792035733</v>
      </c>
      <c r="AO81" s="11">
        <f>'EU Ref Scenario 2020'!AO81/'EU Ref Scenario 2020'!AN81</f>
        <v>1</v>
      </c>
      <c r="AP81" s="11">
        <f>'EU Ref Scenario 2020'!AP81/'EU Ref Scenario 2020'!AO81</f>
        <v>1</v>
      </c>
      <c r="AQ81" s="11">
        <f>'EU Ref Scenario 2020'!AQ81/'EU Ref Scenario 2020'!AP81</f>
        <v>1</v>
      </c>
      <c r="AR81" s="11">
        <f>'EU Ref Scenario 2020'!AR81/'EU Ref Scenario 2020'!AQ81</f>
        <v>1</v>
      </c>
      <c r="AS81" s="11">
        <f>'EU Ref Scenario 2020'!AS81/'EU Ref Scenario 2020'!AR81</f>
        <v>1</v>
      </c>
      <c r="AT81" s="11">
        <f>'EU Ref Scenario 2020'!AT81/'EU Ref Scenario 2020'!AS81</f>
        <v>1</v>
      </c>
      <c r="AU81" s="11">
        <f>'EU Ref Scenario 2020'!AU81/'EU Ref Scenario 2020'!AT81</f>
        <v>1</v>
      </c>
      <c r="AV81" s="11">
        <f>'EU Ref Scenario 2020'!AV81/'EU Ref Scenario 2020'!AU81</f>
        <v>1</v>
      </c>
      <c r="AW81" s="11">
        <f>'EU Ref Scenario 2020'!AW81/'EU Ref Scenario 2020'!AV81</f>
        <v>1</v>
      </c>
      <c r="AX81" s="11">
        <f>'EU Ref Scenario 2020'!AX81/'EU Ref Scenario 2020'!AW81</f>
        <v>1</v>
      </c>
    </row>
    <row r="82" spans="1:50" x14ac:dyDescent="0.3">
      <c r="A82" t="s">
        <v>1423</v>
      </c>
      <c r="B82" t="s">
        <v>1439</v>
      </c>
      <c r="F82" s="11">
        <f>'EU Ref Scenario 2020'!F82/'EU Ref Scenario 2020'!E82</f>
        <v>0.98969888133699258</v>
      </c>
      <c r="G82" s="11">
        <f>'EU Ref Scenario 2020'!G82/'EU Ref Scenario 2020'!F82</f>
        <v>0.98959166383103148</v>
      </c>
      <c r="H82" s="11">
        <f>'EU Ref Scenario 2020'!H82/'EU Ref Scenario 2020'!G82</f>
        <v>0.98948219093855905</v>
      </c>
      <c r="I82" s="11">
        <f>'EU Ref Scenario 2020'!I82/'EU Ref Scenario 2020'!H82</f>
        <v>0.98937039073794297</v>
      </c>
      <c r="J82" s="11">
        <f>'EU Ref Scenario 2020'!J82/'EU Ref Scenario 2020'!I82</f>
        <v>0.98925618821670125</v>
      </c>
      <c r="K82" s="11">
        <f>'EU Ref Scenario 2020'!K82/'EU Ref Scenario 2020'!J82</f>
        <v>0.99993051977451519</v>
      </c>
      <c r="L82" s="11">
        <f>'EU Ref Scenario 2020'!L82/'EU Ref Scenario 2020'!K82</f>
        <v>0.99993051494667806</v>
      </c>
      <c r="M82" s="11">
        <f>'EU Ref Scenario 2020'!M82/'EU Ref Scenario 2020'!L82</f>
        <v>0.99993051011816991</v>
      </c>
      <c r="N82" s="11">
        <f>'EU Ref Scenario 2020'!N82/'EU Ref Scenario 2020'!M82</f>
        <v>0.99993050528899063</v>
      </c>
      <c r="O82" s="11">
        <f>'EU Ref Scenario 2020'!O82/'EU Ref Scenario 2020'!N82</f>
        <v>0.99993050045913989</v>
      </c>
      <c r="P82" s="11">
        <f>'EU Ref Scenario 2020'!P82/'EU Ref Scenario 2020'!O82</f>
        <v>0.99869878986332516</v>
      </c>
      <c r="Q82" s="11">
        <f>'EU Ref Scenario 2020'!Q82/'EU Ref Scenario 2020'!P82</f>
        <v>0.99869709450949384</v>
      </c>
      <c r="R82" s="11">
        <f>'EU Ref Scenario 2020'!R82/'EU Ref Scenario 2020'!Q82</f>
        <v>0.99869539473212732</v>
      </c>
      <c r="S82" s="11">
        <f>'EU Ref Scenario 2020'!S82/'EU Ref Scenario 2020'!R82</f>
        <v>0.99869369051389034</v>
      </c>
      <c r="T82" s="11">
        <f>'EU Ref Scenario 2020'!T82/'EU Ref Scenario 2020'!S82</f>
        <v>0.9986919818373563</v>
      </c>
      <c r="U82" s="11">
        <f>'EU Ref Scenario 2020'!U82/'EU Ref Scenario 2020'!T82</f>
        <v>0.98271338353881177</v>
      </c>
      <c r="V82" s="11">
        <f>'EU Ref Scenario 2020'!V82/'EU Ref Scenario 2020'!U82</f>
        <v>0.98240929985207082</v>
      </c>
      <c r="W82" s="11">
        <f>'EU Ref Scenario 2020'!W82/'EU Ref Scenario 2020'!V82</f>
        <v>0.98209432651891837</v>
      </c>
      <c r="X82" s="11">
        <f>'EU Ref Scenario 2020'!X82/'EU Ref Scenario 2020'!W82</f>
        <v>0.98176786791493931</v>
      </c>
      <c r="Y82" s="11">
        <f>'EU Ref Scenario 2020'!Y82/'EU Ref Scenario 2020'!X82</f>
        <v>0.98142928417103126</v>
      </c>
      <c r="Z82" s="11">
        <f>'EU Ref Scenario 2020'!Z82/'EU Ref Scenario 2020'!Y82</f>
        <v>0.97880680327274849</v>
      </c>
      <c r="AA82" s="11">
        <f>'EU Ref Scenario 2020'!AA82/'EU Ref Scenario 2020'!Z82</f>
        <v>0.9783479266220978</v>
      </c>
      <c r="AB82" s="11">
        <f>'EU Ref Scenario 2020'!AB82/'EU Ref Scenario 2020'!AA82</f>
        <v>0.97786873893354131</v>
      </c>
      <c r="AC82" s="11">
        <f>'EU Ref Scenario 2020'!AC82/'EU Ref Scenario 2020'!AB82</f>
        <v>0.97736786116038954</v>
      </c>
      <c r="AD82" s="11">
        <f>'EU Ref Scenario 2020'!AD82/'EU Ref Scenario 2020'!AC82</f>
        <v>0.97684378652195492</v>
      </c>
      <c r="AE82" s="11">
        <f>'EU Ref Scenario 2020'!AE82/'EU Ref Scenario 2020'!AD82</f>
        <v>1.0001805271417508</v>
      </c>
      <c r="AF82" s="11">
        <f>'EU Ref Scenario 2020'!AF82/'EU Ref Scenario 2020'!AE82</f>
        <v>1.0001804945575843</v>
      </c>
      <c r="AG82" s="11">
        <f>'EU Ref Scenario 2020'!AG82/'EU Ref Scenario 2020'!AF82</f>
        <v>1.000180461985178</v>
      </c>
      <c r="AH82" s="11">
        <f>'EU Ref Scenario 2020'!AH82/'EU Ref Scenario 2020'!AG82</f>
        <v>1.000180429424526</v>
      </c>
      <c r="AI82" s="11">
        <f>'EU Ref Scenario 2020'!AI82/'EU Ref Scenario 2020'!AH82</f>
        <v>1.0001803968756215</v>
      </c>
      <c r="AJ82" s="11">
        <f>'EU Ref Scenario 2020'!AJ82/'EU Ref Scenario 2020'!AI82</f>
        <v>0.99915325567772029</v>
      </c>
      <c r="AK82" s="11">
        <f>'EU Ref Scenario 2020'!AK82/'EU Ref Scenario 2020'!AJ82</f>
        <v>0.99915253809416316</v>
      </c>
      <c r="AL82" s="11">
        <f>'EU Ref Scenario 2020'!AL82/'EU Ref Scenario 2020'!AK82</f>
        <v>0.99915181929332497</v>
      </c>
      <c r="AM82" s="11">
        <f>'EU Ref Scenario 2020'!AM82/'EU Ref Scenario 2020'!AL82</f>
        <v>0.99915109927210577</v>
      </c>
      <c r="AN82" s="11">
        <f>'EU Ref Scenario 2020'!AN82/'EU Ref Scenario 2020'!AM82</f>
        <v>0.99915037802739448</v>
      </c>
      <c r="AO82" s="11">
        <f>'EU Ref Scenario 2020'!AO82/'EU Ref Scenario 2020'!AN82</f>
        <v>1</v>
      </c>
      <c r="AP82" s="11">
        <f>'EU Ref Scenario 2020'!AP82/'EU Ref Scenario 2020'!AO82</f>
        <v>1</v>
      </c>
      <c r="AQ82" s="11">
        <f>'EU Ref Scenario 2020'!AQ82/'EU Ref Scenario 2020'!AP82</f>
        <v>1</v>
      </c>
      <c r="AR82" s="11">
        <f>'EU Ref Scenario 2020'!AR82/'EU Ref Scenario 2020'!AQ82</f>
        <v>1</v>
      </c>
      <c r="AS82" s="11">
        <f>'EU Ref Scenario 2020'!AS82/'EU Ref Scenario 2020'!AR82</f>
        <v>1</v>
      </c>
      <c r="AT82" s="11">
        <f>'EU Ref Scenario 2020'!AT82/'EU Ref Scenario 2020'!AS82</f>
        <v>1</v>
      </c>
      <c r="AU82" s="11">
        <f>'EU Ref Scenario 2020'!AU82/'EU Ref Scenario 2020'!AT82</f>
        <v>1</v>
      </c>
      <c r="AV82" s="11">
        <f>'EU Ref Scenario 2020'!AV82/'EU Ref Scenario 2020'!AU82</f>
        <v>1</v>
      </c>
      <c r="AW82" s="11">
        <f>'EU Ref Scenario 2020'!AW82/'EU Ref Scenario 2020'!AV82</f>
        <v>1</v>
      </c>
      <c r="AX82" s="11">
        <f>'EU Ref Scenario 2020'!AX82/'EU Ref Scenario 2020'!AW82</f>
        <v>1</v>
      </c>
    </row>
    <row r="83" spans="1:50" x14ac:dyDescent="0.3">
      <c r="A83" t="s">
        <v>1423</v>
      </c>
      <c r="B83" t="s">
        <v>1435</v>
      </c>
      <c r="F83" s="11">
        <f>'EU Ref Scenario 2020'!F83/'EU Ref Scenario 2020'!E83</f>
        <v>0.99234058123112578</v>
      </c>
      <c r="G83" s="11">
        <f>'EU Ref Scenario 2020'!G83/'EU Ref Scenario 2020'!F83</f>
        <v>0.99228146171411047</v>
      </c>
      <c r="H83" s="11">
        <f>'EU Ref Scenario 2020'!H83/'EU Ref Scenario 2020'!G83</f>
        <v>0.99222142246560152</v>
      </c>
      <c r="I83" s="11">
        <f>'EU Ref Scenario 2020'!I83/'EU Ref Scenario 2020'!H83</f>
        <v>0.99216044185473307</v>
      </c>
      <c r="J83" s="11">
        <f>'EU Ref Scenario 2020'!J83/'EU Ref Scenario 2020'!I83</f>
        <v>0.99209849756697466</v>
      </c>
      <c r="K83" s="11">
        <f>'EU Ref Scenario 2020'!K83/'EU Ref Scenario 2020'!J83</f>
        <v>1.0039122110254401</v>
      </c>
      <c r="L83" s="11">
        <f>'EU Ref Scenario 2020'!L83/'EU Ref Scenario 2020'!K83</f>
        <v>1.0038969652749259</v>
      </c>
      <c r="M83" s="11">
        <f>'EU Ref Scenario 2020'!M83/'EU Ref Scenario 2020'!L83</f>
        <v>1.0038818378874754</v>
      </c>
      <c r="N83" s="11">
        <f>'EU Ref Scenario 2020'!N83/'EU Ref Scenario 2020'!M83</f>
        <v>1.0038668274900204</v>
      </c>
      <c r="O83" s="11">
        <f>'EU Ref Scenario 2020'!O83/'EU Ref Scenario 2020'!N83</f>
        <v>1.0038519327306479</v>
      </c>
      <c r="P83" s="11">
        <f>'EU Ref Scenario 2020'!P83/'EU Ref Scenario 2020'!O83</f>
        <v>1.0149222796517683</v>
      </c>
      <c r="Q83" s="11">
        <f>'EU Ref Scenario 2020'!Q83/'EU Ref Scenario 2020'!P83</f>
        <v>1.014702879177003</v>
      </c>
      <c r="R83" s="11">
        <f>'EU Ref Scenario 2020'!R83/'EU Ref Scenario 2020'!Q83</f>
        <v>1.0144898368564086</v>
      </c>
      <c r="S83" s="11">
        <f>'EU Ref Scenario 2020'!S83/'EU Ref Scenario 2020'!R83</f>
        <v>1.0142828802517216</v>
      </c>
      <c r="T83" s="11">
        <f>'EU Ref Scenario 2020'!T83/'EU Ref Scenario 2020'!S83</f>
        <v>1.0140817522703105</v>
      </c>
      <c r="U83" s="11">
        <f>'EU Ref Scenario 2020'!U83/'EU Ref Scenario 2020'!T83</f>
        <v>1.000295421254831</v>
      </c>
      <c r="V83" s="11">
        <f>'EU Ref Scenario 2020'!V83/'EU Ref Scenario 2020'!U83</f>
        <v>1.0002953340068881</v>
      </c>
      <c r="W83" s="11">
        <f>'EU Ref Scenario 2020'!W83/'EU Ref Scenario 2020'!V83</f>
        <v>1.0002952468104644</v>
      </c>
      <c r="X83" s="11">
        <f>'EU Ref Scenario 2020'!X83/'EU Ref Scenario 2020'!W83</f>
        <v>1.0002951596655147</v>
      </c>
      <c r="Y83" s="11">
        <f>'EU Ref Scenario 2020'!Y83/'EU Ref Scenario 2020'!X83</f>
        <v>1.000295072571993</v>
      </c>
      <c r="Z83" s="11">
        <f>'EU Ref Scenario 2020'!Z83/'EU Ref Scenario 2020'!Y83</f>
        <v>1.0030588749923641</v>
      </c>
      <c r="AA83" s="11">
        <f>'EU Ref Scenario 2020'!AA83/'EU Ref Scenario 2020'!Z83</f>
        <v>1.0030495468098892</v>
      </c>
      <c r="AB83" s="11">
        <f>'EU Ref Scenario 2020'!AB83/'EU Ref Scenario 2020'!AA83</f>
        <v>1.0030402753479009</v>
      </c>
      <c r="AC83" s="11">
        <f>'EU Ref Scenario 2020'!AC83/'EU Ref Scenario 2020'!AB83</f>
        <v>1.0030310600906294</v>
      </c>
      <c r="AD83" s="11">
        <f>'EU Ref Scenario 2020'!AD83/'EU Ref Scenario 2020'!AC83</f>
        <v>1.003021900528539</v>
      </c>
      <c r="AE83" s="11">
        <f>'EU Ref Scenario 2020'!AE83/'EU Ref Scenario 2020'!AD83</f>
        <v>1.0104306718194662</v>
      </c>
      <c r="AF83" s="11">
        <f>'EU Ref Scenario 2020'!AF83/'EU Ref Scenario 2020'!AE83</f>
        <v>1.010322996035625</v>
      </c>
      <c r="AG83" s="11">
        <f>'EU Ref Scenario 2020'!AG83/'EU Ref Scenario 2020'!AF83</f>
        <v>1.0102175206108652</v>
      </c>
      <c r="AH83" s="11">
        <f>'EU Ref Scenario 2020'!AH83/'EU Ref Scenario 2020'!AG83</f>
        <v>1.0101141787807113</v>
      </c>
      <c r="AI83" s="11">
        <f>'EU Ref Scenario 2020'!AI83/'EU Ref Scenario 2020'!AH83</f>
        <v>1.0100129064547141</v>
      </c>
      <c r="AJ83" s="11">
        <f>'EU Ref Scenario 2020'!AJ83/'EU Ref Scenario 2020'!AI83</f>
        <v>1.0092719265869734</v>
      </c>
      <c r="AK83" s="11">
        <f>'EU Ref Scenario 2020'!AK83/'EU Ref Scenario 2020'!AJ83</f>
        <v>1.0091867477363887</v>
      </c>
      <c r="AL83" s="11">
        <f>'EU Ref Scenario 2020'!AL83/'EU Ref Scenario 2020'!AK83</f>
        <v>1.0091031196723446</v>
      </c>
      <c r="AM83" s="11">
        <f>'EU Ref Scenario 2020'!AM83/'EU Ref Scenario 2020'!AL83</f>
        <v>1.0090210004259033</v>
      </c>
      <c r="AN83" s="11">
        <f>'EU Ref Scenario 2020'!AN83/'EU Ref Scenario 2020'!AM83</f>
        <v>1.0089403495289944</v>
      </c>
      <c r="AO83" s="11">
        <f>'EU Ref Scenario 2020'!AO83/'EU Ref Scenario 2020'!AN83</f>
        <v>1</v>
      </c>
      <c r="AP83" s="11">
        <f>'EU Ref Scenario 2020'!AP83/'EU Ref Scenario 2020'!AO83</f>
        <v>1</v>
      </c>
      <c r="AQ83" s="11">
        <f>'EU Ref Scenario 2020'!AQ83/'EU Ref Scenario 2020'!AP83</f>
        <v>1</v>
      </c>
      <c r="AR83" s="11">
        <f>'EU Ref Scenario 2020'!AR83/'EU Ref Scenario 2020'!AQ83</f>
        <v>1</v>
      </c>
      <c r="AS83" s="11">
        <f>'EU Ref Scenario 2020'!AS83/'EU Ref Scenario 2020'!AR83</f>
        <v>1</v>
      </c>
      <c r="AT83" s="11">
        <f>'EU Ref Scenario 2020'!AT83/'EU Ref Scenario 2020'!AS83</f>
        <v>1</v>
      </c>
      <c r="AU83" s="11">
        <f>'EU Ref Scenario 2020'!AU83/'EU Ref Scenario 2020'!AT83</f>
        <v>1</v>
      </c>
      <c r="AV83" s="11">
        <f>'EU Ref Scenario 2020'!AV83/'EU Ref Scenario 2020'!AU83</f>
        <v>1</v>
      </c>
      <c r="AW83" s="11">
        <f>'EU Ref Scenario 2020'!AW83/'EU Ref Scenario 2020'!AV83</f>
        <v>1</v>
      </c>
      <c r="AX83" s="11">
        <f>'EU Ref Scenario 2020'!AX83/'EU Ref Scenario 2020'!AW83</f>
        <v>1</v>
      </c>
    </row>
    <row r="84" spans="1:50" x14ac:dyDescent="0.3">
      <c r="A84" t="s">
        <v>1424</v>
      </c>
      <c r="B84" t="s">
        <v>1434</v>
      </c>
      <c r="F84" s="11">
        <f>'EU Ref Scenario 2020'!F84/'EU Ref Scenario 2020'!E84</f>
        <v>0.98494545349217777</v>
      </c>
      <c r="G84" s="11">
        <f>'EU Ref Scenario 2020'!G84/'EU Ref Scenario 2020'!F84</f>
        <v>0.98471535001817057</v>
      </c>
      <c r="H84" s="11">
        <f>'EU Ref Scenario 2020'!H84/'EU Ref Scenario 2020'!G84</f>
        <v>0.98447810325943697</v>
      </c>
      <c r="I84" s="11">
        <f>'EU Ref Scenario 2020'!I84/'EU Ref Scenario 2020'!H84</f>
        <v>0.98423337533950961</v>
      </c>
      <c r="J84" s="11">
        <f>'EU Ref Scenario 2020'!J84/'EU Ref Scenario 2020'!I84</f>
        <v>0.98398080673188759</v>
      </c>
      <c r="K84" s="11">
        <f>'EU Ref Scenario 2020'!K84/'EU Ref Scenario 2020'!J84</f>
        <v>1.0241597635830186</v>
      </c>
      <c r="L84" s="11">
        <f>'EU Ref Scenario 2020'!L84/'EU Ref Scenario 2020'!K84</f>
        <v>1.023589838658078</v>
      </c>
      <c r="M84" s="11">
        <f>'EU Ref Scenario 2020'!M84/'EU Ref Scenario 2020'!L84</f>
        <v>1.0230461829212805</v>
      </c>
      <c r="N84" s="11">
        <f>'EU Ref Scenario 2020'!N84/'EU Ref Scenario 2020'!M84</f>
        <v>1.0225270210729613</v>
      </c>
      <c r="O84" s="11">
        <f>'EU Ref Scenario 2020'!O84/'EU Ref Scenario 2020'!N84</f>
        <v>1.0220307342580772</v>
      </c>
      <c r="P84" s="11">
        <f>'EU Ref Scenario 2020'!P84/'EU Ref Scenario 2020'!O84</f>
        <v>1.0179512725950788</v>
      </c>
      <c r="Q84" s="11">
        <f>'EU Ref Scenario 2020'!Q84/'EU Ref Scenario 2020'!P84</f>
        <v>1.0176347071597203</v>
      </c>
      <c r="R84" s="11">
        <f>'EU Ref Scenario 2020'!R84/'EU Ref Scenario 2020'!Q84</f>
        <v>1.0173291133209674</v>
      </c>
      <c r="S84" s="11">
        <f>'EU Ref Scenario 2020'!S84/'EU Ref Scenario 2020'!R84</f>
        <v>1.0170339304105811</v>
      </c>
      <c r="T84" s="11">
        <f>'EU Ref Scenario 2020'!T84/'EU Ref Scenario 2020'!S84</f>
        <v>1.0167486353220334</v>
      </c>
      <c r="U84" s="11">
        <f>'EU Ref Scenario 2020'!U84/'EU Ref Scenario 2020'!T84</f>
        <v>0.99576630464211324</v>
      </c>
      <c r="V84" s="11">
        <f>'EU Ref Scenario 2020'!V84/'EU Ref Scenario 2020'!U84</f>
        <v>0.99574830425758543</v>
      </c>
      <c r="W84" s="11">
        <f>'EU Ref Scenario 2020'!W84/'EU Ref Scenario 2020'!V84</f>
        <v>0.99573015015517941</v>
      </c>
      <c r="X84" s="11">
        <f>'EU Ref Scenario 2020'!X84/'EU Ref Scenario 2020'!W84</f>
        <v>0.99571184035739491</v>
      </c>
      <c r="Y84" s="11">
        <f>'EU Ref Scenario 2020'!Y84/'EU Ref Scenario 2020'!X84</f>
        <v>0.9956933728526659</v>
      </c>
      <c r="Z84" s="11">
        <f>'EU Ref Scenario 2020'!Z84/'EU Ref Scenario 2020'!Y84</f>
        <v>1.0045317598117196</v>
      </c>
      <c r="AA84" s="11">
        <f>'EU Ref Scenario 2020'!AA84/'EU Ref Scenario 2020'!Z84</f>
        <v>1.0045113156129271</v>
      </c>
      <c r="AB84" s="11">
        <f>'EU Ref Scenario 2020'!AB84/'EU Ref Scenario 2020'!AA84</f>
        <v>1.0044910550461787</v>
      </c>
      <c r="AC84" s="11">
        <f>'EU Ref Scenario 2020'!AC84/'EU Ref Scenario 2020'!AB84</f>
        <v>1.0044709756484314</v>
      </c>
      <c r="AD84" s="11">
        <f>'EU Ref Scenario 2020'!AD84/'EU Ref Scenario 2020'!AC84</f>
        <v>1.0044510750004949</v>
      </c>
      <c r="AE84" s="11">
        <f>'EU Ref Scenario 2020'!AE84/'EU Ref Scenario 2020'!AD84</f>
        <v>1.0012254036507577</v>
      </c>
      <c r="AF84" s="11">
        <f>'EU Ref Scenario 2020'!AF84/'EU Ref Scenario 2020'!AE84</f>
        <v>1.0012239038744819</v>
      </c>
      <c r="AG84" s="11">
        <f>'EU Ref Scenario 2020'!AG84/'EU Ref Scenario 2020'!AF84</f>
        <v>1.0012224077648821</v>
      </c>
      <c r="AH84" s="11">
        <f>'EU Ref Scenario 2020'!AH84/'EU Ref Scenario 2020'!AG84</f>
        <v>1.0012209153085287</v>
      </c>
      <c r="AI84" s="11">
        <f>'EU Ref Scenario 2020'!AI84/'EU Ref Scenario 2020'!AH84</f>
        <v>1.0012194264920569</v>
      </c>
      <c r="AJ84" s="11">
        <f>'EU Ref Scenario 2020'!AJ84/'EU Ref Scenario 2020'!AI84</f>
        <v>1.0023023178272659</v>
      </c>
      <c r="AK84" s="11">
        <f>'EU Ref Scenario 2020'!AK84/'EU Ref Scenario 2020'!AJ84</f>
        <v>1.0022970293356765</v>
      </c>
      <c r="AL84" s="11">
        <f>'EU Ref Scenario 2020'!AL84/'EU Ref Scenario 2020'!AK84</f>
        <v>1.0022917650840479</v>
      </c>
      <c r="AM84" s="11">
        <f>'EU Ref Scenario 2020'!AM84/'EU Ref Scenario 2020'!AL84</f>
        <v>1.0022865249061044</v>
      </c>
      <c r="AN84" s="11">
        <f>'EU Ref Scenario 2020'!AN84/'EU Ref Scenario 2020'!AM84</f>
        <v>1.0022813086370872</v>
      </c>
      <c r="AO84" s="11">
        <f>'EU Ref Scenario 2020'!AO84/'EU Ref Scenario 2020'!AN84</f>
        <v>1</v>
      </c>
      <c r="AP84" s="11">
        <f>'EU Ref Scenario 2020'!AP84/'EU Ref Scenario 2020'!AO84</f>
        <v>1</v>
      </c>
      <c r="AQ84" s="11">
        <f>'EU Ref Scenario 2020'!AQ84/'EU Ref Scenario 2020'!AP84</f>
        <v>1</v>
      </c>
      <c r="AR84" s="11">
        <f>'EU Ref Scenario 2020'!AR84/'EU Ref Scenario 2020'!AQ84</f>
        <v>1</v>
      </c>
      <c r="AS84" s="11">
        <f>'EU Ref Scenario 2020'!AS84/'EU Ref Scenario 2020'!AR84</f>
        <v>1</v>
      </c>
      <c r="AT84" s="11">
        <f>'EU Ref Scenario 2020'!AT84/'EU Ref Scenario 2020'!AS84</f>
        <v>1</v>
      </c>
      <c r="AU84" s="11">
        <f>'EU Ref Scenario 2020'!AU84/'EU Ref Scenario 2020'!AT84</f>
        <v>1</v>
      </c>
      <c r="AV84" s="11">
        <f>'EU Ref Scenario 2020'!AV84/'EU Ref Scenario 2020'!AU84</f>
        <v>1</v>
      </c>
      <c r="AW84" s="11">
        <f>'EU Ref Scenario 2020'!AW84/'EU Ref Scenario 2020'!AV84</f>
        <v>1</v>
      </c>
      <c r="AX84" s="11">
        <f>'EU Ref Scenario 2020'!AX84/'EU Ref Scenario 2020'!AW84</f>
        <v>1</v>
      </c>
    </row>
    <row r="85" spans="1:50" x14ac:dyDescent="0.3">
      <c r="A85" t="s">
        <v>1424</v>
      </c>
      <c r="B85" t="s">
        <v>1439</v>
      </c>
      <c r="F85" s="11">
        <f>'EU Ref Scenario 2020'!F85/'EU Ref Scenario 2020'!E85</f>
        <v>0.97717147176934749</v>
      </c>
      <c r="G85" s="11">
        <f>'EU Ref Scenario 2020'!G85/'EU Ref Scenario 2020'!F85</f>
        <v>0.97663815523664721</v>
      </c>
      <c r="H85" s="11">
        <f>'EU Ref Scenario 2020'!H85/'EU Ref Scenario 2020'!G85</f>
        <v>0.97607932412010667</v>
      </c>
      <c r="I85" s="11">
        <f>'EU Ref Scenario 2020'!I85/'EU Ref Scenario 2020'!H85</f>
        <v>0.97549310256985844</v>
      </c>
      <c r="J85" s="11">
        <f>'EU Ref Scenario 2020'!J85/'EU Ref Scenario 2020'!I85</f>
        <v>0.97487742623132878</v>
      </c>
      <c r="K85" s="11">
        <f>'EU Ref Scenario 2020'!K85/'EU Ref Scenario 2020'!J85</f>
        <v>1.0182684487526579</v>
      </c>
      <c r="L85" s="11">
        <f>'EU Ref Scenario 2020'!L85/'EU Ref Scenario 2020'!K85</f>
        <v>1.0179406999942266</v>
      </c>
      <c r="M85" s="11">
        <f>'EU Ref Scenario 2020'!M85/'EU Ref Scenario 2020'!L85</f>
        <v>1.0176245040544389</v>
      </c>
      <c r="N85" s="11">
        <f>'EU Ref Scenario 2020'!N85/'EU Ref Scenario 2020'!M85</f>
        <v>1.0173192606744619</v>
      </c>
      <c r="O85" s="11">
        <f>'EU Ref Scenario 2020'!O85/'EU Ref Scenario 2020'!N85</f>
        <v>1.0170244104716744</v>
      </c>
      <c r="P85" s="11">
        <f>'EU Ref Scenario 2020'!P85/'EU Ref Scenario 2020'!O85</f>
        <v>1.0182046605777746</v>
      </c>
      <c r="Q85" s="11">
        <f>'EU Ref Scenario 2020'!Q85/'EU Ref Scenario 2020'!P85</f>
        <v>1.0178791762428632</v>
      </c>
      <c r="R85" s="11">
        <f>'EU Ref Scenario 2020'!R85/'EU Ref Scenario 2020'!Q85</f>
        <v>1.0175651262548249</v>
      </c>
      <c r="S85" s="11">
        <f>'EU Ref Scenario 2020'!S85/'EU Ref Scenario 2020'!R85</f>
        <v>1.0172619184773695</v>
      </c>
      <c r="T85" s="11">
        <f>'EU Ref Scenario 2020'!T85/'EU Ref Scenario 2020'!S85</f>
        <v>1.016969000966051</v>
      </c>
      <c r="U85" s="11">
        <f>'EU Ref Scenario 2020'!U85/'EU Ref Scenario 2020'!T85</f>
        <v>0.98578430290365293</v>
      </c>
      <c r="V85" s="11">
        <f>'EU Ref Scenario 2020'!V85/'EU Ref Scenario 2020'!U85</f>
        <v>0.98557930263803717</v>
      </c>
      <c r="W85" s="11">
        <f>'EU Ref Scenario 2020'!W85/'EU Ref Scenario 2020'!V85</f>
        <v>0.98536830336902992</v>
      </c>
      <c r="X85" s="11">
        <f>'EU Ref Scenario 2020'!X85/'EU Ref Scenario 2020'!W85</f>
        <v>0.98515103785970848</v>
      </c>
      <c r="Y85" s="11">
        <f>'EU Ref Scenario 2020'!Y85/'EU Ref Scenario 2020'!X85</f>
        <v>0.98492722276113942</v>
      </c>
      <c r="Z85" s="11">
        <f>'EU Ref Scenario 2020'!Z85/'EU Ref Scenario 2020'!Y85</f>
        <v>1.0029976336840662</v>
      </c>
      <c r="AA85" s="11">
        <f>'EU Ref Scenario 2020'!AA85/'EU Ref Scenario 2020'!Z85</f>
        <v>1.0029886747320187</v>
      </c>
      <c r="AB85" s="11">
        <f>'EU Ref Scenario 2020'!AB85/'EU Ref Scenario 2020'!AA85</f>
        <v>1.0029797691711897</v>
      </c>
      <c r="AC85" s="11">
        <f>'EU Ref Scenario 2020'!AC85/'EU Ref Scenario 2020'!AB85</f>
        <v>1.0029709165257161</v>
      </c>
      <c r="AD85" s="11">
        <f>'EU Ref Scenario 2020'!AD85/'EU Ref Scenario 2020'!AC85</f>
        <v>1.0029621163253741</v>
      </c>
      <c r="AE85" s="11">
        <f>'EU Ref Scenario 2020'!AE85/'EU Ref Scenario 2020'!AD85</f>
        <v>0.99775357428908551</v>
      </c>
      <c r="AF85" s="11">
        <f>'EU Ref Scenario 2020'!AF85/'EU Ref Scenario 2020'!AE85</f>
        <v>0.99774851649866048</v>
      </c>
      <c r="AG85" s="11">
        <f>'EU Ref Scenario 2020'!AG85/'EU Ref Scenario 2020'!AF85</f>
        <v>0.9977434358817785</v>
      </c>
      <c r="AH85" s="11">
        <f>'EU Ref Scenario 2020'!AH85/'EU Ref Scenario 2020'!AG85</f>
        <v>0.99773833228356223</v>
      </c>
      <c r="AI85" s="11">
        <f>'EU Ref Scenario 2020'!AI85/'EU Ref Scenario 2020'!AH85</f>
        <v>0.99773320554772948</v>
      </c>
      <c r="AJ85" s="11">
        <f>'EU Ref Scenario 2020'!AJ85/'EU Ref Scenario 2020'!AI85</f>
        <v>0.997743700765233</v>
      </c>
      <c r="AK85" s="11">
        <f>'EU Ref Scenario 2020'!AK85/'EU Ref Scenario 2020'!AJ85</f>
        <v>0.99773859836645773</v>
      </c>
      <c r="AL85" s="11">
        <f>'EU Ref Scenario 2020'!AL85/'EU Ref Scenario 2020'!AK85</f>
        <v>0.99773347283823166</v>
      </c>
      <c r="AM85" s="11">
        <f>'EU Ref Scenario 2020'!AM85/'EU Ref Scenario 2020'!AL85</f>
        <v>0.99772832402292688</v>
      </c>
      <c r="AN85" s="11">
        <f>'EU Ref Scenario 2020'!AN85/'EU Ref Scenario 2020'!AM85</f>
        <v>0.99772315176148019</v>
      </c>
      <c r="AO85" s="11">
        <f>'EU Ref Scenario 2020'!AO85/'EU Ref Scenario 2020'!AN85</f>
        <v>1</v>
      </c>
      <c r="AP85" s="11">
        <f>'EU Ref Scenario 2020'!AP85/'EU Ref Scenario 2020'!AO85</f>
        <v>1</v>
      </c>
      <c r="AQ85" s="11">
        <f>'EU Ref Scenario 2020'!AQ85/'EU Ref Scenario 2020'!AP85</f>
        <v>1</v>
      </c>
      <c r="AR85" s="11">
        <f>'EU Ref Scenario 2020'!AR85/'EU Ref Scenario 2020'!AQ85</f>
        <v>1</v>
      </c>
      <c r="AS85" s="11">
        <f>'EU Ref Scenario 2020'!AS85/'EU Ref Scenario 2020'!AR85</f>
        <v>1</v>
      </c>
      <c r="AT85" s="11">
        <f>'EU Ref Scenario 2020'!AT85/'EU Ref Scenario 2020'!AS85</f>
        <v>1</v>
      </c>
      <c r="AU85" s="11">
        <f>'EU Ref Scenario 2020'!AU85/'EU Ref Scenario 2020'!AT85</f>
        <v>1</v>
      </c>
      <c r="AV85" s="11">
        <f>'EU Ref Scenario 2020'!AV85/'EU Ref Scenario 2020'!AU85</f>
        <v>1</v>
      </c>
      <c r="AW85" s="11">
        <f>'EU Ref Scenario 2020'!AW85/'EU Ref Scenario 2020'!AV85</f>
        <v>1</v>
      </c>
      <c r="AX85" s="11">
        <f>'EU Ref Scenario 2020'!AX85/'EU Ref Scenario 2020'!AW85</f>
        <v>1</v>
      </c>
    </row>
    <row r="86" spans="1:50" x14ac:dyDescent="0.3">
      <c r="A86" t="s">
        <v>1424</v>
      </c>
      <c r="B86" t="s">
        <v>1435</v>
      </c>
      <c r="F86" s="11">
        <f>'EU Ref Scenario 2020'!F86/'EU Ref Scenario 2020'!E86</f>
        <v>0.99987179082603961</v>
      </c>
      <c r="G86" s="11">
        <f>'EU Ref Scenario 2020'!G86/'EU Ref Scenario 2020'!F86</f>
        <v>0.99987177438633967</v>
      </c>
      <c r="H86" s="11">
        <f>'EU Ref Scenario 2020'!H86/'EU Ref Scenario 2020'!G86</f>
        <v>0.99987175794242311</v>
      </c>
      <c r="I86" s="11">
        <f>'EU Ref Scenario 2020'!I86/'EU Ref Scenario 2020'!H86</f>
        <v>0.99987174149428848</v>
      </c>
      <c r="J86" s="11">
        <f>'EU Ref Scenario 2020'!J86/'EU Ref Scenario 2020'!I86</f>
        <v>0.999871725041934</v>
      </c>
      <c r="K86" s="11">
        <f>'EU Ref Scenario 2020'!K86/'EU Ref Scenario 2020'!J86</f>
        <v>1.0341866075865744</v>
      </c>
      <c r="L86" s="11">
        <f>'EU Ref Scenario 2020'!L86/'EU Ref Scenario 2020'!K86</f>
        <v>1.0330565173981066</v>
      </c>
      <c r="M86" s="11">
        <f>'EU Ref Scenario 2020'!M86/'EU Ref Scenario 2020'!L86</f>
        <v>1.0319987501568295</v>
      </c>
      <c r="N86" s="11">
        <f>'EU Ref Scenario 2020'!N86/'EU Ref Scenario 2020'!M86</f>
        <v>1.0310065784013467</v>
      </c>
      <c r="O86" s="11">
        <f>'EU Ref Scenario 2020'!O86/'EU Ref Scenario 2020'!N86</f>
        <v>1.0300740839592164</v>
      </c>
      <c r="P86" s="11">
        <f>'EU Ref Scenario 2020'!P86/'EU Ref Scenario 2020'!O86</f>
        <v>1.0175493273025056</v>
      </c>
      <c r="Q86" s="11">
        <f>'EU Ref Scenario 2020'!Q86/'EU Ref Scenario 2020'!P86</f>
        <v>1.0172466600209233</v>
      </c>
      <c r="R86" s="11">
        <f>'EU Ref Scenario 2020'!R86/'EU Ref Scenario 2020'!Q86</f>
        <v>1.0169542557363311</v>
      </c>
      <c r="S86" s="11">
        <f>'EU Ref Scenario 2020'!S86/'EU Ref Scenario 2020'!R86</f>
        <v>1.0166716011469517</v>
      </c>
      <c r="T86" s="11">
        <f>'EU Ref Scenario 2020'!T86/'EU Ref Scenario 2020'!S86</f>
        <v>1.0163982166199423</v>
      </c>
      <c r="U86" s="11">
        <f>'EU Ref Scenario 2020'!U86/'EU Ref Scenario 2020'!T86</f>
        <v>1.0116482922035308</v>
      </c>
      <c r="V86" s="11">
        <f>'EU Ref Scenario 2020'!V86/'EU Ref Scenario 2020'!U86</f>
        <v>1.0115141717663152</v>
      </c>
      <c r="W86" s="11">
        <f>'EU Ref Scenario 2020'!W86/'EU Ref Scenario 2020'!V86</f>
        <v>1.0113831047430695</v>
      </c>
      <c r="X86" s="11">
        <f>'EU Ref Scenario 2020'!X86/'EU Ref Scenario 2020'!W86</f>
        <v>1.0112549880353807</v>
      </c>
      <c r="Y86" s="11">
        <f>'EU Ref Scenario 2020'!Y86/'EU Ref Scenario 2020'!X86</f>
        <v>1.0111297231346632</v>
      </c>
      <c r="Z86" s="11">
        <f>'EU Ref Scenario 2020'!Z86/'EU Ref Scenario 2020'!Y86</f>
        <v>1.0066743668420766</v>
      </c>
      <c r="AA86" s="11">
        <f>'EU Ref Scenario 2020'!AA86/'EU Ref Scenario 2020'!Z86</f>
        <v>1.0066301150222132</v>
      </c>
      <c r="AB86" s="11">
        <f>'EU Ref Scenario 2020'!AB86/'EU Ref Scenario 2020'!AA86</f>
        <v>1.0065864461268048</v>
      </c>
      <c r="AC86" s="11">
        <f>'EU Ref Scenario 2020'!AC86/'EU Ref Scenario 2020'!AB86</f>
        <v>1.0065433487130175</v>
      </c>
      <c r="AD86" s="11">
        <f>'EU Ref Scenario 2020'!AD86/'EU Ref Scenario 2020'!AC86</f>
        <v>1.0065008116355683</v>
      </c>
      <c r="AE86" s="11">
        <f>'EU Ref Scenario 2020'!AE86/'EU Ref Scenario 2020'!AD86</f>
        <v>1.0059880045591749</v>
      </c>
      <c r="AF86" s="11">
        <f>'EU Ref Scenario 2020'!AF86/'EU Ref Scenario 2020'!AE86</f>
        <v>1.0059523617896406</v>
      </c>
      <c r="AG86" s="11">
        <f>'EU Ref Scenario 2020'!AG86/'EU Ref Scenario 2020'!AF86</f>
        <v>1.00591714082668</v>
      </c>
      <c r="AH86" s="11">
        <f>'EU Ref Scenario 2020'!AH86/'EU Ref Scenario 2020'!AG86</f>
        <v>1.0058823342266712</v>
      </c>
      <c r="AI86" s="11">
        <f>'EU Ref Scenario 2020'!AI86/'EU Ref Scenario 2020'!AH86</f>
        <v>1.0058479347201117</v>
      </c>
      <c r="AJ86" s="11">
        <f>'EU Ref Scenario 2020'!AJ86/'EU Ref Scenario 2020'!AI86</f>
        <v>1.0083057739621535</v>
      </c>
      <c r="AK86" s="11">
        <f>'EU Ref Scenario 2020'!AK86/'EU Ref Scenario 2020'!AJ86</f>
        <v>1.0082373563423284</v>
      </c>
      <c r="AL86" s="11">
        <f>'EU Ref Scenario 2020'!AL86/'EU Ref Scenario 2020'!AK86</f>
        <v>1.0081700566741663</v>
      </c>
      <c r="AM86" s="11">
        <f>'EU Ref Scenario 2020'!AM86/'EU Ref Scenario 2020'!AL86</f>
        <v>1.0081038477785369</v>
      </c>
      <c r="AN86" s="11">
        <f>'EU Ref Scenario 2020'!AN86/'EU Ref Scenario 2020'!AM86</f>
        <v>1.0080387033502494</v>
      </c>
      <c r="AO86" s="11">
        <f>'EU Ref Scenario 2020'!AO86/'EU Ref Scenario 2020'!AN86</f>
        <v>1</v>
      </c>
      <c r="AP86" s="11">
        <f>'EU Ref Scenario 2020'!AP86/'EU Ref Scenario 2020'!AO86</f>
        <v>1</v>
      </c>
      <c r="AQ86" s="11">
        <f>'EU Ref Scenario 2020'!AQ86/'EU Ref Scenario 2020'!AP86</f>
        <v>1</v>
      </c>
      <c r="AR86" s="11">
        <f>'EU Ref Scenario 2020'!AR86/'EU Ref Scenario 2020'!AQ86</f>
        <v>1</v>
      </c>
      <c r="AS86" s="11">
        <f>'EU Ref Scenario 2020'!AS86/'EU Ref Scenario 2020'!AR86</f>
        <v>1</v>
      </c>
      <c r="AT86" s="11">
        <f>'EU Ref Scenario 2020'!AT86/'EU Ref Scenario 2020'!AS86</f>
        <v>1</v>
      </c>
      <c r="AU86" s="11">
        <f>'EU Ref Scenario 2020'!AU86/'EU Ref Scenario 2020'!AT86</f>
        <v>1</v>
      </c>
      <c r="AV86" s="11">
        <f>'EU Ref Scenario 2020'!AV86/'EU Ref Scenario 2020'!AU86</f>
        <v>1</v>
      </c>
      <c r="AW86" s="11">
        <f>'EU Ref Scenario 2020'!AW86/'EU Ref Scenario 2020'!AV86</f>
        <v>1</v>
      </c>
      <c r="AX86" s="11">
        <f>'EU Ref Scenario 2020'!AX86/'EU Ref Scenario 2020'!AW86</f>
        <v>1</v>
      </c>
    </row>
    <row r="87" spans="1:50" x14ac:dyDescent="0.3">
      <c r="A87" t="s">
        <v>1425</v>
      </c>
      <c r="B87" t="s">
        <v>1434</v>
      </c>
      <c r="F87" s="11">
        <f>'EU Ref Scenario 2020'!F87/'EU Ref Scenario 2020'!E87</f>
        <v>0.99058281832584982</v>
      </c>
      <c r="G87" s="11">
        <f>'EU Ref Scenario 2020'!G87/'EU Ref Scenario 2020'!F87</f>
        <v>0.99049329192882041</v>
      </c>
      <c r="H87" s="11">
        <f>'EU Ref Scenario 2020'!H87/'EU Ref Scenario 2020'!G87</f>
        <v>0.99040204699148759</v>
      </c>
      <c r="I87" s="11">
        <f>'EU Ref Scenario 2020'!I87/'EU Ref Scenario 2020'!H87</f>
        <v>0.99030903355090205</v>
      </c>
      <c r="J87" s="11">
        <f>'EU Ref Scenario 2020'!J87/'EU Ref Scenario 2020'!I87</f>
        <v>0.99021419968840474</v>
      </c>
      <c r="K87" s="11">
        <f>'EU Ref Scenario 2020'!K87/'EU Ref Scenario 2020'!J87</f>
        <v>1.0041795903547774</v>
      </c>
      <c r="L87" s="11">
        <f>'EU Ref Scenario 2020'!L87/'EU Ref Scenario 2020'!K87</f>
        <v>1.0041621940885104</v>
      </c>
      <c r="M87" s="11">
        <f>'EU Ref Scenario 2020'!M87/'EU Ref Scenario 2020'!L87</f>
        <v>1.0041449420352739</v>
      </c>
      <c r="N87" s="11">
        <f>'EU Ref Scenario 2020'!N87/'EU Ref Scenario 2020'!M87</f>
        <v>1.0041278324092064</v>
      </c>
      <c r="O87" s="11">
        <f>'EU Ref Scenario 2020'!O87/'EU Ref Scenario 2020'!N87</f>
        <v>1.0041108634538121</v>
      </c>
      <c r="P87" s="11">
        <f>'EU Ref Scenario 2020'!P87/'EU Ref Scenario 2020'!O87</f>
        <v>0.99209498696914311</v>
      </c>
      <c r="Q87" s="11">
        <f>'EU Ref Scenario 2020'!Q87/'EU Ref Scenario 2020'!P87</f>
        <v>0.99203199982392132</v>
      </c>
      <c r="R87" s="11">
        <f>'EU Ref Scenario 2020'!R87/'EU Ref Scenario 2020'!Q87</f>
        <v>0.99196800085330616</v>
      </c>
      <c r="S87" s="11">
        <f>'EU Ref Scenario 2020'!S87/'EU Ref Scenario 2020'!R87</f>
        <v>0.9919029654789423</v>
      </c>
      <c r="T87" s="11">
        <f>'EU Ref Scenario 2020'!T87/'EU Ref Scenario 2020'!S87</f>
        <v>0.99183686831992879</v>
      </c>
      <c r="U87" s="11">
        <f>'EU Ref Scenario 2020'!U87/'EU Ref Scenario 2020'!T87</f>
        <v>0.99738429920626559</v>
      </c>
      <c r="V87" s="11">
        <f>'EU Ref Scenario 2020'!V87/'EU Ref Scenario 2020'!U87</f>
        <v>0.99737743937235024</v>
      </c>
      <c r="W87" s="11">
        <f>'EU Ref Scenario 2020'!W87/'EU Ref Scenario 2020'!V87</f>
        <v>0.99737054346316456</v>
      </c>
      <c r="X87" s="11">
        <f>'EU Ref Scenario 2020'!X87/'EU Ref Scenario 2020'!W87</f>
        <v>0.99736361119338335</v>
      </c>
      <c r="Y87" s="11">
        <f>'EU Ref Scenario 2020'!Y87/'EU Ref Scenario 2020'!X87</f>
        <v>0.99735664227466425</v>
      </c>
      <c r="Z87" s="11">
        <f>'EU Ref Scenario 2020'!Z87/'EU Ref Scenario 2020'!Y87</f>
        <v>0.98669611222614773</v>
      </c>
      <c r="AA87" s="11">
        <f>'EU Ref Scenario 2020'!AA87/'EU Ref Scenario 2020'!Z87</f>
        <v>0.9865167323464602</v>
      </c>
      <c r="AB87" s="11">
        <f>'EU Ref Scenario 2020'!AB87/'EU Ref Scenario 2020'!AA87</f>
        <v>0.98633244909950046</v>
      </c>
      <c r="AC87" s="11">
        <f>'EU Ref Scenario 2020'!AC87/'EU Ref Scenario 2020'!AB87</f>
        <v>0.98614305864825014</v>
      </c>
      <c r="AD87" s="11">
        <f>'EU Ref Scenario 2020'!AD87/'EU Ref Scenario 2020'!AC87</f>
        <v>0.98594834569870216</v>
      </c>
      <c r="AE87" s="11">
        <f>'EU Ref Scenario 2020'!AE87/'EU Ref Scenario 2020'!AD87</f>
        <v>0.98854261367360496</v>
      </c>
      <c r="AF87" s="11">
        <f>'EU Ref Scenario 2020'!AF87/'EU Ref Scenario 2020'!AE87</f>
        <v>0.98840982050959103</v>
      </c>
      <c r="AG87" s="11">
        <f>'EU Ref Scenario 2020'!AG87/'EU Ref Scenario 2020'!AF87</f>
        <v>0.98827391305720391</v>
      </c>
      <c r="AH87" s="11">
        <f>'EU Ref Scenario 2020'!AH87/'EU Ref Scenario 2020'!AG87</f>
        <v>0.98813478046129777</v>
      </c>
      <c r="AI87" s="11">
        <f>'EU Ref Scenario 2020'!AI87/'EU Ref Scenario 2020'!AH87</f>
        <v>0.98799230654226866</v>
      </c>
      <c r="AJ87" s="11">
        <f>'EU Ref Scenario 2020'!AJ87/'EU Ref Scenario 2020'!AI87</f>
        <v>0.98875914913585727</v>
      </c>
      <c r="AK87" s="11">
        <f>'EU Ref Scenario 2020'!AK87/'EU Ref Scenario 2020'!AJ87</f>
        <v>0.98863135590303575</v>
      </c>
      <c r="AL87" s="11">
        <f>'EU Ref Scenario 2020'!AL87/'EU Ref Scenario 2020'!AK87</f>
        <v>0.98850062358523938</v>
      </c>
      <c r="AM87" s="11">
        <f>'EU Ref Scenario 2020'!AM87/'EU Ref Scenario 2020'!AL87</f>
        <v>0.98836684961001542</v>
      </c>
      <c r="AN87" s="11">
        <f>'EU Ref Scenario 2020'!AN87/'EU Ref Scenario 2020'!AM87</f>
        <v>0.98822992657577036</v>
      </c>
      <c r="AO87" s="11">
        <f>'EU Ref Scenario 2020'!AO87/'EU Ref Scenario 2020'!AN87</f>
        <v>1</v>
      </c>
      <c r="AP87" s="11">
        <f>'EU Ref Scenario 2020'!AP87/'EU Ref Scenario 2020'!AO87</f>
        <v>1</v>
      </c>
      <c r="AQ87" s="11">
        <f>'EU Ref Scenario 2020'!AQ87/'EU Ref Scenario 2020'!AP87</f>
        <v>1</v>
      </c>
      <c r="AR87" s="11">
        <f>'EU Ref Scenario 2020'!AR87/'EU Ref Scenario 2020'!AQ87</f>
        <v>1</v>
      </c>
      <c r="AS87" s="11">
        <f>'EU Ref Scenario 2020'!AS87/'EU Ref Scenario 2020'!AR87</f>
        <v>1</v>
      </c>
      <c r="AT87" s="11">
        <f>'EU Ref Scenario 2020'!AT87/'EU Ref Scenario 2020'!AS87</f>
        <v>1</v>
      </c>
      <c r="AU87" s="11">
        <f>'EU Ref Scenario 2020'!AU87/'EU Ref Scenario 2020'!AT87</f>
        <v>1</v>
      </c>
      <c r="AV87" s="11">
        <f>'EU Ref Scenario 2020'!AV87/'EU Ref Scenario 2020'!AU87</f>
        <v>1</v>
      </c>
      <c r="AW87" s="11">
        <f>'EU Ref Scenario 2020'!AW87/'EU Ref Scenario 2020'!AV87</f>
        <v>1</v>
      </c>
      <c r="AX87" s="11">
        <f>'EU Ref Scenario 2020'!AX87/'EU Ref Scenario 2020'!AW87</f>
        <v>1</v>
      </c>
    </row>
    <row r="88" spans="1:50" x14ac:dyDescent="0.3">
      <c r="A88" t="s">
        <v>1425</v>
      </c>
      <c r="B88" t="s">
        <v>1439</v>
      </c>
      <c r="F88" s="11">
        <f>'EU Ref Scenario 2020'!F88/'EU Ref Scenario 2020'!E88</f>
        <v>0.98910752567604654</v>
      </c>
      <c r="G88" s="11">
        <f>'EU Ref Scenario 2020'!G88/'EU Ref Scenario 2020'!F88</f>
        <v>0.9889875730987806</v>
      </c>
      <c r="H88" s="11">
        <f>'EU Ref Scenario 2020'!H88/'EU Ref Scenario 2020'!G88</f>
        <v>0.98886494916542345</v>
      </c>
      <c r="I88" s="11">
        <f>'EU Ref Scenario 2020'!I88/'EU Ref Scenario 2020'!H88</f>
        <v>0.98873956363406934</v>
      </c>
      <c r="J88" s="11">
        <f>'EU Ref Scenario 2020'!J88/'EU Ref Scenario 2020'!I88</f>
        <v>0.98861132215186831</v>
      </c>
      <c r="K88" s="11">
        <f>'EU Ref Scenario 2020'!K88/'EU Ref Scenario 2020'!J88</f>
        <v>1.0038477636857126</v>
      </c>
      <c r="L88" s="11">
        <f>'EU Ref Scenario 2020'!L88/'EU Ref Scenario 2020'!K88</f>
        <v>1.0038330151492145</v>
      </c>
      <c r="M88" s="11">
        <f>'EU Ref Scenario 2020'!M88/'EU Ref Scenario 2020'!L88</f>
        <v>1.0038183792437279</v>
      </c>
      <c r="N88" s="11">
        <f>'EU Ref Scenario 2020'!N88/'EU Ref Scenario 2020'!M88</f>
        <v>1.0038038546839565</v>
      </c>
      <c r="O88" s="11">
        <f>'EU Ref Scenario 2020'!O88/'EU Ref Scenario 2020'!N88</f>
        <v>1.0037894402040866</v>
      </c>
      <c r="P88" s="11">
        <f>'EU Ref Scenario 2020'!P88/'EU Ref Scenario 2020'!O88</f>
        <v>0.98953426098007502</v>
      </c>
      <c r="Q88" s="11">
        <f>'EU Ref Scenario 2020'!Q88/'EU Ref Scenario 2020'!P88</f>
        <v>0.98942357083264676</v>
      </c>
      <c r="R88" s="11">
        <f>'EU Ref Scenario 2020'!R88/'EU Ref Scenario 2020'!Q88</f>
        <v>0.98931051424370997</v>
      </c>
      <c r="S88" s="11">
        <f>'EU Ref Scenario 2020'!S88/'EU Ref Scenario 2020'!R88</f>
        <v>0.989195014505166</v>
      </c>
      <c r="T88" s="11">
        <f>'EU Ref Scenario 2020'!T88/'EU Ref Scenario 2020'!S88</f>
        <v>0.98907699155738382</v>
      </c>
      <c r="U88" s="11">
        <f>'EU Ref Scenario 2020'!U88/'EU Ref Scenario 2020'!T88</f>
        <v>0.99322567827664354</v>
      </c>
      <c r="V88" s="11">
        <f>'EU Ref Scenario 2020'!V88/'EU Ref Scenario 2020'!U88</f>
        <v>0.99317947383810024</v>
      </c>
      <c r="W88" s="11">
        <f>'EU Ref Scenario 2020'!W88/'EU Ref Scenario 2020'!V88</f>
        <v>0.99313263479404967</v>
      </c>
      <c r="X88" s="11">
        <f>'EU Ref Scenario 2020'!X88/'EU Ref Scenario 2020'!W88</f>
        <v>0.99308514797988245</v>
      </c>
      <c r="Y88" s="11">
        <f>'EU Ref Scenario 2020'!Y88/'EU Ref Scenario 2020'!X88</f>
        <v>0.99303699986432781</v>
      </c>
      <c r="Z88" s="11">
        <f>'EU Ref Scenario 2020'!Z88/'EU Ref Scenario 2020'!Y88</f>
        <v>0.98204188480609311</v>
      </c>
      <c r="AA88" s="11">
        <f>'EU Ref Scenario 2020'!AA88/'EU Ref Scenario 2020'!Z88</f>
        <v>0.98171349361799098</v>
      </c>
      <c r="AB88" s="11">
        <f>'EU Ref Scenario 2020'!AB88/'EU Ref Scenario 2020'!AA88</f>
        <v>0.98137286845817284</v>
      </c>
      <c r="AC88" s="11">
        <f>'EU Ref Scenario 2020'!AC88/'EU Ref Scenario 2020'!AB88</f>
        <v>0.98101931269906395</v>
      </c>
      <c r="AD88" s="11">
        <f>'EU Ref Scenario 2020'!AD88/'EU Ref Scenario 2020'!AC88</f>
        <v>0.98065207579989921</v>
      </c>
      <c r="AE88" s="11">
        <f>'EU Ref Scenario 2020'!AE88/'EU Ref Scenario 2020'!AD88</f>
        <v>0.98481132382456149</v>
      </c>
      <c r="AF88" s="11">
        <f>'EU Ref Scenario 2020'!AF88/'EU Ref Scenario 2020'!AE88</f>
        <v>0.9845770699341142</v>
      </c>
      <c r="AG88" s="11">
        <f>'EU Ref Scenario 2020'!AG88/'EU Ref Scenario 2020'!AF88</f>
        <v>0.984335477092801</v>
      </c>
      <c r="AH88" s="11">
        <f>'EU Ref Scenario 2020'!AH88/'EU Ref Scenario 2020'!AG88</f>
        <v>0.98408619492872129</v>
      </c>
      <c r="AI88" s="11">
        <f>'EU Ref Scenario 2020'!AI88/'EU Ref Scenario 2020'!AH88</f>
        <v>0.98382885040630896</v>
      </c>
      <c r="AJ88" s="11">
        <f>'EU Ref Scenario 2020'!AJ88/'EU Ref Scenario 2020'!AI88</f>
        <v>0.98386675090673636</v>
      </c>
      <c r="AK88" s="11">
        <f>'EU Ref Scenario 2020'!AK88/'EU Ref Scenario 2020'!AJ88</f>
        <v>0.98360220113303443</v>
      </c>
      <c r="AL88" s="11">
        <f>'EU Ref Scenario 2020'!AL88/'EU Ref Scenario 2020'!AK88</f>
        <v>0.98332883065117527</v>
      </c>
      <c r="AM88" s="11">
        <f>'EU Ref Scenario 2020'!AM88/'EU Ref Scenario 2020'!AL88</f>
        <v>0.98304619082735034</v>
      </c>
      <c r="AN88" s="11">
        <f>'EU Ref Scenario 2020'!AN88/'EU Ref Scenario 2020'!AM88</f>
        <v>0.98275380207884111</v>
      </c>
      <c r="AO88" s="11">
        <f>'EU Ref Scenario 2020'!AO88/'EU Ref Scenario 2020'!AN88</f>
        <v>1</v>
      </c>
      <c r="AP88" s="11">
        <f>'EU Ref Scenario 2020'!AP88/'EU Ref Scenario 2020'!AO88</f>
        <v>1</v>
      </c>
      <c r="AQ88" s="11">
        <f>'EU Ref Scenario 2020'!AQ88/'EU Ref Scenario 2020'!AP88</f>
        <v>1</v>
      </c>
      <c r="AR88" s="11">
        <f>'EU Ref Scenario 2020'!AR88/'EU Ref Scenario 2020'!AQ88</f>
        <v>1</v>
      </c>
      <c r="AS88" s="11">
        <f>'EU Ref Scenario 2020'!AS88/'EU Ref Scenario 2020'!AR88</f>
        <v>1</v>
      </c>
      <c r="AT88" s="11">
        <f>'EU Ref Scenario 2020'!AT88/'EU Ref Scenario 2020'!AS88</f>
        <v>1</v>
      </c>
      <c r="AU88" s="11">
        <f>'EU Ref Scenario 2020'!AU88/'EU Ref Scenario 2020'!AT88</f>
        <v>1</v>
      </c>
      <c r="AV88" s="11">
        <f>'EU Ref Scenario 2020'!AV88/'EU Ref Scenario 2020'!AU88</f>
        <v>1</v>
      </c>
      <c r="AW88" s="11">
        <f>'EU Ref Scenario 2020'!AW88/'EU Ref Scenario 2020'!AV88</f>
        <v>1</v>
      </c>
      <c r="AX88" s="11">
        <f>'EU Ref Scenario 2020'!AX88/'EU Ref Scenario 2020'!AW88</f>
        <v>1</v>
      </c>
    </row>
    <row r="89" spans="1:50" x14ac:dyDescent="0.3">
      <c r="A89" t="s">
        <v>1425</v>
      </c>
      <c r="B89" t="s">
        <v>1435</v>
      </c>
      <c r="F89" s="11">
        <f>'EU Ref Scenario 2020'!F89/'EU Ref Scenario 2020'!E89</f>
        <v>0.99562785884105354</v>
      </c>
      <c r="G89" s="11">
        <f>'EU Ref Scenario 2020'!G89/'EU Ref Scenario 2020'!F89</f>
        <v>0.99560865927954678</v>
      </c>
      <c r="H89" s="11">
        <f>'EU Ref Scenario 2020'!H89/'EU Ref Scenario 2020'!G89</f>
        <v>0.99558929035065746</v>
      </c>
      <c r="I89" s="11">
        <f>'EU Ref Scenario 2020'!I89/'EU Ref Scenario 2020'!H89</f>
        <v>0.99556974980336621</v>
      </c>
      <c r="J89" s="11">
        <f>'EU Ref Scenario 2020'!J89/'EU Ref Scenario 2020'!I89</f>
        <v>0.99555003534658548</v>
      </c>
      <c r="K89" s="11">
        <f>'EU Ref Scenario 2020'!K89/'EU Ref Scenario 2020'!J89</f>
        <v>1.0052765126856433</v>
      </c>
      <c r="L89" s="11">
        <f>'EU Ref Scenario 2020'!L89/'EU Ref Scenario 2020'!K89</f>
        <v>1.0052488172349188</v>
      </c>
      <c r="M89" s="11">
        <f>'EU Ref Scenario 2020'!M89/'EU Ref Scenario 2020'!L89</f>
        <v>1.0052214110028563</v>
      </c>
      <c r="N89" s="11">
        <f>'EU Ref Scenario 2020'!N89/'EU Ref Scenario 2020'!M89</f>
        <v>1.0051942894825998</v>
      </c>
      <c r="O89" s="11">
        <f>'EU Ref Scenario 2020'!O89/'EU Ref Scenario 2020'!N89</f>
        <v>1.0051674482604487</v>
      </c>
      <c r="P89" s="11">
        <f>'EU Ref Scenario 2020'!P89/'EU Ref Scenario 2020'!O89</f>
        <v>1.0005010838259558</v>
      </c>
      <c r="Q89" s="11">
        <f>'EU Ref Scenario 2020'!Q89/'EU Ref Scenario 2020'!P89</f>
        <v>1.0005008328667069</v>
      </c>
      <c r="R89" s="11">
        <f>'EU Ref Scenario 2020'!R89/'EU Ref Scenario 2020'!Q89</f>
        <v>1.0005005821587094</v>
      </c>
      <c r="S89" s="11">
        <f>'EU Ref Scenario 2020'!S89/'EU Ref Scenario 2020'!R89</f>
        <v>1.0005003317015861</v>
      </c>
      <c r="T89" s="11">
        <f>'EU Ref Scenario 2020'!T89/'EU Ref Scenario 2020'!S89</f>
        <v>1.0005000814949609</v>
      </c>
      <c r="U89" s="11">
        <f>'EU Ref Scenario 2020'!U89/'EU Ref Scenario 2020'!T89</f>
        <v>1.0102891092782367</v>
      </c>
      <c r="V89" s="11">
        <f>'EU Ref Scenario 2020'!V89/'EU Ref Scenario 2020'!U89</f>
        <v>1.0101843216795512</v>
      </c>
      <c r="W89" s="11">
        <f>'EU Ref Scenario 2020'!W89/'EU Ref Scenario 2020'!V89</f>
        <v>1.0100816469440137</v>
      </c>
      <c r="X89" s="11">
        <f>'EU Ref Scenario 2020'!X89/'EU Ref Scenario 2020'!W89</f>
        <v>1.0099810218060248</v>
      </c>
      <c r="Y89" s="11">
        <f>'EU Ref Scenario 2020'!Y89/'EU Ref Scenario 2020'!X89</f>
        <v>1.0098823855008452</v>
      </c>
      <c r="Z89" s="11">
        <f>'EU Ref Scenario 2020'!Z89/'EU Ref Scenario 2020'!Y89</f>
        <v>0.99996693781849788</v>
      </c>
      <c r="AA89" s="11">
        <f>'EU Ref Scenario 2020'!AA89/'EU Ref Scenario 2020'!Z89</f>
        <v>0.99996693672535386</v>
      </c>
      <c r="AB89" s="11">
        <f>'EU Ref Scenario 2020'!AB89/'EU Ref Scenario 2020'!AA89</f>
        <v>0.99996693563213757</v>
      </c>
      <c r="AC89" s="11">
        <f>'EU Ref Scenario 2020'!AC89/'EU Ref Scenario 2020'!AB89</f>
        <v>0.99996693453884899</v>
      </c>
      <c r="AD89" s="11">
        <f>'EU Ref Scenario 2020'!AD89/'EU Ref Scenario 2020'!AC89</f>
        <v>0.99996693344548848</v>
      </c>
      <c r="AE89" s="11">
        <f>'EU Ref Scenario 2020'!AE89/'EU Ref Scenario 2020'!AD89</f>
        <v>0.99822812280943352</v>
      </c>
      <c r="AF89" s="11">
        <f>'EU Ref Scenario 2020'!AF89/'EU Ref Scenario 2020'!AE89</f>
        <v>0.99822497768788587</v>
      </c>
      <c r="AG89" s="11">
        <f>'EU Ref Scenario 2020'!AG89/'EU Ref Scenario 2020'!AF89</f>
        <v>0.99822182138116256</v>
      </c>
      <c r="AH89" s="11">
        <f>'EU Ref Scenario 2020'!AH89/'EU Ref Scenario 2020'!AG89</f>
        <v>0.99821865382948938</v>
      </c>
      <c r="AI89" s="11">
        <f>'EU Ref Scenario 2020'!AI89/'EU Ref Scenario 2020'!AH89</f>
        <v>0.99821547497266561</v>
      </c>
      <c r="AJ89" s="11">
        <f>'EU Ref Scenario 2020'!AJ89/'EU Ref Scenario 2020'!AI89</f>
        <v>1.0005990639691211</v>
      </c>
      <c r="AK89" s="11">
        <f>'EU Ref Scenario 2020'!AK89/'EU Ref Scenario 2020'!AJ89</f>
        <v>1.0005987053063439</v>
      </c>
      <c r="AL89" s="11">
        <f>'EU Ref Scenario 2020'!AL89/'EU Ref Scenario 2020'!AK89</f>
        <v>1.0005983470727764</v>
      </c>
      <c r="AM89" s="11">
        <f>'EU Ref Scenario 2020'!AM89/'EU Ref Scenario 2020'!AL89</f>
        <v>1.0005979892676484</v>
      </c>
      <c r="AN89" s="11">
        <f>'EU Ref Scenario 2020'!AN89/'EU Ref Scenario 2020'!AM89</f>
        <v>1.0005976318901924</v>
      </c>
      <c r="AO89" s="11">
        <f>'EU Ref Scenario 2020'!AO89/'EU Ref Scenario 2020'!AN89</f>
        <v>1</v>
      </c>
      <c r="AP89" s="11">
        <f>'EU Ref Scenario 2020'!AP89/'EU Ref Scenario 2020'!AO89</f>
        <v>1</v>
      </c>
      <c r="AQ89" s="11">
        <f>'EU Ref Scenario 2020'!AQ89/'EU Ref Scenario 2020'!AP89</f>
        <v>1</v>
      </c>
      <c r="AR89" s="11">
        <f>'EU Ref Scenario 2020'!AR89/'EU Ref Scenario 2020'!AQ89</f>
        <v>1</v>
      </c>
      <c r="AS89" s="11">
        <f>'EU Ref Scenario 2020'!AS89/'EU Ref Scenario 2020'!AR89</f>
        <v>1</v>
      </c>
      <c r="AT89" s="11">
        <f>'EU Ref Scenario 2020'!AT89/'EU Ref Scenario 2020'!AS89</f>
        <v>1</v>
      </c>
      <c r="AU89" s="11">
        <f>'EU Ref Scenario 2020'!AU89/'EU Ref Scenario 2020'!AT89</f>
        <v>1</v>
      </c>
      <c r="AV89" s="11">
        <f>'EU Ref Scenario 2020'!AV89/'EU Ref Scenario 2020'!AU89</f>
        <v>1</v>
      </c>
      <c r="AW89" s="11">
        <f>'EU Ref Scenario 2020'!AW89/'EU Ref Scenario 2020'!AV89</f>
        <v>1</v>
      </c>
      <c r="AX89" s="11">
        <f>'EU Ref Scenario 2020'!AX89/'EU Ref Scenario 2020'!AW89</f>
        <v>1</v>
      </c>
    </row>
  </sheetData>
  <autoFilter ref="A5:AX89" xr:uid="{A995FC39-869B-4F2D-9E9B-7134D415BDC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AAA2-715E-41CC-B403-B35068BCB821}">
  <dimension ref="A1:AE89"/>
  <sheetViews>
    <sheetView workbookViewId="0">
      <selection activeCell="AF1" sqref="AF1:AP1048576"/>
    </sheetView>
  </sheetViews>
  <sheetFormatPr defaultRowHeight="14.4" x14ac:dyDescent="0.3"/>
  <cols>
    <col min="2" max="2" width="25.21875" bestFit="1" customWidth="1"/>
  </cols>
  <sheetData>
    <row r="1" spans="1:31" x14ac:dyDescent="0.3">
      <c r="A1" s="3" t="s">
        <v>1441</v>
      </c>
    </row>
    <row r="2" spans="1:31" x14ac:dyDescent="0.3">
      <c r="A2" t="s">
        <v>1438</v>
      </c>
    </row>
    <row r="3" spans="1:31" x14ac:dyDescent="0.3">
      <c r="A3" t="s">
        <v>1440</v>
      </c>
    </row>
    <row r="5" spans="1:31" s="3" customFormat="1" x14ac:dyDescent="0.3">
      <c r="A5" s="3" t="s">
        <v>1387</v>
      </c>
      <c r="B5" s="3" t="s">
        <v>1436</v>
      </c>
      <c r="C5" s="3">
        <v>2022</v>
      </c>
      <c r="D5" s="3">
        <v>2023</v>
      </c>
      <c r="E5" s="3">
        <v>2024</v>
      </c>
      <c r="F5" s="3">
        <v>2025</v>
      </c>
      <c r="G5" s="3">
        <v>2026</v>
      </c>
      <c r="H5" s="3">
        <v>2027</v>
      </c>
      <c r="I5" s="3">
        <v>2028</v>
      </c>
      <c r="J5" s="3">
        <v>2029</v>
      </c>
      <c r="K5" s="3">
        <v>2030</v>
      </c>
      <c r="L5" s="3">
        <v>2031</v>
      </c>
      <c r="M5" s="3">
        <v>2032</v>
      </c>
      <c r="N5" s="3">
        <v>2033</v>
      </c>
      <c r="O5" s="3">
        <v>2034</v>
      </c>
      <c r="P5" s="3">
        <v>2035</v>
      </c>
      <c r="Q5" s="3">
        <v>2036</v>
      </c>
      <c r="R5" s="3">
        <v>2037</v>
      </c>
      <c r="S5" s="3">
        <v>2038</v>
      </c>
      <c r="T5" s="3">
        <v>2039</v>
      </c>
      <c r="U5" s="3">
        <v>2040</v>
      </c>
      <c r="V5" s="3">
        <v>2041</v>
      </c>
      <c r="W5" s="3">
        <v>2042</v>
      </c>
      <c r="X5" s="3">
        <v>2043</v>
      </c>
      <c r="Y5" s="3">
        <v>2044</v>
      </c>
      <c r="Z5" s="3">
        <v>2045</v>
      </c>
      <c r="AA5" s="3">
        <v>2046</v>
      </c>
      <c r="AB5" s="3">
        <v>2047</v>
      </c>
      <c r="AC5" s="3">
        <v>2048</v>
      </c>
      <c r="AD5" s="3">
        <v>2049</v>
      </c>
      <c r="AE5" s="3">
        <v>2050</v>
      </c>
    </row>
    <row r="6" spans="1:31" x14ac:dyDescent="0.3">
      <c r="A6" t="s">
        <v>1433</v>
      </c>
      <c r="B6" t="s">
        <v>1439</v>
      </c>
      <c r="C6" s="11">
        <v>1.0073783267078211</v>
      </c>
      <c r="D6" s="11">
        <v>1.0073242857347686</v>
      </c>
      <c r="E6" s="11">
        <v>1.0072710306288566</v>
      </c>
      <c r="F6" s="11">
        <v>1.0072185443716344</v>
      </c>
      <c r="G6" s="11">
        <v>0.99492724814625111</v>
      </c>
      <c r="H6" s="11">
        <v>0.99490138413316109</v>
      </c>
      <c r="I6" s="11">
        <v>0.99487525502712881</v>
      </c>
      <c r="J6" s="11">
        <v>0.99484885673155943</v>
      </c>
      <c r="K6" s="11">
        <v>0.99482218506501197</v>
      </c>
      <c r="L6" s="11">
        <v>0.98574896010595969</v>
      </c>
      <c r="M6" s="11">
        <v>0.98554293185101749</v>
      </c>
      <c r="N6" s="11">
        <v>0.98533085908106544</v>
      </c>
      <c r="O6" s="11">
        <v>0.98511247183244088</v>
      </c>
      <c r="P6" s="11">
        <v>0.98488748382216096</v>
      </c>
      <c r="Q6" s="11">
        <v>0.98865755743180361</v>
      </c>
      <c r="R6" s="11">
        <v>0.98852743047080915</v>
      </c>
      <c r="S6" s="11">
        <v>0.98839428307646782</v>
      </c>
      <c r="T6" s="11">
        <v>0.98825800885107484</v>
      </c>
      <c r="U6" s="11">
        <v>0.98811849634026605</v>
      </c>
      <c r="V6" s="11">
        <v>0.99500457293491473</v>
      </c>
      <c r="W6" s="11">
        <v>0.99497949336016567</v>
      </c>
      <c r="X6" s="11">
        <v>0.99495416069040832</v>
      </c>
      <c r="Y6" s="11">
        <v>0.99492857107498267</v>
      </c>
      <c r="Z6" s="11">
        <v>0.99490272058471729</v>
      </c>
      <c r="AA6" s="11">
        <v>0.99953119212367292</v>
      </c>
      <c r="AB6" s="11">
        <v>0.99953097223976473</v>
      </c>
      <c r="AC6" s="11">
        <v>0.99953075214949638</v>
      </c>
      <c r="AD6" s="11">
        <v>0.99953053185257734</v>
      </c>
      <c r="AE6" s="11">
        <v>0.99953031134871628</v>
      </c>
    </row>
    <row r="7" spans="1:31" x14ac:dyDescent="0.3">
      <c r="A7" t="s">
        <v>1390</v>
      </c>
      <c r="B7" t="s">
        <v>1439</v>
      </c>
      <c r="C7" s="11">
        <v>1.007516556725949</v>
      </c>
      <c r="D7" s="11">
        <v>1.0074604796077744</v>
      </c>
      <c r="E7" s="11">
        <v>1.0074052330178538</v>
      </c>
      <c r="F7" s="11">
        <v>1.0073507986410493</v>
      </c>
      <c r="G7" s="11">
        <v>0.99219713659991582</v>
      </c>
      <c r="H7" s="11">
        <v>0.9921357731117596</v>
      </c>
      <c r="I7" s="11">
        <v>0.99207343682047178</v>
      </c>
      <c r="J7" s="11">
        <v>0.99201010440826609</v>
      </c>
      <c r="K7" s="11">
        <v>0.99194575180612721</v>
      </c>
      <c r="L7" s="11">
        <v>0.98866817417101704</v>
      </c>
      <c r="M7" s="11">
        <v>0.98853829209331578</v>
      </c>
      <c r="N7" s="11">
        <v>0.9884053981536588</v>
      </c>
      <c r="O7" s="11">
        <v>0.98826938635907902</v>
      </c>
      <c r="P7" s="11">
        <v>0.98813014568412583</v>
      </c>
      <c r="Q7" s="11">
        <v>0.99047622153937165</v>
      </c>
      <c r="R7" s="11">
        <v>0.9903846470480363</v>
      </c>
      <c r="S7" s="11">
        <v>0.99029129441715058</v>
      </c>
      <c r="T7" s="11">
        <v>0.9901961113486677</v>
      </c>
      <c r="U7" s="11">
        <v>0.9900990434733391</v>
      </c>
      <c r="V7" s="11">
        <v>0.995358941424064</v>
      </c>
      <c r="W7" s="11">
        <v>0.99533730156751687</v>
      </c>
      <c r="X7" s="11">
        <v>0.99531545896537787</v>
      </c>
      <c r="Y7" s="11">
        <v>0.99529341075492628</v>
      </c>
      <c r="Z7" s="11">
        <v>0.995271154019292</v>
      </c>
      <c r="AA7" s="11">
        <v>0.99753804867273754</v>
      </c>
      <c r="AB7" s="11">
        <v>0.9975319725091808</v>
      </c>
      <c r="AC7" s="11">
        <v>0.99752586627914175</v>
      </c>
      <c r="AD7" s="11">
        <v>0.99751972975890135</v>
      </c>
      <c r="AE7" s="11">
        <v>0.99751356272251579</v>
      </c>
    </row>
    <row r="8" spans="1:31" x14ac:dyDescent="0.3">
      <c r="A8" t="s">
        <v>1396</v>
      </c>
      <c r="B8" t="s">
        <v>1439</v>
      </c>
      <c r="C8" s="11">
        <v>1.0321638165624145</v>
      </c>
      <c r="D8" s="11">
        <v>1.0311615424279597</v>
      </c>
      <c r="E8" s="11">
        <v>1.030219845432353</v>
      </c>
      <c r="F8" s="11">
        <v>1.0293333947762098</v>
      </c>
      <c r="G8" s="11">
        <v>1.0302570812064797</v>
      </c>
      <c r="H8" s="11">
        <v>1.0293684768184725</v>
      </c>
      <c r="I8" s="11">
        <v>1.0285305772226905</v>
      </c>
      <c r="J8" s="11">
        <v>1.0277391628936601</v>
      </c>
      <c r="K8" s="11">
        <v>1.0269904698538093</v>
      </c>
      <c r="L8" s="11">
        <v>0.99377450674540679</v>
      </c>
      <c r="M8" s="11">
        <v>0.99373550718766013</v>
      </c>
      <c r="N8" s="11">
        <v>0.99369601592473145</v>
      </c>
      <c r="O8" s="11">
        <v>0.99365602359852268</v>
      </c>
      <c r="P8" s="11">
        <v>0.99361552061194924</v>
      </c>
      <c r="Q8" s="11">
        <v>0.99477388963671443</v>
      </c>
      <c r="R8" s="11">
        <v>0.9947464339205826</v>
      </c>
      <c r="S8" s="11">
        <v>0.9947186882000556</v>
      </c>
      <c r="T8" s="11">
        <v>0.99469064785592698</v>
      </c>
      <c r="U8" s="11">
        <v>0.99466230817036694</v>
      </c>
      <c r="V8" s="11">
        <v>0.9998355916532331</v>
      </c>
      <c r="W8" s="11">
        <v>0.99983556461868395</v>
      </c>
      <c r="X8" s="11">
        <v>0.99983553757524235</v>
      </c>
      <c r="Y8" s="11">
        <v>0.99983551052290409</v>
      </c>
      <c r="Z8" s="11">
        <v>0.99983548346166518</v>
      </c>
      <c r="AA8" s="11">
        <v>0.99947015060984556</v>
      </c>
      <c r="AB8" s="11">
        <v>0.99946986972064034</v>
      </c>
      <c r="AC8" s="11">
        <v>0.99946958853346135</v>
      </c>
      <c r="AD8" s="11">
        <v>0.99946930704783432</v>
      </c>
      <c r="AE8" s="11">
        <v>0.99946902526328418</v>
      </c>
    </row>
    <row r="9" spans="1:31" x14ac:dyDescent="0.3">
      <c r="A9" t="s">
        <v>1398</v>
      </c>
      <c r="B9" t="s">
        <v>1439</v>
      </c>
      <c r="C9" s="11">
        <v>1.0140525375053167</v>
      </c>
      <c r="D9" s="11">
        <v>1.013857800247596</v>
      </c>
      <c r="E9" s="11">
        <v>1.013668386478076</v>
      </c>
      <c r="F9" s="11">
        <v>1.0134840808497203</v>
      </c>
      <c r="G9" s="11">
        <v>0.99557728838057002</v>
      </c>
      <c r="H9" s="11">
        <v>0.99555764110828193</v>
      </c>
      <c r="I9" s="11">
        <v>0.99553781849660383</v>
      </c>
      <c r="J9" s="11">
        <v>0.9955178181878267</v>
      </c>
      <c r="K9" s="11">
        <v>0.99549763778178069</v>
      </c>
      <c r="L9" s="11">
        <v>0.97999157792428915</v>
      </c>
      <c r="M9" s="11">
        <v>0.97958306731769018</v>
      </c>
      <c r="N9" s="11">
        <v>0.97915752796930655</v>
      </c>
      <c r="O9" s="11">
        <v>0.97871387245122954</v>
      </c>
      <c r="P9" s="11">
        <v>0.9782509187333186</v>
      </c>
      <c r="Q9" s="11">
        <v>0.99339741397819981</v>
      </c>
      <c r="R9" s="11">
        <v>0.99335353008887028</v>
      </c>
      <c r="S9" s="11">
        <v>0.9933090589505077</v>
      </c>
      <c r="T9" s="11">
        <v>0.99326398869596366</v>
      </c>
      <c r="U9" s="11">
        <v>0.99321830713617221</v>
      </c>
      <c r="V9" s="11">
        <v>0.99808804868351364</v>
      </c>
      <c r="W9" s="11">
        <v>0.99808438612303974</v>
      </c>
      <c r="X9" s="11">
        <v>0.99808070950353078</v>
      </c>
      <c r="Y9" s="11">
        <v>0.99807701874388099</v>
      </c>
      <c r="Z9" s="11">
        <v>0.99807331376235975</v>
      </c>
      <c r="AA9" s="11">
        <v>0.99684677315731429</v>
      </c>
      <c r="AB9" s="11">
        <v>0.9968367988665916</v>
      </c>
      <c r="AC9" s="11">
        <v>0.99682676127425773</v>
      </c>
      <c r="AD9" s="11">
        <v>0.99681665977578104</v>
      </c>
      <c r="AE9" s="11">
        <v>0.99680649375890718</v>
      </c>
    </row>
    <row r="10" spans="1:31" x14ac:dyDescent="0.3">
      <c r="A10" t="s">
        <v>1400</v>
      </c>
      <c r="B10" t="s">
        <v>1439</v>
      </c>
      <c r="C10" s="11">
        <v>1.011852544222307</v>
      </c>
      <c r="D10" s="11">
        <v>1.0117137069921751</v>
      </c>
      <c r="E10" s="11">
        <v>1.0115780847004632</v>
      </c>
      <c r="F10" s="11">
        <v>1.0114455669567928</v>
      </c>
      <c r="G10" s="11">
        <v>0.98297298844883518</v>
      </c>
      <c r="H10" s="11">
        <v>0.98267804736116493</v>
      </c>
      <c r="I10" s="11">
        <v>0.98237270824829093</v>
      </c>
      <c r="J10" s="11">
        <v>0.98205641137655275</v>
      </c>
      <c r="K10" s="11">
        <v>0.98172855610372123</v>
      </c>
      <c r="L10" s="11">
        <v>0.9986826855140758</v>
      </c>
      <c r="M10" s="11">
        <v>0.99868094790764683</v>
      </c>
      <c r="N10" s="11">
        <v>0.99867920571117663</v>
      </c>
      <c r="O10" s="11">
        <v>0.99867745890645354</v>
      </c>
      <c r="P10" s="11">
        <v>0.99867570747516976</v>
      </c>
      <c r="Q10" s="11">
        <v>1.0085700719391688</v>
      </c>
      <c r="R10" s="11">
        <v>1.0084972498962725</v>
      </c>
      <c r="S10" s="11">
        <v>1.0084256550001962</v>
      </c>
      <c r="T10" s="11">
        <v>1.0083552564915601</v>
      </c>
      <c r="U10" s="11">
        <v>1.0082860246304768</v>
      </c>
      <c r="V10" s="11">
        <v>1.0019317099515008</v>
      </c>
      <c r="W10" s="11">
        <v>1.001927985642449</v>
      </c>
      <c r="X10" s="11">
        <v>1.0019242756665916</v>
      </c>
      <c r="Y10" s="11">
        <v>1.0019205799413449</v>
      </c>
      <c r="Z10" s="11">
        <v>1.0019168983847575</v>
      </c>
      <c r="AA10" s="11">
        <v>1.0036222043977756</v>
      </c>
      <c r="AB10" s="11">
        <v>1.0036091313861966</v>
      </c>
      <c r="AC10" s="11">
        <v>1.0035961523997012</v>
      </c>
      <c r="AD10" s="11">
        <v>1.003583266427539</v>
      </c>
      <c r="AE10" s="11">
        <v>1.0035704724733943</v>
      </c>
    </row>
    <row r="11" spans="1:31" x14ac:dyDescent="0.3">
      <c r="A11" t="s">
        <v>1401</v>
      </c>
      <c r="B11" t="s">
        <v>1439</v>
      </c>
      <c r="C11" s="11">
        <v>1.0024566365552652</v>
      </c>
      <c r="D11" s="11">
        <v>1.0024506162817246</v>
      </c>
      <c r="E11" s="11">
        <v>1.0024446254428117</v>
      </c>
      <c r="F11" s="11">
        <v>1.002438663823183</v>
      </c>
      <c r="G11" s="11">
        <v>0.9812415949447596</v>
      </c>
      <c r="H11" s="11">
        <v>0.98088299033399984</v>
      </c>
      <c r="I11" s="11">
        <v>0.9805104076078528</v>
      </c>
      <c r="J11" s="11">
        <v>0.98012301323787487</v>
      </c>
      <c r="K11" s="11">
        <v>0.97971990607948234</v>
      </c>
      <c r="L11" s="11">
        <v>0.99029566724342954</v>
      </c>
      <c r="M11" s="11">
        <v>0.99020057031696074</v>
      </c>
      <c r="N11" s="11">
        <v>0.99010359115436331</v>
      </c>
      <c r="O11" s="11">
        <v>0.99000467331494224</v>
      </c>
      <c r="P11" s="11">
        <v>0.98990375807864717</v>
      </c>
      <c r="Q11" s="11">
        <v>0.9936241619736883</v>
      </c>
      <c r="R11" s="11">
        <v>0.99358324981384616</v>
      </c>
      <c r="S11" s="11">
        <v>0.99354180921693669</v>
      </c>
      <c r="T11" s="11">
        <v>0.99349982987816754</v>
      </c>
      <c r="U11" s="11">
        <v>0.99345730122306164</v>
      </c>
      <c r="V11" s="11">
        <v>0.99183227277492103</v>
      </c>
      <c r="W11" s="11">
        <v>0.99176501163626429</v>
      </c>
      <c r="X11" s="11">
        <v>0.99169663350983805</v>
      </c>
      <c r="Y11" s="11">
        <v>0.99162711033839601</v>
      </c>
      <c r="Z11" s="11">
        <v>0.99155641311707698</v>
      </c>
      <c r="AA11" s="11">
        <v>0.99501483424921888</v>
      </c>
      <c r="AB11" s="11">
        <v>0.9949898578602171</v>
      </c>
      <c r="AC11" s="11">
        <v>0.99496462994049251</v>
      </c>
      <c r="AD11" s="11">
        <v>0.9949391466711649</v>
      </c>
      <c r="AE11" s="11">
        <v>0.99491340415565366</v>
      </c>
    </row>
    <row r="12" spans="1:31" x14ac:dyDescent="0.3">
      <c r="A12" t="s">
        <v>1402</v>
      </c>
      <c r="B12" t="s">
        <v>1439</v>
      </c>
      <c r="C12" s="11">
        <v>1.0063250370214376</v>
      </c>
      <c r="D12" s="11">
        <v>1.0062852823777084</v>
      </c>
      <c r="E12" s="11">
        <v>1.0062460243509248</v>
      </c>
      <c r="F12" s="11">
        <v>1.0062072536932045</v>
      </c>
      <c r="G12" s="11">
        <v>0.98772586499662451</v>
      </c>
      <c r="H12" s="11">
        <v>0.98757333847543072</v>
      </c>
      <c r="I12" s="11">
        <v>0.9874169734637096</v>
      </c>
      <c r="J12" s="11">
        <v>0.98725662321546781</v>
      </c>
      <c r="K12" s="11">
        <v>0.98709213340800117</v>
      </c>
      <c r="L12" s="11">
        <v>0.98199940035445754</v>
      </c>
      <c r="M12" s="11">
        <v>0.98166943926946892</v>
      </c>
      <c r="N12" s="11">
        <v>0.98132715556045824</v>
      </c>
      <c r="O12" s="11">
        <v>0.98097184579705499</v>
      </c>
      <c r="P12" s="11">
        <v>0.98060275197043578</v>
      </c>
      <c r="Q12" s="11">
        <v>0.99028108228357892</v>
      </c>
      <c r="R12" s="11">
        <v>0.99018569788891719</v>
      </c>
      <c r="S12" s="11">
        <v>0.99008842267464892</v>
      </c>
      <c r="T12" s="11">
        <v>0.98998919985492229</v>
      </c>
      <c r="U12" s="11">
        <v>0.98988797034700482</v>
      </c>
      <c r="V12" s="11">
        <v>0.99461335586578747</v>
      </c>
      <c r="W12" s="11">
        <v>0.99458418278575844</v>
      </c>
      <c r="X12" s="11">
        <v>0.99455469199291691</v>
      </c>
      <c r="Y12" s="11">
        <v>0.99452487826871372</v>
      </c>
      <c r="Z12" s="11">
        <v>0.99449473627968188</v>
      </c>
      <c r="AA12" s="11">
        <v>0.99598875540850762</v>
      </c>
      <c r="AB12" s="11">
        <v>0.99597260052414227</v>
      </c>
      <c r="AC12" s="11">
        <v>0.99595631498924952</v>
      </c>
      <c r="AD12" s="11">
        <v>0.99593989721246545</v>
      </c>
      <c r="AE12" s="11">
        <v>0.99592334557647655</v>
      </c>
    </row>
    <row r="13" spans="1:31" x14ac:dyDescent="0.3">
      <c r="A13" t="s">
        <v>1403</v>
      </c>
      <c r="B13" t="s">
        <v>1439</v>
      </c>
      <c r="C13" s="11">
        <v>1.0177590095767715</v>
      </c>
      <c r="D13" s="11">
        <v>1.0174491303045858</v>
      </c>
      <c r="E13" s="11">
        <v>1.0171498798169518</v>
      </c>
      <c r="F13" s="11">
        <v>1.0168607204869733</v>
      </c>
      <c r="G13" s="11">
        <v>1.0040482022042274</v>
      </c>
      <c r="H13" s="11">
        <v>1.0040318803373587</v>
      </c>
      <c r="I13" s="11">
        <v>1.0040156895575905</v>
      </c>
      <c r="J13" s="11">
        <v>1.0039996282920238</v>
      </c>
      <c r="K13" s="11">
        <v>1.0039836949928236</v>
      </c>
      <c r="L13" s="11">
        <v>0.97971400901427752</v>
      </c>
      <c r="M13" s="11">
        <v>0.97929396660752777</v>
      </c>
      <c r="N13" s="11">
        <v>0.97885616158322497</v>
      </c>
      <c r="O13" s="11">
        <v>0.97839944289406477</v>
      </c>
      <c r="P13" s="11">
        <v>0.97792255784402138</v>
      </c>
      <c r="Q13" s="11">
        <v>1.0196081040510927</v>
      </c>
      <c r="R13" s="11">
        <v>1.019231020205887</v>
      </c>
      <c r="S13" s="11">
        <v>1.0188681661219476</v>
      </c>
      <c r="T13" s="11">
        <v>1.0185187512470475</v>
      </c>
      <c r="U13" s="11">
        <v>1.0181820425243751</v>
      </c>
      <c r="V13" s="11">
        <v>0.99286010828283733</v>
      </c>
      <c r="W13" s="11">
        <v>0.99280876363387061</v>
      </c>
      <c r="X13" s="11">
        <v>0.99275667517296273</v>
      </c>
      <c r="Y13" s="11">
        <v>0.992703826619171</v>
      </c>
      <c r="Z13" s="11">
        <v>0.99265020121290626</v>
      </c>
      <c r="AA13" s="11">
        <v>1.0028982240891144</v>
      </c>
      <c r="AB13" s="11">
        <v>1.0028898486601139</v>
      </c>
      <c r="AC13" s="11">
        <v>1.0028815214990707</v>
      </c>
      <c r="AD13" s="11">
        <v>1.0028732421899282</v>
      </c>
      <c r="AE13" s="11">
        <v>1.0028650103213985</v>
      </c>
    </row>
    <row r="14" spans="1:31" x14ac:dyDescent="0.3">
      <c r="A14" t="s">
        <v>1405</v>
      </c>
      <c r="B14" t="s">
        <v>1439</v>
      </c>
      <c r="C14" s="11">
        <v>1.0459856210339247</v>
      </c>
      <c r="D14" s="11">
        <v>1.0439639131831175</v>
      </c>
      <c r="E14" s="11">
        <v>1.0421124836097719</v>
      </c>
      <c r="F14" s="11">
        <v>1.0404106891262819</v>
      </c>
      <c r="G14" s="11">
        <v>1.0049750734239948</v>
      </c>
      <c r="H14" s="11">
        <v>1.0049504445986353</v>
      </c>
      <c r="I14" s="11">
        <v>1.0049260584193407</v>
      </c>
      <c r="J14" s="11">
        <v>1.0049019113178226</v>
      </c>
      <c r="K14" s="11">
        <v>1.0048779997954174</v>
      </c>
      <c r="L14" s="11">
        <v>0.97877886927581625</v>
      </c>
      <c r="M14" s="11">
        <v>0.9783187690393389</v>
      </c>
      <c r="N14" s="11">
        <v>0.97783827557356273</v>
      </c>
      <c r="O14" s="11">
        <v>0.97733600230218232</v>
      </c>
      <c r="P14" s="11">
        <v>0.97681043403248091</v>
      </c>
      <c r="Q14" s="11">
        <v>0.99196572948008233</v>
      </c>
      <c r="R14" s="11">
        <v>0.99190065716874254</v>
      </c>
      <c r="S14" s="11">
        <v>0.99183452216437074</v>
      </c>
      <c r="T14" s="11">
        <v>0.9917672982204625</v>
      </c>
      <c r="U14" s="11">
        <v>0.99169895821902021</v>
      </c>
      <c r="V14" s="11">
        <v>0.99279473425825393</v>
      </c>
      <c r="W14" s="11">
        <v>0.9927424416215006</v>
      </c>
      <c r="X14" s="11">
        <v>0.99268938440201548</v>
      </c>
      <c r="Y14" s="11">
        <v>0.99263554570759471</v>
      </c>
      <c r="Z14" s="11">
        <v>0.99258090814473554</v>
      </c>
      <c r="AA14" s="11">
        <v>0.99783483344183299</v>
      </c>
      <c r="AB14" s="11">
        <v>0.99783013532339948</v>
      </c>
      <c r="AC14" s="11">
        <v>0.99782541677206693</v>
      </c>
      <c r="AD14" s="11">
        <v>0.99782067765424554</v>
      </c>
      <c r="AE14" s="11">
        <v>0.99781591783517909</v>
      </c>
    </row>
    <row r="15" spans="1:31" x14ac:dyDescent="0.3">
      <c r="A15" t="s">
        <v>1407</v>
      </c>
      <c r="B15" t="s">
        <v>1439</v>
      </c>
      <c r="C15" s="11">
        <v>1.0359839041669043</v>
      </c>
      <c r="D15" s="11">
        <v>1.0347340378766223</v>
      </c>
      <c r="E15" s="11">
        <v>1.0335680828166243</v>
      </c>
      <c r="F15" s="11">
        <v>1.0324778632145317</v>
      </c>
      <c r="G15" s="11">
        <v>0.99327470206708701</v>
      </c>
      <c r="H15" s="11">
        <v>0.99322916619247703</v>
      </c>
      <c r="I15" s="11">
        <v>0.9931830094826164</v>
      </c>
      <c r="J15" s="11">
        <v>0.99313621915367367</v>
      </c>
      <c r="K15" s="11">
        <v>0.99308878206841</v>
      </c>
      <c r="L15" s="11">
        <v>0.99341788672333742</v>
      </c>
      <c r="M15" s="11">
        <v>0.99337427545383461</v>
      </c>
      <c r="N15" s="11">
        <v>0.99333008241718523</v>
      </c>
      <c r="O15" s="11">
        <v>0.99328529589420667</v>
      </c>
      <c r="P15" s="11">
        <v>0.99323990384882455</v>
      </c>
      <c r="Q15" s="11">
        <v>0.9959471297158945</v>
      </c>
      <c r="R15" s="11">
        <v>0.99593063711598662</v>
      </c>
      <c r="S15" s="11">
        <v>0.99591400973887356</v>
      </c>
      <c r="T15" s="11">
        <v>0.99589724592568207</v>
      </c>
      <c r="U15" s="11">
        <v>0.99588034399020298</v>
      </c>
      <c r="V15" s="11">
        <v>1.0021377477717337</v>
      </c>
      <c r="W15" s="11">
        <v>1.0021331875547916</v>
      </c>
      <c r="X15" s="11">
        <v>1.0021286467520318</v>
      </c>
      <c r="Y15" s="11">
        <v>1.0021241252397393</v>
      </c>
      <c r="Z15" s="11">
        <v>1.0021196228952485</v>
      </c>
      <c r="AA15" s="11">
        <v>0.9958103470020393</v>
      </c>
      <c r="AB15" s="11">
        <v>0.99579271995860053</v>
      </c>
      <c r="AC15" s="11">
        <v>0.99577494396466937</v>
      </c>
      <c r="AD15" s="11">
        <v>0.99575701712426234</v>
      </c>
      <c r="AE15" s="11">
        <v>0.99573893750908116</v>
      </c>
    </row>
    <row r="16" spans="1:31" x14ac:dyDescent="0.3">
      <c r="A16" t="s">
        <v>1408</v>
      </c>
      <c r="B16" t="s">
        <v>1439</v>
      </c>
      <c r="C16" s="11">
        <v>1.0078650112101779</v>
      </c>
      <c r="D16" s="11">
        <v>1.0078036355292603</v>
      </c>
      <c r="E16" s="11">
        <v>1.0077432103379564</v>
      </c>
      <c r="F16" s="11">
        <v>1.0076837137263965</v>
      </c>
      <c r="G16" s="11">
        <v>0.99642086827902021</v>
      </c>
      <c r="H16" s="11">
        <v>0.9964080120811184</v>
      </c>
      <c r="I16" s="11">
        <v>0.9963950631916545</v>
      </c>
      <c r="J16" s="11">
        <v>0.99638202060455994</v>
      </c>
      <c r="K16" s="11">
        <v>0.99636888329915352</v>
      </c>
      <c r="L16" s="11">
        <v>0.98311659083600256</v>
      </c>
      <c r="M16" s="11">
        <v>0.98282664607496806</v>
      </c>
      <c r="N16" s="11">
        <v>0.98252656865418164</v>
      </c>
      <c r="O16" s="11">
        <v>0.98221581797044666</v>
      </c>
      <c r="P16" s="11">
        <v>0.98189381426751954</v>
      </c>
      <c r="Q16" s="11">
        <v>0.99049965394359041</v>
      </c>
      <c r="R16" s="11">
        <v>0.99040853167531684</v>
      </c>
      <c r="S16" s="11">
        <v>0.99031564448616094</v>
      </c>
      <c r="T16" s="11">
        <v>0.99022094059832411</v>
      </c>
      <c r="U16" s="11">
        <v>0.99012436618865374</v>
      </c>
      <c r="V16" s="11">
        <v>0.99751046078744965</v>
      </c>
      <c r="W16" s="11">
        <v>0.99750424751377043</v>
      </c>
      <c r="X16" s="11">
        <v>0.99749800314890869</v>
      </c>
      <c r="Y16" s="11">
        <v>0.99749172745890924</v>
      </c>
      <c r="Z16" s="11">
        <v>0.99748542020746356</v>
      </c>
      <c r="AA16" s="11">
        <v>1.0010302747602489</v>
      </c>
      <c r="AB16" s="11">
        <v>1.0010292143866435</v>
      </c>
      <c r="AC16" s="11">
        <v>1.0010281561934973</v>
      </c>
      <c r="AD16" s="11">
        <v>1.001027100174092</v>
      </c>
      <c r="AE16" s="11">
        <v>1.0010260463217362</v>
      </c>
    </row>
    <row r="17" spans="1:31" x14ac:dyDescent="0.3">
      <c r="A17" t="s">
        <v>1409</v>
      </c>
      <c r="B17" t="s">
        <v>1439</v>
      </c>
      <c r="C17" s="11">
        <v>1.0029084670239361</v>
      </c>
      <c r="D17" s="11">
        <v>1.0029000323754038</v>
      </c>
      <c r="E17" s="11">
        <v>1.0028916465069155</v>
      </c>
      <c r="F17" s="11">
        <v>1.0028833089965272</v>
      </c>
      <c r="G17" s="11">
        <v>1.0019724808648711</v>
      </c>
      <c r="H17" s="11">
        <v>1.0019685978432946</v>
      </c>
      <c r="I17" s="11">
        <v>1.0019647300798968</v>
      </c>
      <c r="J17" s="11">
        <v>1.0019608774849191</v>
      </c>
      <c r="K17" s="11">
        <v>1.0019570399693061</v>
      </c>
      <c r="L17" s="11">
        <v>0.98935034946350164</v>
      </c>
      <c r="M17" s="11">
        <v>0.98923571357479845</v>
      </c>
      <c r="N17" s="11">
        <v>0.98911858288425247</v>
      </c>
      <c r="O17" s="11">
        <v>0.9889988750549833</v>
      </c>
      <c r="P17" s="11">
        <v>0.98887650408661465</v>
      </c>
      <c r="Q17" s="11">
        <v>0.98985078804469195</v>
      </c>
      <c r="R17" s="11">
        <v>0.98974672538741282</v>
      </c>
      <c r="S17" s="11">
        <v>0.98964050665732306</v>
      </c>
      <c r="T17" s="11">
        <v>0.98953206414552708</v>
      </c>
      <c r="U17" s="11">
        <v>0.98942132727804832</v>
      </c>
      <c r="V17" s="11">
        <v>0.99634819503717764</v>
      </c>
      <c r="W17" s="11">
        <v>0.99633481047989847</v>
      </c>
      <c r="X17" s="11">
        <v>0.99632132744781232</v>
      </c>
      <c r="Y17" s="11">
        <v>0.99630774485013684</v>
      </c>
      <c r="Z17" s="11">
        <v>0.9962940615799204</v>
      </c>
      <c r="AA17" s="11">
        <v>1.0006414734868798</v>
      </c>
      <c r="AB17" s="11">
        <v>1.0006410622624351</v>
      </c>
      <c r="AC17" s="11">
        <v>1.0006406515648933</v>
      </c>
      <c r="AD17" s="11">
        <v>1.0006402413932429</v>
      </c>
      <c r="AE17" s="11">
        <v>1.000639831746474</v>
      </c>
    </row>
    <row r="18" spans="1:31" x14ac:dyDescent="0.3">
      <c r="A18" t="s">
        <v>1410</v>
      </c>
      <c r="B18" t="s">
        <v>1439</v>
      </c>
      <c r="C18" s="11">
        <v>0.99886513400288879</v>
      </c>
      <c r="D18" s="11">
        <v>0.9988638446187792</v>
      </c>
      <c r="E18" s="11">
        <v>0.9988625523014556</v>
      </c>
      <c r="F18" s="11">
        <v>0.99886125704089723</v>
      </c>
      <c r="G18" s="11">
        <v>0.99027368086906375</v>
      </c>
      <c r="H18" s="11">
        <v>0.9901781504256475</v>
      </c>
      <c r="I18" s="11">
        <v>0.99008072479671427</v>
      </c>
      <c r="J18" s="11">
        <v>0.98998134702064577</v>
      </c>
      <c r="K18" s="11">
        <v>0.98987995783000826</v>
      </c>
      <c r="L18" s="11">
        <v>0.99298425037447291</v>
      </c>
      <c r="M18" s="11">
        <v>0.99293468187145839</v>
      </c>
      <c r="N18" s="11">
        <v>0.99288440794995192</v>
      </c>
      <c r="O18" s="11">
        <v>0.99283341344362541</v>
      </c>
      <c r="P18" s="11">
        <v>0.99278168274824918</v>
      </c>
      <c r="Q18" s="11">
        <v>0.98976247483093127</v>
      </c>
      <c r="R18" s="11">
        <v>0.98965658384773836</v>
      </c>
      <c r="S18" s="11">
        <v>0.98954847942096547</v>
      </c>
      <c r="T18" s="11">
        <v>0.98943809141604644</v>
      </c>
      <c r="U18" s="11">
        <v>0.98932534670376659</v>
      </c>
      <c r="V18" s="11">
        <v>0.99098613184585171</v>
      </c>
      <c r="W18" s="11">
        <v>0.99090414299001472</v>
      </c>
      <c r="X18" s="11">
        <v>0.99082064892519384</v>
      </c>
      <c r="Y18" s="11">
        <v>0.99073560781685011</v>
      </c>
      <c r="Z18" s="11">
        <v>0.9906489762656614</v>
      </c>
      <c r="AA18" s="11">
        <v>0.99910533830285142</v>
      </c>
      <c r="AB18" s="11">
        <v>0.99910453716655312</v>
      </c>
      <c r="AC18" s="11">
        <v>0.99910373459419333</v>
      </c>
      <c r="AD18" s="11">
        <v>0.99910293058190724</v>
      </c>
      <c r="AE18" s="11">
        <v>0.99910212512581642</v>
      </c>
    </row>
    <row r="19" spans="1:31" x14ac:dyDescent="0.3">
      <c r="A19" t="s">
        <v>1411</v>
      </c>
      <c r="B19" t="s">
        <v>1439</v>
      </c>
      <c r="C19" s="11">
        <v>1.0111470817040549</v>
      </c>
      <c r="D19" s="11">
        <v>1.0110241941115719</v>
      </c>
      <c r="E19" s="11">
        <v>1.0109039864483751</v>
      </c>
      <c r="F19" s="11">
        <v>1.0107863719943215</v>
      </c>
      <c r="G19" s="11">
        <v>0.98271739068110675</v>
      </c>
      <c r="H19" s="11">
        <v>0.98241344919426432</v>
      </c>
      <c r="I19" s="11">
        <v>0.98209862576682005</v>
      </c>
      <c r="J19" s="11">
        <v>0.98177232534135506</v>
      </c>
      <c r="K19" s="11">
        <v>0.9814339086688888</v>
      </c>
      <c r="L19" s="11">
        <v>0.99113259118366992</v>
      </c>
      <c r="M19" s="11">
        <v>0.99105325675373046</v>
      </c>
      <c r="N19" s="11">
        <v>0.99097248993906217</v>
      </c>
      <c r="O19" s="11">
        <v>0.99089025159367139</v>
      </c>
      <c r="P19" s="11">
        <v>0.99080650113201019</v>
      </c>
      <c r="Q19" s="11">
        <v>1.0045249687607438</v>
      </c>
      <c r="R19" s="11">
        <v>1.0045045856513912</v>
      </c>
      <c r="S19" s="11">
        <v>1.0044843853534726</v>
      </c>
      <c r="T19" s="11">
        <v>1.004464365418577</v>
      </c>
      <c r="U19" s="11">
        <v>1.0044445234418213</v>
      </c>
      <c r="V19" s="11">
        <v>1.0045807341017783</v>
      </c>
      <c r="W19" s="11">
        <v>1.004559846656699</v>
      </c>
      <c r="X19" s="11">
        <v>1.0045391488340638</v>
      </c>
      <c r="Y19" s="11">
        <v>1.0045186380633668</v>
      </c>
      <c r="Z19" s="11">
        <v>1.0044983118203543</v>
      </c>
      <c r="AA19" s="11">
        <v>1.0029289113837596</v>
      </c>
      <c r="AB19" s="11">
        <v>1.0029203579142201</v>
      </c>
      <c r="AC19" s="11">
        <v>1.0029118542575939</v>
      </c>
      <c r="AD19" s="11">
        <v>1.0029033999800006</v>
      </c>
      <c r="AE19" s="11">
        <v>1.0028949946525842</v>
      </c>
    </row>
    <row r="20" spans="1:31" x14ac:dyDescent="0.3">
      <c r="A20" t="s">
        <v>1412</v>
      </c>
      <c r="B20" t="s">
        <v>1439</v>
      </c>
      <c r="C20" s="11">
        <v>1.0273208649045735</v>
      </c>
      <c r="D20" s="11">
        <v>1.0265942860092805</v>
      </c>
      <c r="E20" s="11">
        <v>1.0259053516775956</v>
      </c>
      <c r="F20" s="11">
        <v>1.0252512101971534</v>
      </c>
      <c r="G20" s="11">
        <v>1.0167185437789745</v>
      </c>
      <c r="H20" s="11">
        <v>1.0164436302271369</v>
      </c>
      <c r="I20" s="11">
        <v>1.0161776115646102</v>
      </c>
      <c r="J20" s="11">
        <v>1.0159200629698006</v>
      </c>
      <c r="K20" s="11">
        <v>1.0156705862499278</v>
      </c>
      <c r="L20" s="11">
        <v>0.96545388296034518</v>
      </c>
      <c r="M20" s="11">
        <v>0.96421774499085655</v>
      </c>
      <c r="N20" s="11">
        <v>0.96288986051643055</v>
      </c>
      <c r="O20" s="11">
        <v>0.96145962170204391</v>
      </c>
      <c r="P20" s="11">
        <v>0.95991471984051835</v>
      </c>
      <c r="Q20" s="11">
        <v>0.99244642809393968</v>
      </c>
      <c r="R20" s="11">
        <v>0.99238893738519707</v>
      </c>
      <c r="S20" s="11">
        <v>0.9923305648339279</v>
      </c>
      <c r="T20" s="11">
        <v>0.99227128999361658</v>
      </c>
      <c r="U20" s="11">
        <v>0.99221109178072375</v>
      </c>
      <c r="V20" s="11">
        <v>0.99607604392672222</v>
      </c>
      <c r="W20" s="11">
        <v>0.99606058583859847</v>
      </c>
      <c r="X20" s="11">
        <v>0.9960450054771669</v>
      </c>
      <c r="Y20" s="11">
        <v>0.99602930138589629</v>
      </c>
      <c r="Z20" s="11">
        <v>0.99601347208502922</v>
      </c>
      <c r="AA20" s="11">
        <v>1.0006513927335561</v>
      </c>
      <c r="AB20" s="11">
        <v>1.0006509686972771</v>
      </c>
      <c r="AC20" s="11">
        <v>1.0006505452127072</v>
      </c>
      <c r="AD20" s="11">
        <v>1.0006501222787711</v>
      </c>
      <c r="AE20" s="11">
        <v>1.0006496998943952</v>
      </c>
    </row>
    <row r="21" spans="1:31" x14ac:dyDescent="0.3">
      <c r="A21" t="s">
        <v>1413</v>
      </c>
      <c r="B21" t="s">
        <v>1439</v>
      </c>
      <c r="C21" s="11">
        <v>0.99833842813162088</v>
      </c>
      <c r="D21" s="11">
        <v>0.99833566271560958</v>
      </c>
      <c r="E21" s="11">
        <v>0.99833288807908238</v>
      </c>
      <c r="F21" s="11">
        <v>0.99833010417584755</v>
      </c>
      <c r="G21" s="11">
        <v>1.0051056716181324</v>
      </c>
      <c r="H21" s="11">
        <v>1.0050797361534263</v>
      </c>
      <c r="I21" s="11">
        <v>1.0050540628476572</v>
      </c>
      <c r="J21" s="11">
        <v>1.0050286477459107</v>
      </c>
      <c r="K21" s="11">
        <v>1.0050034869724256</v>
      </c>
      <c r="L21" s="11">
        <v>0.97243502036400953</v>
      </c>
      <c r="M21" s="11">
        <v>0.9716536539113203</v>
      </c>
      <c r="N21" s="11">
        <v>0.97082669737866611</v>
      </c>
      <c r="O21" s="11">
        <v>0.96995004082592207</v>
      </c>
      <c r="P21" s="11">
        <v>0.9690190649938113</v>
      </c>
      <c r="Q21" s="11">
        <v>0.99952529363437292</v>
      </c>
      <c r="R21" s="11">
        <v>0.99952506818121534</v>
      </c>
      <c r="S21" s="11">
        <v>0.99952484251380613</v>
      </c>
      <c r="T21" s="11">
        <v>0.99952461663184</v>
      </c>
      <c r="U21" s="11">
        <v>0.99952439053501019</v>
      </c>
      <c r="V21" s="11">
        <v>0.9970564010183729</v>
      </c>
      <c r="W21" s="11">
        <v>0.99704771066248554</v>
      </c>
      <c r="X21" s="11">
        <v>0.99703896884176901</v>
      </c>
      <c r="Y21" s="11">
        <v>0.99703017509769887</v>
      </c>
      <c r="Z21" s="11">
        <v>0.99702132896628692</v>
      </c>
      <c r="AA21" s="11">
        <v>0.99783181377687402</v>
      </c>
      <c r="AB21" s="11">
        <v>0.99782710253051643</v>
      </c>
      <c r="AC21" s="11">
        <v>0.99782237076546332</v>
      </c>
      <c r="AD21" s="11">
        <v>0.99781761834737559</v>
      </c>
      <c r="AE21" s="11">
        <v>0.99781284514073976</v>
      </c>
    </row>
    <row r="22" spans="1:31" x14ac:dyDescent="0.3">
      <c r="A22" t="s">
        <v>1414</v>
      </c>
      <c r="B22" t="s">
        <v>1439</v>
      </c>
      <c r="C22" s="11">
        <v>1.0068084533106452</v>
      </c>
      <c r="D22" s="11">
        <v>1.0067624117460052</v>
      </c>
      <c r="E22" s="11">
        <v>1.0067169887027043</v>
      </c>
      <c r="F22" s="11">
        <v>1.0066721718001006</v>
      </c>
      <c r="G22" s="11">
        <v>0.99364147160772931</v>
      </c>
      <c r="H22" s="11">
        <v>0.99360078199837765</v>
      </c>
      <c r="I22" s="11">
        <v>0.99355956827172376</v>
      </c>
      <c r="J22" s="11">
        <v>0.99351782023550017</v>
      </c>
      <c r="K22" s="11">
        <v>0.99347552743144241</v>
      </c>
      <c r="L22" s="11">
        <v>0.98603471521204489</v>
      </c>
      <c r="M22" s="11">
        <v>0.98583692381971366</v>
      </c>
      <c r="N22" s="11">
        <v>0.98563344926723762</v>
      </c>
      <c r="O22" s="11">
        <v>0.98542404304212372</v>
      </c>
      <c r="P22" s="11">
        <v>0.98520844192833124</v>
      </c>
      <c r="Q22" s="11">
        <v>0.98390887474918232</v>
      </c>
      <c r="R22" s="11">
        <v>0.98364571591559269</v>
      </c>
      <c r="S22" s="11">
        <v>0.98337380642258521</v>
      </c>
      <c r="T22" s="11">
        <v>0.98309270242015179</v>
      </c>
      <c r="U22" s="11">
        <v>0.9828019295248287</v>
      </c>
      <c r="V22" s="11">
        <v>0.98783291128224304</v>
      </c>
      <c r="W22" s="11">
        <v>0.98768304985712252</v>
      </c>
      <c r="X22" s="11">
        <v>0.98752945072342868</v>
      </c>
      <c r="Y22" s="11">
        <v>0.9873719722814992</v>
      </c>
      <c r="Z22" s="11">
        <v>0.98721046568769644</v>
      </c>
      <c r="AA22" s="11">
        <v>1.013514177481736</v>
      </c>
      <c r="AB22" s="11">
        <v>1.0133339797133518</v>
      </c>
      <c r="AC22" s="11">
        <v>1.0131585242183665</v>
      </c>
      <c r="AD22" s="11">
        <v>1.0129876262241568</v>
      </c>
      <c r="AE22" s="11">
        <v>1.012821110434061</v>
      </c>
    </row>
    <row r="23" spans="1:31" x14ac:dyDescent="0.3">
      <c r="A23" t="s">
        <v>1415</v>
      </c>
      <c r="B23" t="s">
        <v>1439</v>
      </c>
      <c r="C23" s="11">
        <v>1.0075629244988857</v>
      </c>
      <c r="D23" s="11">
        <v>1.0075061560077225</v>
      </c>
      <c r="E23" s="11">
        <v>1.0074502333935764</v>
      </c>
      <c r="F23" s="11">
        <v>1.0073951378903161</v>
      </c>
      <c r="G23" s="11">
        <v>0.99125884047157642</v>
      </c>
      <c r="H23" s="11">
        <v>0.99118175881865012</v>
      </c>
      <c r="I23" s="11">
        <v>0.99110330562190729</v>
      </c>
      <c r="J23" s="11">
        <v>0.99102344394612818</v>
      </c>
      <c r="K23" s="11">
        <v>0.9909421355178758</v>
      </c>
      <c r="L23" s="11">
        <v>0.98053370664764006</v>
      </c>
      <c r="M23" s="11">
        <v>0.98014724713654822</v>
      </c>
      <c r="N23" s="11">
        <v>0.97974513225288296</v>
      </c>
      <c r="O23" s="11">
        <v>0.97932639103749175</v>
      </c>
      <c r="P23" s="11">
        <v>0.97888997054331728</v>
      </c>
      <c r="Q23" s="11">
        <v>0.98259835989029432</v>
      </c>
      <c r="R23" s="11">
        <v>0.98229017997582602</v>
      </c>
      <c r="S23" s="11">
        <v>0.98197088764074802</v>
      </c>
      <c r="T23" s="11">
        <v>0.98163987080862636</v>
      </c>
      <c r="U23" s="11">
        <v>0.98129647161107103</v>
      </c>
      <c r="V23" s="11">
        <v>0.98440185556129556</v>
      </c>
      <c r="W23" s="11">
        <v>0.98415469825601809</v>
      </c>
      <c r="X23" s="11">
        <v>0.98389958227902508</v>
      </c>
      <c r="Y23" s="11">
        <v>0.9836361169259964</v>
      </c>
      <c r="Z23" s="11">
        <v>0.98336388549340448</v>
      </c>
      <c r="AA23" s="11">
        <v>1.0100032599037545</v>
      </c>
      <c r="AB23" s="11">
        <v>1.0099041857594675</v>
      </c>
      <c r="AC23" s="11">
        <v>1.0098070548663183</v>
      </c>
      <c r="AD23" s="11">
        <v>1.0097118106068457</v>
      </c>
      <c r="AE23" s="11">
        <v>1.0096183985418659</v>
      </c>
    </row>
    <row r="24" spans="1:31" x14ac:dyDescent="0.3">
      <c r="A24" t="s">
        <v>1416</v>
      </c>
      <c r="B24" t="s">
        <v>1439</v>
      </c>
      <c r="C24" s="11">
        <v>0.99827191957024697</v>
      </c>
      <c r="D24" s="11">
        <v>0.99826892813884127</v>
      </c>
      <c r="E24" s="11">
        <v>0.99826592633271061</v>
      </c>
      <c r="F24" s="11">
        <v>0.99826291409778978</v>
      </c>
      <c r="G24" s="11">
        <v>0.98968748668184636</v>
      </c>
      <c r="H24" s="11">
        <v>0.98958003060872402</v>
      </c>
      <c r="I24" s="11">
        <v>0.98947031157766363</v>
      </c>
      <c r="J24" s="11">
        <v>0.98935825734321703</v>
      </c>
      <c r="K24" s="11">
        <v>0.98924379255158834</v>
      </c>
      <c r="L24" s="11">
        <v>0.98773136090631952</v>
      </c>
      <c r="M24" s="11">
        <v>0.98757897179408882</v>
      </c>
      <c r="N24" s="11">
        <v>0.9874227494097545</v>
      </c>
      <c r="O24" s="11">
        <v>0.98726254727495011</v>
      </c>
      <c r="P24" s="11">
        <v>0.98709821135197728</v>
      </c>
      <c r="Q24" s="11">
        <v>0.98836629559199796</v>
      </c>
      <c r="R24" s="11">
        <v>0.98822935943901857</v>
      </c>
      <c r="S24" s="11">
        <v>0.9880891612371614</v>
      </c>
      <c r="T24" s="11">
        <v>0.98794558302013424</v>
      </c>
      <c r="U24" s="11">
        <v>0.98779850106418232</v>
      </c>
      <c r="V24" s="11">
        <v>0.99113611316534056</v>
      </c>
      <c r="W24" s="11">
        <v>0.99105684202510658</v>
      </c>
      <c r="X24" s="11">
        <v>0.99097614022156477</v>
      </c>
      <c r="Y24" s="11">
        <v>0.9908939686717203</v>
      </c>
      <c r="Z24" s="11">
        <v>0.99081028685593264</v>
      </c>
      <c r="AA24" s="11">
        <v>0.98786936797079306</v>
      </c>
      <c r="AB24" s="11">
        <v>0.98772040876808964</v>
      </c>
      <c r="AC24" s="11">
        <v>0.98756774576802986</v>
      </c>
      <c r="AD24" s="11">
        <v>0.98741123909195561</v>
      </c>
      <c r="AE24" s="11">
        <v>0.98725074172781202</v>
      </c>
    </row>
    <row r="25" spans="1:31" x14ac:dyDescent="0.3">
      <c r="A25" t="s">
        <v>1417</v>
      </c>
      <c r="B25" t="s">
        <v>1439</v>
      </c>
      <c r="C25" s="11">
        <v>1.0030117768205167</v>
      </c>
      <c r="D25" s="11">
        <v>1.0030027332580917</v>
      </c>
      <c r="E25" s="11">
        <v>1.0029937438438854</v>
      </c>
      <c r="F25" s="11">
        <v>1.0029848080930321</v>
      </c>
      <c r="G25" s="11">
        <v>0.97405956070312361</v>
      </c>
      <c r="H25" s="11">
        <v>0.97336873396309431</v>
      </c>
      <c r="I25" s="11">
        <v>0.97264010532937928</v>
      </c>
      <c r="J25" s="11">
        <v>0.97187048475514448</v>
      </c>
      <c r="K25" s="11">
        <v>0.97105631286668592</v>
      </c>
      <c r="L25" s="11">
        <v>0.9959613086420116</v>
      </c>
      <c r="M25" s="11">
        <v>0.99594493147179064</v>
      </c>
      <c r="N25" s="11">
        <v>0.99592842093968303</v>
      </c>
      <c r="O25" s="11">
        <v>0.99591177541004872</v>
      </c>
      <c r="P25" s="11">
        <v>0.99589499322039066</v>
      </c>
      <c r="Q25" s="11">
        <v>0.97877316439069317</v>
      </c>
      <c r="R25" s="11">
        <v>0.97831281405991455</v>
      </c>
      <c r="S25" s="11">
        <v>0.97783205368629944</v>
      </c>
      <c r="T25" s="11">
        <v>0.97732949515192291</v>
      </c>
      <c r="U25" s="11">
        <v>0.97680362154162459</v>
      </c>
      <c r="V25" s="11">
        <v>0.98393188891672312</v>
      </c>
      <c r="W25" s="11">
        <v>0.98366948844297808</v>
      </c>
      <c r="X25" s="11">
        <v>0.98339837542092412</v>
      </c>
      <c r="Y25" s="11">
        <v>0.98311810859767812</v>
      </c>
      <c r="Z25" s="11">
        <v>0.98282821641196039</v>
      </c>
      <c r="AA25" s="11">
        <v>0.99142779524026647</v>
      </c>
      <c r="AB25" s="11">
        <v>0.99135367719072665</v>
      </c>
      <c r="AC25" s="11">
        <v>0.99127826626540072</v>
      </c>
      <c r="AD25" s="11">
        <v>0.99120152833829589</v>
      </c>
      <c r="AE25" s="11">
        <v>0.99112342807173215</v>
      </c>
    </row>
    <row r="26" spans="1:31" x14ac:dyDescent="0.3">
      <c r="A26" t="s">
        <v>1418</v>
      </c>
      <c r="B26" t="s">
        <v>1439</v>
      </c>
      <c r="C26" s="11">
        <v>1.0175170482680014</v>
      </c>
      <c r="D26" s="11">
        <v>1.0172154838071938</v>
      </c>
      <c r="E26" s="11">
        <v>1.0169241267767184</v>
      </c>
      <c r="F26" s="11">
        <v>1.016642467546091</v>
      </c>
      <c r="G26" s="11">
        <v>1.0121461166135011</v>
      </c>
      <c r="H26" s="11">
        <v>1.0120003588554392</v>
      </c>
      <c r="I26" s="11">
        <v>1.0118580579052474</v>
      </c>
      <c r="J26" s="11">
        <v>1.0117190922309758</v>
      </c>
      <c r="K26" s="11">
        <v>1.0115833459316594</v>
      </c>
      <c r="L26" s="11">
        <v>1.0054174712340875</v>
      </c>
      <c r="M26" s="11">
        <v>1.0053882803801271</v>
      </c>
      <c r="N26" s="11">
        <v>1.005359402417233</v>
      </c>
      <c r="O26" s="11">
        <v>1.0053308323414962</v>
      </c>
      <c r="P26" s="11">
        <v>1.0053025652551415</v>
      </c>
      <c r="Q26" s="11">
        <v>1.001652360200703</v>
      </c>
      <c r="R26" s="11">
        <v>1.0016496344104575</v>
      </c>
      <c r="S26" s="11">
        <v>1.0016469175985157</v>
      </c>
      <c r="T26" s="11">
        <v>1.0016442097205913</v>
      </c>
      <c r="U26" s="11">
        <v>1.0016415107326877</v>
      </c>
      <c r="V26" s="11">
        <v>0.99961031716530002</v>
      </c>
      <c r="W26" s="11">
        <v>0.99961016525339086</v>
      </c>
      <c r="X26" s="11">
        <v>0.99961001322299448</v>
      </c>
      <c r="Y26" s="11">
        <v>0.99960986107397209</v>
      </c>
      <c r="Z26" s="11">
        <v>0.99960970880618494</v>
      </c>
      <c r="AA26" s="11">
        <v>0.9998405992026338</v>
      </c>
      <c r="AB26" s="11">
        <v>0.99984057378996882</v>
      </c>
      <c r="AC26" s="11">
        <v>0.99984054836919967</v>
      </c>
      <c r="AD26" s="11">
        <v>0.99984052294032233</v>
      </c>
      <c r="AE26" s="11">
        <v>0.99984049750333315</v>
      </c>
    </row>
    <row r="27" spans="1:31" x14ac:dyDescent="0.3">
      <c r="A27" t="s">
        <v>1419</v>
      </c>
      <c r="B27" t="s">
        <v>1439</v>
      </c>
      <c r="C27" s="11">
        <v>1.0046633276016517</v>
      </c>
      <c r="D27" s="11">
        <v>1.0046416819182442</v>
      </c>
      <c r="E27" s="11">
        <v>1.0046202362511791</v>
      </c>
      <c r="F27" s="11">
        <v>1.0045989878408383</v>
      </c>
      <c r="G27" s="11">
        <v>0.97991858792713138</v>
      </c>
      <c r="H27" s="11">
        <v>0.97950706076986682</v>
      </c>
      <c r="I27" s="11">
        <v>0.979078313928614</v>
      </c>
      <c r="J27" s="11">
        <v>0.97863124351367115</v>
      </c>
      <c r="K27" s="11">
        <v>0.97816464922006086</v>
      </c>
      <c r="L27" s="11">
        <v>0.98997877063258044</v>
      </c>
      <c r="M27" s="11">
        <v>0.98987732902492831</v>
      </c>
      <c r="N27" s="11">
        <v>0.98977381269551556</v>
      </c>
      <c r="O27" s="11">
        <v>0.98966815733724578</v>
      </c>
      <c r="P27" s="11">
        <v>0.98956029595763439</v>
      </c>
      <c r="Q27" s="11">
        <v>0.97022664024323113</v>
      </c>
      <c r="R27" s="11">
        <v>0.96931298469674587</v>
      </c>
      <c r="S27" s="11">
        <v>0.9683414791839865</v>
      </c>
      <c r="T27" s="11">
        <v>0.96730644974261359</v>
      </c>
      <c r="U27" s="11">
        <v>0.96620145532360946</v>
      </c>
      <c r="V27" s="11">
        <v>1.0008351279537124</v>
      </c>
      <c r="W27" s="11">
        <v>1.0008344310969779</v>
      </c>
      <c r="X27" s="11">
        <v>1.0008337354022316</v>
      </c>
      <c r="Y27" s="11">
        <v>1.0008330408665698</v>
      </c>
      <c r="Z27" s="11">
        <v>1.0008323474870979</v>
      </c>
      <c r="AA27" s="11">
        <v>1.0053892423964532</v>
      </c>
      <c r="AB27" s="11">
        <v>1.0053603541486156</v>
      </c>
      <c r="AC27" s="11">
        <v>1.0053317739519925</v>
      </c>
      <c r="AD27" s="11">
        <v>1.005303496905338</v>
      </c>
      <c r="AE27" s="11">
        <v>1.0052755182108328</v>
      </c>
    </row>
    <row r="28" spans="1:31" x14ac:dyDescent="0.3">
      <c r="A28" t="s">
        <v>1420</v>
      </c>
      <c r="B28" t="s">
        <v>1439</v>
      </c>
      <c r="C28" s="11">
        <v>1.0013234083984051</v>
      </c>
      <c r="D28" s="11">
        <v>1.0013216593033831</v>
      </c>
      <c r="E28" s="11">
        <v>1.0013199148256742</v>
      </c>
      <c r="F28" s="11">
        <v>1.0013181749470186</v>
      </c>
      <c r="G28" s="11">
        <v>1.0015148539459933</v>
      </c>
      <c r="H28" s="11">
        <v>1.0015125626345178</v>
      </c>
      <c r="I28" s="11">
        <v>1.0015102782440781</v>
      </c>
      <c r="J28" s="11">
        <v>1.0015080007433632</v>
      </c>
      <c r="K28" s="11">
        <v>1.0015057301012518</v>
      </c>
      <c r="L28" s="11">
        <v>0.97907371764197859</v>
      </c>
      <c r="M28" s="11">
        <v>0.97862644867189297</v>
      </c>
      <c r="N28" s="11">
        <v>0.97815964267355193</v>
      </c>
      <c r="O28" s="11">
        <v>0.97767199097812607</v>
      </c>
      <c r="P28" s="11">
        <v>0.97716206536761274</v>
      </c>
      <c r="Q28" s="11">
        <v>0.99615156481859868</v>
      </c>
      <c r="R28" s="11">
        <v>0.99613669714798658</v>
      </c>
      <c r="S28" s="11">
        <v>0.99612171415522155</v>
      </c>
      <c r="T28" s="11">
        <v>0.99610661449332272</v>
      </c>
      <c r="U28" s="11">
        <v>0.99609139679424996</v>
      </c>
      <c r="V28" s="11">
        <v>0.99885347905074229</v>
      </c>
      <c r="W28" s="11">
        <v>0.99885216303161173</v>
      </c>
      <c r="X28" s="11">
        <v>0.99885084398785851</v>
      </c>
      <c r="Y28" s="11">
        <v>0.99884952190904341</v>
      </c>
      <c r="Z28" s="11">
        <v>0.99884819678467907</v>
      </c>
      <c r="AA28" s="11">
        <v>0.99759066938137464</v>
      </c>
      <c r="AB28" s="11">
        <v>0.99758485048770607</v>
      </c>
      <c r="AC28" s="11">
        <v>0.99757900341899419</v>
      </c>
      <c r="AD28" s="11">
        <v>0.99757312797010733</v>
      </c>
      <c r="AE28" s="11">
        <v>0.99756722393391728</v>
      </c>
    </row>
    <row r="29" spans="1:31" x14ac:dyDescent="0.3">
      <c r="A29" t="s">
        <v>1421</v>
      </c>
      <c r="B29" t="s">
        <v>1439</v>
      </c>
      <c r="C29" s="11">
        <v>0.99990149289173769</v>
      </c>
      <c r="D29" s="11">
        <v>0.99990148318713135</v>
      </c>
      <c r="E29" s="11">
        <v>0.99990147348061265</v>
      </c>
      <c r="F29" s="11">
        <v>0.99990146377218125</v>
      </c>
      <c r="G29" s="11">
        <v>0.99196207864288033</v>
      </c>
      <c r="H29" s="11">
        <v>0.99189694693962849</v>
      </c>
      <c r="I29" s="11">
        <v>0.99183075108218399</v>
      </c>
      <c r="J29" s="11">
        <v>0.99176346477571653</v>
      </c>
      <c r="K29" s="11">
        <v>0.99169506085188786</v>
      </c>
      <c r="L29" s="11">
        <v>0.9863253797960333</v>
      </c>
      <c r="M29" s="11">
        <v>0.98613579201744295</v>
      </c>
      <c r="N29" s="11">
        <v>0.98594087336167613</v>
      </c>
      <c r="O29" s="11">
        <v>0.98574039578013672</v>
      </c>
      <c r="P29" s="11">
        <v>0.9855341180285323</v>
      </c>
      <c r="Q29" s="11">
        <v>0.98015906144993092</v>
      </c>
      <c r="R29" s="11">
        <v>0.97975742985968139</v>
      </c>
      <c r="S29" s="11">
        <v>0.97933920221128845</v>
      </c>
      <c r="T29" s="11">
        <v>0.97890332813997361</v>
      </c>
      <c r="U29" s="11">
        <v>0.97844866673391317</v>
      </c>
      <c r="V29" s="11">
        <v>0.98884293888832397</v>
      </c>
      <c r="W29" s="11">
        <v>0.98871705437446011</v>
      </c>
      <c r="X29" s="11">
        <v>0.98858829674716364</v>
      </c>
      <c r="Y29" s="11">
        <v>0.98845656650965286</v>
      </c>
      <c r="Z29" s="11">
        <v>0.9883217595173569</v>
      </c>
      <c r="AA29" s="11">
        <v>0.99025556634029122</v>
      </c>
      <c r="AB29" s="11">
        <v>0.9901596779751296</v>
      </c>
      <c r="AC29" s="11">
        <v>0.99006188371052051</v>
      </c>
      <c r="AD29" s="11">
        <v>0.98996212615292922</v>
      </c>
      <c r="AE29" s="11">
        <v>0.98986034558101899</v>
      </c>
    </row>
    <row r="30" spans="1:31" x14ac:dyDescent="0.3">
      <c r="A30" t="s">
        <v>1422</v>
      </c>
      <c r="B30" t="s">
        <v>1439</v>
      </c>
      <c r="C30" s="11">
        <v>1.0236097570364326</v>
      </c>
      <c r="D30" s="11">
        <v>1.0230651934237007</v>
      </c>
      <c r="E30" s="11">
        <v>1.0225451843850859</v>
      </c>
      <c r="F30" s="11">
        <v>1.0220481057750455</v>
      </c>
      <c r="G30" s="11">
        <v>0.99763548523323153</v>
      </c>
      <c r="H30" s="11">
        <v>0.99762988105198003</v>
      </c>
      <c r="I30" s="11">
        <v>0.99762425024246393</v>
      </c>
      <c r="J30" s="11">
        <v>0.99761859261444508</v>
      </c>
      <c r="K30" s="11">
        <v>0.99761290797586855</v>
      </c>
      <c r="L30" s="11">
        <v>0.99109348080674653</v>
      </c>
      <c r="M30" s="11">
        <v>0.99101344185413909</v>
      </c>
      <c r="N30" s="11">
        <v>0.99093195130729261</v>
      </c>
      <c r="O30" s="11">
        <v>0.99084896931545674</v>
      </c>
      <c r="P30" s="11">
        <v>0.99076445455570761</v>
      </c>
      <c r="Q30" s="11">
        <v>0.98690428877332925</v>
      </c>
      <c r="R30" s="11">
        <v>0.98673051543534374</v>
      </c>
      <c r="S30" s="11">
        <v>0.98655206831340192</v>
      </c>
      <c r="T30" s="11">
        <v>0.98636875627903897</v>
      </c>
      <c r="U30" s="11">
        <v>0.98618037763849775</v>
      </c>
      <c r="V30" s="11">
        <v>0.99009178351933891</v>
      </c>
      <c r="W30" s="11">
        <v>0.98999262831427426</v>
      </c>
      <c r="X30" s="11">
        <v>0.98989146848217857</v>
      </c>
      <c r="Y30" s="11">
        <v>0.98978824261075704</v>
      </c>
      <c r="Z30" s="11">
        <v>0.98968288675332483</v>
      </c>
      <c r="AA30" s="11">
        <v>0.99449074522486192</v>
      </c>
      <c r="AB30" s="11">
        <v>0.99446022519405908</v>
      </c>
      <c r="AC30" s="11">
        <v>0.99442936513136071</v>
      </c>
      <c r="AD30" s="11">
        <v>0.9943981593223532</v>
      </c>
      <c r="AE30" s="11">
        <v>0.99436660192385706</v>
      </c>
    </row>
    <row r="31" spans="1:31" x14ac:dyDescent="0.3">
      <c r="A31" t="s">
        <v>1423</v>
      </c>
      <c r="B31" t="s">
        <v>1439</v>
      </c>
      <c r="C31" s="11">
        <v>0.99993051494667806</v>
      </c>
      <c r="D31" s="11">
        <v>0.99993051011816991</v>
      </c>
      <c r="E31" s="11">
        <v>0.99993050528899063</v>
      </c>
      <c r="F31" s="11">
        <v>0.99993050045913989</v>
      </c>
      <c r="G31" s="11">
        <v>0.99869878986332516</v>
      </c>
      <c r="H31" s="11">
        <v>0.99869709450949384</v>
      </c>
      <c r="I31" s="11">
        <v>0.99869539473212732</v>
      </c>
      <c r="J31" s="11">
        <v>0.99869369051389034</v>
      </c>
      <c r="K31" s="11">
        <v>0.9986919818373563</v>
      </c>
      <c r="L31" s="11">
        <v>0.98271338353881177</v>
      </c>
      <c r="M31" s="11">
        <v>0.98240929985207082</v>
      </c>
      <c r="N31" s="11">
        <v>0.98209432651891837</v>
      </c>
      <c r="O31" s="11">
        <v>0.98176786791493931</v>
      </c>
      <c r="P31" s="11">
        <v>0.98142928417103126</v>
      </c>
      <c r="Q31" s="11">
        <v>0.97880680327274849</v>
      </c>
      <c r="R31" s="11">
        <v>0.9783479266220978</v>
      </c>
      <c r="S31" s="11">
        <v>0.97786873893354131</v>
      </c>
      <c r="T31" s="11">
        <v>0.97736786116038954</v>
      </c>
      <c r="U31" s="11">
        <v>0.97684378652195492</v>
      </c>
      <c r="V31" s="11">
        <v>1.0001805271417508</v>
      </c>
      <c r="W31" s="11">
        <v>1.0001804945575843</v>
      </c>
      <c r="X31" s="11">
        <v>1.000180461985178</v>
      </c>
      <c r="Y31" s="11">
        <v>1.000180429424526</v>
      </c>
      <c r="Z31" s="11">
        <v>1.0001803968756215</v>
      </c>
      <c r="AA31" s="11">
        <v>0.99915325567772029</v>
      </c>
      <c r="AB31" s="11">
        <v>0.99915253809416316</v>
      </c>
      <c r="AC31" s="11">
        <v>0.99915181929332497</v>
      </c>
      <c r="AD31" s="11">
        <v>0.99915109927210577</v>
      </c>
      <c r="AE31" s="11">
        <v>0.99915037802739448</v>
      </c>
    </row>
    <row r="32" spans="1:31" x14ac:dyDescent="0.3">
      <c r="A32" t="s">
        <v>1424</v>
      </c>
      <c r="B32" t="s">
        <v>1439</v>
      </c>
      <c r="C32" s="11">
        <v>1.0179406999942266</v>
      </c>
      <c r="D32" s="11">
        <v>1.0176245040544389</v>
      </c>
      <c r="E32" s="11">
        <v>1.0173192606744619</v>
      </c>
      <c r="F32" s="11">
        <v>1.0170244104716744</v>
      </c>
      <c r="G32" s="11">
        <v>1.0182046605777746</v>
      </c>
      <c r="H32" s="11">
        <v>1.0178791762428632</v>
      </c>
      <c r="I32" s="11">
        <v>1.0175651262548249</v>
      </c>
      <c r="J32" s="11">
        <v>1.0172619184773695</v>
      </c>
      <c r="K32" s="11">
        <v>1.016969000966051</v>
      </c>
      <c r="L32" s="11">
        <v>0.98578430290365293</v>
      </c>
      <c r="M32" s="11">
        <v>0.98557930263803717</v>
      </c>
      <c r="N32" s="11">
        <v>0.98536830336902992</v>
      </c>
      <c r="O32" s="11">
        <v>0.98515103785970848</v>
      </c>
      <c r="P32" s="11">
        <v>0.98492722276113942</v>
      </c>
      <c r="Q32" s="11">
        <v>1.0029976336840662</v>
      </c>
      <c r="R32" s="11">
        <v>1.0029886747320187</v>
      </c>
      <c r="S32" s="11">
        <v>1.0029797691711897</v>
      </c>
      <c r="T32" s="11">
        <v>1.0029709165257161</v>
      </c>
      <c r="U32" s="11">
        <v>1.0029621163253741</v>
      </c>
      <c r="V32" s="11">
        <v>0.99775357428908551</v>
      </c>
      <c r="W32" s="11">
        <v>0.99774851649866048</v>
      </c>
      <c r="X32" s="11">
        <v>0.9977434358817785</v>
      </c>
      <c r="Y32" s="11">
        <v>0.99773833228356223</v>
      </c>
      <c r="Z32" s="11">
        <v>0.99773320554772948</v>
      </c>
      <c r="AA32" s="11">
        <v>0.997743700765233</v>
      </c>
      <c r="AB32" s="11">
        <v>0.99773859836645773</v>
      </c>
      <c r="AC32" s="11">
        <v>0.99773347283823166</v>
      </c>
      <c r="AD32" s="11">
        <v>0.99772832402292688</v>
      </c>
      <c r="AE32" s="11">
        <v>0.99772315176148019</v>
      </c>
    </row>
    <row r="33" spans="1:31" x14ac:dyDescent="0.3">
      <c r="A33" t="s">
        <v>1425</v>
      </c>
      <c r="B33" t="s">
        <v>1439</v>
      </c>
      <c r="C33" s="11">
        <v>1.0038330151492145</v>
      </c>
      <c r="D33" s="11">
        <v>1.0038183792437279</v>
      </c>
      <c r="E33" s="11">
        <v>1.0038038546839565</v>
      </c>
      <c r="F33" s="11">
        <v>1.0037894402040866</v>
      </c>
      <c r="G33" s="11">
        <v>0.98953426098007502</v>
      </c>
      <c r="H33" s="11">
        <v>0.98942357083264676</v>
      </c>
      <c r="I33" s="11">
        <v>0.98931051424370997</v>
      </c>
      <c r="J33" s="11">
        <v>0.989195014505166</v>
      </c>
      <c r="K33" s="11">
        <v>0.98907699155738382</v>
      </c>
      <c r="L33" s="11">
        <v>0.99322567827664354</v>
      </c>
      <c r="M33" s="11">
        <v>0.99317947383810024</v>
      </c>
      <c r="N33" s="11">
        <v>0.99313263479404967</v>
      </c>
      <c r="O33" s="11">
        <v>0.99308514797988245</v>
      </c>
      <c r="P33" s="11">
        <v>0.99303699986432781</v>
      </c>
      <c r="Q33" s="11">
        <v>0.98204188480609311</v>
      </c>
      <c r="R33" s="11">
        <v>0.98171349361799098</v>
      </c>
      <c r="S33" s="11">
        <v>0.98137286845817284</v>
      </c>
      <c r="T33" s="11">
        <v>0.98101931269906395</v>
      </c>
      <c r="U33" s="11">
        <v>0.98065207579989921</v>
      </c>
      <c r="V33" s="11">
        <v>0.98481132382456149</v>
      </c>
      <c r="W33" s="11">
        <v>0.9845770699341142</v>
      </c>
      <c r="X33" s="11">
        <v>0.984335477092801</v>
      </c>
      <c r="Y33" s="11">
        <v>0.98408619492872129</v>
      </c>
      <c r="Z33" s="11">
        <v>0.98382885040630896</v>
      </c>
      <c r="AA33" s="11">
        <v>0.98386675090673636</v>
      </c>
      <c r="AB33" s="11">
        <v>0.98360220113303443</v>
      </c>
      <c r="AC33" s="11">
        <v>0.98332883065117527</v>
      </c>
      <c r="AD33" s="11">
        <v>0.98304619082735034</v>
      </c>
      <c r="AE33" s="11">
        <v>0.98275380207884111</v>
      </c>
    </row>
    <row r="34" spans="1:31" x14ac:dyDescent="0.3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x14ac:dyDescent="0.3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x14ac:dyDescent="0.3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x14ac:dyDescent="0.3"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x14ac:dyDescent="0.3"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x14ac:dyDescent="0.3"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x14ac:dyDescent="0.3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x14ac:dyDescent="0.3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x14ac:dyDescent="0.3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x14ac:dyDescent="0.3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x14ac:dyDescent="0.3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x14ac:dyDescent="0.3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x14ac:dyDescent="0.3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x14ac:dyDescent="0.3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 x14ac:dyDescent="0.3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3:31" x14ac:dyDescent="0.3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spans="3:31" x14ac:dyDescent="0.3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3:31" x14ac:dyDescent="0.3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3:31" x14ac:dyDescent="0.3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3:31" x14ac:dyDescent="0.3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3:31" x14ac:dyDescent="0.3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3:31" x14ac:dyDescent="0.3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3:31" x14ac:dyDescent="0.3"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3:31" x14ac:dyDescent="0.3"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3:31" x14ac:dyDescent="0.3"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3:31" x14ac:dyDescent="0.3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3:31" x14ac:dyDescent="0.3"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3:31" x14ac:dyDescent="0.3"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3:31" x14ac:dyDescent="0.3"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3:31" x14ac:dyDescent="0.3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3:31" x14ac:dyDescent="0.3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3:31" x14ac:dyDescent="0.3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3:31" x14ac:dyDescent="0.3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3:31" x14ac:dyDescent="0.3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3:31" x14ac:dyDescent="0.3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3:31" x14ac:dyDescent="0.3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3:31" x14ac:dyDescent="0.3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3:31" x14ac:dyDescent="0.3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3:31" x14ac:dyDescent="0.3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3:31" x14ac:dyDescent="0.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3:31" x14ac:dyDescent="0.3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3:31" x14ac:dyDescent="0.3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3:31" x14ac:dyDescent="0.3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3:31" x14ac:dyDescent="0.3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3:31" x14ac:dyDescent="0.3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3:31" x14ac:dyDescent="0.3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3:31" x14ac:dyDescent="0.3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3:31" x14ac:dyDescent="0.3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3:31" x14ac:dyDescent="0.3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3:31" x14ac:dyDescent="0.3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3:31" x14ac:dyDescent="0.3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3:31" x14ac:dyDescent="0.3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3:31" x14ac:dyDescent="0.3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3:31" x14ac:dyDescent="0.3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3:31" x14ac:dyDescent="0.3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3:31" x14ac:dyDescent="0.3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7586-BF3C-4A37-99B4-F539BCEDD30B}">
  <dimension ref="A1:AE33"/>
  <sheetViews>
    <sheetView workbookViewId="0">
      <selection activeCell="AO1" sqref="AF1:AO1048576"/>
    </sheetView>
  </sheetViews>
  <sheetFormatPr defaultRowHeight="14.4" x14ac:dyDescent="0.3"/>
  <cols>
    <col min="2" max="2" width="21.88671875" bestFit="1" customWidth="1"/>
  </cols>
  <sheetData>
    <row r="1" spans="1:31" x14ac:dyDescent="0.3">
      <c r="A1" s="3" t="s">
        <v>1441</v>
      </c>
    </row>
    <row r="2" spans="1:31" x14ac:dyDescent="0.3">
      <c r="A2" t="s">
        <v>1438</v>
      </c>
    </row>
    <row r="3" spans="1:31" x14ac:dyDescent="0.3">
      <c r="A3" t="s">
        <v>1440</v>
      </c>
    </row>
    <row r="4" spans="1:31" x14ac:dyDescent="0.3"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</row>
    <row r="5" spans="1:31" s="3" customFormat="1" x14ac:dyDescent="0.3">
      <c r="A5" s="3" t="s">
        <v>1387</v>
      </c>
      <c r="B5" s="3" t="s">
        <v>1436</v>
      </c>
      <c r="C5" s="3">
        <v>2022</v>
      </c>
      <c r="D5" s="3">
        <v>2023</v>
      </c>
      <c r="E5" s="3">
        <v>2024</v>
      </c>
      <c r="F5" s="3">
        <v>2025</v>
      </c>
      <c r="G5" s="3">
        <v>2026</v>
      </c>
      <c r="H5" s="3">
        <v>2027</v>
      </c>
      <c r="I5" s="3">
        <v>2028</v>
      </c>
      <c r="J5" s="3">
        <v>2029</v>
      </c>
      <c r="K5" s="3">
        <v>2030</v>
      </c>
      <c r="L5" s="3">
        <v>2031</v>
      </c>
      <c r="M5" s="3">
        <v>2032</v>
      </c>
      <c r="N5" s="3">
        <v>2033</v>
      </c>
      <c r="O5" s="3">
        <v>2034</v>
      </c>
      <c r="P5" s="3">
        <v>2035</v>
      </c>
      <c r="Q5" s="3">
        <v>2036</v>
      </c>
      <c r="R5" s="3">
        <v>2037</v>
      </c>
      <c r="S5" s="3">
        <v>2038</v>
      </c>
      <c r="T5" s="3">
        <v>2039</v>
      </c>
      <c r="U5" s="3">
        <v>2040</v>
      </c>
      <c r="V5" s="3">
        <v>2041</v>
      </c>
      <c r="W5" s="3">
        <v>2042</v>
      </c>
      <c r="X5" s="3">
        <v>2043</v>
      </c>
      <c r="Y5" s="3">
        <v>2044</v>
      </c>
      <c r="Z5" s="3">
        <v>2045</v>
      </c>
      <c r="AA5" s="3">
        <v>2046</v>
      </c>
      <c r="AB5" s="3">
        <v>2047</v>
      </c>
      <c r="AC5" s="3">
        <v>2048</v>
      </c>
      <c r="AD5" s="3">
        <v>2049</v>
      </c>
      <c r="AE5" s="3">
        <v>2050</v>
      </c>
    </row>
    <row r="6" spans="1:31" x14ac:dyDescent="0.3">
      <c r="A6" t="s">
        <v>1433</v>
      </c>
      <c r="B6" t="s">
        <v>1435</v>
      </c>
      <c r="C6" s="11">
        <v>1.0116739411631104</v>
      </c>
      <c r="D6" s="11">
        <v>1.0115392328378934</v>
      </c>
      <c r="E6" s="11">
        <v>1.0114075979094947</v>
      </c>
      <c r="F6" s="11">
        <v>1.0112789323840099</v>
      </c>
      <c r="G6" s="11">
        <v>0.99757795036220642</v>
      </c>
      <c r="H6" s="11">
        <v>0.99757206979473212</v>
      </c>
      <c r="I6" s="11">
        <v>0.99756616060254433</v>
      </c>
      <c r="J6" s="11">
        <v>0.99756022257612909</v>
      </c>
      <c r="K6" s="11">
        <v>0.99755425550392274</v>
      </c>
      <c r="L6" s="11">
        <v>0.99832387890888508</v>
      </c>
      <c r="M6" s="11">
        <v>0.99832106481020289</v>
      </c>
      <c r="N6" s="11">
        <v>0.99831824124625046</v>
      </c>
      <c r="O6" s="11">
        <v>0.99831540816919251</v>
      </c>
      <c r="P6" s="11">
        <v>0.99831256553087055</v>
      </c>
      <c r="Q6" s="11">
        <v>1.002441953187253</v>
      </c>
      <c r="R6" s="11">
        <v>1.0024360045781096</v>
      </c>
      <c r="S6" s="11">
        <v>1.0024300848802161</v>
      </c>
      <c r="T6" s="11">
        <v>1.0024241938833136</v>
      </c>
      <c r="U6" s="11">
        <v>1.0024183313791759</v>
      </c>
      <c r="V6" s="11">
        <v>1.0043756603872178</v>
      </c>
      <c r="W6" s="11">
        <v>1.0043565973965667</v>
      </c>
      <c r="X6" s="11">
        <v>1.0043376997849762</v>
      </c>
      <c r="Y6" s="11">
        <v>1.0043189654096476</v>
      </c>
      <c r="Z6" s="11">
        <v>1.0043003921646407</v>
      </c>
      <c r="AA6" s="11">
        <v>1.0057783246749734</v>
      </c>
      <c r="AB6" s="11">
        <v>1.0057451274631919</v>
      </c>
      <c r="AC6" s="11">
        <v>1.005712309516908</v>
      </c>
      <c r="AD6" s="11">
        <v>1.005679864373592</v>
      </c>
      <c r="AE6" s="11">
        <v>1.0056477857167099</v>
      </c>
    </row>
    <row r="7" spans="1:31" x14ac:dyDescent="0.3">
      <c r="A7" t="s">
        <v>1390</v>
      </c>
      <c r="B7" t="s">
        <v>1435</v>
      </c>
      <c r="C7" s="11">
        <v>1.0157568625869549</v>
      </c>
      <c r="D7" s="11">
        <v>1.0155124352759231</v>
      </c>
      <c r="E7" s="11">
        <v>1.01527547545167</v>
      </c>
      <c r="F7" s="11">
        <v>1.0150456460547068</v>
      </c>
      <c r="G7" s="11">
        <v>0.99315759894781874</v>
      </c>
      <c r="H7" s="11">
        <v>0.99311045793796449</v>
      </c>
      <c r="I7" s="11">
        <v>0.99306266286195333</v>
      </c>
      <c r="J7" s="11">
        <v>0.99301420001225937</v>
      </c>
      <c r="K7" s="11">
        <v>0.99296505529563006</v>
      </c>
      <c r="L7" s="11">
        <v>1.0115547617628067</v>
      </c>
      <c r="M7" s="11">
        <v>1.0114227743267903</v>
      </c>
      <c r="N7" s="11">
        <v>1.0112937681617793</v>
      </c>
      <c r="O7" s="11">
        <v>1.0111676433864591</v>
      </c>
      <c r="P7" s="11">
        <v>1.0110443045319946</v>
      </c>
      <c r="Q7" s="11">
        <v>1.012549724608677</v>
      </c>
      <c r="R7" s="11">
        <v>1.0123941810497525</v>
      </c>
      <c r="S7" s="11">
        <v>1.0122424459580566</v>
      </c>
      <c r="T7" s="11">
        <v>1.0120943811504262</v>
      </c>
      <c r="U7" s="11">
        <v>1.0119498550487742</v>
      </c>
      <c r="V7" s="11">
        <v>1.0090907315757611</v>
      </c>
      <c r="W7" s="11">
        <v>1.0090088346778938</v>
      </c>
      <c r="X7" s="11">
        <v>1.0089284001965848</v>
      </c>
      <c r="Y7" s="11">
        <v>1.0088493893073534</v>
      </c>
      <c r="Z7" s="11">
        <v>1.0087717645479559</v>
      </c>
      <c r="AA7" s="11">
        <v>1.0084052393291505</v>
      </c>
      <c r="AB7" s="11">
        <v>1.0083351801451788</v>
      </c>
      <c r="AC7" s="11">
        <v>1.00826627921876</v>
      </c>
      <c r="AD7" s="11">
        <v>1.0081985080619427</v>
      </c>
      <c r="AE7" s="11">
        <v>1.0081318391134131</v>
      </c>
    </row>
    <row r="8" spans="1:31" x14ac:dyDescent="0.3">
      <c r="A8" t="s">
        <v>1396</v>
      </c>
      <c r="B8" t="s">
        <v>1435</v>
      </c>
      <c r="C8" s="11">
        <v>1.026039148516618</v>
      </c>
      <c r="D8" s="11">
        <v>1.0253783187067118</v>
      </c>
      <c r="E8" s="11">
        <v>1.0247502002370412</v>
      </c>
      <c r="F8" s="11">
        <v>1.0241524229332342</v>
      </c>
      <c r="G8" s="11">
        <v>0.99652222904249843</v>
      </c>
      <c r="H8" s="11">
        <v>0.99651009194160856</v>
      </c>
      <c r="I8" s="11">
        <v>0.99649786982930433</v>
      </c>
      <c r="J8" s="11">
        <v>0.9964855618092836</v>
      </c>
      <c r="K8" s="11">
        <v>0.9964731669725998</v>
      </c>
      <c r="L8" s="11">
        <v>0.98863401383552962</v>
      </c>
      <c r="M8" s="11">
        <v>0.98850334299102793</v>
      </c>
      <c r="N8" s="11">
        <v>0.98836963264667843</v>
      </c>
      <c r="O8" s="11">
        <v>0.98823277550305</v>
      </c>
      <c r="P8" s="11">
        <v>0.98809265915010758</v>
      </c>
      <c r="Q8" s="11">
        <v>1.0064334039627807</v>
      </c>
      <c r="R8" s="11">
        <v>1.006392279844299</v>
      </c>
      <c r="S8" s="11">
        <v>1.0063516781401465</v>
      </c>
      <c r="T8" s="11">
        <v>1.006311588958529</v>
      </c>
      <c r="U8" s="11">
        <v>1.0062720026558185</v>
      </c>
      <c r="V8" s="11">
        <v>1.0108430938751001</v>
      </c>
      <c r="W8" s="11">
        <v>1.0107267823669179</v>
      </c>
      <c r="X8" s="11">
        <v>1.0106129396727748</v>
      </c>
      <c r="Y8" s="11">
        <v>1.0105014880140077</v>
      </c>
      <c r="Z8" s="11">
        <v>1.0103923528451668</v>
      </c>
      <c r="AA8" s="11">
        <v>1.0104657208310468</v>
      </c>
      <c r="AB8" s="11">
        <v>1.0103573239698218</v>
      </c>
      <c r="AC8" s="11">
        <v>1.010251149493455</v>
      </c>
      <c r="AD8" s="11">
        <v>1.0101471297494637</v>
      </c>
      <c r="AE8" s="11">
        <v>1.0100451998036966</v>
      </c>
    </row>
    <row r="9" spans="1:31" x14ac:dyDescent="0.3">
      <c r="A9" t="s">
        <v>1398</v>
      </c>
      <c r="B9" t="s">
        <v>1435</v>
      </c>
      <c r="C9" s="11">
        <v>1.0352528276146813</v>
      </c>
      <c r="D9" s="11">
        <v>1.0340523847647025</v>
      </c>
      <c r="E9" s="11">
        <v>1.0329310054949015</v>
      </c>
      <c r="F9" s="11">
        <v>1.0318811278969438</v>
      </c>
      <c r="G9" s="11">
        <v>1.029669888139884</v>
      </c>
      <c r="H9" s="11">
        <v>1.0288149517448579</v>
      </c>
      <c r="I9" s="11">
        <v>1.0280079053050193</v>
      </c>
      <c r="J9" s="11">
        <v>1.0272448345586498</v>
      </c>
      <c r="K9" s="11">
        <v>1.0265222405039938</v>
      </c>
      <c r="L9" s="11">
        <v>0.99314453980152106</v>
      </c>
      <c r="M9" s="11">
        <v>0.9930972180546358</v>
      </c>
      <c r="N9" s="11">
        <v>0.99304923846339443</v>
      </c>
      <c r="O9" s="11">
        <v>0.99300058721422424</v>
      </c>
      <c r="P9" s="11">
        <v>0.9929512501040787</v>
      </c>
      <c r="Q9" s="11">
        <v>0.9984513806327544</v>
      </c>
      <c r="R9" s="11">
        <v>0.99844897869111648</v>
      </c>
      <c r="S9" s="11">
        <v>0.99844656928697872</v>
      </c>
      <c r="T9" s="11">
        <v>0.99844415238550954</v>
      </c>
      <c r="U9" s="11">
        <v>0.99844172795166042</v>
      </c>
      <c r="V9" s="11">
        <v>1.00877983834191</v>
      </c>
      <c r="W9" s="11">
        <v>1.0087034236889003</v>
      </c>
      <c r="X9" s="11">
        <v>1.0086283276972248</v>
      </c>
      <c r="Y9" s="11">
        <v>1.0085545165253527</v>
      </c>
      <c r="Z9" s="11">
        <v>1.0084819574799233</v>
      </c>
      <c r="AA9" s="11">
        <v>0.99855280247817702</v>
      </c>
      <c r="AB9" s="11">
        <v>0.9985507050621345</v>
      </c>
      <c r="AC9" s="11">
        <v>0.9985486015577193</v>
      </c>
      <c r="AD9" s="11">
        <v>0.99854649193838285</v>
      </c>
      <c r="AE9" s="11">
        <v>0.99854437617742209</v>
      </c>
    </row>
    <row r="10" spans="1:31" x14ac:dyDescent="0.3">
      <c r="A10" t="s">
        <v>1400</v>
      </c>
      <c r="B10" t="s">
        <v>1435</v>
      </c>
      <c r="C10" s="11">
        <v>1.0115150620480839</v>
      </c>
      <c r="D10" s="11">
        <v>1.0113839748710896</v>
      </c>
      <c r="E10" s="11">
        <v>1.0112558386863313</v>
      </c>
      <c r="F10" s="11">
        <v>1.0111305549552654</v>
      </c>
      <c r="G10" s="11">
        <v>0.98441642533605866</v>
      </c>
      <c r="H10" s="11">
        <v>0.98416973319129508</v>
      </c>
      <c r="I10" s="11">
        <v>0.98391510501204582</v>
      </c>
      <c r="J10" s="11">
        <v>0.98365215158704444</v>
      </c>
      <c r="K10" s="11">
        <v>0.98338045783097217</v>
      </c>
      <c r="L10" s="11">
        <v>1.0082959652324319</v>
      </c>
      <c r="M10" s="11">
        <v>1.0082277084491948</v>
      </c>
      <c r="N10" s="11">
        <v>1.008160565693885</v>
      </c>
      <c r="O10" s="11">
        <v>1.0080945099139722</v>
      </c>
      <c r="P10" s="11">
        <v>1.0080295149258012</v>
      </c>
      <c r="Q10" s="11">
        <v>0.99015433908219985</v>
      </c>
      <c r="R10" s="11">
        <v>0.99005643814384903</v>
      </c>
      <c r="S10" s="11">
        <v>0.98995657068318943</v>
      </c>
      <c r="T10" s="11">
        <v>0.98985467684720818</v>
      </c>
      <c r="U10" s="11">
        <v>0.9897506943290848</v>
      </c>
      <c r="V10" s="11">
        <v>1.0340711325078218</v>
      </c>
      <c r="W10" s="11">
        <v>1.0329485384870891</v>
      </c>
      <c r="X10" s="11">
        <v>1.0318975604877156</v>
      </c>
      <c r="Y10" s="11">
        <v>1.030911557221474</v>
      </c>
      <c r="Z10" s="11">
        <v>1.0299846839478519</v>
      </c>
      <c r="AA10" s="11">
        <v>0.9826422675796348</v>
      </c>
      <c r="AB10" s="11">
        <v>0.98233565459877958</v>
      </c>
      <c r="AC10" s="11">
        <v>0.98201801459763238</v>
      </c>
      <c r="AD10" s="11">
        <v>0.98168874182034693</v>
      </c>
      <c r="AE10" s="11">
        <v>0.98134718531487075</v>
      </c>
    </row>
    <row r="11" spans="1:31" x14ac:dyDescent="0.3">
      <c r="A11" t="s">
        <v>1401</v>
      </c>
      <c r="B11" t="s">
        <v>1435</v>
      </c>
      <c r="C11" s="11">
        <v>1.033042494338875</v>
      </c>
      <c r="D11" s="11">
        <v>1.0319856100014757</v>
      </c>
      <c r="E11" s="11">
        <v>1.0309942403183607</v>
      </c>
      <c r="F11" s="11">
        <v>1.0300624766912279</v>
      </c>
      <c r="G11" s="11">
        <v>1.0090437012078728</v>
      </c>
      <c r="H11" s="11">
        <v>1.0089626457179675</v>
      </c>
      <c r="I11" s="11">
        <v>1.008883030264802</v>
      </c>
      <c r="J11" s="11">
        <v>1.0088048168105974</v>
      </c>
      <c r="K11" s="11">
        <v>1.0087279686455446</v>
      </c>
      <c r="L11" s="11">
        <v>1.0027129936487387</v>
      </c>
      <c r="M11" s="11">
        <v>1.0027056532287135</v>
      </c>
      <c r="N11" s="11">
        <v>1.0026983524227686</v>
      </c>
      <c r="O11" s="11">
        <v>1.0026910909110889</v>
      </c>
      <c r="P11" s="11">
        <v>1.0026838683772918</v>
      </c>
      <c r="Q11" s="11">
        <v>1.0058312984095936</v>
      </c>
      <c r="R11" s="11">
        <v>1.0057974915065917</v>
      </c>
      <c r="S11" s="11">
        <v>1.0057640743345935</v>
      </c>
      <c r="T11" s="11">
        <v>1.0057310401929072</v>
      </c>
      <c r="U11" s="11">
        <v>1.0056983825335728</v>
      </c>
      <c r="V11" s="11">
        <v>1.0063070225584518</v>
      </c>
      <c r="W11" s="11">
        <v>1.0062674933365929</v>
      </c>
      <c r="X11" s="11">
        <v>1.006228456526814</v>
      </c>
      <c r="Y11" s="11">
        <v>1.0061899029851658</v>
      </c>
      <c r="Z11" s="11">
        <v>1.006151823792707</v>
      </c>
      <c r="AA11" s="11">
        <v>1.0078111109329568</v>
      </c>
      <c r="AB11" s="11">
        <v>1.0077505703680185</v>
      </c>
      <c r="AC11" s="11">
        <v>1.007690961033332</v>
      </c>
      <c r="AD11" s="11">
        <v>1.0076322616067184</v>
      </c>
      <c r="AE11" s="11">
        <v>1.0075744514120148</v>
      </c>
    </row>
    <row r="12" spans="1:31" x14ac:dyDescent="0.3">
      <c r="A12" t="s">
        <v>1402</v>
      </c>
      <c r="B12" t="s">
        <v>1435</v>
      </c>
      <c r="C12" s="11">
        <v>1.0058082939832622</v>
      </c>
      <c r="D12" s="11">
        <v>1.0057747525229284</v>
      </c>
      <c r="E12" s="11">
        <v>1.0057415962256389</v>
      </c>
      <c r="F12" s="11">
        <v>1.0057088184949154</v>
      </c>
      <c r="G12" s="11">
        <v>0.98843065970420263</v>
      </c>
      <c r="H12" s="11">
        <v>0.98829524339192432</v>
      </c>
      <c r="I12" s="11">
        <v>0.98815661950582312</v>
      </c>
      <c r="J12" s="11">
        <v>0.98801467271443288</v>
      </c>
      <c r="K12" s="11">
        <v>0.98786928209007374</v>
      </c>
      <c r="L12" s="11">
        <v>0.99593863026272611</v>
      </c>
      <c r="M12" s="11">
        <v>0.99592206827422436</v>
      </c>
      <c r="N12" s="11">
        <v>0.99590537065531437</v>
      </c>
      <c r="O12" s="11">
        <v>0.99588853573307745</v>
      </c>
      <c r="P12" s="11">
        <v>0.99587156180696856</v>
      </c>
      <c r="Q12" s="11">
        <v>0.99660899334868613</v>
      </c>
      <c r="R12" s="11">
        <v>0.99659745529696675</v>
      </c>
      <c r="S12" s="11">
        <v>0.9965858384597025</v>
      </c>
      <c r="T12" s="11">
        <v>0.99657414202716921</v>
      </c>
      <c r="U12" s="11">
        <v>0.99656236517850816</v>
      </c>
      <c r="V12" s="11">
        <v>0.99961571701972207</v>
      </c>
      <c r="W12" s="11">
        <v>0.99961556928954287</v>
      </c>
      <c r="X12" s="11">
        <v>0.99961542144573601</v>
      </c>
      <c r="Y12" s="11">
        <v>0.99961527348817036</v>
      </c>
      <c r="Z12" s="11">
        <v>0.99961512541671438</v>
      </c>
      <c r="AA12" s="11">
        <v>1.002158026911055</v>
      </c>
      <c r="AB12" s="11">
        <v>1.0021533798593687</v>
      </c>
      <c r="AC12" s="11">
        <v>1.002148752778413</v>
      </c>
      <c r="AD12" s="11">
        <v>1.0021441455397273</v>
      </c>
      <c r="AE12" s="11">
        <v>1.0021395580159502</v>
      </c>
    </row>
    <row r="13" spans="1:31" x14ac:dyDescent="0.3">
      <c r="A13" t="s">
        <v>1403</v>
      </c>
      <c r="B13" t="s">
        <v>1435</v>
      </c>
      <c r="C13" s="11">
        <v>1.0132029357310233</v>
      </c>
      <c r="D13" s="11">
        <v>1.0130308897313818</v>
      </c>
      <c r="E13" s="11">
        <v>1.0128632698799906</v>
      </c>
      <c r="F13" s="11">
        <v>1.0126999075418288</v>
      </c>
      <c r="G13" s="11">
        <v>1.0353690721435804</v>
      </c>
      <c r="H13" s="11">
        <v>1.0341608351023601</v>
      </c>
      <c r="I13" s="11">
        <v>1.0330324200480663</v>
      </c>
      <c r="J13" s="11">
        <v>1.0319761697764813</v>
      </c>
      <c r="K13" s="11">
        <v>1.030985376128799</v>
      </c>
      <c r="L13" s="11">
        <v>1.0019620269537208</v>
      </c>
      <c r="M13" s="11">
        <v>1.001958184942084</v>
      </c>
      <c r="N13" s="11">
        <v>1.0019543579477792</v>
      </c>
      <c r="O13" s="11">
        <v>1.0019505458829305</v>
      </c>
      <c r="P13" s="11">
        <v>1.0019467486603457</v>
      </c>
      <c r="Q13" s="11">
        <v>1.0093385876617014</v>
      </c>
      <c r="R13" s="11">
        <v>1.0092521853180465</v>
      </c>
      <c r="S13" s="11">
        <v>1.0091673671384034</v>
      </c>
      <c r="T13" s="11">
        <v>1.009084089950707</v>
      </c>
      <c r="U13" s="11">
        <v>1.0090023121374856</v>
      </c>
      <c r="V13" s="11">
        <v>1.0124509042554573</v>
      </c>
      <c r="W13" s="11">
        <v>1.0122977857031137</v>
      </c>
      <c r="X13" s="11">
        <v>1.0121483874377655</v>
      </c>
      <c r="Y13" s="11">
        <v>1.0120025755003363</v>
      </c>
      <c r="Z13" s="11">
        <v>1.0118602222868873</v>
      </c>
      <c r="AA13" s="11">
        <v>1.0111278591360457</v>
      </c>
      <c r="AB13" s="11">
        <v>1.0110053926766036</v>
      </c>
      <c r="AC13" s="11">
        <v>1.0108855924570959</v>
      </c>
      <c r="AD13" s="11">
        <v>1.0107683723443293</v>
      </c>
      <c r="AE13" s="11">
        <v>1.0106536498756422</v>
      </c>
    </row>
    <row r="14" spans="1:31" x14ac:dyDescent="0.3">
      <c r="A14" t="s">
        <v>1405</v>
      </c>
      <c r="B14" t="s">
        <v>1435</v>
      </c>
      <c r="C14" s="11">
        <v>1.0418979822172627</v>
      </c>
      <c r="D14" s="11">
        <v>1.0402131330824729</v>
      </c>
      <c r="E14" s="11">
        <v>1.0386585516021212</v>
      </c>
      <c r="F14" s="11">
        <v>1.0372196922101984</v>
      </c>
      <c r="G14" s="11">
        <v>1.0356519041415633</v>
      </c>
      <c r="H14" s="11">
        <v>1.0344246015470948</v>
      </c>
      <c r="I14" s="11">
        <v>1.0332789857236662</v>
      </c>
      <c r="J14" s="11">
        <v>1.0322071639735892</v>
      </c>
      <c r="K14" s="11">
        <v>1.031202228678209</v>
      </c>
      <c r="L14" s="11">
        <v>1.000711217744165</v>
      </c>
      <c r="M14" s="11">
        <v>1.0007107122729855</v>
      </c>
      <c r="N14" s="11">
        <v>1.0007102075197849</v>
      </c>
      <c r="O14" s="11">
        <v>1.0007097034830343</v>
      </c>
      <c r="P14" s="11">
        <v>1.0007092001612097</v>
      </c>
      <c r="Q14" s="11">
        <v>0.99547487239030186</v>
      </c>
      <c r="R14" s="11">
        <v>0.99545430252917122</v>
      </c>
      <c r="S14" s="11">
        <v>0.99543354480534219</v>
      </c>
      <c r="T14" s="11">
        <v>0.99541259663340886</v>
      </c>
      <c r="U14" s="11">
        <v>0.99539145538030571</v>
      </c>
      <c r="V14" s="11">
        <v>1.0000284378968989</v>
      </c>
      <c r="W14" s="11">
        <v>1.0000284370882078</v>
      </c>
      <c r="X14" s="11">
        <v>1.0000284362795628</v>
      </c>
      <c r="Y14" s="11">
        <v>1.0000284354709639</v>
      </c>
      <c r="Z14" s="11">
        <v>1.0000284346624111</v>
      </c>
      <c r="AA14" s="11">
        <v>0.99775174410491085</v>
      </c>
      <c r="AB14" s="11">
        <v>0.99774667806057704</v>
      </c>
      <c r="AC14" s="11">
        <v>0.99774158913382405</v>
      </c>
      <c r="AD14" s="11">
        <v>0.99773647716926728</v>
      </c>
      <c r="AE14" s="11">
        <v>0.99773134201011171</v>
      </c>
    </row>
    <row r="15" spans="1:31" x14ac:dyDescent="0.3">
      <c r="A15" t="s">
        <v>1407</v>
      </c>
      <c r="B15" t="s">
        <v>1435</v>
      </c>
      <c r="C15" s="11">
        <v>1.0227455319893972</v>
      </c>
      <c r="D15" s="11">
        <v>1.0222396786668466</v>
      </c>
      <c r="E15" s="11">
        <v>1.0217558358680134</v>
      </c>
      <c r="F15" s="11">
        <v>1.0212925976092238</v>
      </c>
      <c r="G15" s="11">
        <v>0.97116858787776494</v>
      </c>
      <c r="H15" s="11">
        <v>0.9703126599417321</v>
      </c>
      <c r="I15" s="11">
        <v>0.96940435667401204</v>
      </c>
      <c r="J15" s="11">
        <v>0.96843871897691858</v>
      </c>
      <c r="K15" s="11">
        <v>0.96741014128759384</v>
      </c>
      <c r="L15" s="11">
        <v>1.0168827762571178</v>
      </c>
      <c r="M15" s="11">
        <v>1.0166024802969511</v>
      </c>
      <c r="N15" s="11">
        <v>1.0163313395537865</v>
      </c>
      <c r="O15" s="11">
        <v>1.0160689126844762</v>
      </c>
      <c r="P15" s="11">
        <v>1.0158147862648628</v>
      </c>
      <c r="Q15" s="11">
        <v>1.0016449353295664</v>
      </c>
      <c r="R15" s="11">
        <v>1.0016422339609048</v>
      </c>
      <c r="S15" s="11">
        <v>1.0016395414502548</v>
      </c>
      <c r="T15" s="11">
        <v>1.0016368577541188</v>
      </c>
      <c r="U15" s="11">
        <v>1.0016341828292827</v>
      </c>
      <c r="V15" s="11">
        <v>1.0048569890363024</v>
      </c>
      <c r="W15" s="11">
        <v>1.0048335127180241</v>
      </c>
      <c r="X15" s="11">
        <v>1.0048102622542412</v>
      </c>
      <c r="Y15" s="11">
        <v>1.0047872344012985</v>
      </c>
      <c r="Z15" s="11">
        <v>1.0047644259773572</v>
      </c>
      <c r="AA15" s="11">
        <v>1.0031795899419462</v>
      </c>
      <c r="AB15" s="11">
        <v>1.003169512192857</v>
      </c>
      <c r="AC15" s="11">
        <v>1.0031594981250265</v>
      </c>
      <c r="AD15" s="11">
        <v>1.0031495471367531</v>
      </c>
      <c r="AE15" s="11">
        <v>1.0031396586338925</v>
      </c>
    </row>
    <row r="16" spans="1:31" x14ac:dyDescent="0.3">
      <c r="A16" t="s">
        <v>1408</v>
      </c>
      <c r="B16" t="s">
        <v>1435</v>
      </c>
      <c r="C16" s="11">
        <v>1.0139139215908892</v>
      </c>
      <c r="D16" s="11">
        <v>1.0137229811077626</v>
      </c>
      <c r="E16" s="11">
        <v>1.0135372102275582</v>
      </c>
      <c r="F16" s="11">
        <v>1.0133564018083938</v>
      </c>
      <c r="G16" s="11">
        <v>0.99890658553199629</v>
      </c>
      <c r="H16" s="11">
        <v>0.99890538866812917</v>
      </c>
      <c r="I16" s="11">
        <v>0.99890418918118928</v>
      </c>
      <c r="J16" s="11">
        <v>0.99890298706254399</v>
      </c>
      <c r="K16" s="11">
        <v>0.99890178230352311</v>
      </c>
      <c r="L16" s="11">
        <v>0.99196103383053813</v>
      </c>
      <c r="M16" s="11">
        <v>0.99189588512522642</v>
      </c>
      <c r="N16" s="11">
        <v>0.99182967184731241</v>
      </c>
      <c r="O16" s="11">
        <v>0.9917623676881232</v>
      </c>
      <c r="P16" s="11">
        <v>0.99169394546490042</v>
      </c>
      <c r="Q16" s="11">
        <v>1.0010553039036705</v>
      </c>
      <c r="R16" s="11">
        <v>1.0010541914113589</v>
      </c>
      <c r="S16" s="11">
        <v>1.001053081262137</v>
      </c>
      <c r="T16" s="11">
        <v>1.0010519734486099</v>
      </c>
      <c r="U16" s="11">
        <v>1.0010508679634145</v>
      </c>
      <c r="V16" s="11">
        <v>1.0049934614680047</v>
      </c>
      <c r="W16" s="11">
        <v>1.0049686507021753</v>
      </c>
      <c r="X16" s="11">
        <v>1.0049440852694298</v>
      </c>
      <c r="Y16" s="11">
        <v>1.004919761548827</v>
      </c>
      <c r="Z16" s="11">
        <v>1.0048956759903347</v>
      </c>
      <c r="AA16" s="11">
        <v>1.009863967280435</v>
      </c>
      <c r="AB16" s="11">
        <v>1.0097676197983365</v>
      </c>
      <c r="AC16" s="11">
        <v>1.0096731362808873</v>
      </c>
      <c r="AD16" s="11">
        <v>1.0095804631551535</v>
      </c>
      <c r="AE16" s="11">
        <v>1.009489548881733</v>
      </c>
    </row>
    <row r="17" spans="1:31" x14ac:dyDescent="0.3">
      <c r="A17" t="s">
        <v>1409</v>
      </c>
      <c r="B17" t="s">
        <v>1435</v>
      </c>
      <c r="C17" s="11">
        <v>1.0278521895686572</v>
      </c>
      <c r="D17" s="11">
        <v>1.027097465813976</v>
      </c>
      <c r="E17" s="11">
        <v>1.0263825651565612</v>
      </c>
      <c r="F17" s="11">
        <v>1.0257044167079519</v>
      </c>
      <c r="G17" s="11">
        <v>1.0202422787763561</v>
      </c>
      <c r="H17" s="11">
        <v>1.0198406586331963</v>
      </c>
      <c r="I17" s="11">
        <v>1.0194546652609311</v>
      </c>
      <c r="J17" s="11">
        <v>1.0190834040236127</v>
      </c>
      <c r="K17" s="11">
        <v>1.0187260472972739</v>
      </c>
      <c r="L17" s="11">
        <v>0.9907892259393315</v>
      </c>
      <c r="M17" s="11">
        <v>0.99070359888912185</v>
      </c>
      <c r="N17" s="11">
        <v>0.99061636485291638</v>
      </c>
      <c r="O17" s="11">
        <v>0.99052747816408537</v>
      </c>
      <c r="P17" s="11">
        <v>0.99043689140913949</v>
      </c>
      <c r="Q17" s="11">
        <v>1.0038282247317114</v>
      </c>
      <c r="R17" s="11">
        <v>1.0038136253169554</v>
      </c>
      <c r="S17" s="11">
        <v>1.0037991368325483</v>
      </c>
      <c r="T17" s="11">
        <v>1.0037847580189563</v>
      </c>
      <c r="U17" s="11">
        <v>1.0037704876356419</v>
      </c>
      <c r="V17" s="11">
        <v>1.0075730782848069</v>
      </c>
      <c r="W17" s="11">
        <v>1.0075161578331358</v>
      </c>
      <c r="X17" s="11">
        <v>1.007460086644467</v>
      </c>
      <c r="Y17" s="11">
        <v>1.0074048458528162</v>
      </c>
      <c r="Z17" s="11">
        <v>1.0073504171468894</v>
      </c>
      <c r="AA17" s="11">
        <v>1.0090265280390047</v>
      </c>
      <c r="AB17" s="11">
        <v>1.0089457787165887</v>
      </c>
      <c r="AC17" s="11">
        <v>1.0088664613156597</v>
      </c>
      <c r="AD17" s="11">
        <v>1.0087885380827279</v>
      </c>
      <c r="AE17" s="11">
        <v>1.0087119725799334</v>
      </c>
    </row>
    <row r="18" spans="1:31" x14ac:dyDescent="0.3">
      <c r="A18" t="s">
        <v>1410</v>
      </c>
      <c r="B18" t="s">
        <v>1435</v>
      </c>
      <c r="C18" s="11">
        <v>0.99740531116460363</v>
      </c>
      <c r="D18" s="11">
        <v>0.99739856124049842</v>
      </c>
      <c r="E18" s="11">
        <v>0.99739177610576646</v>
      </c>
      <c r="F18" s="11">
        <v>0.99738495548417616</v>
      </c>
      <c r="G18" s="11">
        <v>0.97465609543832243</v>
      </c>
      <c r="H18" s="11">
        <v>0.97399707991332074</v>
      </c>
      <c r="I18" s="11">
        <v>0.97330287675093097</v>
      </c>
      <c r="J18" s="11">
        <v>0.97257059042279914</v>
      </c>
      <c r="K18" s="11">
        <v>0.97179699875021208</v>
      </c>
      <c r="L18" s="11">
        <v>1.010032262268554</v>
      </c>
      <c r="M18" s="11">
        <v>1.009932615663208</v>
      </c>
      <c r="N18" s="11">
        <v>1.0098349290924578</v>
      </c>
      <c r="O18" s="11">
        <v>1.0097391452891182</v>
      </c>
      <c r="P18" s="11">
        <v>1.0096452091954198</v>
      </c>
      <c r="Q18" s="11">
        <v>1.0100901154121724</v>
      </c>
      <c r="R18" s="11">
        <v>1.0099893220003</v>
      </c>
      <c r="S18" s="11">
        <v>1.0098905223874208</v>
      </c>
      <c r="T18" s="11">
        <v>1.0097936579937787</v>
      </c>
      <c r="U18" s="11">
        <v>1.0096986725122008</v>
      </c>
      <c r="V18" s="11">
        <v>1.0131503418469203</v>
      </c>
      <c r="W18" s="11">
        <v>1.0129796549473082</v>
      </c>
      <c r="X18" s="11">
        <v>1.0128133421869991</v>
      </c>
      <c r="Y18" s="11">
        <v>1.0126512375511669</v>
      </c>
      <c r="Z18" s="11">
        <v>1.0124931833212003</v>
      </c>
      <c r="AA18" s="11">
        <v>1.0100785406546096</v>
      </c>
      <c r="AB18" s="11">
        <v>1.0099779772056912</v>
      </c>
      <c r="AC18" s="11">
        <v>1.0098794007700023</v>
      </c>
      <c r="AD18" s="11">
        <v>1.0097827530321635</v>
      </c>
      <c r="AE18" s="11">
        <v>1.0096879779366281</v>
      </c>
    </row>
    <row r="19" spans="1:31" x14ac:dyDescent="0.3">
      <c r="A19" t="s">
        <v>1411</v>
      </c>
      <c r="B19" t="s">
        <v>1435</v>
      </c>
      <c r="C19" s="11">
        <v>1.0042450976695014</v>
      </c>
      <c r="D19" s="11">
        <v>1.0042271529921856</v>
      </c>
      <c r="E19" s="11">
        <v>1.0042093593860617</v>
      </c>
      <c r="F19" s="11">
        <v>1.004191714951387</v>
      </c>
      <c r="G19" s="11">
        <v>0.99294128168408002</v>
      </c>
      <c r="H19" s="11">
        <v>0.99289110197538766</v>
      </c>
      <c r="I19" s="11">
        <v>0.99284020371371151</v>
      </c>
      <c r="J19" s="11">
        <v>0.9927885713536706</v>
      </c>
      <c r="K19" s="11">
        <v>0.99273618889820958</v>
      </c>
      <c r="L19" s="11">
        <v>0.99308967207987153</v>
      </c>
      <c r="M19" s="11">
        <v>0.99304158716538071</v>
      </c>
      <c r="N19" s="11">
        <v>0.99299282837239278</v>
      </c>
      <c r="O19" s="11">
        <v>0.99294338143499727</v>
      </c>
      <c r="P19" s="11">
        <v>0.99289323168174548</v>
      </c>
      <c r="Q19" s="11">
        <v>1.0039384737279258</v>
      </c>
      <c r="R19" s="11">
        <v>1.003923023004887</v>
      </c>
      <c r="S19" s="11">
        <v>1.0039076930352138</v>
      </c>
      <c r="T19" s="11">
        <v>1.0038924824088151</v>
      </c>
      <c r="U19" s="11">
        <v>1.0038773897374698</v>
      </c>
      <c r="V19" s="11">
        <v>0.99885584248100667</v>
      </c>
      <c r="W19" s="11">
        <v>0.99885453188505025</v>
      </c>
      <c r="X19" s="11">
        <v>0.99885321828315876</v>
      </c>
      <c r="Y19" s="11">
        <v>0.99885190166497906</v>
      </c>
      <c r="Z19" s="11">
        <v>0.99885058202011012</v>
      </c>
      <c r="AA19" s="11">
        <v>1.0051818872766174</v>
      </c>
      <c r="AB19" s="11">
        <v>1.005155173747367</v>
      </c>
      <c r="AC19" s="11">
        <v>1.0051287342313007</v>
      </c>
      <c r="AD19" s="11">
        <v>1.0051025645339082</v>
      </c>
      <c r="AE19" s="11">
        <v>1.0050766605458561</v>
      </c>
    </row>
    <row r="20" spans="1:31" x14ac:dyDescent="0.3">
      <c r="A20" t="s">
        <v>1412</v>
      </c>
      <c r="B20" t="s">
        <v>1435</v>
      </c>
      <c r="C20" s="11">
        <v>1.0151500558728683</v>
      </c>
      <c r="D20" s="11">
        <v>1.0149239570891238</v>
      </c>
      <c r="E20" s="11">
        <v>1.0147045076479688</v>
      </c>
      <c r="F20" s="11">
        <v>1.0144914184741853</v>
      </c>
      <c r="G20" s="11">
        <v>1.0451875508552126</v>
      </c>
      <c r="H20" s="11">
        <v>1.043233916073951</v>
      </c>
      <c r="I20" s="11">
        <v>1.0414422071673581</v>
      </c>
      <c r="J20" s="11">
        <v>1.0397930935410018</v>
      </c>
      <c r="K20" s="11">
        <v>1.0382702037435998</v>
      </c>
      <c r="L20" s="11">
        <v>1.003913726888402</v>
      </c>
      <c r="M20" s="11">
        <v>1.0038984693441064</v>
      </c>
      <c r="N20" s="11">
        <v>1.0038833302999788</v>
      </c>
      <c r="O20" s="11">
        <v>1.003868308380834</v>
      </c>
      <c r="P20" s="11">
        <v>1.0038534022326822</v>
      </c>
      <c r="Q20" s="11">
        <v>0.9949566652318077</v>
      </c>
      <c r="R20" s="11">
        <v>0.99493110107763605</v>
      </c>
      <c r="S20" s="11">
        <v>0.99490527643886728</v>
      </c>
      <c r="T20" s="11">
        <v>0.99487918731382285</v>
      </c>
      <c r="U20" s="11">
        <v>0.99485282961843546</v>
      </c>
      <c r="V20" s="11">
        <v>0.99327595448919925</v>
      </c>
      <c r="W20" s="11">
        <v>0.99323043563028901</v>
      </c>
      <c r="X20" s="11">
        <v>0.99318429628526728</v>
      </c>
      <c r="Y20" s="11">
        <v>0.99313752367992025</v>
      </c>
      <c r="Z20" s="11">
        <v>0.99309010468696002</v>
      </c>
      <c r="AA20" s="11">
        <v>1.0112605334550278</v>
      </c>
      <c r="AB20" s="11">
        <v>1.0111351457735183</v>
      </c>
      <c r="AC20" s="11">
        <v>1.0110125197606497</v>
      </c>
      <c r="AD20" s="11">
        <v>1.0108925651714549</v>
      </c>
      <c r="AE20" s="11">
        <v>1.0107751956505957</v>
      </c>
    </row>
    <row r="21" spans="1:31" x14ac:dyDescent="0.3">
      <c r="A21" t="s">
        <v>1413</v>
      </c>
      <c r="B21" t="s">
        <v>1435</v>
      </c>
      <c r="C21" s="11">
        <v>1.0277450429408888</v>
      </c>
      <c r="D21" s="11">
        <v>1.0269960367422415</v>
      </c>
      <c r="E21" s="11">
        <v>1.0262864079085214</v>
      </c>
      <c r="F21" s="11">
        <v>1.0256131307069443</v>
      </c>
      <c r="G21" s="11">
        <v>1.0190237918528586</v>
      </c>
      <c r="H21" s="11">
        <v>1.0186686434653978</v>
      </c>
      <c r="I21" s="11">
        <v>1.0183265123405478</v>
      </c>
      <c r="J21" s="11">
        <v>1.0179966956751678</v>
      </c>
      <c r="K21" s="11">
        <v>1.017678540364251</v>
      </c>
      <c r="L21" s="11">
        <v>0.99296645574544651</v>
      </c>
      <c r="M21" s="11">
        <v>0.99291663458130297</v>
      </c>
      <c r="N21" s="11">
        <v>0.99286610257901065</v>
      </c>
      <c r="O21" s="11">
        <v>0.99281484441612133</v>
      </c>
      <c r="P21" s="11">
        <v>0.9927628443266231</v>
      </c>
      <c r="Q21" s="11">
        <v>0.99957337283396797</v>
      </c>
      <c r="R21" s="11">
        <v>0.99957319074554529</v>
      </c>
      <c r="S21" s="11">
        <v>0.99957300850162223</v>
      </c>
      <c r="T21" s="11">
        <v>0.99957282610199949</v>
      </c>
      <c r="U21" s="11">
        <v>0.99957264354647757</v>
      </c>
      <c r="V21" s="11">
        <v>1.0017662788136581</v>
      </c>
      <c r="W21" s="11">
        <v>1.0017631645734271</v>
      </c>
      <c r="X21" s="11">
        <v>1.0017600612957034</v>
      </c>
      <c r="Y21" s="11">
        <v>1.0017569689227048</v>
      </c>
      <c r="Z21" s="11">
        <v>1.0017538873970542</v>
      </c>
      <c r="AA21" s="11">
        <v>1.0019516033112599</v>
      </c>
      <c r="AB21" s="11">
        <v>1.0019478019744767</v>
      </c>
      <c r="AC21" s="11">
        <v>1.0019440154174084</v>
      </c>
      <c r="AD21" s="11">
        <v>1.0019402435540259</v>
      </c>
      <c r="AE21" s="11">
        <v>1.001936486298967</v>
      </c>
    </row>
    <row r="22" spans="1:31" x14ac:dyDescent="0.3">
      <c r="A22" t="s">
        <v>1414</v>
      </c>
      <c r="B22" t="s">
        <v>1435</v>
      </c>
      <c r="C22" s="11">
        <v>1.0119360217296776</v>
      </c>
      <c r="D22" s="11">
        <v>1.0117952335655327</v>
      </c>
      <c r="E22" s="11">
        <v>1.0116577279416179</v>
      </c>
      <c r="F22" s="11">
        <v>1.0115233913799457</v>
      </c>
      <c r="G22" s="11">
        <v>0.99115899882949543</v>
      </c>
      <c r="H22" s="11">
        <v>0.99108013832195918</v>
      </c>
      <c r="I22" s="11">
        <v>0.99099985830293857</v>
      </c>
      <c r="J22" s="11">
        <v>0.99091812009693536</v>
      </c>
      <c r="K22" s="11">
        <v>0.99083488361058891</v>
      </c>
      <c r="L22" s="11">
        <v>0.99052110242285596</v>
      </c>
      <c r="M22" s="11">
        <v>0.99043039309918968</v>
      </c>
      <c r="N22" s="11">
        <v>0.99033793089601607</v>
      </c>
      <c r="O22" s="11">
        <v>0.9902436645082936</v>
      </c>
      <c r="P22" s="11">
        <v>0.99014754060905708</v>
      </c>
      <c r="Q22" s="11">
        <v>0.99985371371987564</v>
      </c>
      <c r="R22" s="11">
        <v>0.99985369231706889</v>
      </c>
      <c r="S22" s="11">
        <v>0.99985367090799859</v>
      </c>
      <c r="T22" s="11">
        <v>0.99985364949266164</v>
      </c>
      <c r="U22" s="11">
        <v>0.99985362807105604</v>
      </c>
      <c r="V22" s="11">
        <v>0.99975939659698987</v>
      </c>
      <c r="W22" s="11">
        <v>0.99975933869306044</v>
      </c>
      <c r="X22" s="11">
        <v>0.99975928076125387</v>
      </c>
      <c r="Y22" s="11">
        <v>0.99975922280154994</v>
      </c>
      <c r="Z22" s="11">
        <v>0.9997591648139289</v>
      </c>
      <c r="AA22" s="11">
        <v>1.003793911018704</v>
      </c>
      <c r="AB22" s="11">
        <v>1.0037795716601365</v>
      </c>
      <c r="AC22" s="11">
        <v>1.0037653402866982</v>
      </c>
      <c r="AD22" s="11">
        <v>1.0037512156831623</v>
      </c>
      <c r="AE22" s="11">
        <v>1.0037371966524682</v>
      </c>
    </row>
    <row r="23" spans="1:31" x14ac:dyDescent="0.3">
      <c r="A23" t="s">
        <v>1415</v>
      </c>
      <c r="B23" t="s">
        <v>1435</v>
      </c>
      <c r="C23" s="11">
        <v>1.0253056919676269</v>
      </c>
      <c r="D23" s="11">
        <v>1.0246811191685317</v>
      </c>
      <c r="E23" s="11">
        <v>1.0240866340823758</v>
      </c>
      <c r="F23" s="11">
        <v>1.0235201137098706</v>
      </c>
      <c r="G23" s="11">
        <v>0.99911764997479013</v>
      </c>
      <c r="H23" s="11">
        <v>0.99911687074567024</v>
      </c>
      <c r="I23" s="11">
        <v>0.99911609013901381</v>
      </c>
      <c r="J23" s="11">
        <v>0.99911530815116478</v>
      </c>
      <c r="K23" s="11">
        <v>0.99911452477845397</v>
      </c>
      <c r="L23" s="11">
        <v>0.98615436120308519</v>
      </c>
      <c r="M23" s="11">
        <v>0.98595996799119412</v>
      </c>
      <c r="N23" s="11">
        <v>0.98576003847558724</v>
      </c>
      <c r="O23" s="11">
        <v>0.98555433272946025</v>
      </c>
      <c r="P23" s="11">
        <v>0.98534259675919333</v>
      </c>
      <c r="Q23" s="11">
        <v>1.0018516851882309</v>
      </c>
      <c r="R23" s="11">
        <v>1.0018482627874035</v>
      </c>
      <c r="S23" s="11">
        <v>1.001844853014229</v>
      </c>
      <c r="T23" s="11">
        <v>1.0018414557989477</v>
      </c>
      <c r="U23" s="11">
        <v>1.0018380710723129</v>
      </c>
      <c r="V23" s="11">
        <v>1.0156239548610002</v>
      </c>
      <c r="W23" s="11">
        <v>1.0153836021553257</v>
      </c>
      <c r="X23" s="11">
        <v>1.0151505323925571</v>
      </c>
      <c r="Y23" s="11">
        <v>1.0149244194916096</v>
      </c>
      <c r="Z23" s="11">
        <v>1.0147049565514303</v>
      </c>
      <c r="AA23" s="11">
        <v>1.0016786651316074</v>
      </c>
      <c r="AB23" s="11">
        <v>1.0016758519373945</v>
      </c>
      <c r="AC23" s="11">
        <v>1.0016730481564002</v>
      </c>
      <c r="AD23" s="11">
        <v>1.0016702537414572</v>
      </c>
      <c r="AE23" s="11">
        <v>1.0016674686457132</v>
      </c>
    </row>
    <row r="24" spans="1:31" x14ac:dyDescent="0.3">
      <c r="A24" t="s">
        <v>1416</v>
      </c>
      <c r="B24" t="s">
        <v>1435</v>
      </c>
      <c r="C24" s="11">
        <v>1.017549208974557</v>
      </c>
      <c r="D24" s="11">
        <v>1.017246545739289</v>
      </c>
      <c r="E24" s="11">
        <v>1.0169541452969546</v>
      </c>
      <c r="F24" s="11">
        <v>1.0166714943592705</v>
      </c>
      <c r="G24" s="11">
        <v>1.0002880916050909</v>
      </c>
      <c r="H24" s="11">
        <v>1.0002880086322217</v>
      </c>
      <c r="I24" s="11">
        <v>1.0002879257071327</v>
      </c>
      <c r="J24" s="11">
        <v>1.0002878428297823</v>
      </c>
      <c r="K24" s="11">
        <v>1.0002877600001296</v>
      </c>
      <c r="L24" s="11">
        <v>0.99535685590181133</v>
      </c>
      <c r="M24" s="11">
        <v>0.99533519654719016</v>
      </c>
      <c r="N24" s="11">
        <v>0.99531333417225476</v>
      </c>
      <c r="O24" s="11">
        <v>0.995291265909099</v>
      </c>
      <c r="P24" s="11">
        <v>0.99526898883554493</v>
      </c>
      <c r="Q24" s="11">
        <v>0.99916379368665764</v>
      </c>
      <c r="R24" s="11">
        <v>0.99916309386046009</v>
      </c>
      <c r="S24" s="11">
        <v>0.99916239286190378</v>
      </c>
      <c r="T24" s="11">
        <v>0.99916169068804006</v>
      </c>
      <c r="U24" s="11">
        <v>0.99916098733591052</v>
      </c>
      <c r="V24" s="11">
        <v>1.0014839803165316</v>
      </c>
      <c r="W24" s="11">
        <v>1.0014817813821271</v>
      </c>
      <c r="X24" s="11">
        <v>1.0014795889547607</v>
      </c>
      <c r="Y24" s="11">
        <v>1.001477403005592</v>
      </c>
      <c r="Z24" s="11">
        <v>1.0014752235059501</v>
      </c>
      <c r="AA24" s="11">
        <v>1.0021008563485689</v>
      </c>
      <c r="AB24" s="11">
        <v>1.0020964520040667</v>
      </c>
      <c r="AC24" s="11">
        <v>1.002092066087924</v>
      </c>
      <c r="AD24" s="11">
        <v>1.0020876984847225</v>
      </c>
      <c r="AE24" s="11">
        <v>1.0020833490800052</v>
      </c>
    </row>
    <row r="25" spans="1:31" x14ac:dyDescent="0.3">
      <c r="A25" t="s">
        <v>1417</v>
      </c>
      <c r="B25" t="s">
        <v>1435</v>
      </c>
      <c r="C25" s="11">
        <v>1.0132737489160824</v>
      </c>
      <c r="D25" s="11">
        <v>1.0130998646025138</v>
      </c>
      <c r="E25" s="11">
        <v>1.0129304771032159</v>
      </c>
      <c r="F25" s="11">
        <v>1.0127654142070976</v>
      </c>
      <c r="G25" s="11">
        <v>1.0006427114872118</v>
      </c>
      <c r="H25" s="11">
        <v>1.0006422986744754</v>
      </c>
      <c r="I25" s="11">
        <v>1.0006418863916968</v>
      </c>
      <c r="J25" s="11">
        <v>1.0006414746378562</v>
      </c>
      <c r="K25" s="11">
        <v>1.0006410634119358</v>
      </c>
      <c r="L25" s="11">
        <v>1.0016670958330745</v>
      </c>
      <c r="M25" s="11">
        <v>1.0016643212500536</v>
      </c>
      <c r="N25" s="11">
        <v>1.0016615558872821</v>
      </c>
      <c r="O25" s="11">
        <v>1.0016587996988766</v>
      </c>
      <c r="P25" s="11">
        <v>1.0016560526392577</v>
      </c>
      <c r="Q25" s="11">
        <v>0.98700469237799182</v>
      </c>
      <c r="R25" s="11">
        <v>0.98683359084068933</v>
      </c>
      <c r="S25" s="11">
        <v>0.98665792360382243</v>
      </c>
      <c r="T25" s="11">
        <v>0.98647750544844881</v>
      </c>
      <c r="U25" s="11">
        <v>0.98629214099980522</v>
      </c>
      <c r="V25" s="11">
        <v>0.98828364275264535</v>
      </c>
      <c r="W25" s="11">
        <v>0.98814474231838811</v>
      </c>
      <c r="X25" s="11">
        <v>0.98800250897070307</v>
      </c>
      <c r="Y25" s="11">
        <v>0.98785682129309982</v>
      </c>
      <c r="Z25" s="11">
        <v>0.98770755189906523</v>
      </c>
      <c r="AA25" s="11">
        <v>0.98947295293420556</v>
      </c>
      <c r="AB25" s="11">
        <v>0.98936095520895506</v>
      </c>
      <c r="AC25" s="11">
        <v>0.98924654875954965</v>
      </c>
      <c r="AD25" s="11">
        <v>0.98912965503500161</v>
      </c>
      <c r="AE25" s="11">
        <v>0.98901019203128238</v>
      </c>
    </row>
    <row r="26" spans="1:31" x14ac:dyDescent="0.3">
      <c r="A26" t="s">
        <v>1418</v>
      </c>
      <c r="B26" t="s">
        <v>1435</v>
      </c>
      <c r="C26" s="11">
        <v>1.0501078085237419</v>
      </c>
      <c r="D26" s="11">
        <v>1.0477168230890352</v>
      </c>
      <c r="E26" s="11">
        <v>1.0455436259468942</v>
      </c>
      <c r="F26" s="11">
        <v>1.0435597566822217</v>
      </c>
      <c r="G26" s="11">
        <v>1.046061241003174</v>
      </c>
      <c r="H26" s="11">
        <v>1.0440330252165746</v>
      </c>
      <c r="I26" s="11">
        <v>1.042175893054188</v>
      </c>
      <c r="J26" s="11">
        <v>1.0404690737286082</v>
      </c>
      <c r="K26" s="11">
        <v>1.038895027973858</v>
      </c>
      <c r="L26" s="11">
        <v>1.0030419953614171</v>
      </c>
      <c r="M26" s="11">
        <v>1.0030327696900876</v>
      </c>
      <c r="N26" s="11">
        <v>1.0030235998082342</v>
      </c>
      <c r="O26" s="11">
        <v>1.0030144852113274</v>
      </c>
      <c r="P26" s="11">
        <v>1.0030054254009029</v>
      </c>
      <c r="Q26" s="11">
        <v>1.0109794861009964</v>
      </c>
      <c r="R26" s="11">
        <v>1.0108602461790204</v>
      </c>
      <c r="S26" s="11">
        <v>1.0107435683815555</v>
      </c>
      <c r="T26" s="11">
        <v>1.0106293710072858</v>
      </c>
      <c r="U26" s="11">
        <v>1.0105175757920943</v>
      </c>
      <c r="V26" s="11">
        <v>1.013155667329587</v>
      </c>
      <c r="W26" s="11">
        <v>1.0129848430540411</v>
      </c>
      <c r="X26" s="11">
        <v>1.0128183981656558</v>
      </c>
      <c r="Y26" s="11">
        <v>1.0126561663856735</v>
      </c>
      <c r="Z26" s="11">
        <v>1.0124979897479367</v>
      </c>
      <c r="AA26" s="11">
        <v>1.0024563319154878</v>
      </c>
      <c r="AB26" s="11">
        <v>1.0024503131331357</v>
      </c>
      <c r="AC26" s="11">
        <v>1.0024443237744896</v>
      </c>
      <c r="AD26" s="11">
        <v>1.0024383636243117</v>
      </c>
      <c r="AE26" s="11">
        <v>1.0024324324694596</v>
      </c>
    </row>
    <row r="27" spans="1:31" x14ac:dyDescent="0.3">
      <c r="A27" t="s">
        <v>1419</v>
      </c>
      <c r="B27" t="s">
        <v>1435</v>
      </c>
      <c r="C27" s="11">
        <v>1.0171398640312546</v>
      </c>
      <c r="D27" s="11">
        <v>1.0168510395053476</v>
      </c>
      <c r="E27" s="11">
        <v>1.0165717876568674</v>
      </c>
      <c r="F27" s="11">
        <v>1.0163016403347807</v>
      </c>
      <c r="G27" s="11">
        <v>0.98999759950660626</v>
      </c>
      <c r="H27" s="11">
        <v>0.98989654065991795</v>
      </c>
      <c r="I27" s="11">
        <v>0.98979341888259709</v>
      </c>
      <c r="J27" s="11">
        <v>0.98968817035687573</v>
      </c>
      <c r="K27" s="11">
        <v>0.98958072860524771</v>
      </c>
      <c r="L27" s="11">
        <v>0.98581874779868417</v>
      </c>
      <c r="M27" s="11">
        <v>0.98561474689644291</v>
      </c>
      <c r="N27" s="11">
        <v>0.98540479112264279</v>
      </c>
      <c r="O27" s="11">
        <v>0.98518861587761375</v>
      </c>
      <c r="P27" s="11">
        <v>0.98496594064965715</v>
      </c>
      <c r="Q27" s="11">
        <v>1.0034892811518124</v>
      </c>
      <c r="R27" s="11">
        <v>1.0034771484034262</v>
      </c>
      <c r="S27" s="11">
        <v>1.0034650997374066</v>
      </c>
      <c r="T27" s="11">
        <v>1.0034531342827102</v>
      </c>
      <c r="U27" s="11">
        <v>1.0034412511802844</v>
      </c>
      <c r="V27" s="11">
        <v>1.0084169646826042</v>
      </c>
      <c r="W27" s="11">
        <v>1.0083467107133144</v>
      </c>
      <c r="X27" s="11">
        <v>1.0082776198153212</v>
      </c>
      <c r="Y27" s="11">
        <v>1.008209663343353</v>
      </c>
      <c r="Z27" s="11">
        <v>1.0081428135851516</v>
      </c>
      <c r="AA27" s="11">
        <v>1.0111603209347884</v>
      </c>
      <c r="AB27" s="11">
        <v>1.011037142878066</v>
      </c>
      <c r="AC27" s="11">
        <v>1.0109166542058456</v>
      </c>
      <c r="AD27" s="11">
        <v>1.0107987677920109</v>
      </c>
      <c r="AE27" s="11">
        <v>1.0106834002336587</v>
      </c>
    </row>
    <row r="28" spans="1:31" x14ac:dyDescent="0.3">
      <c r="A28" t="s">
        <v>1420</v>
      </c>
      <c r="B28" t="s">
        <v>1435</v>
      </c>
      <c r="C28" s="11">
        <v>1.0013877427680913</v>
      </c>
      <c r="D28" s="11">
        <v>1.0013858196069541</v>
      </c>
      <c r="E28" s="11">
        <v>1.0013839017687487</v>
      </c>
      <c r="F28" s="11">
        <v>1.0013819892314071</v>
      </c>
      <c r="G28" s="11">
        <v>1.0253110012030984</v>
      </c>
      <c r="H28" s="11">
        <v>1.0246861695362659</v>
      </c>
      <c r="I28" s="11">
        <v>1.0240914440637352</v>
      </c>
      <c r="J28" s="11">
        <v>1.0235247000679324</v>
      </c>
      <c r="K28" s="11">
        <v>1.0229840081693888</v>
      </c>
      <c r="L28" s="11">
        <v>1.0047875647631275</v>
      </c>
      <c r="M28" s="11">
        <v>1.0047647531986088</v>
      </c>
      <c r="N28" s="11">
        <v>1.0047421579861759</v>
      </c>
      <c r="O28" s="11">
        <v>1.0047197760624285</v>
      </c>
      <c r="P28" s="11">
        <v>1.0046976044215288</v>
      </c>
      <c r="Q28" s="11">
        <v>1.0063517842731569</v>
      </c>
      <c r="R28" s="11">
        <v>1.0063116937560204</v>
      </c>
      <c r="S28" s="11">
        <v>1.0062721061428415</v>
      </c>
      <c r="T28" s="11">
        <v>1.0062330120298011</v>
      </c>
      <c r="U28" s="11">
        <v>1.0061944022460836</v>
      </c>
      <c r="V28" s="11">
        <v>1.001704685794949</v>
      </c>
      <c r="W28" s="11">
        <v>1.0017017847865972</v>
      </c>
      <c r="X28" s="11">
        <v>1.0016988936352547</v>
      </c>
      <c r="Y28" s="11">
        <v>1.0016960122907685</v>
      </c>
      <c r="Z28" s="11">
        <v>1.0016931407033256</v>
      </c>
      <c r="AA28" s="11">
        <v>1.0020149708099282</v>
      </c>
      <c r="AB28" s="11">
        <v>1.0020109188671098</v>
      </c>
      <c r="AC28" s="11">
        <v>1.0020068831878433</v>
      </c>
      <c r="AD28" s="11">
        <v>1.0020028636744076</v>
      </c>
      <c r="AE28" s="11">
        <v>1.0019988602298631</v>
      </c>
    </row>
    <row r="29" spans="1:31" x14ac:dyDescent="0.3">
      <c r="A29" t="s">
        <v>1421</v>
      </c>
      <c r="B29" t="s">
        <v>1435</v>
      </c>
      <c r="C29" s="11">
        <v>1.0047260480217133</v>
      </c>
      <c r="D29" s="11">
        <v>1.0047038175540675</v>
      </c>
      <c r="E29" s="11">
        <v>1.0046817952434168</v>
      </c>
      <c r="F29" s="11">
        <v>1.0046599781797403</v>
      </c>
      <c r="G29" s="11">
        <v>0.99148526234247369</v>
      </c>
      <c r="H29" s="11">
        <v>0.99141213895866742</v>
      </c>
      <c r="I29" s="11">
        <v>0.99133774874861547</v>
      </c>
      <c r="J29" s="11">
        <v>0.99126205850395677</v>
      </c>
      <c r="K29" s="11">
        <v>0.99118503384540857</v>
      </c>
      <c r="L29" s="11">
        <v>0.98921143754955199</v>
      </c>
      <c r="M29" s="11">
        <v>0.98909377506069562</v>
      </c>
      <c r="N29" s="11">
        <v>0.98897351776515319</v>
      </c>
      <c r="O29" s="11">
        <v>0.98885057887114702</v>
      </c>
      <c r="P29" s="11">
        <v>0.98872486767254497</v>
      </c>
      <c r="Q29" s="11">
        <v>1.000110171603056</v>
      </c>
      <c r="R29" s="11">
        <v>1.0001101594666111</v>
      </c>
      <c r="S29" s="11">
        <v>1.0001101473328395</v>
      </c>
      <c r="T29" s="11">
        <v>1.000110135201741</v>
      </c>
      <c r="U29" s="11">
        <v>1.0001101230733136</v>
      </c>
      <c r="V29" s="11">
        <v>0.99565960710271173</v>
      </c>
      <c r="W29" s="11">
        <v>0.99564068596704614</v>
      </c>
      <c r="X29" s="11">
        <v>0.99562159914274717</v>
      </c>
      <c r="Y29" s="11">
        <v>0.9956023444438904</v>
      </c>
      <c r="Z29" s="11">
        <v>0.99558291964592971</v>
      </c>
      <c r="AA29" s="11">
        <v>0.99710270553732216</v>
      </c>
      <c r="AB29" s="11">
        <v>0.99709428683064638</v>
      </c>
      <c r="AC29" s="11">
        <v>0.99708581905670157</v>
      </c>
      <c r="AD29" s="11">
        <v>0.99707730178526122</v>
      </c>
      <c r="AE29" s="11">
        <v>0.99706873458105449</v>
      </c>
    </row>
    <row r="30" spans="1:31" x14ac:dyDescent="0.3">
      <c r="A30" t="s">
        <v>1422</v>
      </c>
      <c r="B30" t="s">
        <v>1435</v>
      </c>
      <c r="C30" s="11">
        <v>1.0546114617189584</v>
      </c>
      <c r="D30" s="11">
        <v>1.051783489655939</v>
      </c>
      <c r="E30" s="11">
        <v>1.0492339822456032</v>
      </c>
      <c r="F30" s="11">
        <v>1.0469237396793338</v>
      </c>
      <c r="G30" s="11">
        <v>1.0212493895075609</v>
      </c>
      <c r="H30" s="11">
        <v>1.0208072481862702</v>
      </c>
      <c r="I30" s="11">
        <v>1.0203831313142024</v>
      </c>
      <c r="J30" s="11">
        <v>1.0199759587243959</v>
      </c>
      <c r="K30" s="11">
        <v>1.0195847348690243</v>
      </c>
      <c r="L30" s="11">
        <v>1.0035224058848951</v>
      </c>
      <c r="M30" s="11">
        <v>1.003510042091974</v>
      </c>
      <c r="N30" s="11">
        <v>1.0034977647903323</v>
      </c>
      <c r="O30" s="11">
        <v>1.0034855730755545</v>
      </c>
      <c r="P30" s="11">
        <v>1.0034734660557916</v>
      </c>
      <c r="Q30" s="11">
        <v>0.99897434370941962</v>
      </c>
      <c r="R30" s="11">
        <v>0.99897329065852503</v>
      </c>
      <c r="S30" s="11">
        <v>0.99897223544305358</v>
      </c>
      <c r="T30" s="11">
        <v>0.9989711780563244</v>
      </c>
      <c r="U30" s="11">
        <v>0.99897011849162931</v>
      </c>
      <c r="V30" s="11">
        <v>0.99929450544665488</v>
      </c>
      <c r="W30" s="11">
        <v>0.99929400737270158</v>
      </c>
      <c r="X30" s="11">
        <v>0.99929350859497834</v>
      </c>
      <c r="Y30" s="11">
        <v>0.99929300911199259</v>
      </c>
      <c r="Z30" s="11">
        <v>0.99929250892224752</v>
      </c>
      <c r="AA30" s="11">
        <v>0.99737154695517583</v>
      </c>
      <c r="AB30" s="11">
        <v>0.99736461998254466</v>
      </c>
      <c r="AC30" s="11">
        <v>0.99735765640302998</v>
      </c>
      <c r="AD30" s="11">
        <v>0.99735065592567895</v>
      </c>
      <c r="AE30" s="11">
        <v>0.99734361825644757</v>
      </c>
    </row>
    <row r="31" spans="1:31" x14ac:dyDescent="0.3">
      <c r="A31" t="s">
        <v>1423</v>
      </c>
      <c r="B31" t="s">
        <v>1435</v>
      </c>
      <c r="C31" s="11">
        <v>1.0038969652749259</v>
      </c>
      <c r="D31" s="11">
        <v>1.0038818378874754</v>
      </c>
      <c r="E31" s="11">
        <v>1.0038668274900204</v>
      </c>
      <c r="F31" s="11">
        <v>1.0038519327306479</v>
      </c>
      <c r="G31" s="11">
        <v>1.0149222796517683</v>
      </c>
      <c r="H31" s="11">
        <v>1.014702879177003</v>
      </c>
      <c r="I31" s="11">
        <v>1.0144898368564086</v>
      </c>
      <c r="J31" s="11">
        <v>1.0142828802517216</v>
      </c>
      <c r="K31" s="11">
        <v>1.0140817522703105</v>
      </c>
      <c r="L31" s="11">
        <v>1.000295421254831</v>
      </c>
      <c r="M31" s="11">
        <v>1.0002953340068881</v>
      </c>
      <c r="N31" s="11">
        <v>1.0002952468104644</v>
      </c>
      <c r="O31" s="11">
        <v>1.0002951596655147</v>
      </c>
      <c r="P31" s="11">
        <v>1.000295072571993</v>
      </c>
      <c r="Q31" s="11">
        <v>1.0030588749923641</v>
      </c>
      <c r="R31" s="11">
        <v>1.0030495468098892</v>
      </c>
      <c r="S31" s="11">
        <v>1.0030402753479009</v>
      </c>
      <c r="T31" s="11">
        <v>1.0030310600906294</v>
      </c>
      <c r="U31" s="11">
        <v>1.003021900528539</v>
      </c>
      <c r="V31" s="11">
        <v>1.0104306718194662</v>
      </c>
      <c r="W31" s="11">
        <v>1.010322996035625</v>
      </c>
      <c r="X31" s="11">
        <v>1.0102175206108652</v>
      </c>
      <c r="Y31" s="11">
        <v>1.0101141787807113</v>
      </c>
      <c r="Z31" s="11">
        <v>1.0100129064547141</v>
      </c>
      <c r="AA31" s="11">
        <v>1.0092719265869734</v>
      </c>
      <c r="AB31" s="11">
        <v>1.0091867477363887</v>
      </c>
      <c r="AC31" s="11">
        <v>1.0091031196723446</v>
      </c>
      <c r="AD31" s="11">
        <v>1.0090210004259033</v>
      </c>
      <c r="AE31" s="11">
        <v>1.0089403495289944</v>
      </c>
    </row>
    <row r="32" spans="1:31" x14ac:dyDescent="0.3">
      <c r="A32" t="s">
        <v>1424</v>
      </c>
      <c r="B32" t="s">
        <v>1435</v>
      </c>
      <c r="C32" s="11">
        <v>1.0330565173981066</v>
      </c>
      <c r="D32" s="11">
        <v>1.0319987501568295</v>
      </c>
      <c r="E32" s="11">
        <v>1.0310065784013467</v>
      </c>
      <c r="F32" s="11">
        <v>1.0300740839592164</v>
      </c>
      <c r="G32" s="11">
        <v>1.0175493273025056</v>
      </c>
      <c r="H32" s="11">
        <v>1.0172466600209233</v>
      </c>
      <c r="I32" s="11">
        <v>1.0169542557363311</v>
      </c>
      <c r="J32" s="11">
        <v>1.0166716011469517</v>
      </c>
      <c r="K32" s="11">
        <v>1.0163982166199423</v>
      </c>
      <c r="L32" s="11">
        <v>1.0116482922035308</v>
      </c>
      <c r="M32" s="11">
        <v>1.0115141717663152</v>
      </c>
      <c r="N32" s="11">
        <v>1.0113831047430695</v>
      </c>
      <c r="O32" s="11">
        <v>1.0112549880353807</v>
      </c>
      <c r="P32" s="11">
        <v>1.0111297231346632</v>
      </c>
      <c r="Q32" s="11">
        <v>1.0066743668420766</v>
      </c>
      <c r="R32" s="11">
        <v>1.0066301150222132</v>
      </c>
      <c r="S32" s="11">
        <v>1.0065864461268048</v>
      </c>
      <c r="T32" s="11">
        <v>1.0065433487130175</v>
      </c>
      <c r="U32" s="11">
        <v>1.0065008116355683</v>
      </c>
      <c r="V32" s="11">
        <v>1.0059880045591749</v>
      </c>
      <c r="W32" s="11">
        <v>1.0059523617896406</v>
      </c>
      <c r="X32" s="11">
        <v>1.00591714082668</v>
      </c>
      <c r="Y32" s="11">
        <v>1.0058823342266712</v>
      </c>
      <c r="Z32" s="11">
        <v>1.0058479347201117</v>
      </c>
      <c r="AA32" s="11">
        <v>1.0083057739621535</v>
      </c>
      <c r="AB32" s="11">
        <v>1.0082373563423284</v>
      </c>
      <c r="AC32" s="11">
        <v>1.0081700566741663</v>
      </c>
      <c r="AD32" s="11">
        <v>1.0081038477785369</v>
      </c>
      <c r="AE32" s="11">
        <v>1.0080387033502494</v>
      </c>
    </row>
    <row r="33" spans="1:31" x14ac:dyDescent="0.3">
      <c r="A33" t="s">
        <v>1425</v>
      </c>
      <c r="B33" t="s">
        <v>1435</v>
      </c>
      <c r="C33" s="11">
        <v>1.0052488172349188</v>
      </c>
      <c r="D33" s="11">
        <v>1.0052214110028563</v>
      </c>
      <c r="E33" s="11">
        <v>1.0051942894825998</v>
      </c>
      <c r="F33" s="11">
        <v>1.0051674482604487</v>
      </c>
      <c r="G33" s="11">
        <v>1.0005010838259558</v>
      </c>
      <c r="H33" s="11">
        <v>1.0005008328667069</v>
      </c>
      <c r="I33" s="11">
        <v>1.0005005821587094</v>
      </c>
      <c r="J33" s="11">
        <v>1.0005003317015861</v>
      </c>
      <c r="K33" s="11">
        <v>1.0005000814949609</v>
      </c>
      <c r="L33" s="11">
        <v>1.0102891092782367</v>
      </c>
      <c r="M33" s="11">
        <v>1.0101843216795512</v>
      </c>
      <c r="N33" s="11">
        <v>1.0100816469440137</v>
      </c>
      <c r="O33" s="11">
        <v>1.0099810218060248</v>
      </c>
      <c r="P33" s="11">
        <v>1.0098823855008452</v>
      </c>
      <c r="Q33" s="11">
        <v>0.99996693781849788</v>
      </c>
      <c r="R33" s="11">
        <v>0.99996693672535386</v>
      </c>
      <c r="S33" s="11">
        <v>0.99996693563213757</v>
      </c>
      <c r="T33" s="11">
        <v>0.99996693453884899</v>
      </c>
      <c r="U33" s="11">
        <v>0.99996693344548848</v>
      </c>
      <c r="V33" s="11">
        <v>0.99822812280943352</v>
      </c>
      <c r="W33" s="11">
        <v>0.99822497768788587</v>
      </c>
      <c r="X33" s="11">
        <v>0.99822182138116256</v>
      </c>
      <c r="Y33" s="11">
        <v>0.99821865382948938</v>
      </c>
      <c r="Z33" s="11">
        <v>0.99821547497266561</v>
      </c>
      <c r="AA33" s="11">
        <v>1.0005990639691211</v>
      </c>
      <c r="AB33" s="11">
        <v>1.0005987053063439</v>
      </c>
      <c r="AC33" s="11">
        <v>1.0005983470727764</v>
      </c>
      <c r="AD33" s="11">
        <v>1.0005979892676484</v>
      </c>
      <c r="AE33" s="11">
        <v>1.0005976318901924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Useful energy - all</vt:lpstr>
      <vt:lpstr>Useful energy - mech</vt:lpstr>
      <vt:lpstr>Useful energy - thermal</vt:lpstr>
      <vt:lpstr>Thermal-Pivot</vt:lpstr>
      <vt:lpstr>Useful Thermal - Aggregate</vt:lpstr>
      <vt:lpstr>EU Ref Scenario 2020</vt:lpstr>
      <vt:lpstr>EU Ref Sc 2020 Y2Y change</vt:lpstr>
      <vt:lpstr>EU Ref Sc 2020 Energy intensive</vt:lpstr>
      <vt:lpstr>EU Ref Sc 2020 Other industries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Constantinos Taliotis</dc:creator>
  <cp:lastModifiedBy>Constantinos Taliotis</cp:lastModifiedBy>
  <dcterms:created xsi:type="dcterms:W3CDTF">2015-06-05T18:19:34Z</dcterms:created>
  <dcterms:modified xsi:type="dcterms:W3CDTF">2025-11-17T12:04:35Z</dcterms:modified>
</cp:coreProperties>
</file>