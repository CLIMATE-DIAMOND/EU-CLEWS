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cyisites-my.sharepoint.com/personal/c_taliotis_cyi_ac_cy/Documents/CyI/01 Projects/2022-12 DIAMOND/WP3/Task 3_3 CLEWs-EU/Data/Transport/"/>
    </mc:Choice>
  </mc:AlternateContent>
  <xr:revisionPtr revIDLastSave="791" documentId="11_AD4DCBB4A06381AAC71CFC4A3612E8F6683EDF2B" xr6:coauthVersionLast="47" xr6:coauthVersionMax="47" xr10:uidLastSave="{352944CD-6DDC-40E7-B165-9CCA754CEAEE}"/>
  <bookViews>
    <workbookView xWindow="-108" yWindow="-108" windowWidth="23256" windowHeight="12456" tabRatio="747" activeTab="8" xr2:uid="{00000000-000D-0000-FFFF-FFFF00000000}"/>
  </bookViews>
  <sheets>
    <sheet name="Country codes" sheetId="5" r:id="rId1"/>
    <sheet name="Heavy trucks" sheetId="11" r:id="rId2"/>
    <sheet name="Light Commercial Vans" sheetId="13" r:id="rId3"/>
    <sheet name="Road freight EU Ref" sheetId="12" r:id="rId4"/>
    <sheet name="Buses" sheetId="19" r:id="rId5"/>
    <sheet name="Buses EU Ref" sheetId="18" r:id="rId6"/>
    <sheet name="Passenger cars" sheetId="16" r:id="rId7"/>
    <sheet name="Passenger cars EU Ref" sheetId="15" r:id="rId8"/>
    <sheet name="Shipping" sheetId="1" r:id="rId9"/>
    <sheet name="Shipping EU Ref" sheetId="10" r:id="rId10"/>
    <sheet name="Rail" sheetId="2" r:id="rId11"/>
    <sheet name="Rail EU Ref" sheetId="6" r:id="rId12"/>
    <sheet name="Aviation" sheetId="8" r:id="rId13"/>
    <sheet name="Aviation EU Ref" sheetId="9" r:id="rId14"/>
  </sheets>
  <definedNames>
    <definedName name="_xlnm._FilterDatabase" localSheetId="12" hidden="1">Aviation!$A$3:$F$3</definedName>
    <definedName name="_xlnm._FilterDatabase" localSheetId="13" hidden="1">'Aviation EU Ref'!$A$2:$AP$2</definedName>
    <definedName name="_xlnm._FilterDatabase" localSheetId="5" hidden="1">'Buses EU Ref'!$A$2:$AL$29</definedName>
    <definedName name="_xlnm._FilterDatabase" localSheetId="1" hidden="1">'Heavy trucks'!$A$3:$BC$3</definedName>
    <definedName name="_xlnm._FilterDatabase" localSheetId="2" hidden="1">'Light Commercial Vans'!$B$35:$F$251</definedName>
    <definedName name="_xlnm._FilterDatabase" localSheetId="7" hidden="1">'Passenger cars EU Ref'!$A$2:$AL$29</definedName>
    <definedName name="_xlnm._FilterDatabase" localSheetId="10" hidden="1">Rail!$B$96:$F$96</definedName>
    <definedName name="_xlnm._FilterDatabase" localSheetId="11" hidden="1">'Rail EU Ref'!$A$36:$AL$63</definedName>
    <definedName name="_xlnm._FilterDatabase" localSheetId="3" hidden="1">'Road freight EU Ref'!$A$2:$AL$29</definedName>
    <definedName name="_xlnm._FilterDatabase" localSheetId="8" hidden="1">Shipping!$A$3:$BB$3</definedName>
    <definedName name="_xlnm._FilterDatabase" localSheetId="9" hidden="1">'Shipping EU Ref'!$A$2:$AL$29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2" i="19" l="1"/>
  <c r="H142" i="19"/>
  <c r="I142" i="19"/>
  <c r="J142" i="19"/>
  <c r="K142" i="19"/>
  <c r="L142" i="19"/>
  <c r="M142" i="19"/>
  <c r="N142" i="19"/>
  <c r="O142" i="19"/>
  <c r="P142" i="19"/>
  <c r="Q142" i="19"/>
  <c r="R142" i="19"/>
  <c r="S142" i="19"/>
  <c r="T142" i="19"/>
  <c r="U142" i="19"/>
  <c r="V142" i="19"/>
  <c r="W142" i="19"/>
  <c r="X142" i="19"/>
  <c r="Y142" i="19"/>
  <c r="Z142" i="19"/>
  <c r="AA142" i="19"/>
  <c r="AB142" i="19"/>
  <c r="AC142" i="19"/>
  <c r="AD142" i="19"/>
  <c r="AE142" i="19"/>
  <c r="AF142" i="19"/>
  <c r="AG142" i="19"/>
  <c r="AH142" i="19"/>
  <c r="F142" i="19"/>
  <c r="AI116" i="19"/>
  <c r="AJ116" i="19" s="1"/>
  <c r="AK116" i="19" s="1"/>
  <c r="AL116" i="19" s="1"/>
  <c r="AM116" i="19" s="1"/>
  <c r="AN116" i="19" s="1"/>
  <c r="AO116" i="19" s="1"/>
  <c r="AP116" i="19" s="1"/>
  <c r="AQ116" i="19" s="1"/>
  <c r="AR116" i="19" s="1"/>
  <c r="AS116" i="19" s="1"/>
  <c r="AT116" i="19" s="1"/>
  <c r="AU116" i="19" s="1"/>
  <c r="AV116" i="19" s="1"/>
  <c r="AW116" i="19" s="1"/>
  <c r="AX116" i="19" s="1"/>
  <c r="AY116" i="19" s="1"/>
  <c r="AZ116" i="19" s="1"/>
  <c r="BA116" i="19" s="1"/>
  <c r="BB116" i="19" s="1"/>
  <c r="AI117" i="19"/>
  <c r="AJ117" i="19"/>
  <c r="AK117" i="19" s="1"/>
  <c r="AL117" i="19" s="1"/>
  <c r="AM117" i="19" s="1"/>
  <c r="AN117" i="19" s="1"/>
  <c r="AO117" i="19" s="1"/>
  <c r="AP117" i="19" s="1"/>
  <c r="AQ117" i="19" s="1"/>
  <c r="AR117" i="19" s="1"/>
  <c r="AS117" i="19" s="1"/>
  <c r="AT117" i="19" s="1"/>
  <c r="AU117" i="19" s="1"/>
  <c r="AV117" i="19" s="1"/>
  <c r="AW117" i="19" s="1"/>
  <c r="AX117" i="19" s="1"/>
  <c r="AY117" i="19" s="1"/>
  <c r="AZ117" i="19" s="1"/>
  <c r="BA117" i="19" s="1"/>
  <c r="BB117" i="19" s="1"/>
  <c r="AI118" i="19"/>
  <c r="AJ118" i="19" s="1"/>
  <c r="AK118" i="19" s="1"/>
  <c r="AL118" i="19" s="1"/>
  <c r="AM118" i="19" s="1"/>
  <c r="AN118" i="19" s="1"/>
  <c r="AO118" i="19" s="1"/>
  <c r="AP118" i="19" s="1"/>
  <c r="AQ118" i="19" s="1"/>
  <c r="AR118" i="19" s="1"/>
  <c r="AS118" i="19" s="1"/>
  <c r="AT118" i="19" s="1"/>
  <c r="AU118" i="19" s="1"/>
  <c r="AV118" i="19" s="1"/>
  <c r="AW118" i="19" s="1"/>
  <c r="AX118" i="19" s="1"/>
  <c r="AY118" i="19" s="1"/>
  <c r="AZ118" i="19" s="1"/>
  <c r="BA118" i="19" s="1"/>
  <c r="BB118" i="19" s="1"/>
  <c r="AI119" i="19"/>
  <c r="AJ119" i="19"/>
  <c r="AK119" i="19" s="1"/>
  <c r="AL119" i="19" s="1"/>
  <c r="AM119" i="19" s="1"/>
  <c r="AN119" i="19" s="1"/>
  <c r="AO119" i="19" s="1"/>
  <c r="AP119" i="19" s="1"/>
  <c r="AQ119" i="19" s="1"/>
  <c r="AR119" i="19" s="1"/>
  <c r="AS119" i="19" s="1"/>
  <c r="AT119" i="19" s="1"/>
  <c r="AU119" i="19" s="1"/>
  <c r="AV119" i="19" s="1"/>
  <c r="AW119" i="19" s="1"/>
  <c r="AX119" i="19" s="1"/>
  <c r="AY119" i="19" s="1"/>
  <c r="AZ119" i="19" s="1"/>
  <c r="BA119" i="19" s="1"/>
  <c r="BB119" i="19" s="1"/>
  <c r="AI120" i="19"/>
  <c r="AJ120" i="19" s="1"/>
  <c r="AK120" i="19" s="1"/>
  <c r="AL120" i="19" s="1"/>
  <c r="AM120" i="19" s="1"/>
  <c r="AN120" i="19" s="1"/>
  <c r="AO120" i="19" s="1"/>
  <c r="AP120" i="19" s="1"/>
  <c r="AQ120" i="19" s="1"/>
  <c r="AR120" i="19" s="1"/>
  <c r="AS120" i="19" s="1"/>
  <c r="AT120" i="19" s="1"/>
  <c r="AU120" i="19" s="1"/>
  <c r="AV120" i="19" s="1"/>
  <c r="AW120" i="19" s="1"/>
  <c r="AX120" i="19" s="1"/>
  <c r="AY120" i="19" s="1"/>
  <c r="AZ120" i="19" s="1"/>
  <c r="BA120" i="19" s="1"/>
  <c r="BB120" i="19" s="1"/>
  <c r="AI121" i="19"/>
  <c r="AJ121" i="19"/>
  <c r="AK121" i="19" s="1"/>
  <c r="AL121" i="19" s="1"/>
  <c r="AM121" i="19" s="1"/>
  <c r="AN121" i="19" s="1"/>
  <c r="AO121" i="19" s="1"/>
  <c r="AP121" i="19" s="1"/>
  <c r="AQ121" i="19" s="1"/>
  <c r="AR121" i="19" s="1"/>
  <c r="AS121" i="19" s="1"/>
  <c r="AT121" i="19" s="1"/>
  <c r="AU121" i="19" s="1"/>
  <c r="AV121" i="19" s="1"/>
  <c r="AW121" i="19" s="1"/>
  <c r="AX121" i="19" s="1"/>
  <c r="AY121" i="19" s="1"/>
  <c r="AZ121" i="19" s="1"/>
  <c r="BA121" i="19" s="1"/>
  <c r="BB121" i="19" s="1"/>
  <c r="AI122" i="19"/>
  <c r="AJ122" i="19" s="1"/>
  <c r="AK122" i="19" s="1"/>
  <c r="AL122" i="19" s="1"/>
  <c r="AM122" i="19" s="1"/>
  <c r="AN122" i="19" s="1"/>
  <c r="AO122" i="19" s="1"/>
  <c r="AP122" i="19" s="1"/>
  <c r="AQ122" i="19" s="1"/>
  <c r="AR122" i="19" s="1"/>
  <c r="AS122" i="19" s="1"/>
  <c r="AT122" i="19" s="1"/>
  <c r="AU122" i="19" s="1"/>
  <c r="AV122" i="19" s="1"/>
  <c r="AW122" i="19" s="1"/>
  <c r="AX122" i="19" s="1"/>
  <c r="AY122" i="19" s="1"/>
  <c r="AZ122" i="19" s="1"/>
  <c r="BA122" i="19" s="1"/>
  <c r="BB122" i="19" s="1"/>
  <c r="AI123" i="19"/>
  <c r="AJ123" i="19"/>
  <c r="AK123" i="19" s="1"/>
  <c r="AL123" i="19" s="1"/>
  <c r="AM123" i="19" s="1"/>
  <c r="AN123" i="19" s="1"/>
  <c r="AO123" i="19" s="1"/>
  <c r="AP123" i="19" s="1"/>
  <c r="AQ123" i="19" s="1"/>
  <c r="AR123" i="19" s="1"/>
  <c r="AS123" i="19" s="1"/>
  <c r="AT123" i="19" s="1"/>
  <c r="AU123" i="19" s="1"/>
  <c r="AV123" i="19" s="1"/>
  <c r="AW123" i="19" s="1"/>
  <c r="AX123" i="19" s="1"/>
  <c r="AY123" i="19" s="1"/>
  <c r="AZ123" i="19" s="1"/>
  <c r="BA123" i="19" s="1"/>
  <c r="BB123" i="19" s="1"/>
  <c r="AI124" i="19"/>
  <c r="AJ124" i="19" s="1"/>
  <c r="AK124" i="19" s="1"/>
  <c r="AL124" i="19" s="1"/>
  <c r="AM124" i="19" s="1"/>
  <c r="AN124" i="19" s="1"/>
  <c r="AO124" i="19" s="1"/>
  <c r="AP124" i="19" s="1"/>
  <c r="AQ124" i="19" s="1"/>
  <c r="AR124" i="19" s="1"/>
  <c r="AS124" i="19" s="1"/>
  <c r="AT124" i="19" s="1"/>
  <c r="AU124" i="19" s="1"/>
  <c r="AV124" i="19" s="1"/>
  <c r="AW124" i="19" s="1"/>
  <c r="AX124" i="19" s="1"/>
  <c r="AY124" i="19" s="1"/>
  <c r="AZ124" i="19" s="1"/>
  <c r="BA124" i="19" s="1"/>
  <c r="BB124" i="19" s="1"/>
  <c r="AI125" i="19"/>
  <c r="AJ125" i="19"/>
  <c r="AK125" i="19" s="1"/>
  <c r="AL125" i="19" s="1"/>
  <c r="AM125" i="19" s="1"/>
  <c r="AN125" i="19" s="1"/>
  <c r="AO125" i="19" s="1"/>
  <c r="AP125" i="19" s="1"/>
  <c r="AQ125" i="19" s="1"/>
  <c r="AR125" i="19" s="1"/>
  <c r="AS125" i="19" s="1"/>
  <c r="AT125" i="19" s="1"/>
  <c r="AU125" i="19" s="1"/>
  <c r="AV125" i="19" s="1"/>
  <c r="AW125" i="19" s="1"/>
  <c r="AX125" i="19" s="1"/>
  <c r="AY125" i="19" s="1"/>
  <c r="AZ125" i="19" s="1"/>
  <c r="BA125" i="19" s="1"/>
  <c r="BB125" i="19" s="1"/>
  <c r="AI126" i="19"/>
  <c r="AJ126" i="19" s="1"/>
  <c r="AK126" i="19" s="1"/>
  <c r="AL126" i="19" s="1"/>
  <c r="AM126" i="19" s="1"/>
  <c r="AN126" i="19" s="1"/>
  <c r="AO126" i="19" s="1"/>
  <c r="AP126" i="19" s="1"/>
  <c r="AQ126" i="19" s="1"/>
  <c r="AR126" i="19" s="1"/>
  <c r="AS126" i="19" s="1"/>
  <c r="AT126" i="19" s="1"/>
  <c r="AU126" i="19" s="1"/>
  <c r="AV126" i="19" s="1"/>
  <c r="AW126" i="19" s="1"/>
  <c r="AX126" i="19" s="1"/>
  <c r="AY126" i="19" s="1"/>
  <c r="AZ126" i="19" s="1"/>
  <c r="BA126" i="19" s="1"/>
  <c r="BB126" i="19" s="1"/>
  <c r="AI127" i="19"/>
  <c r="AJ127" i="19"/>
  <c r="AK127" i="19" s="1"/>
  <c r="AL127" i="19" s="1"/>
  <c r="AM127" i="19" s="1"/>
  <c r="AN127" i="19" s="1"/>
  <c r="AO127" i="19" s="1"/>
  <c r="AP127" i="19" s="1"/>
  <c r="AQ127" i="19" s="1"/>
  <c r="AR127" i="19" s="1"/>
  <c r="AS127" i="19" s="1"/>
  <c r="AT127" i="19" s="1"/>
  <c r="AU127" i="19" s="1"/>
  <c r="AV127" i="19" s="1"/>
  <c r="AW127" i="19" s="1"/>
  <c r="AX127" i="19" s="1"/>
  <c r="AY127" i="19" s="1"/>
  <c r="AZ127" i="19" s="1"/>
  <c r="BA127" i="19" s="1"/>
  <c r="BB127" i="19" s="1"/>
  <c r="AI128" i="19"/>
  <c r="AJ128" i="19" s="1"/>
  <c r="AK128" i="19" s="1"/>
  <c r="AL128" i="19" s="1"/>
  <c r="AM128" i="19" s="1"/>
  <c r="AN128" i="19" s="1"/>
  <c r="AO128" i="19" s="1"/>
  <c r="AP128" i="19" s="1"/>
  <c r="AQ128" i="19" s="1"/>
  <c r="AR128" i="19" s="1"/>
  <c r="AS128" i="19" s="1"/>
  <c r="AT128" i="19" s="1"/>
  <c r="AU128" i="19" s="1"/>
  <c r="AV128" i="19" s="1"/>
  <c r="AW128" i="19" s="1"/>
  <c r="AX128" i="19" s="1"/>
  <c r="AY128" i="19" s="1"/>
  <c r="AZ128" i="19" s="1"/>
  <c r="BA128" i="19" s="1"/>
  <c r="BB128" i="19" s="1"/>
  <c r="AI129" i="19"/>
  <c r="AJ129" i="19"/>
  <c r="AK129" i="19" s="1"/>
  <c r="AL129" i="19" s="1"/>
  <c r="AM129" i="19" s="1"/>
  <c r="AN129" i="19" s="1"/>
  <c r="AO129" i="19" s="1"/>
  <c r="AP129" i="19" s="1"/>
  <c r="AQ129" i="19" s="1"/>
  <c r="AR129" i="19" s="1"/>
  <c r="AS129" i="19" s="1"/>
  <c r="AT129" i="19" s="1"/>
  <c r="AU129" i="19" s="1"/>
  <c r="AV129" i="19" s="1"/>
  <c r="AW129" i="19" s="1"/>
  <c r="AX129" i="19" s="1"/>
  <c r="AY129" i="19" s="1"/>
  <c r="AZ129" i="19" s="1"/>
  <c r="BA129" i="19" s="1"/>
  <c r="BB129" i="19" s="1"/>
  <c r="AI130" i="19"/>
  <c r="AJ130" i="19" s="1"/>
  <c r="AK130" i="19" s="1"/>
  <c r="AL130" i="19" s="1"/>
  <c r="AM130" i="19" s="1"/>
  <c r="AN130" i="19" s="1"/>
  <c r="AO130" i="19" s="1"/>
  <c r="AP130" i="19" s="1"/>
  <c r="AQ130" i="19" s="1"/>
  <c r="AR130" i="19" s="1"/>
  <c r="AS130" i="19" s="1"/>
  <c r="AT130" i="19" s="1"/>
  <c r="AU130" i="19" s="1"/>
  <c r="AV130" i="19" s="1"/>
  <c r="AW130" i="19" s="1"/>
  <c r="AX130" i="19" s="1"/>
  <c r="AY130" i="19" s="1"/>
  <c r="AZ130" i="19" s="1"/>
  <c r="BA130" i="19" s="1"/>
  <c r="BB130" i="19" s="1"/>
  <c r="AI131" i="19"/>
  <c r="AJ131" i="19"/>
  <c r="AK131" i="19" s="1"/>
  <c r="AL131" i="19" s="1"/>
  <c r="AM131" i="19" s="1"/>
  <c r="AN131" i="19" s="1"/>
  <c r="AO131" i="19" s="1"/>
  <c r="AP131" i="19" s="1"/>
  <c r="AQ131" i="19" s="1"/>
  <c r="AR131" i="19" s="1"/>
  <c r="AS131" i="19" s="1"/>
  <c r="AT131" i="19" s="1"/>
  <c r="AU131" i="19" s="1"/>
  <c r="AV131" i="19" s="1"/>
  <c r="AW131" i="19" s="1"/>
  <c r="AX131" i="19" s="1"/>
  <c r="AY131" i="19" s="1"/>
  <c r="AZ131" i="19" s="1"/>
  <c r="BA131" i="19" s="1"/>
  <c r="BB131" i="19" s="1"/>
  <c r="AI132" i="19"/>
  <c r="AJ132" i="19" s="1"/>
  <c r="AK132" i="19" s="1"/>
  <c r="AL132" i="19" s="1"/>
  <c r="AM132" i="19" s="1"/>
  <c r="AN132" i="19" s="1"/>
  <c r="AO132" i="19" s="1"/>
  <c r="AP132" i="19" s="1"/>
  <c r="AQ132" i="19" s="1"/>
  <c r="AR132" i="19" s="1"/>
  <c r="AS132" i="19" s="1"/>
  <c r="AT132" i="19" s="1"/>
  <c r="AU132" i="19" s="1"/>
  <c r="AV132" i="19" s="1"/>
  <c r="AW132" i="19" s="1"/>
  <c r="AX132" i="19" s="1"/>
  <c r="AY132" i="19" s="1"/>
  <c r="AZ132" i="19" s="1"/>
  <c r="BA132" i="19" s="1"/>
  <c r="BB132" i="19" s="1"/>
  <c r="AI133" i="19"/>
  <c r="AJ133" i="19"/>
  <c r="AK133" i="19" s="1"/>
  <c r="AL133" i="19" s="1"/>
  <c r="AM133" i="19" s="1"/>
  <c r="AN133" i="19" s="1"/>
  <c r="AO133" i="19" s="1"/>
  <c r="AP133" i="19" s="1"/>
  <c r="AQ133" i="19" s="1"/>
  <c r="AR133" i="19" s="1"/>
  <c r="AS133" i="19" s="1"/>
  <c r="AT133" i="19" s="1"/>
  <c r="AU133" i="19" s="1"/>
  <c r="AV133" i="19" s="1"/>
  <c r="AW133" i="19" s="1"/>
  <c r="AX133" i="19" s="1"/>
  <c r="AY133" i="19" s="1"/>
  <c r="AZ133" i="19" s="1"/>
  <c r="BA133" i="19" s="1"/>
  <c r="BB133" i="19" s="1"/>
  <c r="AI134" i="19"/>
  <c r="AJ134" i="19" s="1"/>
  <c r="AK134" i="19" s="1"/>
  <c r="AL134" i="19" s="1"/>
  <c r="AM134" i="19" s="1"/>
  <c r="AN134" i="19" s="1"/>
  <c r="AO134" i="19" s="1"/>
  <c r="AP134" i="19" s="1"/>
  <c r="AQ134" i="19" s="1"/>
  <c r="AR134" i="19" s="1"/>
  <c r="AS134" i="19" s="1"/>
  <c r="AT134" i="19" s="1"/>
  <c r="AU134" i="19" s="1"/>
  <c r="AV134" i="19" s="1"/>
  <c r="AW134" i="19" s="1"/>
  <c r="AX134" i="19" s="1"/>
  <c r="AY134" i="19" s="1"/>
  <c r="AZ134" i="19" s="1"/>
  <c r="BA134" i="19" s="1"/>
  <c r="BB134" i="19" s="1"/>
  <c r="AI135" i="19"/>
  <c r="AJ135" i="19"/>
  <c r="AK135" i="19" s="1"/>
  <c r="AL135" i="19" s="1"/>
  <c r="AM135" i="19" s="1"/>
  <c r="AN135" i="19" s="1"/>
  <c r="AO135" i="19" s="1"/>
  <c r="AP135" i="19" s="1"/>
  <c r="AQ135" i="19" s="1"/>
  <c r="AR135" i="19" s="1"/>
  <c r="AS135" i="19" s="1"/>
  <c r="AT135" i="19" s="1"/>
  <c r="AU135" i="19" s="1"/>
  <c r="AV135" i="19" s="1"/>
  <c r="AW135" i="19" s="1"/>
  <c r="AX135" i="19" s="1"/>
  <c r="AY135" i="19" s="1"/>
  <c r="AZ135" i="19" s="1"/>
  <c r="BA135" i="19" s="1"/>
  <c r="BB135" i="19" s="1"/>
  <c r="AI136" i="19"/>
  <c r="AJ136" i="19" s="1"/>
  <c r="AK136" i="19" s="1"/>
  <c r="AL136" i="19" s="1"/>
  <c r="AM136" i="19" s="1"/>
  <c r="AN136" i="19" s="1"/>
  <c r="AO136" i="19" s="1"/>
  <c r="AP136" i="19" s="1"/>
  <c r="AQ136" i="19" s="1"/>
  <c r="AR136" i="19" s="1"/>
  <c r="AS136" i="19" s="1"/>
  <c r="AT136" i="19" s="1"/>
  <c r="AU136" i="19" s="1"/>
  <c r="AV136" i="19" s="1"/>
  <c r="AW136" i="19" s="1"/>
  <c r="AX136" i="19" s="1"/>
  <c r="AY136" i="19" s="1"/>
  <c r="AZ136" i="19" s="1"/>
  <c r="BA136" i="19" s="1"/>
  <c r="BB136" i="19" s="1"/>
  <c r="AI137" i="19"/>
  <c r="AJ137" i="19"/>
  <c r="AK137" i="19" s="1"/>
  <c r="AL137" i="19" s="1"/>
  <c r="AM137" i="19" s="1"/>
  <c r="AN137" i="19" s="1"/>
  <c r="AO137" i="19" s="1"/>
  <c r="AP137" i="19" s="1"/>
  <c r="AQ137" i="19" s="1"/>
  <c r="AR137" i="19" s="1"/>
  <c r="AS137" i="19" s="1"/>
  <c r="AT137" i="19" s="1"/>
  <c r="AU137" i="19" s="1"/>
  <c r="AV137" i="19" s="1"/>
  <c r="AW137" i="19" s="1"/>
  <c r="AX137" i="19" s="1"/>
  <c r="AY137" i="19" s="1"/>
  <c r="AZ137" i="19" s="1"/>
  <c r="BA137" i="19" s="1"/>
  <c r="BB137" i="19" s="1"/>
  <c r="AI138" i="19"/>
  <c r="AJ138" i="19" s="1"/>
  <c r="AK138" i="19" s="1"/>
  <c r="AL138" i="19" s="1"/>
  <c r="AM138" i="19" s="1"/>
  <c r="AN138" i="19" s="1"/>
  <c r="AO138" i="19" s="1"/>
  <c r="AP138" i="19" s="1"/>
  <c r="AQ138" i="19" s="1"/>
  <c r="AR138" i="19" s="1"/>
  <c r="AS138" i="19" s="1"/>
  <c r="AT138" i="19" s="1"/>
  <c r="AU138" i="19" s="1"/>
  <c r="AV138" i="19" s="1"/>
  <c r="AW138" i="19" s="1"/>
  <c r="AX138" i="19" s="1"/>
  <c r="AY138" i="19" s="1"/>
  <c r="AZ138" i="19" s="1"/>
  <c r="BA138" i="19" s="1"/>
  <c r="BB138" i="19" s="1"/>
  <c r="AI139" i="19"/>
  <c r="AJ139" i="19"/>
  <c r="AK139" i="19" s="1"/>
  <c r="AL139" i="19" s="1"/>
  <c r="AM139" i="19" s="1"/>
  <c r="AN139" i="19" s="1"/>
  <c r="AO139" i="19" s="1"/>
  <c r="AP139" i="19" s="1"/>
  <c r="AQ139" i="19" s="1"/>
  <c r="AR139" i="19" s="1"/>
  <c r="AS139" i="19" s="1"/>
  <c r="AT139" i="19" s="1"/>
  <c r="AU139" i="19" s="1"/>
  <c r="AV139" i="19" s="1"/>
  <c r="AW139" i="19" s="1"/>
  <c r="AX139" i="19" s="1"/>
  <c r="AY139" i="19" s="1"/>
  <c r="AZ139" i="19" s="1"/>
  <c r="BA139" i="19" s="1"/>
  <c r="BB139" i="19" s="1"/>
  <c r="AI140" i="19"/>
  <c r="AJ140" i="19" s="1"/>
  <c r="AK140" i="19" s="1"/>
  <c r="AL140" i="19" s="1"/>
  <c r="AM140" i="19" s="1"/>
  <c r="AN140" i="19" s="1"/>
  <c r="AO140" i="19" s="1"/>
  <c r="AP140" i="19" s="1"/>
  <c r="AQ140" i="19" s="1"/>
  <c r="AR140" i="19" s="1"/>
  <c r="AS140" i="19" s="1"/>
  <c r="AT140" i="19" s="1"/>
  <c r="AU140" i="19" s="1"/>
  <c r="AV140" i="19" s="1"/>
  <c r="AW140" i="19" s="1"/>
  <c r="AX140" i="19" s="1"/>
  <c r="AY140" i="19" s="1"/>
  <c r="AZ140" i="19" s="1"/>
  <c r="BA140" i="19" s="1"/>
  <c r="BB140" i="19" s="1"/>
  <c r="AI141" i="19"/>
  <c r="AJ141" i="19"/>
  <c r="AK141" i="19" s="1"/>
  <c r="AL141" i="19" s="1"/>
  <c r="AM141" i="19" s="1"/>
  <c r="AN141" i="19" s="1"/>
  <c r="AO141" i="19" s="1"/>
  <c r="AP141" i="19" s="1"/>
  <c r="AQ141" i="19" s="1"/>
  <c r="AR141" i="19" s="1"/>
  <c r="AS141" i="19" s="1"/>
  <c r="AT141" i="19" s="1"/>
  <c r="AU141" i="19" s="1"/>
  <c r="AV141" i="19" s="1"/>
  <c r="AW141" i="19" s="1"/>
  <c r="AX141" i="19" s="1"/>
  <c r="AY141" i="19" s="1"/>
  <c r="AZ141" i="19"/>
  <c r="BA141" i="19" s="1"/>
  <c r="BB141" i="19" s="1"/>
  <c r="AJ115" i="19"/>
  <c r="AK115" i="19" s="1"/>
  <c r="AL115" i="19" s="1"/>
  <c r="AM115" i="19" s="1"/>
  <c r="AN115" i="19" s="1"/>
  <c r="AO115" i="19" s="1"/>
  <c r="AP115" i="19" s="1"/>
  <c r="AQ115" i="19" s="1"/>
  <c r="AR115" i="19" s="1"/>
  <c r="AS115" i="19" s="1"/>
  <c r="AT115" i="19" s="1"/>
  <c r="AU115" i="19" s="1"/>
  <c r="AV115" i="19" s="1"/>
  <c r="AW115" i="19" s="1"/>
  <c r="AX115" i="19" s="1"/>
  <c r="AY115" i="19" s="1"/>
  <c r="AZ115" i="19" s="1"/>
  <c r="BA115" i="19" s="1"/>
  <c r="BB115" i="19" s="1"/>
  <c r="AI115" i="19"/>
  <c r="F116" i="19"/>
  <c r="G116" i="19" s="1"/>
  <c r="H116" i="19" s="1"/>
  <c r="I116" i="19" s="1"/>
  <c r="J116" i="19" s="1"/>
  <c r="K116" i="19" s="1"/>
  <c r="L116" i="19" s="1"/>
  <c r="M116" i="19" s="1"/>
  <c r="N116" i="19" s="1"/>
  <c r="O116" i="19" s="1"/>
  <c r="P116" i="19" s="1"/>
  <c r="Q116" i="19" s="1"/>
  <c r="R116" i="19" s="1"/>
  <c r="S116" i="19" s="1"/>
  <c r="T116" i="19" s="1"/>
  <c r="U116" i="19" s="1"/>
  <c r="V116" i="19" s="1"/>
  <c r="W116" i="19" s="1"/>
  <c r="X116" i="19" s="1"/>
  <c r="Y116" i="19" s="1"/>
  <c r="Z116" i="19" s="1"/>
  <c r="AA116" i="19" s="1"/>
  <c r="AB116" i="19" s="1"/>
  <c r="AC116" i="19" s="1"/>
  <c r="AD116" i="19" s="1"/>
  <c r="AE116" i="19" s="1"/>
  <c r="AF116" i="19" s="1"/>
  <c r="AG116" i="19" s="1"/>
  <c r="AH116" i="19" s="1"/>
  <c r="F117" i="19"/>
  <c r="G117" i="19"/>
  <c r="H117" i="19" s="1"/>
  <c r="I117" i="19" s="1"/>
  <c r="J117" i="19" s="1"/>
  <c r="K117" i="19" s="1"/>
  <c r="L117" i="19" s="1"/>
  <c r="M117" i="19" s="1"/>
  <c r="N117" i="19" s="1"/>
  <c r="O117" i="19" s="1"/>
  <c r="P117" i="19" s="1"/>
  <c r="Q117" i="19" s="1"/>
  <c r="R117" i="19" s="1"/>
  <c r="S117" i="19" s="1"/>
  <c r="T117" i="19" s="1"/>
  <c r="U117" i="19" s="1"/>
  <c r="V117" i="19" s="1"/>
  <c r="W117" i="19" s="1"/>
  <c r="X117" i="19" s="1"/>
  <c r="Y117" i="19" s="1"/>
  <c r="Z117" i="19" s="1"/>
  <c r="AA117" i="19" s="1"/>
  <c r="AB117" i="19" s="1"/>
  <c r="AC117" i="19" s="1"/>
  <c r="AD117" i="19" s="1"/>
  <c r="AE117" i="19" s="1"/>
  <c r="AF117" i="19" s="1"/>
  <c r="AG117" i="19" s="1"/>
  <c r="AH117" i="19" s="1"/>
  <c r="F118" i="19"/>
  <c r="G118" i="19" s="1"/>
  <c r="H118" i="19" s="1"/>
  <c r="I118" i="19" s="1"/>
  <c r="J118" i="19"/>
  <c r="K118" i="19" s="1"/>
  <c r="L118" i="19" s="1"/>
  <c r="M118" i="19" s="1"/>
  <c r="N118" i="19" s="1"/>
  <c r="O118" i="19" s="1"/>
  <c r="P118" i="19" s="1"/>
  <c r="Q118" i="19" s="1"/>
  <c r="R118" i="19" s="1"/>
  <c r="S118" i="19" s="1"/>
  <c r="T118" i="19" s="1"/>
  <c r="U118" i="19" s="1"/>
  <c r="V118" i="19" s="1"/>
  <c r="W118" i="19" s="1"/>
  <c r="X118" i="19" s="1"/>
  <c r="Y118" i="19" s="1"/>
  <c r="Z118" i="19" s="1"/>
  <c r="AA118" i="19" s="1"/>
  <c r="AB118" i="19" s="1"/>
  <c r="AC118" i="19" s="1"/>
  <c r="AD118" i="19" s="1"/>
  <c r="AE118" i="19" s="1"/>
  <c r="AF118" i="19" s="1"/>
  <c r="AG118" i="19" s="1"/>
  <c r="AH118" i="19" s="1"/>
  <c r="F119" i="19"/>
  <c r="G119" i="19" s="1"/>
  <c r="H119" i="19" s="1"/>
  <c r="I119" i="19" s="1"/>
  <c r="J119" i="19" s="1"/>
  <c r="K119" i="19" s="1"/>
  <c r="L119" i="19" s="1"/>
  <c r="M119" i="19" s="1"/>
  <c r="N119" i="19" s="1"/>
  <c r="O119" i="19" s="1"/>
  <c r="P119" i="19" s="1"/>
  <c r="Q119" i="19" s="1"/>
  <c r="R119" i="19" s="1"/>
  <c r="S119" i="19" s="1"/>
  <c r="T119" i="19" s="1"/>
  <c r="U119" i="19" s="1"/>
  <c r="V119" i="19" s="1"/>
  <c r="W119" i="19" s="1"/>
  <c r="X119" i="19" s="1"/>
  <c r="Y119" i="19" s="1"/>
  <c r="Z119" i="19" s="1"/>
  <c r="AA119" i="19" s="1"/>
  <c r="AB119" i="19" s="1"/>
  <c r="AC119" i="19" s="1"/>
  <c r="AD119" i="19" s="1"/>
  <c r="AE119" i="19" s="1"/>
  <c r="AF119" i="19" s="1"/>
  <c r="AG119" i="19" s="1"/>
  <c r="AH119" i="19" s="1"/>
  <c r="F120" i="19"/>
  <c r="G120" i="19"/>
  <c r="H120" i="19"/>
  <c r="I120" i="19" s="1"/>
  <c r="J120" i="19" s="1"/>
  <c r="K120" i="19" s="1"/>
  <c r="L120" i="19" s="1"/>
  <c r="M120" i="19" s="1"/>
  <c r="N120" i="19" s="1"/>
  <c r="O120" i="19" s="1"/>
  <c r="P120" i="19" s="1"/>
  <c r="Q120" i="19" s="1"/>
  <c r="R120" i="19" s="1"/>
  <c r="S120" i="19" s="1"/>
  <c r="T120" i="19" s="1"/>
  <c r="U120" i="19" s="1"/>
  <c r="V120" i="19" s="1"/>
  <c r="W120" i="19" s="1"/>
  <c r="X120" i="19" s="1"/>
  <c r="Y120" i="19" s="1"/>
  <c r="Z120" i="19" s="1"/>
  <c r="AA120" i="19" s="1"/>
  <c r="AB120" i="19" s="1"/>
  <c r="AC120" i="19" s="1"/>
  <c r="AD120" i="19" s="1"/>
  <c r="AE120" i="19" s="1"/>
  <c r="AF120" i="19" s="1"/>
  <c r="AG120" i="19" s="1"/>
  <c r="AH120" i="19" s="1"/>
  <c r="F121" i="19"/>
  <c r="G121" i="19"/>
  <c r="H121" i="19" s="1"/>
  <c r="I121" i="19" s="1"/>
  <c r="J121" i="19" s="1"/>
  <c r="K121" i="19" s="1"/>
  <c r="L121" i="19" s="1"/>
  <c r="M121" i="19" s="1"/>
  <c r="N121" i="19" s="1"/>
  <c r="O121" i="19" s="1"/>
  <c r="P121" i="19" s="1"/>
  <c r="Q121" i="19" s="1"/>
  <c r="R121" i="19" s="1"/>
  <c r="S121" i="19" s="1"/>
  <c r="T121" i="19" s="1"/>
  <c r="U121" i="19" s="1"/>
  <c r="V121" i="19" s="1"/>
  <c r="W121" i="19" s="1"/>
  <c r="X121" i="19" s="1"/>
  <c r="Y121" i="19" s="1"/>
  <c r="Z121" i="19" s="1"/>
  <c r="AA121" i="19" s="1"/>
  <c r="AB121" i="19" s="1"/>
  <c r="AC121" i="19" s="1"/>
  <c r="AD121" i="19" s="1"/>
  <c r="AE121" i="19" s="1"/>
  <c r="AF121" i="19" s="1"/>
  <c r="AG121" i="19" s="1"/>
  <c r="AH121" i="19" s="1"/>
  <c r="F122" i="19"/>
  <c r="G122" i="19" s="1"/>
  <c r="H122" i="19" s="1"/>
  <c r="I122" i="19" s="1"/>
  <c r="J122" i="19" s="1"/>
  <c r="K122" i="19" s="1"/>
  <c r="L122" i="19" s="1"/>
  <c r="M122" i="19" s="1"/>
  <c r="N122" i="19" s="1"/>
  <c r="O122" i="19" s="1"/>
  <c r="P122" i="19" s="1"/>
  <c r="Q122" i="19" s="1"/>
  <c r="R122" i="19" s="1"/>
  <c r="S122" i="19" s="1"/>
  <c r="T122" i="19" s="1"/>
  <c r="U122" i="19" s="1"/>
  <c r="V122" i="19" s="1"/>
  <c r="W122" i="19" s="1"/>
  <c r="X122" i="19" s="1"/>
  <c r="Y122" i="19" s="1"/>
  <c r="Z122" i="19" s="1"/>
  <c r="AA122" i="19" s="1"/>
  <c r="AB122" i="19" s="1"/>
  <c r="AC122" i="19" s="1"/>
  <c r="AD122" i="19" s="1"/>
  <c r="AE122" i="19" s="1"/>
  <c r="AF122" i="19" s="1"/>
  <c r="AG122" i="19" s="1"/>
  <c r="AH122" i="19" s="1"/>
  <c r="F123" i="19"/>
  <c r="G123" i="19" s="1"/>
  <c r="H123" i="19" s="1"/>
  <c r="I123" i="19" s="1"/>
  <c r="J123" i="19" s="1"/>
  <c r="K123" i="19" s="1"/>
  <c r="L123" i="19" s="1"/>
  <c r="M123" i="19" s="1"/>
  <c r="N123" i="19" s="1"/>
  <c r="O123" i="19" s="1"/>
  <c r="P123" i="19" s="1"/>
  <c r="Q123" i="19" s="1"/>
  <c r="R123" i="19" s="1"/>
  <c r="S123" i="19" s="1"/>
  <c r="T123" i="19" s="1"/>
  <c r="U123" i="19" s="1"/>
  <c r="V123" i="19" s="1"/>
  <c r="W123" i="19" s="1"/>
  <c r="X123" i="19" s="1"/>
  <c r="Y123" i="19" s="1"/>
  <c r="Z123" i="19" s="1"/>
  <c r="AA123" i="19" s="1"/>
  <c r="AB123" i="19" s="1"/>
  <c r="AC123" i="19" s="1"/>
  <c r="AD123" i="19" s="1"/>
  <c r="AE123" i="19" s="1"/>
  <c r="AF123" i="19" s="1"/>
  <c r="AG123" i="19" s="1"/>
  <c r="AH123" i="19" s="1"/>
  <c r="F124" i="19"/>
  <c r="G124" i="19"/>
  <c r="H124" i="19"/>
  <c r="I124" i="19" s="1"/>
  <c r="J124" i="19" s="1"/>
  <c r="K124" i="19" s="1"/>
  <c r="L124" i="19" s="1"/>
  <c r="M124" i="19" s="1"/>
  <c r="N124" i="19" s="1"/>
  <c r="O124" i="19" s="1"/>
  <c r="P124" i="19" s="1"/>
  <c r="Q124" i="19" s="1"/>
  <c r="R124" i="19" s="1"/>
  <c r="S124" i="19" s="1"/>
  <c r="T124" i="19" s="1"/>
  <c r="U124" i="19" s="1"/>
  <c r="V124" i="19" s="1"/>
  <c r="W124" i="19" s="1"/>
  <c r="X124" i="19" s="1"/>
  <c r="Y124" i="19" s="1"/>
  <c r="Z124" i="19" s="1"/>
  <c r="AA124" i="19" s="1"/>
  <c r="AB124" i="19" s="1"/>
  <c r="AC124" i="19" s="1"/>
  <c r="AD124" i="19" s="1"/>
  <c r="AE124" i="19" s="1"/>
  <c r="AF124" i="19" s="1"/>
  <c r="AG124" i="19" s="1"/>
  <c r="AH124" i="19" s="1"/>
  <c r="F125" i="19"/>
  <c r="G125" i="19"/>
  <c r="H125" i="19" s="1"/>
  <c r="I125" i="19" s="1"/>
  <c r="J125" i="19" s="1"/>
  <c r="K125" i="19" s="1"/>
  <c r="L125" i="19" s="1"/>
  <c r="M125" i="19" s="1"/>
  <c r="N125" i="19" s="1"/>
  <c r="O125" i="19" s="1"/>
  <c r="P125" i="19" s="1"/>
  <c r="Q125" i="19" s="1"/>
  <c r="R125" i="19" s="1"/>
  <c r="S125" i="19" s="1"/>
  <c r="T125" i="19" s="1"/>
  <c r="U125" i="19" s="1"/>
  <c r="V125" i="19" s="1"/>
  <c r="W125" i="19" s="1"/>
  <c r="X125" i="19" s="1"/>
  <c r="Y125" i="19" s="1"/>
  <c r="Z125" i="19" s="1"/>
  <c r="AA125" i="19" s="1"/>
  <c r="AB125" i="19" s="1"/>
  <c r="AC125" i="19" s="1"/>
  <c r="AD125" i="19" s="1"/>
  <c r="AE125" i="19" s="1"/>
  <c r="AF125" i="19" s="1"/>
  <c r="AG125" i="19" s="1"/>
  <c r="AH125" i="19" s="1"/>
  <c r="F126" i="19"/>
  <c r="G126" i="19" s="1"/>
  <c r="H126" i="19" s="1"/>
  <c r="I126" i="19" s="1"/>
  <c r="J126" i="19" s="1"/>
  <c r="K126" i="19" s="1"/>
  <c r="L126" i="19" s="1"/>
  <c r="M126" i="19" s="1"/>
  <c r="N126" i="19" s="1"/>
  <c r="O126" i="19" s="1"/>
  <c r="P126" i="19" s="1"/>
  <c r="Q126" i="19" s="1"/>
  <c r="R126" i="19" s="1"/>
  <c r="S126" i="19" s="1"/>
  <c r="T126" i="19" s="1"/>
  <c r="U126" i="19" s="1"/>
  <c r="V126" i="19" s="1"/>
  <c r="W126" i="19" s="1"/>
  <c r="X126" i="19" s="1"/>
  <c r="Y126" i="19" s="1"/>
  <c r="Z126" i="19" s="1"/>
  <c r="AA126" i="19" s="1"/>
  <c r="AB126" i="19" s="1"/>
  <c r="AC126" i="19" s="1"/>
  <c r="AD126" i="19" s="1"/>
  <c r="AE126" i="19" s="1"/>
  <c r="AF126" i="19" s="1"/>
  <c r="AG126" i="19" s="1"/>
  <c r="AH126" i="19" s="1"/>
  <c r="F127" i="19"/>
  <c r="G127" i="19" s="1"/>
  <c r="H127" i="19" s="1"/>
  <c r="I127" i="19" s="1"/>
  <c r="J127" i="19" s="1"/>
  <c r="K127" i="19" s="1"/>
  <c r="L127" i="19" s="1"/>
  <c r="M127" i="19" s="1"/>
  <c r="N127" i="19" s="1"/>
  <c r="O127" i="19" s="1"/>
  <c r="P127" i="19" s="1"/>
  <c r="Q127" i="19" s="1"/>
  <c r="R127" i="19" s="1"/>
  <c r="S127" i="19" s="1"/>
  <c r="T127" i="19" s="1"/>
  <c r="U127" i="19" s="1"/>
  <c r="V127" i="19" s="1"/>
  <c r="W127" i="19" s="1"/>
  <c r="X127" i="19" s="1"/>
  <c r="Y127" i="19" s="1"/>
  <c r="Z127" i="19" s="1"/>
  <c r="AA127" i="19" s="1"/>
  <c r="AB127" i="19" s="1"/>
  <c r="AC127" i="19" s="1"/>
  <c r="AD127" i="19" s="1"/>
  <c r="AE127" i="19" s="1"/>
  <c r="AF127" i="19" s="1"/>
  <c r="AG127" i="19" s="1"/>
  <c r="AH127" i="19" s="1"/>
  <c r="F128" i="19"/>
  <c r="G128" i="19"/>
  <c r="H128" i="19"/>
  <c r="I128" i="19" s="1"/>
  <c r="J128" i="19" s="1"/>
  <c r="K128" i="19" s="1"/>
  <c r="L128" i="19" s="1"/>
  <c r="M128" i="19" s="1"/>
  <c r="N128" i="19" s="1"/>
  <c r="O128" i="19" s="1"/>
  <c r="P128" i="19" s="1"/>
  <c r="Q128" i="19" s="1"/>
  <c r="R128" i="19" s="1"/>
  <c r="S128" i="19" s="1"/>
  <c r="T128" i="19" s="1"/>
  <c r="U128" i="19" s="1"/>
  <c r="V128" i="19" s="1"/>
  <c r="W128" i="19" s="1"/>
  <c r="X128" i="19" s="1"/>
  <c r="Y128" i="19" s="1"/>
  <c r="Z128" i="19" s="1"/>
  <c r="AA128" i="19" s="1"/>
  <c r="AB128" i="19" s="1"/>
  <c r="AC128" i="19" s="1"/>
  <c r="AD128" i="19" s="1"/>
  <c r="AE128" i="19" s="1"/>
  <c r="AF128" i="19" s="1"/>
  <c r="AG128" i="19" s="1"/>
  <c r="AH128" i="19" s="1"/>
  <c r="F129" i="19"/>
  <c r="G129" i="19" s="1"/>
  <c r="H129" i="19" s="1"/>
  <c r="I129" i="19" s="1"/>
  <c r="J129" i="19" s="1"/>
  <c r="K129" i="19" s="1"/>
  <c r="L129" i="19" s="1"/>
  <c r="M129" i="19" s="1"/>
  <c r="N129" i="19" s="1"/>
  <c r="O129" i="19" s="1"/>
  <c r="P129" i="19" s="1"/>
  <c r="Q129" i="19" s="1"/>
  <c r="R129" i="19" s="1"/>
  <c r="S129" i="19" s="1"/>
  <c r="T129" i="19" s="1"/>
  <c r="U129" i="19" s="1"/>
  <c r="V129" i="19" s="1"/>
  <c r="W129" i="19" s="1"/>
  <c r="X129" i="19" s="1"/>
  <c r="Y129" i="19" s="1"/>
  <c r="Z129" i="19" s="1"/>
  <c r="AA129" i="19" s="1"/>
  <c r="AB129" i="19" s="1"/>
  <c r="AC129" i="19" s="1"/>
  <c r="AD129" i="19" s="1"/>
  <c r="AE129" i="19" s="1"/>
  <c r="AF129" i="19" s="1"/>
  <c r="AG129" i="19" s="1"/>
  <c r="AH129" i="19" s="1"/>
  <c r="F130" i="19"/>
  <c r="G130" i="19" s="1"/>
  <c r="H130" i="19" s="1"/>
  <c r="I130" i="19" s="1"/>
  <c r="J130" i="19" s="1"/>
  <c r="K130" i="19" s="1"/>
  <c r="L130" i="19" s="1"/>
  <c r="M130" i="19" s="1"/>
  <c r="N130" i="19" s="1"/>
  <c r="O130" i="19" s="1"/>
  <c r="P130" i="19" s="1"/>
  <c r="Q130" i="19" s="1"/>
  <c r="R130" i="19" s="1"/>
  <c r="S130" i="19" s="1"/>
  <c r="T130" i="19" s="1"/>
  <c r="U130" i="19" s="1"/>
  <c r="V130" i="19" s="1"/>
  <c r="W130" i="19" s="1"/>
  <c r="X130" i="19" s="1"/>
  <c r="Y130" i="19" s="1"/>
  <c r="Z130" i="19" s="1"/>
  <c r="AA130" i="19" s="1"/>
  <c r="AB130" i="19" s="1"/>
  <c r="AC130" i="19" s="1"/>
  <c r="AD130" i="19" s="1"/>
  <c r="AE130" i="19" s="1"/>
  <c r="AF130" i="19" s="1"/>
  <c r="AG130" i="19" s="1"/>
  <c r="AH130" i="19" s="1"/>
  <c r="F131" i="19"/>
  <c r="G131" i="19" s="1"/>
  <c r="H131" i="19" s="1"/>
  <c r="I131" i="19" s="1"/>
  <c r="J131" i="19" s="1"/>
  <c r="K131" i="19" s="1"/>
  <c r="L131" i="19" s="1"/>
  <c r="M131" i="19" s="1"/>
  <c r="N131" i="19" s="1"/>
  <c r="O131" i="19" s="1"/>
  <c r="P131" i="19" s="1"/>
  <c r="Q131" i="19" s="1"/>
  <c r="R131" i="19" s="1"/>
  <c r="S131" i="19" s="1"/>
  <c r="T131" i="19" s="1"/>
  <c r="U131" i="19" s="1"/>
  <c r="V131" i="19" s="1"/>
  <c r="W131" i="19" s="1"/>
  <c r="X131" i="19" s="1"/>
  <c r="Y131" i="19" s="1"/>
  <c r="Z131" i="19" s="1"/>
  <c r="AA131" i="19" s="1"/>
  <c r="AB131" i="19" s="1"/>
  <c r="AC131" i="19" s="1"/>
  <c r="AD131" i="19" s="1"/>
  <c r="AE131" i="19" s="1"/>
  <c r="AF131" i="19" s="1"/>
  <c r="AG131" i="19" s="1"/>
  <c r="AH131" i="19" s="1"/>
  <c r="F132" i="19"/>
  <c r="G132" i="19" s="1"/>
  <c r="H132" i="19" s="1"/>
  <c r="I132" i="19" s="1"/>
  <c r="J132" i="19" s="1"/>
  <c r="K132" i="19" s="1"/>
  <c r="L132" i="19" s="1"/>
  <c r="M132" i="19" s="1"/>
  <c r="N132" i="19" s="1"/>
  <c r="O132" i="19" s="1"/>
  <c r="P132" i="19" s="1"/>
  <c r="Q132" i="19" s="1"/>
  <c r="R132" i="19" s="1"/>
  <c r="S132" i="19" s="1"/>
  <c r="T132" i="19" s="1"/>
  <c r="U132" i="19" s="1"/>
  <c r="V132" i="19" s="1"/>
  <c r="W132" i="19" s="1"/>
  <c r="X132" i="19" s="1"/>
  <c r="Y132" i="19" s="1"/>
  <c r="Z132" i="19" s="1"/>
  <c r="AA132" i="19" s="1"/>
  <c r="AB132" i="19" s="1"/>
  <c r="AC132" i="19" s="1"/>
  <c r="AD132" i="19" s="1"/>
  <c r="AE132" i="19" s="1"/>
  <c r="AF132" i="19" s="1"/>
  <c r="AG132" i="19" s="1"/>
  <c r="AH132" i="19" s="1"/>
  <c r="F133" i="19"/>
  <c r="G133" i="19"/>
  <c r="H133" i="19"/>
  <c r="I133" i="19"/>
  <c r="J133" i="19" s="1"/>
  <c r="K133" i="19" s="1"/>
  <c r="L133" i="19" s="1"/>
  <c r="M133" i="19" s="1"/>
  <c r="N133" i="19" s="1"/>
  <c r="O133" i="19" s="1"/>
  <c r="P133" i="19" s="1"/>
  <c r="Q133" i="19" s="1"/>
  <c r="R133" i="19" s="1"/>
  <c r="S133" i="19" s="1"/>
  <c r="T133" i="19" s="1"/>
  <c r="U133" i="19" s="1"/>
  <c r="V133" i="19" s="1"/>
  <c r="W133" i="19" s="1"/>
  <c r="X133" i="19" s="1"/>
  <c r="Y133" i="19" s="1"/>
  <c r="Z133" i="19" s="1"/>
  <c r="AA133" i="19" s="1"/>
  <c r="AB133" i="19" s="1"/>
  <c r="AC133" i="19" s="1"/>
  <c r="AD133" i="19" s="1"/>
  <c r="AE133" i="19" s="1"/>
  <c r="AF133" i="19" s="1"/>
  <c r="AG133" i="19" s="1"/>
  <c r="AH133" i="19" s="1"/>
  <c r="F134" i="19"/>
  <c r="G134" i="19" s="1"/>
  <c r="H134" i="19" s="1"/>
  <c r="I134" i="19" s="1"/>
  <c r="J134" i="19" s="1"/>
  <c r="K134" i="19" s="1"/>
  <c r="L134" i="19" s="1"/>
  <c r="M134" i="19" s="1"/>
  <c r="N134" i="19" s="1"/>
  <c r="O134" i="19" s="1"/>
  <c r="P134" i="19" s="1"/>
  <c r="Q134" i="19" s="1"/>
  <c r="R134" i="19" s="1"/>
  <c r="S134" i="19" s="1"/>
  <c r="T134" i="19" s="1"/>
  <c r="U134" i="19" s="1"/>
  <c r="V134" i="19" s="1"/>
  <c r="W134" i="19" s="1"/>
  <c r="X134" i="19" s="1"/>
  <c r="Y134" i="19" s="1"/>
  <c r="Z134" i="19" s="1"/>
  <c r="AA134" i="19" s="1"/>
  <c r="AB134" i="19" s="1"/>
  <c r="AC134" i="19" s="1"/>
  <c r="AD134" i="19" s="1"/>
  <c r="AE134" i="19" s="1"/>
  <c r="AF134" i="19" s="1"/>
  <c r="AG134" i="19" s="1"/>
  <c r="AH134" i="19" s="1"/>
  <c r="F135" i="19"/>
  <c r="G135" i="19" s="1"/>
  <c r="H135" i="19" s="1"/>
  <c r="I135" i="19" s="1"/>
  <c r="J135" i="19" s="1"/>
  <c r="K135" i="19" s="1"/>
  <c r="L135" i="19" s="1"/>
  <c r="M135" i="19" s="1"/>
  <c r="N135" i="19" s="1"/>
  <c r="O135" i="19" s="1"/>
  <c r="P135" i="19" s="1"/>
  <c r="Q135" i="19" s="1"/>
  <c r="R135" i="19" s="1"/>
  <c r="S135" i="19" s="1"/>
  <c r="T135" i="19" s="1"/>
  <c r="U135" i="19" s="1"/>
  <c r="V135" i="19" s="1"/>
  <c r="W135" i="19" s="1"/>
  <c r="X135" i="19" s="1"/>
  <c r="Y135" i="19" s="1"/>
  <c r="Z135" i="19" s="1"/>
  <c r="AA135" i="19" s="1"/>
  <c r="AB135" i="19" s="1"/>
  <c r="AC135" i="19" s="1"/>
  <c r="AD135" i="19" s="1"/>
  <c r="AE135" i="19" s="1"/>
  <c r="AF135" i="19" s="1"/>
  <c r="AG135" i="19" s="1"/>
  <c r="AH135" i="19" s="1"/>
  <c r="F136" i="19"/>
  <c r="G136" i="19" s="1"/>
  <c r="H136" i="19" s="1"/>
  <c r="I136" i="19" s="1"/>
  <c r="J136" i="19" s="1"/>
  <c r="K136" i="19" s="1"/>
  <c r="L136" i="19" s="1"/>
  <c r="M136" i="19" s="1"/>
  <c r="N136" i="19" s="1"/>
  <c r="O136" i="19" s="1"/>
  <c r="P136" i="19" s="1"/>
  <c r="Q136" i="19" s="1"/>
  <c r="R136" i="19" s="1"/>
  <c r="S136" i="19" s="1"/>
  <c r="T136" i="19" s="1"/>
  <c r="U136" i="19" s="1"/>
  <c r="V136" i="19" s="1"/>
  <c r="W136" i="19" s="1"/>
  <c r="X136" i="19" s="1"/>
  <c r="Y136" i="19" s="1"/>
  <c r="Z136" i="19" s="1"/>
  <c r="AA136" i="19" s="1"/>
  <c r="AB136" i="19" s="1"/>
  <c r="AC136" i="19" s="1"/>
  <c r="AD136" i="19" s="1"/>
  <c r="AE136" i="19" s="1"/>
  <c r="AF136" i="19" s="1"/>
  <c r="AG136" i="19" s="1"/>
  <c r="AH136" i="19" s="1"/>
  <c r="F137" i="19"/>
  <c r="G137" i="19" s="1"/>
  <c r="H137" i="19" s="1"/>
  <c r="I137" i="19" s="1"/>
  <c r="J137" i="19" s="1"/>
  <c r="K137" i="19" s="1"/>
  <c r="L137" i="19" s="1"/>
  <c r="M137" i="19" s="1"/>
  <c r="N137" i="19" s="1"/>
  <c r="O137" i="19" s="1"/>
  <c r="P137" i="19" s="1"/>
  <c r="Q137" i="19" s="1"/>
  <c r="R137" i="19" s="1"/>
  <c r="S137" i="19" s="1"/>
  <c r="T137" i="19" s="1"/>
  <c r="U137" i="19" s="1"/>
  <c r="V137" i="19" s="1"/>
  <c r="W137" i="19" s="1"/>
  <c r="X137" i="19" s="1"/>
  <c r="Y137" i="19" s="1"/>
  <c r="Z137" i="19" s="1"/>
  <c r="AA137" i="19" s="1"/>
  <c r="AB137" i="19" s="1"/>
  <c r="AC137" i="19" s="1"/>
  <c r="AD137" i="19" s="1"/>
  <c r="AE137" i="19" s="1"/>
  <c r="AF137" i="19" s="1"/>
  <c r="AG137" i="19" s="1"/>
  <c r="AH137" i="19" s="1"/>
  <c r="F138" i="19"/>
  <c r="G138" i="19" s="1"/>
  <c r="H138" i="19" s="1"/>
  <c r="I138" i="19" s="1"/>
  <c r="J138" i="19" s="1"/>
  <c r="K138" i="19" s="1"/>
  <c r="L138" i="19" s="1"/>
  <c r="M138" i="19" s="1"/>
  <c r="N138" i="19" s="1"/>
  <c r="O138" i="19" s="1"/>
  <c r="P138" i="19" s="1"/>
  <c r="Q138" i="19" s="1"/>
  <c r="R138" i="19" s="1"/>
  <c r="S138" i="19" s="1"/>
  <c r="T138" i="19" s="1"/>
  <c r="U138" i="19" s="1"/>
  <c r="V138" i="19" s="1"/>
  <c r="W138" i="19" s="1"/>
  <c r="X138" i="19" s="1"/>
  <c r="Y138" i="19" s="1"/>
  <c r="Z138" i="19" s="1"/>
  <c r="AA138" i="19" s="1"/>
  <c r="AB138" i="19" s="1"/>
  <c r="AC138" i="19" s="1"/>
  <c r="AD138" i="19" s="1"/>
  <c r="AE138" i="19" s="1"/>
  <c r="AF138" i="19" s="1"/>
  <c r="AG138" i="19" s="1"/>
  <c r="AH138" i="19" s="1"/>
  <c r="F139" i="19"/>
  <c r="G139" i="19" s="1"/>
  <c r="H139" i="19" s="1"/>
  <c r="I139" i="19" s="1"/>
  <c r="J139" i="19" s="1"/>
  <c r="K139" i="19" s="1"/>
  <c r="L139" i="19" s="1"/>
  <c r="M139" i="19" s="1"/>
  <c r="N139" i="19" s="1"/>
  <c r="O139" i="19" s="1"/>
  <c r="P139" i="19" s="1"/>
  <c r="Q139" i="19" s="1"/>
  <c r="R139" i="19" s="1"/>
  <c r="S139" i="19" s="1"/>
  <c r="T139" i="19" s="1"/>
  <c r="U139" i="19" s="1"/>
  <c r="V139" i="19" s="1"/>
  <c r="W139" i="19" s="1"/>
  <c r="X139" i="19" s="1"/>
  <c r="Y139" i="19" s="1"/>
  <c r="Z139" i="19" s="1"/>
  <c r="AA139" i="19" s="1"/>
  <c r="AB139" i="19" s="1"/>
  <c r="AC139" i="19" s="1"/>
  <c r="AD139" i="19" s="1"/>
  <c r="AE139" i="19" s="1"/>
  <c r="AF139" i="19" s="1"/>
  <c r="AG139" i="19" s="1"/>
  <c r="AH139" i="19" s="1"/>
  <c r="F140" i="19"/>
  <c r="G140" i="19"/>
  <c r="H140" i="19" s="1"/>
  <c r="I140" i="19" s="1"/>
  <c r="J140" i="19" s="1"/>
  <c r="K140" i="19" s="1"/>
  <c r="L140" i="19" s="1"/>
  <c r="M140" i="19" s="1"/>
  <c r="N140" i="19" s="1"/>
  <c r="O140" i="19" s="1"/>
  <c r="P140" i="19" s="1"/>
  <c r="Q140" i="19" s="1"/>
  <c r="R140" i="19" s="1"/>
  <c r="S140" i="19" s="1"/>
  <c r="T140" i="19" s="1"/>
  <c r="U140" i="19" s="1"/>
  <c r="V140" i="19" s="1"/>
  <c r="W140" i="19" s="1"/>
  <c r="X140" i="19" s="1"/>
  <c r="Y140" i="19" s="1"/>
  <c r="Z140" i="19" s="1"/>
  <c r="AA140" i="19" s="1"/>
  <c r="AB140" i="19" s="1"/>
  <c r="AC140" i="19" s="1"/>
  <c r="AD140" i="19" s="1"/>
  <c r="AE140" i="19" s="1"/>
  <c r="AF140" i="19" s="1"/>
  <c r="AG140" i="19" s="1"/>
  <c r="AH140" i="19" s="1"/>
  <c r="F141" i="19"/>
  <c r="G141" i="19"/>
  <c r="H141" i="19" s="1"/>
  <c r="I141" i="19" s="1"/>
  <c r="J141" i="19" s="1"/>
  <c r="K141" i="19" s="1"/>
  <c r="L141" i="19" s="1"/>
  <c r="M141" i="19" s="1"/>
  <c r="N141" i="19" s="1"/>
  <c r="O141" i="19" s="1"/>
  <c r="P141" i="19" s="1"/>
  <c r="Q141" i="19" s="1"/>
  <c r="R141" i="19" s="1"/>
  <c r="S141" i="19" s="1"/>
  <c r="T141" i="19" s="1"/>
  <c r="U141" i="19" s="1"/>
  <c r="V141" i="19" s="1"/>
  <c r="W141" i="19" s="1"/>
  <c r="X141" i="19" s="1"/>
  <c r="Y141" i="19" s="1"/>
  <c r="Z141" i="19" s="1"/>
  <c r="AA141" i="19" s="1"/>
  <c r="AB141" i="19" s="1"/>
  <c r="AC141" i="19" s="1"/>
  <c r="AD141" i="19" s="1"/>
  <c r="AE141" i="19" s="1"/>
  <c r="AF141" i="19" s="1"/>
  <c r="AG141" i="19" s="1"/>
  <c r="AH141" i="19" s="1"/>
  <c r="AI142" i="19"/>
  <c r="AJ142" i="19" s="1"/>
  <c r="AK142" i="19" s="1"/>
  <c r="AL142" i="19" s="1"/>
  <c r="AM142" i="19" s="1"/>
  <c r="AN142" i="19" s="1"/>
  <c r="AO142" i="19" s="1"/>
  <c r="AP142" i="19" s="1"/>
  <c r="AQ142" i="19" s="1"/>
  <c r="AR142" i="19" s="1"/>
  <c r="AS142" i="19" s="1"/>
  <c r="AT142" i="19" s="1"/>
  <c r="AU142" i="19" s="1"/>
  <c r="AV142" i="19" s="1"/>
  <c r="AW142" i="19" s="1"/>
  <c r="AX142" i="19" s="1"/>
  <c r="AY142" i="19" s="1"/>
  <c r="AZ142" i="19" s="1"/>
  <c r="BA142" i="19" s="1"/>
  <c r="BB142" i="19" s="1"/>
  <c r="G115" i="19"/>
  <c r="H115" i="19"/>
  <c r="I115" i="19" s="1"/>
  <c r="J115" i="19" s="1"/>
  <c r="K115" i="19" s="1"/>
  <c r="L115" i="19" s="1"/>
  <c r="M115" i="19" s="1"/>
  <c r="N115" i="19" s="1"/>
  <c r="O115" i="19" s="1"/>
  <c r="P115" i="19" s="1"/>
  <c r="Q115" i="19" s="1"/>
  <c r="R115" i="19" s="1"/>
  <c r="S115" i="19" s="1"/>
  <c r="T115" i="19" s="1"/>
  <c r="U115" i="19" s="1"/>
  <c r="V115" i="19" s="1"/>
  <c r="W115" i="19" s="1"/>
  <c r="X115" i="19" s="1"/>
  <c r="Y115" i="19" s="1"/>
  <c r="Z115" i="19" s="1"/>
  <c r="AA115" i="19" s="1"/>
  <c r="AB115" i="19" s="1"/>
  <c r="AC115" i="19" s="1"/>
  <c r="AD115" i="19" s="1"/>
  <c r="AE115" i="19" s="1"/>
  <c r="AF115" i="19" s="1"/>
  <c r="AG115" i="19" s="1"/>
  <c r="AH115" i="19" s="1"/>
  <c r="F115" i="19"/>
  <c r="A5" i="19"/>
  <c r="A6" i="19"/>
  <c r="A7" i="19"/>
  <c r="A8" i="19"/>
  <c r="A9" i="19"/>
  <c r="A10" i="19"/>
  <c r="A11" i="19"/>
  <c r="A12" i="19"/>
  <c r="A13" i="19"/>
  <c r="A14" i="19"/>
  <c r="A15" i="19"/>
  <c r="A16" i="19"/>
  <c r="A17" i="19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34" i="19"/>
  <c r="A35" i="19"/>
  <c r="A36" i="19"/>
  <c r="A37" i="19"/>
  <c r="A38" i="19"/>
  <c r="A39" i="19"/>
  <c r="A40" i="19"/>
  <c r="A41" i="19"/>
  <c r="A42" i="19"/>
  <c r="A43" i="19"/>
  <c r="A44" i="19"/>
  <c r="A45" i="19"/>
  <c r="A46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60" i="19"/>
  <c r="A61" i="19"/>
  <c r="A62" i="19"/>
  <c r="A63" i="19"/>
  <c r="A64" i="19"/>
  <c r="A65" i="19"/>
  <c r="A66" i="19"/>
  <c r="A67" i="19"/>
  <c r="A68" i="19"/>
  <c r="A69" i="19"/>
  <c r="A70" i="19"/>
  <c r="A71" i="19"/>
  <c r="A72" i="19"/>
  <c r="A73" i="19"/>
  <c r="A74" i="19"/>
  <c r="A75" i="19"/>
  <c r="A76" i="19"/>
  <c r="A77" i="19"/>
  <c r="A78" i="19"/>
  <c r="A79" i="19"/>
  <c r="A80" i="19"/>
  <c r="A81" i="19"/>
  <c r="A82" i="19"/>
  <c r="A83" i="19"/>
  <c r="A84" i="19"/>
  <c r="A85" i="19"/>
  <c r="A86" i="19"/>
  <c r="A87" i="19"/>
  <c r="A88" i="19"/>
  <c r="A89" i="19"/>
  <c r="A90" i="19"/>
  <c r="A91" i="19"/>
  <c r="A92" i="19"/>
  <c r="A93" i="19"/>
  <c r="A94" i="19"/>
  <c r="A95" i="19"/>
  <c r="A96" i="19"/>
  <c r="A97" i="19"/>
  <c r="A98" i="19"/>
  <c r="A99" i="19"/>
  <c r="A100" i="19"/>
  <c r="A101" i="19"/>
  <c r="A102" i="19"/>
  <c r="A103" i="19"/>
  <c r="A104" i="19"/>
  <c r="A105" i="19"/>
  <c r="A106" i="19"/>
  <c r="A107" i="19"/>
  <c r="A108" i="19"/>
  <c r="A109" i="19"/>
  <c r="A110" i="19"/>
  <c r="A111" i="19"/>
  <c r="A4" i="19"/>
  <c r="G4" i="18"/>
  <c r="H4" i="18" s="1"/>
  <c r="I4" i="18" s="1"/>
  <c r="J4" i="18" s="1"/>
  <c r="G5" i="18"/>
  <c r="H5" i="18"/>
  <c r="I5" i="18" s="1"/>
  <c r="J5" i="18" s="1"/>
  <c r="G6" i="18"/>
  <c r="H6" i="18" s="1"/>
  <c r="I6" i="18" s="1"/>
  <c r="J6" i="18" s="1"/>
  <c r="G7" i="18"/>
  <c r="H7" i="18"/>
  <c r="I7" i="18" s="1"/>
  <c r="J7" i="18" s="1"/>
  <c r="G8" i="18"/>
  <c r="H8" i="18" s="1"/>
  <c r="I8" i="18" s="1"/>
  <c r="J8" i="18" s="1"/>
  <c r="G9" i="18"/>
  <c r="H9" i="18"/>
  <c r="I9" i="18" s="1"/>
  <c r="J9" i="18" s="1"/>
  <c r="G10" i="18"/>
  <c r="H10" i="18" s="1"/>
  <c r="I10" i="18" s="1"/>
  <c r="J10" i="18" s="1"/>
  <c r="G11" i="18"/>
  <c r="H11" i="18"/>
  <c r="I11" i="18" s="1"/>
  <c r="J11" i="18" s="1"/>
  <c r="G12" i="18"/>
  <c r="H12" i="18" s="1"/>
  <c r="I12" i="18" s="1"/>
  <c r="J12" i="18" s="1"/>
  <c r="G13" i="18"/>
  <c r="H13" i="18"/>
  <c r="I13" i="18" s="1"/>
  <c r="J13" i="18" s="1"/>
  <c r="G14" i="18"/>
  <c r="H14" i="18" s="1"/>
  <c r="I14" i="18" s="1"/>
  <c r="J14" i="18" s="1"/>
  <c r="G15" i="18"/>
  <c r="H15" i="18"/>
  <c r="I15" i="18" s="1"/>
  <c r="J15" i="18" s="1"/>
  <c r="G16" i="18"/>
  <c r="H16" i="18" s="1"/>
  <c r="I16" i="18" s="1"/>
  <c r="J16" i="18" s="1"/>
  <c r="G17" i="18"/>
  <c r="H17" i="18"/>
  <c r="I17" i="18" s="1"/>
  <c r="J17" i="18" s="1"/>
  <c r="G18" i="18"/>
  <c r="H18" i="18" s="1"/>
  <c r="I18" i="18" s="1"/>
  <c r="J18" i="18" s="1"/>
  <c r="G19" i="18"/>
  <c r="H19" i="18"/>
  <c r="I19" i="18" s="1"/>
  <c r="J19" i="18" s="1"/>
  <c r="G20" i="18"/>
  <c r="H20" i="18" s="1"/>
  <c r="I20" i="18" s="1"/>
  <c r="J20" i="18" s="1"/>
  <c r="G21" i="18"/>
  <c r="H21" i="18"/>
  <c r="I21" i="18" s="1"/>
  <c r="J21" i="18" s="1"/>
  <c r="G22" i="18"/>
  <c r="H22" i="18" s="1"/>
  <c r="I22" i="18" s="1"/>
  <c r="J22" i="18" s="1"/>
  <c r="G23" i="18"/>
  <c r="H23" i="18"/>
  <c r="I23" i="18" s="1"/>
  <c r="J23" i="18" s="1"/>
  <c r="G24" i="18"/>
  <c r="H24" i="18" s="1"/>
  <c r="I24" i="18" s="1"/>
  <c r="J24" i="18" s="1"/>
  <c r="G25" i="18"/>
  <c r="H25" i="18"/>
  <c r="I25" i="18" s="1"/>
  <c r="J25" i="18" s="1"/>
  <c r="G26" i="18"/>
  <c r="H26" i="18" s="1"/>
  <c r="I26" i="18" s="1"/>
  <c r="J26" i="18" s="1"/>
  <c r="G27" i="18"/>
  <c r="H27" i="18"/>
  <c r="I27" i="18" s="1"/>
  <c r="J27" i="18" s="1"/>
  <c r="G28" i="18"/>
  <c r="H28" i="18" s="1"/>
  <c r="I28" i="18" s="1"/>
  <c r="J28" i="18" s="1"/>
  <c r="G29" i="18"/>
  <c r="H29" i="18"/>
  <c r="I29" i="18" s="1"/>
  <c r="J29" i="18" s="1"/>
  <c r="H3" i="18"/>
  <c r="I3" i="18" s="1"/>
  <c r="J3" i="18" s="1"/>
  <c r="L4" i="18"/>
  <c r="M4" i="18" s="1"/>
  <c r="N4" i="18" s="1"/>
  <c r="O4" i="18" s="1"/>
  <c r="L5" i="18"/>
  <c r="M5" i="18"/>
  <c r="N5" i="18" s="1"/>
  <c r="O5" i="18" s="1"/>
  <c r="L6" i="18"/>
  <c r="M6" i="18" s="1"/>
  <c r="N6" i="18" s="1"/>
  <c r="O6" i="18" s="1"/>
  <c r="L7" i="18"/>
  <c r="M7" i="18"/>
  <c r="N7" i="18" s="1"/>
  <c r="O7" i="18" s="1"/>
  <c r="L8" i="18"/>
  <c r="M8" i="18" s="1"/>
  <c r="N8" i="18" s="1"/>
  <c r="O8" i="18" s="1"/>
  <c r="L9" i="18"/>
  <c r="M9" i="18"/>
  <c r="N9" i="18" s="1"/>
  <c r="O9" i="18" s="1"/>
  <c r="L10" i="18"/>
  <c r="M10" i="18" s="1"/>
  <c r="N10" i="18" s="1"/>
  <c r="O10" i="18" s="1"/>
  <c r="L11" i="18"/>
  <c r="M11" i="18"/>
  <c r="N11" i="18" s="1"/>
  <c r="O11" i="18" s="1"/>
  <c r="L12" i="18"/>
  <c r="M12" i="18" s="1"/>
  <c r="N12" i="18" s="1"/>
  <c r="O12" i="18" s="1"/>
  <c r="L13" i="18"/>
  <c r="M13" i="18"/>
  <c r="N13" i="18" s="1"/>
  <c r="O13" i="18" s="1"/>
  <c r="L14" i="18"/>
  <c r="M14" i="18" s="1"/>
  <c r="N14" i="18" s="1"/>
  <c r="O14" i="18" s="1"/>
  <c r="L15" i="18"/>
  <c r="M15" i="18"/>
  <c r="N15" i="18" s="1"/>
  <c r="O15" i="18" s="1"/>
  <c r="L16" i="18"/>
  <c r="M16" i="18" s="1"/>
  <c r="N16" i="18" s="1"/>
  <c r="O16" i="18" s="1"/>
  <c r="L17" i="18"/>
  <c r="M17" i="18"/>
  <c r="N17" i="18" s="1"/>
  <c r="O17" i="18" s="1"/>
  <c r="L18" i="18"/>
  <c r="M18" i="18" s="1"/>
  <c r="N18" i="18" s="1"/>
  <c r="O18" i="18" s="1"/>
  <c r="L19" i="18"/>
  <c r="M19" i="18"/>
  <c r="N19" i="18" s="1"/>
  <c r="O19" i="18" s="1"/>
  <c r="L20" i="18"/>
  <c r="M20" i="18" s="1"/>
  <c r="N20" i="18" s="1"/>
  <c r="O20" i="18" s="1"/>
  <c r="L21" i="18"/>
  <c r="M21" i="18"/>
  <c r="N21" i="18" s="1"/>
  <c r="O21" i="18" s="1"/>
  <c r="L22" i="18"/>
  <c r="M22" i="18" s="1"/>
  <c r="N22" i="18" s="1"/>
  <c r="O22" i="18" s="1"/>
  <c r="L23" i="18"/>
  <c r="M23" i="18"/>
  <c r="N23" i="18" s="1"/>
  <c r="O23" i="18" s="1"/>
  <c r="L24" i="18"/>
  <c r="M24" i="18" s="1"/>
  <c r="N24" i="18" s="1"/>
  <c r="O24" i="18" s="1"/>
  <c r="L25" i="18"/>
  <c r="M25" i="18"/>
  <c r="N25" i="18" s="1"/>
  <c r="O25" i="18" s="1"/>
  <c r="L26" i="18"/>
  <c r="M26" i="18" s="1"/>
  <c r="N26" i="18" s="1"/>
  <c r="O26" i="18" s="1"/>
  <c r="L27" i="18"/>
  <c r="M27" i="18"/>
  <c r="N27" i="18" s="1"/>
  <c r="O27" i="18" s="1"/>
  <c r="L28" i="18"/>
  <c r="M28" i="18" s="1"/>
  <c r="N28" i="18" s="1"/>
  <c r="O28" i="18" s="1"/>
  <c r="L29" i="18"/>
  <c r="M29" i="18"/>
  <c r="N29" i="18" s="1"/>
  <c r="O29" i="18" s="1"/>
  <c r="M3" i="18"/>
  <c r="N3" i="18" s="1"/>
  <c r="O3" i="18" s="1"/>
  <c r="Q4" i="18"/>
  <c r="R4" i="18" s="1"/>
  <c r="S4" i="18" s="1"/>
  <c r="T4" i="18" s="1"/>
  <c r="Q5" i="18"/>
  <c r="R5" i="18"/>
  <c r="S5" i="18" s="1"/>
  <c r="T5" i="18" s="1"/>
  <c r="Q6" i="18"/>
  <c r="R6" i="18" s="1"/>
  <c r="S6" i="18" s="1"/>
  <c r="T6" i="18" s="1"/>
  <c r="Q7" i="18"/>
  <c r="R7" i="18"/>
  <c r="S7" i="18" s="1"/>
  <c r="T7" i="18" s="1"/>
  <c r="Q8" i="18"/>
  <c r="R8" i="18" s="1"/>
  <c r="S8" i="18" s="1"/>
  <c r="T8" i="18" s="1"/>
  <c r="Q9" i="18"/>
  <c r="R9" i="18"/>
  <c r="S9" i="18" s="1"/>
  <c r="T9" i="18" s="1"/>
  <c r="Q10" i="18"/>
  <c r="R10" i="18" s="1"/>
  <c r="S10" i="18" s="1"/>
  <c r="T10" i="18" s="1"/>
  <c r="Q11" i="18"/>
  <c r="R11" i="18"/>
  <c r="S11" i="18" s="1"/>
  <c r="T11" i="18" s="1"/>
  <c r="Q12" i="18"/>
  <c r="R12" i="18" s="1"/>
  <c r="S12" i="18" s="1"/>
  <c r="T12" i="18" s="1"/>
  <c r="Q13" i="18"/>
  <c r="R13" i="18"/>
  <c r="S13" i="18" s="1"/>
  <c r="T13" i="18" s="1"/>
  <c r="Q14" i="18"/>
  <c r="R14" i="18" s="1"/>
  <c r="S14" i="18" s="1"/>
  <c r="T14" i="18" s="1"/>
  <c r="Q15" i="18"/>
  <c r="R15" i="18"/>
  <c r="S15" i="18" s="1"/>
  <c r="T15" i="18" s="1"/>
  <c r="Q16" i="18"/>
  <c r="R16" i="18" s="1"/>
  <c r="S16" i="18" s="1"/>
  <c r="T16" i="18" s="1"/>
  <c r="Q17" i="18"/>
  <c r="R17" i="18"/>
  <c r="S17" i="18" s="1"/>
  <c r="T17" i="18" s="1"/>
  <c r="Q18" i="18"/>
  <c r="R18" i="18" s="1"/>
  <c r="S18" i="18" s="1"/>
  <c r="T18" i="18" s="1"/>
  <c r="Q19" i="18"/>
  <c r="R19" i="18"/>
  <c r="S19" i="18" s="1"/>
  <c r="T19" i="18" s="1"/>
  <c r="Q20" i="18"/>
  <c r="R20" i="18" s="1"/>
  <c r="S20" i="18" s="1"/>
  <c r="T20" i="18" s="1"/>
  <c r="Q21" i="18"/>
  <c r="R21" i="18"/>
  <c r="S21" i="18" s="1"/>
  <c r="T21" i="18" s="1"/>
  <c r="Q22" i="18"/>
  <c r="R22" i="18" s="1"/>
  <c r="S22" i="18" s="1"/>
  <c r="T22" i="18" s="1"/>
  <c r="Q23" i="18"/>
  <c r="R23" i="18"/>
  <c r="S23" i="18" s="1"/>
  <c r="T23" i="18" s="1"/>
  <c r="Q24" i="18"/>
  <c r="R24" i="18" s="1"/>
  <c r="S24" i="18" s="1"/>
  <c r="T24" i="18" s="1"/>
  <c r="Q25" i="18"/>
  <c r="R25" i="18"/>
  <c r="S25" i="18" s="1"/>
  <c r="T25" i="18" s="1"/>
  <c r="Q26" i="18"/>
  <c r="R26" i="18" s="1"/>
  <c r="S26" i="18" s="1"/>
  <c r="T26" i="18" s="1"/>
  <c r="Q27" i="18"/>
  <c r="R27" i="18"/>
  <c r="S27" i="18" s="1"/>
  <c r="T27" i="18" s="1"/>
  <c r="Q28" i="18"/>
  <c r="R28" i="18" s="1"/>
  <c r="S28" i="18" s="1"/>
  <c r="T28" i="18" s="1"/>
  <c r="Q29" i="18"/>
  <c r="R29" i="18"/>
  <c r="S29" i="18" s="1"/>
  <c r="T29" i="18" s="1"/>
  <c r="R3" i="18"/>
  <c r="S3" i="18"/>
  <c r="T3" i="18" s="1"/>
  <c r="V4" i="18"/>
  <c r="W4" i="18" s="1"/>
  <c r="X4" i="18" s="1"/>
  <c r="Y4" i="18" s="1"/>
  <c r="V5" i="18"/>
  <c r="W5" i="18" s="1"/>
  <c r="X5" i="18" s="1"/>
  <c r="Y5" i="18" s="1"/>
  <c r="V6" i="18"/>
  <c r="W6" i="18" s="1"/>
  <c r="X6" i="18" s="1"/>
  <c r="Y6" i="18" s="1"/>
  <c r="V7" i="18"/>
  <c r="W7" i="18" s="1"/>
  <c r="X7" i="18" s="1"/>
  <c r="Y7" i="18" s="1"/>
  <c r="V8" i="18"/>
  <c r="W8" i="18" s="1"/>
  <c r="X8" i="18" s="1"/>
  <c r="Y8" i="18" s="1"/>
  <c r="V9" i="18"/>
  <c r="W9" i="18" s="1"/>
  <c r="X9" i="18" s="1"/>
  <c r="Y9" i="18" s="1"/>
  <c r="V10" i="18"/>
  <c r="W10" i="18" s="1"/>
  <c r="X10" i="18" s="1"/>
  <c r="Y10" i="18" s="1"/>
  <c r="V11" i="18"/>
  <c r="W11" i="18" s="1"/>
  <c r="X11" i="18" s="1"/>
  <c r="Y11" i="18" s="1"/>
  <c r="V12" i="18"/>
  <c r="W12" i="18" s="1"/>
  <c r="X12" i="18" s="1"/>
  <c r="Y12" i="18" s="1"/>
  <c r="V13" i="18"/>
  <c r="W13" i="18" s="1"/>
  <c r="X13" i="18" s="1"/>
  <c r="Y13" i="18" s="1"/>
  <c r="V14" i="18"/>
  <c r="W14" i="18" s="1"/>
  <c r="X14" i="18" s="1"/>
  <c r="Y14" i="18" s="1"/>
  <c r="V15" i="18"/>
  <c r="W15" i="18" s="1"/>
  <c r="X15" i="18" s="1"/>
  <c r="Y15" i="18" s="1"/>
  <c r="V16" i="18"/>
  <c r="W16" i="18" s="1"/>
  <c r="X16" i="18" s="1"/>
  <c r="Y16" i="18" s="1"/>
  <c r="V17" i="18"/>
  <c r="W17" i="18" s="1"/>
  <c r="X17" i="18" s="1"/>
  <c r="Y17" i="18" s="1"/>
  <c r="V18" i="18"/>
  <c r="W18" i="18" s="1"/>
  <c r="X18" i="18" s="1"/>
  <c r="Y18" i="18" s="1"/>
  <c r="V19" i="18"/>
  <c r="W19" i="18" s="1"/>
  <c r="X19" i="18" s="1"/>
  <c r="Y19" i="18" s="1"/>
  <c r="V20" i="18"/>
  <c r="W20" i="18" s="1"/>
  <c r="X20" i="18" s="1"/>
  <c r="Y20" i="18" s="1"/>
  <c r="V21" i="18"/>
  <c r="W21" i="18" s="1"/>
  <c r="X21" i="18" s="1"/>
  <c r="Y21" i="18" s="1"/>
  <c r="V22" i="18"/>
  <c r="W22" i="18" s="1"/>
  <c r="X22" i="18" s="1"/>
  <c r="Y22" i="18" s="1"/>
  <c r="V23" i="18"/>
  <c r="W23" i="18" s="1"/>
  <c r="X23" i="18" s="1"/>
  <c r="Y23" i="18" s="1"/>
  <c r="V24" i="18"/>
  <c r="W24" i="18" s="1"/>
  <c r="X24" i="18" s="1"/>
  <c r="Y24" i="18" s="1"/>
  <c r="V25" i="18"/>
  <c r="W25" i="18" s="1"/>
  <c r="X25" i="18" s="1"/>
  <c r="Y25" i="18" s="1"/>
  <c r="V26" i="18"/>
  <c r="W26" i="18" s="1"/>
  <c r="X26" i="18" s="1"/>
  <c r="Y26" i="18" s="1"/>
  <c r="V27" i="18"/>
  <c r="W27" i="18" s="1"/>
  <c r="X27" i="18" s="1"/>
  <c r="Y27" i="18" s="1"/>
  <c r="V28" i="18"/>
  <c r="W28" i="18" s="1"/>
  <c r="X28" i="18" s="1"/>
  <c r="Y28" i="18" s="1"/>
  <c r="V29" i="18"/>
  <c r="W29" i="18" s="1"/>
  <c r="X29" i="18" s="1"/>
  <c r="Y29" i="18" s="1"/>
  <c r="W3" i="18"/>
  <c r="X3" i="18"/>
  <c r="Y3" i="18" s="1"/>
  <c r="AA4" i="18"/>
  <c r="AB4" i="18" s="1"/>
  <c r="AC4" i="18" s="1"/>
  <c r="AD4" i="18" s="1"/>
  <c r="AA5" i="18"/>
  <c r="AB5" i="18" s="1"/>
  <c r="AC5" i="18" s="1"/>
  <c r="AD5" i="18" s="1"/>
  <c r="AA6" i="18"/>
  <c r="AB6" i="18" s="1"/>
  <c r="AC6" i="18" s="1"/>
  <c r="AD6" i="18" s="1"/>
  <c r="AA7" i="18"/>
  <c r="AB7" i="18" s="1"/>
  <c r="AC7" i="18" s="1"/>
  <c r="AD7" i="18" s="1"/>
  <c r="AA8" i="18"/>
  <c r="AB8" i="18" s="1"/>
  <c r="AC8" i="18" s="1"/>
  <c r="AD8" i="18" s="1"/>
  <c r="AA9" i="18"/>
  <c r="AB9" i="18" s="1"/>
  <c r="AC9" i="18" s="1"/>
  <c r="AD9" i="18" s="1"/>
  <c r="AA10" i="18"/>
  <c r="AB10" i="18" s="1"/>
  <c r="AC10" i="18" s="1"/>
  <c r="AD10" i="18" s="1"/>
  <c r="AA11" i="18"/>
  <c r="AB11" i="18" s="1"/>
  <c r="AC11" i="18" s="1"/>
  <c r="AD11" i="18" s="1"/>
  <c r="AA12" i="18"/>
  <c r="AB12" i="18" s="1"/>
  <c r="AC12" i="18" s="1"/>
  <c r="AD12" i="18" s="1"/>
  <c r="AA13" i="18"/>
  <c r="AB13" i="18" s="1"/>
  <c r="AC13" i="18" s="1"/>
  <c r="AD13" i="18" s="1"/>
  <c r="AA14" i="18"/>
  <c r="AB14" i="18" s="1"/>
  <c r="AC14" i="18" s="1"/>
  <c r="AD14" i="18" s="1"/>
  <c r="AA15" i="18"/>
  <c r="AB15" i="18" s="1"/>
  <c r="AC15" i="18" s="1"/>
  <c r="AD15" i="18" s="1"/>
  <c r="AA16" i="18"/>
  <c r="AB16" i="18" s="1"/>
  <c r="AC16" i="18" s="1"/>
  <c r="AD16" i="18" s="1"/>
  <c r="AA17" i="18"/>
  <c r="AB17" i="18" s="1"/>
  <c r="AC17" i="18" s="1"/>
  <c r="AD17" i="18" s="1"/>
  <c r="AA18" i="18"/>
  <c r="AB18" i="18" s="1"/>
  <c r="AC18" i="18" s="1"/>
  <c r="AD18" i="18" s="1"/>
  <c r="AA19" i="18"/>
  <c r="AB19" i="18" s="1"/>
  <c r="AC19" i="18" s="1"/>
  <c r="AD19" i="18" s="1"/>
  <c r="AA20" i="18"/>
  <c r="AB20" i="18" s="1"/>
  <c r="AC20" i="18" s="1"/>
  <c r="AD20" i="18" s="1"/>
  <c r="AA21" i="18"/>
  <c r="AB21" i="18" s="1"/>
  <c r="AC21" i="18" s="1"/>
  <c r="AD21" i="18" s="1"/>
  <c r="AA22" i="18"/>
  <c r="AB22" i="18" s="1"/>
  <c r="AC22" i="18" s="1"/>
  <c r="AD22" i="18" s="1"/>
  <c r="AA23" i="18"/>
  <c r="AB23" i="18" s="1"/>
  <c r="AC23" i="18" s="1"/>
  <c r="AD23" i="18" s="1"/>
  <c r="AA24" i="18"/>
  <c r="AB24" i="18" s="1"/>
  <c r="AC24" i="18" s="1"/>
  <c r="AD24" i="18" s="1"/>
  <c r="AA25" i="18"/>
  <c r="AB25" i="18" s="1"/>
  <c r="AC25" i="18" s="1"/>
  <c r="AD25" i="18" s="1"/>
  <c r="AA26" i="18"/>
  <c r="AB26" i="18" s="1"/>
  <c r="AC26" i="18" s="1"/>
  <c r="AD26" i="18" s="1"/>
  <c r="AA27" i="18"/>
  <c r="AB27" i="18" s="1"/>
  <c r="AC27" i="18" s="1"/>
  <c r="AD27" i="18" s="1"/>
  <c r="AA28" i="18"/>
  <c r="AB28" i="18" s="1"/>
  <c r="AC28" i="18" s="1"/>
  <c r="AD28" i="18" s="1"/>
  <c r="AA29" i="18"/>
  <c r="AB29" i="18" s="1"/>
  <c r="AC29" i="18" s="1"/>
  <c r="AD29" i="18" s="1"/>
  <c r="AB3" i="18"/>
  <c r="AC3" i="18" s="1"/>
  <c r="AD3" i="18" s="1"/>
  <c r="AF4" i="18"/>
  <c r="AG4" i="18" s="1"/>
  <c r="AH4" i="18" s="1"/>
  <c r="AI4" i="18" s="1"/>
  <c r="AF5" i="18"/>
  <c r="AG5" i="18"/>
  <c r="AH5" i="18" s="1"/>
  <c r="AI5" i="18" s="1"/>
  <c r="AF6" i="18"/>
  <c r="AG6" i="18" s="1"/>
  <c r="AH6" i="18" s="1"/>
  <c r="AI6" i="18" s="1"/>
  <c r="AF7" i="18"/>
  <c r="AG7" i="18"/>
  <c r="AH7" i="18" s="1"/>
  <c r="AI7" i="18" s="1"/>
  <c r="AF8" i="18"/>
  <c r="AG8" i="18" s="1"/>
  <c r="AH8" i="18" s="1"/>
  <c r="AI8" i="18" s="1"/>
  <c r="AF9" i="18"/>
  <c r="AG9" i="18"/>
  <c r="AH9" i="18" s="1"/>
  <c r="AI9" i="18" s="1"/>
  <c r="AF10" i="18"/>
  <c r="AG10" i="18" s="1"/>
  <c r="AH10" i="18" s="1"/>
  <c r="AI10" i="18" s="1"/>
  <c r="AF11" i="18"/>
  <c r="AG11" i="18"/>
  <c r="AH11" i="18" s="1"/>
  <c r="AI11" i="18" s="1"/>
  <c r="AF12" i="18"/>
  <c r="AG12" i="18" s="1"/>
  <c r="AH12" i="18" s="1"/>
  <c r="AI12" i="18" s="1"/>
  <c r="AF13" i="18"/>
  <c r="AG13" i="18"/>
  <c r="AH13" i="18" s="1"/>
  <c r="AI13" i="18" s="1"/>
  <c r="AF14" i="18"/>
  <c r="AG14" i="18" s="1"/>
  <c r="AH14" i="18" s="1"/>
  <c r="AI14" i="18" s="1"/>
  <c r="AF15" i="18"/>
  <c r="AG15" i="18"/>
  <c r="AH15" i="18" s="1"/>
  <c r="AI15" i="18" s="1"/>
  <c r="AF16" i="18"/>
  <c r="AG16" i="18" s="1"/>
  <c r="AH16" i="18" s="1"/>
  <c r="AI16" i="18" s="1"/>
  <c r="AF17" i="18"/>
  <c r="AG17" i="18"/>
  <c r="AH17" i="18" s="1"/>
  <c r="AI17" i="18" s="1"/>
  <c r="AF18" i="18"/>
  <c r="AG18" i="18" s="1"/>
  <c r="AH18" i="18" s="1"/>
  <c r="AI18" i="18" s="1"/>
  <c r="AF19" i="18"/>
  <c r="AG19" i="18"/>
  <c r="AH19" i="18" s="1"/>
  <c r="AI19" i="18" s="1"/>
  <c r="AF20" i="18"/>
  <c r="AG20" i="18" s="1"/>
  <c r="AH20" i="18" s="1"/>
  <c r="AI20" i="18" s="1"/>
  <c r="AF21" i="18"/>
  <c r="AG21" i="18"/>
  <c r="AH21" i="18" s="1"/>
  <c r="AI21" i="18" s="1"/>
  <c r="AF22" i="18"/>
  <c r="AG22" i="18" s="1"/>
  <c r="AH22" i="18" s="1"/>
  <c r="AI22" i="18" s="1"/>
  <c r="AF23" i="18"/>
  <c r="AG23" i="18"/>
  <c r="AH23" i="18" s="1"/>
  <c r="AI23" i="18" s="1"/>
  <c r="AF24" i="18"/>
  <c r="AG24" i="18" s="1"/>
  <c r="AH24" i="18" s="1"/>
  <c r="AI24" i="18" s="1"/>
  <c r="AF25" i="18"/>
  <c r="AG25" i="18"/>
  <c r="AH25" i="18" s="1"/>
  <c r="AI25" i="18" s="1"/>
  <c r="AF26" i="18"/>
  <c r="AG26" i="18" s="1"/>
  <c r="AH26" i="18" s="1"/>
  <c r="AI26" i="18" s="1"/>
  <c r="AF27" i="18"/>
  <c r="AG27" i="18"/>
  <c r="AH27" i="18" s="1"/>
  <c r="AI27" i="18" s="1"/>
  <c r="AF28" i="18"/>
  <c r="AG28" i="18" s="1"/>
  <c r="AH28" i="18" s="1"/>
  <c r="AI28" i="18" s="1"/>
  <c r="AF29" i="18"/>
  <c r="AG29" i="18"/>
  <c r="AH29" i="18" s="1"/>
  <c r="AI29" i="18" s="1"/>
  <c r="AG3" i="18"/>
  <c r="AH3" i="18"/>
  <c r="AI3" i="18" s="1"/>
  <c r="AF3" i="18"/>
  <c r="AA3" i="18"/>
  <c r="V3" i="18"/>
  <c r="Q3" i="18"/>
  <c r="L3" i="18"/>
  <c r="G3" i="18"/>
  <c r="A27" i="18"/>
  <c r="A12" i="18"/>
  <c r="A29" i="18"/>
  <c r="A28" i="18"/>
  <c r="A26" i="18"/>
  <c r="A25" i="18"/>
  <c r="A24" i="18"/>
  <c r="A3" i="18"/>
  <c r="A23" i="18"/>
  <c r="A22" i="18"/>
  <c r="A16" i="18"/>
  <c r="A20" i="18"/>
  <c r="A19" i="18"/>
  <c r="A21" i="18"/>
  <c r="A6" i="18"/>
  <c r="A18" i="18"/>
  <c r="A15" i="18"/>
  <c r="A13" i="18"/>
  <c r="A11" i="18"/>
  <c r="A14" i="18"/>
  <c r="A17" i="18"/>
  <c r="A10" i="18"/>
  <c r="A8" i="18"/>
  <c r="A9" i="18"/>
  <c r="A7" i="18"/>
  <c r="A5" i="18"/>
  <c r="A4" i="18"/>
  <c r="G277" i="16"/>
  <c r="H277" i="16"/>
  <c r="I277" i="16"/>
  <c r="J277" i="16"/>
  <c r="K277" i="16"/>
  <c r="L277" i="16"/>
  <c r="M277" i="16"/>
  <c r="N277" i="16"/>
  <c r="O277" i="16"/>
  <c r="P277" i="16"/>
  <c r="Q277" i="16"/>
  <c r="R277" i="16"/>
  <c r="S277" i="16"/>
  <c r="T277" i="16"/>
  <c r="U277" i="16"/>
  <c r="V277" i="16"/>
  <c r="W277" i="16"/>
  <c r="X277" i="16"/>
  <c r="Y277" i="16"/>
  <c r="Z277" i="16"/>
  <c r="AA277" i="16"/>
  <c r="AB277" i="16"/>
  <c r="AC277" i="16"/>
  <c r="AD277" i="16"/>
  <c r="AE277" i="16"/>
  <c r="AF277" i="16"/>
  <c r="AG277" i="16"/>
  <c r="AH277" i="16"/>
  <c r="F277" i="16"/>
  <c r="AI277" i="16" s="1"/>
  <c r="AJ277" i="16" s="1"/>
  <c r="AK277" i="16" s="1"/>
  <c r="AL277" i="16" s="1"/>
  <c r="AM277" i="16" s="1"/>
  <c r="AN277" i="16" s="1"/>
  <c r="AO277" i="16" s="1"/>
  <c r="AP277" i="16" s="1"/>
  <c r="AQ277" i="16" s="1"/>
  <c r="AR277" i="16" s="1"/>
  <c r="AS277" i="16" s="1"/>
  <c r="AT277" i="16" s="1"/>
  <c r="AU277" i="16" s="1"/>
  <c r="AV277" i="16" s="1"/>
  <c r="AW277" i="16" s="1"/>
  <c r="AX277" i="16" s="1"/>
  <c r="AY277" i="16" s="1"/>
  <c r="AZ277" i="16" s="1"/>
  <c r="BA277" i="16" s="1"/>
  <c r="BB277" i="16" s="1"/>
  <c r="AI251" i="16"/>
  <c r="AJ251" i="16" s="1"/>
  <c r="AK251" i="16" s="1"/>
  <c r="AL251" i="16"/>
  <c r="AM251" i="16" s="1"/>
  <c r="AN251" i="16" s="1"/>
  <c r="AO251" i="16" s="1"/>
  <c r="AP251" i="16"/>
  <c r="AQ251" i="16" s="1"/>
  <c r="AR251" i="16" s="1"/>
  <c r="AS251" i="16" s="1"/>
  <c r="AT251" i="16" s="1"/>
  <c r="AU251" i="16" s="1"/>
  <c r="AV251" i="16" s="1"/>
  <c r="AW251" i="16" s="1"/>
  <c r="AX251" i="16" s="1"/>
  <c r="AY251" i="16" s="1"/>
  <c r="AZ251" i="16" s="1"/>
  <c r="BA251" i="16" s="1"/>
  <c r="BB251" i="16" s="1"/>
  <c r="AI252" i="16"/>
  <c r="AJ252" i="16" s="1"/>
  <c r="AK252" i="16" s="1"/>
  <c r="AL252" i="16"/>
  <c r="AM252" i="16" s="1"/>
  <c r="AN252" i="16" s="1"/>
  <c r="AO252" i="16" s="1"/>
  <c r="AP252" i="16" s="1"/>
  <c r="AQ252" i="16" s="1"/>
  <c r="AR252" i="16" s="1"/>
  <c r="AS252" i="16" s="1"/>
  <c r="AT252" i="16" s="1"/>
  <c r="AU252" i="16" s="1"/>
  <c r="AV252" i="16" s="1"/>
  <c r="AW252" i="16" s="1"/>
  <c r="AX252" i="16" s="1"/>
  <c r="AY252" i="16" s="1"/>
  <c r="AZ252" i="16" s="1"/>
  <c r="BA252" i="16" s="1"/>
  <c r="BB252" i="16" s="1"/>
  <c r="AI253" i="16"/>
  <c r="AJ253" i="16" s="1"/>
  <c r="AK253" i="16" s="1"/>
  <c r="AL253" i="16"/>
  <c r="AM253" i="16" s="1"/>
  <c r="AN253" i="16" s="1"/>
  <c r="AO253" i="16" s="1"/>
  <c r="AP253" i="16" s="1"/>
  <c r="AQ253" i="16" s="1"/>
  <c r="AR253" i="16" s="1"/>
  <c r="AS253" i="16" s="1"/>
  <c r="AT253" i="16" s="1"/>
  <c r="AU253" i="16" s="1"/>
  <c r="AV253" i="16" s="1"/>
  <c r="AW253" i="16" s="1"/>
  <c r="AX253" i="16" s="1"/>
  <c r="AY253" i="16" s="1"/>
  <c r="AZ253" i="16" s="1"/>
  <c r="BA253" i="16" s="1"/>
  <c r="BB253" i="16" s="1"/>
  <c r="AI254" i="16"/>
  <c r="AJ254" i="16" s="1"/>
  <c r="AK254" i="16" s="1"/>
  <c r="AL254" i="16" s="1"/>
  <c r="AM254" i="16" s="1"/>
  <c r="AN254" i="16" s="1"/>
  <c r="AO254" i="16" s="1"/>
  <c r="AP254" i="16" s="1"/>
  <c r="AQ254" i="16" s="1"/>
  <c r="AR254" i="16" s="1"/>
  <c r="AS254" i="16" s="1"/>
  <c r="AT254" i="16" s="1"/>
  <c r="AU254" i="16" s="1"/>
  <c r="AV254" i="16" s="1"/>
  <c r="AW254" i="16" s="1"/>
  <c r="AX254" i="16" s="1"/>
  <c r="AY254" i="16" s="1"/>
  <c r="AZ254" i="16" s="1"/>
  <c r="BA254" i="16" s="1"/>
  <c r="BB254" i="16" s="1"/>
  <c r="AI255" i="16"/>
  <c r="AJ255" i="16" s="1"/>
  <c r="AK255" i="16" s="1"/>
  <c r="AL255" i="16"/>
  <c r="AM255" i="16" s="1"/>
  <c r="AN255" i="16" s="1"/>
  <c r="AO255" i="16" s="1"/>
  <c r="AP255" i="16"/>
  <c r="AQ255" i="16" s="1"/>
  <c r="AR255" i="16" s="1"/>
  <c r="AS255" i="16" s="1"/>
  <c r="AT255" i="16" s="1"/>
  <c r="AU255" i="16" s="1"/>
  <c r="AV255" i="16" s="1"/>
  <c r="AW255" i="16" s="1"/>
  <c r="AX255" i="16" s="1"/>
  <c r="AY255" i="16" s="1"/>
  <c r="AZ255" i="16" s="1"/>
  <c r="BA255" i="16" s="1"/>
  <c r="BB255" i="16" s="1"/>
  <c r="AI256" i="16"/>
  <c r="AJ256" i="16" s="1"/>
  <c r="AK256" i="16" s="1"/>
  <c r="AL256" i="16"/>
  <c r="AM256" i="16" s="1"/>
  <c r="AN256" i="16" s="1"/>
  <c r="AO256" i="16" s="1"/>
  <c r="AP256" i="16" s="1"/>
  <c r="AQ256" i="16" s="1"/>
  <c r="AR256" i="16" s="1"/>
  <c r="AS256" i="16" s="1"/>
  <c r="AT256" i="16" s="1"/>
  <c r="AU256" i="16" s="1"/>
  <c r="AV256" i="16" s="1"/>
  <c r="AW256" i="16" s="1"/>
  <c r="AX256" i="16" s="1"/>
  <c r="AY256" i="16" s="1"/>
  <c r="AZ256" i="16" s="1"/>
  <c r="BA256" i="16" s="1"/>
  <c r="BB256" i="16" s="1"/>
  <c r="AI257" i="16"/>
  <c r="AJ257" i="16" s="1"/>
  <c r="AK257" i="16" s="1"/>
  <c r="AL257" i="16"/>
  <c r="AM257" i="16" s="1"/>
  <c r="AN257" i="16" s="1"/>
  <c r="AO257" i="16" s="1"/>
  <c r="AP257" i="16" s="1"/>
  <c r="AQ257" i="16" s="1"/>
  <c r="AR257" i="16" s="1"/>
  <c r="AS257" i="16" s="1"/>
  <c r="AT257" i="16" s="1"/>
  <c r="AU257" i="16" s="1"/>
  <c r="AV257" i="16" s="1"/>
  <c r="AW257" i="16" s="1"/>
  <c r="AX257" i="16" s="1"/>
  <c r="AY257" i="16" s="1"/>
  <c r="AZ257" i="16" s="1"/>
  <c r="BA257" i="16" s="1"/>
  <c r="BB257" i="16" s="1"/>
  <c r="AI258" i="16"/>
  <c r="AJ258" i="16" s="1"/>
  <c r="AK258" i="16" s="1"/>
  <c r="AL258" i="16" s="1"/>
  <c r="AM258" i="16" s="1"/>
  <c r="AN258" i="16" s="1"/>
  <c r="AO258" i="16" s="1"/>
  <c r="AP258" i="16" s="1"/>
  <c r="AQ258" i="16" s="1"/>
  <c r="AR258" i="16" s="1"/>
  <c r="AS258" i="16" s="1"/>
  <c r="AT258" i="16" s="1"/>
  <c r="AU258" i="16" s="1"/>
  <c r="AV258" i="16" s="1"/>
  <c r="AW258" i="16" s="1"/>
  <c r="AX258" i="16" s="1"/>
  <c r="AY258" i="16" s="1"/>
  <c r="AZ258" i="16" s="1"/>
  <c r="BA258" i="16" s="1"/>
  <c r="BB258" i="16" s="1"/>
  <c r="AI259" i="16"/>
  <c r="AJ259" i="16" s="1"/>
  <c r="AK259" i="16" s="1"/>
  <c r="AL259" i="16"/>
  <c r="AM259" i="16" s="1"/>
  <c r="AN259" i="16" s="1"/>
  <c r="AO259" i="16" s="1"/>
  <c r="AP259" i="16"/>
  <c r="AQ259" i="16" s="1"/>
  <c r="AR259" i="16" s="1"/>
  <c r="AS259" i="16" s="1"/>
  <c r="AT259" i="16" s="1"/>
  <c r="AU259" i="16" s="1"/>
  <c r="AV259" i="16" s="1"/>
  <c r="AW259" i="16" s="1"/>
  <c r="AX259" i="16" s="1"/>
  <c r="AY259" i="16" s="1"/>
  <c r="AZ259" i="16" s="1"/>
  <c r="BA259" i="16" s="1"/>
  <c r="BB259" i="16" s="1"/>
  <c r="AI260" i="16"/>
  <c r="AJ260" i="16" s="1"/>
  <c r="AK260" i="16" s="1"/>
  <c r="AL260" i="16"/>
  <c r="AM260" i="16" s="1"/>
  <c r="AN260" i="16" s="1"/>
  <c r="AO260" i="16" s="1"/>
  <c r="AP260" i="16" s="1"/>
  <c r="AQ260" i="16" s="1"/>
  <c r="AR260" i="16" s="1"/>
  <c r="AS260" i="16" s="1"/>
  <c r="AT260" i="16" s="1"/>
  <c r="AU260" i="16" s="1"/>
  <c r="AV260" i="16" s="1"/>
  <c r="AW260" i="16" s="1"/>
  <c r="AX260" i="16" s="1"/>
  <c r="AY260" i="16" s="1"/>
  <c r="AZ260" i="16" s="1"/>
  <c r="BA260" i="16" s="1"/>
  <c r="BB260" i="16" s="1"/>
  <c r="AI261" i="16"/>
  <c r="AJ261" i="16" s="1"/>
  <c r="AK261" i="16" s="1"/>
  <c r="AL261" i="16"/>
  <c r="AM261" i="16" s="1"/>
  <c r="AN261" i="16" s="1"/>
  <c r="AO261" i="16" s="1"/>
  <c r="AP261" i="16" s="1"/>
  <c r="AQ261" i="16" s="1"/>
  <c r="AR261" i="16" s="1"/>
  <c r="AS261" i="16" s="1"/>
  <c r="AT261" i="16" s="1"/>
  <c r="AU261" i="16" s="1"/>
  <c r="AV261" i="16" s="1"/>
  <c r="AW261" i="16" s="1"/>
  <c r="AX261" i="16" s="1"/>
  <c r="AY261" i="16" s="1"/>
  <c r="AZ261" i="16" s="1"/>
  <c r="BA261" i="16" s="1"/>
  <c r="BB261" i="16" s="1"/>
  <c r="AI262" i="16"/>
  <c r="AJ262" i="16" s="1"/>
  <c r="AK262" i="16" s="1"/>
  <c r="AL262" i="16" s="1"/>
  <c r="AM262" i="16" s="1"/>
  <c r="AN262" i="16" s="1"/>
  <c r="AO262" i="16" s="1"/>
  <c r="AP262" i="16" s="1"/>
  <c r="AQ262" i="16" s="1"/>
  <c r="AR262" i="16" s="1"/>
  <c r="AS262" i="16" s="1"/>
  <c r="AT262" i="16" s="1"/>
  <c r="AU262" i="16" s="1"/>
  <c r="AV262" i="16" s="1"/>
  <c r="AW262" i="16" s="1"/>
  <c r="AX262" i="16" s="1"/>
  <c r="AY262" i="16" s="1"/>
  <c r="AZ262" i="16" s="1"/>
  <c r="BA262" i="16" s="1"/>
  <c r="BB262" i="16" s="1"/>
  <c r="AI263" i="16"/>
  <c r="AJ263" i="16" s="1"/>
  <c r="AK263" i="16" s="1"/>
  <c r="AL263" i="16"/>
  <c r="AM263" i="16" s="1"/>
  <c r="AN263" i="16" s="1"/>
  <c r="AO263" i="16" s="1"/>
  <c r="AP263" i="16"/>
  <c r="AQ263" i="16" s="1"/>
  <c r="AR263" i="16" s="1"/>
  <c r="AS263" i="16" s="1"/>
  <c r="AT263" i="16" s="1"/>
  <c r="AU263" i="16" s="1"/>
  <c r="AV263" i="16" s="1"/>
  <c r="AW263" i="16" s="1"/>
  <c r="AX263" i="16" s="1"/>
  <c r="AY263" i="16" s="1"/>
  <c r="AZ263" i="16" s="1"/>
  <c r="BA263" i="16" s="1"/>
  <c r="BB263" i="16" s="1"/>
  <c r="AI264" i="16"/>
  <c r="AJ264" i="16" s="1"/>
  <c r="AK264" i="16" s="1"/>
  <c r="AL264" i="16"/>
  <c r="AM264" i="16" s="1"/>
  <c r="AN264" i="16" s="1"/>
  <c r="AO264" i="16" s="1"/>
  <c r="AP264" i="16" s="1"/>
  <c r="AQ264" i="16" s="1"/>
  <c r="AR264" i="16" s="1"/>
  <c r="AS264" i="16" s="1"/>
  <c r="AT264" i="16" s="1"/>
  <c r="AU264" i="16" s="1"/>
  <c r="AV264" i="16" s="1"/>
  <c r="AW264" i="16" s="1"/>
  <c r="AX264" i="16" s="1"/>
  <c r="AY264" i="16" s="1"/>
  <c r="AZ264" i="16" s="1"/>
  <c r="BA264" i="16" s="1"/>
  <c r="BB264" i="16" s="1"/>
  <c r="AI265" i="16"/>
  <c r="AJ265" i="16" s="1"/>
  <c r="AK265" i="16" s="1"/>
  <c r="AL265" i="16"/>
  <c r="AM265" i="16" s="1"/>
  <c r="AN265" i="16" s="1"/>
  <c r="AO265" i="16" s="1"/>
  <c r="AP265" i="16" s="1"/>
  <c r="AQ265" i="16" s="1"/>
  <c r="AR265" i="16" s="1"/>
  <c r="AS265" i="16" s="1"/>
  <c r="AT265" i="16" s="1"/>
  <c r="AU265" i="16" s="1"/>
  <c r="AV265" i="16" s="1"/>
  <c r="AW265" i="16" s="1"/>
  <c r="AX265" i="16" s="1"/>
  <c r="AY265" i="16" s="1"/>
  <c r="AZ265" i="16" s="1"/>
  <c r="BA265" i="16" s="1"/>
  <c r="BB265" i="16" s="1"/>
  <c r="AI266" i="16"/>
  <c r="AJ266" i="16" s="1"/>
  <c r="AK266" i="16" s="1"/>
  <c r="AL266" i="16" s="1"/>
  <c r="AM266" i="16" s="1"/>
  <c r="AN266" i="16" s="1"/>
  <c r="AO266" i="16" s="1"/>
  <c r="AP266" i="16" s="1"/>
  <c r="AQ266" i="16" s="1"/>
  <c r="AR266" i="16" s="1"/>
  <c r="AS266" i="16" s="1"/>
  <c r="AT266" i="16" s="1"/>
  <c r="AU266" i="16" s="1"/>
  <c r="AV266" i="16" s="1"/>
  <c r="AW266" i="16" s="1"/>
  <c r="AX266" i="16" s="1"/>
  <c r="AY266" i="16" s="1"/>
  <c r="AZ266" i="16" s="1"/>
  <c r="BA266" i="16" s="1"/>
  <c r="BB266" i="16" s="1"/>
  <c r="AI267" i="16"/>
  <c r="AJ267" i="16" s="1"/>
  <c r="AK267" i="16" s="1"/>
  <c r="AL267" i="16"/>
  <c r="AM267" i="16" s="1"/>
  <c r="AN267" i="16" s="1"/>
  <c r="AO267" i="16" s="1"/>
  <c r="AP267" i="16" s="1"/>
  <c r="AQ267" i="16" s="1"/>
  <c r="AR267" i="16" s="1"/>
  <c r="AS267" i="16" s="1"/>
  <c r="AT267" i="16" s="1"/>
  <c r="AU267" i="16" s="1"/>
  <c r="AV267" i="16" s="1"/>
  <c r="AW267" i="16" s="1"/>
  <c r="AX267" i="16" s="1"/>
  <c r="AY267" i="16" s="1"/>
  <c r="AZ267" i="16" s="1"/>
  <c r="BA267" i="16" s="1"/>
  <c r="BB267" i="16" s="1"/>
  <c r="AI268" i="16"/>
  <c r="AJ268" i="16" s="1"/>
  <c r="AK268" i="16"/>
  <c r="AL268" i="16" s="1"/>
  <c r="AM268" i="16" s="1"/>
  <c r="AN268" i="16" s="1"/>
  <c r="AO268" i="16" s="1"/>
  <c r="AP268" i="16" s="1"/>
  <c r="AQ268" i="16" s="1"/>
  <c r="AR268" i="16" s="1"/>
  <c r="AS268" i="16" s="1"/>
  <c r="AT268" i="16" s="1"/>
  <c r="AU268" i="16" s="1"/>
  <c r="AV268" i="16" s="1"/>
  <c r="AW268" i="16" s="1"/>
  <c r="AX268" i="16" s="1"/>
  <c r="AY268" i="16" s="1"/>
  <c r="AZ268" i="16" s="1"/>
  <c r="BA268" i="16" s="1"/>
  <c r="BB268" i="16" s="1"/>
  <c r="AI269" i="16"/>
  <c r="AJ269" i="16" s="1"/>
  <c r="AK269" i="16" s="1"/>
  <c r="AL269" i="16" s="1"/>
  <c r="AM269" i="16" s="1"/>
  <c r="AN269" i="16" s="1"/>
  <c r="AO269" i="16" s="1"/>
  <c r="AP269" i="16" s="1"/>
  <c r="AQ269" i="16" s="1"/>
  <c r="AR269" i="16" s="1"/>
  <c r="AS269" i="16" s="1"/>
  <c r="AT269" i="16" s="1"/>
  <c r="AU269" i="16" s="1"/>
  <c r="AV269" i="16" s="1"/>
  <c r="AW269" i="16" s="1"/>
  <c r="AX269" i="16" s="1"/>
  <c r="AY269" i="16" s="1"/>
  <c r="AZ269" i="16" s="1"/>
  <c r="BA269" i="16" s="1"/>
  <c r="BB269" i="16" s="1"/>
  <c r="AI270" i="16"/>
  <c r="AJ270" i="16" s="1"/>
  <c r="AK270" i="16" s="1"/>
  <c r="AL270" i="16" s="1"/>
  <c r="AM270" i="16" s="1"/>
  <c r="AN270" i="16" s="1"/>
  <c r="AO270" i="16" s="1"/>
  <c r="AP270" i="16" s="1"/>
  <c r="AQ270" i="16" s="1"/>
  <c r="AR270" i="16" s="1"/>
  <c r="AS270" i="16" s="1"/>
  <c r="AT270" i="16" s="1"/>
  <c r="AU270" i="16" s="1"/>
  <c r="AV270" i="16" s="1"/>
  <c r="AW270" i="16" s="1"/>
  <c r="AX270" i="16" s="1"/>
  <c r="AY270" i="16" s="1"/>
  <c r="AZ270" i="16" s="1"/>
  <c r="BA270" i="16" s="1"/>
  <c r="BB270" i="16" s="1"/>
  <c r="AI271" i="16"/>
  <c r="AJ271" i="16" s="1"/>
  <c r="AK271" i="16" s="1"/>
  <c r="AL271" i="16" s="1"/>
  <c r="AM271" i="16" s="1"/>
  <c r="AN271" i="16" s="1"/>
  <c r="AO271" i="16" s="1"/>
  <c r="AP271" i="16" s="1"/>
  <c r="AQ271" i="16" s="1"/>
  <c r="AR271" i="16" s="1"/>
  <c r="AS271" i="16" s="1"/>
  <c r="AT271" i="16" s="1"/>
  <c r="AU271" i="16" s="1"/>
  <c r="AV271" i="16" s="1"/>
  <c r="AW271" i="16" s="1"/>
  <c r="AX271" i="16" s="1"/>
  <c r="AY271" i="16" s="1"/>
  <c r="AZ271" i="16" s="1"/>
  <c r="BA271" i="16" s="1"/>
  <c r="BB271" i="16" s="1"/>
  <c r="AI272" i="16"/>
  <c r="AJ272" i="16" s="1"/>
  <c r="AK272" i="16" s="1"/>
  <c r="AL272" i="16" s="1"/>
  <c r="AM272" i="16" s="1"/>
  <c r="AN272" i="16" s="1"/>
  <c r="AO272" i="16" s="1"/>
  <c r="AP272" i="16" s="1"/>
  <c r="AQ272" i="16" s="1"/>
  <c r="AR272" i="16" s="1"/>
  <c r="AS272" i="16" s="1"/>
  <c r="AT272" i="16" s="1"/>
  <c r="AU272" i="16" s="1"/>
  <c r="AV272" i="16" s="1"/>
  <c r="AW272" i="16" s="1"/>
  <c r="AX272" i="16" s="1"/>
  <c r="AY272" i="16" s="1"/>
  <c r="AZ272" i="16" s="1"/>
  <c r="BA272" i="16" s="1"/>
  <c r="BB272" i="16" s="1"/>
  <c r="AI273" i="16"/>
  <c r="AJ273" i="16" s="1"/>
  <c r="AK273" i="16" s="1"/>
  <c r="AL273" i="16"/>
  <c r="AM273" i="16" s="1"/>
  <c r="AN273" i="16" s="1"/>
  <c r="AO273" i="16" s="1"/>
  <c r="AP273" i="16" s="1"/>
  <c r="AQ273" i="16" s="1"/>
  <c r="AR273" i="16" s="1"/>
  <c r="AS273" i="16" s="1"/>
  <c r="AT273" i="16" s="1"/>
  <c r="AU273" i="16" s="1"/>
  <c r="AV273" i="16" s="1"/>
  <c r="AW273" i="16" s="1"/>
  <c r="AX273" i="16" s="1"/>
  <c r="AY273" i="16" s="1"/>
  <c r="AZ273" i="16" s="1"/>
  <c r="BA273" i="16" s="1"/>
  <c r="BB273" i="16" s="1"/>
  <c r="AI274" i="16"/>
  <c r="AJ274" i="16" s="1"/>
  <c r="AK274" i="16"/>
  <c r="AL274" i="16" s="1"/>
  <c r="AM274" i="16" s="1"/>
  <c r="AN274" i="16" s="1"/>
  <c r="AO274" i="16" s="1"/>
  <c r="AP274" i="16" s="1"/>
  <c r="AQ274" i="16" s="1"/>
  <c r="AR274" i="16" s="1"/>
  <c r="AS274" i="16" s="1"/>
  <c r="AT274" i="16" s="1"/>
  <c r="AU274" i="16" s="1"/>
  <c r="AV274" i="16" s="1"/>
  <c r="AW274" i="16" s="1"/>
  <c r="AX274" i="16" s="1"/>
  <c r="AY274" i="16" s="1"/>
  <c r="AZ274" i="16" s="1"/>
  <c r="BA274" i="16" s="1"/>
  <c r="BB274" i="16" s="1"/>
  <c r="AI275" i="16"/>
  <c r="AJ275" i="16" s="1"/>
  <c r="AK275" i="16" s="1"/>
  <c r="AL275" i="16" s="1"/>
  <c r="AM275" i="16" s="1"/>
  <c r="AN275" i="16" s="1"/>
  <c r="AO275" i="16" s="1"/>
  <c r="AP275" i="16" s="1"/>
  <c r="AQ275" i="16" s="1"/>
  <c r="AR275" i="16" s="1"/>
  <c r="AS275" i="16" s="1"/>
  <c r="AT275" i="16" s="1"/>
  <c r="AU275" i="16" s="1"/>
  <c r="AV275" i="16" s="1"/>
  <c r="AW275" i="16" s="1"/>
  <c r="AX275" i="16" s="1"/>
  <c r="AY275" i="16" s="1"/>
  <c r="AZ275" i="16" s="1"/>
  <c r="BA275" i="16" s="1"/>
  <c r="BB275" i="16" s="1"/>
  <c r="AI276" i="16"/>
  <c r="AJ276" i="16" s="1"/>
  <c r="AK276" i="16" s="1"/>
  <c r="AL276" i="16" s="1"/>
  <c r="AM276" i="16" s="1"/>
  <c r="AN276" i="16" s="1"/>
  <c r="AO276" i="16" s="1"/>
  <c r="AP276" i="16" s="1"/>
  <c r="AQ276" i="16" s="1"/>
  <c r="AR276" i="16" s="1"/>
  <c r="AS276" i="16" s="1"/>
  <c r="AT276" i="16" s="1"/>
  <c r="AU276" i="16" s="1"/>
  <c r="AV276" i="16" s="1"/>
  <c r="AW276" i="16" s="1"/>
  <c r="AX276" i="16" s="1"/>
  <c r="AY276" i="16" s="1"/>
  <c r="AZ276" i="16" s="1"/>
  <c r="BA276" i="16" s="1"/>
  <c r="BB276" i="16" s="1"/>
  <c r="AJ250" i="16"/>
  <c r="AK250" i="16" s="1"/>
  <c r="AL250" i="16" s="1"/>
  <c r="AM250" i="16" s="1"/>
  <c r="AN250" i="16" s="1"/>
  <c r="AO250" i="16" s="1"/>
  <c r="AP250" i="16" s="1"/>
  <c r="AQ250" i="16" s="1"/>
  <c r="AR250" i="16" s="1"/>
  <c r="AS250" i="16" s="1"/>
  <c r="AT250" i="16" s="1"/>
  <c r="AU250" i="16" s="1"/>
  <c r="AV250" i="16" s="1"/>
  <c r="AW250" i="16" s="1"/>
  <c r="AX250" i="16" s="1"/>
  <c r="AY250" i="16" s="1"/>
  <c r="AZ250" i="16" s="1"/>
  <c r="BA250" i="16" s="1"/>
  <c r="BB250" i="16" s="1"/>
  <c r="AI250" i="16"/>
  <c r="F251" i="16"/>
  <c r="G251" i="16" s="1"/>
  <c r="H251" i="16" s="1"/>
  <c r="I251" i="16" s="1"/>
  <c r="J251" i="16" s="1"/>
  <c r="K251" i="16" s="1"/>
  <c r="L251" i="16" s="1"/>
  <c r="M251" i="16" s="1"/>
  <c r="N251" i="16" s="1"/>
  <c r="O251" i="16" s="1"/>
  <c r="P251" i="16" s="1"/>
  <c r="Q251" i="16" s="1"/>
  <c r="R251" i="16" s="1"/>
  <c r="S251" i="16" s="1"/>
  <c r="T251" i="16" s="1"/>
  <c r="U251" i="16" s="1"/>
  <c r="V251" i="16" s="1"/>
  <c r="W251" i="16" s="1"/>
  <c r="X251" i="16" s="1"/>
  <c r="Y251" i="16" s="1"/>
  <c r="Z251" i="16" s="1"/>
  <c r="AA251" i="16" s="1"/>
  <c r="AB251" i="16" s="1"/>
  <c r="AC251" i="16" s="1"/>
  <c r="AD251" i="16" s="1"/>
  <c r="AE251" i="16" s="1"/>
  <c r="AF251" i="16" s="1"/>
  <c r="AG251" i="16" s="1"/>
  <c r="AH251" i="16" s="1"/>
  <c r="F252" i="16"/>
  <c r="G252" i="16" s="1"/>
  <c r="H252" i="16"/>
  <c r="I252" i="16"/>
  <c r="J252" i="16" s="1"/>
  <c r="K252" i="16" s="1"/>
  <c r="L252" i="16" s="1"/>
  <c r="M252" i="16" s="1"/>
  <c r="N252" i="16" s="1"/>
  <c r="O252" i="16" s="1"/>
  <c r="P252" i="16" s="1"/>
  <c r="Q252" i="16" s="1"/>
  <c r="R252" i="16" s="1"/>
  <c r="S252" i="16" s="1"/>
  <c r="T252" i="16" s="1"/>
  <c r="U252" i="16" s="1"/>
  <c r="V252" i="16" s="1"/>
  <c r="W252" i="16" s="1"/>
  <c r="X252" i="16" s="1"/>
  <c r="Y252" i="16" s="1"/>
  <c r="Z252" i="16" s="1"/>
  <c r="AA252" i="16" s="1"/>
  <c r="AB252" i="16" s="1"/>
  <c r="AC252" i="16" s="1"/>
  <c r="AD252" i="16" s="1"/>
  <c r="AE252" i="16" s="1"/>
  <c r="AF252" i="16" s="1"/>
  <c r="AG252" i="16" s="1"/>
  <c r="AH252" i="16" s="1"/>
  <c r="F253" i="16"/>
  <c r="G253" i="16" s="1"/>
  <c r="H253" i="16" s="1"/>
  <c r="I253" i="16"/>
  <c r="J253" i="16" s="1"/>
  <c r="K253" i="16"/>
  <c r="L253" i="16" s="1"/>
  <c r="M253" i="16" s="1"/>
  <c r="N253" i="16" s="1"/>
  <c r="O253" i="16" s="1"/>
  <c r="P253" i="16" s="1"/>
  <c r="Q253" i="16" s="1"/>
  <c r="R253" i="16" s="1"/>
  <c r="S253" i="16" s="1"/>
  <c r="T253" i="16" s="1"/>
  <c r="U253" i="16" s="1"/>
  <c r="V253" i="16" s="1"/>
  <c r="W253" i="16" s="1"/>
  <c r="X253" i="16" s="1"/>
  <c r="Y253" i="16" s="1"/>
  <c r="Z253" i="16" s="1"/>
  <c r="AA253" i="16" s="1"/>
  <c r="AB253" i="16" s="1"/>
  <c r="AC253" i="16" s="1"/>
  <c r="AD253" i="16" s="1"/>
  <c r="AE253" i="16" s="1"/>
  <c r="AF253" i="16" s="1"/>
  <c r="AG253" i="16" s="1"/>
  <c r="AH253" i="16" s="1"/>
  <c r="F254" i="16"/>
  <c r="G254" i="16"/>
  <c r="H254" i="16" s="1"/>
  <c r="I254" i="16" s="1"/>
  <c r="J254" i="16" s="1"/>
  <c r="K254" i="16" s="1"/>
  <c r="L254" i="16" s="1"/>
  <c r="M254" i="16" s="1"/>
  <c r="N254" i="16" s="1"/>
  <c r="O254" i="16" s="1"/>
  <c r="P254" i="16" s="1"/>
  <c r="Q254" i="16" s="1"/>
  <c r="R254" i="16" s="1"/>
  <c r="S254" i="16" s="1"/>
  <c r="T254" i="16" s="1"/>
  <c r="U254" i="16" s="1"/>
  <c r="V254" i="16" s="1"/>
  <c r="W254" i="16" s="1"/>
  <c r="X254" i="16" s="1"/>
  <c r="Y254" i="16" s="1"/>
  <c r="Z254" i="16" s="1"/>
  <c r="AA254" i="16" s="1"/>
  <c r="AB254" i="16" s="1"/>
  <c r="AC254" i="16" s="1"/>
  <c r="AD254" i="16" s="1"/>
  <c r="AE254" i="16" s="1"/>
  <c r="AF254" i="16" s="1"/>
  <c r="AG254" i="16" s="1"/>
  <c r="AH254" i="16" s="1"/>
  <c r="F255" i="16"/>
  <c r="G255" i="16"/>
  <c r="H255" i="16" s="1"/>
  <c r="I255" i="16"/>
  <c r="J255" i="16" s="1"/>
  <c r="K255" i="16" s="1"/>
  <c r="L255" i="16" s="1"/>
  <c r="M255" i="16" s="1"/>
  <c r="N255" i="16" s="1"/>
  <c r="O255" i="16" s="1"/>
  <c r="P255" i="16" s="1"/>
  <c r="Q255" i="16" s="1"/>
  <c r="R255" i="16" s="1"/>
  <c r="S255" i="16" s="1"/>
  <c r="T255" i="16" s="1"/>
  <c r="U255" i="16" s="1"/>
  <c r="V255" i="16" s="1"/>
  <c r="W255" i="16" s="1"/>
  <c r="X255" i="16" s="1"/>
  <c r="Y255" i="16" s="1"/>
  <c r="Z255" i="16" s="1"/>
  <c r="AA255" i="16" s="1"/>
  <c r="AB255" i="16" s="1"/>
  <c r="AC255" i="16" s="1"/>
  <c r="AD255" i="16" s="1"/>
  <c r="AE255" i="16" s="1"/>
  <c r="AF255" i="16" s="1"/>
  <c r="AG255" i="16" s="1"/>
  <c r="AH255" i="16" s="1"/>
  <c r="F256" i="16"/>
  <c r="G256" i="16" s="1"/>
  <c r="H256" i="16" s="1"/>
  <c r="I256" i="16" s="1"/>
  <c r="J256" i="16"/>
  <c r="K256" i="16" s="1"/>
  <c r="L256" i="16"/>
  <c r="M256" i="16" s="1"/>
  <c r="N256" i="16" s="1"/>
  <c r="O256" i="16" s="1"/>
  <c r="P256" i="16" s="1"/>
  <c r="Q256" i="16" s="1"/>
  <c r="R256" i="16" s="1"/>
  <c r="S256" i="16" s="1"/>
  <c r="T256" i="16" s="1"/>
  <c r="U256" i="16" s="1"/>
  <c r="V256" i="16" s="1"/>
  <c r="W256" i="16" s="1"/>
  <c r="X256" i="16" s="1"/>
  <c r="Y256" i="16" s="1"/>
  <c r="Z256" i="16" s="1"/>
  <c r="AA256" i="16" s="1"/>
  <c r="AB256" i="16" s="1"/>
  <c r="AC256" i="16" s="1"/>
  <c r="AD256" i="16" s="1"/>
  <c r="AE256" i="16" s="1"/>
  <c r="AF256" i="16" s="1"/>
  <c r="AG256" i="16" s="1"/>
  <c r="AH256" i="16" s="1"/>
  <c r="F257" i="16"/>
  <c r="G257" i="16"/>
  <c r="H257" i="16" s="1"/>
  <c r="I257" i="16" s="1"/>
  <c r="J257" i="16" s="1"/>
  <c r="K257" i="16" s="1"/>
  <c r="L257" i="16" s="1"/>
  <c r="M257" i="16" s="1"/>
  <c r="N257" i="16" s="1"/>
  <c r="O257" i="16" s="1"/>
  <c r="P257" i="16" s="1"/>
  <c r="Q257" i="16" s="1"/>
  <c r="R257" i="16" s="1"/>
  <c r="S257" i="16" s="1"/>
  <c r="T257" i="16" s="1"/>
  <c r="U257" i="16" s="1"/>
  <c r="V257" i="16" s="1"/>
  <c r="W257" i="16" s="1"/>
  <c r="X257" i="16" s="1"/>
  <c r="Y257" i="16" s="1"/>
  <c r="Z257" i="16" s="1"/>
  <c r="AA257" i="16" s="1"/>
  <c r="AB257" i="16" s="1"/>
  <c r="AC257" i="16" s="1"/>
  <c r="AD257" i="16" s="1"/>
  <c r="AE257" i="16" s="1"/>
  <c r="AF257" i="16" s="1"/>
  <c r="AG257" i="16" s="1"/>
  <c r="AH257" i="16" s="1"/>
  <c r="F258" i="16"/>
  <c r="G258" i="16"/>
  <c r="H258" i="16"/>
  <c r="I258" i="16" s="1"/>
  <c r="J258" i="16"/>
  <c r="K258" i="16"/>
  <c r="L258" i="16" s="1"/>
  <c r="M258" i="16" s="1"/>
  <c r="N258" i="16" s="1"/>
  <c r="O258" i="16" s="1"/>
  <c r="P258" i="16" s="1"/>
  <c r="Q258" i="16" s="1"/>
  <c r="R258" i="16" s="1"/>
  <c r="S258" i="16" s="1"/>
  <c r="T258" i="16" s="1"/>
  <c r="U258" i="16" s="1"/>
  <c r="V258" i="16" s="1"/>
  <c r="W258" i="16" s="1"/>
  <c r="X258" i="16" s="1"/>
  <c r="Y258" i="16" s="1"/>
  <c r="Z258" i="16" s="1"/>
  <c r="AA258" i="16" s="1"/>
  <c r="AB258" i="16" s="1"/>
  <c r="AC258" i="16" s="1"/>
  <c r="AD258" i="16" s="1"/>
  <c r="AE258" i="16" s="1"/>
  <c r="AF258" i="16" s="1"/>
  <c r="AG258" i="16" s="1"/>
  <c r="AH258" i="16" s="1"/>
  <c r="F259" i="16"/>
  <c r="G259" i="16" s="1"/>
  <c r="H259" i="16" s="1"/>
  <c r="I259" i="16" s="1"/>
  <c r="J259" i="16" s="1"/>
  <c r="K259" i="16" s="1"/>
  <c r="L259" i="16" s="1"/>
  <c r="M259" i="16" s="1"/>
  <c r="N259" i="16" s="1"/>
  <c r="O259" i="16" s="1"/>
  <c r="P259" i="16" s="1"/>
  <c r="Q259" i="16" s="1"/>
  <c r="R259" i="16" s="1"/>
  <c r="S259" i="16" s="1"/>
  <c r="T259" i="16" s="1"/>
  <c r="U259" i="16" s="1"/>
  <c r="V259" i="16" s="1"/>
  <c r="W259" i="16" s="1"/>
  <c r="X259" i="16" s="1"/>
  <c r="Y259" i="16" s="1"/>
  <c r="Z259" i="16" s="1"/>
  <c r="AA259" i="16" s="1"/>
  <c r="AB259" i="16" s="1"/>
  <c r="AC259" i="16" s="1"/>
  <c r="AD259" i="16" s="1"/>
  <c r="AE259" i="16" s="1"/>
  <c r="AF259" i="16" s="1"/>
  <c r="AG259" i="16" s="1"/>
  <c r="AH259" i="16" s="1"/>
  <c r="F260" i="16"/>
  <c r="G260" i="16" s="1"/>
  <c r="H260" i="16"/>
  <c r="I260" i="16" s="1"/>
  <c r="J260" i="16" s="1"/>
  <c r="K260" i="16" s="1"/>
  <c r="L260" i="16" s="1"/>
  <c r="M260" i="16" s="1"/>
  <c r="N260" i="16" s="1"/>
  <c r="O260" i="16" s="1"/>
  <c r="P260" i="16" s="1"/>
  <c r="Q260" i="16" s="1"/>
  <c r="R260" i="16" s="1"/>
  <c r="S260" i="16" s="1"/>
  <c r="T260" i="16" s="1"/>
  <c r="U260" i="16" s="1"/>
  <c r="V260" i="16" s="1"/>
  <c r="W260" i="16" s="1"/>
  <c r="X260" i="16" s="1"/>
  <c r="Y260" i="16" s="1"/>
  <c r="Z260" i="16" s="1"/>
  <c r="AA260" i="16" s="1"/>
  <c r="AB260" i="16" s="1"/>
  <c r="AC260" i="16" s="1"/>
  <c r="AD260" i="16" s="1"/>
  <c r="AE260" i="16" s="1"/>
  <c r="AF260" i="16" s="1"/>
  <c r="AG260" i="16" s="1"/>
  <c r="AH260" i="16" s="1"/>
  <c r="F261" i="16"/>
  <c r="G261" i="16" s="1"/>
  <c r="H261" i="16" s="1"/>
  <c r="I261" i="16"/>
  <c r="J261" i="16" s="1"/>
  <c r="K261" i="16" s="1"/>
  <c r="L261" i="16" s="1"/>
  <c r="M261" i="16" s="1"/>
  <c r="N261" i="16" s="1"/>
  <c r="O261" i="16" s="1"/>
  <c r="P261" i="16" s="1"/>
  <c r="Q261" i="16" s="1"/>
  <c r="R261" i="16" s="1"/>
  <c r="S261" i="16" s="1"/>
  <c r="T261" i="16" s="1"/>
  <c r="U261" i="16" s="1"/>
  <c r="V261" i="16" s="1"/>
  <c r="W261" i="16" s="1"/>
  <c r="X261" i="16" s="1"/>
  <c r="Y261" i="16" s="1"/>
  <c r="Z261" i="16" s="1"/>
  <c r="AA261" i="16" s="1"/>
  <c r="AB261" i="16" s="1"/>
  <c r="AC261" i="16" s="1"/>
  <c r="AD261" i="16" s="1"/>
  <c r="AE261" i="16" s="1"/>
  <c r="AF261" i="16" s="1"/>
  <c r="AG261" i="16" s="1"/>
  <c r="AH261" i="16" s="1"/>
  <c r="F262" i="16"/>
  <c r="G262" i="16" s="1"/>
  <c r="H262" i="16" s="1"/>
  <c r="I262" i="16" s="1"/>
  <c r="J262" i="16" s="1"/>
  <c r="K262" i="16" s="1"/>
  <c r="L262" i="16" s="1"/>
  <c r="M262" i="16" s="1"/>
  <c r="N262" i="16" s="1"/>
  <c r="O262" i="16" s="1"/>
  <c r="P262" i="16" s="1"/>
  <c r="Q262" i="16" s="1"/>
  <c r="R262" i="16" s="1"/>
  <c r="S262" i="16" s="1"/>
  <c r="T262" i="16" s="1"/>
  <c r="U262" i="16" s="1"/>
  <c r="V262" i="16" s="1"/>
  <c r="W262" i="16" s="1"/>
  <c r="X262" i="16" s="1"/>
  <c r="Y262" i="16" s="1"/>
  <c r="Z262" i="16" s="1"/>
  <c r="AA262" i="16" s="1"/>
  <c r="AB262" i="16" s="1"/>
  <c r="AC262" i="16" s="1"/>
  <c r="AD262" i="16" s="1"/>
  <c r="AE262" i="16" s="1"/>
  <c r="AF262" i="16" s="1"/>
  <c r="AG262" i="16" s="1"/>
  <c r="AH262" i="16" s="1"/>
  <c r="F263" i="16"/>
  <c r="G263" i="16"/>
  <c r="H263" i="16" s="1"/>
  <c r="I263" i="16" s="1"/>
  <c r="J263" i="16" s="1"/>
  <c r="K263" i="16" s="1"/>
  <c r="L263" i="16" s="1"/>
  <c r="M263" i="16" s="1"/>
  <c r="N263" i="16" s="1"/>
  <c r="O263" i="16" s="1"/>
  <c r="P263" i="16" s="1"/>
  <c r="Q263" i="16" s="1"/>
  <c r="R263" i="16" s="1"/>
  <c r="S263" i="16" s="1"/>
  <c r="T263" i="16" s="1"/>
  <c r="U263" i="16" s="1"/>
  <c r="V263" i="16" s="1"/>
  <c r="W263" i="16" s="1"/>
  <c r="X263" i="16" s="1"/>
  <c r="Y263" i="16" s="1"/>
  <c r="Z263" i="16" s="1"/>
  <c r="AA263" i="16" s="1"/>
  <c r="AB263" i="16" s="1"/>
  <c r="AC263" i="16" s="1"/>
  <c r="AD263" i="16" s="1"/>
  <c r="AE263" i="16" s="1"/>
  <c r="AF263" i="16" s="1"/>
  <c r="AG263" i="16" s="1"/>
  <c r="AH263" i="16" s="1"/>
  <c r="F264" i="16"/>
  <c r="G264" i="16" s="1"/>
  <c r="H264" i="16" s="1"/>
  <c r="I264" i="16" s="1"/>
  <c r="J264" i="16"/>
  <c r="K264" i="16" s="1"/>
  <c r="L264" i="16" s="1"/>
  <c r="M264" i="16" s="1"/>
  <c r="N264" i="16" s="1"/>
  <c r="O264" i="16" s="1"/>
  <c r="P264" i="16" s="1"/>
  <c r="Q264" i="16" s="1"/>
  <c r="R264" i="16" s="1"/>
  <c r="S264" i="16" s="1"/>
  <c r="T264" i="16" s="1"/>
  <c r="U264" i="16" s="1"/>
  <c r="V264" i="16" s="1"/>
  <c r="W264" i="16" s="1"/>
  <c r="X264" i="16" s="1"/>
  <c r="Y264" i="16" s="1"/>
  <c r="Z264" i="16" s="1"/>
  <c r="AA264" i="16" s="1"/>
  <c r="AB264" i="16" s="1"/>
  <c r="AC264" i="16" s="1"/>
  <c r="AD264" i="16" s="1"/>
  <c r="AE264" i="16" s="1"/>
  <c r="AF264" i="16" s="1"/>
  <c r="AG264" i="16" s="1"/>
  <c r="AH264" i="16" s="1"/>
  <c r="F265" i="16"/>
  <c r="G265" i="16"/>
  <c r="H265" i="16"/>
  <c r="I265" i="16"/>
  <c r="J265" i="16" s="1"/>
  <c r="K265" i="16" s="1"/>
  <c r="L265" i="16" s="1"/>
  <c r="M265" i="16" s="1"/>
  <c r="N265" i="16" s="1"/>
  <c r="O265" i="16" s="1"/>
  <c r="P265" i="16" s="1"/>
  <c r="Q265" i="16" s="1"/>
  <c r="R265" i="16" s="1"/>
  <c r="S265" i="16" s="1"/>
  <c r="T265" i="16" s="1"/>
  <c r="U265" i="16" s="1"/>
  <c r="V265" i="16" s="1"/>
  <c r="W265" i="16" s="1"/>
  <c r="X265" i="16" s="1"/>
  <c r="Y265" i="16" s="1"/>
  <c r="Z265" i="16" s="1"/>
  <c r="AA265" i="16" s="1"/>
  <c r="AB265" i="16" s="1"/>
  <c r="AC265" i="16" s="1"/>
  <c r="AD265" i="16" s="1"/>
  <c r="AE265" i="16" s="1"/>
  <c r="AF265" i="16" s="1"/>
  <c r="AG265" i="16" s="1"/>
  <c r="AH265" i="16" s="1"/>
  <c r="F266" i="16"/>
  <c r="G266" i="16"/>
  <c r="H266" i="16"/>
  <c r="I266" i="16" s="1"/>
  <c r="J266" i="16"/>
  <c r="K266" i="16" s="1"/>
  <c r="L266" i="16" s="1"/>
  <c r="M266" i="16" s="1"/>
  <c r="N266" i="16" s="1"/>
  <c r="O266" i="16" s="1"/>
  <c r="P266" i="16" s="1"/>
  <c r="Q266" i="16" s="1"/>
  <c r="R266" i="16" s="1"/>
  <c r="S266" i="16" s="1"/>
  <c r="T266" i="16" s="1"/>
  <c r="U266" i="16" s="1"/>
  <c r="V266" i="16" s="1"/>
  <c r="W266" i="16" s="1"/>
  <c r="X266" i="16" s="1"/>
  <c r="Y266" i="16" s="1"/>
  <c r="Z266" i="16" s="1"/>
  <c r="AA266" i="16" s="1"/>
  <c r="AB266" i="16" s="1"/>
  <c r="AC266" i="16" s="1"/>
  <c r="AD266" i="16" s="1"/>
  <c r="AE266" i="16" s="1"/>
  <c r="AF266" i="16" s="1"/>
  <c r="AG266" i="16" s="1"/>
  <c r="AH266" i="16" s="1"/>
  <c r="F267" i="16"/>
  <c r="G267" i="16" s="1"/>
  <c r="H267" i="16" s="1"/>
  <c r="I267" i="16" s="1"/>
  <c r="J267" i="16" s="1"/>
  <c r="K267" i="16" s="1"/>
  <c r="L267" i="16" s="1"/>
  <c r="M267" i="16" s="1"/>
  <c r="N267" i="16" s="1"/>
  <c r="O267" i="16" s="1"/>
  <c r="P267" i="16" s="1"/>
  <c r="Q267" i="16" s="1"/>
  <c r="R267" i="16" s="1"/>
  <c r="S267" i="16" s="1"/>
  <c r="T267" i="16" s="1"/>
  <c r="U267" i="16" s="1"/>
  <c r="V267" i="16" s="1"/>
  <c r="W267" i="16" s="1"/>
  <c r="X267" i="16" s="1"/>
  <c r="Y267" i="16" s="1"/>
  <c r="Z267" i="16" s="1"/>
  <c r="AA267" i="16" s="1"/>
  <c r="AB267" i="16" s="1"/>
  <c r="AC267" i="16" s="1"/>
  <c r="AD267" i="16" s="1"/>
  <c r="AE267" i="16" s="1"/>
  <c r="AF267" i="16" s="1"/>
  <c r="AG267" i="16" s="1"/>
  <c r="AH267" i="16" s="1"/>
  <c r="F268" i="16"/>
  <c r="G268" i="16" s="1"/>
  <c r="H268" i="16"/>
  <c r="I268" i="16"/>
  <c r="J268" i="16" s="1"/>
  <c r="K268" i="16" s="1"/>
  <c r="L268" i="16" s="1"/>
  <c r="M268" i="16" s="1"/>
  <c r="N268" i="16" s="1"/>
  <c r="O268" i="16" s="1"/>
  <c r="P268" i="16" s="1"/>
  <c r="Q268" i="16" s="1"/>
  <c r="R268" i="16" s="1"/>
  <c r="S268" i="16" s="1"/>
  <c r="T268" i="16" s="1"/>
  <c r="U268" i="16" s="1"/>
  <c r="V268" i="16" s="1"/>
  <c r="W268" i="16" s="1"/>
  <c r="X268" i="16" s="1"/>
  <c r="Y268" i="16" s="1"/>
  <c r="Z268" i="16" s="1"/>
  <c r="AA268" i="16" s="1"/>
  <c r="AB268" i="16" s="1"/>
  <c r="AC268" i="16" s="1"/>
  <c r="AD268" i="16" s="1"/>
  <c r="AE268" i="16" s="1"/>
  <c r="AF268" i="16" s="1"/>
  <c r="AG268" i="16" s="1"/>
  <c r="AH268" i="16" s="1"/>
  <c r="F269" i="16"/>
  <c r="G269" i="16" s="1"/>
  <c r="H269" i="16" s="1"/>
  <c r="I269" i="16"/>
  <c r="J269" i="16" s="1"/>
  <c r="K269" i="16"/>
  <c r="L269" i="16" s="1"/>
  <c r="M269" i="16" s="1"/>
  <c r="N269" i="16" s="1"/>
  <c r="O269" i="16" s="1"/>
  <c r="P269" i="16" s="1"/>
  <c r="Q269" i="16" s="1"/>
  <c r="R269" i="16" s="1"/>
  <c r="S269" i="16" s="1"/>
  <c r="T269" i="16" s="1"/>
  <c r="U269" i="16" s="1"/>
  <c r="V269" i="16" s="1"/>
  <c r="W269" i="16" s="1"/>
  <c r="X269" i="16" s="1"/>
  <c r="Y269" i="16" s="1"/>
  <c r="Z269" i="16" s="1"/>
  <c r="AA269" i="16" s="1"/>
  <c r="AB269" i="16" s="1"/>
  <c r="AC269" i="16" s="1"/>
  <c r="AD269" i="16" s="1"/>
  <c r="AE269" i="16" s="1"/>
  <c r="AF269" i="16" s="1"/>
  <c r="AG269" i="16" s="1"/>
  <c r="AH269" i="16" s="1"/>
  <c r="F270" i="16"/>
  <c r="G270" i="16"/>
  <c r="H270" i="16" s="1"/>
  <c r="I270" i="16" s="1"/>
  <c r="J270" i="16" s="1"/>
  <c r="K270" i="16" s="1"/>
  <c r="L270" i="16" s="1"/>
  <c r="M270" i="16" s="1"/>
  <c r="N270" i="16" s="1"/>
  <c r="O270" i="16" s="1"/>
  <c r="P270" i="16" s="1"/>
  <c r="Q270" i="16" s="1"/>
  <c r="R270" i="16" s="1"/>
  <c r="S270" i="16" s="1"/>
  <c r="T270" i="16" s="1"/>
  <c r="U270" i="16" s="1"/>
  <c r="V270" i="16" s="1"/>
  <c r="W270" i="16" s="1"/>
  <c r="X270" i="16" s="1"/>
  <c r="Y270" i="16" s="1"/>
  <c r="Z270" i="16" s="1"/>
  <c r="AA270" i="16" s="1"/>
  <c r="AB270" i="16" s="1"/>
  <c r="AC270" i="16" s="1"/>
  <c r="AD270" i="16" s="1"/>
  <c r="AE270" i="16" s="1"/>
  <c r="AF270" i="16" s="1"/>
  <c r="AG270" i="16" s="1"/>
  <c r="AH270" i="16" s="1"/>
  <c r="F271" i="16"/>
  <c r="G271" i="16"/>
  <c r="H271" i="16" s="1"/>
  <c r="I271" i="16"/>
  <c r="J271" i="16"/>
  <c r="K271" i="16" s="1"/>
  <c r="L271" i="16" s="1"/>
  <c r="M271" i="16" s="1"/>
  <c r="N271" i="16" s="1"/>
  <c r="O271" i="16" s="1"/>
  <c r="P271" i="16" s="1"/>
  <c r="Q271" i="16" s="1"/>
  <c r="R271" i="16" s="1"/>
  <c r="S271" i="16" s="1"/>
  <c r="T271" i="16" s="1"/>
  <c r="U271" i="16" s="1"/>
  <c r="V271" i="16" s="1"/>
  <c r="W271" i="16" s="1"/>
  <c r="X271" i="16" s="1"/>
  <c r="Y271" i="16" s="1"/>
  <c r="Z271" i="16" s="1"/>
  <c r="AA271" i="16" s="1"/>
  <c r="AB271" i="16" s="1"/>
  <c r="AC271" i="16" s="1"/>
  <c r="AD271" i="16" s="1"/>
  <c r="AE271" i="16" s="1"/>
  <c r="AF271" i="16" s="1"/>
  <c r="AG271" i="16" s="1"/>
  <c r="AH271" i="16" s="1"/>
  <c r="F272" i="16"/>
  <c r="G272" i="16" s="1"/>
  <c r="H272" i="16" s="1"/>
  <c r="I272" i="16" s="1"/>
  <c r="J272" i="16" s="1"/>
  <c r="K272" i="16" s="1"/>
  <c r="L272" i="16" s="1"/>
  <c r="M272" i="16" s="1"/>
  <c r="N272" i="16" s="1"/>
  <c r="O272" i="16" s="1"/>
  <c r="P272" i="16" s="1"/>
  <c r="Q272" i="16" s="1"/>
  <c r="R272" i="16" s="1"/>
  <c r="S272" i="16" s="1"/>
  <c r="T272" i="16" s="1"/>
  <c r="U272" i="16" s="1"/>
  <c r="V272" i="16" s="1"/>
  <c r="W272" i="16" s="1"/>
  <c r="X272" i="16" s="1"/>
  <c r="Y272" i="16" s="1"/>
  <c r="Z272" i="16" s="1"/>
  <c r="AA272" i="16" s="1"/>
  <c r="AB272" i="16" s="1"/>
  <c r="AC272" i="16" s="1"/>
  <c r="AD272" i="16" s="1"/>
  <c r="AE272" i="16" s="1"/>
  <c r="AF272" i="16" s="1"/>
  <c r="AG272" i="16" s="1"/>
  <c r="AH272" i="16" s="1"/>
  <c r="F273" i="16"/>
  <c r="G273" i="16"/>
  <c r="H273" i="16" s="1"/>
  <c r="I273" i="16" s="1"/>
  <c r="J273" i="16" s="1"/>
  <c r="K273" i="16" s="1"/>
  <c r="L273" i="16" s="1"/>
  <c r="M273" i="16" s="1"/>
  <c r="N273" i="16" s="1"/>
  <c r="O273" i="16" s="1"/>
  <c r="P273" i="16" s="1"/>
  <c r="Q273" i="16" s="1"/>
  <c r="R273" i="16" s="1"/>
  <c r="S273" i="16" s="1"/>
  <c r="T273" i="16" s="1"/>
  <c r="U273" i="16" s="1"/>
  <c r="V273" i="16" s="1"/>
  <c r="W273" i="16" s="1"/>
  <c r="X273" i="16" s="1"/>
  <c r="Y273" i="16" s="1"/>
  <c r="Z273" i="16" s="1"/>
  <c r="AA273" i="16" s="1"/>
  <c r="AB273" i="16" s="1"/>
  <c r="AC273" i="16" s="1"/>
  <c r="AD273" i="16" s="1"/>
  <c r="AE273" i="16" s="1"/>
  <c r="AF273" i="16" s="1"/>
  <c r="AG273" i="16" s="1"/>
  <c r="AH273" i="16" s="1"/>
  <c r="F274" i="16"/>
  <c r="G274" i="16"/>
  <c r="H274" i="16"/>
  <c r="I274" i="16" s="1"/>
  <c r="J274" i="16" s="1"/>
  <c r="K274" i="16" s="1"/>
  <c r="L274" i="16" s="1"/>
  <c r="M274" i="16" s="1"/>
  <c r="N274" i="16" s="1"/>
  <c r="O274" i="16" s="1"/>
  <c r="P274" i="16" s="1"/>
  <c r="Q274" i="16" s="1"/>
  <c r="R274" i="16" s="1"/>
  <c r="S274" i="16" s="1"/>
  <c r="T274" i="16" s="1"/>
  <c r="U274" i="16" s="1"/>
  <c r="V274" i="16" s="1"/>
  <c r="W274" i="16" s="1"/>
  <c r="X274" i="16" s="1"/>
  <c r="Y274" i="16" s="1"/>
  <c r="Z274" i="16" s="1"/>
  <c r="AA274" i="16" s="1"/>
  <c r="AB274" i="16" s="1"/>
  <c r="AC274" i="16" s="1"/>
  <c r="AD274" i="16" s="1"/>
  <c r="AE274" i="16" s="1"/>
  <c r="AF274" i="16" s="1"/>
  <c r="AG274" i="16" s="1"/>
  <c r="AH274" i="16" s="1"/>
  <c r="F275" i="16"/>
  <c r="G275" i="16"/>
  <c r="H275" i="16" s="1"/>
  <c r="I275" i="16" s="1"/>
  <c r="J275" i="16" s="1"/>
  <c r="K275" i="16" s="1"/>
  <c r="L275" i="16" s="1"/>
  <c r="M275" i="16" s="1"/>
  <c r="N275" i="16" s="1"/>
  <c r="O275" i="16" s="1"/>
  <c r="P275" i="16" s="1"/>
  <c r="Q275" i="16" s="1"/>
  <c r="R275" i="16" s="1"/>
  <c r="S275" i="16" s="1"/>
  <c r="T275" i="16" s="1"/>
  <c r="U275" i="16" s="1"/>
  <c r="V275" i="16" s="1"/>
  <c r="W275" i="16" s="1"/>
  <c r="X275" i="16" s="1"/>
  <c r="Y275" i="16" s="1"/>
  <c r="Z275" i="16" s="1"/>
  <c r="AA275" i="16" s="1"/>
  <c r="AB275" i="16" s="1"/>
  <c r="AC275" i="16" s="1"/>
  <c r="AD275" i="16" s="1"/>
  <c r="AE275" i="16" s="1"/>
  <c r="AF275" i="16" s="1"/>
  <c r="AG275" i="16" s="1"/>
  <c r="AH275" i="16" s="1"/>
  <c r="F276" i="16"/>
  <c r="G276" i="16"/>
  <c r="H276" i="16" s="1"/>
  <c r="I276" i="16" s="1"/>
  <c r="J276" i="16" s="1"/>
  <c r="K276" i="16" s="1"/>
  <c r="L276" i="16" s="1"/>
  <c r="M276" i="16" s="1"/>
  <c r="N276" i="16" s="1"/>
  <c r="O276" i="16" s="1"/>
  <c r="P276" i="16" s="1"/>
  <c r="Q276" i="16" s="1"/>
  <c r="R276" i="16" s="1"/>
  <c r="S276" i="16" s="1"/>
  <c r="T276" i="16" s="1"/>
  <c r="U276" i="16" s="1"/>
  <c r="V276" i="16" s="1"/>
  <c r="W276" i="16" s="1"/>
  <c r="X276" i="16" s="1"/>
  <c r="Y276" i="16" s="1"/>
  <c r="Z276" i="16" s="1"/>
  <c r="AA276" i="16" s="1"/>
  <c r="AB276" i="16" s="1"/>
  <c r="AC276" i="16" s="1"/>
  <c r="AD276" i="16" s="1"/>
  <c r="AE276" i="16" s="1"/>
  <c r="AF276" i="16" s="1"/>
  <c r="AG276" i="16" s="1"/>
  <c r="AH276" i="16" s="1"/>
  <c r="G250" i="16"/>
  <c r="H250" i="16" s="1"/>
  <c r="I250" i="16" s="1"/>
  <c r="J250" i="16" s="1"/>
  <c r="K250" i="16" s="1"/>
  <c r="L250" i="16" s="1"/>
  <c r="M250" i="16" s="1"/>
  <c r="N250" i="16" s="1"/>
  <c r="O250" i="16" s="1"/>
  <c r="P250" i="16" s="1"/>
  <c r="Q250" i="16" s="1"/>
  <c r="R250" i="16" s="1"/>
  <c r="S250" i="16" s="1"/>
  <c r="T250" i="16" s="1"/>
  <c r="U250" i="16" s="1"/>
  <c r="V250" i="16" s="1"/>
  <c r="W250" i="16" s="1"/>
  <c r="X250" i="16" s="1"/>
  <c r="Y250" i="16" s="1"/>
  <c r="Z250" i="16" s="1"/>
  <c r="AA250" i="16" s="1"/>
  <c r="AB250" i="16" s="1"/>
  <c r="AC250" i="16" s="1"/>
  <c r="AD250" i="16" s="1"/>
  <c r="AE250" i="16" s="1"/>
  <c r="AF250" i="16" s="1"/>
  <c r="AG250" i="16" s="1"/>
  <c r="AH250" i="16" s="1"/>
  <c r="F250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72" i="16"/>
  <c r="A73" i="16"/>
  <c r="A74" i="16"/>
  <c r="A75" i="16"/>
  <c r="A76" i="16"/>
  <c r="A77" i="16"/>
  <c r="A78" i="16"/>
  <c r="A79" i="16"/>
  <c r="A80" i="16"/>
  <c r="A81" i="16"/>
  <c r="A82" i="16"/>
  <c r="A83" i="16"/>
  <c r="A84" i="16"/>
  <c r="A85" i="16"/>
  <c r="A86" i="16"/>
  <c r="A87" i="16"/>
  <c r="A88" i="16"/>
  <c r="A89" i="16"/>
  <c r="A90" i="16"/>
  <c r="A91" i="16"/>
  <c r="A92" i="16"/>
  <c r="A93" i="16"/>
  <c r="A94" i="16"/>
  <c r="A95" i="16"/>
  <c r="A96" i="16"/>
  <c r="A97" i="16"/>
  <c r="A98" i="16"/>
  <c r="A99" i="16"/>
  <c r="A100" i="16"/>
  <c r="A101" i="16"/>
  <c r="A102" i="16"/>
  <c r="A103" i="16"/>
  <c r="A104" i="16"/>
  <c r="A105" i="16"/>
  <c r="A106" i="16"/>
  <c r="A107" i="16"/>
  <c r="A108" i="16"/>
  <c r="A109" i="16"/>
  <c r="A110" i="16"/>
  <c r="A111" i="16"/>
  <c r="A112" i="16"/>
  <c r="A113" i="16"/>
  <c r="A114" i="16"/>
  <c r="A115" i="16"/>
  <c r="A116" i="16"/>
  <c r="A117" i="16"/>
  <c r="A118" i="16"/>
  <c r="A119" i="16"/>
  <c r="A120" i="16"/>
  <c r="A121" i="16"/>
  <c r="A122" i="16"/>
  <c r="A123" i="16"/>
  <c r="A124" i="16"/>
  <c r="A125" i="16"/>
  <c r="A126" i="16"/>
  <c r="A127" i="16"/>
  <c r="A128" i="16"/>
  <c r="A129" i="16"/>
  <c r="A130" i="16"/>
  <c r="A131" i="16"/>
  <c r="A132" i="16"/>
  <c r="A133" i="16"/>
  <c r="A134" i="16"/>
  <c r="A135" i="16"/>
  <c r="A136" i="16"/>
  <c r="A137" i="16"/>
  <c r="A138" i="16"/>
  <c r="A139" i="16"/>
  <c r="A140" i="16"/>
  <c r="A141" i="16"/>
  <c r="A142" i="16"/>
  <c r="A143" i="16"/>
  <c r="A144" i="16"/>
  <c r="A145" i="16"/>
  <c r="A146" i="16"/>
  <c r="A147" i="16"/>
  <c r="A148" i="16"/>
  <c r="A149" i="16"/>
  <c r="A150" i="16"/>
  <c r="A151" i="16"/>
  <c r="A152" i="16"/>
  <c r="A153" i="16"/>
  <c r="A154" i="16"/>
  <c r="A155" i="16"/>
  <c r="A156" i="16"/>
  <c r="A157" i="16"/>
  <c r="A158" i="1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A189" i="16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4" i="16"/>
  <c r="AF4" i="15"/>
  <c r="AG4" i="15" s="1"/>
  <c r="AH4" i="15" s="1"/>
  <c r="AI4" i="15" s="1"/>
  <c r="AF5" i="15"/>
  <c r="AG5" i="15"/>
  <c r="AH5" i="15" s="1"/>
  <c r="AI5" i="15" s="1"/>
  <c r="AF6" i="15"/>
  <c r="AG6" i="15" s="1"/>
  <c r="AH6" i="15" s="1"/>
  <c r="AI6" i="15" s="1"/>
  <c r="AF7" i="15"/>
  <c r="AG7" i="15"/>
  <c r="AH7" i="15" s="1"/>
  <c r="AI7" i="15" s="1"/>
  <c r="AF8" i="15"/>
  <c r="AG8" i="15" s="1"/>
  <c r="AH8" i="15" s="1"/>
  <c r="AI8" i="15" s="1"/>
  <c r="AF9" i="15"/>
  <c r="AG9" i="15"/>
  <c r="AH9" i="15" s="1"/>
  <c r="AI9" i="15" s="1"/>
  <c r="AF10" i="15"/>
  <c r="AG10" i="15" s="1"/>
  <c r="AH10" i="15" s="1"/>
  <c r="AI10" i="15" s="1"/>
  <c r="AF11" i="15"/>
  <c r="AG11" i="15"/>
  <c r="AH11" i="15" s="1"/>
  <c r="AI11" i="15" s="1"/>
  <c r="AF12" i="15"/>
  <c r="AG12" i="15" s="1"/>
  <c r="AH12" i="15" s="1"/>
  <c r="AI12" i="15" s="1"/>
  <c r="AF13" i="15"/>
  <c r="AG13" i="15"/>
  <c r="AH13" i="15" s="1"/>
  <c r="AI13" i="15" s="1"/>
  <c r="AF14" i="15"/>
  <c r="AG14" i="15" s="1"/>
  <c r="AH14" i="15" s="1"/>
  <c r="AI14" i="15" s="1"/>
  <c r="AF15" i="15"/>
  <c r="AG15" i="15"/>
  <c r="AH15" i="15" s="1"/>
  <c r="AI15" i="15" s="1"/>
  <c r="AF16" i="15"/>
  <c r="AG16" i="15" s="1"/>
  <c r="AH16" i="15" s="1"/>
  <c r="AI16" i="15" s="1"/>
  <c r="AF17" i="15"/>
  <c r="AG17" i="15"/>
  <c r="AH17" i="15" s="1"/>
  <c r="AI17" i="15" s="1"/>
  <c r="AF18" i="15"/>
  <c r="AG18" i="15" s="1"/>
  <c r="AH18" i="15" s="1"/>
  <c r="AI18" i="15" s="1"/>
  <c r="AF19" i="15"/>
  <c r="AG19" i="15"/>
  <c r="AH19" i="15" s="1"/>
  <c r="AI19" i="15" s="1"/>
  <c r="AF20" i="15"/>
  <c r="AG20" i="15" s="1"/>
  <c r="AH20" i="15" s="1"/>
  <c r="AI20" i="15" s="1"/>
  <c r="AF21" i="15"/>
  <c r="AG21" i="15"/>
  <c r="AH21" i="15" s="1"/>
  <c r="AI21" i="15" s="1"/>
  <c r="AF22" i="15"/>
  <c r="AG22" i="15" s="1"/>
  <c r="AH22" i="15" s="1"/>
  <c r="AI22" i="15" s="1"/>
  <c r="AF23" i="15"/>
  <c r="AG23" i="15"/>
  <c r="AH23" i="15" s="1"/>
  <c r="AI23" i="15" s="1"/>
  <c r="AF24" i="15"/>
  <c r="AG24" i="15" s="1"/>
  <c r="AH24" i="15" s="1"/>
  <c r="AI24" i="15" s="1"/>
  <c r="AF25" i="15"/>
  <c r="AG25" i="15"/>
  <c r="AH25" i="15" s="1"/>
  <c r="AI25" i="15" s="1"/>
  <c r="AF26" i="15"/>
  <c r="AG26" i="15" s="1"/>
  <c r="AH26" i="15" s="1"/>
  <c r="AI26" i="15" s="1"/>
  <c r="AF27" i="15"/>
  <c r="AG27" i="15"/>
  <c r="AH27" i="15" s="1"/>
  <c r="AI27" i="15" s="1"/>
  <c r="AF28" i="15"/>
  <c r="AG28" i="15" s="1"/>
  <c r="AH28" i="15" s="1"/>
  <c r="AI28" i="15" s="1"/>
  <c r="AF29" i="15"/>
  <c r="AG29" i="15"/>
  <c r="AH29" i="15" s="1"/>
  <c r="AI29" i="15" s="1"/>
  <c r="AG3" i="15"/>
  <c r="AH3" i="15" s="1"/>
  <c r="AI3" i="15" s="1"/>
  <c r="AA4" i="15"/>
  <c r="AB4" i="15" s="1"/>
  <c r="AC4" i="15" s="1"/>
  <c r="AD4" i="15" s="1"/>
  <c r="AA5" i="15"/>
  <c r="AB5" i="15"/>
  <c r="AC5" i="15" s="1"/>
  <c r="AD5" i="15" s="1"/>
  <c r="AA6" i="15"/>
  <c r="AB6" i="15" s="1"/>
  <c r="AC6" i="15" s="1"/>
  <c r="AD6" i="15" s="1"/>
  <c r="AA7" i="15"/>
  <c r="AB7" i="15"/>
  <c r="AC7" i="15" s="1"/>
  <c r="AD7" i="15" s="1"/>
  <c r="AA8" i="15"/>
  <c r="AB8" i="15" s="1"/>
  <c r="AC8" i="15" s="1"/>
  <c r="AD8" i="15" s="1"/>
  <c r="AA9" i="15"/>
  <c r="AB9" i="15"/>
  <c r="AC9" i="15" s="1"/>
  <c r="AD9" i="15" s="1"/>
  <c r="AA10" i="15"/>
  <c r="AB10" i="15" s="1"/>
  <c r="AC10" i="15" s="1"/>
  <c r="AD10" i="15" s="1"/>
  <c r="AA11" i="15"/>
  <c r="AB11" i="15"/>
  <c r="AC11" i="15" s="1"/>
  <c r="AD11" i="15" s="1"/>
  <c r="AA12" i="15"/>
  <c r="AB12" i="15" s="1"/>
  <c r="AC12" i="15" s="1"/>
  <c r="AD12" i="15" s="1"/>
  <c r="AA13" i="15"/>
  <c r="AB13" i="15"/>
  <c r="AC13" i="15" s="1"/>
  <c r="AD13" i="15" s="1"/>
  <c r="AA14" i="15"/>
  <c r="AB14" i="15" s="1"/>
  <c r="AC14" i="15" s="1"/>
  <c r="AD14" i="15" s="1"/>
  <c r="AA15" i="15"/>
  <c r="AB15" i="15"/>
  <c r="AC15" i="15" s="1"/>
  <c r="AD15" i="15" s="1"/>
  <c r="AA16" i="15"/>
  <c r="AB16" i="15" s="1"/>
  <c r="AC16" i="15" s="1"/>
  <c r="AD16" i="15" s="1"/>
  <c r="AA17" i="15"/>
  <c r="AB17" i="15"/>
  <c r="AC17" i="15" s="1"/>
  <c r="AD17" i="15" s="1"/>
  <c r="AA18" i="15"/>
  <c r="AB18" i="15" s="1"/>
  <c r="AC18" i="15" s="1"/>
  <c r="AD18" i="15" s="1"/>
  <c r="AA19" i="15"/>
  <c r="AB19" i="15"/>
  <c r="AC19" i="15" s="1"/>
  <c r="AD19" i="15" s="1"/>
  <c r="AA20" i="15"/>
  <c r="AB20" i="15" s="1"/>
  <c r="AC20" i="15" s="1"/>
  <c r="AD20" i="15" s="1"/>
  <c r="AA21" i="15"/>
  <c r="AB21" i="15"/>
  <c r="AC21" i="15" s="1"/>
  <c r="AD21" i="15" s="1"/>
  <c r="AA22" i="15"/>
  <c r="AB22" i="15" s="1"/>
  <c r="AC22" i="15" s="1"/>
  <c r="AD22" i="15" s="1"/>
  <c r="AA23" i="15"/>
  <c r="AB23" i="15"/>
  <c r="AC23" i="15" s="1"/>
  <c r="AD23" i="15" s="1"/>
  <c r="AA24" i="15"/>
  <c r="AB24" i="15" s="1"/>
  <c r="AC24" i="15" s="1"/>
  <c r="AD24" i="15" s="1"/>
  <c r="AA25" i="15"/>
  <c r="AB25" i="15"/>
  <c r="AC25" i="15" s="1"/>
  <c r="AD25" i="15" s="1"/>
  <c r="AA26" i="15"/>
  <c r="AB26" i="15" s="1"/>
  <c r="AC26" i="15" s="1"/>
  <c r="AD26" i="15" s="1"/>
  <c r="AA27" i="15"/>
  <c r="AB27" i="15"/>
  <c r="AC27" i="15" s="1"/>
  <c r="AD27" i="15" s="1"/>
  <c r="AA28" i="15"/>
  <c r="AB28" i="15" s="1"/>
  <c r="AC28" i="15" s="1"/>
  <c r="AD28" i="15" s="1"/>
  <c r="AA29" i="15"/>
  <c r="AB29" i="15"/>
  <c r="AC29" i="15" s="1"/>
  <c r="AD29" i="15" s="1"/>
  <c r="AB3" i="15"/>
  <c r="AC3" i="15" s="1"/>
  <c r="AD3" i="15" s="1"/>
  <c r="V4" i="15"/>
  <c r="W4" i="15" s="1"/>
  <c r="X4" i="15" s="1"/>
  <c r="Y4" i="15" s="1"/>
  <c r="V5" i="15"/>
  <c r="W5" i="15" s="1"/>
  <c r="X5" i="15" s="1"/>
  <c r="Y5" i="15" s="1"/>
  <c r="V6" i="15"/>
  <c r="W6" i="15" s="1"/>
  <c r="X6" i="15" s="1"/>
  <c r="Y6" i="15" s="1"/>
  <c r="V7" i="15"/>
  <c r="W7" i="15" s="1"/>
  <c r="X7" i="15" s="1"/>
  <c r="Y7" i="15" s="1"/>
  <c r="V8" i="15"/>
  <c r="W8" i="15" s="1"/>
  <c r="X8" i="15" s="1"/>
  <c r="Y8" i="15" s="1"/>
  <c r="V9" i="15"/>
  <c r="W9" i="15" s="1"/>
  <c r="X9" i="15" s="1"/>
  <c r="Y9" i="15" s="1"/>
  <c r="V10" i="15"/>
  <c r="W10" i="15" s="1"/>
  <c r="X10" i="15" s="1"/>
  <c r="Y10" i="15" s="1"/>
  <c r="V11" i="15"/>
  <c r="W11" i="15" s="1"/>
  <c r="X11" i="15" s="1"/>
  <c r="Y11" i="15" s="1"/>
  <c r="V12" i="15"/>
  <c r="W12" i="15" s="1"/>
  <c r="X12" i="15" s="1"/>
  <c r="Y12" i="15" s="1"/>
  <c r="V13" i="15"/>
  <c r="W13" i="15" s="1"/>
  <c r="X13" i="15" s="1"/>
  <c r="Y13" i="15" s="1"/>
  <c r="V14" i="15"/>
  <c r="W14" i="15" s="1"/>
  <c r="X14" i="15" s="1"/>
  <c r="Y14" i="15" s="1"/>
  <c r="V15" i="15"/>
  <c r="W15" i="15" s="1"/>
  <c r="X15" i="15" s="1"/>
  <c r="Y15" i="15" s="1"/>
  <c r="V16" i="15"/>
  <c r="W16" i="15" s="1"/>
  <c r="X16" i="15" s="1"/>
  <c r="Y16" i="15" s="1"/>
  <c r="V17" i="15"/>
  <c r="W17" i="15" s="1"/>
  <c r="X17" i="15" s="1"/>
  <c r="Y17" i="15" s="1"/>
  <c r="V18" i="15"/>
  <c r="W18" i="15" s="1"/>
  <c r="X18" i="15" s="1"/>
  <c r="Y18" i="15" s="1"/>
  <c r="V19" i="15"/>
  <c r="W19" i="15" s="1"/>
  <c r="X19" i="15" s="1"/>
  <c r="Y19" i="15" s="1"/>
  <c r="V20" i="15"/>
  <c r="W20" i="15" s="1"/>
  <c r="X20" i="15" s="1"/>
  <c r="Y20" i="15" s="1"/>
  <c r="V21" i="15"/>
  <c r="W21" i="15" s="1"/>
  <c r="X21" i="15" s="1"/>
  <c r="Y21" i="15" s="1"/>
  <c r="V22" i="15"/>
  <c r="W22" i="15" s="1"/>
  <c r="X22" i="15" s="1"/>
  <c r="Y22" i="15" s="1"/>
  <c r="V23" i="15"/>
  <c r="W23" i="15" s="1"/>
  <c r="X23" i="15" s="1"/>
  <c r="Y23" i="15" s="1"/>
  <c r="V24" i="15"/>
  <c r="W24" i="15" s="1"/>
  <c r="X24" i="15" s="1"/>
  <c r="Y24" i="15" s="1"/>
  <c r="V25" i="15"/>
  <c r="W25" i="15" s="1"/>
  <c r="X25" i="15" s="1"/>
  <c r="Y25" i="15" s="1"/>
  <c r="V26" i="15"/>
  <c r="W26" i="15" s="1"/>
  <c r="X26" i="15" s="1"/>
  <c r="Y26" i="15" s="1"/>
  <c r="V27" i="15"/>
  <c r="W27" i="15" s="1"/>
  <c r="X27" i="15" s="1"/>
  <c r="Y27" i="15" s="1"/>
  <c r="V28" i="15"/>
  <c r="W28" i="15" s="1"/>
  <c r="X28" i="15" s="1"/>
  <c r="Y28" i="15" s="1"/>
  <c r="V29" i="15"/>
  <c r="W29" i="15" s="1"/>
  <c r="X29" i="15" s="1"/>
  <c r="Y29" i="15" s="1"/>
  <c r="W3" i="15"/>
  <c r="X3" i="15" s="1"/>
  <c r="Y3" i="15" s="1"/>
  <c r="Q4" i="15"/>
  <c r="R4" i="15" s="1"/>
  <c r="S4" i="15" s="1"/>
  <c r="T4" i="15" s="1"/>
  <c r="Q5" i="15"/>
  <c r="R5" i="15"/>
  <c r="S5" i="15" s="1"/>
  <c r="T5" i="15" s="1"/>
  <c r="Q6" i="15"/>
  <c r="R6" i="15" s="1"/>
  <c r="S6" i="15" s="1"/>
  <c r="T6" i="15" s="1"/>
  <c r="Q7" i="15"/>
  <c r="R7" i="15"/>
  <c r="S7" i="15" s="1"/>
  <c r="T7" i="15" s="1"/>
  <c r="Q8" i="15"/>
  <c r="R8" i="15" s="1"/>
  <c r="S8" i="15" s="1"/>
  <c r="T8" i="15" s="1"/>
  <c r="Q9" i="15"/>
  <c r="R9" i="15"/>
  <c r="S9" i="15" s="1"/>
  <c r="T9" i="15" s="1"/>
  <c r="Q10" i="15"/>
  <c r="R10" i="15" s="1"/>
  <c r="S10" i="15" s="1"/>
  <c r="T10" i="15" s="1"/>
  <c r="Q11" i="15"/>
  <c r="R11" i="15"/>
  <c r="S11" i="15" s="1"/>
  <c r="T11" i="15" s="1"/>
  <c r="Q12" i="15"/>
  <c r="R12" i="15" s="1"/>
  <c r="S12" i="15" s="1"/>
  <c r="T12" i="15" s="1"/>
  <c r="Q13" i="15"/>
  <c r="R13" i="15"/>
  <c r="S13" i="15" s="1"/>
  <c r="T13" i="15" s="1"/>
  <c r="Q14" i="15"/>
  <c r="R14" i="15" s="1"/>
  <c r="S14" i="15" s="1"/>
  <c r="T14" i="15" s="1"/>
  <c r="Q15" i="15"/>
  <c r="R15" i="15"/>
  <c r="S15" i="15" s="1"/>
  <c r="T15" i="15" s="1"/>
  <c r="Q16" i="15"/>
  <c r="R16" i="15" s="1"/>
  <c r="S16" i="15" s="1"/>
  <c r="T16" i="15" s="1"/>
  <c r="Q17" i="15"/>
  <c r="R17" i="15"/>
  <c r="S17" i="15" s="1"/>
  <c r="T17" i="15" s="1"/>
  <c r="Q18" i="15"/>
  <c r="R18" i="15" s="1"/>
  <c r="S18" i="15" s="1"/>
  <c r="T18" i="15" s="1"/>
  <c r="Q19" i="15"/>
  <c r="R19" i="15"/>
  <c r="S19" i="15" s="1"/>
  <c r="T19" i="15" s="1"/>
  <c r="Q20" i="15"/>
  <c r="R20" i="15" s="1"/>
  <c r="S20" i="15" s="1"/>
  <c r="T20" i="15" s="1"/>
  <c r="Q21" i="15"/>
  <c r="R21" i="15"/>
  <c r="S21" i="15" s="1"/>
  <c r="T21" i="15" s="1"/>
  <c r="Q22" i="15"/>
  <c r="R22" i="15" s="1"/>
  <c r="S22" i="15" s="1"/>
  <c r="T22" i="15" s="1"/>
  <c r="Q23" i="15"/>
  <c r="R23" i="15"/>
  <c r="S23" i="15" s="1"/>
  <c r="T23" i="15" s="1"/>
  <c r="Q24" i="15"/>
  <c r="R24" i="15" s="1"/>
  <c r="S24" i="15" s="1"/>
  <c r="T24" i="15" s="1"/>
  <c r="Q25" i="15"/>
  <c r="R25" i="15"/>
  <c r="S25" i="15" s="1"/>
  <c r="T25" i="15" s="1"/>
  <c r="Q26" i="15"/>
  <c r="R26" i="15" s="1"/>
  <c r="S26" i="15" s="1"/>
  <c r="T26" i="15" s="1"/>
  <c r="Q27" i="15"/>
  <c r="R27" i="15"/>
  <c r="S27" i="15" s="1"/>
  <c r="T27" i="15" s="1"/>
  <c r="Q28" i="15"/>
  <c r="R28" i="15" s="1"/>
  <c r="S28" i="15" s="1"/>
  <c r="T28" i="15" s="1"/>
  <c r="Q29" i="15"/>
  <c r="R29" i="15"/>
  <c r="S29" i="15" s="1"/>
  <c r="T29" i="15" s="1"/>
  <c r="R3" i="15"/>
  <c r="S3" i="15"/>
  <c r="T3" i="15" s="1"/>
  <c r="L4" i="15"/>
  <c r="M4" i="15" s="1"/>
  <c r="N4" i="15" s="1"/>
  <c r="O4" i="15" s="1"/>
  <c r="L5" i="15"/>
  <c r="M5" i="15"/>
  <c r="N5" i="15" s="1"/>
  <c r="O5" i="15" s="1"/>
  <c r="L6" i="15"/>
  <c r="M6" i="15" s="1"/>
  <c r="N6" i="15" s="1"/>
  <c r="O6" i="15" s="1"/>
  <c r="L7" i="15"/>
  <c r="M7" i="15"/>
  <c r="N7" i="15" s="1"/>
  <c r="O7" i="15" s="1"/>
  <c r="L8" i="15"/>
  <c r="M8" i="15" s="1"/>
  <c r="N8" i="15" s="1"/>
  <c r="O8" i="15" s="1"/>
  <c r="L9" i="15"/>
  <c r="M9" i="15"/>
  <c r="N9" i="15" s="1"/>
  <c r="O9" i="15" s="1"/>
  <c r="L10" i="15"/>
  <c r="M10" i="15" s="1"/>
  <c r="N10" i="15" s="1"/>
  <c r="O10" i="15" s="1"/>
  <c r="L11" i="15"/>
  <c r="M11" i="15"/>
  <c r="N11" i="15" s="1"/>
  <c r="O11" i="15" s="1"/>
  <c r="L12" i="15"/>
  <c r="M12" i="15" s="1"/>
  <c r="N12" i="15" s="1"/>
  <c r="O12" i="15" s="1"/>
  <c r="L13" i="15"/>
  <c r="M13" i="15"/>
  <c r="N13" i="15" s="1"/>
  <c r="O13" i="15" s="1"/>
  <c r="L14" i="15"/>
  <c r="M14" i="15" s="1"/>
  <c r="N14" i="15" s="1"/>
  <c r="O14" i="15" s="1"/>
  <c r="L15" i="15"/>
  <c r="M15" i="15"/>
  <c r="N15" i="15" s="1"/>
  <c r="O15" i="15" s="1"/>
  <c r="L16" i="15"/>
  <c r="M16" i="15" s="1"/>
  <c r="N16" i="15" s="1"/>
  <c r="O16" i="15" s="1"/>
  <c r="L17" i="15"/>
  <c r="M17" i="15"/>
  <c r="N17" i="15" s="1"/>
  <c r="O17" i="15" s="1"/>
  <c r="L18" i="15"/>
  <c r="M18" i="15" s="1"/>
  <c r="N18" i="15" s="1"/>
  <c r="O18" i="15" s="1"/>
  <c r="L19" i="15"/>
  <c r="M19" i="15"/>
  <c r="N19" i="15" s="1"/>
  <c r="O19" i="15" s="1"/>
  <c r="L20" i="15"/>
  <c r="M20" i="15" s="1"/>
  <c r="N20" i="15" s="1"/>
  <c r="O20" i="15" s="1"/>
  <c r="L21" i="15"/>
  <c r="M21" i="15"/>
  <c r="N21" i="15" s="1"/>
  <c r="O21" i="15" s="1"/>
  <c r="L22" i="15"/>
  <c r="M22" i="15" s="1"/>
  <c r="N22" i="15" s="1"/>
  <c r="O22" i="15" s="1"/>
  <c r="L23" i="15"/>
  <c r="M23" i="15"/>
  <c r="N23" i="15" s="1"/>
  <c r="O23" i="15" s="1"/>
  <c r="L24" i="15"/>
  <c r="M24" i="15" s="1"/>
  <c r="N24" i="15" s="1"/>
  <c r="O24" i="15" s="1"/>
  <c r="L25" i="15"/>
  <c r="M25" i="15"/>
  <c r="N25" i="15" s="1"/>
  <c r="O25" i="15" s="1"/>
  <c r="L26" i="15"/>
  <c r="M26" i="15" s="1"/>
  <c r="N26" i="15" s="1"/>
  <c r="O26" i="15" s="1"/>
  <c r="L27" i="15"/>
  <c r="M27" i="15"/>
  <c r="N27" i="15" s="1"/>
  <c r="O27" i="15" s="1"/>
  <c r="L28" i="15"/>
  <c r="M28" i="15" s="1"/>
  <c r="N28" i="15" s="1"/>
  <c r="O28" i="15" s="1"/>
  <c r="L29" i="15"/>
  <c r="M29" i="15"/>
  <c r="N29" i="15" s="1"/>
  <c r="O29" i="15" s="1"/>
  <c r="M3" i="15"/>
  <c r="N3" i="15" s="1"/>
  <c r="O3" i="15" s="1"/>
  <c r="G4" i="15"/>
  <c r="H4" i="15" s="1"/>
  <c r="I4" i="15" s="1"/>
  <c r="J4" i="15" s="1"/>
  <c r="G5" i="15"/>
  <c r="H5" i="15"/>
  <c r="I5" i="15" s="1"/>
  <c r="J5" i="15" s="1"/>
  <c r="G6" i="15"/>
  <c r="H6" i="15" s="1"/>
  <c r="I6" i="15" s="1"/>
  <c r="J6" i="15" s="1"/>
  <c r="G7" i="15"/>
  <c r="H7" i="15"/>
  <c r="I7" i="15" s="1"/>
  <c r="J7" i="15" s="1"/>
  <c r="G8" i="15"/>
  <c r="H8" i="15" s="1"/>
  <c r="I8" i="15" s="1"/>
  <c r="J8" i="15" s="1"/>
  <c r="G9" i="15"/>
  <c r="H9" i="15"/>
  <c r="I9" i="15" s="1"/>
  <c r="J9" i="15" s="1"/>
  <c r="G10" i="15"/>
  <c r="H10" i="15" s="1"/>
  <c r="I10" i="15" s="1"/>
  <c r="J10" i="15" s="1"/>
  <c r="G11" i="15"/>
  <c r="H11" i="15"/>
  <c r="I11" i="15" s="1"/>
  <c r="J11" i="15" s="1"/>
  <c r="G12" i="15"/>
  <c r="H12" i="15" s="1"/>
  <c r="I12" i="15" s="1"/>
  <c r="J12" i="15" s="1"/>
  <c r="G13" i="15"/>
  <c r="H13" i="15"/>
  <c r="I13" i="15" s="1"/>
  <c r="J13" i="15" s="1"/>
  <c r="G14" i="15"/>
  <c r="H14" i="15" s="1"/>
  <c r="I14" i="15" s="1"/>
  <c r="J14" i="15" s="1"/>
  <c r="G15" i="15"/>
  <c r="H15" i="15"/>
  <c r="I15" i="15" s="1"/>
  <c r="J15" i="15" s="1"/>
  <c r="G16" i="15"/>
  <c r="H16" i="15" s="1"/>
  <c r="I16" i="15" s="1"/>
  <c r="J16" i="15" s="1"/>
  <c r="G17" i="15"/>
  <c r="H17" i="15"/>
  <c r="I17" i="15" s="1"/>
  <c r="J17" i="15" s="1"/>
  <c r="G18" i="15"/>
  <c r="H18" i="15" s="1"/>
  <c r="I18" i="15" s="1"/>
  <c r="J18" i="15" s="1"/>
  <c r="G19" i="15"/>
  <c r="H19" i="15"/>
  <c r="I19" i="15" s="1"/>
  <c r="J19" i="15" s="1"/>
  <c r="G20" i="15"/>
  <c r="H20" i="15" s="1"/>
  <c r="I20" i="15" s="1"/>
  <c r="J20" i="15" s="1"/>
  <c r="G21" i="15"/>
  <c r="H21" i="15"/>
  <c r="I21" i="15" s="1"/>
  <c r="J21" i="15" s="1"/>
  <c r="G22" i="15"/>
  <c r="H22" i="15" s="1"/>
  <c r="I22" i="15" s="1"/>
  <c r="J22" i="15" s="1"/>
  <c r="G23" i="15"/>
  <c r="H23" i="15"/>
  <c r="I23" i="15" s="1"/>
  <c r="J23" i="15" s="1"/>
  <c r="G24" i="15"/>
  <c r="H24" i="15" s="1"/>
  <c r="I24" i="15" s="1"/>
  <c r="J24" i="15" s="1"/>
  <c r="G25" i="15"/>
  <c r="H25" i="15"/>
  <c r="I25" i="15" s="1"/>
  <c r="J25" i="15" s="1"/>
  <c r="G26" i="15"/>
  <c r="H26" i="15" s="1"/>
  <c r="I26" i="15" s="1"/>
  <c r="J26" i="15" s="1"/>
  <c r="G27" i="15"/>
  <c r="H27" i="15"/>
  <c r="I27" i="15" s="1"/>
  <c r="J27" i="15" s="1"/>
  <c r="G28" i="15"/>
  <c r="H28" i="15" s="1"/>
  <c r="I28" i="15" s="1"/>
  <c r="J28" i="15" s="1"/>
  <c r="G29" i="15"/>
  <c r="H29" i="15"/>
  <c r="I29" i="15" s="1"/>
  <c r="J29" i="15" s="1"/>
  <c r="H3" i="15"/>
  <c r="I3" i="15" s="1"/>
  <c r="J3" i="15" s="1"/>
  <c r="AF3" i="15"/>
  <c r="AA3" i="15"/>
  <c r="V3" i="15"/>
  <c r="Q3" i="15"/>
  <c r="L3" i="15"/>
  <c r="G3" i="15"/>
  <c r="A27" i="15"/>
  <c r="A12" i="15"/>
  <c r="A29" i="15"/>
  <c r="A28" i="15"/>
  <c r="A26" i="15"/>
  <c r="A25" i="15"/>
  <c r="A24" i="15"/>
  <c r="A3" i="15"/>
  <c r="A23" i="15"/>
  <c r="A22" i="15"/>
  <c r="A16" i="15"/>
  <c r="A20" i="15"/>
  <c r="A19" i="15"/>
  <c r="A21" i="15"/>
  <c r="A6" i="15"/>
  <c r="A18" i="15"/>
  <c r="A15" i="15"/>
  <c r="A13" i="15"/>
  <c r="A11" i="15"/>
  <c r="A14" i="15"/>
  <c r="A17" i="15"/>
  <c r="A10" i="15"/>
  <c r="A8" i="15"/>
  <c r="A9" i="15"/>
  <c r="A7" i="15"/>
  <c r="A5" i="15"/>
  <c r="A4" i="15"/>
  <c r="G5" i="13"/>
  <c r="H5" i="13" s="1"/>
  <c r="I5" i="13" s="1"/>
  <c r="J5" i="13" s="1"/>
  <c r="K5" i="13" s="1"/>
  <c r="L5" i="13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AC5" i="13" s="1"/>
  <c r="AD5" i="13" s="1"/>
  <c r="AE5" i="13" s="1"/>
  <c r="AF5" i="13" s="1"/>
  <c r="AG5" i="13" s="1"/>
  <c r="AH5" i="13" s="1"/>
  <c r="AI5" i="13" s="1"/>
  <c r="AJ5" i="13" s="1"/>
  <c r="AK5" i="13" s="1"/>
  <c r="AL5" i="13" s="1"/>
  <c r="AM5" i="13" s="1"/>
  <c r="AN5" i="13" s="1"/>
  <c r="AO5" i="13" s="1"/>
  <c r="AP5" i="13" s="1"/>
  <c r="AQ5" i="13" s="1"/>
  <c r="AR5" i="13" s="1"/>
  <c r="AS5" i="13" s="1"/>
  <c r="AT5" i="13" s="1"/>
  <c r="AU5" i="13" s="1"/>
  <c r="AV5" i="13" s="1"/>
  <c r="AW5" i="13" s="1"/>
  <c r="AX5" i="13" s="1"/>
  <c r="AY5" i="13" s="1"/>
  <c r="AZ5" i="13" s="1"/>
  <c r="BA5" i="13" s="1"/>
  <c r="BB5" i="13" s="1"/>
  <c r="BC5" i="13" s="1"/>
  <c r="G6" i="13"/>
  <c r="H6" i="13" s="1"/>
  <c r="I6" i="13" s="1"/>
  <c r="J6" i="13" s="1"/>
  <c r="K6" i="13" s="1"/>
  <c r="L6" i="13" s="1"/>
  <c r="M6" i="13" s="1"/>
  <c r="N6" i="13" s="1"/>
  <c r="O6" i="13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AC6" i="13" s="1"/>
  <c r="AD6" i="13" s="1"/>
  <c r="AE6" i="13" s="1"/>
  <c r="AF6" i="13" s="1"/>
  <c r="AG6" i="13" s="1"/>
  <c r="AH6" i="13" s="1"/>
  <c r="AI6" i="13" s="1"/>
  <c r="AJ6" i="13" s="1"/>
  <c r="AK6" i="13" s="1"/>
  <c r="AL6" i="13" s="1"/>
  <c r="AM6" i="13" s="1"/>
  <c r="AN6" i="13" s="1"/>
  <c r="AO6" i="13" s="1"/>
  <c r="AP6" i="13" s="1"/>
  <c r="AQ6" i="13" s="1"/>
  <c r="AR6" i="13" s="1"/>
  <c r="AS6" i="13" s="1"/>
  <c r="AT6" i="13" s="1"/>
  <c r="AU6" i="13" s="1"/>
  <c r="AV6" i="13" s="1"/>
  <c r="AW6" i="13" s="1"/>
  <c r="AX6" i="13" s="1"/>
  <c r="AY6" i="13" s="1"/>
  <c r="AZ6" i="13" s="1"/>
  <c r="BA6" i="13" s="1"/>
  <c r="BB6" i="13" s="1"/>
  <c r="BC6" i="13" s="1"/>
  <c r="G7" i="13"/>
  <c r="H7" i="13" s="1"/>
  <c r="I7" i="13" s="1"/>
  <c r="J7" i="13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AC7" i="13" s="1"/>
  <c r="AD7" i="13" s="1"/>
  <c r="AE7" i="13" s="1"/>
  <c r="AF7" i="13" s="1"/>
  <c r="AG7" i="13" s="1"/>
  <c r="AH7" i="13" s="1"/>
  <c r="AI7" i="13" s="1"/>
  <c r="AJ7" i="13" s="1"/>
  <c r="AK7" i="13" s="1"/>
  <c r="AL7" i="13" s="1"/>
  <c r="AM7" i="13" s="1"/>
  <c r="AN7" i="13" s="1"/>
  <c r="AO7" i="13" s="1"/>
  <c r="AP7" i="13" s="1"/>
  <c r="AQ7" i="13" s="1"/>
  <c r="AR7" i="13" s="1"/>
  <c r="AS7" i="13" s="1"/>
  <c r="AT7" i="13" s="1"/>
  <c r="AU7" i="13" s="1"/>
  <c r="AV7" i="13" s="1"/>
  <c r="AW7" i="13" s="1"/>
  <c r="AX7" i="13" s="1"/>
  <c r="AY7" i="13" s="1"/>
  <c r="AZ7" i="13" s="1"/>
  <c r="BA7" i="13" s="1"/>
  <c r="BB7" i="13" s="1"/>
  <c r="BC7" i="13" s="1"/>
  <c r="G8" i="13"/>
  <c r="H8" i="13" s="1"/>
  <c r="I8" i="13" s="1"/>
  <c r="J8" i="13" s="1"/>
  <c r="K8" i="13" s="1"/>
  <c r="L8" i="13" s="1"/>
  <c r="M8" i="13" s="1"/>
  <c r="N8" i="13" s="1"/>
  <c r="O8" i="13" s="1"/>
  <c r="P8" i="13" s="1"/>
  <c r="Q8" i="13" s="1"/>
  <c r="R8" i="13" s="1"/>
  <c r="S8" i="13" s="1"/>
  <c r="T8" i="13" s="1"/>
  <c r="U8" i="13" s="1"/>
  <c r="V8" i="13" s="1"/>
  <c r="W8" i="13" s="1"/>
  <c r="X8" i="13" s="1"/>
  <c r="Y8" i="13" s="1"/>
  <c r="Z8" i="13" s="1"/>
  <c r="AA8" i="13" s="1"/>
  <c r="AB8" i="13" s="1"/>
  <c r="AC8" i="13" s="1"/>
  <c r="AD8" i="13" s="1"/>
  <c r="AE8" i="13" s="1"/>
  <c r="AF8" i="13" s="1"/>
  <c r="AG8" i="13" s="1"/>
  <c r="AH8" i="13" s="1"/>
  <c r="AI8" i="13" s="1"/>
  <c r="AJ8" i="13" s="1"/>
  <c r="AK8" i="13" s="1"/>
  <c r="AL8" i="13" s="1"/>
  <c r="AM8" i="13" s="1"/>
  <c r="AN8" i="13" s="1"/>
  <c r="AO8" i="13" s="1"/>
  <c r="AP8" i="13" s="1"/>
  <c r="AQ8" i="13" s="1"/>
  <c r="AR8" i="13" s="1"/>
  <c r="AS8" i="13" s="1"/>
  <c r="AT8" i="13" s="1"/>
  <c r="AU8" i="13" s="1"/>
  <c r="AV8" i="13" s="1"/>
  <c r="AW8" i="13" s="1"/>
  <c r="AX8" i="13" s="1"/>
  <c r="AY8" i="13" s="1"/>
  <c r="AZ8" i="13" s="1"/>
  <c r="BA8" i="13" s="1"/>
  <c r="BB8" i="13" s="1"/>
  <c r="BC8" i="13" s="1"/>
  <c r="G9" i="13"/>
  <c r="H9" i="13"/>
  <c r="I9" i="13" s="1"/>
  <c r="J9" i="13" s="1"/>
  <c r="K9" i="13" s="1"/>
  <c r="L9" i="13" s="1"/>
  <c r="M9" i="13" s="1"/>
  <c r="N9" i="13" s="1"/>
  <c r="O9" i="13" s="1"/>
  <c r="P9" i="13" s="1"/>
  <c r="Q9" i="13" s="1"/>
  <c r="R9" i="13" s="1"/>
  <c r="S9" i="13" s="1"/>
  <c r="T9" i="13" s="1"/>
  <c r="U9" i="13" s="1"/>
  <c r="V9" i="13" s="1"/>
  <c r="W9" i="13" s="1"/>
  <c r="X9" i="13" s="1"/>
  <c r="Y9" i="13" s="1"/>
  <c r="Z9" i="13" s="1"/>
  <c r="AA9" i="13" s="1"/>
  <c r="AB9" i="13" s="1"/>
  <c r="AC9" i="13" s="1"/>
  <c r="AD9" i="13" s="1"/>
  <c r="AE9" i="13" s="1"/>
  <c r="AF9" i="13" s="1"/>
  <c r="AG9" i="13" s="1"/>
  <c r="AH9" i="13" s="1"/>
  <c r="AI9" i="13" s="1"/>
  <c r="AJ9" i="13" s="1"/>
  <c r="AK9" i="13" s="1"/>
  <c r="AL9" i="13" s="1"/>
  <c r="AM9" i="13" s="1"/>
  <c r="AN9" i="13" s="1"/>
  <c r="AO9" i="13" s="1"/>
  <c r="AP9" i="13" s="1"/>
  <c r="AQ9" i="13" s="1"/>
  <c r="AR9" i="13" s="1"/>
  <c r="AS9" i="13" s="1"/>
  <c r="AT9" i="13" s="1"/>
  <c r="AU9" i="13" s="1"/>
  <c r="AV9" i="13" s="1"/>
  <c r="AW9" i="13" s="1"/>
  <c r="AX9" i="13" s="1"/>
  <c r="AY9" i="13" s="1"/>
  <c r="AZ9" i="13" s="1"/>
  <c r="BA9" i="13" s="1"/>
  <c r="BB9" i="13" s="1"/>
  <c r="BC9" i="13" s="1"/>
  <c r="G10" i="13"/>
  <c r="H10" i="13" s="1"/>
  <c r="I10" i="13" s="1"/>
  <c r="J10" i="13" s="1"/>
  <c r="K10" i="13" s="1"/>
  <c r="L10" i="13" s="1"/>
  <c r="M10" i="13" s="1"/>
  <c r="N10" i="13" s="1"/>
  <c r="O10" i="13" s="1"/>
  <c r="P10" i="13" s="1"/>
  <c r="Q10" i="13" s="1"/>
  <c r="R10" i="13" s="1"/>
  <c r="S10" i="13" s="1"/>
  <c r="T10" i="13" s="1"/>
  <c r="U10" i="13" s="1"/>
  <c r="V10" i="13" s="1"/>
  <c r="W10" i="13" s="1"/>
  <c r="X10" i="13" s="1"/>
  <c r="Y10" i="13" s="1"/>
  <c r="Z10" i="13" s="1"/>
  <c r="AA10" i="13" s="1"/>
  <c r="AB10" i="13" s="1"/>
  <c r="AC10" i="13" s="1"/>
  <c r="AD10" i="13" s="1"/>
  <c r="AE10" i="13" s="1"/>
  <c r="AF10" i="13" s="1"/>
  <c r="AG10" i="13" s="1"/>
  <c r="AH10" i="13" s="1"/>
  <c r="AI10" i="13" s="1"/>
  <c r="AJ10" i="13" s="1"/>
  <c r="AK10" i="13" s="1"/>
  <c r="AL10" i="13" s="1"/>
  <c r="AM10" i="13" s="1"/>
  <c r="AN10" i="13" s="1"/>
  <c r="AO10" i="13" s="1"/>
  <c r="AP10" i="13" s="1"/>
  <c r="AQ10" i="13" s="1"/>
  <c r="AR10" i="13" s="1"/>
  <c r="AS10" i="13" s="1"/>
  <c r="AT10" i="13" s="1"/>
  <c r="AU10" i="13" s="1"/>
  <c r="AV10" i="13" s="1"/>
  <c r="AW10" i="13" s="1"/>
  <c r="AX10" i="13" s="1"/>
  <c r="AY10" i="13" s="1"/>
  <c r="AZ10" i="13" s="1"/>
  <c r="BA10" i="13" s="1"/>
  <c r="BB10" i="13" s="1"/>
  <c r="BC10" i="13" s="1"/>
  <c r="G11" i="13"/>
  <c r="H11" i="13"/>
  <c r="I11" i="13" s="1"/>
  <c r="J11" i="13" s="1"/>
  <c r="K11" i="13" s="1"/>
  <c r="L11" i="13" s="1"/>
  <c r="M11" i="13" s="1"/>
  <c r="N11" i="13"/>
  <c r="O11" i="13" s="1"/>
  <c r="P11" i="13" s="1"/>
  <c r="Q11" i="13" s="1"/>
  <c r="R11" i="13" s="1"/>
  <c r="S11" i="13" s="1"/>
  <c r="T11" i="13" s="1"/>
  <c r="U11" i="13" s="1"/>
  <c r="V11" i="13" s="1"/>
  <c r="W11" i="13" s="1"/>
  <c r="X11" i="13" s="1"/>
  <c r="Y11" i="13" s="1"/>
  <c r="Z11" i="13" s="1"/>
  <c r="AA11" i="13" s="1"/>
  <c r="AB11" i="13" s="1"/>
  <c r="AC11" i="13" s="1"/>
  <c r="AD11" i="13" s="1"/>
  <c r="AE11" i="13" s="1"/>
  <c r="AF11" i="13" s="1"/>
  <c r="AG11" i="13" s="1"/>
  <c r="AH11" i="13" s="1"/>
  <c r="AI11" i="13" s="1"/>
  <c r="AJ11" i="13" s="1"/>
  <c r="AK11" i="13" s="1"/>
  <c r="AL11" i="13" s="1"/>
  <c r="AM11" i="13" s="1"/>
  <c r="AN11" i="13" s="1"/>
  <c r="AO11" i="13" s="1"/>
  <c r="AP11" i="13" s="1"/>
  <c r="AQ11" i="13" s="1"/>
  <c r="AR11" i="13" s="1"/>
  <c r="AS11" i="13" s="1"/>
  <c r="AT11" i="13" s="1"/>
  <c r="AU11" i="13" s="1"/>
  <c r="AV11" i="13" s="1"/>
  <c r="AW11" i="13" s="1"/>
  <c r="AX11" i="13" s="1"/>
  <c r="AY11" i="13" s="1"/>
  <c r="AZ11" i="13" s="1"/>
  <c r="BA11" i="13" s="1"/>
  <c r="BB11" i="13" s="1"/>
  <c r="BC11" i="13" s="1"/>
  <c r="G12" i="13"/>
  <c r="H12" i="13"/>
  <c r="I12" i="13"/>
  <c r="J12" i="13" s="1"/>
  <c r="K12" i="13" s="1"/>
  <c r="L12" i="13" s="1"/>
  <c r="M12" i="13" s="1"/>
  <c r="N12" i="13" s="1"/>
  <c r="O12" i="13" s="1"/>
  <c r="P12" i="13" s="1"/>
  <c r="Q12" i="13" s="1"/>
  <c r="R12" i="13" s="1"/>
  <c r="S12" i="13" s="1"/>
  <c r="T12" i="13" s="1"/>
  <c r="U12" i="13" s="1"/>
  <c r="V12" i="13" s="1"/>
  <c r="W12" i="13" s="1"/>
  <c r="X12" i="13" s="1"/>
  <c r="Y12" i="13" s="1"/>
  <c r="Z12" i="13" s="1"/>
  <c r="AA12" i="13" s="1"/>
  <c r="AB12" i="13" s="1"/>
  <c r="AC12" i="13" s="1"/>
  <c r="AD12" i="13" s="1"/>
  <c r="AE12" i="13" s="1"/>
  <c r="AF12" i="13" s="1"/>
  <c r="AG12" i="13" s="1"/>
  <c r="AH12" i="13" s="1"/>
  <c r="AI12" i="13" s="1"/>
  <c r="AJ12" i="13" s="1"/>
  <c r="AK12" i="13" s="1"/>
  <c r="AL12" i="13" s="1"/>
  <c r="AM12" i="13" s="1"/>
  <c r="AN12" i="13" s="1"/>
  <c r="AO12" i="13" s="1"/>
  <c r="AP12" i="13" s="1"/>
  <c r="AQ12" i="13" s="1"/>
  <c r="AR12" i="13" s="1"/>
  <c r="AS12" i="13" s="1"/>
  <c r="AT12" i="13" s="1"/>
  <c r="AU12" i="13" s="1"/>
  <c r="AV12" i="13" s="1"/>
  <c r="AW12" i="13" s="1"/>
  <c r="AX12" i="13" s="1"/>
  <c r="AY12" i="13" s="1"/>
  <c r="AZ12" i="13" s="1"/>
  <c r="BA12" i="13" s="1"/>
  <c r="BB12" i="13" s="1"/>
  <c r="BC12" i="13" s="1"/>
  <c r="G13" i="13"/>
  <c r="H13" i="13" s="1"/>
  <c r="I13" i="13" s="1"/>
  <c r="J13" i="13" s="1"/>
  <c r="K13" i="13" s="1"/>
  <c r="L13" i="13" s="1"/>
  <c r="M13" i="13" s="1"/>
  <c r="N13" i="13" s="1"/>
  <c r="O13" i="13" s="1"/>
  <c r="P13" i="13" s="1"/>
  <c r="Q13" i="13" s="1"/>
  <c r="R13" i="13" s="1"/>
  <c r="S13" i="13" s="1"/>
  <c r="T13" i="13" s="1"/>
  <c r="U13" i="13" s="1"/>
  <c r="V13" i="13" s="1"/>
  <c r="W13" i="13" s="1"/>
  <c r="X13" i="13" s="1"/>
  <c r="Y13" i="13" s="1"/>
  <c r="Z13" i="13" s="1"/>
  <c r="AA13" i="13" s="1"/>
  <c r="AB13" i="13" s="1"/>
  <c r="AC13" i="13" s="1"/>
  <c r="AD13" i="13" s="1"/>
  <c r="AE13" i="13" s="1"/>
  <c r="AF13" i="13" s="1"/>
  <c r="AG13" i="13" s="1"/>
  <c r="AH13" i="13" s="1"/>
  <c r="AI13" i="13" s="1"/>
  <c r="AJ13" i="13" s="1"/>
  <c r="AK13" i="13" s="1"/>
  <c r="AL13" i="13" s="1"/>
  <c r="AM13" i="13" s="1"/>
  <c r="AN13" i="13" s="1"/>
  <c r="AO13" i="13" s="1"/>
  <c r="AP13" i="13" s="1"/>
  <c r="AQ13" i="13" s="1"/>
  <c r="AR13" i="13" s="1"/>
  <c r="AS13" i="13" s="1"/>
  <c r="AT13" i="13" s="1"/>
  <c r="AU13" i="13" s="1"/>
  <c r="AV13" i="13" s="1"/>
  <c r="AW13" i="13" s="1"/>
  <c r="AX13" i="13" s="1"/>
  <c r="AY13" i="13" s="1"/>
  <c r="AZ13" i="13" s="1"/>
  <c r="BA13" i="13" s="1"/>
  <c r="BB13" i="13" s="1"/>
  <c r="BC13" i="13" s="1"/>
  <c r="G14" i="13"/>
  <c r="H14" i="13" s="1"/>
  <c r="I14" i="13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AG14" i="13" s="1"/>
  <c r="AH14" i="13" s="1"/>
  <c r="AI14" i="13" s="1"/>
  <c r="AJ14" i="13" s="1"/>
  <c r="AK14" i="13" s="1"/>
  <c r="AL14" i="13" s="1"/>
  <c r="AM14" i="13" s="1"/>
  <c r="AN14" i="13" s="1"/>
  <c r="AO14" i="13" s="1"/>
  <c r="AP14" i="13" s="1"/>
  <c r="AQ14" i="13" s="1"/>
  <c r="AR14" i="13" s="1"/>
  <c r="AS14" i="13" s="1"/>
  <c r="AT14" i="13" s="1"/>
  <c r="AU14" i="13" s="1"/>
  <c r="AV14" i="13" s="1"/>
  <c r="AW14" i="13" s="1"/>
  <c r="AX14" i="13" s="1"/>
  <c r="AY14" i="13" s="1"/>
  <c r="AZ14" i="13" s="1"/>
  <c r="BA14" i="13" s="1"/>
  <c r="BB14" i="13" s="1"/>
  <c r="BC14" i="13" s="1"/>
  <c r="G15" i="13"/>
  <c r="H15" i="13" s="1"/>
  <c r="I15" i="13" s="1"/>
  <c r="J15" i="13"/>
  <c r="K15" i="13" s="1"/>
  <c r="L15" i="13" s="1"/>
  <c r="M15" i="13" s="1"/>
  <c r="N15" i="13" s="1"/>
  <c r="O15" i="13" s="1"/>
  <c r="P15" i="13" s="1"/>
  <c r="Q15" i="13" s="1"/>
  <c r="R15" i="13" s="1"/>
  <c r="S15" i="13" s="1"/>
  <c r="T15" i="13" s="1"/>
  <c r="U15" i="13" s="1"/>
  <c r="V15" i="13" s="1"/>
  <c r="W15" i="13" s="1"/>
  <c r="X15" i="13" s="1"/>
  <c r="Y15" i="13" s="1"/>
  <c r="Z15" i="13" s="1"/>
  <c r="AA15" i="13" s="1"/>
  <c r="AB15" i="13" s="1"/>
  <c r="AC15" i="13" s="1"/>
  <c r="AD15" i="13" s="1"/>
  <c r="AE15" i="13" s="1"/>
  <c r="AF15" i="13" s="1"/>
  <c r="AG15" i="13" s="1"/>
  <c r="AH15" i="13" s="1"/>
  <c r="AI15" i="13" s="1"/>
  <c r="AJ15" i="13" s="1"/>
  <c r="AK15" i="13" s="1"/>
  <c r="AL15" i="13" s="1"/>
  <c r="AM15" i="13" s="1"/>
  <c r="AN15" i="13" s="1"/>
  <c r="AO15" i="13" s="1"/>
  <c r="AP15" i="13" s="1"/>
  <c r="AQ15" i="13" s="1"/>
  <c r="AR15" i="13" s="1"/>
  <c r="AS15" i="13" s="1"/>
  <c r="AT15" i="13" s="1"/>
  <c r="AU15" i="13" s="1"/>
  <c r="AV15" i="13" s="1"/>
  <c r="AW15" i="13" s="1"/>
  <c r="AX15" i="13" s="1"/>
  <c r="AY15" i="13" s="1"/>
  <c r="AZ15" i="13" s="1"/>
  <c r="BA15" i="13" s="1"/>
  <c r="BB15" i="13" s="1"/>
  <c r="BC15" i="13" s="1"/>
  <c r="G16" i="13"/>
  <c r="H16" i="13" s="1"/>
  <c r="I16" i="13" s="1"/>
  <c r="J16" i="13" s="1"/>
  <c r="K16" i="13" s="1"/>
  <c r="L16" i="13" s="1"/>
  <c r="M16" i="13"/>
  <c r="N16" i="13" s="1"/>
  <c r="O16" i="13" s="1"/>
  <c r="P16" i="13" s="1"/>
  <c r="Q16" i="13" s="1"/>
  <c r="R16" i="13" s="1"/>
  <c r="S16" i="13" s="1"/>
  <c r="T16" i="13" s="1"/>
  <c r="U16" i="13" s="1"/>
  <c r="V16" i="13" s="1"/>
  <c r="W16" i="13" s="1"/>
  <c r="X16" i="13" s="1"/>
  <c r="Y16" i="13" s="1"/>
  <c r="Z16" i="13" s="1"/>
  <c r="AA16" i="13" s="1"/>
  <c r="AB16" i="13" s="1"/>
  <c r="AC16" i="13" s="1"/>
  <c r="AD16" i="13" s="1"/>
  <c r="AE16" i="13" s="1"/>
  <c r="AF16" i="13" s="1"/>
  <c r="AG16" i="13" s="1"/>
  <c r="AH16" i="13" s="1"/>
  <c r="AI16" i="13" s="1"/>
  <c r="AJ16" i="13" s="1"/>
  <c r="AK16" i="13" s="1"/>
  <c r="AL16" i="13" s="1"/>
  <c r="AM16" i="13" s="1"/>
  <c r="AN16" i="13" s="1"/>
  <c r="AO16" i="13" s="1"/>
  <c r="AP16" i="13" s="1"/>
  <c r="AQ16" i="13" s="1"/>
  <c r="AR16" i="13" s="1"/>
  <c r="AS16" i="13" s="1"/>
  <c r="AT16" i="13" s="1"/>
  <c r="AU16" i="13" s="1"/>
  <c r="AV16" i="13" s="1"/>
  <c r="AW16" i="13" s="1"/>
  <c r="AX16" i="13" s="1"/>
  <c r="AY16" i="13" s="1"/>
  <c r="AZ16" i="13" s="1"/>
  <c r="BA16" i="13" s="1"/>
  <c r="BB16" i="13" s="1"/>
  <c r="BC16" i="13" s="1"/>
  <c r="G17" i="13"/>
  <c r="H17" i="13"/>
  <c r="I17" i="13" s="1"/>
  <c r="J17" i="13"/>
  <c r="K17" i="13" s="1"/>
  <c r="L17" i="13" s="1"/>
  <c r="M17" i="13" s="1"/>
  <c r="N17" i="13" s="1"/>
  <c r="O17" i="13" s="1"/>
  <c r="P17" i="13" s="1"/>
  <c r="Q17" i="13" s="1"/>
  <c r="R17" i="13" s="1"/>
  <c r="S17" i="13" s="1"/>
  <c r="T17" i="13" s="1"/>
  <c r="U17" i="13" s="1"/>
  <c r="V17" i="13" s="1"/>
  <c r="W17" i="13" s="1"/>
  <c r="X17" i="13" s="1"/>
  <c r="Y17" i="13" s="1"/>
  <c r="Z17" i="13" s="1"/>
  <c r="AA17" i="13" s="1"/>
  <c r="AB17" i="13" s="1"/>
  <c r="AC17" i="13" s="1"/>
  <c r="AD17" i="13" s="1"/>
  <c r="AE17" i="13" s="1"/>
  <c r="AF17" i="13" s="1"/>
  <c r="AG17" i="13" s="1"/>
  <c r="AH17" i="13" s="1"/>
  <c r="AI17" i="13" s="1"/>
  <c r="AJ17" i="13" s="1"/>
  <c r="AK17" i="13" s="1"/>
  <c r="AL17" i="13" s="1"/>
  <c r="AM17" i="13" s="1"/>
  <c r="AN17" i="13" s="1"/>
  <c r="AO17" i="13" s="1"/>
  <c r="AP17" i="13" s="1"/>
  <c r="AQ17" i="13" s="1"/>
  <c r="AR17" i="13" s="1"/>
  <c r="AS17" i="13" s="1"/>
  <c r="AT17" i="13" s="1"/>
  <c r="AU17" i="13" s="1"/>
  <c r="AV17" i="13" s="1"/>
  <c r="AW17" i="13" s="1"/>
  <c r="AX17" i="13" s="1"/>
  <c r="AY17" i="13" s="1"/>
  <c r="AZ17" i="13" s="1"/>
  <c r="BA17" i="13" s="1"/>
  <c r="BB17" i="13" s="1"/>
  <c r="BC17" i="13" s="1"/>
  <c r="G18" i="13"/>
  <c r="H18" i="13" s="1"/>
  <c r="I18" i="13" s="1"/>
  <c r="J18" i="13" s="1"/>
  <c r="K18" i="13"/>
  <c r="L18" i="13" s="1"/>
  <c r="M18" i="13" s="1"/>
  <c r="N18" i="13" s="1"/>
  <c r="O18" i="13" s="1"/>
  <c r="P18" i="13" s="1"/>
  <c r="Q18" i="13" s="1"/>
  <c r="R18" i="13" s="1"/>
  <c r="S18" i="13" s="1"/>
  <c r="T18" i="13" s="1"/>
  <c r="U18" i="13" s="1"/>
  <c r="V18" i="13" s="1"/>
  <c r="W18" i="13" s="1"/>
  <c r="X18" i="13" s="1"/>
  <c r="Y18" i="13" s="1"/>
  <c r="Z18" i="13" s="1"/>
  <c r="AA18" i="13" s="1"/>
  <c r="AB18" i="13" s="1"/>
  <c r="AC18" i="13" s="1"/>
  <c r="AD18" i="13" s="1"/>
  <c r="AE18" i="13" s="1"/>
  <c r="AF18" i="13" s="1"/>
  <c r="AG18" i="13" s="1"/>
  <c r="AH18" i="13" s="1"/>
  <c r="AI18" i="13" s="1"/>
  <c r="AJ18" i="13" s="1"/>
  <c r="AK18" i="13" s="1"/>
  <c r="AL18" i="13" s="1"/>
  <c r="AM18" i="13" s="1"/>
  <c r="AN18" i="13" s="1"/>
  <c r="AO18" i="13" s="1"/>
  <c r="AP18" i="13" s="1"/>
  <c r="AQ18" i="13" s="1"/>
  <c r="AR18" i="13" s="1"/>
  <c r="AS18" i="13" s="1"/>
  <c r="AT18" i="13" s="1"/>
  <c r="AU18" i="13" s="1"/>
  <c r="AV18" i="13" s="1"/>
  <c r="AW18" i="13" s="1"/>
  <c r="AX18" i="13" s="1"/>
  <c r="AY18" i="13" s="1"/>
  <c r="AZ18" i="13" s="1"/>
  <c r="BA18" i="13" s="1"/>
  <c r="BB18" i="13" s="1"/>
  <c r="BC18" i="13" s="1"/>
  <c r="G19" i="13"/>
  <c r="H19" i="13"/>
  <c r="I19" i="13" s="1"/>
  <c r="J19" i="13" s="1"/>
  <c r="K19" i="13" s="1"/>
  <c r="L19" i="13" s="1"/>
  <c r="M19" i="13" s="1"/>
  <c r="N19" i="13" s="1"/>
  <c r="O19" i="13" s="1"/>
  <c r="P19" i="13" s="1"/>
  <c r="Q19" i="13" s="1"/>
  <c r="R19" i="13" s="1"/>
  <c r="S19" i="13" s="1"/>
  <c r="T19" i="13" s="1"/>
  <c r="U19" i="13" s="1"/>
  <c r="V19" i="13" s="1"/>
  <c r="W19" i="13" s="1"/>
  <c r="X19" i="13" s="1"/>
  <c r="Y19" i="13" s="1"/>
  <c r="Z19" i="13" s="1"/>
  <c r="AA19" i="13" s="1"/>
  <c r="AB19" i="13" s="1"/>
  <c r="AC19" i="13" s="1"/>
  <c r="AD19" i="13" s="1"/>
  <c r="AE19" i="13" s="1"/>
  <c r="AF19" i="13" s="1"/>
  <c r="AG19" i="13" s="1"/>
  <c r="AH19" i="13" s="1"/>
  <c r="AI19" i="13" s="1"/>
  <c r="AJ19" i="13" s="1"/>
  <c r="AK19" i="13" s="1"/>
  <c r="AL19" i="13" s="1"/>
  <c r="AM19" i="13" s="1"/>
  <c r="AN19" i="13" s="1"/>
  <c r="AO19" i="13" s="1"/>
  <c r="AP19" i="13" s="1"/>
  <c r="AQ19" i="13" s="1"/>
  <c r="AR19" i="13" s="1"/>
  <c r="AS19" i="13" s="1"/>
  <c r="AT19" i="13" s="1"/>
  <c r="AU19" i="13" s="1"/>
  <c r="AV19" i="13" s="1"/>
  <c r="AW19" i="13" s="1"/>
  <c r="AX19" i="13" s="1"/>
  <c r="AY19" i="13" s="1"/>
  <c r="AZ19" i="13" s="1"/>
  <c r="BA19" i="13" s="1"/>
  <c r="BB19" i="13" s="1"/>
  <c r="BC19" i="13" s="1"/>
  <c r="G20" i="13"/>
  <c r="H20" i="13"/>
  <c r="I20" i="13"/>
  <c r="J20" i="13" s="1"/>
  <c r="K20" i="13"/>
  <c r="L20" i="13" s="1"/>
  <c r="M20" i="13" s="1"/>
  <c r="N20" i="13" s="1"/>
  <c r="O20" i="13" s="1"/>
  <c r="P20" i="13" s="1"/>
  <c r="Q20" i="13" s="1"/>
  <c r="R20" i="13" s="1"/>
  <c r="S20" i="13" s="1"/>
  <c r="T20" i="13" s="1"/>
  <c r="U20" i="13" s="1"/>
  <c r="V20" i="13" s="1"/>
  <c r="W20" i="13" s="1"/>
  <c r="X20" i="13" s="1"/>
  <c r="Y20" i="13" s="1"/>
  <c r="Z20" i="13" s="1"/>
  <c r="AA20" i="13" s="1"/>
  <c r="AB20" i="13" s="1"/>
  <c r="AC20" i="13" s="1"/>
  <c r="AD20" i="13" s="1"/>
  <c r="AE20" i="13" s="1"/>
  <c r="AF20" i="13" s="1"/>
  <c r="AG20" i="13" s="1"/>
  <c r="AH20" i="13" s="1"/>
  <c r="AI20" i="13" s="1"/>
  <c r="AJ20" i="13" s="1"/>
  <c r="AK20" i="13" s="1"/>
  <c r="AL20" i="13" s="1"/>
  <c r="AM20" i="13" s="1"/>
  <c r="AN20" i="13" s="1"/>
  <c r="AO20" i="13" s="1"/>
  <c r="AP20" i="13" s="1"/>
  <c r="AQ20" i="13" s="1"/>
  <c r="AR20" i="13" s="1"/>
  <c r="AS20" i="13" s="1"/>
  <c r="AT20" i="13" s="1"/>
  <c r="AU20" i="13" s="1"/>
  <c r="AV20" i="13" s="1"/>
  <c r="AW20" i="13" s="1"/>
  <c r="AX20" i="13" s="1"/>
  <c r="AY20" i="13" s="1"/>
  <c r="AZ20" i="13" s="1"/>
  <c r="BA20" i="13" s="1"/>
  <c r="BB20" i="13" s="1"/>
  <c r="BC20" i="13" s="1"/>
  <c r="G21" i="13"/>
  <c r="H21" i="13" s="1"/>
  <c r="I21" i="13" s="1"/>
  <c r="J21" i="13" s="1"/>
  <c r="K21" i="13" s="1"/>
  <c r="L21" i="13"/>
  <c r="M21" i="13" s="1"/>
  <c r="N21" i="13" s="1"/>
  <c r="O21" i="13" s="1"/>
  <c r="P21" i="13" s="1"/>
  <c r="Q21" i="13" s="1"/>
  <c r="R21" i="13" s="1"/>
  <c r="S21" i="13" s="1"/>
  <c r="T21" i="13" s="1"/>
  <c r="U21" i="13" s="1"/>
  <c r="V21" i="13" s="1"/>
  <c r="W21" i="13" s="1"/>
  <c r="X21" i="13" s="1"/>
  <c r="Y21" i="13" s="1"/>
  <c r="Z21" i="13" s="1"/>
  <c r="AA21" i="13" s="1"/>
  <c r="AB21" i="13" s="1"/>
  <c r="AC21" i="13" s="1"/>
  <c r="AD21" i="13" s="1"/>
  <c r="AE21" i="13" s="1"/>
  <c r="AF21" i="13" s="1"/>
  <c r="AG21" i="13" s="1"/>
  <c r="AH21" i="13" s="1"/>
  <c r="AI21" i="13" s="1"/>
  <c r="AJ21" i="13" s="1"/>
  <c r="AK21" i="13" s="1"/>
  <c r="AL21" i="13" s="1"/>
  <c r="AM21" i="13" s="1"/>
  <c r="AN21" i="13" s="1"/>
  <c r="AO21" i="13" s="1"/>
  <c r="AP21" i="13" s="1"/>
  <c r="AQ21" i="13" s="1"/>
  <c r="AR21" i="13" s="1"/>
  <c r="AS21" i="13" s="1"/>
  <c r="AT21" i="13" s="1"/>
  <c r="AU21" i="13" s="1"/>
  <c r="AV21" i="13" s="1"/>
  <c r="AW21" i="13" s="1"/>
  <c r="AX21" i="13" s="1"/>
  <c r="AY21" i="13" s="1"/>
  <c r="AZ21" i="13" s="1"/>
  <c r="BA21" i="13" s="1"/>
  <c r="BB21" i="13" s="1"/>
  <c r="BC21" i="13" s="1"/>
  <c r="G22" i="13"/>
  <c r="H22" i="13" s="1"/>
  <c r="I22" i="13" s="1"/>
  <c r="J22" i="13" s="1"/>
  <c r="K22" i="13" s="1"/>
  <c r="L22" i="13" s="1"/>
  <c r="M22" i="13" s="1"/>
  <c r="N22" i="13" s="1"/>
  <c r="O22" i="13" s="1"/>
  <c r="P22" i="13" s="1"/>
  <c r="Q22" i="13" s="1"/>
  <c r="R22" i="13" s="1"/>
  <c r="S22" i="13" s="1"/>
  <c r="T22" i="13" s="1"/>
  <c r="U22" i="13" s="1"/>
  <c r="V22" i="13" s="1"/>
  <c r="W22" i="13" s="1"/>
  <c r="X22" i="13" s="1"/>
  <c r="Y22" i="13" s="1"/>
  <c r="Z22" i="13" s="1"/>
  <c r="AA22" i="13" s="1"/>
  <c r="AB22" i="13" s="1"/>
  <c r="AC22" i="13" s="1"/>
  <c r="AD22" i="13" s="1"/>
  <c r="AE22" i="13" s="1"/>
  <c r="AF22" i="13" s="1"/>
  <c r="AG22" i="13" s="1"/>
  <c r="AH22" i="13" s="1"/>
  <c r="AI22" i="13" s="1"/>
  <c r="AJ22" i="13" s="1"/>
  <c r="AK22" i="13" s="1"/>
  <c r="AL22" i="13" s="1"/>
  <c r="AM22" i="13" s="1"/>
  <c r="AN22" i="13" s="1"/>
  <c r="AO22" i="13" s="1"/>
  <c r="AP22" i="13" s="1"/>
  <c r="AQ22" i="13" s="1"/>
  <c r="AR22" i="13" s="1"/>
  <c r="AS22" i="13" s="1"/>
  <c r="AT22" i="13" s="1"/>
  <c r="AU22" i="13" s="1"/>
  <c r="AV22" i="13" s="1"/>
  <c r="AW22" i="13" s="1"/>
  <c r="AX22" i="13" s="1"/>
  <c r="AY22" i="13" s="1"/>
  <c r="AZ22" i="13" s="1"/>
  <c r="BA22" i="13" s="1"/>
  <c r="BB22" i="13" s="1"/>
  <c r="BC22" i="13" s="1"/>
  <c r="G23" i="13"/>
  <c r="H23" i="13" s="1"/>
  <c r="I23" i="13" s="1"/>
  <c r="J23" i="13" s="1"/>
  <c r="K23" i="13" s="1"/>
  <c r="L23" i="13" s="1"/>
  <c r="M23" i="13" s="1"/>
  <c r="N23" i="13" s="1"/>
  <c r="O23" i="13" s="1"/>
  <c r="P23" i="13" s="1"/>
  <c r="Q23" i="13" s="1"/>
  <c r="R23" i="13" s="1"/>
  <c r="S23" i="13" s="1"/>
  <c r="T23" i="13" s="1"/>
  <c r="U23" i="13" s="1"/>
  <c r="V23" i="13" s="1"/>
  <c r="W23" i="13" s="1"/>
  <c r="X23" i="13" s="1"/>
  <c r="Y23" i="13" s="1"/>
  <c r="Z23" i="13" s="1"/>
  <c r="AA23" i="13" s="1"/>
  <c r="AB23" i="13" s="1"/>
  <c r="AC23" i="13" s="1"/>
  <c r="AD23" i="13" s="1"/>
  <c r="AE23" i="13" s="1"/>
  <c r="AF23" i="13" s="1"/>
  <c r="AG23" i="13" s="1"/>
  <c r="AH23" i="13" s="1"/>
  <c r="AI23" i="13" s="1"/>
  <c r="AJ23" i="13" s="1"/>
  <c r="AK23" i="13" s="1"/>
  <c r="AL23" i="13" s="1"/>
  <c r="AM23" i="13" s="1"/>
  <c r="AN23" i="13" s="1"/>
  <c r="AO23" i="13" s="1"/>
  <c r="AP23" i="13" s="1"/>
  <c r="AQ23" i="13" s="1"/>
  <c r="AR23" i="13" s="1"/>
  <c r="AS23" i="13" s="1"/>
  <c r="AT23" i="13" s="1"/>
  <c r="AU23" i="13" s="1"/>
  <c r="AV23" i="13" s="1"/>
  <c r="AW23" i="13" s="1"/>
  <c r="AX23" i="13" s="1"/>
  <c r="AY23" i="13" s="1"/>
  <c r="AZ23" i="13" s="1"/>
  <c r="BA23" i="13" s="1"/>
  <c r="BB23" i="13" s="1"/>
  <c r="BC23" i="13" s="1"/>
  <c r="G24" i="13"/>
  <c r="H24" i="13" s="1"/>
  <c r="I24" i="13" s="1"/>
  <c r="J24" i="13" s="1"/>
  <c r="K24" i="13" s="1"/>
  <c r="L24" i="13" s="1"/>
  <c r="M24" i="13" s="1"/>
  <c r="N24" i="13" s="1"/>
  <c r="O24" i="13" s="1"/>
  <c r="P24" i="13" s="1"/>
  <c r="Q24" i="13" s="1"/>
  <c r="R24" i="13" s="1"/>
  <c r="S24" i="13" s="1"/>
  <c r="T24" i="13" s="1"/>
  <c r="U24" i="13" s="1"/>
  <c r="V24" i="13" s="1"/>
  <c r="W24" i="13" s="1"/>
  <c r="X24" i="13" s="1"/>
  <c r="Y24" i="13" s="1"/>
  <c r="Z24" i="13" s="1"/>
  <c r="AA24" i="13" s="1"/>
  <c r="AB24" i="13" s="1"/>
  <c r="AC24" i="13" s="1"/>
  <c r="AD24" i="13" s="1"/>
  <c r="AE24" i="13" s="1"/>
  <c r="AF24" i="13" s="1"/>
  <c r="AG24" i="13" s="1"/>
  <c r="AH24" i="13" s="1"/>
  <c r="AI24" i="13" s="1"/>
  <c r="AJ24" i="13" s="1"/>
  <c r="AK24" i="13" s="1"/>
  <c r="AL24" i="13" s="1"/>
  <c r="AM24" i="13" s="1"/>
  <c r="AN24" i="13" s="1"/>
  <c r="AO24" i="13" s="1"/>
  <c r="AP24" i="13" s="1"/>
  <c r="AQ24" i="13" s="1"/>
  <c r="AR24" i="13" s="1"/>
  <c r="AS24" i="13" s="1"/>
  <c r="AT24" i="13" s="1"/>
  <c r="AU24" i="13" s="1"/>
  <c r="AV24" i="13" s="1"/>
  <c r="AW24" i="13" s="1"/>
  <c r="AX24" i="13" s="1"/>
  <c r="AY24" i="13" s="1"/>
  <c r="AZ24" i="13" s="1"/>
  <c r="BA24" i="13" s="1"/>
  <c r="BB24" i="13" s="1"/>
  <c r="BC24" i="13" s="1"/>
  <c r="G25" i="13"/>
  <c r="H25" i="13"/>
  <c r="I25" i="13" s="1"/>
  <c r="J25" i="13" s="1"/>
  <c r="K25" i="13" s="1"/>
  <c r="L25" i="13" s="1"/>
  <c r="M25" i="13" s="1"/>
  <c r="N25" i="13" s="1"/>
  <c r="O25" i="13" s="1"/>
  <c r="P25" i="13" s="1"/>
  <c r="Q25" i="13" s="1"/>
  <c r="R25" i="13" s="1"/>
  <c r="S25" i="13" s="1"/>
  <c r="T25" i="13" s="1"/>
  <c r="U25" i="13" s="1"/>
  <c r="V25" i="13" s="1"/>
  <c r="W25" i="13" s="1"/>
  <c r="X25" i="13" s="1"/>
  <c r="Y25" i="13" s="1"/>
  <c r="Z25" i="13" s="1"/>
  <c r="AA25" i="13" s="1"/>
  <c r="AB25" i="13" s="1"/>
  <c r="AC25" i="13" s="1"/>
  <c r="AD25" i="13" s="1"/>
  <c r="AE25" i="13" s="1"/>
  <c r="AF25" i="13" s="1"/>
  <c r="AG25" i="13" s="1"/>
  <c r="AH25" i="13" s="1"/>
  <c r="AI25" i="13" s="1"/>
  <c r="AJ25" i="13" s="1"/>
  <c r="AK25" i="13" s="1"/>
  <c r="AL25" i="13" s="1"/>
  <c r="AM25" i="13" s="1"/>
  <c r="AN25" i="13" s="1"/>
  <c r="AO25" i="13" s="1"/>
  <c r="AP25" i="13" s="1"/>
  <c r="AQ25" i="13" s="1"/>
  <c r="AR25" i="13" s="1"/>
  <c r="AS25" i="13" s="1"/>
  <c r="AT25" i="13" s="1"/>
  <c r="AU25" i="13" s="1"/>
  <c r="AV25" i="13" s="1"/>
  <c r="AW25" i="13" s="1"/>
  <c r="AX25" i="13" s="1"/>
  <c r="AY25" i="13" s="1"/>
  <c r="AZ25" i="13" s="1"/>
  <c r="BA25" i="13" s="1"/>
  <c r="BB25" i="13" s="1"/>
  <c r="BC25" i="13" s="1"/>
  <c r="G26" i="13"/>
  <c r="H26" i="13" s="1"/>
  <c r="I26" i="13" s="1"/>
  <c r="J26" i="13" s="1"/>
  <c r="K26" i="13"/>
  <c r="L26" i="13" s="1"/>
  <c r="M26" i="13" s="1"/>
  <c r="N26" i="13" s="1"/>
  <c r="O26" i="13" s="1"/>
  <c r="P26" i="13" s="1"/>
  <c r="Q26" i="13" s="1"/>
  <c r="R26" i="13" s="1"/>
  <c r="S26" i="13" s="1"/>
  <c r="T26" i="13" s="1"/>
  <c r="U26" i="13" s="1"/>
  <c r="V26" i="13" s="1"/>
  <c r="W26" i="13" s="1"/>
  <c r="X26" i="13" s="1"/>
  <c r="Y26" i="13" s="1"/>
  <c r="Z26" i="13" s="1"/>
  <c r="AA26" i="13" s="1"/>
  <c r="AB26" i="13" s="1"/>
  <c r="AC26" i="13" s="1"/>
  <c r="AD26" i="13" s="1"/>
  <c r="AE26" i="13" s="1"/>
  <c r="AF26" i="13" s="1"/>
  <c r="AG26" i="13" s="1"/>
  <c r="AH26" i="13" s="1"/>
  <c r="AI26" i="13" s="1"/>
  <c r="AJ26" i="13" s="1"/>
  <c r="AK26" i="13" s="1"/>
  <c r="AL26" i="13" s="1"/>
  <c r="AM26" i="13" s="1"/>
  <c r="AN26" i="13" s="1"/>
  <c r="AO26" i="13" s="1"/>
  <c r="AP26" i="13" s="1"/>
  <c r="AQ26" i="13" s="1"/>
  <c r="AR26" i="13" s="1"/>
  <c r="AS26" i="13" s="1"/>
  <c r="AT26" i="13" s="1"/>
  <c r="AU26" i="13" s="1"/>
  <c r="AV26" i="13" s="1"/>
  <c r="AW26" i="13" s="1"/>
  <c r="AX26" i="13" s="1"/>
  <c r="AY26" i="13" s="1"/>
  <c r="AZ26" i="13" s="1"/>
  <c r="BA26" i="13" s="1"/>
  <c r="BB26" i="13" s="1"/>
  <c r="BC26" i="13" s="1"/>
  <c r="G27" i="13"/>
  <c r="H27" i="13"/>
  <c r="I27" i="13"/>
  <c r="J27" i="13" s="1"/>
  <c r="K27" i="13" s="1"/>
  <c r="L27" i="13" s="1"/>
  <c r="M27" i="13" s="1"/>
  <c r="N27" i="13" s="1"/>
  <c r="O27" i="13" s="1"/>
  <c r="P27" i="13" s="1"/>
  <c r="Q27" i="13" s="1"/>
  <c r="R27" i="13" s="1"/>
  <c r="S27" i="13" s="1"/>
  <c r="T27" i="13" s="1"/>
  <c r="U27" i="13" s="1"/>
  <c r="V27" i="13" s="1"/>
  <c r="W27" i="13" s="1"/>
  <c r="X27" i="13" s="1"/>
  <c r="Y27" i="13" s="1"/>
  <c r="Z27" i="13" s="1"/>
  <c r="AA27" i="13" s="1"/>
  <c r="AB27" i="13" s="1"/>
  <c r="AC27" i="13" s="1"/>
  <c r="AD27" i="13" s="1"/>
  <c r="AE27" i="13" s="1"/>
  <c r="AF27" i="13" s="1"/>
  <c r="AG27" i="13" s="1"/>
  <c r="AH27" i="13" s="1"/>
  <c r="AI27" i="13" s="1"/>
  <c r="AJ27" i="13" s="1"/>
  <c r="AK27" i="13" s="1"/>
  <c r="AL27" i="13" s="1"/>
  <c r="AM27" i="13" s="1"/>
  <c r="AN27" i="13" s="1"/>
  <c r="AO27" i="13" s="1"/>
  <c r="AP27" i="13" s="1"/>
  <c r="AQ27" i="13" s="1"/>
  <c r="AR27" i="13" s="1"/>
  <c r="AS27" i="13" s="1"/>
  <c r="AT27" i="13" s="1"/>
  <c r="AU27" i="13" s="1"/>
  <c r="AV27" i="13" s="1"/>
  <c r="AW27" i="13" s="1"/>
  <c r="AX27" i="13" s="1"/>
  <c r="AY27" i="13" s="1"/>
  <c r="AZ27" i="13" s="1"/>
  <c r="BA27" i="13" s="1"/>
  <c r="BB27" i="13" s="1"/>
  <c r="BC27" i="13" s="1"/>
  <c r="G28" i="13"/>
  <c r="H28" i="13"/>
  <c r="I28" i="13" s="1"/>
  <c r="J28" i="13" s="1"/>
  <c r="K28" i="13" s="1"/>
  <c r="L28" i="13" s="1"/>
  <c r="M28" i="13" s="1"/>
  <c r="N28" i="13" s="1"/>
  <c r="O28" i="13" s="1"/>
  <c r="P28" i="13" s="1"/>
  <c r="Q28" i="13" s="1"/>
  <c r="R28" i="13" s="1"/>
  <c r="S28" i="13" s="1"/>
  <c r="T28" i="13" s="1"/>
  <c r="U28" i="13" s="1"/>
  <c r="V28" i="13" s="1"/>
  <c r="W28" i="13" s="1"/>
  <c r="X28" i="13" s="1"/>
  <c r="Y28" i="13" s="1"/>
  <c r="Z28" i="13" s="1"/>
  <c r="AA28" i="13" s="1"/>
  <c r="AB28" i="13" s="1"/>
  <c r="AC28" i="13" s="1"/>
  <c r="AD28" i="13" s="1"/>
  <c r="AE28" i="13" s="1"/>
  <c r="AF28" i="13" s="1"/>
  <c r="AG28" i="13" s="1"/>
  <c r="AH28" i="13" s="1"/>
  <c r="AI28" i="13" s="1"/>
  <c r="AJ28" i="13" s="1"/>
  <c r="AK28" i="13" s="1"/>
  <c r="AL28" i="13" s="1"/>
  <c r="AM28" i="13" s="1"/>
  <c r="AN28" i="13" s="1"/>
  <c r="AO28" i="13" s="1"/>
  <c r="AP28" i="13" s="1"/>
  <c r="AQ28" i="13" s="1"/>
  <c r="AR28" i="13" s="1"/>
  <c r="AS28" i="13" s="1"/>
  <c r="AT28" i="13" s="1"/>
  <c r="AU28" i="13" s="1"/>
  <c r="AV28" i="13" s="1"/>
  <c r="AW28" i="13" s="1"/>
  <c r="AX28" i="13" s="1"/>
  <c r="AY28" i="13" s="1"/>
  <c r="AZ28" i="13" s="1"/>
  <c r="BA28" i="13" s="1"/>
  <c r="BB28" i="13" s="1"/>
  <c r="BC28" i="13" s="1"/>
  <c r="G29" i="13"/>
  <c r="H29" i="13" s="1"/>
  <c r="I29" i="13" s="1"/>
  <c r="J29" i="13" s="1"/>
  <c r="K29" i="13" s="1"/>
  <c r="L29" i="13" s="1"/>
  <c r="M29" i="13" s="1"/>
  <c r="N29" i="13" s="1"/>
  <c r="O29" i="13" s="1"/>
  <c r="P29" i="13" s="1"/>
  <c r="Q29" i="13" s="1"/>
  <c r="R29" i="13" s="1"/>
  <c r="S29" i="13" s="1"/>
  <c r="T29" i="13" s="1"/>
  <c r="U29" i="13" s="1"/>
  <c r="V29" i="13" s="1"/>
  <c r="W29" i="13" s="1"/>
  <c r="X29" i="13" s="1"/>
  <c r="Y29" i="13" s="1"/>
  <c r="Z29" i="13" s="1"/>
  <c r="AA29" i="13" s="1"/>
  <c r="AB29" i="13" s="1"/>
  <c r="AC29" i="13" s="1"/>
  <c r="AD29" i="13" s="1"/>
  <c r="AE29" i="13" s="1"/>
  <c r="AF29" i="13" s="1"/>
  <c r="AG29" i="13" s="1"/>
  <c r="AH29" i="13" s="1"/>
  <c r="AI29" i="13" s="1"/>
  <c r="AJ29" i="13" s="1"/>
  <c r="AK29" i="13" s="1"/>
  <c r="AL29" i="13" s="1"/>
  <c r="AM29" i="13" s="1"/>
  <c r="AN29" i="13" s="1"/>
  <c r="AO29" i="13" s="1"/>
  <c r="AP29" i="13" s="1"/>
  <c r="AQ29" i="13" s="1"/>
  <c r="AR29" i="13" s="1"/>
  <c r="AS29" i="13" s="1"/>
  <c r="AT29" i="13" s="1"/>
  <c r="AU29" i="13" s="1"/>
  <c r="AV29" i="13" s="1"/>
  <c r="AW29" i="13" s="1"/>
  <c r="AX29" i="13" s="1"/>
  <c r="AY29" i="13" s="1"/>
  <c r="AZ29" i="13" s="1"/>
  <c r="BA29" i="13" s="1"/>
  <c r="BB29" i="13" s="1"/>
  <c r="BC29" i="13" s="1"/>
  <c r="G30" i="13"/>
  <c r="H30" i="13"/>
  <c r="I30" i="13" s="1"/>
  <c r="J30" i="13" s="1"/>
  <c r="K30" i="13" s="1"/>
  <c r="L30" i="13" s="1"/>
  <c r="M30" i="13" s="1"/>
  <c r="N30" i="13" s="1"/>
  <c r="O30" i="13" s="1"/>
  <c r="P30" i="13" s="1"/>
  <c r="Q30" i="13" s="1"/>
  <c r="R30" i="13" s="1"/>
  <c r="S30" i="13" s="1"/>
  <c r="T30" i="13" s="1"/>
  <c r="U30" i="13" s="1"/>
  <c r="V30" i="13" s="1"/>
  <c r="W30" i="13" s="1"/>
  <c r="X30" i="13" s="1"/>
  <c r="Y30" i="13" s="1"/>
  <c r="Z30" i="13" s="1"/>
  <c r="AA30" i="13" s="1"/>
  <c r="AB30" i="13" s="1"/>
  <c r="AC30" i="13" s="1"/>
  <c r="AD30" i="13" s="1"/>
  <c r="AE30" i="13" s="1"/>
  <c r="AF30" i="13" s="1"/>
  <c r="AG30" i="13" s="1"/>
  <c r="AH30" i="13" s="1"/>
  <c r="AI30" i="13" s="1"/>
  <c r="AJ30" i="13" s="1"/>
  <c r="AK30" i="13" s="1"/>
  <c r="AL30" i="13" s="1"/>
  <c r="AM30" i="13" s="1"/>
  <c r="AN30" i="13" s="1"/>
  <c r="AO30" i="13" s="1"/>
  <c r="AP30" i="13" s="1"/>
  <c r="AQ30" i="13" s="1"/>
  <c r="AR30" i="13" s="1"/>
  <c r="AS30" i="13" s="1"/>
  <c r="AT30" i="13" s="1"/>
  <c r="AU30" i="13" s="1"/>
  <c r="AV30" i="13" s="1"/>
  <c r="AW30" i="13" s="1"/>
  <c r="AX30" i="13" s="1"/>
  <c r="AY30" i="13" s="1"/>
  <c r="AZ30" i="13" s="1"/>
  <c r="BA30" i="13" s="1"/>
  <c r="BB30" i="13" s="1"/>
  <c r="BC30" i="13" s="1"/>
  <c r="H4" i="13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AC4" i="13" s="1"/>
  <c r="AD4" i="13" s="1"/>
  <c r="AE4" i="13" s="1"/>
  <c r="AF4" i="13" s="1"/>
  <c r="AG4" i="13" s="1"/>
  <c r="AH4" i="13" s="1"/>
  <c r="AI4" i="13" s="1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A96" i="13"/>
  <c r="A97" i="13"/>
  <c r="A98" i="13"/>
  <c r="A99" i="13"/>
  <c r="A100" i="13"/>
  <c r="A101" i="13"/>
  <c r="A102" i="13"/>
  <c r="A103" i="13"/>
  <c r="A104" i="13"/>
  <c r="A105" i="13"/>
  <c r="A106" i="13"/>
  <c r="A107" i="13"/>
  <c r="A108" i="13"/>
  <c r="A109" i="13"/>
  <c r="A110" i="13"/>
  <c r="A111" i="13"/>
  <c r="A112" i="13"/>
  <c r="A113" i="13"/>
  <c r="A114" i="13"/>
  <c r="A115" i="13"/>
  <c r="A116" i="13"/>
  <c r="A117" i="13"/>
  <c r="A118" i="13"/>
  <c r="A119" i="13"/>
  <c r="A120" i="13"/>
  <c r="A121" i="13"/>
  <c r="A122" i="13"/>
  <c r="A123" i="13"/>
  <c r="A124" i="13"/>
  <c r="A125" i="13"/>
  <c r="A126" i="13"/>
  <c r="A127" i="13"/>
  <c r="A128" i="13"/>
  <c r="A129" i="13"/>
  <c r="A130" i="13"/>
  <c r="A131" i="13"/>
  <c r="A132" i="13"/>
  <c r="A133" i="13"/>
  <c r="A134" i="13"/>
  <c r="A135" i="13"/>
  <c r="A136" i="13"/>
  <c r="A137" i="13"/>
  <c r="A138" i="13"/>
  <c r="A139" i="13"/>
  <c r="A140" i="13"/>
  <c r="A141" i="13"/>
  <c r="A142" i="13"/>
  <c r="A143" i="13"/>
  <c r="A144" i="13"/>
  <c r="A145" i="13"/>
  <c r="A146" i="13"/>
  <c r="A147" i="13"/>
  <c r="A148" i="13"/>
  <c r="A149" i="13"/>
  <c r="A150" i="13"/>
  <c r="A151" i="13"/>
  <c r="A152" i="13"/>
  <c r="A153" i="13"/>
  <c r="A154" i="13"/>
  <c r="A155" i="13"/>
  <c r="A156" i="13"/>
  <c r="A157" i="13"/>
  <c r="A158" i="13"/>
  <c r="A159" i="13"/>
  <c r="A160" i="13"/>
  <c r="A161" i="13"/>
  <c r="A162" i="13"/>
  <c r="A163" i="13"/>
  <c r="A164" i="13"/>
  <c r="A165" i="13"/>
  <c r="A166" i="13"/>
  <c r="A167" i="13"/>
  <c r="A168" i="13"/>
  <c r="A169" i="13"/>
  <c r="A170" i="13"/>
  <c r="A171" i="13"/>
  <c r="A172" i="13"/>
  <c r="A173" i="13"/>
  <c r="A174" i="13"/>
  <c r="A175" i="13"/>
  <c r="A176" i="13"/>
  <c r="A177" i="13"/>
  <c r="A178" i="13"/>
  <c r="A179" i="13"/>
  <c r="A180" i="13"/>
  <c r="A181" i="13"/>
  <c r="A182" i="13"/>
  <c r="A183" i="13"/>
  <c r="A184" i="13"/>
  <c r="A185" i="13"/>
  <c r="A186" i="13"/>
  <c r="A187" i="13"/>
  <c r="A188" i="13"/>
  <c r="A189" i="13"/>
  <c r="A190" i="13"/>
  <c r="A191" i="13"/>
  <c r="A192" i="13"/>
  <c r="A193" i="13"/>
  <c r="A194" i="13"/>
  <c r="A195" i="13"/>
  <c r="A196" i="13"/>
  <c r="A197" i="13"/>
  <c r="A198" i="13"/>
  <c r="A199" i="13"/>
  <c r="A200" i="13"/>
  <c r="A201" i="13"/>
  <c r="A202" i="13"/>
  <c r="A203" i="13"/>
  <c r="A204" i="13"/>
  <c r="A205" i="13"/>
  <c r="A206" i="13"/>
  <c r="A207" i="13"/>
  <c r="A208" i="13"/>
  <c r="A209" i="13"/>
  <c r="A210" i="13"/>
  <c r="A211" i="13"/>
  <c r="A212" i="13"/>
  <c r="A213" i="13"/>
  <c r="A214" i="13"/>
  <c r="A215" i="13"/>
  <c r="A216" i="13"/>
  <c r="A217" i="13"/>
  <c r="A218" i="13"/>
  <c r="A219" i="13"/>
  <c r="A220" i="13"/>
  <c r="A221" i="13"/>
  <c r="A222" i="13"/>
  <c r="A223" i="13"/>
  <c r="A224" i="13"/>
  <c r="A225" i="13"/>
  <c r="A226" i="13"/>
  <c r="A227" i="13"/>
  <c r="A228" i="13"/>
  <c r="A229" i="13"/>
  <c r="A230" i="13"/>
  <c r="A231" i="13"/>
  <c r="A232" i="13"/>
  <c r="A233" i="13"/>
  <c r="A234" i="13"/>
  <c r="A235" i="13"/>
  <c r="A236" i="13"/>
  <c r="A237" i="13"/>
  <c r="A238" i="13"/>
  <c r="A239" i="13"/>
  <c r="A240" i="13"/>
  <c r="A241" i="13"/>
  <c r="A242" i="13"/>
  <c r="A243" i="13"/>
  <c r="A244" i="13"/>
  <c r="A245" i="13"/>
  <c r="A246" i="13"/>
  <c r="A247" i="13"/>
  <c r="A248" i="13"/>
  <c r="A249" i="13"/>
  <c r="A250" i="13"/>
  <c r="A251" i="13"/>
  <c r="A36" i="13"/>
  <c r="G4" i="13"/>
  <c r="AJ5" i="11"/>
  <c r="AK5" i="11" s="1"/>
  <c r="AL5" i="11" s="1"/>
  <c r="AM5" i="11" s="1"/>
  <c r="AN5" i="11" s="1"/>
  <c r="AO5" i="11" s="1"/>
  <c r="AP5" i="11" s="1"/>
  <c r="AQ5" i="11" s="1"/>
  <c r="AR5" i="11" s="1"/>
  <c r="AS5" i="11" s="1"/>
  <c r="AT5" i="11" s="1"/>
  <c r="AU5" i="11" s="1"/>
  <c r="AV5" i="11" s="1"/>
  <c r="AW5" i="11" s="1"/>
  <c r="AX5" i="11" s="1"/>
  <c r="AY5" i="11" s="1"/>
  <c r="AZ5" i="11" s="1"/>
  <c r="BA5" i="11" s="1"/>
  <c r="BB5" i="11" s="1"/>
  <c r="BC5" i="11" s="1"/>
  <c r="AJ6" i="11"/>
  <c r="AK6" i="11" s="1"/>
  <c r="AL6" i="11" s="1"/>
  <c r="AM6" i="11" s="1"/>
  <c r="AN6" i="11" s="1"/>
  <c r="AO6" i="11" s="1"/>
  <c r="AP6" i="11" s="1"/>
  <c r="AQ6" i="11" s="1"/>
  <c r="AR6" i="11" s="1"/>
  <c r="AS6" i="11" s="1"/>
  <c r="AT6" i="11" s="1"/>
  <c r="AU6" i="11" s="1"/>
  <c r="AV6" i="11" s="1"/>
  <c r="AW6" i="11" s="1"/>
  <c r="AX6" i="11" s="1"/>
  <c r="AY6" i="11" s="1"/>
  <c r="AZ6" i="11" s="1"/>
  <c r="BA6" i="11" s="1"/>
  <c r="BB6" i="11" s="1"/>
  <c r="BC6" i="11" s="1"/>
  <c r="AJ7" i="11"/>
  <c r="AK7" i="11" s="1"/>
  <c r="AL7" i="11" s="1"/>
  <c r="AM7" i="11" s="1"/>
  <c r="AN7" i="11" s="1"/>
  <c r="AO7" i="11" s="1"/>
  <c r="AP7" i="11" s="1"/>
  <c r="AQ7" i="11" s="1"/>
  <c r="AR7" i="11" s="1"/>
  <c r="AS7" i="11" s="1"/>
  <c r="AT7" i="11" s="1"/>
  <c r="AU7" i="11" s="1"/>
  <c r="AV7" i="11" s="1"/>
  <c r="AW7" i="11" s="1"/>
  <c r="AX7" i="11" s="1"/>
  <c r="AY7" i="11" s="1"/>
  <c r="AZ7" i="11" s="1"/>
  <c r="BA7" i="11" s="1"/>
  <c r="BB7" i="11" s="1"/>
  <c r="BC7" i="11" s="1"/>
  <c r="AJ8" i="11"/>
  <c r="AK8" i="11" s="1"/>
  <c r="AL8" i="11" s="1"/>
  <c r="AM8" i="11" s="1"/>
  <c r="AN8" i="11" s="1"/>
  <c r="AO8" i="11" s="1"/>
  <c r="AP8" i="11" s="1"/>
  <c r="AQ8" i="11" s="1"/>
  <c r="AR8" i="11" s="1"/>
  <c r="AS8" i="11" s="1"/>
  <c r="AT8" i="11" s="1"/>
  <c r="AU8" i="11" s="1"/>
  <c r="AV8" i="11" s="1"/>
  <c r="AW8" i="11" s="1"/>
  <c r="AX8" i="11" s="1"/>
  <c r="AY8" i="11" s="1"/>
  <c r="AZ8" i="11" s="1"/>
  <c r="BA8" i="11" s="1"/>
  <c r="BB8" i="11" s="1"/>
  <c r="BC8" i="11" s="1"/>
  <c r="AJ9" i="11"/>
  <c r="AK9" i="11" s="1"/>
  <c r="AL9" i="11" s="1"/>
  <c r="AM9" i="11" s="1"/>
  <c r="AN9" i="11" s="1"/>
  <c r="AO9" i="11" s="1"/>
  <c r="AP9" i="11" s="1"/>
  <c r="AQ9" i="11" s="1"/>
  <c r="AR9" i="11" s="1"/>
  <c r="AS9" i="11" s="1"/>
  <c r="AT9" i="11" s="1"/>
  <c r="AU9" i="11" s="1"/>
  <c r="AV9" i="11" s="1"/>
  <c r="AW9" i="11" s="1"/>
  <c r="AX9" i="11" s="1"/>
  <c r="AY9" i="11" s="1"/>
  <c r="AZ9" i="11" s="1"/>
  <c r="BA9" i="11" s="1"/>
  <c r="BB9" i="11" s="1"/>
  <c r="BC9" i="11" s="1"/>
  <c r="AJ10" i="11"/>
  <c r="AK10" i="11" s="1"/>
  <c r="AL10" i="11" s="1"/>
  <c r="AM10" i="11" s="1"/>
  <c r="AN10" i="11" s="1"/>
  <c r="AO10" i="11" s="1"/>
  <c r="AP10" i="11" s="1"/>
  <c r="AQ10" i="11" s="1"/>
  <c r="AR10" i="11" s="1"/>
  <c r="AS10" i="11" s="1"/>
  <c r="AT10" i="11" s="1"/>
  <c r="AU10" i="11" s="1"/>
  <c r="AV10" i="11" s="1"/>
  <c r="AW10" i="11" s="1"/>
  <c r="AX10" i="11" s="1"/>
  <c r="AY10" i="11" s="1"/>
  <c r="AZ10" i="11" s="1"/>
  <c r="BA10" i="11" s="1"/>
  <c r="BB10" i="11" s="1"/>
  <c r="BC10" i="11" s="1"/>
  <c r="AJ11" i="11"/>
  <c r="AK11" i="11" s="1"/>
  <c r="AL11" i="11" s="1"/>
  <c r="AM11" i="11" s="1"/>
  <c r="AN11" i="11" s="1"/>
  <c r="AO11" i="11" s="1"/>
  <c r="AP11" i="11" s="1"/>
  <c r="AQ11" i="11" s="1"/>
  <c r="AR11" i="11" s="1"/>
  <c r="AS11" i="11" s="1"/>
  <c r="AT11" i="11" s="1"/>
  <c r="AU11" i="11" s="1"/>
  <c r="AV11" i="11" s="1"/>
  <c r="AW11" i="11" s="1"/>
  <c r="AX11" i="11" s="1"/>
  <c r="AY11" i="11" s="1"/>
  <c r="AZ11" i="11" s="1"/>
  <c r="BA11" i="11" s="1"/>
  <c r="BB11" i="11" s="1"/>
  <c r="BC11" i="11" s="1"/>
  <c r="AJ12" i="11"/>
  <c r="AK12" i="11" s="1"/>
  <c r="AL12" i="11" s="1"/>
  <c r="AM12" i="11" s="1"/>
  <c r="AN12" i="11" s="1"/>
  <c r="AO12" i="11" s="1"/>
  <c r="AP12" i="11" s="1"/>
  <c r="AQ12" i="11" s="1"/>
  <c r="AR12" i="11" s="1"/>
  <c r="AS12" i="11" s="1"/>
  <c r="AT12" i="11" s="1"/>
  <c r="AU12" i="11" s="1"/>
  <c r="AV12" i="11" s="1"/>
  <c r="AW12" i="11" s="1"/>
  <c r="AX12" i="11" s="1"/>
  <c r="AY12" i="11" s="1"/>
  <c r="AZ12" i="11" s="1"/>
  <c r="BA12" i="11" s="1"/>
  <c r="BB12" i="11" s="1"/>
  <c r="BC12" i="11" s="1"/>
  <c r="AJ13" i="11"/>
  <c r="AK13" i="11" s="1"/>
  <c r="AL13" i="11" s="1"/>
  <c r="AM13" i="11" s="1"/>
  <c r="AN13" i="11" s="1"/>
  <c r="AO13" i="11" s="1"/>
  <c r="AP13" i="11" s="1"/>
  <c r="AQ13" i="11" s="1"/>
  <c r="AR13" i="11" s="1"/>
  <c r="AS13" i="11" s="1"/>
  <c r="AT13" i="11" s="1"/>
  <c r="AU13" i="11" s="1"/>
  <c r="AV13" i="11" s="1"/>
  <c r="AW13" i="11" s="1"/>
  <c r="AX13" i="11" s="1"/>
  <c r="AY13" i="11" s="1"/>
  <c r="AZ13" i="11" s="1"/>
  <c r="BA13" i="11" s="1"/>
  <c r="BB13" i="11" s="1"/>
  <c r="BC13" i="11" s="1"/>
  <c r="AJ14" i="11"/>
  <c r="AK14" i="11" s="1"/>
  <c r="AL14" i="11" s="1"/>
  <c r="AM14" i="11" s="1"/>
  <c r="AN14" i="11" s="1"/>
  <c r="AO14" i="11" s="1"/>
  <c r="AP14" i="11" s="1"/>
  <c r="AQ14" i="11" s="1"/>
  <c r="AR14" i="11" s="1"/>
  <c r="AS14" i="11" s="1"/>
  <c r="AT14" i="11" s="1"/>
  <c r="AU14" i="11" s="1"/>
  <c r="AV14" i="11" s="1"/>
  <c r="AW14" i="11" s="1"/>
  <c r="AX14" i="11" s="1"/>
  <c r="AY14" i="11" s="1"/>
  <c r="AZ14" i="11" s="1"/>
  <c r="BA14" i="11" s="1"/>
  <c r="BB14" i="11" s="1"/>
  <c r="BC14" i="11" s="1"/>
  <c r="AJ15" i="11"/>
  <c r="AK15" i="11" s="1"/>
  <c r="AL15" i="11" s="1"/>
  <c r="AM15" i="11" s="1"/>
  <c r="AN15" i="11" s="1"/>
  <c r="AO15" i="11" s="1"/>
  <c r="AP15" i="11" s="1"/>
  <c r="AQ15" i="11" s="1"/>
  <c r="AR15" i="11" s="1"/>
  <c r="AS15" i="11" s="1"/>
  <c r="AT15" i="11" s="1"/>
  <c r="AU15" i="11" s="1"/>
  <c r="AV15" i="11" s="1"/>
  <c r="AW15" i="11" s="1"/>
  <c r="AX15" i="11" s="1"/>
  <c r="AY15" i="11" s="1"/>
  <c r="AZ15" i="11" s="1"/>
  <c r="BA15" i="11" s="1"/>
  <c r="BB15" i="11" s="1"/>
  <c r="BC15" i="11" s="1"/>
  <c r="AJ16" i="11"/>
  <c r="AK16" i="11" s="1"/>
  <c r="AL16" i="11" s="1"/>
  <c r="AM16" i="11" s="1"/>
  <c r="AN16" i="11" s="1"/>
  <c r="AO16" i="11" s="1"/>
  <c r="AP16" i="11" s="1"/>
  <c r="AQ16" i="11" s="1"/>
  <c r="AR16" i="11" s="1"/>
  <c r="AS16" i="11" s="1"/>
  <c r="AT16" i="11" s="1"/>
  <c r="AU16" i="11" s="1"/>
  <c r="AV16" i="11" s="1"/>
  <c r="AW16" i="11" s="1"/>
  <c r="AX16" i="11" s="1"/>
  <c r="AY16" i="11" s="1"/>
  <c r="AZ16" i="11" s="1"/>
  <c r="BA16" i="11" s="1"/>
  <c r="BB16" i="11" s="1"/>
  <c r="BC16" i="11" s="1"/>
  <c r="AJ17" i="11"/>
  <c r="AK17" i="11" s="1"/>
  <c r="AL17" i="11" s="1"/>
  <c r="AM17" i="11" s="1"/>
  <c r="AN17" i="11" s="1"/>
  <c r="AO17" i="11" s="1"/>
  <c r="AP17" i="11" s="1"/>
  <c r="AQ17" i="11" s="1"/>
  <c r="AR17" i="11" s="1"/>
  <c r="AS17" i="11" s="1"/>
  <c r="AT17" i="11" s="1"/>
  <c r="AU17" i="11" s="1"/>
  <c r="AV17" i="11" s="1"/>
  <c r="AW17" i="11" s="1"/>
  <c r="AX17" i="11" s="1"/>
  <c r="AY17" i="11" s="1"/>
  <c r="AZ17" i="11" s="1"/>
  <c r="BA17" i="11" s="1"/>
  <c r="BB17" i="11" s="1"/>
  <c r="BC17" i="11" s="1"/>
  <c r="AJ18" i="11"/>
  <c r="AK18" i="11" s="1"/>
  <c r="AL18" i="11" s="1"/>
  <c r="AM18" i="11" s="1"/>
  <c r="AN18" i="11" s="1"/>
  <c r="AO18" i="11" s="1"/>
  <c r="AP18" i="11" s="1"/>
  <c r="AQ18" i="11" s="1"/>
  <c r="AR18" i="11" s="1"/>
  <c r="AS18" i="11" s="1"/>
  <c r="AT18" i="11" s="1"/>
  <c r="AU18" i="11" s="1"/>
  <c r="AV18" i="11" s="1"/>
  <c r="AW18" i="11" s="1"/>
  <c r="AX18" i="11" s="1"/>
  <c r="AY18" i="11" s="1"/>
  <c r="AZ18" i="11" s="1"/>
  <c r="BA18" i="11" s="1"/>
  <c r="BB18" i="11" s="1"/>
  <c r="BC18" i="11" s="1"/>
  <c r="AJ19" i="11"/>
  <c r="AK19" i="11" s="1"/>
  <c r="AL19" i="11" s="1"/>
  <c r="AM19" i="11" s="1"/>
  <c r="AN19" i="11" s="1"/>
  <c r="AO19" i="11" s="1"/>
  <c r="AP19" i="11" s="1"/>
  <c r="AQ19" i="11" s="1"/>
  <c r="AR19" i="11" s="1"/>
  <c r="AS19" i="11" s="1"/>
  <c r="AT19" i="11" s="1"/>
  <c r="AU19" i="11" s="1"/>
  <c r="AV19" i="11" s="1"/>
  <c r="AW19" i="11" s="1"/>
  <c r="AX19" i="11" s="1"/>
  <c r="AY19" i="11" s="1"/>
  <c r="AZ19" i="11" s="1"/>
  <c r="BA19" i="11" s="1"/>
  <c r="BB19" i="11" s="1"/>
  <c r="BC19" i="11" s="1"/>
  <c r="AJ20" i="11"/>
  <c r="AK20" i="11" s="1"/>
  <c r="AL20" i="11" s="1"/>
  <c r="AM20" i="11" s="1"/>
  <c r="AN20" i="11" s="1"/>
  <c r="AO20" i="11" s="1"/>
  <c r="AP20" i="11" s="1"/>
  <c r="AQ20" i="11" s="1"/>
  <c r="AR20" i="11" s="1"/>
  <c r="AS20" i="11" s="1"/>
  <c r="AT20" i="11" s="1"/>
  <c r="AU20" i="11" s="1"/>
  <c r="AV20" i="11" s="1"/>
  <c r="AW20" i="11" s="1"/>
  <c r="AX20" i="11" s="1"/>
  <c r="AY20" i="11" s="1"/>
  <c r="AZ20" i="11" s="1"/>
  <c r="BA20" i="11" s="1"/>
  <c r="BB20" i="11" s="1"/>
  <c r="BC20" i="11" s="1"/>
  <c r="AJ21" i="11"/>
  <c r="AK21" i="11" s="1"/>
  <c r="AL21" i="11" s="1"/>
  <c r="AM21" i="11" s="1"/>
  <c r="AN21" i="11" s="1"/>
  <c r="AO21" i="11" s="1"/>
  <c r="AP21" i="11" s="1"/>
  <c r="AQ21" i="11" s="1"/>
  <c r="AR21" i="11" s="1"/>
  <c r="AS21" i="11" s="1"/>
  <c r="AT21" i="11" s="1"/>
  <c r="AU21" i="11" s="1"/>
  <c r="AV21" i="11" s="1"/>
  <c r="AW21" i="11" s="1"/>
  <c r="AX21" i="11" s="1"/>
  <c r="AY21" i="11" s="1"/>
  <c r="AZ21" i="11" s="1"/>
  <c r="BA21" i="11" s="1"/>
  <c r="BB21" i="11" s="1"/>
  <c r="BC21" i="11" s="1"/>
  <c r="AJ22" i="11"/>
  <c r="AK22" i="11" s="1"/>
  <c r="AL22" i="11" s="1"/>
  <c r="AM22" i="11" s="1"/>
  <c r="AN22" i="11" s="1"/>
  <c r="AO22" i="11" s="1"/>
  <c r="AP22" i="11" s="1"/>
  <c r="AQ22" i="11" s="1"/>
  <c r="AR22" i="11" s="1"/>
  <c r="AS22" i="11" s="1"/>
  <c r="AT22" i="11" s="1"/>
  <c r="AU22" i="11" s="1"/>
  <c r="AV22" i="11" s="1"/>
  <c r="AW22" i="11" s="1"/>
  <c r="AX22" i="11" s="1"/>
  <c r="AY22" i="11" s="1"/>
  <c r="AZ22" i="11" s="1"/>
  <c r="BA22" i="11" s="1"/>
  <c r="BB22" i="11" s="1"/>
  <c r="BC22" i="11" s="1"/>
  <c r="AJ23" i="11"/>
  <c r="AK23" i="11" s="1"/>
  <c r="AL23" i="11" s="1"/>
  <c r="AM23" i="11" s="1"/>
  <c r="AN23" i="11" s="1"/>
  <c r="AO23" i="11" s="1"/>
  <c r="AP23" i="11" s="1"/>
  <c r="AQ23" i="11" s="1"/>
  <c r="AR23" i="11" s="1"/>
  <c r="AS23" i="11" s="1"/>
  <c r="AT23" i="11" s="1"/>
  <c r="AU23" i="11" s="1"/>
  <c r="AV23" i="11" s="1"/>
  <c r="AW23" i="11" s="1"/>
  <c r="AX23" i="11" s="1"/>
  <c r="AY23" i="11" s="1"/>
  <c r="AZ23" i="11" s="1"/>
  <c r="BA23" i="11" s="1"/>
  <c r="BB23" i="11" s="1"/>
  <c r="BC23" i="11" s="1"/>
  <c r="AJ24" i="11"/>
  <c r="AK24" i="11" s="1"/>
  <c r="AL24" i="11" s="1"/>
  <c r="AM24" i="11" s="1"/>
  <c r="AN24" i="11" s="1"/>
  <c r="AO24" i="11" s="1"/>
  <c r="AP24" i="11" s="1"/>
  <c r="AQ24" i="11" s="1"/>
  <c r="AR24" i="11" s="1"/>
  <c r="AS24" i="11" s="1"/>
  <c r="AT24" i="11" s="1"/>
  <c r="AU24" i="11" s="1"/>
  <c r="AV24" i="11" s="1"/>
  <c r="AW24" i="11" s="1"/>
  <c r="AX24" i="11" s="1"/>
  <c r="AY24" i="11" s="1"/>
  <c r="AZ24" i="11" s="1"/>
  <c r="BA24" i="11" s="1"/>
  <c r="BB24" i="11" s="1"/>
  <c r="BC24" i="11" s="1"/>
  <c r="AJ25" i="11"/>
  <c r="AK25" i="11" s="1"/>
  <c r="AL25" i="11" s="1"/>
  <c r="AM25" i="11" s="1"/>
  <c r="AN25" i="11" s="1"/>
  <c r="AO25" i="11" s="1"/>
  <c r="AP25" i="11" s="1"/>
  <c r="AQ25" i="11" s="1"/>
  <c r="AR25" i="11" s="1"/>
  <c r="AS25" i="11" s="1"/>
  <c r="AT25" i="11" s="1"/>
  <c r="AU25" i="11" s="1"/>
  <c r="AV25" i="11" s="1"/>
  <c r="AW25" i="11" s="1"/>
  <c r="AX25" i="11" s="1"/>
  <c r="AY25" i="11" s="1"/>
  <c r="AZ25" i="11" s="1"/>
  <c r="BA25" i="11" s="1"/>
  <c r="BB25" i="11" s="1"/>
  <c r="BC25" i="11" s="1"/>
  <c r="AJ26" i="11"/>
  <c r="AK26" i="11" s="1"/>
  <c r="AL26" i="11" s="1"/>
  <c r="AM26" i="11" s="1"/>
  <c r="AN26" i="11" s="1"/>
  <c r="AO26" i="11" s="1"/>
  <c r="AP26" i="11" s="1"/>
  <c r="AQ26" i="11" s="1"/>
  <c r="AR26" i="11" s="1"/>
  <c r="AS26" i="11" s="1"/>
  <c r="AT26" i="11" s="1"/>
  <c r="AU26" i="11" s="1"/>
  <c r="AV26" i="11" s="1"/>
  <c r="AW26" i="11" s="1"/>
  <c r="AX26" i="11" s="1"/>
  <c r="AY26" i="11" s="1"/>
  <c r="AZ26" i="11" s="1"/>
  <c r="BA26" i="11" s="1"/>
  <c r="BB26" i="11" s="1"/>
  <c r="BC26" i="11" s="1"/>
  <c r="AJ27" i="11"/>
  <c r="AK27" i="11" s="1"/>
  <c r="AL27" i="11" s="1"/>
  <c r="AM27" i="11" s="1"/>
  <c r="AN27" i="11" s="1"/>
  <c r="AO27" i="11" s="1"/>
  <c r="AP27" i="11" s="1"/>
  <c r="AQ27" i="11" s="1"/>
  <c r="AR27" i="11" s="1"/>
  <c r="AS27" i="11" s="1"/>
  <c r="AT27" i="11" s="1"/>
  <c r="AU27" i="11" s="1"/>
  <c r="AV27" i="11" s="1"/>
  <c r="AW27" i="11" s="1"/>
  <c r="AX27" i="11" s="1"/>
  <c r="AY27" i="11" s="1"/>
  <c r="AZ27" i="11" s="1"/>
  <c r="BA27" i="11" s="1"/>
  <c r="BB27" i="11" s="1"/>
  <c r="BC27" i="11" s="1"/>
  <c r="AJ28" i="11"/>
  <c r="AK28" i="11" s="1"/>
  <c r="AL28" i="11" s="1"/>
  <c r="AM28" i="11" s="1"/>
  <c r="AN28" i="11" s="1"/>
  <c r="AO28" i="11" s="1"/>
  <c r="AP28" i="11" s="1"/>
  <c r="AQ28" i="11" s="1"/>
  <c r="AR28" i="11" s="1"/>
  <c r="AS28" i="11" s="1"/>
  <c r="AT28" i="11" s="1"/>
  <c r="AU28" i="11" s="1"/>
  <c r="AV28" i="11" s="1"/>
  <c r="AW28" i="11" s="1"/>
  <c r="AX28" i="11" s="1"/>
  <c r="AY28" i="11" s="1"/>
  <c r="AZ28" i="11" s="1"/>
  <c r="BA28" i="11" s="1"/>
  <c r="BB28" i="11" s="1"/>
  <c r="BC28" i="11" s="1"/>
  <c r="AJ29" i="11"/>
  <c r="AK29" i="11" s="1"/>
  <c r="AL29" i="11" s="1"/>
  <c r="AM29" i="11" s="1"/>
  <c r="AN29" i="11" s="1"/>
  <c r="AO29" i="11" s="1"/>
  <c r="AP29" i="11" s="1"/>
  <c r="AQ29" i="11" s="1"/>
  <c r="AR29" i="11" s="1"/>
  <c r="AS29" i="11" s="1"/>
  <c r="AT29" i="11" s="1"/>
  <c r="AU29" i="11" s="1"/>
  <c r="AV29" i="11" s="1"/>
  <c r="AW29" i="11" s="1"/>
  <c r="AX29" i="11" s="1"/>
  <c r="AY29" i="11" s="1"/>
  <c r="AZ29" i="11" s="1"/>
  <c r="BA29" i="11" s="1"/>
  <c r="BB29" i="11" s="1"/>
  <c r="BC29" i="11" s="1"/>
  <c r="AJ30" i="11"/>
  <c r="AK30" i="11" s="1"/>
  <c r="AL30" i="11" s="1"/>
  <c r="AM30" i="11" s="1"/>
  <c r="AN30" i="11" s="1"/>
  <c r="AO30" i="11" s="1"/>
  <c r="AP30" i="11" s="1"/>
  <c r="AQ30" i="11" s="1"/>
  <c r="AR30" i="11" s="1"/>
  <c r="AS30" i="11" s="1"/>
  <c r="AT30" i="11" s="1"/>
  <c r="AU30" i="11" s="1"/>
  <c r="AV30" i="11" s="1"/>
  <c r="AW30" i="11" s="1"/>
  <c r="AX30" i="11" s="1"/>
  <c r="AY30" i="11" s="1"/>
  <c r="AZ30" i="11" s="1"/>
  <c r="BA30" i="11" s="1"/>
  <c r="BB30" i="11" s="1"/>
  <c r="BC30" i="11" s="1"/>
  <c r="AK4" i="11"/>
  <c r="AL4" i="11"/>
  <c r="AM4" i="11"/>
  <c r="AN4" i="11" s="1"/>
  <c r="AO4" i="11" s="1"/>
  <c r="AP4" i="11" s="1"/>
  <c r="AQ4" i="11" s="1"/>
  <c r="AR4" i="11" s="1"/>
  <c r="AS4" i="11" s="1"/>
  <c r="AT4" i="11" s="1"/>
  <c r="AU4" i="11" s="1"/>
  <c r="AV4" i="11" s="1"/>
  <c r="AW4" i="11" s="1"/>
  <c r="AX4" i="11" s="1"/>
  <c r="AY4" i="11" s="1"/>
  <c r="AZ4" i="11" s="1"/>
  <c r="BA4" i="11" s="1"/>
  <c r="BB4" i="11" s="1"/>
  <c r="BC4" i="11" s="1"/>
  <c r="AJ4" i="11"/>
  <c r="G5" i="11"/>
  <c r="H5" i="11" s="1"/>
  <c r="I5" i="11" s="1"/>
  <c r="J5" i="11" s="1"/>
  <c r="K5" i="11" s="1"/>
  <c r="L5" i="11" s="1"/>
  <c r="M5" i="11" s="1"/>
  <c r="N5" i="11" s="1"/>
  <c r="O5" i="11" s="1"/>
  <c r="P5" i="11" s="1"/>
  <c r="Q5" i="11" s="1"/>
  <c r="R5" i="11" s="1"/>
  <c r="S5" i="11" s="1"/>
  <c r="T5" i="11" s="1"/>
  <c r="U5" i="11" s="1"/>
  <c r="V5" i="11" s="1"/>
  <c r="W5" i="11" s="1"/>
  <c r="X5" i="11" s="1"/>
  <c r="Y5" i="11" s="1"/>
  <c r="Z5" i="11" s="1"/>
  <c r="AA5" i="11" s="1"/>
  <c r="AB5" i="11" s="1"/>
  <c r="AC5" i="11" s="1"/>
  <c r="AD5" i="11" s="1"/>
  <c r="AE5" i="11" s="1"/>
  <c r="AF5" i="11" s="1"/>
  <c r="AG5" i="11" s="1"/>
  <c r="AH5" i="11" s="1"/>
  <c r="AI5" i="11" s="1"/>
  <c r="G6" i="11"/>
  <c r="H6" i="11"/>
  <c r="I6" i="11" s="1"/>
  <c r="J6" i="11" s="1"/>
  <c r="K6" i="11" s="1"/>
  <c r="L6" i="11" s="1"/>
  <c r="M6" i="11" s="1"/>
  <c r="N6" i="11" s="1"/>
  <c r="O6" i="11" s="1"/>
  <c r="P6" i="11" s="1"/>
  <c r="Q6" i="11" s="1"/>
  <c r="R6" i="11" s="1"/>
  <c r="S6" i="11" s="1"/>
  <c r="T6" i="11" s="1"/>
  <c r="U6" i="11" s="1"/>
  <c r="V6" i="11" s="1"/>
  <c r="W6" i="11" s="1"/>
  <c r="X6" i="11" s="1"/>
  <c r="Y6" i="11" s="1"/>
  <c r="Z6" i="11" s="1"/>
  <c r="AA6" i="11" s="1"/>
  <c r="AB6" i="11" s="1"/>
  <c r="AC6" i="11" s="1"/>
  <c r="AD6" i="11" s="1"/>
  <c r="AE6" i="11" s="1"/>
  <c r="AF6" i="11" s="1"/>
  <c r="AG6" i="11" s="1"/>
  <c r="AH6" i="11" s="1"/>
  <c r="AI6" i="11" s="1"/>
  <c r="G7" i="11"/>
  <c r="H7" i="11" s="1"/>
  <c r="I7" i="11" s="1"/>
  <c r="J7" i="11" s="1"/>
  <c r="K7" i="11"/>
  <c r="L7" i="11" s="1"/>
  <c r="M7" i="11" s="1"/>
  <c r="N7" i="11" s="1"/>
  <c r="O7" i="11" s="1"/>
  <c r="P7" i="11" s="1"/>
  <c r="Q7" i="11" s="1"/>
  <c r="R7" i="11" s="1"/>
  <c r="S7" i="11" s="1"/>
  <c r="T7" i="11" s="1"/>
  <c r="U7" i="11" s="1"/>
  <c r="V7" i="11" s="1"/>
  <c r="W7" i="11" s="1"/>
  <c r="X7" i="11" s="1"/>
  <c r="Y7" i="11" s="1"/>
  <c r="Z7" i="11" s="1"/>
  <c r="AA7" i="11" s="1"/>
  <c r="AB7" i="11" s="1"/>
  <c r="AC7" i="11" s="1"/>
  <c r="AD7" i="11" s="1"/>
  <c r="AE7" i="11" s="1"/>
  <c r="AF7" i="11" s="1"/>
  <c r="AG7" i="11" s="1"/>
  <c r="AH7" i="11" s="1"/>
  <c r="AI7" i="11" s="1"/>
  <c r="G8" i="11"/>
  <c r="H8" i="11"/>
  <c r="I8" i="11" s="1"/>
  <c r="J8" i="11"/>
  <c r="K8" i="11" s="1"/>
  <c r="L8" i="11" s="1"/>
  <c r="M8" i="11" s="1"/>
  <c r="N8" i="11"/>
  <c r="O8" i="11" s="1"/>
  <c r="P8" i="11" s="1"/>
  <c r="Q8" i="11" s="1"/>
  <c r="R8" i="11" s="1"/>
  <c r="S8" i="11" s="1"/>
  <c r="T8" i="11" s="1"/>
  <c r="U8" i="11" s="1"/>
  <c r="V8" i="11" s="1"/>
  <c r="W8" i="11" s="1"/>
  <c r="X8" i="11" s="1"/>
  <c r="Y8" i="11" s="1"/>
  <c r="Z8" i="11" s="1"/>
  <c r="AA8" i="11" s="1"/>
  <c r="AB8" i="11" s="1"/>
  <c r="AC8" i="11" s="1"/>
  <c r="AD8" i="11" s="1"/>
  <c r="AE8" i="11" s="1"/>
  <c r="AF8" i="11" s="1"/>
  <c r="AG8" i="11" s="1"/>
  <c r="AH8" i="11" s="1"/>
  <c r="AI8" i="11" s="1"/>
  <c r="G9" i="11"/>
  <c r="H9" i="11"/>
  <c r="I9" i="11"/>
  <c r="J9" i="11"/>
  <c r="K9" i="11"/>
  <c r="L9" i="11" s="1"/>
  <c r="M9" i="11" s="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AH9" i="11" s="1"/>
  <c r="AI9" i="11" s="1"/>
  <c r="G10" i="11"/>
  <c r="H10" i="11"/>
  <c r="I10" i="11" s="1"/>
  <c r="J10" i="11" s="1"/>
  <c r="K10" i="11" s="1"/>
  <c r="L10" i="11"/>
  <c r="M10" i="1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AI10" i="11" s="1"/>
  <c r="G11" i="11"/>
  <c r="H11" i="11" s="1"/>
  <c r="I11" i="11" s="1"/>
  <c r="J11" i="11" s="1"/>
  <c r="K11" i="11" s="1"/>
  <c r="L11" i="11" s="1"/>
  <c r="M11" i="11" s="1"/>
  <c r="N11" i="11" s="1"/>
  <c r="O11" i="11" s="1"/>
  <c r="P11" i="11" s="1"/>
  <c r="Q11" i="11" s="1"/>
  <c r="R11" i="11" s="1"/>
  <c r="S11" i="11" s="1"/>
  <c r="T11" i="11" s="1"/>
  <c r="U11" i="11" s="1"/>
  <c r="V11" i="11" s="1"/>
  <c r="W11" i="11" s="1"/>
  <c r="X11" i="11" s="1"/>
  <c r="Y11" i="11" s="1"/>
  <c r="Z11" i="11" s="1"/>
  <c r="AA11" i="11" s="1"/>
  <c r="AB11" i="11" s="1"/>
  <c r="AC11" i="11" s="1"/>
  <c r="AD11" i="11" s="1"/>
  <c r="AE11" i="11" s="1"/>
  <c r="AF11" i="11" s="1"/>
  <c r="AG11" i="11" s="1"/>
  <c r="AH11" i="11" s="1"/>
  <c r="AI11" i="11" s="1"/>
  <c r="G12" i="11"/>
  <c r="H12" i="11" s="1"/>
  <c r="I12" i="11" s="1"/>
  <c r="J12" i="11" s="1"/>
  <c r="K12" i="11" s="1"/>
  <c r="L12" i="11" s="1"/>
  <c r="M12" i="11" s="1"/>
  <c r="N12" i="11" s="1"/>
  <c r="O12" i="11" s="1"/>
  <c r="P12" i="11" s="1"/>
  <c r="Q12" i="11" s="1"/>
  <c r="R12" i="11" s="1"/>
  <c r="S12" i="11" s="1"/>
  <c r="T12" i="11" s="1"/>
  <c r="U12" i="11" s="1"/>
  <c r="V12" i="11" s="1"/>
  <c r="W12" i="11" s="1"/>
  <c r="X12" i="11" s="1"/>
  <c r="Y12" i="11" s="1"/>
  <c r="Z12" i="11" s="1"/>
  <c r="AA12" i="11" s="1"/>
  <c r="AB12" i="11" s="1"/>
  <c r="AC12" i="11" s="1"/>
  <c r="AD12" i="11" s="1"/>
  <c r="AE12" i="11" s="1"/>
  <c r="AF12" i="11" s="1"/>
  <c r="AG12" i="11" s="1"/>
  <c r="AH12" i="11" s="1"/>
  <c r="AI12" i="11" s="1"/>
  <c r="G13" i="11"/>
  <c r="H13" i="11" s="1"/>
  <c r="I13" i="11"/>
  <c r="J13" i="11" s="1"/>
  <c r="K13" i="11" s="1"/>
  <c r="L13" i="11" s="1"/>
  <c r="M13" i="11" s="1"/>
  <c r="N13" i="11" s="1"/>
  <c r="O13" i="11" s="1"/>
  <c r="P13" i="11" s="1"/>
  <c r="Q13" i="11" s="1"/>
  <c r="R13" i="11" s="1"/>
  <c r="S13" i="11" s="1"/>
  <c r="T13" i="11" s="1"/>
  <c r="U13" i="11" s="1"/>
  <c r="V13" i="11" s="1"/>
  <c r="W13" i="11" s="1"/>
  <c r="X13" i="11" s="1"/>
  <c r="Y13" i="11" s="1"/>
  <c r="Z13" i="11" s="1"/>
  <c r="AA13" i="11" s="1"/>
  <c r="AB13" i="11" s="1"/>
  <c r="AC13" i="11" s="1"/>
  <c r="AD13" i="11" s="1"/>
  <c r="AE13" i="11" s="1"/>
  <c r="AF13" i="11" s="1"/>
  <c r="AG13" i="11" s="1"/>
  <c r="AH13" i="11" s="1"/>
  <c r="AI13" i="11" s="1"/>
  <c r="G14" i="11"/>
  <c r="H14" i="11"/>
  <c r="I14" i="11" s="1"/>
  <c r="J14" i="11" s="1"/>
  <c r="K14" i="11" s="1"/>
  <c r="L14" i="11" s="1"/>
  <c r="M14" i="11" s="1"/>
  <c r="N14" i="11" s="1"/>
  <c r="O14" i="11" s="1"/>
  <c r="P14" i="11" s="1"/>
  <c r="Q14" i="11" s="1"/>
  <c r="R14" i="11" s="1"/>
  <c r="S14" i="11" s="1"/>
  <c r="T14" i="11" s="1"/>
  <c r="U14" i="11" s="1"/>
  <c r="V14" i="11" s="1"/>
  <c r="W14" i="11" s="1"/>
  <c r="X14" i="11" s="1"/>
  <c r="Y14" i="11" s="1"/>
  <c r="Z14" i="11" s="1"/>
  <c r="AA14" i="11" s="1"/>
  <c r="AB14" i="11" s="1"/>
  <c r="AC14" i="11" s="1"/>
  <c r="AD14" i="11" s="1"/>
  <c r="AE14" i="11" s="1"/>
  <c r="AF14" i="11" s="1"/>
  <c r="AG14" i="11" s="1"/>
  <c r="AH14" i="11" s="1"/>
  <c r="AI14" i="11" s="1"/>
  <c r="G15" i="11"/>
  <c r="H15" i="11" s="1"/>
  <c r="I15" i="11" s="1"/>
  <c r="J15" i="11" s="1"/>
  <c r="K15" i="11" s="1"/>
  <c r="L15" i="11" s="1"/>
  <c r="M15" i="11" s="1"/>
  <c r="N15" i="11" s="1"/>
  <c r="O15" i="11" s="1"/>
  <c r="P15" i="11" s="1"/>
  <c r="Q15" i="11" s="1"/>
  <c r="R15" i="11" s="1"/>
  <c r="S15" i="11" s="1"/>
  <c r="T15" i="11" s="1"/>
  <c r="U15" i="11" s="1"/>
  <c r="V15" i="11" s="1"/>
  <c r="W15" i="11" s="1"/>
  <c r="X15" i="11" s="1"/>
  <c r="Y15" i="11" s="1"/>
  <c r="Z15" i="11" s="1"/>
  <c r="AA15" i="11" s="1"/>
  <c r="AB15" i="11" s="1"/>
  <c r="AC15" i="11" s="1"/>
  <c r="AD15" i="11" s="1"/>
  <c r="AE15" i="11" s="1"/>
  <c r="AF15" i="11" s="1"/>
  <c r="AG15" i="11" s="1"/>
  <c r="AH15" i="11" s="1"/>
  <c r="AI15" i="11" s="1"/>
  <c r="G16" i="11"/>
  <c r="H16" i="11"/>
  <c r="I16" i="11" s="1"/>
  <c r="J16" i="11"/>
  <c r="K16" i="11" s="1"/>
  <c r="L16" i="11" s="1"/>
  <c r="M16" i="11" s="1"/>
  <c r="N16" i="11" s="1"/>
  <c r="O16" i="11" s="1"/>
  <c r="P16" i="11" s="1"/>
  <c r="Q16" i="11" s="1"/>
  <c r="R16" i="11" s="1"/>
  <c r="S16" i="11" s="1"/>
  <c r="T16" i="11" s="1"/>
  <c r="U16" i="11" s="1"/>
  <c r="V16" i="11" s="1"/>
  <c r="W16" i="11" s="1"/>
  <c r="X16" i="11" s="1"/>
  <c r="Y16" i="11" s="1"/>
  <c r="Z16" i="11" s="1"/>
  <c r="AA16" i="11" s="1"/>
  <c r="AB16" i="11" s="1"/>
  <c r="AC16" i="11" s="1"/>
  <c r="AD16" i="11" s="1"/>
  <c r="AE16" i="11" s="1"/>
  <c r="AF16" i="11" s="1"/>
  <c r="AG16" i="11" s="1"/>
  <c r="AH16" i="11" s="1"/>
  <c r="AI16" i="11" s="1"/>
  <c r="G17" i="11"/>
  <c r="H17" i="11"/>
  <c r="I17" i="11"/>
  <c r="J17" i="11"/>
  <c r="K17" i="11" s="1"/>
  <c r="L17" i="11" s="1"/>
  <c r="M17" i="11" s="1"/>
  <c r="N17" i="11" s="1"/>
  <c r="O17" i="11" s="1"/>
  <c r="P17" i="11" s="1"/>
  <c r="Q17" i="11" s="1"/>
  <c r="R17" i="11" s="1"/>
  <c r="S17" i="11" s="1"/>
  <c r="T17" i="11" s="1"/>
  <c r="U17" i="11" s="1"/>
  <c r="V17" i="11" s="1"/>
  <c r="W17" i="11" s="1"/>
  <c r="X17" i="11" s="1"/>
  <c r="Y17" i="11" s="1"/>
  <c r="Z17" i="11" s="1"/>
  <c r="AA17" i="11" s="1"/>
  <c r="AB17" i="11" s="1"/>
  <c r="AC17" i="11" s="1"/>
  <c r="AD17" i="11" s="1"/>
  <c r="AE17" i="11" s="1"/>
  <c r="AF17" i="11" s="1"/>
  <c r="AG17" i="11" s="1"/>
  <c r="AH17" i="11" s="1"/>
  <c r="AI17" i="11" s="1"/>
  <c r="G18" i="11"/>
  <c r="H18" i="11"/>
  <c r="I18" i="11" s="1"/>
  <c r="J18" i="11" s="1"/>
  <c r="K18" i="11" s="1"/>
  <c r="L18" i="11"/>
  <c r="M18" i="11" s="1"/>
  <c r="N18" i="11" s="1"/>
  <c r="O18" i="11" s="1"/>
  <c r="P18" i="11" s="1"/>
  <c r="Q18" i="11" s="1"/>
  <c r="R18" i="11" s="1"/>
  <c r="S18" i="11" s="1"/>
  <c r="T18" i="11" s="1"/>
  <c r="U18" i="11" s="1"/>
  <c r="V18" i="11" s="1"/>
  <c r="W18" i="11" s="1"/>
  <c r="X18" i="11" s="1"/>
  <c r="Y18" i="11" s="1"/>
  <c r="Z18" i="11" s="1"/>
  <c r="AA18" i="11" s="1"/>
  <c r="AB18" i="11" s="1"/>
  <c r="AC18" i="11" s="1"/>
  <c r="AD18" i="11" s="1"/>
  <c r="AE18" i="11" s="1"/>
  <c r="AF18" i="11" s="1"/>
  <c r="AG18" i="11" s="1"/>
  <c r="AH18" i="11" s="1"/>
  <c r="AI18" i="11" s="1"/>
  <c r="G19" i="11"/>
  <c r="H19" i="11" s="1"/>
  <c r="I19" i="11" s="1"/>
  <c r="J19" i="11" s="1"/>
  <c r="K19" i="11" s="1"/>
  <c r="L19" i="11" s="1"/>
  <c r="M19" i="11" s="1"/>
  <c r="N19" i="11" s="1"/>
  <c r="O19" i="11" s="1"/>
  <c r="P19" i="11" s="1"/>
  <c r="Q19" i="11" s="1"/>
  <c r="R19" i="11" s="1"/>
  <c r="S19" i="11" s="1"/>
  <c r="T19" i="11" s="1"/>
  <c r="U19" i="11" s="1"/>
  <c r="V19" i="11" s="1"/>
  <c r="W19" i="11" s="1"/>
  <c r="X19" i="11" s="1"/>
  <c r="Y19" i="11" s="1"/>
  <c r="Z19" i="11" s="1"/>
  <c r="AA19" i="11" s="1"/>
  <c r="AB19" i="11" s="1"/>
  <c r="AC19" i="11" s="1"/>
  <c r="AD19" i="11" s="1"/>
  <c r="AE19" i="11" s="1"/>
  <c r="AF19" i="11" s="1"/>
  <c r="AG19" i="11" s="1"/>
  <c r="AH19" i="11" s="1"/>
  <c r="AI19" i="11" s="1"/>
  <c r="G20" i="11"/>
  <c r="H20" i="11" s="1"/>
  <c r="I20" i="11" s="1"/>
  <c r="J20" i="11" s="1"/>
  <c r="K20" i="11" s="1"/>
  <c r="L20" i="11" s="1"/>
  <c r="M20" i="11" s="1"/>
  <c r="N20" i="11" s="1"/>
  <c r="O20" i="11" s="1"/>
  <c r="P20" i="11" s="1"/>
  <c r="Q20" i="11" s="1"/>
  <c r="R20" i="11" s="1"/>
  <c r="S20" i="11" s="1"/>
  <c r="T20" i="11" s="1"/>
  <c r="U20" i="11" s="1"/>
  <c r="V20" i="11" s="1"/>
  <c r="W20" i="11" s="1"/>
  <c r="X20" i="11" s="1"/>
  <c r="Y20" i="11" s="1"/>
  <c r="Z20" i="11" s="1"/>
  <c r="AA20" i="11" s="1"/>
  <c r="AB20" i="11" s="1"/>
  <c r="AC20" i="11" s="1"/>
  <c r="AD20" i="11" s="1"/>
  <c r="AE20" i="11" s="1"/>
  <c r="AF20" i="11" s="1"/>
  <c r="AG20" i="11" s="1"/>
  <c r="AH20" i="11" s="1"/>
  <c r="AI20" i="11" s="1"/>
  <c r="G21" i="11"/>
  <c r="H21" i="11" s="1"/>
  <c r="I21" i="11" s="1"/>
  <c r="J21" i="11" s="1"/>
  <c r="K21" i="11" s="1"/>
  <c r="L21" i="11" s="1"/>
  <c r="M21" i="11" s="1"/>
  <c r="N21" i="11" s="1"/>
  <c r="O21" i="11" s="1"/>
  <c r="P21" i="11" s="1"/>
  <c r="Q21" i="11" s="1"/>
  <c r="R21" i="11" s="1"/>
  <c r="S21" i="11" s="1"/>
  <c r="T21" i="11" s="1"/>
  <c r="U21" i="11" s="1"/>
  <c r="V21" i="11" s="1"/>
  <c r="W21" i="11" s="1"/>
  <c r="X21" i="11" s="1"/>
  <c r="Y21" i="11" s="1"/>
  <c r="Z21" i="11" s="1"/>
  <c r="AA21" i="11" s="1"/>
  <c r="AB21" i="11" s="1"/>
  <c r="AC21" i="11" s="1"/>
  <c r="AD21" i="11" s="1"/>
  <c r="AE21" i="11" s="1"/>
  <c r="AF21" i="11" s="1"/>
  <c r="AG21" i="11" s="1"/>
  <c r="AH21" i="11" s="1"/>
  <c r="AI21" i="11" s="1"/>
  <c r="G22" i="11"/>
  <c r="H22" i="11"/>
  <c r="I22" i="11"/>
  <c r="J22" i="11" s="1"/>
  <c r="K22" i="11" s="1"/>
  <c r="L22" i="11" s="1"/>
  <c r="M22" i="11" s="1"/>
  <c r="N22" i="11" s="1"/>
  <c r="O22" i="11" s="1"/>
  <c r="P22" i="11" s="1"/>
  <c r="Q22" i="11" s="1"/>
  <c r="R22" i="11" s="1"/>
  <c r="S22" i="11" s="1"/>
  <c r="T22" i="11" s="1"/>
  <c r="U22" i="11" s="1"/>
  <c r="V22" i="11" s="1"/>
  <c r="W22" i="11" s="1"/>
  <c r="X22" i="11" s="1"/>
  <c r="Y22" i="11" s="1"/>
  <c r="Z22" i="11" s="1"/>
  <c r="AA22" i="11" s="1"/>
  <c r="AB22" i="11" s="1"/>
  <c r="AC22" i="11" s="1"/>
  <c r="AD22" i="11" s="1"/>
  <c r="AE22" i="11" s="1"/>
  <c r="AF22" i="11" s="1"/>
  <c r="AG22" i="11" s="1"/>
  <c r="AH22" i="11" s="1"/>
  <c r="AI22" i="11" s="1"/>
  <c r="G23" i="11"/>
  <c r="H23" i="11" s="1"/>
  <c r="I23" i="11" s="1"/>
  <c r="J23" i="11" s="1"/>
  <c r="K23" i="11" s="1"/>
  <c r="L23" i="11" s="1"/>
  <c r="M23" i="11" s="1"/>
  <c r="N23" i="11" s="1"/>
  <c r="O23" i="11" s="1"/>
  <c r="P23" i="11" s="1"/>
  <c r="Q23" i="11" s="1"/>
  <c r="R23" i="11" s="1"/>
  <c r="S23" i="11" s="1"/>
  <c r="T23" i="11" s="1"/>
  <c r="U23" i="11" s="1"/>
  <c r="V23" i="11" s="1"/>
  <c r="W23" i="11" s="1"/>
  <c r="X23" i="11" s="1"/>
  <c r="Y23" i="11" s="1"/>
  <c r="Z23" i="11" s="1"/>
  <c r="AA23" i="11" s="1"/>
  <c r="AB23" i="11" s="1"/>
  <c r="AC23" i="11" s="1"/>
  <c r="AD23" i="11" s="1"/>
  <c r="AE23" i="11" s="1"/>
  <c r="AF23" i="11" s="1"/>
  <c r="AG23" i="11" s="1"/>
  <c r="AH23" i="11" s="1"/>
  <c r="AI23" i="11" s="1"/>
  <c r="G24" i="11"/>
  <c r="H24" i="11"/>
  <c r="I24" i="11" s="1"/>
  <c r="J24" i="11" s="1"/>
  <c r="K24" i="11" s="1"/>
  <c r="L24" i="11" s="1"/>
  <c r="M24" i="11" s="1"/>
  <c r="N24" i="11" s="1"/>
  <c r="O24" i="11" s="1"/>
  <c r="P24" i="11" s="1"/>
  <c r="Q24" i="11" s="1"/>
  <c r="R24" i="11" s="1"/>
  <c r="S24" i="11" s="1"/>
  <c r="T24" i="11" s="1"/>
  <c r="U24" i="11" s="1"/>
  <c r="V24" i="11" s="1"/>
  <c r="W24" i="11" s="1"/>
  <c r="X24" i="11" s="1"/>
  <c r="Y24" i="11" s="1"/>
  <c r="Z24" i="11" s="1"/>
  <c r="AA24" i="11" s="1"/>
  <c r="AB24" i="11" s="1"/>
  <c r="AC24" i="11" s="1"/>
  <c r="AD24" i="11" s="1"/>
  <c r="AE24" i="11" s="1"/>
  <c r="AF24" i="11" s="1"/>
  <c r="AG24" i="11" s="1"/>
  <c r="AH24" i="11" s="1"/>
  <c r="AI24" i="11" s="1"/>
  <c r="G25" i="11"/>
  <c r="H25" i="11"/>
  <c r="I25" i="11"/>
  <c r="J25" i="11" s="1"/>
  <c r="K25" i="11" s="1"/>
  <c r="L25" i="11" s="1"/>
  <c r="M25" i="11" s="1"/>
  <c r="N25" i="11" s="1"/>
  <c r="O25" i="11" s="1"/>
  <c r="P25" i="11" s="1"/>
  <c r="Q25" i="11" s="1"/>
  <c r="R25" i="11" s="1"/>
  <c r="S25" i="11" s="1"/>
  <c r="T25" i="11" s="1"/>
  <c r="U25" i="11" s="1"/>
  <c r="V25" i="11" s="1"/>
  <c r="W25" i="11" s="1"/>
  <c r="X25" i="11" s="1"/>
  <c r="Y25" i="11" s="1"/>
  <c r="Z25" i="11" s="1"/>
  <c r="AA25" i="11" s="1"/>
  <c r="AB25" i="11" s="1"/>
  <c r="AC25" i="11" s="1"/>
  <c r="AD25" i="11" s="1"/>
  <c r="AE25" i="11" s="1"/>
  <c r="AF25" i="11" s="1"/>
  <c r="AG25" i="11" s="1"/>
  <c r="AH25" i="11" s="1"/>
  <c r="AI25" i="11" s="1"/>
  <c r="G26" i="11"/>
  <c r="H26" i="11"/>
  <c r="I26" i="11" s="1"/>
  <c r="J26" i="11" s="1"/>
  <c r="K26" i="11" s="1"/>
  <c r="L26" i="11" s="1"/>
  <c r="M26" i="11" s="1"/>
  <c r="N26" i="11" s="1"/>
  <c r="O26" i="11" s="1"/>
  <c r="P26" i="11" s="1"/>
  <c r="Q26" i="11" s="1"/>
  <c r="R26" i="11" s="1"/>
  <c r="S26" i="11" s="1"/>
  <c r="T26" i="11" s="1"/>
  <c r="U26" i="11" s="1"/>
  <c r="V26" i="11" s="1"/>
  <c r="W26" i="11" s="1"/>
  <c r="X26" i="11" s="1"/>
  <c r="Y26" i="11" s="1"/>
  <c r="Z26" i="11" s="1"/>
  <c r="AA26" i="11" s="1"/>
  <c r="AB26" i="11" s="1"/>
  <c r="AC26" i="11" s="1"/>
  <c r="AD26" i="11" s="1"/>
  <c r="AE26" i="11" s="1"/>
  <c r="AF26" i="11" s="1"/>
  <c r="AG26" i="11" s="1"/>
  <c r="AH26" i="11" s="1"/>
  <c r="AI26" i="11" s="1"/>
  <c r="G27" i="11"/>
  <c r="H27" i="11"/>
  <c r="I27" i="11"/>
  <c r="J27" i="11" s="1"/>
  <c r="K27" i="11"/>
  <c r="L27" i="11" s="1"/>
  <c r="M27" i="11" s="1"/>
  <c r="N27" i="11" s="1"/>
  <c r="O27" i="11" s="1"/>
  <c r="P27" i="11" s="1"/>
  <c r="Q27" i="11" s="1"/>
  <c r="R27" i="11" s="1"/>
  <c r="S27" i="11" s="1"/>
  <c r="T27" i="11" s="1"/>
  <c r="U27" i="11" s="1"/>
  <c r="V27" i="11" s="1"/>
  <c r="W27" i="11" s="1"/>
  <c r="X27" i="11" s="1"/>
  <c r="Y27" i="11" s="1"/>
  <c r="Z27" i="11" s="1"/>
  <c r="AA27" i="11" s="1"/>
  <c r="AB27" i="11" s="1"/>
  <c r="AC27" i="11" s="1"/>
  <c r="AD27" i="11" s="1"/>
  <c r="AE27" i="11" s="1"/>
  <c r="AF27" i="11" s="1"/>
  <c r="AG27" i="11" s="1"/>
  <c r="AH27" i="11" s="1"/>
  <c r="AI27" i="11" s="1"/>
  <c r="G28" i="11"/>
  <c r="H28" i="11" s="1"/>
  <c r="I28" i="11"/>
  <c r="J28" i="11"/>
  <c r="K28" i="11" s="1"/>
  <c r="L28" i="11" s="1"/>
  <c r="M28" i="11" s="1"/>
  <c r="N28" i="11" s="1"/>
  <c r="O28" i="11" s="1"/>
  <c r="P28" i="11" s="1"/>
  <c r="Q28" i="11" s="1"/>
  <c r="R28" i="11" s="1"/>
  <c r="S28" i="11" s="1"/>
  <c r="T28" i="11" s="1"/>
  <c r="U28" i="11" s="1"/>
  <c r="V28" i="11" s="1"/>
  <c r="W28" i="11" s="1"/>
  <c r="X28" i="11" s="1"/>
  <c r="Y28" i="11" s="1"/>
  <c r="Z28" i="11" s="1"/>
  <c r="AA28" i="11" s="1"/>
  <c r="AB28" i="11" s="1"/>
  <c r="AC28" i="11" s="1"/>
  <c r="AD28" i="11" s="1"/>
  <c r="AE28" i="11" s="1"/>
  <c r="AF28" i="11" s="1"/>
  <c r="AG28" i="11" s="1"/>
  <c r="AH28" i="11" s="1"/>
  <c r="AI28" i="11" s="1"/>
  <c r="G29" i="11"/>
  <c r="H29" i="11" s="1"/>
  <c r="I29" i="11"/>
  <c r="J29" i="11" s="1"/>
  <c r="K29" i="11" s="1"/>
  <c r="L29" i="11" s="1"/>
  <c r="M29" i="11" s="1"/>
  <c r="N29" i="11" s="1"/>
  <c r="O29" i="11" s="1"/>
  <c r="P29" i="11" s="1"/>
  <c r="Q29" i="11" s="1"/>
  <c r="R29" i="11" s="1"/>
  <c r="S29" i="11" s="1"/>
  <c r="T29" i="11" s="1"/>
  <c r="U29" i="11" s="1"/>
  <c r="V29" i="11" s="1"/>
  <c r="W29" i="11" s="1"/>
  <c r="X29" i="11" s="1"/>
  <c r="Y29" i="11" s="1"/>
  <c r="Z29" i="11" s="1"/>
  <c r="AA29" i="11" s="1"/>
  <c r="AB29" i="11" s="1"/>
  <c r="AC29" i="11" s="1"/>
  <c r="AD29" i="11" s="1"/>
  <c r="AE29" i="11" s="1"/>
  <c r="AF29" i="11" s="1"/>
  <c r="AG29" i="11" s="1"/>
  <c r="AH29" i="11" s="1"/>
  <c r="AI29" i="11" s="1"/>
  <c r="G30" i="11"/>
  <c r="H30" i="11"/>
  <c r="I30" i="11"/>
  <c r="J30" i="11"/>
  <c r="K30" i="11" s="1"/>
  <c r="L30" i="11" s="1"/>
  <c r="M30" i="11" s="1"/>
  <c r="N30" i="11" s="1"/>
  <c r="O30" i="11" s="1"/>
  <c r="P30" i="11" s="1"/>
  <c r="Q30" i="11" s="1"/>
  <c r="R30" i="11" s="1"/>
  <c r="S30" i="11" s="1"/>
  <c r="T30" i="11" s="1"/>
  <c r="U30" i="11" s="1"/>
  <c r="V30" i="11" s="1"/>
  <c r="W30" i="11" s="1"/>
  <c r="X30" i="11" s="1"/>
  <c r="Y30" i="11" s="1"/>
  <c r="Z30" i="11" s="1"/>
  <c r="AA30" i="11" s="1"/>
  <c r="AB30" i="11" s="1"/>
  <c r="AC30" i="11" s="1"/>
  <c r="AD30" i="11" s="1"/>
  <c r="AE30" i="11" s="1"/>
  <c r="AF30" i="11" s="1"/>
  <c r="AG30" i="11" s="1"/>
  <c r="AH30" i="11" s="1"/>
  <c r="AI30" i="11" s="1"/>
  <c r="H4" i="11"/>
  <c r="I4" i="11" s="1"/>
  <c r="J4" i="11" s="1"/>
  <c r="K4" i="11" s="1"/>
  <c r="L4" i="11" s="1"/>
  <c r="M4" i="11" s="1"/>
  <c r="N4" i="11" s="1"/>
  <c r="O4" i="11" s="1"/>
  <c r="P4" i="11" s="1"/>
  <c r="Q4" i="11" s="1"/>
  <c r="R4" i="11" s="1"/>
  <c r="S4" i="11" s="1"/>
  <c r="T4" i="11" s="1"/>
  <c r="U4" i="11" s="1"/>
  <c r="V4" i="11" s="1"/>
  <c r="W4" i="11" s="1"/>
  <c r="X4" i="11" s="1"/>
  <c r="Y4" i="11" s="1"/>
  <c r="Z4" i="11" s="1"/>
  <c r="AA4" i="11" s="1"/>
  <c r="AB4" i="11" s="1"/>
  <c r="AC4" i="11" s="1"/>
  <c r="AD4" i="11" s="1"/>
  <c r="AE4" i="11" s="1"/>
  <c r="AF4" i="11" s="1"/>
  <c r="AG4" i="11" s="1"/>
  <c r="AH4" i="11" s="1"/>
  <c r="AI4" i="11" s="1"/>
  <c r="G4" i="11"/>
  <c r="G4" i="12"/>
  <c r="H4" i="12" s="1"/>
  <c r="I4" i="12" s="1"/>
  <c r="J4" i="12" s="1"/>
  <c r="G5" i="12"/>
  <c r="H5" i="12" s="1"/>
  <c r="I5" i="12" s="1"/>
  <c r="J5" i="12" s="1"/>
  <c r="G6" i="12"/>
  <c r="H6" i="12" s="1"/>
  <c r="I6" i="12" s="1"/>
  <c r="J6" i="12" s="1"/>
  <c r="G7" i="12"/>
  <c r="H7" i="12" s="1"/>
  <c r="I7" i="12" s="1"/>
  <c r="J7" i="12" s="1"/>
  <c r="G8" i="12"/>
  <c r="H8" i="12" s="1"/>
  <c r="I8" i="12" s="1"/>
  <c r="J8" i="12" s="1"/>
  <c r="G9" i="12"/>
  <c r="H9" i="12" s="1"/>
  <c r="I9" i="12" s="1"/>
  <c r="J9" i="12" s="1"/>
  <c r="G10" i="12"/>
  <c r="H10" i="12" s="1"/>
  <c r="I10" i="12" s="1"/>
  <c r="J10" i="12" s="1"/>
  <c r="G11" i="12"/>
  <c r="H11" i="12" s="1"/>
  <c r="I11" i="12" s="1"/>
  <c r="J11" i="12" s="1"/>
  <c r="G12" i="12"/>
  <c r="H12" i="12" s="1"/>
  <c r="I12" i="12" s="1"/>
  <c r="J12" i="12" s="1"/>
  <c r="G13" i="12"/>
  <c r="H13" i="12" s="1"/>
  <c r="I13" i="12" s="1"/>
  <c r="J13" i="12" s="1"/>
  <c r="G14" i="12"/>
  <c r="H14" i="12" s="1"/>
  <c r="I14" i="12" s="1"/>
  <c r="J14" i="12" s="1"/>
  <c r="G15" i="12"/>
  <c r="H15" i="12" s="1"/>
  <c r="I15" i="12" s="1"/>
  <c r="J15" i="12" s="1"/>
  <c r="G16" i="12"/>
  <c r="H16" i="12" s="1"/>
  <c r="I16" i="12" s="1"/>
  <c r="J16" i="12" s="1"/>
  <c r="G17" i="12"/>
  <c r="H17" i="12" s="1"/>
  <c r="I17" i="12" s="1"/>
  <c r="J17" i="12" s="1"/>
  <c r="G18" i="12"/>
  <c r="H18" i="12" s="1"/>
  <c r="I18" i="12" s="1"/>
  <c r="J18" i="12" s="1"/>
  <c r="G19" i="12"/>
  <c r="H19" i="12" s="1"/>
  <c r="I19" i="12" s="1"/>
  <c r="J19" i="12" s="1"/>
  <c r="G20" i="12"/>
  <c r="H20" i="12" s="1"/>
  <c r="I20" i="12" s="1"/>
  <c r="J20" i="12" s="1"/>
  <c r="G21" i="12"/>
  <c r="H21" i="12" s="1"/>
  <c r="I21" i="12" s="1"/>
  <c r="J21" i="12" s="1"/>
  <c r="G22" i="12"/>
  <c r="H22" i="12" s="1"/>
  <c r="I22" i="12" s="1"/>
  <c r="J22" i="12" s="1"/>
  <c r="G23" i="12"/>
  <c r="H23" i="12" s="1"/>
  <c r="I23" i="12" s="1"/>
  <c r="J23" i="12" s="1"/>
  <c r="G24" i="12"/>
  <c r="H24" i="12" s="1"/>
  <c r="I24" i="12" s="1"/>
  <c r="J24" i="12" s="1"/>
  <c r="G25" i="12"/>
  <c r="H25" i="12" s="1"/>
  <c r="I25" i="12" s="1"/>
  <c r="J25" i="12" s="1"/>
  <c r="G26" i="12"/>
  <c r="H26" i="12" s="1"/>
  <c r="I26" i="12" s="1"/>
  <c r="J26" i="12" s="1"/>
  <c r="G27" i="12"/>
  <c r="H27" i="12" s="1"/>
  <c r="I27" i="12" s="1"/>
  <c r="J27" i="12" s="1"/>
  <c r="G28" i="12"/>
  <c r="H28" i="12" s="1"/>
  <c r="I28" i="12" s="1"/>
  <c r="J28" i="12" s="1"/>
  <c r="G29" i="12"/>
  <c r="H29" i="12" s="1"/>
  <c r="I29" i="12" s="1"/>
  <c r="J29" i="12" s="1"/>
  <c r="H3" i="12"/>
  <c r="I3" i="12"/>
  <c r="J3" i="12"/>
  <c r="L4" i="12"/>
  <c r="M4" i="12" s="1"/>
  <c r="N4" i="12" s="1"/>
  <c r="O4" i="12" s="1"/>
  <c r="L5" i="12"/>
  <c r="M5" i="12" s="1"/>
  <c r="N5" i="12" s="1"/>
  <c r="O5" i="12" s="1"/>
  <c r="L6" i="12"/>
  <c r="M6" i="12" s="1"/>
  <c r="N6" i="12" s="1"/>
  <c r="O6" i="12" s="1"/>
  <c r="L7" i="12"/>
  <c r="M7" i="12" s="1"/>
  <c r="N7" i="12" s="1"/>
  <c r="O7" i="12" s="1"/>
  <c r="L8" i="12"/>
  <c r="M8" i="12" s="1"/>
  <c r="N8" i="12" s="1"/>
  <c r="O8" i="12" s="1"/>
  <c r="L9" i="12"/>
  <c r="M9" i="12" s="1"/>
  <c r="N9" i="12" s="1"/>
  <c r="O9" i="12" s="1"/>
  <c r="L10" i="12"/>
  <c r="M10" i="12" s="1"/>
  <c r="N10" i="12" s="1"/>
  <c r="O10" i="12" s="1"/>
  <c r="L11" i="12"/>
  <c r="M11" i="12" s="1"/>
  <c r="N11" i="12" s="1"/>
  <c r="O11" i="12" s="1"/>
  <c r="L12" i="12"/>
  <c r="M12" i="12" s="1"/>
  <c r="N12" i="12" s="1"/>
  <c r="O12" i="12" s="1"/>
  <c r="L13" i="12"/>
  <c r="M13" i="12" s="1"/>
  <c r="N13" i="12" s="1"/>
  <c r="O13" i="12" s="1"/>
  <c r="L14" i="12"/>
  <c r="M14" i="12" s="1"/>
  <c r="N14" i="12" s="1"/>
  <c r="O14" i="12" s="1"/>
  <c r="L15" i="12"/>
  <c r="M15" i="12" s="1"/>
  <c r="N15" i="12" s="1"/>
  <c r="O15" i="12" s="1"/>
  <c r="L16" i="12"/>
  <c r="M16" i="12" s="1"/>
  <c r="N16" i="12" s="1"/>
  <c r="O16" i="12" s="1"/>
  <c r="L17" i="12"/>
  <c r="M17" i="12" s="1"/>
  <c r="N17" i="12" s="1"/>
  <c r="O17" i="12" s="1"/>
  <c r="L18" i="12"/>
  <c r="M18" i="12" s="1"/>
  <c r="N18" i="12" s="1"/>
  <c r="O18" i="12" s="1"/>
  <c r="L19" i="12"/>
  <c r="M19" i="12" s="1"/>
  <c r="N19" i="12" s="1"/>
  <c r="O19" i="12" s="1"/>
  <c r="L20" i="12"/>
  <c r="M20" i="12" s="1"/>
  <c r="N20" i="12" s="1"/>
  <c r="O20" i="12" s="1"/>
  <c r="L21" i="12"/>
  <c r="M21" i="12" s="1"/>
  <c r="N21" i="12" s="1"/>
  <c r="O21" i="12" s="1"/>
  <c r="L22" i="12"/>
  <c r="M22" i="12" s="1"/>
  <c r="N22" i="12" s="1"/>
  <c r="O22" i="12" s="1"/>
  <c r="L23" i="12"/>
  <c r="M23" i="12" s="1"/>
  <c r="N23" i="12" s="1"/>
  <c r="O23" i="12" s="1"/>
  <c r="L24" i="12"/>
  <c r="M24" i="12" s="1"/>
  <c r="N24" i="12" s="1"/>
  <c r="O24" i="12" s="1"/>
  <c r="L25" i="12"/>
  <c r="M25" i="12" s="1"/>
  <c r="N25" i="12" s="1"/>
  <c r="O25" i="12" s="1"/>
  <c r="L26" i="12"/>
  <c r="M26" i="12" s="1"/>
  <c r="N26" i="12" s="1"/>
  <c r="O26" i="12" s="1"/>
  <c r="L27" i="12"/>
  <c r="M27" i="12" s="1"/>
  <c r="N27" i="12" s="1"/>
  <c r="O27" i="12" s="1"/>
  <c r="L28" i="12"/>
  <c r="M28" i="12" s="1"/>
  <c r="N28" i="12" s="1"/>
  <c r="O28" i="12" s="1"/>
  <c r="L29" i="12"/>
  <c r="M29" i="12" s="1"/>
  <c r="N29" i="12" s="1"/>
  <c r="O29" i="12" s="1"/>
  <c r="M3" i="12"/>
  <c r="N3" i="12" s="1"/>
  <c r="O3" i="12" s="1"/>
  <c r="Q4" i="12"/>
  <c r="R4" i="12"/>
  <c r="S4" i="12"/>
  <c r="T4" i="12" s="1"/>
  <c r="Q5" i="12"/>
  <c r="R5" i="12" s="1"/>
  <c r="S5" i="12" s="1"/>
  <c r="T5" i="12" s="1"/>
  <c r="Q6" i="12"/>
  <c r="R6" i="12"/>
  <c r="S6" i="12"/>
  <c r="T6" i="12" s="1"/>
  <c r="Q7" i="12"/>
  <c r="R7" i="12" s="1"/>
  <c r="S7" i="12" s="1"/>
  <c r="T7" i="12" s="1"/>
  <c r="Q8" i="12"/>
  <c r="R8" i="12"/>
  <c r="S8" i="12"/>
  <c r="T8" i="12" s="1"/>
  <c r="Q9" i="12"/>
  <c r="R9" i="12" s="1"/>
  <c r="S9" i="12" s="1"/>
  <c r="T9" i="12" s="1"/>
  <c r="Q10" i="12"/>
  <c r="R10" i="12"/>
  <c r="S10" i="12"/>
  <c r="T10" i="12" s="1"/>
  <c r="Q11" i="12"/>
  <c r="R11" i="12" s="1"/>
  <c r="S11" i="12" s="1"/>
  <c r="T11" i="12" s="1"/>
  <c r="Q12" i="12"/>
  <c r="R12" i="12"/>
  <c r="S12" i="12"/>
  <c r="T12" i="12" s="1"/>
  <c r="Q13" i="12"/>
  <c r="R13" i="12" s="1"/>
  <c r="S13" i="12" s="1"/>
  <c r="T13" i="12" s="1"/>
  <c r="Q14" i="12"/>
  <c r="R14" i="12"/>
  <c r="S14" i="12"/>
  <c r="T14" i="12" s="1"/>
  <c r="Q15" i="12"/>
  <c r="R15" i="12" s="1"/>
  <c r="S15" i="12" s="1"/>
  <c r="T15" i="12" s="1"/>
  <c r="Q16" i="12"/>
  <c r="R16" i="12"/>
  <c r="S16" i="12"/>
  <c r="T16" i="12" s="1"/>
  <c r="Q17" i="12"/>
  <c r="R17" i="12" s="1"/>
  <c r="S17" i="12" s="1"/>
  <c r="T17" i="12" s="1"/>
  <c r="Q18" i="12"/>
  <c r="R18" i="12"/>
  <c r="S18" i="12"/>
  <c r="T18" i="12" s="1"/>
  <c r="Q19" i="12"/>
  <c r="R19" i="12" s="1"/>
  <c r="S19" i="12" s="1"/>
  <c r="T19" i="12" s="1"/>
  <c r="Q20" i="12"/>
  <c r="R20" i="12"/>
  <c r="S20" i="12"/>
  <c r="T20" i="12" s="1"/>
  <c r="Q21" i="12"/>
  <c r="R21" i="12" s="1"/>
  <c r="S21" i="12" s="1"/>
  <c r="T21" i="12" s="1"/>
  <c r="Q22" i="12"/>
  <c r="R22" i="12"/>
  <c r="S22" i="12"/>
  <c r="T22" i="12" s="1"/>
  <c r="Q23" i="12"/>
  <c r="R23" i="12" s="1"/>
  <c r="S23" i="12" s="1"/>
  <c r="T23" i="12" s="1"/>
  <c r="Q24" i="12"/>
  <c r="R24" i="12"/>
  <c r="S24" i="12"/>
  <c r="T24" i="12" s="1"/>
  <c r="Q25" i="12"/>
  <c r="R25" i="12" s="1"/>
  <c r="S25" i="12" s="1"/>
  <c r="T25" i="12" s="1"/>
  <c r="Q26" i="12"/>
  <c r="R26" i="12"/>
  <c r="S26" i="12"/>
  <c r="T26" i="12" s="1"/>
  <c r="Q27" i="12"/>
  <c r="R27" i="12" s="1"/>
  <c r="S27" i="12" s="1"/>
  <c r="T27" i="12" s="1"/>
  <c r="Q28" i="12"/>
  <c r="R28" i="12"/>
  <c r="S28" i="12"/>
  <c r="T28" i="12" s="1"/>
  <c r="Q29" i="12"/>
  <c r="R29" i="12" s="1"/>
  <c r="S29" i="12" s="1"/>
  <c r="T29" i="12" s="1"/>
  <c r="R3" i="12"/>
  <c r="S3" i="12" s="1"/>
  <c r="T3" i="12" s="1"/>
  <c r="V4" i="12"/>
  <c r="W4" i="12" s="1"/>
  <c r="X4" i="12" s="1"/>
  <c r="Y4" i="12" s="1"/>
  <c r="V5" i="12"/>
  <c r="W5" i="12" s="1"/>
  <c r="X5" i="12" s="1"/>
  <c r="Y5" i="12" s="1"/>
  <c r="V6" i="12"/>
  <c r="W6" i="12" s="1"/>
  <c r="X6" i="12" s="1"/>
  <c r="Y6" i="12" s="1"/>
  <c r="V7" i="12"/>
  <c r="W7" i="12" s="1"/>
  <c r="X7" i="12" s="1"/>
  <c r="Y7" i="12" s="1"/>
  <c r="V8" i="12"/>
  <c r="W8" i="12" s="1"/>
  <c r="X8" i="12" s="1"/>
  <c r="Y8" i="12" s="1"/>
  <c r="V9" i="12"/>
  <c r="W9" i="12" s="1"/>
  <c r="X9" i="12" s="1"/>
  <c r="Y9" i="12" s="1"/>
  <c r="V10" i="12"/>
  <c r="W10" i="12" s="1"/>
  <c r="X10" i="12" s="1"/>
  <c r="Y10" i="12" s="1"/>
  <c r="V11" i="12"/>
  <c r="W11" i="12" s="1"/>
  <c r="X11" i="12" s="1"/>
  <c r="Y11" i="12" s="1"/>
  <c r="V12" i="12"/>
  <c r="W12" i="12" s="1"/>
  <c r="X12" i="12" s="1"/>
  <c r="Y12" i="12" s="1"/>
  <c r="V13" i="12"/>
  <c r="W13" i="12" s="1"/>
  <c r="X13" i="12" s="1"/>
  <c r="Y13" i="12" s="1"/>
  <c r="V14" i="12"/>
  <c r="W14" i="12" s="1"/>
  <c r="X14" i="12" s="1"/>
  <c r="Y14" i="12" s="1"/>
  <c r="V15" i="12"/>
  <c r="W15" i="12" s="1"/>
  <c r="X15" i="12" s="1"/>
  <c r="Y15" i="12" s="1"/>
  <c r="V16" i="12"/>
  <c r="W16" i="12" s="1"/>
  <c r="X16" i="12" s="1"/>
  <c r="Y16" i="12" s="1"/>
  <c r="V17" i="12"/>
  <c r="W17" i="12" s="1"/>
  <c r="X17" i="12" s="1"/>
  <c r="Y17" i="12" s="1"/>
  <c r="V18" i="12"/>
  <c r="W18" i="12" s="1"/>
  <c r="X18" i="12" s="1"/>
  <c r="Y18" i="12" s="1"/>
  <c r="V19" i="12"/>
  <c r="W19" i="12" s="1"/>
  <c r="X19" i="12" s="1"/>
  <c r="Y19" i="12" s="1"/>
  <c r="V20" i="12"/>
  <c r="W20" i="12" s="1"/>
  <c r="X20" i="12" s="1"/>
  <c r="Y20" i="12" s="1"/>
  <c r="V21" i="12"/>
  <c r="W21" i="12" s="1"/>
  <c r="X21" i="12" s="1"/>
  <c r="Y21" i="12" s="1"/>
  <c r="V22" i="12"/>
  <c r="W22" i="12" s="1"/>
  <c r="X22" i="12" s="1"/>
  <c r="Y22" i="12" s="1"/>
  <c r="V23" i="12"/>
  <c r="W23" i="12" s="1"/>
  <c r="X23" i="12" s="1"/>
  <c r="Y23" i="12" s="1"/>
  <c r="V24" i="12"/>
  <c r="W24" i="12" s="1"/>
  <c r="X24" i="12" s="1"/>
  <c r="Y24" i="12" s="1"/>
  <c r="V25" i="12"/>
  <c r="W25" i="12" s="1"/>
  <c r="X25" i="12" s="1"/>
  <c r="Y25" i="12" s="1"/>
  <c r="V26" i="12"/>
  <c r="W26" i="12" s="1"/>
  <c r="X26" i="12" s="1"/>
  <c r="Y26" i="12" s="1"/>
  <c r="V27" i="12"/>
  <c r="W27" i="12" s="1"/>
  <c r="X27" i="12" s="1"/>
  <c r="Y27" i="12" s="1"/>
  <c r="V28" i="12"/>
  <c r="W28" i="12" s="1"/>
  <c r="X28" i="12" s="1"/>
  <c r="Y28" i="12" s="1"/>
  <c r="V29" i="12"/>
  <c r="W29" i="12" s="1"/>
  <c r="X29" i="12" s="1"/>
  <c r="Y29" i="12" s="1"/>
  <c r="W3" i="12"/>
  <c r="X3" i="12"/>
  <c r="Y3" i="12"/>
  <c r="AA4" i="12"/>
  <c r="AB4" i="12" s="1"/>
  <c r="AC4" i="12" s="1"/>
  <c r="AD4" i="12" s="1"/>
  <c r="AA5" i="12"/>
  <c r="AB5" i="12" s="1"/>
  <c r="AC5" i="12" s="1"/>
  <c r="AD5" i="12" s="1"/>
  <c r="AA6" i="12"/>
  <c r="AB6" i="12" s="1"/>
  <c r="AC6" i="12" s="1"/>
  <c r="AD6" i="12" s="1"/>
  <c r="AA7" i="12"/>
  <c r="AB7" i="12" s="1"/>
  <c r="AC7" i="12" s="1"/>
  <c r="AD7" i="12" s="1"/>
  <c r="AA8" i="12"/>
  <c r="AB8" i="12" s="1"/>
  <c r="AC8" i="12" s="1"/>
  <c r="AD8" i="12" s="1"/>
  <c r="AA9" i="12"/>
  <c r="AB9" i="12" s="1"/>
  <c r="AC9" i="12" s="1"/>
  <c r="AD9" i="12" s="1"/>
  <c r="AA10" i="12"/>
  <c r="AB10" i="12" s="1"/>
  <c r="AC10" i="12" s="1"/>
  <c r="AD10" i="12" s="1"/>
  <c r="AA11" i="12"/>
  <c r="AB11" i="12" s="1"/>
  <c r="AC11" i="12" s="1"/>
  <c r="AD11" i="12" s="1"/>
  <c r="AA12" i="12"/>
  <c r="AB12" i="12" s="1"/>
  <c r="AC12" i="12" s="1"/>
  <c r="AD12" i="12" s="1"/>
  <c r="AA13" i="12"/>
  <c r="AB13" i="12" s="1"/>
  <c r="AC13" i="12" s="1"/>
  <c r="AD13" i="12" s="1"/>
  <c r="AA14" i="12"/>
  <c r="AB14" i="12" s="1"/>
  <c r="AC14" i="12" s="1"/>
  <c r="AD14" i="12" s="1"/>
  <c r="AA15" i="12"/>
  <c r="AB15" i="12" s="1"/>
  <c r="AC15" i="12" s="1"/>
  <c r="AD15" i="12" s="1"/>
  <c r="AA16" i="12"/>
  <c r="AB16" i="12" s="1"/>
  <c r="AC16" i="12" s="1"/>
  <c r="AD16" i="12" s="1"/>
  <c r="AA17" i="12"/>
  <c r="AB17" i="12" s="1"/>
  <c r="AC17" i="12" s="1"/>
  <c r="AD17" i="12" s="1"/>
  <c r="AA18" i="12"/>
  <c r="AB18" i="12" s="1"/>
  <c r="AC18" i="12" s="1"/>
  <c r="AD18" i="12" s="1"/>
  <c r="AA19" i="12"/>
  <c r="AB19" i="12" s="1"/>
  <c r="AC19" i="12" s="1"/>
  <c r="AD19" i="12" s="1"/>
  <c r="AA20" i="12"/>
  <c r="AB20" i="12" s="1"/>
  <c r="AC20" i="12" s="1"/>
  <c r="AD20" i="12" s="1"/>
  <c r="AA21" i="12"/>
  <c r="AB21" i="12" s="1"/>
  <c r="AC21" i="12" s="1"/>
  <c r="AD21" i="12" s="1"/>
  <c r="AA22" i="12"/>
  <c r="AB22" i="12" s="1"/>
  <c r="AC22" i="12" s="1"/>
  <c r="AD22" i="12" s="1"/>
  <c r="AA23" i="12"/>
  <c r="AB23" i="12" s="1"/>
  <c r="AC23" i="12" s="1"/>
  <c r="AD23" i="12" s="1"/>
  <c r="AA24" i="12"/>
  <c r="AB24" i="12" s="1"/>
  <c r="AC24" i="12" s="1"/>
  <c r="AD24" i="12" s="1"/>
  <c r="AA25" i="12"/>
  <c r="AB25" i="12" s="1"/>
  <c r="AC25" i="12" s="1"/>
  <c r="AD25" i="12" s="1"/>
  <c r="AA26" i="12"/>
  <c r="AB26" i="12" s="1"/>
  <c r="AC26" i="12" s="1"/>
  <c r="AD26" i="12" s="1"/>
  <c r="AA27" i="12"/>
  <c r="AB27" i="12" s="1"/>
  <c r="AC27" i="12" s="1"/>
  <c r="AD27" i="12" s="1"/>
  <c r="AA28" i="12"/>
  <c r="AB28" i="12" s="1"/>
  <c r="AC28" i="12" s="1"/>
  <c r="AD28" i="12" s="1"/>
  <c r="AA29" i="12"/>
  <c r="AB29" i="12" s="1"/>
  <c r="AC29" i="12" s="1"/>
  <c r="AD29" i="12" s="1"/>
  <c r="AB3" i="12"/>
  <c r="AC3" i="12" s="1"/>
  <c r="AD3" i="12" s="1"/>
  <c r="AF4" i="12"/>
  <c r="AG4" i="12"/>
  <c r="AH4" i="12"/>
  <c r="AI4" i="12" s="1"/>
  <c r="AF5" i="12"/>
  <c r="AG5" i="12"/>
  <c r="AH5" i="12" s="1"/>
  <c r="AI5" i="12" s="1"/>
  <c r="AF6" i="12"/>
  <c r="AG6" i="12"/>
  <c r="AH6" i="12"/>
  <c r="AI6" i="12" s="1"/>
  <c r="AF7" i="12"/>
  <c r="AG7" i="12"/>
  <c r="AH7" i="12" s="1"/>
  <c r="AI7" i="12" s="1"/>
  <c r="AF8" i="12"/>
  <c r="AG8" i="12"/>
  <c r="AH8" i="12"/>
  <c r="AI8" i="12" s="1"/>
  <c r="AF9" i="12"/>
  <c r="AG9" i="12"/>
  <c r="AH9" i="12" s="1"/>
  <c r="AI9" i="12" s="1"/>
  <c r="AF10" i="12"/>
  <c r="AG10" i="12"/>
  <c r="AH10" i="12"/>
  <c r="AI10" i="12" s="1"/>
  <c r="AF11" i="12"/>
  <c r="AG11" i="12"/>
  <c r="AH11" i="12" s="1"/>
  <c r="AI11" i="12" s="1"/>
  <c r="AF12" i="12"/>
  <c r="AG12" i="12"/>
  <c r="AH12" i="12"/>
  <c r="AI12" i="12" s="1"/>
  <c r="AF13" i="12"/>
  <c r="AG13" i="12"/>
  <c r="AH13" i="12" s="1"/>
  <c r="AI13" i="12" s="1"/>
  <c r="AF14" i="12"/>
  <c r="AG14" i="12"/>
  <c r="AH14" i="12"/>
  <c r="AI14" i="12" s="1"/>
  <c r="AF15" i="12"/>
  <c r="AG15" i="12"/>
  <c r="AH15" i="12" s="1"/>
  <c r="AI15" i="12" s="1"/>
  <c r="AF16" i="12"/>
  <c r="AG16" i="12"/>
  <c r="AH16" i="12"/>
  <c r="AI16" i="12" s="1"/>
  <c r="AF17" i="12"/>
  <c r="AG17" i="12"/>
  <c r="AH17" i="12" s="1"/>
  <c r="AI17" i="12" s="1"/>
  <c r="AF18" i="12"/>
  <c r="AG18" i="12"/>
  <c r="AH18" i="12"/>
  <c r="AI18" i="12" s="1"/>
  <c r="AF19" i="12"/>
  <c r="AG19" i="12"/>
  <c r="AH19" i="12" s="1"/>
  <c r="AI19" i="12" s="1"/>
  <c r="AF20" i="12"/>
  <c r="AG20" i="12"/>
  <c r="AH20" i="12"/>
  <c r="AI20" i="12" s="1"/>
  <c r="AF21" i="12"/>
  <c r="AG21" i="12"/>
  <c r="AH21" i="12" s="1"/>
  <c r="AI21" i="12" s="1"/>
  <c r="AF22" i="12"/>
  <c r="AG22" i="12"/>
  <c r="AH22" i="12"/>
  <c r="AI22" i="12" s="1"/>
  <c r="AF23" i="12"/>
  <c r="AG23" i="12"/>
  <c r="AH23" i="12" s="1"/>
  <c r="AI23" i="12" s="1"/>
  <c r="AF24" i="12"/>
  <c r="AG24" i="12"/>
  <c r="AH24" i="12"/>
  <c r="AI24" i="12" s="1"/>
  <c r="AF25" i="12"/>
  <c r="AG25" i="12"/>
  <c r="AH25" i="12" s="1"/>
  <c r="AI25" i="12" s="1"/>
  <c r="AF26" i="12"/>
  <c r="AG26" i="12"/>
  <c r="AH26" i="12"/>
  <c r="AI26" i="12" s="1"/>
  <c r="AF27" i="12"/>
  <c r="AG27" i="12"/>
  <c r="AH27" i="12" s="1"/>
  <c r="AI27" i="12" s="1"/>
  <c r="AF28" i="12"/>
  <c r="AG28" i="12"/>
  <c r="AH28" i="12"/>
  <c r="AI28" i="12" s="1"/>
  <c r="AF29" i="12"/>
  <c r="AG29" i="12"/>
  <c r="AH29" i="12" s="1"/>
  <c r="AI29" i="12" s="1"/>
  <c r="AG3" i="12"/>
  <c r="AH3" i="12" s="1"/>
  <c r="AI3" i="12" s="1"/>
  <c r="AF3" i="12"/>
  <c r="AA3" i="12"/>
  <c r="V3" i="12"/>
  <c r="Q3" i="12"/>
  <c r="L3" i="12"/>
  <c r="G3" i="12"/>
  <c r="A4" i="12"/>
  <c r="A27" i="12"/>
  <c r="A12" i="12"/>
  <c r="A29" i="12"/>
  <c r="A28" i="12"/>
  <c r="A26" i="12"/>
  <c r="A25" i="12"/>
  <c r="A24" i="12"/>
  <c r="A3" i="12"/>
  <c r="A23" i="12"/>
  <c r="A22" i="12"/>
  <c r="A16" i="12"/>
  <c r="A20" i="12"/>
  <c r="A19" i="12"/>
  <c r="A21" i="12"/>
  <c r="A6" i="12"/>
  <c r="A18" i="12"/>
  <c r="A15" i="12"/>
  <c r="A13" i="12"/>
  <c r="A11" i="12"/>
  <c r="A14" i="12"/>
  <c r="A17" i="12"/>
  <c r="A10" i="12"/>
  <c r="A8" i="12"/>
  <c r="A9" i="12"/>
  <c r="A7" i="12"/>
  <c r="A5" i="12"/>
  <c r="A6" i="11"/>
  <c r="A5" i="11"/>
  <c r="A8" i="11"/>
  <c r="A10" i="11"/>
  <c r="A9" i="11"/>
  <c r="A11" i="11"/>
  <c r="A18" i="11"/>
  <c r="A15" i="11"/>
  <c r="A12" i="11"/>
  <c r="A14" i="11"/>
  <c r="A16" i="11"/>
  <c r="A19" i="11"/>
  <c r="A7" i="11"/>
  <c r="A22" i="11"/>
  <c r="A20" i="11"/>
  <c r="A21" i="11"/>
  <c r="A17" i="11"/>
  <c r="A23" i="11"/>
  <c r="A24" i="11"/>
  <c r="A25" i="11"/>
  <c r="A26" i="11"/>
  <c r="A27" i="11"/>
  <c r="A29" i="11"/>
  <c r="A30" i="11"/>
  <c r="A13" i="11"/>
  <c r="A28" i="11"/>
  <c r="A4" i="11"/>
  <c r="F30" i="1"/>
  <c r="G30" i="1" s="1"/>
  <c r="H30" i="1" s="1"/>
  <c r="I30" i="1" s="1"/>
  <c r="J30" i="1" s="1"/>
  <c r="K30" i="1" s="1"/>
  <c r="L30" i="1" s="1"/>
  <c r="M30" i="1" s="1"/>
  <c r="N30" i="1" s="1"/>
  <c r="O30" i="1" s="1"/>
  <c r="P30" i="1" s="1"/>
  <c r="Q30" i="1" s="1"/>
  <c r="R30" i="1" s="1"/>
  <c r="S30" i="1" s="1"/>
  <c r="T30" i="1" s="1"/>
  <c r="U30" i="1" s="1"/>
  <c r="V30" i="1" s="1"/>
  <c r="W30" i="1" s="1"/>
  <c r="X30" i="1" s="1"/>
  <c r="Y30" i="1" s="1"/>
  <c r="Z30" i="1" s="1"/>
  <c r="AA30" i="1" s="1"/>
  <c r="AB30" i="1" s="1"/>
  <c r="AC30" i="1" s="1"/>
  <c r="AD30" i="1" s="1"/>
  <c r="AE30" i="1" s="1"/>
  <c r="AF30" i="1" s="1"/>
  <c r="AG30" i="1" s="1"/>
  <c r="AH30" i="1" s="1"/>
  <c r="AI30" i="1" s="1"/>
  <c r="AJ30" i="1" s="1"/>
  <c r="AK30" i="1" s="1"/>
  <c r="AL30" i="1" s="1"/>
  <c r="AM30" i="1" s="1"/>
  <c r="AN30" i="1" s="1"/>
  <c r="AO30" i="1" s="1"/>
  <c r="AP30" i="1" s="1"/>
  <c r="AQ30" i="1" s="1"/>
  <c r="AR30" i="1" s="1"/>
  <c r="AS30" i="1" s="1"/>
  <c r="AT30" i="1" s="1"/>
  <c r="AU30" i="1" s="1"/>
  <c r="AV30" i="1" s="1"/>
  <c r="AW30" i="1" s="1"/>
  <c r="AX30" i="1" s="1"/>
  <c r="AY30" i="1" s="1"/>
  <c r="AZ30" i="1" s="1"/>
  <c r="BA30" i="1" s="1"/>
  <c r="BB30" i="1" s="1"/>
  <c r="F21" i="1"/>
  <c r="G21" i="1" s="1"/>
  <c r="H21" i="1" s="1"/>
  <c r="I21" i="1" s="1"/>
  <c r="J21" i="1" s="1"/>
  <c r="K21" i="1" s="1"/>
  <c r="L21" i="1" s="1"/>
  <c r="M21" i="1" s="1"/>
  <c r="N21" i="1" s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AB21" i="1" s="1"/>
  <c r="AC21" i="1" s="1"/>
  <c r="AD21" i="1" s="1"/>
  <c r="AE21" i="1" s="1"/>
  <c r="AF21" i="1" s="1"/>
  <c r="AG21" i="1" s="1"/>
  <c r="AH21" i="1" s="1"/>
  <c r="AI21" i="1" s="1"/>
  <c r="AJ21" i="1" s="1"/>
  <c r="AK21" i="1" s="1"/>
  <c r="AL21" i="1" s="1"/>
  <c r="AM21" i="1" s="1"/>
  <c r="AN21" i="1" s="1"/>
  <c r="AO21" i="1" s="1"/>
  <c r="AP21" i="1" s="1"/>
  <c r="AQ21" i="1" s="1"/>
  <c r="AR21" i="1" s="1"/>
  <c r="AS21" i="1" s="1"/>
  <c r="AT21" i="1" s="1"/>
  <c r="AU21" i="1" s="1"/>
  <c r="AV21" i="1" s="1"/>
  <c r="AW21" i="1" s="1"/>
  <c r="AX21" i="1" s="1"/>
  <c r="AY21" i="1" s="1"/>
  <c r="AZ21" i="1" s="1"/>
  <c r="BA21" i="1" s="1"/>
  <c r="BB21" i="1" s="1"/>
  <c r="F17" i="1"/>
  <c r="G17" i="1" s="1"/>
  <c r="H17" i="1" s="1"/>
  <c r="I17" i="1" s="1"/>
  <c r="J17" i="1" s="1"/>
  <c r="K17" i="1" s="1"/>
  <c r="L17" i="1" s="1"/>
  <c r="M17" i="1" s="1"/>
  <c r="N17" i="1" s="1"/>
  <c r="O17" i="1" s="1"/>
  <c r="P17" i="1" s="1"/>
  <c r="Q17" i="1" s="1"/>
  <c r="R17" i="1" s="1"/>
  <c r="S17" i="1" s="1"/>
  <c r="T17" i="1" s="1"/>
  <c r="U17" i="1" s="1"/>
  <c r="V17" i="1" s="1"/>
  <c r="W17" i="1" s="1"/>
  <c r="X17" i="1" s="1"/>
  <c r="Y17" i="1" s="1"/>
  <c r="Z17" i="1" s="1"/>
  <c r="AA17" i="1" s="1"/>
  <c r="AB17" i="1" s="1"/>
  <c r="AC17" i="1" s="1"/>
  <c r="AD17" i="1" s="1"/>
  <c r="AE17" i="1" s="1"/>
  <c r="AF17" i="1" s="1"/>
  <c r="AG17" i="1" s="1"/>
  <c r="AH17" i="1" s="1"/>
  <c r="AI17" i="1" s="1"/>
  <c r="AJ17" i="1" s="1"/>
  <c r="AK17" i="1" s="1"/>
  <c r="AL17" i="1" s="1"/>
  <c r="AM17" i="1" s="1"/>
  <c r="AN17" i="1" s="1"/>
  <c r="AO17" i="1" s="1"/>
  <c r="AP17" i="1" s="1"/>
  <c r="AQ17" i="1" s="1"/>
  <c r="AR17" i="1" s="1"/>
  <c r="AS17" i="1" s="1"/>
  <c r="AT17" i="1" s="1"/>
  <c r="AU17" i="1" s="1"/>
  <c r="AV17" i="1" s="1"/>
  <c r="AW17" i="1" s="1"/>
  <c r="AX17" i="1" s="1"/>
  <c r="AY17" i="1" s="1"/>
  <c r="AZ17" i="1" s="1"/>
  <c r="BA17" i="1" s="1"/>
  <c r="BB17" i="1" s="1"/>
  <c r="F8" i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AI8" i="1" s="1"/>
  <c r="AJ8" i="1" s="1"/>
  <c r="AK8" i="1" s="1"/>
  <c r="AL8" i="1" s="1"/>
  <c r="AM8" i="1" s="1"/>
  <c r="AN8" i="1" s="1"/>
  <c r="AO8" i="1" s="1"/>
  <c r="AP8" i="1" s="1"/>
  <c r="AQ8" i="1" s="1"/>
  <c r="AR8" i="1" s="1"/>
  <c r="AS8" i="1" s="1"/>
  <c r="AT8" i="1" s="1"/>
  <c r="AU8" i="1" s="1"/>
  <c r="AV8" i="1" s="1"/>
  <c r="AW8" i="1" s="1"/>
  <c r="AX8" i="1" s="1"/>
  <c r="AY8" i="1" s="1"/>
  <c r="AZ8" i="1" s="1"/>
  <c r="BA8" i="1" s="1"/>
  <c r="BB8" i="1" s="1"/>
  <c r="G4" i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F4" i="1"/>
  <c r="F5" i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AU5" i="1" s="1"/>
  <c r="AV5" i="1" s="1"/>
  <c r="AW5" i="1" s="1"/>
  <c r="AX5" i="1" s="1"/>
  <c r="AY5" i="1" s="1"/>
  <c r="AZ5" i="1" s="1"/>
  <c r="BA5" i="1" s="1"/>
  <c r="BB5" i="1" s="1"/>
  <c r="F6" i="1"/>
  <c r="G6" i="1" s="1"/>
  <c r="H6" i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AJ6" i="1" s="1"/>
  <c r="AK6" i="1" s="1"/>
  <c r="AL6" i="1" s="1"/>
  <c r="AM6" i="1" s="1"/>
  <c r="AN6" i="1" s="1"/>
  <c r="AO6" i="1" s="1"/>
  <c r="AP6" i="1" s="1"/>
  <c r="AQ6" i="1" s="1"/>
  <c r="AR6" i="1" s="1"/>
  <c r="AS6" i="1" s="1"/>
  <c r="AT6" i="1" s="1"/>
  <c r="AU6" i="1" s="1"/>
  <c r="AV6" i="1" s="1"/>
  <c r="AW6" i="1" s="1"/>
  <c r="AX6" i="1" s="1"/>
  <c r="AY6" i="1" s="1"/>
  <c r="AZ6" i="1" s="1"/>
  <c r="BA6" i="1" s="1"/>
  <c r="BB6" i="1" s="1"/>
  <c r="F7" i="1"/>
  <c r="G7" i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AF7" i="1" s="1"/>
  <c r="AG7" i="1" s="1"/>
  <c r="AH7" i="1" s="1"/>
  <c r="AI7" i="1" s="1"/>
  <c r="AJ7" i="1" s="1"/>
  <c r="AK7" i="1" s="1"/>
  <c r="AL7" i="1" s="1"/>
  <c r="AM7" i="1" s="1"/>
  <c r="AN7" i="1" s="1"/>
  <c r="AO7" i="1" s="1"/>
  <c r="AP7" i="1" s="1"/>
  <c r="AQ7" i="1" s="1"/>
  <c r="AR7" i="1" s="1"/>
  <c r="AS7" i="1" s="1"/>
  <c r="AT7" i="1" s="1"/>
  <c r="AU7" i="1" s="1"/>
  <c r="AV7" i="1" s="1"/>
  <c r="AW7" i="1" s="1"/>
  <c r="AX7" i="1" s="1"/>
  <c r="AY7" i="1" s="1"/>
  <c r="AZ7" i="1" s="1"/>
  <c r="BA7" i="1" s="1"/>
  <c r="BB7" i="1" s="1"/>
  <c r="F9" i="1"/>
  <c r="G9" i="1"/>
  <c r="H9" i="1" s="1"/>
  <c r="I9" i="1"/>
  <c r="J9" i="1" s="1"/>
  <c r="K9" i="1" s="1"/>
  <c r="L9" i="1" s="1"/>
  <c r="M9" i="1" s="1"/>
  <c r="N9" i="1" s="1"/>
  <c r="O9" i="1" s="1"/>
  <c r="P9" i="1" s="1"/>
  <c r="Q9" i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AK9" i="1" s="1"/>
  <c r="AL9" i="1" s="1"/>
  <c r="AM9" i="1" s="1"/>
  <c r="AN9" i="1" s="1"/>
  <c r="AO9" i="1" s="1"/>
  <c r="AP9" i="1" s="1"/>
  <c r="AQ9" i="1" s="1"/>
  <c r="AR9" i="1" s="1"/>
  <c r="AS9" i="1" s="1"/>
  <c r="AT9" i="1" s="1"/>
  <c r="AU9" i="1" s="1"/>
  <c r="AV9" i="1" s="1"/>
  <c r="AW9" i="1" s="1"/>
  <c r="AX9" i="1" s="1"/>
  <c r="AY9" i="1" s="1"/>
  <c r="AZ9" i="1" s="1"/>
  <c r="BA9" i="1" s="1"/>
  <c r="BB9" i="1" s="1"/>
  <c r="F10" i="1"/>
  <c r="G10" i="1"/>
  <c r="H10" i="1"/>
  <c r="I10" i="1" s="1"/>
  <c r="J10" i="1" s="1"/>
  <c r="K10" i="1" s="1"/>
  <c r="L10" i="1"/>
  <c r="M10" i="1" s="1"/>
  <c r="N10" i="1" s="1"/>
  <c r="O10" i="1" s="1"/>
  <c r="P10" i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AG10" i="1" s="1"/>
  <c r="AH10" i="1" s="1"/>
  <c r="AI10" i="1" s="1"/>
  <c r="AJ10" i="1" s="1"/>
  <c r="AK10" i="1" s="1"/>
  <c r="AL10" i="1" s="1"/>
  <c r="AM10" i="1" s="1"/>
  <c r="AN10" i="1" s="1"/>
  <c r="AO10" i="1" s="1"/>
  <c r="AP10" i="1" s="1"/>
  <c r="AQ10" i="1" s="1"/>
  <c r="AR10" i="1" s="1"/>
  <c r="AS10" i="1" s="1"/>
  <c r="AT10" i="1" s="1"/>
  <c r="AU10" i="1" s="1"/>
  <c r="AV10" i="1" s="1"/>
  <c r="AW10" i="1" s="1"/>
  <c r="AX10" i="1" s="1"/>
  <c r="AY10" i="1" s="1"/>
  <c r="AZ10" i="1" s="1"/>
  <c r="BA10" i="1" s="1"/>
  <c r="BB10" i="1" s="1"/>
  <c r="F11" i="1"/>
  <c r="G11" i="1"/>
  <c r="H11" i="1" s="1"/>
  <c r="I11" i="1" s="1"/>
  <c r="J11" i="1" s="1"/>
  <c r="K11" i="1"/>
  <c r="L11" i="1" s="1"/>
  <c r="M11" i="1" s="1"/>
  <c r="N11" i="1" s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AB11" i="1" s="1"/>
  <c r="AC11" i="1" s="1"/>
  <c r="AD11" i="1" s="1"/>
  <c r="AE11" i="1" s="1"/>
  <c r="AF11" i="1" s="1"/>
  <c r="AG11" i="1" s="1"/>
  <c r="AH11" i="1" s="1"/>
  <c r="AI11" i="1" s="1"/>
  <c r="AJ11" i="1" s="1"/>
  <c r="AK11" i="1" s="1"/>
  <c r="AL11" i="1" s="1"/>
  <c r="AM11" i="1" s="1"/>
  <c r="AN11" i="1" s="1"/>
  <c r="AO11" i="1" s="1"/>
  <c r="AP11" i="1" s="1"/>
  <c r="AQ11" i="1" s="1"/>
  <c r="AR11" i="1" s="1"/>
  <c r="AS11" i="1" s="1"/>
  <c r="AT11" i="1" s="1"/>
  <c r="AU11" i="1" s="1"/>
  <c r="AV11" i="1" s="1"/>
  <c r="AW11" i="1" s="1"/>
  <c r="AX11" i="1" s="1"/>
  <c r="AY11" i="1" s="1"/>
  <c r="AZ11" i="1" s="1"/>
  <c r="BA11" i="1" s="1"/>
  <c r="BB11" i="1" s="1"/>
  <c r="F12" i="1"/>
  <c r="G12" i="1" s="1"/>
  <c r="H12" i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W12" i="1" s="1"/>
  <c r="AX12" i="1" s="1"/>
  <c r="AY12" i="1" s="1"/>
  <c r="AZ12" i="1" s="1"/>
  <c r="BA12" i="1" s="1"/>
  <c r="BB12" i="1" s="1"/>
  <c r="F13" i="1"/>
  <c r="G13" i="1" s="1"/>
  <c r="H13" i="1" s="1"/>
  <c r="I13" i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AJ13" i="1" s="1"/>
  <c r="AK13" i="1" s="1"/>
  <c r="AL13" i="1" s="1"/>
  <c r="AM13" i="1" s="1"/>
  <c r="AN13" i="1" s="1"/>
  <c r="AO13" i="1" s="1"/>
  <c r="AP13" i="1" s="1"/>
  <c r="AQ13" i="1" s="1"/>
  <c r="AR13" i="1" s="1"/>
  <c r="AS13" i="1" s="1"/>
  <c r="AT13" i="1" s="1"/>
  <c r="AU13" i="1" s="1"/>
  <c r="AV13" i="1" s="1"/>
  <c r="AW13" i="1" s="1"/>
  <c r="AX13" i="1" s="1"/>
  <c r="AY13" i="1" s="1"/>
  <c r="AZ13" i="1" s="1"/>
  <c r="BA13" i="1" s="1"/>
  <c r="BB13" i="1" s="1"/>
  <c r="F14" i="1"/>
  <c r="G14" i="1" s="1"/>
  <c r="H14" i="1" s="1"/>
  <c r="I14" i="1" s="1"/>
  <c r="J14" i="1" s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V14" i="1" s="1"/>
  <c r="W14" i="1" s="1"/>
  <c r="X14" i="1" s="1"/>
  <c r="Y14" i="1" s="1"/>
  <c r="Z14" i="1" s="1"/>
  <c r="AA14" i="1" s="1"/>
  <c r="AB14" i="1" s="1"/>
  <c r="AC14" i="1" s="1"/>
  <c r="AD14" i="1" s="1"/>
  <c r="AE14" i="1" s="1"/>
  <c r="AF14" i="1" s="1"/>
  <c r="AG14" i="1" s="1"/>
  <c r="AH14" i="1" s="1"/>
  <c r="AI14" i="1" s="1"/>
  <c r="AJ14" i="1" s="1"/>
  <c r="AK14" i="1" s="1"/>
  <c r="AL14" i="1" s="1"/>
  <c r="AM14" i="1" s="1"/>
  <c r="AN14" i="1" s="1"/>
  <c r="AO14" i="1" s="1"/>
  <c r="AP14" i="1" s="1"/>
  <c r="AQ14" i="1" s="1"/>
  <c r="AR14" i="1" s="1"/>
  <c r="AS14" i="1" s="1"/>
  <c r="AT14" i="1" s="1"/>
  <c r="AU14" i="1" s="1"/>
  <c r="AV14" i="1" s="1"/>
  <c r="AW14" i="1" s="1"/>
  <c r="AX14" i="1" s="1"/>
  <c r="AY14" i="1" s="1"/>
  <c r="AZ14" i="1" s="1"/>
  <c r="BA14" i="1" s="1"/>
  <c r="BB14" i="1" s="1"/>
  <c r="F15" i="1"/>
  <c r="G15" i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AB15" i="1" s="1"/>
  <c r="AC15" i="1" s="1"/>
  <c r="AD15" i="1" s="1"/>
  <c r="AE15" i="1" s="1"/>
  <c r="AF15" i="1" s="1"/>
  <c r="AG15" i="1" s="1"/>
  <c r="AH15" i="1" s="1"/>
  <c r="AI15" i="1" s="1"/>
  <c r="AJ15" i="1" s="1"/>
  <c r="AK15" i="1" s="1"/>
  <c r="AL15" i="1" s="1"/>
  <c r="AM15" i="1" s="1"/>
  <c r="AN15" i="1" s="1"/>
  <c r="AO15" i="1" s="1"/>
  <c r="AP15" i="1" s="1"/>
  <c r="AQ15" i="1" s="1"/>
  <c r="AR15" i="1" s="1"/>
  <c r="AS15" i="1" s="1"/>
  <c r="AT15" i="1" s="1"/>
  <c r="AU15" i="1" s="1"/>
  <c r="AV15" i="1" s="1"/>
  <c r="AW15" i="1" s="1"/>
  <c r="AX15" i="1" s="1"/>
  <c r="AY15" i="1" s="1"/>
  <c r="AZ15" i="1" s="1"/>
  <c r="BA15" i="1" s="1"/>
  <c r="BB15" i="1" s="1"/>
  <c r="F16" i="1"/>
  <c r="G16" i="1" s="1"/>
  <c r="H16" i="1" s="1"/>
  <c r="I16" i="1" s="1"/>
  <c r="J16" i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AI16" i="1" s="1"/>
  <c r="AJ16" i="1" s="1"/>
  <c r="AK16" i="1" s="1"/>
  <c r="AL16" i="1" s="1"/>
  <c r="AM16" i="1" s="1"/>
  <c r="AN16" i="1" s="1"/>
  <c r="AO16" i="1" s="1"/>
  <c r="AP16" i="1" s="1"/>
  <c r="AQ16" i="1" s="1"/>
  <c r="AR16" i="1" s="1"/>
  <c r="AS16" i="1" s="1"/>
  <c r="AT16" i="1" s="1"/>
  <c r="AU16" i="1" s="1"/>
  <c r="AV16" i="1" s="1"/>
  <c r="AW16" i="1" s="1"/>
  <c r="AX16" i="1" s="1"/>
  <c r="AY16" i="1" s="1"/>
  <c r="AZ16" i="1" s="1"/>
  <c r="BA16" i="1" s="1"/>
  <c r="BB16" i="1" s="1"/>
  <c r="F18" i="1"/>
  <c r="G18" i="1"/>
  <c r="H18" i="1"/>
  <c r="I18" i="1" s="1"/>
  <c r="J18" i="1"/>
  <c r="K18" i="1" s="1"/>
  <c r="L18" i="1" s="1"/>
  <c r="M18" i="1" s="1"/>
  <c r="N18" i="1" s="1"/>
  <c r="O18" i="1" s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AB18" i="1" s="1"/>
  <c r="AC18" i="1" s="1"/>
  <c r="AD18" i="1" s="1"/>
  <c r="AE18" i="1" s="1"/>
  <c r="AF18" i="1" s="1"/>
  <c r="AG18" i="1" s="1"/>
  <c r="AH18" i="1" s="1"/>
  <c r="AI18" i="1" s="1"/>
  <c r="AJ18" i="1" s="1"/>
  <c r="AK18" i="1" s="1"/>
  <c r="AL18" i="1" s="1"/>
  <c r="AM18" i="1" s="1"/>
  <c r="AN18" i="1" s="1"/>
  <c r="AO18" i="1" s="1"/>
  <c r="AP18" i="1" s="1"/>
  <c r="AQ18" i="1" s="1"/>
  <c r="AR18" i="1" s="1"/>
  <c r="AS18" i="1" s="1"/>
  <c r="AT18" i="1" s="1"/>
  <c r="AU18" i="1" s="1"/>
  <c r="AV18" i="1" s="1"/>
  <c r="AW18" i="1" s="1"/>
  <c r="AX18" i="1" s="1"/>
  <c r="AY18" i="1" s="1"/>
  <c r="AZ18" i="1" s="1"/>
  <c r="BA18" i="1" s="1"/>
  <c r="BB18" i="1" s="1"/>
  <c r="F19" i="1"/>
  <c r="G19" i="1"/>
  <c r="H19" i="1" s="1"/>
  <c r="I19" i="1" s="1"/>
  <c r="J19" i="1" s="1"/>
  <c r="K19" i="1" s="1"/>
  <c r="L19" i="1" s="1"/>
  <c r="M19" i="1" s="1"/>
  <c r="N19" i="1" s="1"/>
  <c r="O19" i="1" s="1"/>
  <c r="P19" i="1" s="1"/>
  <c r="Q19" i="1" s="1"/>
  <c r="R19" i="1" s="1"/>
  <c r="S19" i="1" s="1"/>
  <c r="T19" i="1" s="1"/>
  <c r="U19" i="1" s="1"/>
  <c r="V19" i="1" s="1"/>
  <c r="W19" i="1" s="1"/>
  <c r="X19" i="1" s="1"/>
  <c r="Y19" i="1" s="1"/>
  <c r="Z19" i="1" s="1"/>
  <c r="AA19" i="1" s="1"/>
  <c r="AB19" i="1" s="1"/>
  <c r="AC19" i="1" s="1"/>
  <c r="AD19" i="1" s="1"/>
  <c r="AE19" i="1" s="1"/>
  <c r="AF19" i="1" s="1"/>
  <c r="AG19" i="1" s="1"/>
  <c r="AH19" i="1" s="1"/>
  <c r="AI19" i="1" s="1"/>
  <c r="AJ19" i="1" s="1"/>
  <c r="AK19" i="1" s="1"/>
  <c r="AL19" i="1" s="1"/>
  <c r="AM19" i="1" s="1"/>
  <c r="AN19" i="1" s="1"/>
  <c r="AO19" i="1" s="1"/>
  <c r="AP19" i="1" s="1"/>
  <c r="AQ19" i="1" s="1"/>
  <c r="AR19" i="1" s="1"/>
  <c r="AS19" i="1" s="1"/>
  <c r="AT19" i="1" s="1"/>
  <c r="AU19" i="1" s="1"/>
  <c r="AV19" i="1" s="1"/>
  <c r="AW19" i="1" s="1"/>
  <c r="AX19" i="1" s="1"/>
  <c r="AY19" i="1" s="1"/>
  <c r="AZ19" i="1" s="1"/>
  <c r="BA19" i="1" s="1"/>
  <c r="BB19" i="1" s="1"/>
  <c r="F20" i="1"/>
  <c r="G20" i="1" s="1"/>
  <c r="H20" i="1" s="1"/>
  <c r="I20" i="1" s="1"/>
  <c r="J20" i="1" s="1"/>
  <c r="K20" i="1" s="1"/>
  <c r="L20" i="1" s="1"/>
  <c r="M20" i="1" s="1"/>
  <c r="N20" i="1" s="1"/>
  <c r="O20" i="1" s="1"/>
  <c r="P20" i="1" s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AA20" i="1" s="1"/>
  <c r="AB20" i="1" s="1"/>
  <c r="AC20" i="1" s="1"/>
  <c r="AD20" i="1" s="1"/>
  <c r="AE20" i="1" s="1"/>
  <c r="AF20" i="1" s="1"/>
  <c r="AG20" i="1" s="1"/>
  <c r="AH20" i="1" s="1"/>
  <c r="AI20" i="1" s="1"/>
  <c r="AJ20" i="1" s="1"/>
  <c r="AK20" i="1" s="1"/>
  <c r="AL20" i="1" s="1"/>
  <c r="AM20" i="1" s="1"/>
  <c r="AN20" i="1" s="1"/>
  <c r="AO20" i="1" s="1"/>
  <c r="AP20" i="1" s="1"/>
  <c r="AQ20" i="1" s="1"/>
  <c r="AR20" i="1" s="1"/>
  <c r="AS20" i="1" s="1"/>
  <c r="AT20" i="1" s="1"/>
  <c r="AU20" i="1" s="1"/>
  <c r="AV20" i="1" s="1"/>
  <c r="AW20" i="1" s="1"/>
  <c r="AX20" i="1" s="1"/>
  <c r="AY20" i="1" s="1"/>
  <c r="AZ20" i="1" s="1"/>
  <c r="BA20" i="1" s="1"/>
  <c r="BB20" i="1" s="1"/>
  <c r="F22" i="1"/>
  <c r="G22" i="1" s="1"/>
  <c r="H22" i="1" s="1"/>
  <c r="I22" i="1" s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AB22" i="1" s="1"/>
  <c r="AC22" i="1" s="1"/>
  <c r="AD22" i="1" s="1"/>
  <c r="AE22" i="1" s="1"/>
  <c r="AF22" i="1" s="1"/>
  <c r="AG22" i="1" s="1"/>
  <c r="AH22" i="1" s="1"/>
  <c r="AI22" i="1" s="1"/>
  <c r="AJ22" i="1" s="1"/>
  <c r="AK22" i="1" s="1"/>
  <c r="AL22" i="1" s="1"/>
  <c r="AM22" i="1" s="1"/>
  <c r="AN22" i="1" s="1"/>
  <c r="AO22" i="1" s="1"/>
  <c r="AP22" i="1" s="1"/>
  <c r="AQ22" i="1" s="1"/>
  <c r="AR22" i="1" s="1"/>
  <c r="AS22" i="1" s="1"/>
  <c r="AT22" i="1" s="1"/>
  <c r="AU22" i="1" s="1"/>
  <c r="AV22" i="1" s="1"/>
  <c r="AW22" i="1" s="1"/>
  <c r="AX22" i="1" s="1"/>
  <c r="AY22" i="1" s="1"/>
  <c r="AZ22" i="1" s="1"/>
  <c r="BA22" i="1" s="1"/>
  <c r="BB22" i="1" s="1"/>
  <c r="F23" i="1"/>
  <c r="G23" i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U23" i="1" s="1"/>
  <c r="V23" i="1" s="1"/>
  <c r="W23" i="1" s="1"/>
  <c r="X23" i="1" s="1"/>
  <c r="Y23" i="1" s="1"/>
  <c r="Z23" i="1" s="1"/>
  <c r="AA23" i="1" s="1"/>
  <c r="AB23" i="1" s="1"/>
  <c r="AC23" i="1" s="1"/>
  <c r="AD23" i="1" s="1"/>
  <c r="AE23" i="1" s="1"/>
  <c r="AF23" i="1" s="1"/>
  <c r="AG23" i="1" s="1"/>
  <c r="AH23" i="1" s="1"/>
  <c r="AI23" i="1" s="1"/>
  <c r="AJ23" i="1" s="1"/>
  <c r="AK23" i="1" s="1"/>
  <c r="AL23" i="1" s="1"/>
  <c r="AM23" i="1" s="1"/>
  <c r="AN23" i="1" s="1"/>
  <c r="AO23" i="1" s="1"/>
  <c r="AP23" i="1" s="1"/>
  <c r="AQ23" i="1" s="1"/>
  <c r="AR23" i="1" s="1"/>
  <c r="AS23" i="1" s="1"/>
  <c r="AT23" i="1" s="1"/>
  <c r="AU23" i="1" s="1"/>
  <c r="AV23" i="1" s="1"/>
  <c r="AW23" i="1" s="1"/>
  <c r="AX23" i="1" s="1"/>
  <c r="AY23" i="1" s="1"/>
  <c r="AZ23" i="1" s="1"/>
  <c r="BA23" i="1" s="1"/>
  <c r="BB23" i="1" s="1"/>
  <c r="F24" i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V24" i="1" s="1"/>
  <c r="W24" i="1" s="1"/>
  <c r="X24" i="1" s="1"/>
  <c r="Y24" i="1" s="1"/>
  <c r="Z24" i="1" s="1"/>
  <c r="AA24" i="1" s="1"/>
  <c r="AB24" i="1" s="1"/>
  <c r="AC24" i="1" s="1"/>
  <c r="AD24" i="1" s="1"/>
  <c r="AE24" i="1" s="1"/>
  <c r="AF24" i="1" s="1"/>
  <c r="AG24" i="1" s="1"/>
  <c r="AH24" i="1" s="1"/>
  <c r="AI24" i="1" s="1"/>
  <c r="AJ24" i="1" s="1"/>
  <c r="AK24" i="1" s="1"/>
  <c r="AL24" i="1" s="1"/>
  <c r="AM24" i="1" s="1"/>
  <c r="AN24" i="1" s="1"/>
  <c r="AO24" i="1" s="1"/>
  <c r="AP24" i="1" s="1"/>
  <c r="AQ24" i="1" s="1"/>
  <c r="AR24" i="1" s="1"/>
  <c r="AS24" i="1" s="1"/>
  <c r="AT24" i="1" s="1"/>
  <c r="AU24" i="1" s="1"/>
  <c r="AV24" i="1" s="1"/>
  <c r="AW24" i="1" s="1"/>
  <c r="AX24" i="1" s="1"/>
  <c r="AY24" i="1" s="1"/>
  <c r="AZ24" i="1" s="1"/>
  <c r="BA24" i="1" s="1"/>
  <c r="BB24" i="1" s="1"/>
  <c r="F25" i="1"/>
  <c r="G25" i="1"/>
  <c r="H25" i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AA25" i="1" s="1"/>
  <c r="AB25" i="1" s="1"/>
  <c r="AC25" i="1" s="1"/>
  <c r="AD25" i="1" s="1"/>
  <c r="AE25" i="1" s="1"/>
  <c r="AF25" i="1" s="1"/>
  <c r="AG25" i="1" s="1"/>
  <c r="AH25" i="1" s="1"/>
  <c r="AI25" i="1" s="1"/>
  <c r="AJ25" i="1" s="1"/>
  <c r="AK25" i="1" s="1"/>
  <c r="AL25" i="1" s="1"/>
  <c r="AM25" i="1" s="1"/>
  <c r="AN25" i="1" s="1"/>
  <c r="AO25" i="1" s="1"/>
  <c r="AP25" i="1" s="1"/>
  <c r="AQ25" i="1" s="1"/>
  <c r="AR25" i="1" s="1"/>
  <c r="AS25" i="1" s="1"/>
  <c r="AT25" i="1" s="1"/>
  <c r="AU25" i="1" s="1"/>
  <c r="AV25" i="1" s="1"/>
  <c r="AW25" i="1" s="1"/>
  <c r="AX25" i="1" s="1"/>
  <c r="AY25" i="1" s="1"/>
  <c r="AZ25" i="1" s="1"/>
  <c r="BA25" i="1" s="1"/>
  <c r="BB25" i="1" s="1"/>
  <c r="F26" i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V26" i="1" s="1"/>
  <c r="W26" i="1" s="1"/>
  <c r="X26" i="1" s="1"/>
  <c r="Y26" i="1" s="1"/>
  <c r="Z26" i="1" s="1"/>
  <c r="AA26" i="1" s="1"/>
  <c r="AB26" i="1" s="1"/>
  <c r="AC26" i="1" s="1"/>
  <c r="AD26" i="1" s="1"/>
  <c r="AE26" i="1" s="1"/>
  <c r="AF26" i="1" s="1"/>
  <c r="AG26" i="1" s="1"/>
  <c r="AH26" i="1" s="1"/>
  <c r="AI26" i="1" s="1"/>
  <c r="AJ26" i="1" s="1"/>
  <c r="AK26" i="1" s="1"/>
  <c r="AL26" i="1" s="1"/>
  <c r="AM26" i="1" s="1"/>
  <c r="AN26" i="1" s="1"/>
  <c r="AO26" i="1" s="1"/>
  <c r="AP26" i="1" s="1"/>
  <c r="AQ26" i="1" s="1"/>
  <c r="AR26" i="1" s="1"/>
  <c r="AS26" i="1" s="1"/>
  <c r="AT26" i="1" s="1"/>
  <c r="AU26" i="1" s="1"/>
  <c r="AV26" i="1" s="1"/>
  <c r="AW26" i="1" s="1"/>
  <c r="AX26" i="1" s="1"/>
  <c r="AY26" i="1" s="1"/>
  <c r="AZ26" i="1" s="1"/>
  <c r="BA26" i="1" s="1"/>
  <c r="BB26" i="1" s="1"/>
  <c r="F27" i="1"/>
  <c r="G27" i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AA27" i="1" s="1"/>
  <c r="AB27" i="1" s="1"/>
  <c r="AC27" i="1" s="1"/>
  <c r="AD27" i="1" s="1"/>
  <c r="AE27" i="1" s="1"/>
  <c r="AF27" i="1" s="1"/>
  <c r="AG27" i="1" s="1"/>
  <c r="AH27" i="1" s="1"/>
  <c r="AI27" i="1" s="1"/>
  <c r="AJ27" i="1" s="1"/>
  <c r="AK27" i="1" s="1"/>
  <c r="AL27" i="1" s="1"/>
  <c r="AM27" i="1" s="1"/>
  <c r="AN27" i="1" s="1"/>
  <c r="AO27" i="1" s="1"/>
  <c r="AP27" i="1" s="1"/>
  <c r="AQ27" i="1" s="1"/>
  <c r="AR27" i="1" s="1"/>
  <c r="AS27" i="1" s="1"/>
  <c r="AT27" i="1" s="1"/>
  <c r="AU27" i="1" s="1"/>
  <c r="AV27" i="1" s="1"/>
  <c r="AW27" i="1" s="1"/>
  <c r="AX27" i="1" s="1"/>
  <c r="AY27" i="1" s="1"/>
  <c r="AZ27" i="1" s="1"/>
  <c r="BA27" i="1" s="1"/>
  <c r="BB27" i="1" s="1"/>
  <c r="F28" i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U28" i="1" s="1"/>
  <c r="V28" i="1" s="1"/>
  <c r="W28" i="1" s="1"/>
  <c r="X28" i="1" s="1"/>
  <c r="Y28" i="1" s="1"/>
  <c r="Z28" i="1" s="1"/>
  <c r="AA28" i="1" s="1"/>
  <c r="AB28" i="1" s="1"/>
  <c r="AC28" i="1" s="1"/>
  <c r="AD28" i="1" s="1"/>
  <c r="AE28" i="1" s="1"/>
  <c r="AF28" i="1" s="1"/>
  <c r="AG28" i="1" s="1"/>
  <c r="AH28" i="1" s="1"/>
  <c r="AI28" i="1" s="1"/>
  <c r="AJ28" i="1" s="1"/>
  <c r="AK28" i="1" s="1"/>
  <c r="AL28" i="1" s="1"/>
  <c r="AM28" i="1" s="1"/>
  <c r="AN28" i="1" s="1"/>
  <c r="AO28" i="1" s="1"/>
  <c r="AP28" i="1" s="1"/>
  <c r="AQ28" i="1" s="1"/>
  <c r="AR28" i="1" s="1"/>
  <c r="AS28" i="1" s="1"/>
  <c r="AT28" i="1" s="1"/>
  <c r="AU28" i="1" s="1"/>
  <c r="AV28" i="1" s="1"/>
  <c r="AW28" i="1" s="1"/>
  <c r="AX28" i="1" s="1"/>
  <c r="AY28" i="1" s="1"/>
  <c r="AZ28" i="1" s="1"/>
  <c r="BA28" i="1" s="1"/>
  <c r="BB28" i="1" s="1"/>
  <c r="F29" i="1"/>
  <c r="G29" i="1" s="1"/>
  <c r="H29" i="1" s="1"/>
  <c r="I29" i="1" s="1"/>
  <c r="J29" i="1" s="1"/>
  <c r="K29" i="1" s="1"/>
  <c r="L29" i="1" s="1"/>
  <c r="M29" i="1" s="1"/>
  <c r="N29" i="1" s="1"/>
  <c r="O29" i="1" s="1"/>
  <c r="P29" i="1" s="1"/>
  <c r="Q29" i="1" s="1"/>
  <c r="R29" i="1" s="1"/>
  <c r="S29" i="1" s="1"/>
  <c r="T29" i="1" s="1"/>
  <c r="U29" i="1" s="1"/>
  <c r="V29" i="1" s="1"/>
  <c r="W29" i="1" s="1"/>
  <c r="X29" i="1" s="1"/>
  <c r="Y29" i="1" s="1"/>
  <c r="Z29" i="1" s="1"/>
  <c r="AA29" i="1" s="1"/>
  <c r="AB29" i="1" s="1"/>
  <c r="AC29" i="1" s="1"/>
  <c r="AD29" i="1" s="1"/>
  <c r="AE29" i="1" s="1"/>
  <c r="AF29" i="1" s="1"/>
  <c r="AG29" i="1" s="1"/>
  <c r="AH29" i="1" s="1"/>
  <c r="AI29" i="1" s="1"/>
  <c r="AJ29" i="1" s="1"/>
  <c r="AK29" i="1" s="1"/>
  <c r="AL29" i="1" s="1"/>
  <c r="AM29" i="1" s="1"/>
  <c r="AN29" i="1" s="1"/>
  <c r="AO29" i="1" s="1"/>
  <c r="AP29" i="1" s="1"/>
  <c r="AQ29" i="1" s="1"/>
  <c r="AR29" i="1" s="1"/>
  <c r="AS29" i="1" s="1"/>
  <c r="AT29" i="1" s="1"/>
  <c r="AU29" i="1" s="1"/>
  <c r="AV29" i="1" s="1"/>
  <c r="AW29" i="1" s="1"/>
  <c r="AX29" i="1" s="1"/>
  <c r="AY29" i="1" s="1"/>
  <c r="AZ29" i="1" s="1"/>
  <c r="BA29" i="1" s="1"/>
  <c r="BB29" i="1" s="1"/>
  <c r="G4" i="10"/>
  <c r="H4" i="10" s="1"/>
  <c r="I4" i="10" s="1"/>
  <c r="J4" i="10" s="1"/>
  <c r="G5" i="10"/>
  <c r="H5" i="10"/>
  <c r="I5" i="10"/>
  <c r="J5" i="10"/>
  <c r="G6" i="10"/>
  <c r="H6" i="10" s="1"/>
  <c r="I6" i="10" s="1"/>
  <c r="J6" i="10" s="1"/>
  <c r="G7" i="10"/>
  <c r="H7" i="10"/>
  <c r="I7" i="10"/>
  <c r="J7" i="10"/>
  <c r="G8" i="10"/>
  <c r="H8" i="10" s="1"/>
  <c r="I8" i="10" s="1"/>
  <c r="J8" i="10" s="1"/>
  <c r="G9" i="10"/>
  <c r="H9" i="10"/>
  <c r="I9" i="10"/>
  <c r="J9" i="10"/>
  <c r="G10" i="10"/>
  <c r="H10" i="10" s="1"/>
  <c r="I10" i="10" s="1"/>
  <c r="J10" i="10" s="1"/>
  <c r="G11" i="10"/>
  <c r="H11" i="10"/>
  <c r="I11" i="10"/>
  <c r="J11" i="10"/>
  <c r="G12" i="10"/>
  <c r="H12" i="10" s="1"/>
  <c r="I12" i="10" s="1"/>
  <c r="J12" i="10" s="1"/>
  <c r="G13" i="10"/>
  <c r="H13" i="10"/>
  <c r="I13" i="10"/>
  <c r="J13" i="10"/>
  <c r="G14" i="10"/>
  <c r="H14" i="10" s="1"/>
  <c r="I14" i="10" s="1"/>
  <c r="J14" i="10" s="1"/>
  <c r="G15" i="10"/>
  <c r="H15" i="10"/>
  <c r="I15" i="10"/>
  <c r="J15" i="10"/>
  <c r="G16" i="10"/>
  <c r="H16" i="10" s="1"/>
  <c r="I16" i="10" s="1"/>
  <c r="J16" i="10" s="1"/>
  <c r="G17" i="10"/>
  <c r="H17" i="10"/>
  <c r="I17" i="10"/>
  <c r="J17" i="10"/>
  <c r="G18" i="10"/>
  <c r="H18" i="10" s="1"/>
  <c r="I18" i="10" s="1"/>
  <c r="J18" i="10" s="1"/>
  <c r="G19" i="10"/>
  <c r="H19" i="10"/>
  <c r="I19" i="10"/>
  <c r="J19" i="10"/>
  <c r="G20" i="10"/>
  <c r="H20" i="10" s="1"/>
  <c r="I20" i="10" s="1"/>
  <c r="J20" i="10" s="1"/>
  <c r="G21" i="10"/>
  <c r="H21" i="10"/>
  <c r="I21" i="10"/>
  <c r="J21" i="10"/>
  <c r="G22" i="10"/>
  <c r="H22" i="10" s="1"/>
  <c r="I22" i="10" s="1"/>
  <c r="J22" i="10" s="1"/>
  <c r="G23" i="10"/>
  <c r="H23" i="10"/>
  <c r="I23" i="10"/>
  <c r="J23" i="10"/>
  <c r="G24" i="10"/>
  <c r="H24" i="10" s="1"/>
  <c r="I24" i="10" s="1"/>
  <c r="J24" i="10" s="1"/>
  <c r="G25" i="10"/>
  <c r="H25" i="10"/>
  <c r="I25" i="10"/>
  <c r="J25" i="10"/>
  <c r="G26" i="10"/>
  <c r="H26" i="10" s="1"/>
  <c r="I26" i="10" s="1"/>
  <c r="J26" i="10" s="1"/>
  <c r="G27" i="10"/>
  <c r="H27" i="10"/>
  <c r="I27" i="10"/>
  <c r="J27" i="10"/>
  <c r="G28" i="10"/>
  <c r="H28" i="10" s="1"/>
  <c r="I28" i="10" s="1"/>
  <c r="J28" i="10" s="1"/>
  <c r="G29" i="10"/>
  <c r="H29" i="10"/>
  <c r="I29" i="10"/>
  <c r="J29" i="10"/>
  <c r="H3" i="10"/>
  <c r="I3" i="10" s="1"/>
  <c r="J3" i="10" s="1"/>
  <c r="G38" i="10"/>
  <c r="H38" i="10"/>
  <c r="I38" i="10" s="1"/>
  <c r="J38" i="10" s="1"/>
  <c r="G39" i="10"/>
  <c r="H39" i="10" s="1"/>
  <c r="I39" i="10" s="1"/>
  <c r="J39" i="10" s="1"/>
  <c r="G40" i="10"/>
  <c r="H40" i="10"/>
  <c r="I40" i="10" s="1"/>
  <c r="J40" i="10" s="1"/>
  <c r="G41" i="10"/>
  <c r="H41" i="10" s="1"/>
  <c r="I41" i="10" s="1"/>
  <c r="J41" i="10" s="1"/>
  <c r="G42" i="10"/>
  <c r="H42" i="10"/>
  <c r="I42" i="10" s="1"/>
  <c r="J42" i="10" s="1"/>
  <c r="G43" i="10"/>
  <c r="H43" i="10" s="1"/>
  <c r="I43" i="10" s="1"/>
  <c r="J43" i="10" s="1"/>
  <c r="G44" i="10"/>
  <c r="H44" i="10"/>
  <c r="I44" i="10" s="1"/>
  <c r="J44" i="10" s="1"/>
  <c r="G45" i="10"/>
  <c r="H45" i="10" s="1"/>
  <c r="I45" i="10" s="1"/>
  <c r="J45" i="10" s="1"/>
  <c r="G46" i="10"/>
  <c r="H46" i="10"/>
  <c r="I46" i="10" s="1"/>
  <c r="J46" i="10" s="1"/>
  <c r="G47" i="10"/>
  <c r="H47" i="10" s="1"/>
  <c r="I47" i="10" s="1"/>
  <c r="J47" i="10" s="1"/>
  <c r="G48" i="10"/>
  <c r="H48" i="10"/>
  <c r="I48" i="10" s="1"/>
  <c r="J48" i="10" s="1"/>
  <c r="G49" i="10"/>
  <c r="H49" i="10" s="1"/>
  <c r="I49" i="10" s="1"/>
  <c r="J49" i="10" s="1"/>
  <c r="G50" i="10"/>
  <c r="H50" i="10"/>
  <c r="I50" i="10" s="1"/>
  <c r="J50" i="10" s="1"/>
  <c r="G51" i="10"/>
  <c r="H51" i="10" s="1"/>
  <c r="I51" i="10" s="1"/>
  <c r="J51" i="10" s="1"/>
  <c r="G52" i="10"/>
  <c r="H52" i="10"/>
  <c r="I52" i="10" s="1"/>
  <c r="J52" i="10" s="1"/>
  <c r="G53" i="10"/>
  <c r="H53" i="10" s="1"/>
  <c r="I53" i="10" s="1"/>
  <c r="J53" i="10" s="1"/>
  <c r="G54" i="10"/>
  <c r="H54" i="10"/>
  <c r="I54" i="10" s="1"/>
  <c r="J54" i="10" s="1"/>
  <c r="G55" i="10"/>
  <c r="H55" i="10" s="1"/>
  <c r="I55" i="10" s="1"/>
  <c r="J55" i="10" s="1"/>
  <c r="G56" i="10"/>
  <c r="H56" i="10"/>
  <c r="I56" i="10" s="1"/>
  <c r="J56" i="10" s="1"/>
  <c r="G57" i="10"/>
  <c r="H57" i="10" s="1"/>
  <c r="I57" i="10" s="1"/>
  <c r="J57" i="10" s="1"/>
  <c r="G58" i="10"/>
  <c r="H58" i="10"/>
  <c r="I58" i="10" s="1"/>
  <c r="J58" i="10" s="1"/>
  <c r="G59" i="10"/>
  <c r="H59" i="10" s="1"/>
  <c r="I59" i="10" s="1"/>
  <c r="J59" i="10" s="1"/>
  <c r="G60" i="10"/>
  <c r="H60" i="10"/>
  <c r="I60" i="10" s="1"/>
  <c r="J60" i="10" s="1"/>
  <c r="G61" i="10"/>
  <c r="H61" i="10" s="1"/>
  <c r="I61" i="10" s="1"/>
  <c r="J61" i="10" s="1"/>
  <c r="G62" i="10"/>
  <c r="H62" i="10"/>
  <c r="I62" i="10" s="1"/>
  <c r="J62" i="10" s="1"/>
  <c r="G37" i="10"/>
  <c r="H37" i="10" s="1"/>
  <c r="I37" i="10" s="1"/>
  <c r="J37" i="10" s="1"/>
  <c r="H36" i="10"/>
  <c r="I36" i="10" s="1"/>
  <c r="J36" i="10" s="1"/>
  <c r="L37" i="10"/>
  <c r="M37" i="10" s="1"/>
  <c r="N37" i="10" s="1"/>
  <c r="O37" i="10" s="1"/>
  <c r="L38" i="10"/>
  <c r="M38" i="10" s="1"/>
  <c r="N38" i="10" s="1"/>
  <c r="O38" i="10" s="1"/>
  <c r="L39" i="10"/>
  <c r="M39" i="10" s="1"/>
  <c r="N39" i="10" s="1"/>
  <c r="O39" i="10" s="1"/>
  <c r="L40" i="10"/>
  <c r="M40" i="10" s="1"/>
  <c r="N40" i="10" s="1"/>
  <c r="O40" i="10" s="1"/>
  <c r="L41" i="10"/>
  <c r="M41" i="10" s="1"/>
  <c r="N41" i="10" s="1"/>
  <c r="O41" i="10" s="1"/>
  <c r="L42" i="10"/>
  <c r="M42" i="10" s="1"/>
  <c r="N42" i="10" s="1"/>
  <c r="O42" i="10" s="1"/>
  <c r="L43" i="10"/>
  <c r="M43" i="10" s="1"/>
  <c r="N43" i="10" s="1"/>
  <c r="O43" i="10" s="1"/>
  <c r="L44" i="10"/>
  <c r="M44" i="10" s="1"/>
  <c r="N44" i="10" s="1"/>
  <c r="O44" i="10" s="1"/>
  <c r="L45" i="10"/>
  <c r="M45" i="10" s="1"/>
  <c r="N45" i="10" s="1"/>
  <c r="O45" i="10" s="1"/>
  <c r="L46" i="10"/>
  <c r="M46" i="10" s="1"/>
  <c r="N46" i="10" s="1"/>
  <c r="O46" i="10" s="1"/>
  <c r="L47" i="10"/>
  <c r="M47" i="10" s="1"/>
  <c r="N47" i="10" s="1"/>
  <c r="O47" i="10" s="1"/>
  <c r="L48" i="10"/>
  <c r="M48" i="10" s="1"/>
  <c r="N48" i="10" s="1"/>
  <c r="O48" i="10" s="1"/>
  <c r="L49" i="10"/>
  <c r="M49" i="10" s="1"/>
  <c r="N49" i="10" s="1"/>
  <c r="O49" i="10" s="1"/>
  <c r="L50" i="10"/>
  <c r="M50" i="10" s="1"/>
  <c r="N50" i="10" s="1"/>
  <c r="O50" i="10" s="1"/>
  <c r="L51" i="10"/>
  <c r="M51" i="10" s="1"/>
  <c r="N51" i="10" s="1"/>
  <c r="O51" i="10" s="1"/>
  <c r="L52" i="10"/>
  <c r="M52" i="10" s="1"/>
  <c r="N52" i="10" s="1"/>
  <c r="O52" i="10" s="1"/>
  <c r="L53" i="10"/>
  <c r="M53" i="10" s="1"/>
  <c r="N53" i="10" s="1"/>
  <c r="O53" i="10" s="1"/>
  <c r="L54" i="10"/>
  <c r="M54" i="10" s="1"/>
  <c r="N54" i="10" s="1"/>
  <c r="O54" i="10" s="1"/>
  <c r="L55" i="10"/>
  <c r="M55" i="10" s="1"/>
  <c r="N55" i="10" s="1"/>
  <c r="O55" i="10" s="1"/>
  <c r="L56" i="10"/>
  <c r="M56" i="10" s="1"/>
  <c r="N56" i="10" s="1"/>
  <c r="O56" i="10" s="1"/>
  <c r="L57" i="10"/>
  <c r="M57" i="10" s="1"/>
  <c r="N57" i="10" s="1"/>
  <c r="O57" i="10" s="1"/>
  <c r="L58" i="10"/>
  <c r="M58" i="10" s="1"/>
  <c r="N58" i="10" s="1"/>
  <c r="O58" i="10" s="1"/>
  <c r="L59" i="10"/>
  <c r="M59" i="10" s="1"/>
  <c r="N59" i="10" s="1"/>
  <c r="O59" i="10" s="1"/>
  <c r="L60" i="10"/>
  <c r="M60" i="10" s="1"/>
  <c r="N60" i="10" s="1"/>
  <c r="O60" i="10" s="1"/>
  <c r="L61" i="10"/>
  <c r="M61" i="10" s="1"/>
  <c r="N61" i="10" s="1"/>
  <c r="O61" i="10" s="1"/>
  <c r="L62" i="10"/>
  <c r="M62" i="10" s="1"/>
  <c r="N62" i="10" s="1"/>
  <c r="O62" i="10" s="1"/>
  <c r="M36" i="10"/>
  <c r="N36" i="10"/>
  <c r="O36" i="10" s="1"/>
  <c r="L4" i="10"/>
  <c r="M4" i="10" s="1"/>
  <c r="N4" i="10" s="1"/>
  <c r="O4" i="10" s="1"/>
  <c r="L5" i="10"/>
  <c r="M5" i="10" s="1"/>
  <c r="N5" i="10" s="1"/>
  <c r="O5" i="10" s="1"/>
  <c r="L6" i="10"/>
  <c r="M6" i="10" s="1"/>
  <c r="N6" i="10" s="1"/>
  <c r="O6" i="10" s="1"/>
  <c r="L7" i="10"/>
  <c r="M7" i="10" s="1"/>
  <c r="N7" i="10" s="1"/>
  <c r="O7" i="10" s="1"/>
  <c r="L8" i="10"/>
  <c r="M8" i="10" s="1"/>
  <c r="N8" i="10" s="1"/>
  <c r="O8" i="10" s="1"/>
  <c r="L9" i="10"/>
  <c r="M9" i="10" s="1"/>
  <c r="N9" i="10" s="1"/>
  <c r="O9" i="10" s="1"/>
  <c r="L10" i="10"/>
  <c r="M10" i="10" s="1"/>
  <c r="N10" i="10" s="1"/>
  <c r="O10" i="10" s="1"/>
  <c r="L11" i="10"/>
  <c r="M11" i="10" s="1"/>
  <c r="N11" i="10" s="1"/>
  <c r="O11" i="10" s="1"/>
  <c r="L12" i="10"/>
  <c r="M12" i="10" s="1"/>
  <c r="N12" i="10" s="1"/>
  <c r="O12" i="10" s="1"/>
  <c r="L13" i="10"/>
  <c r="M13" i="10" s="1"/>
  <c r="N13" i="10" s="1"/>
  <c r="O13" i="10" s="1"/>
  <c r="L14" i="10"/>
  <c r="M14" i="10" s="1"/>
  <c r="N14" i="10" s="1"/>
  <c r="O14" i="10" s="1"/>
  <c r="L15" i="10"/>
  <c r="M15" i="10" s="1"/>
  <c r="N15" i="10" s="1"/>
  <c r="O15" i="10" s="1"/>
  <c r="L16" i="10"/>
  <c r="M16" i="10" s="1"/>
  <c r="N16" i="10" s="1"/>
  <c r="O16" i="10" s="1"/>
  <c r="L17" i="10"/>
  <c r="M17" i="10" s="1"/>
  <c r="N17" i="10" s="1"/>
  <c r="O17" i="10" s="1"/>
  <c r="L18" i="10"/>
  <c r="M18" i="10" s="1"/>
  <c r="N18" i="10" s="1"/>
  <c r="O18" i="10" s="1"/>
  <c r="L19" i="10"/>
  <c r="M19" i="10" s="1"/>
  <c r="N19" i="10" s="1"/>
  <c r="O19" i="10" s="1"/>
  <c r="L20" i="10"/>
  <c r="M20" i="10" s="1"/>
  <c r="N20" i="10" s="1"/>
  <c r="O20" i="10" s="1"/>
  <c r="L21" i="10"/>
  <c r="M21" i="10" s="1"/>
  <c r="N21" i="10" s="1"/>
  <c r="O21" i="10" s="1"/>
  <c r="L22" i="10"/>
  <c r="M22" i="10" s="1"/>
  <c r="N22" i="10" s="1"/>
  <c r="O22" i="10" s="1"/>
  <c r="L23" i="10"/>
  <c r="M23" i="10" s="1"/>
  <c r="N23" i="10" s="1"/>
  <c r="O23" i="10" s="1"/>
  <c r="L24" i="10"/>
  <c r="M24" i="10" s="1"/>
  <c r="N24" i="10" s="1"/>
  <c r="O24" i="10" s="1"/>
  <c r="L25" i="10"/>
  <c r="M25" i="10" s="1"/>
  <c r="N25" i="10" s="1"/>
  <c r="O25" i="10" s="1"/>
  <c r="L26" i="10"/>
  <c r="M26" i="10" s="1"/>
  <c r="N26" i="10" s="1"/>
  <c r="O26" i="10" s="1"/>
  <c r="L27" i="10"/>
  <c r="M27" i="10" s="1"/>
  <c r="N27" i="10" s="1"/>
  <c r="O27" i="10" s="1"/>
  <c r="L28" i="10"/>
  <c r="M28" i="10" s="1"/>
  <c r="N28" i="10" s="1"/>
  <c r="O28" i="10" s="1"/>
  <c r="L29" i="10"/>
  <c r="M29" i="10" s="1"/>
  <c r="N29" i="10" s="1"/>
  <c r="O29" i="10" s="1"/>
  <c r="M3" i="10"/>
  <c r="N3" i="10" s="1"/>
  <c r="O3" i="10" s="1"/>
  <c r="Q4" i="10"/>
  <c r="R4" i="10" s="1"/>
  <c r="S4" i="10" s="1"/>
  <c r="T4" i="10" s="1"/>
  <c r="Q5" i="10"/>
  <c r="R5" i="10"/>
  <c r="S5" i="10" s="1"/>
  <c r="T5" i="10" s="1"/>
  <c r="Q6" i="10"/>
  <c r="R6" i="10" s="1"/>
  <c r="S6" i="10" s="1"/>
  <c r="T6" i="10" s="1"/>
  <c r="Q7" i="10"/>
  <c r="R7" i="10"/>
  <c r="S7" i="10" s="1"/>
  <c r="T7" i="10" s="1"/>
  <c r="Q8" i="10"/>
  <c r="R8" i="10" s="1"/>
  <c r="S8" i="10" s="1"/>
  <c r="T8" i="10" s="1"/>
  <c r="Q9" i="10"/>
  <c r="R9" i="10"/>
  <c r="S9" i="10" s="1"/>
  <c r="T9" i="10" s="1"/>
  <c r="Q10" i="10"/>
  <c r="R10" i="10" s="1"/>
  <c r="S10" i="10" s="1"/>
  <c r="T10" i="10" s="1"/>
  <c r="Q11" i="10"/>
  <c r="R11" i="10"/>
  <c r="S11" i="10" s="1"/>
  <c r="T11" i="10" s="1"/>
  <c r="Q12" i="10"/>
  <c r="R12" i="10" s="1"/>
  <c r="S12" i="10" s="1"/>
  <c r="T12" i="10" s="1"/>
  <c r="Q13" i="10"/>
  <c r="R13" i="10"/>
  <c r="S13" i="10" s="1"/>
  <c r="T13" i="10" s="1"/>
  <c r="Q14" i="10"/>
  <c r="R14" i="10" s="1"/>
  <c r="S14" i="10" s="1"/>
  <c r="T14" i="10" s="1"/>
  <c r="Q15" i="10"/>
  <c r="R15" i="10"/>
  <c r="S15" i="10" s="1"/>
  <c r="T15" i="10" s="1"/>
  <c r="Q16" i="10"/>
  <c r="R16" i="10" s="1"/>
  <c r="S16" i="10" s="1"/>
  <c r="T16" i="10" s="1"/>
  <c r="Q17" i="10"/>
  <c r="R17" i="10"/>
  <c r="S17" i="10" s="1"/>
  <c r="T17" i="10" s="1"/>
  <c r="Q18" i="10"/>
  <c r="R18" i="10" s="1"/>
  <c r="S18" i="10" s="1"/>
  <c r="T18" i="10" s="1"/>
  <c r="Q19" i="10"/>
  <c r="R19" i="10"/>
  <c r="S19" i="10" s="1"/>
  <c r="T19" i="10" s="1"/>
  <c r="Q20" i="10"/>
  <c r="R20" i="10" s="1"/>
  <c r="S20" i="10" s="1"/>
  <c r="T20" i="10" s="1"/>
  <c r="Q21" i="10"/>
  <c r="R21" i="10"/>
  <c r="S21" i="10" s="1"/>
  <c r="T21" i="10" s="1"/>
  <c r="Q22" i="10"/>
  <c r="R22" i="10" s="1"/>
  <c r="S22" i="10" s="1"/>
  <c r="T22" i="10" s="1"/>
  <c r="Q23" i="10"/>
  <c r="R23" i="10"/>
  <c r="S23" i="10" s="1"/>
  <c r="T23" i="10" s="1"/>
  <c r="Q24" i="10"/>
  <c r="R24" i="10" s="1"/>
  <c r="S24" i="10" s="1"/>
  <c r="T24" i="10" s="1"/>
  <c r="Q25" i="10"/>
  <c r="R25" i="10"/>
  <c r="S25" i="10" s="1"/>
  <c r="T25" i="10" s="1"/>
  <c r="Q26" i="10"/>
  <c r="R26" i="10" s="1"/>
  <c r="S26" i="10" s="1"/>
  <c r="T26" i="10" s="1"/>
  <c r="Q27" i="10"/>
  <c r="R27" i="10"/>
  <c r="S27" i="10" s="1"/>
  <c r="T27" i="10" s="1"/>
  <c r="Q28" i="10"/>
  <c r="R28" i="10" s="1"/>
  <c r="S28" i="10" s="1"/>
  <c r="T28" i="10" s="1"/>
  <c r="Q29" i="10"/>
  <c r="R29" i="10"/>
  <c r="S29" i="10" s="1"/>
  <c r="T29" i="10" s="1"/>
  <c r="R3" i="10"/>
  <c r="S3" i="10"/>
  <c r="T3" i="10"/>
  <c r="Q37" i="10"/>
  <c r="R37" i="10"/>
  <c r="S37" i="10" s="1"/>
  <c r="T37" i="10" s="1"/>
  <c r="Q38" i="10"/>
  <c r="R38" i="10" s="1"/>
  <c r="S38" i="10" s="1"/>
  <c r="T38" i="10" s="1"/>
  <c r="Q39" i="10"/>
  <c r="R39" i="10"/>
  <c r="S39" i="10" s="1"/>
  <c r="T39" i="10" s="1"/>
  <c r="Q40" i="10"/>
  <c r="R40" i="10" s="1"/>
  <c r="S40" i="10" s="1"/>
  <c r="T40" i="10" s="1"/>
  <c r="Q41" i="10"/>
  <c r="R41" i="10"/>
  <c r="S41" i="10" s="1"/>
  <c r="T41" i="10" s="1"/>
  <c r="Q42" i="10"/>
  <c r="R42" i="10" s="1"/>
  <c r="S42" i="10" s="1"/>
  <c r="T42" i="10" s="1"/>
  <c r="Q43" i="10"/>
  <c r="R43" i="10"/>
  <c r="S43" i="10" s="1"/>
  <c r="T43" i="10" s="1"/>
  <c r="Q44" i="10"/>
  <c r="R44" i="10" s="1"/>
  <c r="S44" i="10" s="1"/>
  <c r="T44" i="10" s="1"/>
  <c r="Q45" i="10"/>
  <c r="R45" i="10"/>
  <c r="S45" i="10" s="1"/>
  <c r="T45" i="10" s="1"/>
  <c r="Q46" i="10"/>
  <c r="R46" i="10" s="1"/>
  <c r="S46" i="10" s="1"/>
  <c r="T46" i="10" s="1"/>
  <c r="Q47" i="10"/>
  <c r="R47" i="10"/>
  <c r="S47" i="10" s="1"/>
  <c r="T47" i="10" s="1"/>
  <c r="Q48" i="10"/>
  <c r="R48" i="10" s="1"/>
  <c r="S48" i="10" s="1"/>
  <c r="T48" i="10" s="1"/>
  <c r="Q49" i="10"/>
  <c r="R49" i="10"/>
  <c r="S49" i="10" s="1"/>
  <c r="T49" i="10" s="1"/>
  <c r="Q50" i="10"/>
  <c r="R50" i="10" s="1"/>
  <c r="S50" i="10" s="1"/>
  <c r="T50" i="10" s="1"/>
  <c r="Q51" i="10"/>
  <c r="R51" i="10"/>
  <c r="S51" i="10" s="1"/>
  <c r="T51" i="10" s="1"/>
  <c r="Q52" i="10"/>
  <c r="R52" i="10" s="1"/>
  <c r="S52" i="10" s="1"/>
  <c r="T52" i="10" s="1"/>
  <c r="Q53" i="10"/>
  <c r="R53" i="10"/>
  <c r="S53" i="10" s="1"/>
  <c r="T53" i="10" s="1"/>
  <c r="Q54" i="10"/>
  <c r="R54" i="10" s="1"/>
  <c r="S54" i="10" s="1"/>
  <c r="T54" i="10" s="1"/>
  <c r="Q55" i="10"/>
  <c r="R55" i="10"/>
  <c r="S55" i="10" s="1"/>
  <c r="T55" i="10" s="1"/>
  <c r="Q56" i="10"/>
  <c r="R56" i="10" s="1"/>
  <c r="S56" i="10" s="1"/>
  <c r="T56" i="10" s="1"/>
  <c r="Q57" i="10"/>
  <c r="R57" i="10"/>
  <c r="S57" i="10" s="1"/>
  <c r="T57" i="10" s="1"/>
  <c r="Q58" i="10"/>
  <c r="R58" i="10" s="1"/>
  <c r="S58" i="10" s="1"/>
  <c r="T58" i="10" s="1"/>
  <c r="Q59" i="10"/>
  <c r="R59" i="10"/>
  <c r="S59" i="10" s="1"/>
  <c r="T59" i="10" s="1"/>
  <c r="Q60" i="10"/>
  <c r="R60" i="10" s="1"/>
  <c r="S60" i="10" s="1"/>
  <c r="T60" i="10" s="1"/>
  <c r="Q61" i="10"/>
  <c r="R61" i="10"/>
  <c r="S61" i="10" s="1"/>
  <c r="T61" i="10" s="1"/>
  <c r="Q62" i="10"/>
  <c r="R62" i="10" s="1"/>
  <c r="S62" i="10" s="1"/>
  <c r="T62" i="10" s="1"/>
  <c r="R36" i="10"/>
  <c r="S36" i="10" s="1"/>
  <c r="T36" i="10" s="1"/>
  <c r="V37" i="10"/>
  <c r="W37" i="10" s="1"/>
  <c r="X37" i="10" s="1"/>
  <c r="Y37" i="10" s="1"/>
  <c r="V38" i="10"/>
  <c r="W38" i="10" s="1"/>
  <c r="X38" i="10" s="1"/>
  <c r="Y38" i="10" s="1"/>
  <c r="V39" i="10"/>
  <c r="W39" i="10" s="1"/>
  <c r="X39" i="10" s="1"/>
  <c r="Y39" i="10" s="1"/>
  <c r="V40" i="10"/>
  <c r="W40" i="10" s="1"/>
  <c r="X40" i="10" s="1"/>
  <c r="Y40" i="10" s="1"/>
  <c r="V41" i="10"/>
  <c r="W41" i="10" s="1"/>
  <c r="X41" i="10" s="1"/>
  <c r="Y41" i="10" s="1"/>
  <c r="V42" i="10"/>
  <c r="W42" i="10" s="1"/>
  <c r="X42" i="10" s="1"/>
  <c r="Y42" i="10" s="1"/>
  <c r="V43" i="10"/>
  <c r="W43" i="10" s="1"/>
  <c r="X43" i="10" s="1"/>
  <c r="Y43" i="10" s="1"/>
  <c r="V44" i="10"/>
  <c r="W44" i="10" s="1"/>
  <c r="X44" i="10" s="1"/>
  <c r="Y44" i="10" s="1"/>
  <c r="V45" i="10"/>
  <c r="W45" i="10" s="1"/>
  <c r="X45" i="10" s="1"/>
  <c r="Y45" i="10" s="1"/>
  <c r="V46" i="10"/>
  <c r="W46" i="10" s="1"/>
  <c r="X46" i="10" s="1"/>
  <c r="Y46" i="10" s="1"/>
  <c r="V47" i="10"/>
  <c r="W47" i="10" s="1"/>
  <c r="X47" i="10" s="1"/>
  <c r="Y47" i="10" s="1"/>
  <c r="V48" i="10"/>
  <c r="W48" i="10" s="1"/>
  <c r="X48" i="10" s="1"/>
  <c r="Y48" i="10" s="1"/>
  <c r="V49" i="10"/>
  <c r="W49" i="10" s="1"/>
  <c r="X49" i="10" s="1"/>
  <c r="Y49" i="10" s="1"/>
  <c r="V50" i="10"/>
  <c r="W50" i="10" s="1"/>
  <c r="X50" i="10" s="1"/>
  <c r="Y50" i="10" s="1"/>
  <c r="V51" i="10"/>
  <c r="W51" i="10" s="1"/>
  <c r="X51" i="10" s="1"/>
  <c r="Y51" i="10" s="1"/>
  <c r="V52" i="10"/>
  <c r="W52" i="10" s="1"/>
  <c r="X52" i="10" s="1"/>
  <c r="Y52" i="10" s="1"/>
  <c r="V53" i="10"/>
  <c r="W53" i="10" s="1"/>
  <c r="X53" i="10" s="1"/>
  <c r="Y53" i="10" s="1"/>
  <c r="V54" i="10"/>
  <c r="W54" i="10" s="1"/>
  <c r="X54" i="10" s="1"/>
  <c r="Y54" i="10" s="1"/>
  <c r="V55" i="10"/>
  <c r="W55" i="10" s="1"/>
  <c r="X55" i="10" s="1"/>
  <c r="Y55" i="10" s="1"/>
  <c r="V56" i="10"/>
  <c r="W56" i="10" s="1"/>
  <c r="X56" i="10" s="1"/>
  <c r="Y56" i="10" s="1"/>
  <c r="V57" i="10"/>
  <c r="W57" i="10" s="1"/>
  <c r="X57" i="10" s="1"/>
  <c r="Y57" i="10" s="1"/>
  <c r="V58" i="10"/>
  <c r="W58" i="10" s="1"/>
  <c r="X58" i="10" s="1"/>
  <c r="Y58" i="10" s="1"/>
  <c r="V59" i="10"/>
  <c r="W59" i="10" s="1"/>
  <c r="X59" i="10" s="1"/>
  <c r="Y59" i="10" s="1"/>
  <c r="V60" i="10"/>
  <c r="W60" i="10" s="1"/>
  <c r="X60" i="10" s="1"/>
  <c r="Y60" i="10" s="1"/>
  <c r="V61" i="10"/>
  <c r="W61" i="10" s="1"/>
  <c r="X61" i="10" s="1"/>
  <c r="Y61" i="10" s="1"/>
  <c r="V62" i="10"/>
  <c r="W62" i="10" s="1"/>
  <c r="X62" i="10" s="1"/>
  <c r="Y62" i="10" s="1"/>
  <c r="W36" i="10"/>
  <c r="X36" i="10" s="1"/>
  <c r="Y36" i="10" s="1"/>
  <c r="V4" i="10"/>
  <c r="W4" i="10"/>
  <c r="X4" i="10" s="1"/>
  <c r="Y4" i="10" s="1"/>
  <c r="V5" i="10"/>
  <c r="W5" i="10"/>
  <c r="X5" i="10" s="1"/>
  <c r="Y5" i="10" s="1"/>
  <c r="V6" i="10"/>
  <c r="W6" i="10"/>
  <c r="X6" i="10" s="1"/>
  <c r="Y6" i="10" s="1"/>
  <c r="V7" i="10"/>
  <c r="W7" i="10"/>
  <c r="X7" i="10" s="1"/>
  <c r="Y7" i="10" s="1"/>
  <c r="V8" i="10"/>
  <c r="W8" i="10"/>
  <c r="X8" i="10" s="1"/>
  <c r="Y8" i="10" s="1"/>
  <c r="V9" i="10"/>
  <c r="W9" i="10"/>
  <c r="X9" i="10" s="1"/>
  <c r="Y9" i="10" s="1"/>
  <c r="V10" i="10"/>
  <c r="W10" i="10"/>
  <c r="X10" i="10" s="1"/>
  <c r="Y10" i="10" s="1"/>
  <c r="V11" i="10"/>
  <c r="W11" i="10"/>
  <c r="X11" i="10" s="1"/>
  <c r="Y11" i="10" s="1"/>
  <c r="V12" i="10"/>
  <c r="W12" i="10"/>
  <c r="X12" i="10" s="1"/>
  <c r="Y12" i="10" s="1"/>
  <c r="V13" i="10"/>
  <c r="W13" i="10"/>
  <c r="X13" i="10" s="1"/>
  <c r="Y13" i="10" s="1"/>
  <c r="V14" i="10"/>
  <c r="W14" i="10"/>
  <c r="X14" i="10" s="1"/>
  <c r="Y14" i="10" s="1"/>
  <c r="V15" i="10"/>
  <c r="W15" i="10"/>
  <c r="X15" i="10" s="1"/>
  <c r="Y15" i="10" s="1"/>
  <c r="V16" i="10"/>
  <c r="W16" i="10"/>
  <c r="X16" i="10" s="1"/>
  <c r="Y16" i="10" s="1"/>
  <c r="V17" i="10"/>
  <c r="W17" i="10"/>
  <c r="X17" i="10" s="1"/>
  <c r="Y17" i="10" s="1"/>
  <c r="V18" i="10"/>
  <c r="W18" i="10"/>
  <c r="X18" i="10" s="1"/>
  <c r="Y18" i="10" s="1"/>
  <c r="V19" i="10"/>
  <c r="W19" i="10"/>
  <c r="X19" i="10" s="1"/>
  <c r="Y19" i="10" s="1"/>
  <c r="V20" i="10"/>
  <c r="W20" i="10"/>
  <c r="X20" i="10" s="1"/>
  <c r="Y20" i="10" s="1"/>
  <c r="V21" i="10"/>
  <c r="W21" i="10"/>
  <c r="X21" i="10" s="1"/>
  <c r="Y21" i="10" s="1"/>
  <c r="V22" i="10"/>
  <c r="W22" i="10"/>
  <c r="X22" i="10" s="1"/>
  <c r="Y22" i="10" s="1"/>
  <c r="V23" i="10"/>
  <c r="W23" i="10"/>
  <c r="X23" i="10" s="1"/>
  <c r="Y23" i="10" s="1"/>
  <c r="V24" i="10"/>
  <c r="W24" i="10"/>
  <c r="X24" i="10" s="1"/>
  <c r="Y24" i="10" s="1"/>
  <c r="V25" i="10"/>
  <c r="W25" i="10"/>
  <c r="X25" i="10" s="1"/>
  <c r="Y25" i="10" s="1"/>
  <c r="V26" i="10"/>
  <c r="W26" i="10"/>
  <c r="X26" i="10" s="1"/>
  <c r="Y26" i="10" s="1"/>
  <c r="V27" i="10"/>
  <c r="W27" i="10"/>
  <c r="X27" i="10" s="1"/>
  <c r="Y27" i="10" s="1"/>
  <c r="V28" i="10"/>
  <c r="W28" i="10"/>
  <c r="X28" i="10" s="1"/>
  <c r="Y28" i="10" s="1"/>
  <c r="V29" i="10"/>
  <c r="W29" i="10"/>
  <c r="X29" i="10" s="1"/>
  <c r="Y29" i="10" s="1"/>
  <c r="W3" i="10"/>
  <c r="X3" i="10" s="1"/>
  <c r="Y3" i="10" s="1"/>
  <c r="AA37" i="10"/>
  <c r="AB37" i="10" s="1"/>
  <c r="AC37" i="10" s="1"/>
  <c r="AD37" i="10" s="1"/>
  <c r="AA38" i="10"/>
  <c r="AB38" i="10"/>
  <c r="AC38" i="10" s="1"/>
  <c r="AD38" i="10" s="1"/>
  <c r="AA39" i="10"/>
  <c r="AB39" i="10" s="1"/>
  <c r="AC39" i="10" s="1"/>
  <c r="AD39" i="10" s="1"/>
  <c r="AA40" i="10"/>
  <c r="AB40" i="10"/>
  <c r="AC40" i="10" s="1"/>
  <c r="AD40" i="10" s="1"/>
  <c r="AA41" i="10"/>
  <c r="AB41" i="10" s="1"/>
  <c r="AC41" i="10" s="1"/>
  <c r="AD41" i="10" s="1"/>
  <c r="AA42" i="10"/>
  <c r="AB42" i="10"/>
  <c r="AC42" i="10" s="1"/>
  <c r="AD42" i="10" s="1"/>
  <c r="AA43" i="10"/>
  <c r="AB43" i="10" s="1"/>
  <c r="AC43" i="10" s="1"/>
  <c r="AD43" i="10" s="1"/>
  <c r="AA44" i="10"/>
  <c r="AB44" i="10"/>
  <c r="AC44" i="10" s="1"/>
  <c r="AD44" i="10" s="1"/>
  <c r="AA45" i="10"/>
  <c r="AB45" i="10" s="1"/>
  <c r="AC45" i="10" s="1"/>
  <c r="AD45" i="10" s="1"/>
  <c r="AA46" i="10"/>
  <c r="AB46" i="10"/>
  <c r="AC46" i="10" s="1"/>
  <c r="AD46" i="10" s="1"/>
  <c r="AA47" i="10"/>
  <c r="AB47" i="10" s="1"/>
  <c r="AC47" i="10" s="1"/>
  <c r="AD47" i="10" s="1"/>
  <c r="AA48" i="10"/>
  <c r="AB48" i="10"/>
  <c r="AC48" i="10" s="1"/>
  <c r="AD48" i="10" s="1"/>
  <c r="AA49" i="10"/>
  <c r="AB49" i="10" s="1"/>
  <c r="AC49" i="10" s="1"/>
  <c r="AD49" i="10" s="1"/>
  <c r="AA50" i="10"/>
  <c r="AB50" i="10"/>
  <c r="AC50" i="10" s="1"/>
  <c r="AD50" i="10" s="1"/>
  <c r="AA51" i="10"/>
  <c r="AB51" i="10" s="1"/>
  <c r="AC51" i="10" s="1"/>
  <c r="AD51" i="10" s="1"/>
  <c r="AA52" i="10"/>
  <c r="AB52" i="10"/>
  <c r="AC52" i="10" s="1"/>
  <c r="AD52" i="10" s="1"/>
  <c r="AA53" i="10"/>
  <c r="AB53" i="10" s="1"/>
  <c r="AC53" i="10" s="1"/>
  <c r="AD53" i="10" s="1"/>
  <c r="AA54" i="10"/>
  <c r="AB54" i="10"/>
  <c r="AC54" i="10" s="1"/>
  <c r="AD54" i="10" s="1"/>
  <c r="AA55" i="10"/>
  <c r="AB55" i="10" s="1"/>
  <c r="AC55" i="10" s="1"/>
  <c r="AD55" i="10" s="1"/>
  <c r="AA56" i="10"/>
  <c r="AB56" i="10"/>
  <c r="AC56" i="10" s="1"/>
  <c r="AD56" i="10" s="1"/>
  <c r="AA57" i="10"/>
  <c r="AB57" i="10" s="1"/>
  <c r="AC57" i="10" s="1"/>
  <c r="AD57" i="10" s="1"/>
  <c r="AA58" i="10"/>
  <c r="AB58" i="10"/>
  <c r="AC58" i="10" s="1"/>
  <c r="AD58" i="10" s="1"/>
  <c r="AA59" i="10"/>
  <c r="AB59" i="10" s="1"/>
  <c r="AC59" i="10" s="1"/>
  <c r="AD59" i="10" s="1"/>
  <c r="AA60" i="10"/>
  <c r="AB60" i="10"/>
  <c r="AC60" i="10" s="1"/>
  <c r="AD60" i="10" s="1"/>
  <c r="AA61" i="10"/>
  <c r="AB61" i="10" s="1"/>
  <c r="AC61" i="10" s="1"/>
  <c r="AD61" i="10" s="1"/>
  <c r="AA62" i="10"/>
  <c r="AB62" i="10"/>
  <c r="AC62" i="10" s="1"/>
  <c r="AD62" i="10" s="1"/>
  <c r="AB36" i="10"/>
  <c r="AC36" i="10" s="1"/>
  <c r="AD36" i="10" s="1"/>
  <c r="AA4" i="10"/>
  <c r="AB4" i="10" s="1"/>
  <c r="AC4" i="10" s="1"/>
  <c r="AD4" i="10" s="1"/>
  <c r="AA5" i="10"/>
  <c r="AB5" i="10" s="1"/>
  <c r="AC5" i="10" s="1"/>
  <c r="AD5" i="10" s="1"/>
  <c r="AA6" i="10"/>
  <c r="AB6" i="10" s="1"/>
  <c r="AC6" i="10" s="1"/>
  <c r="AD6" i="10" s="1"/>
  <c r="AA7" i="10"/>
  <c r="AB7" i="10" s="1"/>
  <c r="AC7" i="10" s="1"/>
  <c r="AD7" i="10" s="1"/>
  <c r="AA8" i="10"/>
  <c r="AB8" i="10" s="1"/>
  <c r="AC8" i="10" s="1"/>
  <c r="AD8" i="10" s="1"/>
  <c r="AA9" i="10"/>
  <c r="AB9" i="10" s="1"/>
  <c r="AC9" i="10" s="1"/>
  <c r="AD9" i="10" s="1"/>
  <c r="AA10" i="10"/>
  <c r="AB10" i="10" s="1"/>
  <c r="AC10" i="10" s="1"/>
  <c r="AD10" i="10" s="1"/>
  <c r="AA11" i="10"/>
  <c r="AB11" i="10" s="1"/>
  <c r="AC11" i="10" s="1"/>
  <c r="AD11" i="10" s="1"/>
  <c r="AA12" i="10"/>
  <c r="AB12" i="10" s="1"/>
  <c r="AC12" i="10" s="1"/>
  <c r="AD12" i="10" s="1"/>
  <c r="AA13" i="10"/>
  <c r="AB13" i="10" s="1"/>
  <c r="AC13" i="10" s="1"/>
  <c r="AD13" i="10" s="1"/>
  <c r="AA14" i="10"/>
  <c r="AB14" i="10" s="1"/>
  <c r="AC14" i="10" s="1"/>
  <c r="AD14" i="10" s="1"/>
  <c r="AA15" i="10"/>
  <c r="AB15" i="10" s="1"/>
  <c r="AC15" i="10" s="1"/>
  <c r="AD15" i="10" s="1"/>
  <c r="AA16" i="10"/>
  <c r="AB16" i="10" s="1"/>
  <c r="AC16" i="10" s="1"/>
  <c r="AD16" i="10" s="1"/>
  <c r="AA17" i="10"/>
  <c r="AB17" i="10" s="1"/>
  <c r="AC17" i="10" s="1"/>
  <c r="AD17" i="10" s="1"/>
  <c r="AA18" i="10"/>
  <c r="AB18" i="10" s="1"/>
  <c r="AC18" i="10" s="1"/>
  <c r="AD18" i="10" s="1"/>
  <c r="AA19" i="10"/>
  <c r="AB19" i="10" s="1"/>
  <c r="AC19" i="10" s="1"/>
  <c r="AD19" i="10" s="1"/>
  <c r="AA20" i="10"/>
  <c r="AB20" i="10" s="1"/>
  <c r="AC20" i="10" s="1"/>
  <c r="AD20" i="10" s="1"/>
  <c r="AA21" i="10"/>
  <c r="AB21" i="10" s="1"/>
  <c r="AC21" i="10" s="1"/>
  <c r="AD21" i="10" s="1"/>
  <c r="AA22" i="10"/>
  <c r="AB22" i="10" s="1"/>
  <c r="AC22" i="10" s="1"/>
  <c r="AD22" i="10" s="1"/>
  <c r="AA23" i="10"/>
  <c r="AB23" i="10" s="1"/>
  <c r="AC23" i="10" s="1"/>
  <c r="AD23" i="10" s="1"/>
  <c r="AA24" i="10"/>
  <c r="AB24" i="10" s="1"/>
  <c r="AC24" i="10" s="1"/>
  <c r="AD24" i="10" s="1"/>
  <c r="AA25" i="10"/>
  <c r="AB25" i="10" s="1"/>
  <c r="AC25" i="10" s="1"/>
  <c r="AD25" i="10" s="1"/>
  <c r="AA26" i="10"/>
  <c r="AB26" i="10" s="1"/>
  <c r="AC26" i="10" s="1"/>
  <c r="AD26" i="10" s="1"/>
  <c r="AA27" i="10"/>
  <c r="AB27" i="10" s="1"/>
  <c r="AC27" i="10" s="1"/>
  <c r="AD27" i="10" s="1"/>
  <c r="AA28" i="10"/>
  <c r="AB28" i="10" s="1"/>
  <c r="AC28" i="10" s="1"/>
  <c r="AD28" i="10" s="1"/>
  <c r="AA29" i="10"/>
  <c r="AB29" i="10" s="1"/>
  <c r="AC29" i="10" s="1"/>
  <c r="AD29" i="10" s="1"/>
  <c r="AB3" i="10"/>
  <c r="AC3" i="10" s="1"/>
  <c r="AD3" i="10" s="1"/>
  <c r="AF37" i="10"/>
  <c r="AG37" i="10"/>
  <c r="AH37" i="10" s="1"/>
  <c r="AI37" i="10" s="1"/>
  <c r="AF38" i="10"/>
  <c r="AG38" i="10" s="1"/>
  <c r="AH38" i="10" s="1"/>
  <c r="AI38" i="10" s="1"/>
  <c r="AF39" i="10"/>
  <c r="AG39" i="10"/>
  <c r="AH39" i="10" s="1"/>
  <c r="AI39" i="10" s="1"/>
  <c r="AF40" i="10"/>
  <c r="AG40" i="10" s="1"/>
  <c r="AH40" i="10" s="1"/>
  <c r="AI40" i="10" s="1"/>
  <c r="AF41" i="10"/>
  <c r="AG41" i="10"/>
  <c r="AH41" i="10" s="1"/>
  <c r="AI41" i="10" s="1"/>
  <c r="AF42" i="10"/>
  <c r="AG42" i="10" s="1"/>
  <c r="AH42" i="10" s="1"/>
  <c r="AI42" i="10" s="1"/>
  <c r="AF43" i="10"/>
  <c r="AG43" i="10"/>
  <c r="AH43" i="10" s="1"/>
  <c r="AI43" i="10" s="1"/>
  <c r="AF44" i="10"/>
  <c r="AG44" i="10" s="1"/>
  <c r="AH44" i="10" s="1"/>
  <c r="AI44" i="10" s="1"/>
  <c r="AF45" i="10"/>
  <c r="AG45" i="10"/>
  <c r="AH45" i="10" s="1"/>
  <c r="AI45" i="10" s="1"/>
  <c r="AF46" i="10"/>
  <c r="AG46" i="10" s="1"/>
  <c r="AH46" i="10" s="1"/>
  <c r="AI46" i="10" s="1"/>
  <c r="AF47" i="10"/>
  <c r="AG47" i="10"/>
  <c r="AH47" i="10" s="1"/>
  <c r="AI47" i="10" s="1"/>
  <c r="AF48" i="10"/>
  <c r="AG48" i="10" s="1"/>
  <c r="AH48" i="10" s="1"/>
  <c r="AI48" i="10" s="1"/>
  <c r="AF49" i="10"/>
  <c r="AG49" i="10"/>
  <c r="AH49" i="10" s="1"/>
  <c r="AI49" i="10" s="1"/>
  <c r="AF50" i="10"/>
  <c r="AG50" i="10" s="1"/>
  <c r="AH50" i="10" s="1"/>
  <c r="AI50" i="10" s="1"/>
  <c r="AF51" i="10"/>
  <c r="AG51" i="10"/>
  <c r="AH51" i="10" s="1"/>
  <c r="AI51" i="10" s="1"/>
  <c r="AF52" i="10"/>
  <c r="AG52" i="10" s="1"/>
  <c r="AH52" i="10" s="1"/>
  <c r="AI52" i="10" s="1"/>
  <c r="AF53" i="10"/>
  <c r="AG53" i="10"/>
  <c r="AH53" i="10" s="1"/>
  <c r="AI53" i="10" s="1"/>
  <c r="AF54" i="10"/>
  <c r="AG54" i="10" s="1"/>
  <c r="AH54" i="10" s="1"/>
  <c r="AI54" i="10" s="1"/>
  <c r="AF55" i="10"/>
  <c r="AG55" i="10"/>
  <c r="AH55" i="10" s="1"/>
  <c r="AI55" i="10" s="1"/>
  <c r="AF56" i="10"/>
  <c r="AG56" i="10" s="1"/>
  <c r="AH56" i="10" s="1"/>
  <c r="AI56" i="10" s="1"/>
  <c r="AF57" i="10"/>
  <c r="AG57" i="10"/>
  <c r="AH57" i="10" s="1"/>
  <c r="AI57" i="10" s="1"/>
  <c r="AF58" i="10"/>
  <c r="AG58" i="10" s="1"/>
  <c r="AH58" i="10" s="1"/>
  <c r="AI58" i="10" s="1"/>
  <c r="AF59" i="10"/>
  <c r="AG59" i="10"/>
  <c r="AH59" i="10" s="1"/>
  <c r="AI59" i="10" s="1"/>
  <c r="AF60" i="10"/>
  <c r="AG60" i="10" s="1"/>
  <c r="AH60" i="10" s="1"/>
  <c r="AI60" i="10" s="1"/>
  <c r="AF61" i="10"/>
  <c r="AG61" i="10"/>
  <c r="AH61" i="10" s="1"/>
  <c r="AI61" i="10" s="1"/>
  <c r="AF62" i="10"/>
  <c r="AG62" i="10" s="1"/>
  <c r="AH62" i="10" s="1"/>
  <c r="AI62" i="10" s="1"/>
  <c r="AG36" i="10"/>
  <c r="AH36" i="10"/>
  <c r="AI36" i="10" s="1"/>
  <c r="AF4" i="10"/>
  <c r="AG4" i="10" s="1"/>
  <c r="AH4" i="10" s="1"/>
  <c r="AI4" i="10" s="1"/>
  <c r="AF5" i="10"/>
  <c r="AG5" i="10"/>
  <c r="AH5" i="10" s="1"/>
  <c r="AI5" i="10" s="1"/>
  <c r="AF6" i="10"/>
  <c r="AG6" i="10" s="1"/>
  <c r="AH6" i="10" s="1"/>
  <c r="AI6" i="10" s="1"/>
  <c r="AF7" i="10"/>
  <c r="AG7" i="10"/>
  <c r="AH7" i="10" s="1"/>
  <c r="AI7" i="10" s="1"/>
  <c r="AF8" i="10"/>
  <c r="AG8" i="10" s="1"/>
  <c r="AH8" i="10" s="1"/>
  <c r="AI8" i="10" s="1"/>
  <c r="AF9" i="10"/>
  <c r="AG9" i="10"/>
  <c r="AH9" i="10" s="1"/>
  <c r="AI9" i="10" s="1"/>
  <c r="AF10" i="10"/>
  <c r="AG10" i="10" s="1"/>
  <c r="AH10" i="10" s="1"/>
  <c r="AI10" i="10" s="1"/>
  <c r="AF11" i="10"/>
  <c r="AG11" i="10"/>
  <c r="AH11" i="10" s="1"/>
  <c r="AI11" i="10" s="1"/>
  <c r="AF12" i="10"/>
  <c r="AG12" i="10" s="1"/>
  <c r="AH12" i="10" s="1"/>
  <c r="AI12" i="10" s="1"/>
  <c r="AF13" i="10"/>
  <c r="AG13" i="10"/>
  <c r="AH13" i="10" s="1"/>
  <c r="AI13" i="10" s="1"/>
  <c r="AF14" i="10"/>
  <c r="AG14" i="10" s="1"/>
  <c r="AH14" i="10" s="1"/>
  <c r="AI14" i="10" s="1"/>
  <c r="AF15" i="10"/>
  <c r="AG15" i="10"/>
  <c r="AH15" i="10" s="1"/>
  <c r="AI15" i="10" s="1"/>
  <c r="AF16" i="10"/>
  <c r="AG16" i="10" s="1"/>
  <c r="AH16" i="10" s="1"/>
  <c r="AI16" i="10" s="1"/>
  <c r="AF17" i="10"/>
  <c r="AG17" i="10"/>
  <c r="AH17" i="10" s="1"/>
  <c r="AI17" i="10" s="1"/>
  <c r="AF18" i="10"/>
  <c r="AG18" i="10" s="1"/>
  <c r="AH18" i="10" s="1"/>
  <c r="AI18" i="10" s="1"/>
  <c r="AF19" i="10"/>
  <c r="AG19" i="10"/>
  <c r="AH19" i="10" s="1"/>
  <c r="AI19" i="10" s="1"/>
  <c r="AF20" i="10"/>
  <c r="AG20" i="10" s="1"/>
  <c r="AH20" i="10" s="1"/>
  <c r="AI20" i="10" s="1"/>
  <c r="AF21" i="10"/>
  <c r="AG21" i="10"/>
  <c r="AH21" i="10" s="1"/>
  <c r="AI21" i="10" s="1"/>
  <c r="AF22" i="10"/>
  <c r="AG22" i="10" s="1"/>
  <c r="AH22" i="10" s="1"/>
  <c r="AI22" i="10" s="1"/>
  <c r="AF23" i="10"/>
  <c r="AG23" i="10"/>
  <c r="AH23" i="10" s="1"/>
  <c r="AI23" i="10" s="1"/>
  <c r="AF24" i="10"/>
  <c r="AG24" i="10" s="1"/>
  <c r="AH24" i="10" s="1"/>
  <c r="AI24" i="10" s="1"/>
  <c r="AF25" i="10"/>
  <c r="AG25" i="10"/>
  <c r="AH25" i="10" s="1"/>
  <c r="AI25" i="10" s="1"/>
  <c r="AF26" i="10"/>
  <c r="AG26" i="10" s="1"/>
  <c r="AH26" i="10" s="1"/>
  <c r="AI26" i="10" s="1"/>
  <c r="AF27" i="10"/>
  <c r="AG27" i="10"/>
  <c r="AH27" i="10" s="1"/>
  <c r="AI27" i="10" s="1"/>
  <c r="AF28" i="10"/>
  <c r="AG28" i="10" s="1"/>
  <c r="AH28" i="10" s="1"/>
  <c r="AI28" i="10" s="1"/>
  <c r="AF29" i="10"/>
  <c r="AG29" i="10"/>
  <c r="AH29" i="10" s="1"/>
  <c r="AI29" i="10" s="1"/>
  <c r="AG3" i="10"/>
  <c r="AH3" i="10" s="1"/>
  <c r="AI3" i="10" s="1"/>
  <c r="AF36" i="10"/>
  <c r="AF3" i="10"/>
  <c r="AA36" i="10"/>
  <c r="AA3" i="10"/>
  <c r="V36" i="10"/>
  <c r="V3" i="10"/>
  <c r="Q36" i="10"/>
  <c r="Q3" i="10"/>
  <c r="L36" i="10"/>
  <c r="L3" i="10"/>
  <c r="G36" i="10"/>
  <c r="G3" i="10"/>
  <c r="A60" i="10"/>
  <c r="A45" i="10"/>
  <c r="A62" i="10"/>
  <c r="A61" i="10"/>
  <c r="A59" i="10"/>
  <c r="A58" i="10"/>
  <c r="A57" i="10"/>
  <c r="A36" i="10"/>
  <c r="A56" i="10"/>
  <c r="A55" i="10"/>
  <c r="A49" i="10"/>
  <c r="A53" i="10"/>
  <c r="A52" i="10"/>
  <c r="A54" i="10"/>
  <c r="A39" i="10"/>
  <c r="A51" i="10"/>
  <c r="A48" i="10"/>
  <c r="A46" i="10"/>
  <c r="A44" i="10"/>
  <c r="A47" i="10"/>
  <c r="A50" i="10"/>
  <c r="A43" i="10"/>
  <c r="A41" i="10"/>
  <c r="A42" i="10"/>
  <c r="A40" i="10"/>
  <c r="A38" i="10"/>
  <c r="A37" i="10"/>
  <c r="A27" i="10"/>
  <c r="A12" i="10"/>
  <c r="A29" i="10"/>
  <c r="A28" i="10"/>
  <c r="A26" i="10"/>
  <c r="A25" i="10"/>
  <c r="A24" i="10"/>
  <c r="A3" i="10"/>
  <c r="A23" i="10"/>
  <c r="A22" i="10"/>
  <c r="A16" i="10"/>
  <c r="A20" i="10"/>
  <c r="A19" i="10"/>
  <c r="A21" i="10"/>
  <c r="A6" i="10"/>
  <c r="A18" i="10"/>
  <c r="A15" i="10"/>
  <c r="A13" i="10"/>
  <c r="A11" i="10"/>
  <c r="A14" i="10"/>
  <c r="A17" i="10"/>
  <c r="A10" i="10"/>
  <c r="A8" i="10"/>
  <c r="A9" i="10"/>
  <c r="A7" i="10"/>
  <c r="A5" i="10"/>
  <c r="A4" i="10"/>
  <c r="AJ5" i="8"/>
  <c r="AK5" i="8" s="1"/>
  <c r="AL5" i="8" s="1"/>
  <c r="AM5" i="8" s="1"/>
  <c r="AN5" i="8" s="1"/>
  <c r="AO5" i="8" s="1"/>
  <c r="AP5" i="8" s="1"/>
  <c r="AQ5" i="8" s="1"/>
  <c r="AR5" i="8"/>
  <c r="AS5" i="8" s="1"/>
  <c r="AT5" i="8" s="1"/>
  <c r="AU5" i="8" s="1"/>
  <c r="AV5" i="8" s="1"/>
  <c r="AW5" i="8" s="1"/>
  <c r="AX5" i="8" s="1"/>
  <c r="AY5" i="8" s="1"/>
  <c r="AZ5" i="8" s="1"/>
  <c r="BA5" i="8" s="1"/>
  <c r="BB5" i="8" s="1"/>
  <c r="BC5" i="8" s="1"/>
  <c r="AJ6" i="8"/>
  <c r="AK6" i="8" s="1"/>
  <c r="AL6" i="8" s="1"/>
  <c r="AM6" i="8" s="1"/>
  <c r="AN6" i="8" s="1"/>
  <c r="AO6" i="8" s="1"/>
  <c r="AP6" i="8" s="1"/>
  <c r="AQ6" i="8" s="1"/>
  <c r="AR6" i="8" s="1"/>
  <c r="AS6" i="8" s="1"/>
  <c r="AT6" i="8" s="1"/>
  <c r="AU6" i="8" s="1"/>
  <c r="AV6" i="8" s="1"/>
  <c r="AW6" i="8" s="1"/>
  <c r="AX6" i="8" s="1"/>
  <c r="AY6" i="8" s="1"/>
  <c r="AZ6" i="8" s="1"/>
  <c r="BA6" i="8" s="1"/>
  <c r="BB6" i="8" s="1"/>
  <c r="BC6" i="8" s="1"/>
  <c r="AJ7" i="8"/>
  <c r="AK7" i="8" s="1"/>
  <c r="AL7" i="8" s="1"/>
  <c r="AM7" i="8" s="1"/>
  <c r="AN7" i="8" s="1"/>
  <c r="AO7" i="8" s="1"/>
  <c r="AP7" i="8" s="1"/>
  <c r="AQ7" i="8" s="1"/>
  <c r="AR7" i="8"/>
  <c r="AS7" i="8" s="1"/>
  <c r="AT7" i="8" s="1"/>
  <c r="AU7" i="8" s="1"/>
  <c r="AV7" i="8" s="1"/>
  <c r="AW7" i="8" s="1"/>
  <c r="AX7" i="8" s="1"/>
  <c r="AY7" i="8" s="1"/>
  <c r="AZ7" i="8" s="1"/>
  <c r="BA7" i="8" s="1"/>
  <c r="BB7" i="8" s="1"/>
  <c r="BC7" i="8" s="1"/>
  <c r="AJ8" i="8"/>
  <c r="AK8" i="8" s="1"/>
  <c r="AL8" i="8" s="1"/>
  <c r="AM8" i="8" s="1"/>
  <c r="AN8" i="8" s="1"/>
  <c r="AO8" i="8" s="1"/>
  <c r="AP8" i="8" s="1"/>
  <c r="AQ8" i="8" s="1"/>
  <c r="AR8" i="8" s="1"/>
  <c r="AS8" i="8" s="1"/>
  <c r="AT8" i="8" s="1"/>
  <c r="AU8" i="8" s="1"/>
  <c r="AV8" i="8" s="1"/>
  <c r="AW8" i="8" s="1"/>
  <c r="AX8" i="8" s="1"/>
  <c r="AY8" i="8" s="1"/>
  <c r="AZ8" i="8" s="1"/>
  <c r="BA8" i="8" s="1"/>
  <c r="BB8" i="8" s="1"/>
  <c r="BC8" i="8" s="1"/>
  <c r="AJ9" i="8"/>
  <c r="AK9" i="8" s="1"/>
  <c r="AL9" i="8" s="1"/>
  <c r="AM9" i="8" s="1"/>
  <c r="AN9" i="8" s="1"/>
  <c r="AO9" i="8" s="1"/>
  <c r="AP9" i="8" s="1"/>
  <c r="AQ9" i="8" s="1"/>
  <c r="AR9" i="8" s="1"/>
  <c r="AS9" i="8" s="1"/>
  <c r="AT9" i="8" s="1"/>
  <c r="AU9" i="8" s="1"/>
  <c r="AV9" i="8" s="1"/>
  <c r="AW9" i="8" s="1"/>
  <c r="AX9" i="8" s="1"/>
  <c r="AY9" i="8" s="1"/>
  <c r="AZ9" i="8" s="1"/>
  <c r="BA9" i="8" s="1"/>
  <c r="BB9" i="8" s="1"/>
  <c r="BC9" i="8" s="1"/>
  <c r="AJ10" i="8"/>
  <c r="AK10" i="8" s="1"/>
  <c r="AL10" i="8" s="1"/>
  <c r="AM10" i="8" s="1"/>
  <c r="AN10" i="8" s="1"/>
  <c r="AO10" i="8" s="1"/>
  <c r="AP10" i="8" s="1"/>
  <c r="AQ10" i="8" s="1"/>
  <c r="AR10" i="8" s="1"/>
  <c r="AS10" i="8" s="1"/>
  <c r="AT10" i="8" s="1"/>
  <c r="AU10" i="8" s="1"/>
  <c r="AV10" i="8" s="1"/>
  <c r="AW10" i="8" s="1"/>
  <c r="AX10" i="8" s="1"/>
  <c r="AY10" i="8" s="1"/>
  <c r="AZ10" i="8" s="1"/>
  <c r="BA10" i="8" s="1"/>
  <c r="BB10" i="8" s="1"/>
  <c r="BC10" i="8" s="1"/>
  <c r="AJ11" i="8"/>
  <c r="AK11" i="8" s="1"/>
  <c r="AL11" i="8" s="1"/>
  <c r="AM11" i="8" s="1"/>
  <c r="AN11" i="8" s="1"/>
  <c r="AO11" i="8" s="1"/>
  <c r="AP11" i="8" s="1"/>
  <c r="AQ11" i="8" s="1"/>
  <c r="AR11" i="8"/>
  <c r="AS11" i="8" s="1"/>
  <c r="AT11" i="8" s="1"/>
  <c r="AU11" i="8" s="1"/>
  <c r="AV11" i="8" s="1"/>
  <c r="AW11" i="8" s="1"/>
  <c r="AX11" i="8" s="1"/>
  <c r="AY11" i="8" s="1"/>
  <c r="AZ11" i="8" s="1"/>
  <c r="BA11" i="8" s="1"/>
  <c r="BB11" i="8" s="1"/>
  <c r="BC11" i="8" s="1"/>
  <c r="AJ12" i="8"/>
  <c r="AK12" i="8" s="1"/>
  <c r="AL12" i="8" s="1"/>
  <c r="AM12" i="8" s="1"/>
  <c r="AN12" i="8"/>
  <c r="AO12" i="8" s="1"/>
  <c r="AP12" i="8" s="1"/>
  <c r="AQ12" i="8" s="1"/>
  <c r="AR12" i="8" s="1"/>
  <c r="AS12" i="8" s="1"/>
  <c r="AT12" i="8" s="1"/>
  <c r="AU12" i="8" s="1"/>
  <c r="AV12" i="8"/>
  <c r="AW12" i="8" s="1"/>
  <c r="AX12" i="8" s="1"/>
  <c r="AY12" i="8" s="1"/>
  <c r="AZ12" i="8" s="1"/>
  <c r="BA12" i="8" s="1"/>
  <c r="BB12" i="8" s="1"/>
  <c r="BC12" i="8" s="1"/>
  <c r="AJ13" i="8"/>
  <c r="AK13" i="8" s="1"/>
  <c r="AL13" i="8" s="1"/>
  <c r="AM13" i="8" s="1"/>
  <c r="AN13" i="8" s="1"/>
  <c r="AO13" i="8" s="1"/>
  <c r="AP13" i="8" s="1"/>
  <c r="AQ13" i="8" s="1"/>
  <c r="AR13" i="8"/>
  <c r="AS13" i="8" s="1"/>
  <c r="AT13" i="8" s="1"/>
  <c r="AU13" i="8" s="1"/>
  <c r="AV13" i="8" s="1"/>
  <c r="AW13" i="8" s="1"/>
  <c r="AX13" i="8" s="1"/>
  <c r="AY13" i="8" s="1"/>
  <c r="AZ13" i="8" s="1"/>
  <c r="BA13" i="8" s="1"/>
  <c r="BB13" i="8" s="1"/>
  <c r="BC13" i="8" s="1"/>
  <c r="AJ14" i="8"/>
  <c r="AK14" i="8" s="1"/>
  <c r="AL14" i="8" s="1"/>
  <c r="AM14" i="8" s="1"/>
  <c r="AN14" i="8" s="1"/>
  <c r="AO14" i="8" s="1"/>
  <c r="AP14" i="8" s="1"/>
  <c r="AQ14" i="8" s="1"/>
  <c r="AR14" i="8" s="1"/>
  <c r="AS14" i="8" s="1"/>
  <c r="AT14" i="8" s="1"/>
  <c r="AU14" i="8" s="1"/>
  <c r="AV14" i="8" s="1"/>
  <c r="AW14" i="8" s="1"/>
  <c r="AX14" i="8" s="1"/>
  <c r="AY14" i="8" s="1"/>
  <c r="AZ14" i="8" s="1"/>
  <c r="BA14" i="8" s="1"/>
  <c r="BB14" i="8" s="1"/>
  <c r="BC14" i="8" s="1"/>
  <c r="AJ15" i="8"/>
  <c r="AK15" i="8" s="1"/>
  <c r="AL15" i="8" s="1"/>
  <c r="AM15" i="8" s="1"/>
  <c r="AN15" i="8" s="1"/>
  <c r="AO15" i="8" s="1"/>
  <c r="AP15" i="8" s="1"/>
  <c r="AQ15" i="8" s="1"/>
  <c r="AR15" i="8"/>
  <c r="AS15" i="8" s="1"/>
  <c r="AT15" i="8" s="1"/>
  <c r="AU15" i="8" s="1"/>
  <c r="AV15" i="8" s="1"/>
  <c r="AW15" i="8" s="1"/>
  <c r="AX15" i="8" s="1"/>
  <c r="AY15" i="8" s="1"/>
  <c r="AZ15" i="8" s="1"/>
  <c r="BA15" i="8" s="1"/>
  <c r="BB15" i="8" s="1"/>
  <c r="BC15" i="8" s="1"/>
  <c r="AJ16" i="8"/>
  <c r="AK16" i="8" s="1"/>
  <c r="AL16" i="8" s="1"/>
  <c r="AM16" i="8" s="1"/>
  <c r="AN16" i="8" s="1"/>
  <c r="AO16" i="8" s="1"/>
  <c r="AP16" i="8" s="1"/>
  <c r="AQ16" i="8" s="1"/>
  <c r="AR16" i="8" s="1"/>
  <c r="AS16" i="8" s="1"/>
  <c r="AT16" i="8" s="1"/>
  <c r="AU16" i="8" s="1"/>
  <c r="AV16" i="8" s="1"/>
  <c r="AW16" i="8" s="1"/>
  <c r="AX16" i="8" s="1"/>
  <c r="AY16" i="8" s="1"/>
  <c r="AZ16" i="8" s="1"/>
  <c r="BA16" i="8" s="1"/>
  <c r="BB16" i="8" s="1"/>
  <c r="BC16" i="8" s="1"/>
  <c r="AJ17" i="8"/>
  <c r="AK17" i="8" s="1"/>
  <c r="AL17" i="8" s="1"/>
  <c r="AM17" i="8" s="1"/>
  <c r="AN17" i="8" s="1"/>
  <c r="AO17" i="8" s="1"/>
  <c r="AP17" i="8" s="1"/>
  <c r="AQ17" i="8" s="1"/>
  <c r="AR17" i="8" s="1"/>
  <c r="AS17" i="8" s="1"/>
  <c r="AT17" i="8" s="1"/>
  <c r="AU17" i="8" s="1"/>
  <c r="AV17" i="8" s="1"/>
  <c r="AW17" i="8" s="1"/>
  <c r="AX17" i="8" s="1"/>
  <c r="AY17" i="8" s="1"/>
  <c r="AZ17" i="8" s="1"/>
  <c r="BA17" i="8" s="1"/>
  <c r="BB17" i="8" s="1"/>
  <c r="BC17" i="8" s="1"/>
  <c r="AJ18" i="8"/>
  <c r="AK18" i="8" s="1"/>
  <c r="AL18" i="8" s="1"/>
  <c r="AM18" i="8" s="1"/>
  <c r="AN18" i="8" s="1"/>
  <c r="AO18" i="8" s="1"/>
  <c r="AP18" i="8" s="1"/>
  <c r="AQ18" i="8" s="1"/>
  <c r="AR18" i="8" s="1"/>
  <c r="AS18" i="8" s="1"/>
  <c r="AT18" i="8" s="1"/>
  <c r="AU18" i="8" s="1"/>
  <c r="AV18" i="8" s="1"/>
  <c r="AW18" i="8" s="1"/>
  <c r="AX18" i="8" s="1"/>
  <c r="AY18" i="8" s="1"/>
  <c r="AZ18" i="8" s="1"/>
  <c r="BA18" i="8" s="1"/>
  <c r="BB18" i="8" s="1"/>
  <c r="BC18" i="8" s="1"/>
  <c r="AJ19" i="8"/>
  <c r="AK19" i="8" s="1"/>
  <c r="AL19" i="8" s="1"/>
  <c r="AM19" i="8" s="1"/>
  <c r="AN19" i="8" s="1"/>
  <c r="AO19" i="8" s="1"/>
  <c r="AP19" i="8" s="1"/>
  <c r="AQ19" i="8" s="1"/>
  <c r="AR19" i="8" s="1"/>
  <c r="AS19" i="8" s="1"/>
  <c r="AT19" i="8" s="1"/>
  <c r="AU19" i="8" s="1"/>
  <c r="AV19" i="8" s="1"/>
  <c r="AW19" i="8" s="1"/>
  <c r="AX19" i="8" s="1"/>
  <c r="AY19" i="8" s="1"/>
  <c r="AZ19" i="8" s="1"/>
  <c r="BA19" i="8" s="1"/>
  <c r="BB19" i="8" s="1"/>
  <c r="BC19" i="8" s="1"/>
  <c r="AJ20" i="8"/>
  <c r="AK20" i="8" s="1"/>
  <c r="AL20" i="8" s="1"/>
  <c r="AM20" i="8" s="1"/>
  <c r="AN20" i="8"/>
  <c r="AO20" i="8" s="1"/>
  <c r="AP20" i="8" s="1"/>
  <c r="AQ20" i="8" s="1"/>
  <c r="AR20" i="8" s="1"/>
  <c r="AS20" i="8" s="1"/>
  <c r="AT20" i="8" s="1"/>
  <c r="AU20" i="8" s="1"/>
  <c r="AV20" i="8" s="1"/>
  <c r="AW20" i="8" s="1"/>
  <c r="AX20" i="8" s="1"/>
  <c r="AY20" i="8" s="1"/>
  <c r="AZ20" i="8" s="1"/>
  <c r="BA20" i="8" s="1"/>
  <c r="BB20" i="8" s="1"/>
  <c r="BC20" i="8" s="1"/>
  <c r="AJ21" i="8"/>
  <c r="AK21" i="8" s="1"/>
  <c r="AL21" i="8" s="1"/>
  <c r="AM21" i="8"/>
  <c r="AN21" i="8" s="1"/>
  <c r="AO21" i="8" s="1"/>
  <c r="AP21" i="8" s="1"/>
  <c r="AQ21" i="8" s="1"/>
  <c r="AR21" i="8"/>
  <c r="AS21" i="8" s="1"/>
  <c r="AT21" i="8" s="1"/>
  <c r="AU21" i="8" s="1"/>
  <c r="AV21" i="8" s="1"/>
  <c r="AW21" i="8" s="1"/>
  <c r="AX21" i="8" s="1"/>
  <c r="AY21" i="8" s="1"/>
  <c r="AZ21" i="8" s="1"/>
  <c r="BA21" i="8" s="1"/>
  <c r="BB21" i="8" s="1"/>
  <c r="BC21" i="8" s="1"/>
  <c r="AJ22" i="8"/>
  <c r="AK22" i="8" s="1"/>
  <c r="AL22" i="8" s="1"/>
  <c r="AM22" i="8" s="1"/>
  <c r="AN22" i="8" s="1"/>
  <c r="AO22" i="8" s="1"/>
  <c r="AP22" i="8" s="1"/>
  <c r="AQ22" i="8" s="1"/>
  <c r="AR22" i="8" s="1"/>
  <c r="AS22" i="8" s="1"/>
  <c r="AT22" i="8" s="1"/>
  <c r="AU22" i="8" s="1"/>
  <c r="AV22" i="8" s="1"/>
  <c r="AW22" i="8" s="1"/>
  <c r="AX22" i="8" s="1"/>
  <c r="AY22" i="8" s="1"/>
  <c r="AZ22" i="8" s="1"/>
  <c r="BA22" i="8" s="1"/>
  <c r="BB22" i="8" s="1"/>
  <c r="BC22" i="8" s="1"/>
  <c r="AJ23" i="8"/>
  <c r="AK23" i="8" s="1"/>
  <c r="AL23" i="8" s="1"/>
  <c r="AM23" i="8"/>
  <c r="AN23" i="8" s="1"/>
  <c r="AO23" i="8" s="1"/>
  <c r="AP23" i="8" s="1"/>
  <c r="AQ23" i="8" s="1"/>
  <c r="AR23" i="8" s="1"/>
  <c r="AS23" i="8" s="1"/>
  <c r="AT23" i="8" s="1"/>
  <c r="AU23" i="8" s="1"/>
  <c r="AV23" i="8" s="1"/>
  <c r="AW23" i="8" s="1"/>
  <c r="AX23" i="8" s="1"/>
  <c r="AY23" i="8" s="1"/>
  <c r="AZ23" i="8" s="1"/>
  <c r="BA23" i="8" s="1"/>
  <c r="BB23" i="8" s="1"/>
  <c r="BC23" i="8" s="1"/>
  <c r="AJ24" i="8"/>
  <c r="AK24" i="8" s="1"/>
  <c r="AL24" i="8" s="1"/>
  <c r="AM24" i="8" s="1"/>
  <c r="AN24" i="8"/>
  <c r="AO24" i="8" s="1"/>
  <c r="AP24" i="8" s="1"/>
  <c r="AQ24" i="8" s="1"/>
  <c r="AR24" i="8" s="1"/>
  <c r="AS24" i="8" s="1"/>
  <c r="AT24" i="8" s="1"/>
  <c r="AU24" i="8" s="1"/>
  <c r="AV24" i="8" s="1"/>
  <c r="AW24" i="8" s="1"/>
  <c r="AX24" i="8" s="1"/>
  <c r="AY24" i="8" s="1"/>
  <c r="AZ24" i="8" s="1"/>
  <c r="BA24" i="8" s="1"/>
  <c r="BB24" i="8" s="1"/>
  <c r="BC24" i="8" s="1"/>
  <c r="AJ25" i="8"/>
  <c r="AK25" i="8" s="1"/>
  <c r="AL25" i="8" s="1"/>
  <c r="AM25" i="8" s="1"/>
  <c r="AN25" i="8" s="1"/>
  <c r="AO25" i="8" s="1"/>
  <c r="AP25" i="8" s="1"/>
  <c r="AQ25" i="8" s="1"/>
  <c r="AR25" i="8" s="1"/>
  <c r="AS25" i="8" s="1"/>
  <c r="AT25" i="8" s="1"/>
  <c r="AU25" i="8" s="1"/>
  <c r="AV25" i="8" s="1"/>
  <c r="AW25" i="8" s="1"/>
  <c r="AX25" i="8" s="1"/>
  <c r="AY25" i="8" s="1"/>
  <c r="AZ25" i="8" s="1"/>
  <c r="BA25" i="8" s="1"/>
  <c r="BB25" i="8" s="1"/>
  <c r="BC25" i="8" s="1"/>
  <c r="AJ26" i="8"/>
  <c r="AK26" i="8" s="1"/>
  <c r="AL26" i="8" s="1"/>
  <c r="AM26" i="8" s="1"/>
  <c r="AN26" i="8" s="1"/>
  <c r="AO26" i="8" s="1"/>
  <c r="AP26" i="8" s="1"/>
  <c r="AQ26" i="8" s="1"/>
  <c r="AR26" i="8" s="1"/>
  <c r="AS26" i="8" s="1"/>
  <c r="AT26" i="8" s="1"/>
  <c r="AU26" i="8" s="1"/>
  <c r="AV26" i="8" s="1"/>
  <c r="AW26" i="8" s="1"/>
  <c r="AX26" i="8" s="1"/>
  <c r="AY26" i="8" s="1"/>
  <c r="AZ26" i="8" s="1"/>
  <c r="BA26" i="8" s="1"/>
  <c r="BB26" i="8" s="1"/>
  <c r="BC26" i="8" s="1"/>
  <c r="AJ27" i="8"/>
  <c r="AK27" i="8" s="1"/>
  <c r="AL27" i="8" s="1"/>
  <c r="AM27" i="8" s="1"/>
  <c r="AN27" i="8" s="1"/>
  <c r="AO27" i="8" s="1"/>
  <c r="AP27" i="8" s="1"/>
  <c r="AQ27" i="8" s="1"/>
  <c r="AR27" i="8" s="1"/>
  <c r="AS27" i="8" s="1"/>
  <c r="AT27" i="8" s="1"/>
  <c r="AU27" i="8" s="1"/>
  <c r="AV27" i="8" s="1"/>
  <c r="AW27" i="8" s="1"/>
  <c r="AX27" i="8" s="1"/>
  <c r="AY27" i="8" s="1"/>
  <c r="AZ27" i="8" s="1"/>
  <c r="BA27" i="8" s="1"/>
  <c r="BB27" i="8" s="1"/>
  <c r="BC27" i="8" s="1"/>
  <c r="AJ28" i="8"/>
  <c r="AK28" i="8" s="1"/>
  <c r="AL28" i="8" s="1"/>
  <c r="AM28" i="8"/>
  <c r="AN28" i="8"/>
  <c r="AO28" i="8" s="1"/>
  <c r="AP28" i="8" s="1"/>
  <c r="AQ28" i="8" s="1"/>
  <c r="AR28" i="8" s="1"/>
  <c r="AS28" i="8" s="1"/>
  <c r="AT28" i="8" s="1"/>
  <c r="AU28" i="8" s="1"/>
  <c r="AV28" i="8" s="1"/>
  <c r="AW28" i="8" s="1"/>
  <c r="AX28" i="8" s="1"/>
  <c r="AY28" i="8" s="1"/>
  <c r="AZ28" i="8" s="1"/>
  <c r="BA28" i="8" s="1"/>
  <c r="BB28" i="8" s="1"/>
  <c r="BC28" i="8" s="1"/>
  <c r="AJ29" i="8"/>
  <c r="AK29" i="8" s="1"/>
  <c r="AL29" i="8" s="1"/>
  <c r="AM29" i="8"/>
  <c r="AN29" i="8" s="1"/>
  <c r="AO29" i="8" s="1"/>
  <c r="AP29" i="8" s="1"/>
  <c r="AQ29" i="8"/>
  <c r="AR29" i="8" s="1"/>
  <c r="AS29" i="8" s="1"/>
  <c r="AT29" i="8" s="1"/>
  <c r="AU29" i="8" s="1"/>
  <c r="AV29" i="8" s="1"/>
  <c r="AW29" i="8" s="1"/>
  <c r="AX29" i="8" s="1"/>
  <c r="AY29" i="8" s="1"/>
  <c r="AZ29" i="8" s="1"/>
  <c r="BA29" i="8" s="1"/>
  <c r="BB29" i="8" s="1"/>
  <c r="BC29" i="8" s="1"/>
  <c r="AJ30" i="8"/>
  <c r="AK30" i="8" s="1"/>
  <c r="AL30" i="8" s="1"/>
  <c r="AM30" i="8"/>
  <c r="AN30" i="8"/>
  <c r="AO30" i="8" s="1"/>
  <c r="AP30" i="8" s="1"/>
  <c r="AQ30" i="8" s="1"/>
  <c r="AR30" i="8" s="1"/>
  <c r="AS30" i="8" s="1"/>
  <c r="AT30" i="8" s="1"/>
  <c r="AU30" i="8" s="1"/>
  <c r="AV30" i="8" s="1"/>
  <c r="AW30" i="8" s="1"/>
  <c r="AX30" i="8" s="1"/>
  <c r="AY30" i="8" s="1"/>
  <c r="AZ30" i="8" s="1"/>
  <c r="BA30" i="8" s="1"/>
  <c r="BB30" i="8" s="1"/>
  <c r="BC30" i="8" s="1"/>
  <c r="G5" i="8"/>
  <c r="H5" i="8" s="1"/>
  <c r="I5" i="8" s="1"/>
  <c r="J5" i="8" s="1"/>
  <c r="K5" i="8" s="1"/>
  <c r="L5" i="8" s="1"/>
  <c r="M5" i="8" s="1"/>
  <c r="N5" i="8"/>
  <c r="O5" i="8" s="1"/>
  <c r="P5" i="8" s="1"/>
  <c r="Q5" i="8" s="1"/>
  <c r="R5" i="8" s="1"/>
  <c r="S5" i="8" s="1"/>
  <c r="T5" i="8" s="1"/>
  <c r="U5" i="8" s="1"/>
  <c r="V5" i="8" s="1"/>
  <c r="W5" i="8" s="1"/>
  <c r="X5" i="8" s="1"/>
  <c r="Y5" i="8" s="1"/>
  <c r="Z5" i="8" s="1"/>
  <c r="AA5" i="8" s="1"/>
  <c r="AB5" i="8" s="1"/>
  <c r="AC5" i="8" s="1"/>
  <c r="AD5" i="8" s="1"/>
  <c r="AE5" i="8" s="1"/>
  <c r="AF5" i="8" s="1"/>
  <c r="AG5" i="8" s="1"/>
  <c r="AH5" i="8" s="1"/>
  <c r="AI5" i="8" s="1"/>
  <c r="G6" i="8"/>
  <c r="H6" i="8" s="1"/>
  <c r="I6" i="8"/>
  <c r="J6" i="8" s="1"/>
  <c r="K6" i="8" s="1"/>
  <c r="L6" i="8" s="1"/>
  <c r="M6" i="8" s="1"/>
  <c r="N6" i="8" s="1"/>
  <c r="O6" i="8" s="1"/>
  <c r="P6" i="8" s="1"/>
  <c r="Q6" i="8" s="1"/>
  <c r="R6" i="8" s="1"/>
  <c r="S6" i="8" s="1"/>
  <c r="T6" i="8" s="1"/>
  <c r="U6" i="8" s="1"/>
  <c r="V6" i="8" s="1"/>
  <c r="W6" i="8" s="1"/>
  <c r="X6" i="8" s="1"/>
  <c r="Y6" i="8" s="1"/>
  <c r="Z6" i="8" s="1"/>
  <c r="AA6" i="8" s="1"/>
  <c r="AB6" i="8" s="1"/>
  <c r="AC6" i="8" s="1"/>
  <c r="AD6" i="8" s="1"/>
  <c r="AE6" i="8" s="1"/>
  <c r="AF6" i="8" s="1"/>
  <c r="AG6" i="8" s="1"/>
  <c r="AH6" i="8" s="1"/>
  <c r="AI6" i="8" s="1"/>
  <c r="G7" i="8"/>
  <c r="H7" i="8"/>
  <c r="I7" i="8" s="1"/>
  <c r="J7" i="8" s="1"/>
  <c r="K7" i="8" s="1"/>
  <c r="L7" i="8" s="1"/>
  <c r="M7" i="8" s="1"/>
  <c r="N7" i="8" s="1"/>
  <c r="O7" i="8" s="1"/>
  <c r="P7" i="8" s="1"/>
  <c r="Q7" i="8" s="1"/>
  <c r="R7" i="8" s="1"/>
  <c r="S7" i="8" s="1"/>
  <c r="T7" i="8" s="1"/>
  <c r="U7" i="8" s="1"/>
  <c r="V7" i="8" s="1"/>
  <c r="W7" i="8" s="1"/>
  <c r="X7" i="8" s="1"/>
  <c r="Y7" i="8" s="1"/>
  <c r="Z7" i="8" s="1"/>
  <c r="AA7" i="8" s="1"/>
  <c r="AB7" i="8" s="1"/>
  <c r="AC7" i="8" s="1"/>
  <c r="AD7" i="8" s="1"/>
  <c r="AE7" i="8" s="1"/>
  <c r="AF7" i="8" s="1"/>
  <c r="AG7" i="8" s="1"/>
  <c r="AH7" i="8" s="1"/>
  <c r="AI7" i="8" s="1"/>
  <c r="G8" i="8"/>
  <c r="H8" i="8" s="1"/>
  <c r="I8" i="8" s="1"/>
  <c r="J8" i="8" s="1"/>
  <c r="K8" i="8" s="1"/>
  <c r="L8" i="8" s="1"/>
  <c r="M8" i="8" s="1"/>
  <c r="N8" i="8" s="1"/>
  <c r="O8" i="8"/>
  <c r="P8" i="8" s="1"/>
  <c r="Q8" i="8" s="1"/>
  <c r="R8" i="8" s="1"/>
  <c r="S8" i="8" s="1"/>
  <c r="T8" i="8" s="1"/>
  <c r="U8" i="8" s="1"/>
  <c r="V8" i="8" s="1"/>
  <c r="W8" i="8" s="1"/>
  <c r="X8" i="8" s="1"/>
  <c r="Y8" i="8" s="1"/>
  <c r="Z8" i="8" s="1"/>
  <c r="AA8" i="8" s="1"/>
  <c r="AB8" i="8" s="1"/>
  <c r="AC8" i="8" s="1"/>
  <c r="AD8" i="8" s="1"/>
  <c r="AE8" i="8" s="1"/>
  <c r="AF8" i="8" s="1"/>
  <c r="AG8" i="8" s="1"/>
  <c r="AH8" i="8" s="1"/>
  <c r="AI8" i="8" s="1"/>
  <c r="G9" i="8"/>
  <c r="H9" i="8"/>
  <c r="I9" i="8" s="1"/>
  <c r="J9" i="8"/>
  <c r="K9" i="8" s="1"/>
  <c r="L9" i="8" s="1"/>
  <c r="M9" i="8" s="1"/>
  <c r="N9" i="8" s="1"/>
  <c r="O9" i="8" s="1"/>
  <c r="P9" i="8" s="1"/>
  <c r="Q9" i="8" s="1"/>
  <c r="R9" i="8"/>
  <c r="S9" i="8" s="1"/>
  <c r="T9" i="8" s="1"/>
  <c r="U9" i="8" s="1"/>
  <c r="V9" i="8" s="1"/>
  <c r="W9" i="8" s="1"/>
  <c r="X9" i="8" s="1"/>
  <c r="Y9" i="8" s="1"/>
  <c r="Z9" i="8" s="1"/>
  <c r="AA9" i="8" s="1"/>
  <c r="AB9" i="8" s="1"/>
  <c r="AC9" i="8" s="1"/>
  <c r="AD9" i="8" s="1"/>
  <c r="AE9" i="8" s="1"/>
  <c r="AF9" i="8" s="1"/>
  <c r="AG9" i="8" s="1"/>
  <c r="AH9" i="8" s="1"/>
  <c r="AI9" i="8" s="1"/>
  <c r="G10" i="8"/>
  <c r="H10" i="8"/>
  <c r="I10" i="8"/>
  <c r="J10" i="8" s="1"/>
  <c r="K10" i="8" s="1"/>
  <c r="L10" i="8" s="1"/>
  <c r="M10" i="8"/>
  <c r="N10" i="8" s="1"/>
  <c r="O10" i="8" s="1"/>
  <c r="P10" i="8" s="1"/>
  <c r="Q10" i="8" s="1"/>
  <c r="R10" i="8" s="1"/>
  <c r="S10" i="8" s="1"/>
  <c r="T10" i="8" s="1"/>
  <c r="U10" i="8"/>
  <c r="V10" i="8" s="1"/>
  <c r="W10" i="8" s="1"/>
  <c r="X10" i="8" s="1"/>
  <c r="Y10" i="8" s="1"/>
  <c r="Z10" i="8" s="1"/>
  <c r="AA10" i="8" s="1"/>
  <c r="AB10" i="8" s="1"/>
  <c r="AC10" i="8"/>
  <c r="AD10" i="8" s="1"/>
  <c r="AE10" i="8" s="1"/>
  <c r="AF10" i="8" s="1"/>
  <c r="AG10" i="8" s="1"/>
  <c r="AH10" i="8" s="1"/>
  <c r="AI10" i="8" s="1"/>
  <c r="G11" i="8"/>
  <c r="H11" i="8"/>
  <c r="I11" i="8" s="1"/>
  <c r="J11" i="8" s="1"/>
  <c r="K11" i="8" s="1"/>
  <c r="L11" i="8" s="1"/>
  <c r="M11" i="8" s="1"/>
  <c r="N11" i="8" s="1"/>
  <c r="O11" i="8" s="1"/>
  <c r="P11" i="8" s="1"/>
  <c r="Q11" i="8" s="1"/>
  <c r="R11" i="8" s="1"/>
  <c r="S11" i="8" s="1"/>
  <c r="T11" i="8" s="1"/>
  <c r="U11" i="8" s="1"/>
  <c r="V11" i="8" s="1"/>
  <c r="W11" i="8" s="1"/>
  <c r="X11" i="8" s="1"/>
  <c r="Y11" i="8" s="1"/>
  <c r="Z11" i="8" s="1"/>
  <c r="AA11" i="8" s="1"/>
  <c r="AB11" i="8" s="1"/>
  <c r="AC11" i="8" s="1"/>
  <c r="AD11" i="8" s="1"/>
  <c r="AE11" i="8" s="1"/>
  <c r="AF11" i="8" s="1"/>
  <c r="AG11" i="8" s="1"/>
  <c r="AH11" i="8" s="1"/>
  <c r="AI11" i="8" s="1"/>
  <c r="G12" i="8"/>
  <c r="H12" i="8" s="1"/>
  <c r="I12" i="8" s="1"/>
  <c r="J12" i="8" s="1"/>
  <c r="K12" i="8"/>
  <c r="L12" i="8" s="1"/>
  <c r="M12" i="8" s="1"/>
  <c r="N12" i="8" s="1"/>
  <c r="O12" i="8" s="1"/>
  <c r="P12" i="8" s="1"/>
  <c r="Q12" i="8" s="1"/>
  <c r="R12" i="8" s="1"/>
  <c r="S12" i="8"/>
  <c r="T12" i="8" s="1"/>
  <c r="U12" i="8" s="1"/>
  <c r="V12" i="8" s="1"/>
  <c r="W12" i="8" s="1"/>
  <c r="X12" i="8" s="1"/>
  <c r="Y12" i="8" s="1"/>
  <c r="Z12" i="8" s="1"/>
  <c r="AA12" i="8" s="1"/>
  <c r="AB12" i="8" s="1"/>
  <c r="AC12" i="8" s="1"/>
  <c r="AD12" i="8" s="1"/>
  <c r="AE12" i="8" s="1"/>
  <c r="AF12" i="8" s="1"/>
  <c r="AG12" i="8" s="1"/>
  <c r="AH12" i="8" s="1"/>
  <c r="AI12" i="8" s="1"/>
  <c r="G13" i="8"/>
  <c r="H13" i="8" s="1"/>
  <c r="I13" i="8" s="1"/>
  <c r="J13" i="8" s="1"/>
  <c r="K13" i="8" s="1"/>
  <c r="L13" i="8" s="1"/>
  <c r="M13" i="8" s="1"/>
  <c r="N13" i="8"/>
  <c r="O13" i="8" s="1"/>
  <c r="P13" i="8" s="1"/>
  <c r="Q13" i="8" s="1"/>
  <c r="R13" i="8" s="1"/>
  <c r="S13" i="8" s="1"/>
  <c r="T13" i="8" s="1"/>
  <c r="U13" i="8" s="1"/>
  <c r="V13" i="8" s="1"/>
  <c r="W13" i="8" s="1"/>
  <c r="X13" i="8" s="1"/>
  <c r="Y13" i="8" s="1"/>
  <c r="Z13" i="8" s="1"/>
  <c r="AA13" i="8" s="1"/>
  <c r="AB13" i="8" s="1"/>
  <c r="AC13" i="8" s="1"/>
  <c r="AD13" i="8" s="1"/>
  <c r="AE13" i="8" s="1"/>
  <c r="AF13" i="8" s="1"/>
  <c r="AG13" i="8" s="1"/>
  <c r="AH13" i="8" s="1"/>
  <c r="AI13" i="8" s="1"/>
  <c r="G14" i="8"/>
  <c r="H14" i="8" s="1"/>
  <c r="I14" i="8"/>
  <c r="J14" i="8" s="1"/>
  <c r="K14" i="8" s="1"/>
  <c r="L14" i="8" s="1"/>
  <c r="M14" i="8" s="1"/>
  <c r="N14" i="8" s="1"/>
  <c r="O14" i="8" s="1"/>
  <c r="P14" i="8" s="1"/>
  <c r="Q14" i="8" s="1"/>
  <c r="R14" i="8" s="1"/>
  <c r="S14" i="8" s="1"/>
  <c r="T14" i="8" s="1"/>
  <c r="U14" i="8" s="1"/>
  <c r="V14" i="8" s="1"/>
  <c r="W14" i="8" s="1"/>
  <c r="X14" i="8" s="1"/>
  <c r="Y14" i="8" s="1"/>
  <c r="Z14" i="8" s="1"/>
  <c r="AA14" i="8" s="1"/>
  <c r="AB14" i="8" s="1"/>
  <c r="AC14" i="8" s="1"/>
  <c r="AD14" i="8" s="1"/>
  <c r="AE14" i="8" s="1"/>
  <c r="AF14" i="8" s="1"/>
  <c r="AG14" i="8" s="1"/>
  <c r="AH14" i="8" s="1"/>
  <c r="AI14" i="8" s="1"/>
  <c r="G15" i="8"/>
  <c r="H15" i="8"/>
  <c r="I15" i="8" s="1"/>
  <c r="J15" i="8" s="1"/>
  <c r="K15" i="8" s="1"/>
  <c r="L15" i="8"/>
  <c r="M15" i="8" s="1"/>
  <c r="N15" i="8" s="1"/>
  <c r="O15" i="8" s="1"/>
  <c r="P15" i="8" s="1"/>
  <c r="Q15" i="8" s="1"/>
  <c r="R15" i="8" s="1"/>
  <c r="S15" i="8" s="1"/>
  <c r="T15" i="8"/>
  <c r="U15" i="8" s="1"/>
  <c r="V15" i="8" s="1"/>
  <c r="W15" i="8" s="1"/>
  <c r="X15" i="8" s="1"/>
  <c r="Y15" i="8" s="1"/>
  <c r="Z15" i="8" s="1"/>
  <c r="AA15" i="8" s="1"/>
  <c r="AB15" i="8"/>
  <c r="AC15" i="8" s="1"/>
  <c r="AD15" i="8" s="1"/>
  <c r="AE15" i="8" s="1"/>
  <c r="AF15" i="8" s="1"/>
  <c r="AG15" i="8" s="1"/>
  <c r="AH15" i="8" s="1"/>
  <c r="AI15" i="8" s="1"/>
  <c r="G16" i="8"/>
  <c r="H16" i="8" s="1"/>
  <c r="I16" i="8" s="1"/>
  <c r="J16" i="8" s="1"/>
  <c r="K16" i="8" s="1"/>
  <c r="L16" i="8" s="1"/>
  <c r="M16" i="8" s="1"/>
  <c r="N16" i="8" s="1"/>
  <c r="O16" i="8"/>
  <c r="P16" i="8" s="1"/>
  <c r="Q16" i="8" s="1"/>
  <c r="R16" i="8" s="1"/>
  <c r="S16" i="8" s="1"/>
  <c r="T16" i="8" s="1"/>
  <c r="U16" i="8" s="1"/>
  <c r="V16" i="8" s="1"/>
  <c r="W16" i="8" s="1"/>
  <c r="X16" i="8" s="1"/>
  <c r="Y16" i="8" s="1"/>
  <c r="Z16" i="8" s="1"/>
  <c r="AA16" i="8" s="1"/>
  <c r="AB16" i="8" s="1"/>
  <c r="AC16" i="8" s="1"/>
  <c r="AD16" i="8" s="1"/>
  <c r="AE16" i="8" s="1"/>
  <c r="AF16" i="8" s="1"/>
  <c r="AG16" i="8" s="1"/>
  <c r="AH16" i="8" s="1"/>
  <c r="AI16" i="8" s="1"/>
  <c r="G17" i="8"/>
  <c r="H17" i="8"/>
  <c r="I17" i="8" s="1"/>
  <c r="J17" i="8"/>
  <c r="K17" i="8" s="1"/>
  <c r="L17" i="8" s="1"/>
  <c r="M17" i="8" s="1"/>
  <c r="N17" i="8" s="1"/>
  <c r="O17" i="8" s="1"/>
  <c r="P17" i="8" s="1"/>
  <c r="Q17" i="8" s="1"/>
  <c r="R17" i="8"/>
  <c r="S17" i="8" s="1"/>
  <c r="T17" i="8" s="1"/>
  <c r="U17" i="8" s="1"/>
  <c r="V17" i="8" s="1"/>
  <c r="W17" i="8" s="1"/>
  <c r="X17" i="8" s="1"/>
  <c r="Y17" i="8" s="1"/>
  <c r="Z17" i="8" s="1"/>
  <c r="AA17" i="8" s="1"/>
  <c r="AB17" i="8" s="1"/>
  <c r="AC17" i="8" s="1"/>
  <c r="AD17" i="8" s="1"/>
  <c r="AE17" i="8" s="1"/>
  <c r="AF17" i="8" s="1"/>
  <c r="AG17" i="8" s="1"/>
  <c r="AH17" i="8" s="1"/>
  <c r="AI17" i="8" s="1"/>
  <c r="G18" i="8"/>
  <c r="H18" i="8"/>
  <c r="I18" i="8"/>
  <c r="J18" i="8" s="1"/>
  <c r="K18" i="8" s="1"/>
  <c r="L18" i="8" s="1"/>
  <c r="M18" i="8"/>
  <c r="N18" i="8" s="1"/>
  <c r="O18" i="8" s="1"/>
  <c r="P18" i="8" s="1"/>
  <c r="Q18" i="8" s="1"/>
  <c r="R18" i="8" s="1"/>
  <c r="S18" i="8" s="1"/>
  <c r="T18" i="8" s="1"/>
  <c r="U18" i="8"/>
  <c r="V18" i="8" s="1"/>
  <c r="W18" i="8" s="1"/>
  <c r="X18" i="8" s="1"/>
  <c r="Y18" i="8" s="1"/>
  <c r="Z18" i="8" s="1"/>
  <c r="AA18" i="8" s="1"/>
  <c r="AB18" i="8" s="1"/>
  <c r="AC18" i="8"/>
  <c r="AD18" i="8" s="1"/>
  <c r="AE18" i="8" s="1"/>
  <c r="AF18" i="8" s="1"/>
  <c r="AG18" i="8" s="1"/>
  <c r="AH18" i="8" s="1"/>
  <c r="AI18" i="8" s="1"/>
  <c r="G19" i="8"/>
  <c r="H19" i="8"/>
  <c r="I19" i="8" s="1"/>
  <c r="J19" i="8" s="1"/>
  <c r="K19" i="8" s="1"/>
  <c r="L19" i="8" s="1"/>
  <c r="M19" i="8" s="1"/>
  <c r="N19" i="8" s="1"/>
  <c r="O19" i="8" s="1"/>
  <c r="P19" i="8" s="1"/>
  <c r="Q19" i="8" s="1"/>
  <c r="R19" i="8" s="1"/>
  <c r="S19" i="8" s="1"/>
  <c r="T19" i="8" s="1"/>
  <c r="U19" i="8" s="1"/>
  <c r="V19" i="8" s="1"/>
  <c r="W19" i="8" s="1"/>
  <c r="X19" i="8" s="1"/>
  <c r="Y19" i="8" s="1"/>
  <c r="Z19" i="8" s="1"/>
  <c r="AA19" i="8" s="1"/>
  <c r="AB19" i="8" s="1"/>
  <c r="AC19" i="8" s="1"/>
  <c r="AD19" i="8" s="1"/>
  <c r="AE19" i="8" s="1"/>
  <c r="AF19" i="8" s="1"/>
  <c r="AG19" i="8" s="1"/>
  <c r="AH19" i="8" s="1"/>
  <c r="AI19" i="8" s="1"/>
  <c r="G20" i="8"/>
  <c r="H20" i="8" s="1"/>
  <c r="I20" i="8"/>
  <c r="J20" i="8" s="1"/>
  <c r="K20" i="8"/>
  <c r="L20" i="8" s="1"/>
  <c r="M20" i="8" s="1"/>
  <c r="N20" i="8" s="1"/>
  <c r="O20" i="8" s="1"/>
  <c r="P20" i="8" s="1"/>
  <c r="Q20" i="8" s="1"/>
  <c r="R20" i="8" s="1"/>
  <c r="S20" i="8" s="1"/>
  <c r="T20" i="8" s="1"/>
  <c r="U20" i="8" s="1"/>
  <c r="V20" i="8" s="1"/>
  <c r="W20" i="8" s="1"/>
  <c r="X20" i="8" s="1"/>
  <c r="Y20" i="8" s="1"/>
  <c r="Z20" i="8" s="1"/>
  <c r="AA20" i="8" s="1"/>
  <c r="AB20" i="8" s="1"/>
  <c r="AC20" i="8" s="1"/>
  <c r="AD20" i="8" s="1"/>
  <c r="AE20" i="8" s="1"/>
  <c r="AF20" i="8" s="1"/>
  <c r="AG20" i="8" s="1"/>
  <c r="AH20" i="8" s="1"/>
  <c r="AI20" i="8" s="1"/>
  <c r="G21" i="8"/>
  <c r="H21" i="8" s="1"/>
  <c r="I21" i="8" s="1"/>
  <c r="J21" i="8" s="1"/>
  <c r="K21" i="8" s="1"/>
  <c r="L21" i="8"/>
  <c r="M21" i="8" s="1"/>
  <c r="N21" i="8" s="1"/>
  <c r="O21" i="8" s="1"/>
  <c r="P21" i="8" s="1"/>
  <c r="Q21" i="8" s="1"/>
  <c r="R21" i="8" s="1"/>
  <c r="S21" i="8" s="1"/>
  <c r="T21" i="8" s="1"/>
  <c r="U21" i="8" s="1"/>
  <c r="V21" i="8" s="1"/>
  <c r="W21" i="8" s="1"/>
  <c r="X21" i="8" s="1"/>
  <c r="Y21" i="8" s="1"/>
  <c r="Z21" i="8" s="1"/>
  <c r="AA21" i="8" s="1"/>
  <c r="AB21" i="8" s="1"/>
  <c r="AC21" i="8" s="1"/>
  <c r="AD21" i="8" s="1"/>
  <c r="AE21" i="8" s="1"/>
  <c r="AF21" i="8" s="1"/>
  <c r="AG21" i="8" s="1"/>
  <c r="AH21" i="8" s="1"/>
  <c r="AI21" i="8" s="1"/>
  <c r="G22" i="8"/>
  <c r="H22" i="8" s="1"/>
  <c r="I22" i="8"/>
  <c r="J22" i="8" s="1"/>
  <c r="K22" i="8" s="1"/>
  <c r="L22" i="8" s="1"/>
  <c r="M22" i="8" s="1"/>
  <c r="N22" i="8" s="1"/>
  <c r="O22" i="8"/>
  <c r="P22" i="8" s="1"/>
  <c r="Q22" i="8" s="1"/>
  <c r="R22" i="8" s="1"/>
  <c r="S22" i="8" s="1"/>
  <c r="T22" i="8" s="1"/>
  <c r="U22" i="8" s="1"/>
  <c r="V22" i="8" s="1"/>
  <c r="W22" i="8" s="1"/>
  <c r="X22" i="8" s="1"/>
  <c r="Y22" i="8" s="1"/>
  <c r="Z22" i="8" s="1"/>
  <c r="AA22" i="8" s="1"/>
  <c r="AB22" i="8" s="1"/>
  <c r="AC22" i="8" s="1"/>
  <c r="AD22" i="8" s="1"/>
  <c r="AE22" i="8" s="1"/>
  <c r="AF22" i="8" s="1"/>
  <c r="AG22" i="8" s="1"/>
  <c r="AH22" i="8" s="1"/>
  <c r="AI22" i="8" s="1"/>
  <c r="G23" i="8"/>
  <c r="H23" i="8"/>
  <c r="I23" i="8" s="1"/>
  <c r="J23" i="8"/>
  <c r="K23" i="8" s="1"/>
  <c r="L23" i="8" s="1"/>
  <c r="M23" i="8" s="1"/>
  <c r="N23" i="8" s="1"/>
  <c r="O23" i="8" s="1"/>
  <c r="P23" i="8" s="1"/>
  <c r="Q23" i="8" s="1"/>
  <c r="R23" i="8" s="1"/>
  <c r="S23" i="8" s="1"/>
  <c r="T23" i="8" s="1"/>
  <c r="U23" i="8" s="1"/>
  <c r="V23" i="8" s="1"/>
  <c r="W23" i="8" s="1"/>
  <c r="X23" i="8" s="1"/>
  <c r="Y23" i="8" s="1"/>
  <c r="Z23" i="8" s="1"/>
  <c r="AA23" i="8" s="1"/>
  <c r="AB23" i="8" s="1"/>
  <c r="AC23" i="8" s="1"/>
  <c r="AD23" i="8" s="1"/>
  <c r="AE23" i="8" s="1"/>
  <c r="AF23" i="8" s="1"/>
  <c r="AG23" i="8" s="1"/>
  <c r="AH23" i="8" s="1"/>
  <c r="AI23" i="8" s="1"/>
  <c r="G24" i="8"/>
  <c r="H24" i="8" s="1"/>
  <c r="I24" i="8" s="1"/>
  <c r="J24" i="8" s="1"/>
  <c r="K24" i="8" s="1"/>
  <c r="L24" i="8" s="1"/>
  <c r="M24" i="8"/>
  <c r="N24" i="8" s="1"/>
  <c r="O24" i="8" s="1"/>
  <c r="P24" i="8" s="1"/>
  <c r="Q24" i="8" s="1"/>
  <c r="R24" i="8" s="1"/>
  <c r="S24" i="8" s="1"/>
  <c r="T24" i="8" s="1"/>
  <c r="U24" i="8" s="1"/>
  <c r="V24" i="8" s="1"/>
  <c r="W24" i="8" s="1"/>
  <c r="X24" i="8" s="1"/>
  <c r="Y24" i="8" s="1"/>
  <c r="Z24" i="8" s="1"/>
  <c r="AA24" i="8" s="1"/>
  <c r="AB24" i="8" s="1"/>
  <c r="AC24" i="8" s="1"/>
  <c r="AD24" i="8" s="1"/>
  <c r="AE24" i="8" s="1"/>
  <c r="AF24" i="8" s="1"/>
  <c r="AG24" i="8" s="1"/>
  <c r="AH24" i="8" s="1"/>
  <c r="AI24" i="8" s="1"/>
  <c r="G25" i="8"/>
  <c r="H25" i="8"/>
  <c r="I25" i="8" s="1"/>
  <c r="J25" i="8"/>
  <c r="K25" i="8" s="1"/>
  <c r="L25" i="8" s="1"/>
  <c r="M25" i="8" s="1"/>
  <c r="N25" i="8" s="1"/>
  <c r="O25" i="8" s="1"/>
  <c r="P25" i="8" s="1"/>
  <c r="Q25" i="8" s="1"/>
  <c r="R25" i="8" s="1"/>
  <c r="S25" i="8" s="1"/>
  <c r="T25" i="8" s="1"/>
  <c r="U25" i="8" s="1"/>
  <c r="V25" i="8" s="1"/>
  <c r="W25" i="8" s="1"/>
  <c r="X25" i="8" s="1"/>
  <c r="Y25" i="8" s="1"/>
  <c r="Z25" i="8" s="1"/>
  <c r="AA25" i="8" s="1"/>
  <c r="AB25" i="8" s="1"/>
  <c r="AC25" i="8" s="1"/>
  <c r="AD25" i="8" s="1"/>
  <c r="AE25" i="8" s="1"/>
  <c r="AF25" i="8" s="1"/>
  <c r="AG25" i="8" s="1"/>
  <c r="AH25" i="8" s="1"/>
  <c r="AI25" i="8" s="1"/>
  <c r="G26" i="8"/>
  <c r="H26" i="8" s="1"/>
  <c r="I26" i="8" s="1"/>
  <c r="J26" i="8" s="1"/>
  <c r="K26" i="8"/>
  <c r="L26" i="8" s="1"/>
  <c r="M26" i="8" s="1"/>
  <c r="N26" i="8" s="1"/>
  <c r="O26" i="8" s="1"/>
  <c r="P26" i="8" s="1"/>
  <c r="Q26" i="8" s="1"/>
  <c r="R26" i="8" s="1"/>
  <c r="S26" i="8" s="1"/>
  <c r="T26" i="8" s="1"/>
  <c r="U26" i="8" s="1"/>
  <c r="V26" i="8" s="1"/>
  <c r="W26" i="8" s="1"/>
  <c r="X26" i="8" s="1"/>
  <c r="Y26" i="8" s="1"/>
  <c r="Z26" i="8" s="1"/>
  <c r="AA26" i="8" s="1"/>
  <c r="AB26" i="8" s="1"/>
  <c r="AC26" i="8" s="1"/>
  <c r="AD26" i="8" s="1"/>
  <c r="AE26" i="8" s="1"/>
  <c r="AF26" i="8" s="1"/>
  <c r="AG26" i="8" s="1"/>
  <c r="AH26" i="8" s="1"/>
  <c r="AI26" i="8" s="1"/>
  <c r="G27" i="8"/>
  <c r="H27" i="8"/>
  <c r="I27" i="8" s="1"/>
  <c r="J27" i="8" s="1"/>
  <c r="K27" i="8" s="1"/>
  <c r="L27" i="8" s="1"/>
  <c r="M27" i="8" s="1"/>
  <c r="N27" i="8" s="1"/>
  <c r="O27" i="8" s="1"/>
  <c r="P27" i="8" s="1"/>
  <c r="Q27" i="8" s="1"/>
  <c r="R27" i="8" s="1"/>
  <c r="S27" i="8" s="1"/>
  <c r="T27" i="8" s="1"/>
  <c r="U27" i="8" s="1"/>
  <c r="V27" i="8" s="1"/>
  <c r="W27" i="8" s="1"/>
  <c r="X27" i="8" s="1"/>
  <c r="Y27" i="8" s="1"/>
  <c r="Z27" i="8" s="1"/>
  <c r="AA27" i="8" s="1"/>
  <c r="AB27" i="8" s="1"/>
  <c r="AC27" i="8" s="1"/>
  <c r="AD27" i="8" s="1"/>
  <c r="AE27" i="8" s="1"/>
  <c r="AF27" i="8" s="1"/>
  <c r="AG27" i="8" s="1"/>
  <c r="AH27" i="8" s="1"/>
  <c r="AI27" i="8" s="1"/>
  <c r="G28" i="8"/>
  <c r="H28" i="8" s="1"/>
  <c r="I28" i="8" s="1"/>
  <c r="J28" i="8" s="1"/>
  <c r="K28" i="8" s="1"/>
  <c r="L28" i="8" s="1"/>
  <c r="M28" i="8" s="1"/>
  <c r="N28" i="8" s="1"/>
  <c r="O28" i="8" s="1"/>
  <c r="P28" i="8" s="1"/>
  <c r="Q28" i="8" s="1"/>
  <c r="R28" i="8" s="1"/>
  <c r="S28" i="8" s="1"/>
  <c r="T28" i="8" s="1"/>
  <c r="U28" i="8" s="1"/>
  <c r="V28" i="8" s="1"/>
  <c r="W28" i="8" s="1"/>
  <c r="X28" i="8" s="1"/>
  <c r="Y28" i="8" s="1"/>
  <c r="Z28" i="8" s="1"/>
  <c r="AA28" i="8" s="1"/>
  <c r="AB28" i="8" s="1"/>
  <c r="AC28" i="8" s="1"/>
  <c r="AD28" i="8" s="1"/>
  <c r="AE28" i="8" s="1"/>
  <c r="AF28" i="8" s="1"/>
  <c r="AG28" i="8" s="1"/>
  <c r="AH28" i="8" s="1"/>
  <c r="AI28" i="8" s="1"/>
  <c r="G29" i="8"/>
  <c r="H29" i="8" s="1"/>
  <c r="I29" i="8" s="1"/>
  <c r="J29" i="8"/>
  <c r="K29" i="8" s="1"/>
  <c r="L29" i="8" s="1"/>
  <c r="M29" i="8" s="1"/>
  <c r="N29" i="8" s="1"/>
  <c r="O29" i="8" s="1"/>
  <c r="P29" i="8" s="1"/>
  <c r="Q29" i="8" s="1"/>
  <c r="R29" i="8" s="1"/>
  <c r="S29" i="8" s="1"/>
  <c r="T29" i="8" s="1"/>
  <c r="U29" i="8" s="1"/>
  <c r="V29" i="8" s="1"/>
  <c r="W29" i="8" s="1"/>
  <c r="X29" i="8" s="1"/>
  <c r="Y29" i="8" s="1"/>
  <c r="Z29" i="8" s="1"/>
  <c r="AA29" i="8" s="1"/>
  <c r="AB29" i="8" s="1"/>
  <c r="AC29" i="8" s="1"/>
  <c r="AD29" i="8" s="1"/>
  <c r="AE29" i="8" s="1"/>
  <c r="AF29" i="8" s="1"/>
  <c r="AG29" i="8" s="1"/>
  <c r="AH29" i="8" s="1"/>
  <c r="AI29" i="8" s="1"/>
  <c r="G30" i="8"/>
  <c r="H30" i="8"/>
  <c r="I30" i="8" s="1"/>
  <c r="J30" i="8" s="1"/>
  <c r="K30" i="8" s="1"/>
  <c r="L30" i="8" s="1"/>
  <c r="M30" i="8" s="1"/>
  <c r="N30" i="8" s="1"/>
  <c r="O30" i="8" s="1"/>
  <c r="P30" i="8" s="1"/>
  <c r="Q30" i="8" s="1"/>
  <c r="R30" i="8" s="1"/>
  <c r="S30" i="8" s="1"/>
  <c r="T30" i="8" s="1"/>
  <c r="U30" i="8" s="1"/>
  <c r="V30" i="8" s="1"/>
  <c r="W30" i="8" s="1"/>
  <c r="X30" i="8" s="1"/>
  <c r="Y30" i="8" s="1"/>
  <c r="Z30" i="8" s="1"/>
  <c r="AA30" i="8" s="1"/>
  <c r="AB30" i="8" s="1"/>
  <c r="AC30" i="8" s="1"/>
  <c r="AD30" i="8" s="1"/>
  <c r="AE30" i="8" s="1"/>
  <c r="AF30" i="8" s="1"/>
  <c r="AG30" i="8" s="1"/>
  <c r="AH30" i="8" s="1"/>
  <c r="AI30" i="8" s="1"/>
  <c r="L4" i="8"/>
  <c r="M4" i="8" s="1"/>
  <c r="N4" i="8" s="1"/>
  <c r="O4" i="8" s="1"/>
  <c r="P4" i="8" s="1"/>
  <c r="Q4" i="8" s="1"/>
  <c r="R4" i="8" s="1"/>
  <c r="S4" i="8" s="1"/>
  <c r="T4" i="8" s="1"/>
  <c r="U4" i="8" s="1"/>
  <c r="V4" i="8" s="1"/>
  <c r="W4" i="8" s="1"/>
  <c r="X4" i="8" s="1"/>
  <c r="Y4" i="8" s="1"/>
  <c r="Z4" i="8" s="1"/>
  <c r="AA4" i="8" s="1"/>
  <c r="AB4" i="8" s="1"/>
  <c r="AC4" i="8" s="1"/>
  <c r="AD4" i="8" s="1"/>
  <c r="AE4" i="8" s="1"/>
  <c r="AF4" i="8" s="1"/>
  <c r="AG4" i="8" s="1"/>
  <c r="AH4" i="8" s="1"/>
  <c r="AI4" i="8" s="1"/>
  <c r="AJ4" i="8" s="1"/>
  <c r="AK4" i="8" s="1"/>
  <c r="AL4" i="8" s="1"/>
  <c r="AM4" i="8" s="1"/>
  <c r="AN4" i="8" s="1"/>
  <c r="AO4" i="8" s="1"/>
  <c r="AP4" i="8" s="1"/>
  <c r="AQ4" i="8" s="1"/>
  <c r="AR4" i="8" s="1"/>
  <c r="AS4" i="8" s="1"/>
  <c r="AT4" i="8" s="1"/>
  <c r="AU4" i="8" s="1"/>
  <c r="AV4" i="8" s="1"/>
  <c r="AW4" i="8" s="1"/>
  <c r="AX4" i="8" s="1"/>
  <c r="AY4" i="8" s="1"/>
  <c r="AZ4" i="8" s="1"/>
  <c r="BA4" i="8" s="1"/>
  <c r="BB4" i="8" s="1"/>
  <c r="BC4" i="8" s="1"/>
  <c r="H4" i="8"/>
  <c r="I4" i="8" s="1"/>
  <c r="J4" i="8" s="1"/>
  <c r="K4" i="8" s="1"/>
  <c r="G4" i="8"/>
  <c r="L4" i="9"/>
  <c r="M4" i="9" s="1"/>
  <c r="N4" i="9" s="1"/>
  <c r="O4" i="9" s="1"/>
  <c r="L5" i="9"/>
  <c r="M5" i="9"/>
  <c r="N5" i="9" s="1"/>
  <c r="O5" i="9" s="1"/>
  <c r="L6" i="9"/>
  <c r="M6" i="9" s="1"/>
  <c r="N6" i="9" s="1"/>
  <c r="O6" i="9" s="1"/>
  <c r="L7" i="9"/>
  <c r="M7" i="9"/>
  <c r="N7" i="9" s="1"/>
  <c r="O7" i="9" s="1"/>
  <c r="L8" i="9"/>
  <c r="M8" i="9" s="1"/>
  <c r="N8" i="9" s="1"/>
  <c r="O8" i="9" s="1"/>
  <c r="L9" i="9"/>
  <c r="M9" i="9"/>
  <c r="N9" i="9" s="1"/>
  <c r="O9" i="9" s="1"/>
  <c r="L10" i="9"/>
  <c r="M10" i="9" s="1"/>
  <c r="N10" i="9" s="1"/>
  <c r="O10" i="9" s="1"/>
  <c r="L11" i="9"/>
  <c r="M11" i="9"/>
  <c r="N11" i="9" s="1"/>
  <c r="O11" i="9" s="1"/>
  <c r="L12" i="9"/>
  <c r="M12" i="9" s="1"/>
  <c r="N12" i="9" s="1"/>
  <c r="O12" i="9" s="1"/>
  <c r="L13" i="9"/>
  <c r="M13" i="9"/>
  <c r="N13" i="9" s="1"/>
  <c r="O13" i="9" s="1"/>
  <c r="L14" i="9"/>
  <c r="M14" i="9" s="1"/>
  <c r="N14" i="9" s="1"/>
  <c r="O14" i="9" s="1"/>
  <c r="L15" i="9"/>
  <c r="M15" i="9"/>
  <c r="N15" i="9" s="1"/>
  <c r="O15" i="9" s="1"/>
  <c r="L16" i="9"/>
  <c r="M16" i="9" s="1"/>
  <c r="N16" i="9" s="1"/>
  <c r="O16" i="9" s="1"/>
  <c r="L17" i="9"/>
  <c r="M17" i="9"/>
  <c r="N17" i="9" s="1"/>
  <c r="O17" i="9" s="1"/>
  <c r="L18" i="9"/>
  <c r="M18" i="9" s="1"/>
  <c r="N18" i="9" s="1"/>
  <c r="O18" i="9" s="1"/>
  <c r="L19" i="9"/>
  <c r="M19" i="9"/>
  <c r="N19" i="9" s="1"/>
  <c r="O19" i="9" s="1"/>
  <c r="L20" i="9"/>
  <c r="M20" i="9" s="1"/>
  <c r="N20" i="9" s="1"/>
  <c r="O20" i="9" s="1"/>
  <c r="L21" i="9"/>
  <c r="M21" i="9"/>
  <c r="N21" i="9" s="1"/>
  <c r="O21" i="9" s="1"/>
  <c r="L22" i="9"/>
  <c r="M22" i="9" s="1"/>
  <c r="N22" i="9" s="1"/>
  <c r="O22" i="9" s="1"/>
  <c r="L23" i="9"/>
  <c r="M23" i="9"/>
  <c r="N23" i="9" s="1"/>
  <c r="O23" i="9" s="1"/>
  <c r="L24" i="9"/>
  <c r="M24" i="9" s="1"/>
  <c r="N24" i="9" s="1"/>
  <c r="O24" i="9" s="1"/>
  <c r="L25" i="9"/>
  <c r="M25" i="9"/>
  <c r="N25" i="9" s="1"/>
  <c r="O25" i="9" s="1"/>
  <c r="L26" i="9"/>
  <c r="M26" i="9" s="1"/>
  <c r="N26" i="9" s="1"/>
  <c r="O26" i="9" s="1"/>
  <c r="L27" i="9"/>
  <c r="M27" i="9"/>
  <c r="N27" i="9" s="1"/>
  <c r="O27" i="9" s="1"/>
  <c r="L28" i="9"/>
  <c r="M28" i="9" s="1"/>
  <c r="N28" i="9" s="1"/>
  <c r="O28" i="9" s="1"/>
  <c r="L29" i="9"/>
  <c r="M29" i="9"/>
  <c r="N29" i="9" s="1"/>
  <c r="O29" i="9" s="1"/>
  <c r="M3" i="9"/>
  <c r="N3" i="9"/>
  <c r="O3" i="9" s="1"/>
  <c r="Q4" i="9"/>
  <c r="R4" i="9" s="1"/>
  <c r="S4" i="9" s="1"/>
  <c r="T4" i="9" s="1"/>
  <c r="Q5" i="9"/>
  <c r="R5" i="9" s="1"/>
  <c r="S5" i="9" s="1"/>
  <c r="T5" i="9" s="1"/>
  <c r="Q6" i="9"/>
  <c r="R6" i="9" s="1"/>
  <c r="S6" i="9" s="1"/>
  <c r="T6" i="9" s="1"/>
  <c r="Q7" i="9"/>
  <c r="R7" i="9" s="1"/>
  <c r="S7" i="9" s="1"/>
  <c r="T7" i="9" s="1"/>
  <c r="Q8" i="9"/>
  <c r="R8" i="9" s="1"/>
  <c r="S8" i="9" s="1"/>
  <c r="T8" i="9" s="1"/>
  <c r="Q9" i="9"/>
  <c r="R9" i="9" s="1"/>
  <c r="S9" i="9" s="1"/>
  <c r="T9" i="9" s="1"/>
  <c r="Q10" i="9"/>
  <c r="R10" i="9" s="1"/>
  <c r="S10" i="9" s="1"/>
  <c r="T10" i="9" s="1"/>
  <c r="Q11" i="9"/>
  <c r="R11" i="9" s="1"/>
  <c r="S11" i="9" s="1"/>
  <c r="T11" i="9" s="1"/>
  <c r="Q12" i="9"/>
  <c r="R12" i="9" s="1"/>
  <c r="S12" i="9" s="1"/>
  <c r="T12" i="9" s="1"/>
  <c r="Q13" i="9"/>
  <c r="R13" i="9" s="1"/>
  <c r="S13" i="9" s="1"/>
  <c r="T13" i="9" s="1"/>
  <c r="Q14" i="9"/>
  <c r="R14" i="9" s="1"/>
  <c r="S14" i="9" s="1"/>
  <c r="T14" i="9" s="1"/>
  <c r="Q15" i="9"/>
  <c r="R15" i="9" s="1"/>
  <c r="S15" i="9" s="1"/>
  <c r="T15" i="9" s="1"/>
  <c r="Q16" i="9"/>
  <c r="R16" i="9" s="1"/>
  <c r="S16" i="9" s="1"/>
  <c r="T16" i="9" s="1"/>
  <c r="Q17" i="9"/>
  <c r="R17" i="9" s="1"/>
  <c r="S17" i="9" s="1"/>
  <c r="T17" i="9" s="1"/>
  <c r="Q18" i="9"/>
  <c r="R18" i="9" s="1"/>
  <c r="S18" i="9" s="1"/>
  <c r="T18" i="9" s="1"/>
  <c r="Q19" i="9"/>
  <c r="R19" i="9" s="1"/>
  <c r="S19" i="9" s="1"/>
  <c r="T19" i="9" s="1"/>
  <c r="Q20" i="9"/>
  <c r="R20" i="9" s="1"/>
  <c r="S20" i="9" s="1"/>
  <c r="T20" i="9" s="1"/>
  <c r="Q21" i="9"/>
  <c r="R21" i="9" s="1"/>
  <c r="S21" i="9" s="1"/>
  <c r="T21" i="9" s="1"/>
  <c r="Q22" i="9"/>
  <c r="R22" i="9" s="1"/>
  <c r="S22" i="9" s="1"/>
  <c r="T22" i="9" s="1"/>
  <c r="Q23" i="9"/>
  <c r="R23" i="9" s="1"/>
  <c r="S23" i="9" s="1"/>
  <c r="T23" i="9" s="1"/>
  <c r="Q24" i="9"/>
  <c r="R24" i="9" s="1"/>
  <c r="S24" i="9" s="1"/>
  <c r="T24" i="9" s="1"/>
  <c r="Q25" i="9"/>
  <c r="R25" i="9" s="1"/>
  <c r="S25" i="9" s="1"/>
  <c r="T25" i="9" s="1"/>
  <c r="Q26" i="9"/>
  <c r="R26" i="9" s="1"/>
  <c r="S26" i="9" s="1"/>
  <c r="T26" i="9" s="1"/>
  <c r="Q27" i="9"/>
  <c r="R27" i="9" s="1"/>
  <c r="S27" i="9" s="1"/>
  <c r="T27" i="9" s="1"/>
  <c r="Q28" i="9"/>
  <c r="R28" i="9" s="1"/>
  <c r="S28" i="9" s="1"/>
  <c r="T28" i="9" s="1"/>
  <c r="Q29" i="9"/>
  <c r="R29" i="9" s="1"/>
  <c r="S29" i="9" s="1"/>
  <c r="T29" i="9" s="1"/>
  <c r="R3" i="9"/>
  <c r="S3" i="9" s="1"/>
  <c r="T3" i="9" s="1"/>
  <c r="V4" i="9"/>
  <c r="W4" i="9" s="1"/>
  <c r="X4" i="9" s="1"/>
  <c r="Y4" i="9" s="1"/>
  <c r="V5" i="9"/>
  <c r="W5" i="9"/>
  <c r="X5" i="9" s="1"/>
  <c r="Y5" i="9" s="1"/>
  <c r="V6" i="9"/>
  <c r="W6" i="9"/>
  <c r="X6" i="9" s="1"/>
  <c r="Y6" i="9" s="1"/>
  <c r="V7" i="9"/>
  <c r="W7" i="9"/>
  <c r="X7" i="9" s="1"/>
  <c r="Y7" i="9" s="1"/>
  <c r="V8" i="9"/>
  <c r="W8" i="9"/>
  <c r="X8" i="9" s="1"/>
  <c r="Y8" i="9" s="1"/>
  <c r="V9" i="9"/>
  <c r="W9" i="9"/>
  <c r="X9" i="9" s="1"/>
  <c r="Y9" i="9" s="1"/>
  <c r="V10" i="9"/>
  <c r="W10" i="9"/>
  <c r="X10" i="9" s="1"/>
  <c r="Y10" i="9" s="1"/>
  <c r="V11" i="9"/>
  <c r="W11" i="9"/>
  <c r="X11" i="9" s="1"/>
  <c r="Y11" i="9" s="1"/>
  <c r="V12" i="9"/>
  <c r="W12" i="9"/>
  <c r="X12" i="9" s="1"/>
  <c r="Y12" i="9" s="1"/>
  <c r="V13" i="9"/>
  <c r="W13" i="9"/>
  <c r="X13" i="9" s="1"/>
  <c r="Y13" i="9" s="1"/>
  <c r="V14" i="9"/>
  <c r="W14" i="9"/>
  <c r="X14" i="9" s="1"/>
  <c r="Y14" i="9" s="1"/>
  <c r="V15" i="9"/>
  <c r="W15" i="9"/>
  <c r="X15" i="9" s="1"/>
  <c r="Y15" i="9" s="1"/>
  <c r="V16" i="9"/>
  <c r="W16" i="9"/>
  <c r="X16" i="9" s="1"/>
  <c r="Y16" i="9" s="1"/>
  <c r="V17" i="9"/>
  <c r="W17" i="9"/>
  <c r="X17" i="9" s="1"/>
  <c r="Y17" i="9" s="1"/>
  <c r="V18" i="9"/>
  <c r="W18" i="9"/>
  <c r="X18" i="9" s="1"/>
  <c r="Y18" i="9" s="1"/>
  <c r="V19" i="9"/>
  <c r="W19" i="9"/>
  <c r="X19" i="9" s="1"/>
  <c r="Y19" i="9" s="1"/>
  <c r="V20" i="9"/>
  <c r="W20" i="9"/>
  <c r="X20" i="9" s="1"/>
  <c r="Y20" i="9" s="1"/>
  <c r="V21" i="9"/>
  <c r="W21" i="9"/>
  <c r="X21" i="9" s="1"/>
  <c r="Y21" i="9" s="1"/>
  <c r="V22" i="9"/>
  <c r="W22" i="9"/>
  <c r="X22" i="9" s="1"/>
  <c r="Y22" i="9" s="1"/>
  <c r="V23" i="9"/>
  <c r="W23" i="9"/>
  <c r="X23" i="9" s="1"/>
  <c r="Y23" i="9" s="1"/>
  <c r="V24" i="9"/>
  <c r="W24" i="9"/>
  <c r="X24" i="9" s="1"/>
  <c r="Y24" i="9" s="1"/>
  <c r="V25" i="9"/>
  <c r="W25" i="9"/>
  <c r="X25" i="9" s="1"/>
  <c r="Y25" i="9" s="1"/>
  <c r="V26" i="9"/>
  <c r="W26" i="9"/>
  <c r="X26" i="9" s="1"/>
  <c r="Y26" i="9" s="1"/>
  <c r="V27" i="9"/>
  <c r="W27" i="9"/>
  <c r="X27" i="9" s="1"/>
  <c r="Y27" i="9" s="1"/>
  <c r="V28" i="9"/>
  <c r="W28" i="9"/>
  <c r="X28" i="9" s="1"/>
  <c r="Y28" i="9" s="1"/>
  <c r="V29" i="9"/>
  <c r="W29" i="9"/>
  <c r="X29" i="9" s="1"/>
  <c r="Y29" i="9" s="1"/>
  <c r="W3" i="9"/>
  <c r="X3" i="9" s="1"/>
  <c r="Y3" i="9" s="1"/>
  <c r="AA4" i="9"/>
  <c r="AB4" i="9"/>
  <c r="AC4" i="9" s="1"/>
  <c r="AD4" i="9" s="1"/>
  <c r="AA5" i="9"/>
  <c r="AB5" i="9"/>
  <c r="AC5" i="9" s="1"/>
  <c r="AD5" i="9" s="1"/>
  <c r="AA6" i="9"/>
  <c r="AB6" i="9"/>
  <c r="AC6" i="9" s="1"/>
  <c r="AD6" i="9" s="1"/>
  <c r="AA7" i="9"/>
  <c r="AB7" i="9"/>
  <c r="AC7" i="9" s="1"/>
  <c r="AD7" i="9" s="1"/>
  <c r="AA8" i="9"/>
  <c r="AB8" i="9"/>
  <c r="AC8" i="9" s="1"/>
  <c r="AD8" i="9" s="1"/>
  <c r="AA9" i="9"/>
  <c r="AB9" i="9"/>
  <c r="AC9" i="9" s="1"/>
  <c r="AD9" i="9" s="1"/>
  <c r="AA10" i="9"/>
  <c r="AB10" i="9"/>
  <c r="AC10" i="9" s="1"/>
  <c r="AD10" i="9" s="1"/>
  <c r="AA11" i="9"/>
  <c r="AB11" i="9"/>
  <c r="AC11" i="9" s="1"/>
  <c r="AD11" i="9" s="1"/>
  <c r="AA12" i="9"/>
  <c r="AB12" i="9"/>
  <c r="AC12" i="9" s="1"/>
  <c r="AD12" i="9" s="1"/>
  <c r="AA13" i="9"/>
  <c r="AB13" i="9"/>
  <c r="AC13" i="9" s="1"/>
  <c r="AD13" i="9" s="1"/>
  <c r="AA14" i="9"/>
  <c r="AB14" i="9"/>
  <c r="AC14" i="9" s="1"/>
  <c r="AD14" i="9" s="1"/>
  <c r="AA15" i="9"/>
  <c r="AB15" i="9"/>
  <c r="AC15" i="9" s="1"/>
  <c r="AD15" i="9" s="1"/>
  <c r="AA16" i="9"/>
  <c r="AB16" i="9"/>
  <c r="AC16" i="9" s="1"/>
  <c r="AD16" i="9" s="1"/>
  <c r="AA17" i="9"/>
  <c r="AB17" i="9"/>
  <c r="AC17" i="9" s="1"/>
  <c r="AD17" i="9" s="1"/>
  <c r="AA18" i="9"/>
  <c r="AB18" i="9"/>
  <c r="AC18" i="9" s="1"/>
  <c r="AD18" i="9" s="1"/>
  <c r="AA19" i="9"/>
  <c r="AB19" i="9"/>
  <c r="AC19" i="9" s="1"/>
  <c r="AD19" i="9" s="1"/>
  <c r="AA20" i="9"/>
  <c r="AB20" i="9"/>
  <c r="AC20" i="9" s="1"/>
  <c r="AD20" i="9" s="1"/>
  <c r="AA21" i="9"/>
  <c r="AB21" i="9"/>
  <c r="AC21" i="9" s="1"/>
  <c r="AD21" i="9" s="1"/>
  <c r="AA22" i="9"/>
  <c r="AB22" i="9"/>
  <c r="AC22" i="9" s="1"/>
  <c r="AD22" i="9" s="1"/>
  <c r="AA23" i="9"/>
  <c r="AB23" i="9"/>
  <c r="AC23" i="9" s="1"/>
  <c r="AD23" i="9" s="1"/>
  <c r="AA24" i="9"/>
  <c r="AB24" i="9"/>
  <c r="AC24" i="9" s="1"/>
  <c r="AD24" i="9" s="1"/>
  <c r="AA25" i="9"/>
  <c r="AB25" i="9"/>
  <c r="AC25" i="9" s="1"/>
  <c r="AD25" i="9" s="1"/>
  <c r="AA26" i="9"/>
  <c r="AB26" i="9"/>
  <c r="AC26" i="9" s="1"/>
  <c r="AD26" i="9" s="1"/>
  <c r="AA27" i="9"/>
  <c r="AB27" i="9"/>
  <c r="AC27" i="9" s="1"/>
  <c r="AD27" i="9" s="1"/>
  <c r="AA28" i="9"/>
  <c r="AB28" i="9"/>
  <c r="AC28" i="9" s="1"/>
  <c r="AD28" i="9" s="1"/>
  <c r="AA29" i="9"/>
  <c r="AB29" i="9"/>
  <c r="AC29" i="9" s="1"/>
  <c r="AD29" i="9" s="1"/>
  <c r="AB3" i="9"/>
  <c r="AC3" i="9" s="1"/>
  <c r="AD3" i="9" s="1"/>
  <c r="AF4" i="9"/>
  <c r="AG4" i="9" s="1"/>
  <c r="AH4" i="9" s="1"/>
  <c r="AI4" i="9" s="1"/>
  <c r="AF5" i="9"/>
  <c r="AG5" i="9"/>
  <c r="AH5" i="9" s="1"/>
  <c r="AI5" i="9" s="1"/>
  <c r="AF6" i="9"/>
  <c r="AG6" i="9" s="1"/>
  <c r="AH6" i="9" s="1"/>
  <c r="AI6" i="9" s="1"/>
  <c r="AF7" i="9"/>
  <c r="AG7" i="9"/>
  <c r="AH7" i="9" s="1"/>
  <c r="AI7" i="9" s="1"/>
  <c r="AF8" i="9"/>
  <c r="AG8" i="9" s="1"/>
  <c r="AH8" i="9" s="1"/>
  <c r="AI8" i="9" s="1"/>
  <c r="AF9" i="9"/>
  <c r="AG9" i="9"/>
  <c r="AH9" i="9" s="1"/>
  <c r="AI9" i="9" s="1"/>
  <c r="AF10" i="9"/>
  <c r="AG10" i="9" s="1"/>
  <c r="AH10" i="9" s="1"/>
  <c r="AI10" i="9" s="1"/>
  <c r="AF11" i="9"/>
  <c r="AG11" i="9"/>
  <c r="AH11" i="9" s="1"/>
  <c r="AI11" i="9" s="1"/>
  <c r="AF12" i="9"/>
  <c r="AG12" i="9" s="1"/>
  <c r="AH12" i="9" s="1"/>
  <c r="AI12" i="9" s="1"/>
  <c r="AF13" i="9"/>
  <c r="AG13" i="9"/>
  <c r="AH13" i="9" s="1"/>
  <c r="AI13" i="9" s="1"/>
  <c r="AF14" i="9"/>
  <c r="AG14" i="9" s="1"/>
  <c r="AH14" i="9" s="1"/>
  <c r="AI14" i="9" s="1"/>
  <c r="AF15" i="9"/>
  <c r="AG15" i="9"/>
  <c r="AH15" i="9" s="1"/>
  <c r="AI15" i="9" s="1"/>
  <c r="AF16" i="9"/>
  <c r="AG16" i="9" s="1"/>
  <c r="AH16" i="9" s="1"/>
  <c r="AI16" i="9" s="1"/>
  <c r="AF17" i="9"/>
  <c r="AG17" i="9"/>
  <c r="AH17" i="9" s="1"/>
  <c r="AI17" i="9" s="1"/>
  <c r="AF18" i="9"/>
  <c r="AG18" i="9" s="1"/>
  <c r="AH18" i="9" s="1"/>
  <c r="AI18" i="9" s="1"/>
  <c r="AF19" i="9"/>
  <c r="AG19" i="9"/>
  <c r="AH19" i="9" s="1"/>
  <c r="AI19" i="9" s="1"/>
  <c r="AF20" i="9"/>
  <c r="AG20" i="9" s="1"/>
  <c r="AH20" i="9" s="1"/>
  <c r="AI20" i="9" s="1"/>
  <c r="AF21" i="9"/>
  <c r="AG21" i="9"/>
  <c r="AH21" i="9" s="1"/>
  <c r="AI21" i="9" s="1"/>
  <c r="AF22" i="9"/>
  <c r="AG22" i="9" s="1"/>
  <c r="AH22" i="9" s="1"/>
  <c r="AI22" i="9" s="1"/>
  <c r="AF23" i="9"/>
  <c r="AG23" i="9"/>
  <c r="AH23" i="9" s="1"/>
  <c r="AI23" i="9" s="1"/>
  <c r="AF24" i="9"/>
  <c r="AG24" i="9" s="1"/>
  <c r="AH24" i="9" s="1"/>
  <c r="AI24" i="9" s="1"/>
  <c r="AF25" i="9"/>
  <c r="AG25" i="9"/>
  <c r="AH25" i="9" s="1"/>
  <c r="AI25" i="9" s="1"/>
  <c r="AF26" i="9"/>
  <c r="AG26" i="9" s="1"/>
  <c r="AH26" i="9" s="1"/>
  <c r="AI26" i="9" s="1"/>
  <c r="AF27" i="9"/>
  <c r="AG27" i="9"/>
  <c r="AH27" i="9" s="1"/>
  <c r="AI27" i="9" s="1"/>
  <c r="AF28" i="9"/>
  <c r="AG28" i="9" s="1"/>
  <c r="AH28" i="9" s="1"/>
  <c r="AI28" i="9" s="1"/>
  <c r="AF29" i="9"/>
  <c r="AG29" i="9"/>
  <c r="AH29" i="9" s="1"/>
  <c r="AI29" i="9" s="1"/>
  <c r="AG3" i="9"/>
  <c r="AH3" i="9" s="1"/>
  <c r="AI3" i="9" s="1"/>
  <c r="AF3" i="9"/>
  <c r="AA3" i="9"/>
  <c r="V3" i="9"/>
  <c r="Q3" i="9"/>
  <c r="L3" i="9"/>
  <c r="G4" i="9"/>
  <c r="H4" i="9" s="1"/>
  <c r="I4" i="9" s="1"/>
  <c r="J4" i="9" s="1"/>
  <c r="G5" i="9"/>
  <c r="H5" i="9" s="1"/>
  <c r="I5" i="9" s="1"/>
  <c r="J5" i="9" s="1"/>
  <c r="G6" i="9"/>
  <c r="H6" i="9" s="1"/>
  <c r="I6" i="9" s="1"/>
  <c r="J6" i="9" s="1"/>
  <c r="G7" i="9"/>
  <c r="H7" i="9" s="1"/>
  <c r="I7" i="9" s="1"/>
  <c r="J7" i="9" s="1"/>
  <c r="G8" i="9"/>
  <c r="H8" i="9" s="1"/>
  <c r="I8" i="9" s="1"/>
  <c r="J8" i="9" s="1"/>
  <c r="G9" i="9"/>
  <c r="H9" i="9" s="1"/>
  <c r="I9" i="9" s="1"/>
  <c r="J9" i="9" s="1"/>
  <c r="G10" i="9"/>
  <c r="H10" i="9" s="1"/>
  <c r="I10" i="9" s="1"/>
  <c r="J10" i="9" s="1"/>
  <c r="G11" i="9"/>
  <c r="H11" i="9" s="1"/>
  <c r="I11" i="9" s="1"/>
  <c r="J11" i="9" s="1"/>
  <c r="G12" i="9"/>
  <c r="H12" i="9" s="1"/>
  <c r="I12" i="9" s="1"/>
  <c r="J12" i="9" s="1"/>
  <c r="G13" i="9"/>
  <c r="H13" i="9" s="1"/>
  <c r="I13" i="9" s="1"/>
  <c r="J13" i="9" s="1"/>
  <c r="G14" i="9"/>
  <c r="H14" i="9" s="1"/>
  <c r="I14" i="9" s="1"/>
  <c r="J14" i="9" s="1"/>
  <c r="G15" i="9"/>
  <c r="H15" i="9" s="1"/>
  <c r="I15" i="9" s="1"/>
  <c r="J15" i="9" s="1"/>
  <c r="G16" i="9"/>
  <c r="H16" i="9" s="1"/>
  <c r="I16" i="9" s="1"/>
  <c r="J16" i="9" s="1"/>
  <c r="G17" i="9"/>
  <c r="H17" i="9" s="1"/>
  <c r="I17" i="9" s="1"/>
  <c r="J17" i="9" s="1"/>
  <c r="G18" i="9"/>
  <c r="H18" i="9" s="1"/>
  <c r="I18" i="9" s="1"/>
  <c r="J18" i="9" s="1"/>
  <c r="G19" i="9"/>
  <c r="H19" i="9" s="1"/>
  <c r="I19" i="9" s="1"/>
  <c r="J19" i="9" s="1"/>
  <c r="G20" i="9"/>
  <c r="H20" i="9" s="1"/>
  <c r="I20" i="9" s="1"/>
  <c r="J20" i="9" s="1"/>
  <c r="G21" i="9"/>
  <c r="H21" i="9" s="1"/>
  <c r="I21" i="9" s="1"/>
  <c r="J21" i="9" s="1"/>
  <c r="G22" i="9"/>
  <c r="H22" i="9" s="1"/>
  <c r="I22" i="9" s="1"/>
  <c r="J22" i="9" s="1"/>
  <c r="G23" i="9"/>
  <c r="H23" i="9" s="1"/>
  <c r="I23" i="9" s="1"/>
  <c r="J23" i="9" s="1"/>
  <c r="G24" i="9"/>
  <c r="H24" i="9" s="1"/>
  <c r="I24" i="9" s="1"/>
  <c r="J24" i="9" s="1"/>
  <c r="G25" i="9"/>
  <c r="H25" i="9" s="1"/>
  <c r="I25" i="9" s="1"/>
  <c r="J25" i="9" s="1"/>
  <c r="G26" i="9"/>
  <c r="H26" i="9" s="1"/>
  <c r="I26" i="9" s="1"/>
  <c r="J26" i="9" s="1"/>
  <c r="G27" i="9"/>
  <c r="H27" i="9" s="1"/>
  <c r="I27" i="9" s="1"/>
  <c r="J27" i="9" s="1"/>
  <c r="G28" i="9"/>
  <c r="H28" i="9" s="1"/>
  <c r="I28" i="9" s="1"/>
  <c r="J28" i="9" s="1"/>
  <c r="G29" i="9"/>
  <c r="H29" i="9" s="1"/>
  <c r="I29" i="9" s="1"/>
  <c r="J29" i="9" s="1"/>
  <c r="H3" i="9"/>
  <c r="I3" i="9" s="1"/>
  <c r="J3" i="9" s="1"/>
  <c r="G3" i="9"/>
  <c r="A27" i="9"/>
  <c r="A12" i="9"/>
  <c r="A29" i="9"/>
  <c r="A28" i="9"/>
  <c r="A26" i="9"/>
  <c r="A25" i="9"/>
  <c r="A24" i="9"/>
  <c r="A3" i="9"/>
  <c r="A23" i="9"/>
  <c r="A22" i="9"/>
  <c r="A16" i="9"/>
  <c r="A20" i="9"/>
  <c r="A19" i="9"/>
  <c r="A21" i="9"/>
  <c r="A6" i="9"/>
  <c r="A18" i="9"/>
  <c r="A15" i="9"/>
  <c r="A13" i="9"/>
  <c r="A11" i="9"/>
  <c r="A14" i="9"/>
  <c r="A17" i="9"/>
  <c r="A10" i="9"/>
  <c r="A8" i="9"/>
  <c r="A9" i="9"/>
  <c r="A7" i="9"/>
  <c r="A5" i="9"/>
  <c r="A4" i="9"/>
  <c r="A6" i="8"/>
  <c r="A5" i="8"/>
  <c r="A8" i="8"/>
  <c r="A10" i="8"/>
  <c r="A9" i="8"/>
  <c r="A11" i="8"/>
  <c r="A18" i="8"/>
  <c r="A15" i="8"/>
  <c r="A12" i="8"/>
  <c r="A14" i="8"/>
  <c r="A16" i="8"/>
  <c r="A19" i="8"/>
  <c r="A7" i="8"/>
  <c r="A22" i="8"/>
  <c r="A20" i="8"/>
  <c r="A21" i="8"/>
  <c r="A17" i="8"/>
  <c r="A23" i="8"/>
  <c r="A24" i="8"/>
  <c r="A25" i="8"/>
  <c r="A26" i="8"/>
  <c r="A27" i="8"/>
  <c r="A29" i="8"/>
  <c r="A30" i="8"/>
  <c r="A13" i="8"/>
  <c r="A28" i="8"/>
  <c r="A4" i="8"/>
  <c r="AJ4" i="13" l="1"/>
  <c r="AK4" i="13" s="1"/>
  <c r="AL4" i="13" s="1"/>
  <c r="AM4" i="13" s="1"/>
  <c r="AN4" i="13" s="1"/>
  <c r="AO4" i="13" s="1"/>
  <c r="AP4" i="13" s="1"/>
  <c r="AQ4" i="13" s="1"/>
  <c r="AR4" i="13" s="1"/>
  <c r="AS4" i="13" s="1"/>
  <c r="AT4" i="13" s="1"/>
  <c r="AU4" i="13" s="1"/>
  <c r="AV4" i="13" s="1"/>
  <c r="AW4" i="13" s="1"/>
  <c r="AX4" i="13" s="1"/>
  <c r="AY4" i="13" s="1"/>
  <c r="AZ4" i="13" s="1"/>
  <c r="BA4" i="13" s="1"/>
  <c r="BB4" i="13" s="1"/>
  <c r="BC4" i="13" s="1"/>
  <c r="AI4" i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AI159" i="2" l="1"/>
  <c r="AJ159" i="2" s="1"/>
  <c r="AK159" i="2" s="1"/>
  <c r="AL159" i="2" s="1"/>
  <c r="AM159" i="2" s="1"/>
  <c r="AN159" i="2" s="1"/>
  <c r="AO159" i="2" s="1"/>
  <c r="AP159" i="2" s="1"/>
  <c r="AQ159" i="2" s="1"/>
  <c r="AR159" i="2" s="1"/>
  <c r="AS159" i="2" s="1"/>
  <c r="AT159" i="2" s="1"/>
  <c r="AU159" i="2" s="1"/>
  <c r="AV159" i="2" s="1"/>
  <c r="AW159" i="2" s="1"/>
  <c r="AX159" i="2" s="1"/>
  <c r="AY159" i="2" s="1"/>
  <c r="AZ159" i="2" s="1"/>
  <c r="BA159" i="2" s="1"/>
  <c r="BB159" i="2" s="1"/>
  <c r="AI175" i="2"/>
  <c r="AJ175" i="2" s="1"/>
  <c r="AK175" i="2" s="1"/>
  <c r="AL175" i="2" s="1"/>
  <c r="AM175" i="2" s="1"/>
  <c r="AN175" i="2" s="1"/>
  <c r="AO175" i="2" s="1"/>
  <c r="AP175" i="2" s="1"/>
  <c r="AQ175" i="2" s="1"/>
  <c r="AR175" i="2" s="1"/>
  <c r="AS175" i="2" s="1"/>
  <c r="AT175" i="2" s="1"/>
  <c r="AU175" i="2" s="1"/>
  <c r="AV175" i="2" s="1"/>
  <c r="AW175" i="2" s="1"/>
  <c r="AX175" i="2" s="1"/>
  <c r="AY175" i="2" s="1"/>
  <c r="AZ175" i="2" s="1"/>
  <c r="BA175" i="2" s="1"/>
  <c r="BB175" i="2" s="1"/>
  <c r="AI64" i="2"/>
  <c r="AJ64" i="2" s="1"/>
  <c r="AK64" i="2" s="1"/>
  <c r="AL64" i="2" s="1"/>
  <c r="AM64" i="2" s="1"/>
  <c r="AN64" i="2" s="1"/>
  <c r="AO64" i="2" s="1"/>
  <c r="AP64" i="2" s="1"/>
  <c r="AQ64" i="2" s="1"/>
  <c r="AR64" i="2" s="1"/>
  <c r="AS64" i="2" s="1"/>
  <c r="AT64" i="2" s="1"/>
  <c r="AU64" i="2" s="1"/>
  <c r="AV64" i="2" s="1"/>
  <c r="AW64" i="2" s="1"/>
  <c r="AX64" i="2" s="1"/>
  <c r="AY64" i="2" s="1"/>
  <c r="AZ64" i="2" s="1"/>
  <c r="BA64" i="2" s="1"/>
  <c r="BB64" i="2" s="1"/>
  <c r="AI80" i="2"/>
  <c r="AJ80" i="2" s="1"/>
  <c r="AK80" i="2" s="1"/>
  <c r="AL80" i="2" s="1"/>
  <c r="AM80" i="2" s="1"/>
  <c r="AN80" i="2" s="1"/>
  <c r="AO80" i="2" s="1"/>
  <c r="AP80" i="2" s="1"/>
  <c r="AQ80" i="2" s="1"/>
  <c r="AR80" i="2" s="1"/>
  <c r="AS80" i="2" s="1"/>
  <c r="AT80" i="2" s="1"/>
  <c r="AU80" i="2" s="1"/>
  <c r="AV80" i="2" s="1"/>
  <c r="AW80" i="2" s="1"/>
  <c r="AX80" i="2" s="1"/>
  <c r="AY80" i="2" s="1"/>
  <c r="AZ80" i="2" s="1"/>
  <c r="BA80" i="2" s="1"/>
  <c r="BB80" i="2" s="1"/>
  <c r="AF63" i="6"/>
  <c r="AG63" i="6" s="1"/>
  <c r="AH63" i="6" s="1"/>
  <c r="AI63" i="6" s="1"/>
  <c r="AF62" i="6"/>
  <c r="AG62" i="6" s="1"/>
  <c r="AH62" i="6" s="1"/>
  <c r="AI62" i="6" s="1"/>
  <c r="AF61" i="6"/>
  <c r="AG61" i="6" s="1"/>
  <c r="AH61" i="6" s="1"/>
  <c r="AI61" i="6" s="1"/>
  <c r="AF60" i="6"/>
  <c r="AG60" i="6" s="1"/>
  <c r="AH60" i="6" s="1"/>
  <c r="AI60" i="6" s="1"/>
  <c r="AF59" i="6"/>
  <c r="AG59" i="6" s="1"/>
  <c r="AH59" i="6" s="1"/>
  <c r="AI59" i="6" s="1"/>
  <c r="AF58" i="6"/>
  <c r="AG58" i="6" s="1"/>
  <c r="AH58" i="6" s="1"/>
  <c r="AI58" i="6" s="1"/>
  <c r="AF57" i="6"/>
  <c r="AG57" i="6" s="1"/>
  <c r="AH57" i="6" s="1"/>
  <c r="AI57" i="6" s="1"/>
  <c r="AF56" i="6"/>
  <c r="AG56" i="6" s="1"/>
  <c r="AH56" i="6" s="1"/>
  <c r="AI56" i="6" s="1"/>
  <c r="AF55" i="6"/>
  <c r="AG55" i="6" s="1"/>
  <c r="AH55" i="6" s="1"/>
  <c r="AI55" i="6" s="1"/>
  <c r="AF54" i="6"/>
  <c r="AG54" i="6" s="1"/>
  <c r="AH54" i="6" s="1"/>
  <c r="AI54" i="6" s="1"/>
  <c r="AF53" i="6"/>
  <c r="AG53" i="6" s="1"/>
  <c r="AH53" i="6" s="1"/>
  <c r="AI53" i="6" s="1"/>
  <c r="AF52" i="6"/>
  <c r="AG52" i="6" s="1"/>
  <c r="AH52" i="6" s="1"/>
  <c r="AI52" i="6" s="1"/>
  <c r="AF51" i="6"/>
  <c r="AG51" i="6" s="1"/>
  <c r="AH51" i="6" s="1"/>
  <c r="AI51" i="6" s="1"/>
  <c r="AF50" i="6"/>
  <c r="AG50" i="6" s="1"/>
  <c r="AH50" i="6" s="1"/>
  <c r="AI50" i="6" s="1"/>
  <c r="AF49" i="6"/>
  <c r="AG49" i="6" s="1"/>
  <c r="AH49" i="6" s="1"/>
  <c r="AI49" i="6" s="1"/>
  <c r="AF48" i="6"/>
  <c r="AG48" i="6" s="1"/>
  <c r="AH48" i="6" s="1"/>
  <c r="AI48" i="6" s="1"/>
  <c r="AF47" i="6"/>
  <c r="AG47" i="6" s="1"/>
  <c r="AH47" i="6" s="1"/>
  <c r="AI47" i="6" s="1"/>
  <c r="AF46" i="6"/>
  <c r="AG46" i="6" s="1"/>
  <c r="AH46" i="6" s="1"/>
  <c r="AI46" i="6" s="1"/>
  <c r="AF45" i="6"/>
  <c r="AG45" i="6" s="1"/>
  <c r="AH45" i="6" s="1"/>
  <c r="AI45" i="6" s="1"/>
  <c r="AF44" i="6"/>
  <c r="AG44" i="6" s="1"/>
  <c r="AH44" i="6" s="1"/>
  <c r="AI44" i="6" s="1"/>
  <c r="AF43" i="6"/>
  <c r="AG43" i="6" s="1"/>
  <c r="AH43" i="6" s="1"/>
  <c r="AI43" i="6" s="1"/>
  <c r="AF42" i="6"/>
  <c r="AG42" i="6" s="1"/>
  <c r="AH42" i="6" s="1"/>
  <c r="AI42" i="6" s="1"/>
  <c r="AF41" i="6"/>
  <c r="AG41" i="6" s="1"/>
  <c r="AH41" i="6" s="1"/>
  <c r="AI41" i="6" s="1"/>
  <c r="AF40" i="6"/>
  <c r="AG40" i="6" s="1"/>
  <c r="AH40" i="6" s="1"/>
  <c r="AI40" i="6" s="1"/>
  <c r="AF39" i="6"/>
  <c r="AG39" i="6" s="1"/>
  <c r="AH39" i="6" s="1"/>
  <c r="AI39" i="6" s="1"/>
  <c r="AF38" i="6"/>
  <c r="AG38" i="6" s="1"/>
  <c r="AH38" i="6" s="1"/>
  <c r="AI38" i="6" s="1"/>
  <c r="AF37" i="6"/>
  <c r="AG37" i="6" s="1"/>
  <c r="AH37" i="6" s="1"/>
  <c r="AI37" i="6" s="1"/>
  <c r="AF3" i="6"/>
  <c r="AG3" i="6" s="1"/>
  <c r="AH3" i="6" s="1"/>
  <c r="AI3" i="6" s="1"/>
  <c r="AF4" i="6"/>
  <c r="AG4" i="6" s="1"/>
  <c r="AH4" i="6" s="1"/>
  <c r="AI4" i="6" s="1"/>
  <c r="AF5" i="6"/>
  <c r="AG5" i="6" s="1"/>
  <c r="AH5" i="6" s="1"/>
  <c r="AI5" i="6" s="1"/>
  <c r="AF6" i="6"/>
  <c r="AG6" i="6" s="1"/>
  <c r="AH6" i="6" s="1"/>
  <c r="AI6" i="6" s="1"/>
  <c r="AF7" i="6"/>
  <c r="AG7" i="6" s="1"/>
  <c r="AH7" i="6" s="1"/>
  <c r="AI7" i="6" s="1"/>
  <c r="AF8" i="6"/>
  <c r="AG8" i="6" s="1"/>
  <c r="AH8" i="6" s="1"/>
  <c r="AI8" i="6" s="1"/>
  <c r="AF9" i="6"/>
  <c r="AG9" i="6" s="1"/>
  <c r="AH9" i="6" s="1"/>
  <c r="AI9" i="6" s="1"/>
  <c r="AF10" i="6"/>
  <c r="AG10" i="6" s="1"/>
  <c r="AH10" i="6" s="1"/>
  <c r="AI10" i="6" s="1"/>
  <c r="AF11" i="6"/>
  <c r="AG11" i="6" s="1"/>
  <c r="AH11" i="6" s="1"/>
  <c r="AI11" i="6" s="1"/>
  <c r="AF12" i="6"/>
  <c r="AG12" i="6" s="1"/>
  <c r="AH12" i="6" s="1"/>
  <c r="AI12" i="6" s="1"/>
  <c r="AF13" i="6"/>
  <c r="AG13" i="6" s="1"/>
  <c r="AH13" i="6" s="1"/>
  <c r="AI13" i="6" s="1"/>
  <c r="AF14" i="6"/>
  <c r="AG14" i="6" s="1"/>
  <c r="AH14" i="6" s="1"/>
  <c r="AI14" i="6" s="1"/>
  <c r="AF15" i="6"/>
  <c r="AG15" i="6" s="1"/>
  <c r="AH15" i="6" s="1"/>
  <c r="AI15" i="6" s="1"/>
  <c r="AF16" i="6"/>
  <c r="AG16" i="6" s="1"/>
  <c r="AH16" i="6" s="1"/>
  <c r="AI16" i="6" s="1"/>
  <c r="AF17" i="6"/>
  <c r="AG17" i="6" s="1"/>
  <c r="AH17" i="6" s="1"/>
  <c r="AI17" i="6" s="1"/>
  <c r="AF18" i="6"/>
  <c r="AG18" i="6" s="1"/>
  <c r="AH18" i="6" s="1"/>
  <c r="AI18" i="6" s="1"/>
  <c r="AF19" i="6"/>
  <c r="AG19" i="6" s="1"/>
  <c r="AH19" i="6" s="1"/>
  <c r="AI19" i="6" s="1"/>
  <c r="AF20" i="6"/>
  <c r="AG20" i="6" s="1"/>
  <c r="AH20" i="6" s="1"/>
  <c r="AI20" i="6" s="1"/>
  <c r="AF21" i="6"/>
  <c r="AG21" i="6" s="1"/>
  <c r="AH21" i="6" s="1"/>
  <c r="AI21" i="6" s="1"/>
  <c r="AF22" i="6"/>
  <c r="AG22" i="6" s="1"/>
  <c r="AH22" i="6" s="1"/>
  <c r="AI22" i="6" s="1"/>
  <c r="AF23" i="6"/>
  <c r="AG23" i="6" s="1"/>
  <c r="AH23" i="6" s="1"/>
  <c r="AI23" i="6" s="1"/>
  <c r="AF24" i="6"/>
  <c r="AG24" i="6" s="1"/>
  <c r="AH24" i="6" s="1"/>
  <c r="AI24" i="6" s="1"/>
  <c r="AF25" i="6"/>
  <c r="AG25" i="6" s="1"/>
  <c r="AH25" i="6" s="1"/>
  <c r="AI25" i="6" s="1"/>
  <c r="AF26" i="6"/>
  <c r="AG26" i="6" s="1"/>
  <c r="AH26" i="6" s="1"/>
  <c r="AI26" i="6" s="1"/>
  <c r="AF27" i="6"/>
  <c r="AG27" i="6" s="1"/>
  <c r="AH27" i="6" s="1"/>
  <c r="AI27" i="6" s="1"/>
  <c r="AF28" i="6"/>
  <c r="AG28" i="6" s="1"/>
  <c r="AH28" i="6" s="1"/>
  <c r="AI28" i="6" s="1"/>
  <c r="AF2" i="6"/>
  <c r="AG2" i="6" s="1"/>
  <c r="AH2" i="6" s="1"/>
  <c r="AI2" i="6" s="1"/>
  <c r="AA63" i="6"/>
  <c r="AB63" i="6" s="1"/>
  <c r="AC63" i="6" s="1"/>
  <c r="AD63" i="6" s="1"/>
  <c r="AA62" i="6"/>
  <c r="AB62" i="6" s="1"/>
  <c r="AC62" i="6" s="1"/>
  <c r="AD62" i="6" s="1"/>
  <c r="AA61" i="6"/>
  <c r="AB61" i="6" s="1"/>
  <c r="AC61" i="6" s="1"/>
  <c r="AD61" i="6" s="1"/>
  <c r="AA60" i="6"/>
  <c r="AB60" i="6" s="1"/>
  <c r="AC60" i="6" s="1"/>
  <c r="AD60" i="6" s="1"/>
  <c r="AA59" i="6"/>
  <c r="AB59" i="6" s="1"/>
  <c r="AC59" i="6" s="1"/>
  <c r="AD59" i="6" s="1"/>
  <c r="AA58" i="6"/>
  <c r="AB58" i="6" s="1"/>
  <c r="AC58" i="6" s="1"/>
  <c r="AD58" i="6" s="1"/>
  <c r="AA57" i="6"/>
  <c r="AB57" i="6" s="1"/>
  <c r="AC57" i="6" s="1"/>
  <c r="AD57" i="6" s="1"/>
  <c r="AA56" i="6"/>
  <c r="AB56" i="6" s="1"/>
  <c r="AC56" i="6" s="1"/>
  <c r="AD56" i="6" s="1"/>
  <c r="AA55" i="6"/>
  <c r="AB55" i="6" s="1"/>
  <c r="AC55" i="6" s="1"/>
  <c r="AD55" i="6" s="1"/>
  <c r="AA54" i="6"/>
  <c r="AB54" i="6" s="1"/>
  <c r="AC54" i="6" s="1"/>
  <c r="AD54" i="6" s="1"/>
  <c r="AA53" i="6"/>
  <c r="AB53" i="6" s="1"/>
  <c r="AC53" i="6" s="1"/>
  <c r="AD53" i="6" s="1"/>
  <c r="AA52" i="6"/>
  <c r="AB52" i="6" s="1"/>
  <c r="AC52" i="6" s="1"/>
  <c r="AD52" i="6" s="1"/>
  <c r="AA51" i="6"/>
  <c r="AB51" i="6" s="1"/>
  <c r="AC51" i="6" s="1"/>
  <c r="AD51" i="6" s="1"/>
  <c r="AA50" i="6"/>
  <c r="AB50" i="6" s="1"/>
  <c r="AC50" i="6" s="1"/>
  <c r="AD50" i="6" s="1"/>
  <c r="AA49" i="6"/>
  <c r="AB49" i="6" s="1"/>
  <c r="AC49" i="6" s="1"/>
  <c r="AD49" i="6" s="1"/>
  <c r="AA48" i="6"/>
  <c r="AB48" i="6" s="1"/>
  <c r="AC48" i="6" s="1"/>
  <c r="AD48" i="6" s="1"/>
  <c r="AA47" i="6"/>
  <c r="AB47" i="6" s="1"/>
  <c r="AC47" i="6" s="1"/>
  <c r="AD47" i="6" s="1"/>
  <c r="AA46" i="6"/>
  <c r="AB46" i="6" s="1"/>
  <c r="AC46" i="6" s="1"/>
  <c r="AD46" i="6" s="1"/>
  <c r="AA45" i="6"/>
  <c r="AB45" i="6" s="1"/>
  <c r="AC45" i="6" s="1"/>
  <c r="AD45" i="6" s="1"/>
  <c r="AA44" i="6"/>
  <c r="AB44" i="6" s="1"/>
  <c r="AC44" i="6" s="1"/>
  <c r="AD44" i="6" s="1"/>
  <c r="AA43" i="6"/>
  <c r="AB43" i="6" s="1"/>
  <c r="AC43" i="6" s="1"/>
  <c r="AD43" i="6" s="1"/>
  <c r="AA42" i="6"/>
  <c r="AB42" i="6" s="1"/>
  <c r="AC42" i="6" s="1"/>
  <c r="AD42" i="6" s="1"/>
  <c r="AA41" i="6"/>
  <c r="AB41" i="6" s="1"/>
  <c r="AC41" i="6" s="1"/>
  <c r="AD41" i="6" s="1"/>
  <c r="AA40" i="6"/>
  <c r="AB40" i="6" s="1"/>
  <c r="AC40" i="6" s="1"/>
  <c r="AD40" i="6" s="1"/>
  <c r="AA39" i="6"/>
  <c r="AB39" i="6" s="1"/>
  <c r="AC39" i="6" s="1"/>
  <c r="AD39" i="6" s="1"/>
  <c r="AA38" i="6"/>
  <c r="AB38" i="6" s="1"/>
  <c r="AC38" i="6" s="1"/>
  <c r="AD38" i="6" s="1"/>
  <c r="AA37" i="6"/>
  <c r="AB37" i="6" s="1"/>
  <c r="AC37" i="6" s="1"/>
  <c r="AD37" i="6" s="1"/>
  <c r="AA3" i="6"/>
  <c r="AB3" i="6" s="1"/>
  <c r="AC3" i="6" s="1"/>
  <c r="AD3" i="6" s="1"/>
  <c r="AA4" i="6"/>
  <c r="AB4" i="6" s="1"/>
  <c r="AC4" i="6" s="1"/>
  <c r="AD4" i="6" s="1"/>
  <c r="AA5" i="6"/>
  <c r="AB5" i="6" s="1"/>
  <c r="AC5" i="6" s="1"/>
  <c r="AD5" i="6" s="1"/>
  <c r="AA6" i="6"/>
  <c r="AB6" i="6" s="1"/>
  <c r="AC6" i="6" s="1"/>
  <c r="AD6" i="6" s="1"/>
  <c r="AA7" i="6"/>
  <c r="AB7" i="6" s="1"/>
  <c r="AC7" i="6" s="1"/>
  <c r="AD7" i="6" s="1"/>
  <c r="AA8" i="6"/>
  <c r="AB8" i="6" s="1"/>
  <c r="AC8" i="6" s="1"/>
  <c r="AD8" i="6" s="1"/>
  <c r="AA9" i="6"/>
  <c r="AB9" i="6" s="1"/>
  <c r="AC9" i="6" s="1"/>
  <c r="AD9" i="6" s="1"/>
  <c r="AA10" i="6"/>
  <c r="AB10" i="6" s="1"/>
  <c r="AC10" i="6" s="1"/>
  <c r="AD10" i="6" s="1"/>
  <c r="AA11" i="6"/>
  <c r="AB11" i="6" s="1"/>
  <c r="AC11" i="6" s="1"/>
  <c r="AD11" i="6" s="1"/>
  <c r="AA12" i="6"/>
  <c r="AB12" i="6" s="1"/>
  <c r="AC12" i="6" s="1"/>
  <c r="AD12" i="6" s="1"/>
  <c r="AA13" i="6"/>
  <c r="AB13" i="6" s="1"/>
  <c r="AC13" i="6" s="1"/>
  <c r="AD13" i="6" s="1"/>
  <c r="AA14" i="6"/>
  <c r="AB14" i="6" s="1"/>
  <c r="AC14" i="6" s="1"/>
  <c r="AD14" i="6" s="1"/>
  <c r="AA15" i="6"/>
  <c r="AB15" i="6" s="1"/>
  <c r="AC15" i="6" s="1"/>
  <c r="AD15" i="6" s="1"/>
  <c r="AA16" i="6"/>
  <c r="AB16" i="6" s="1"/>
  <c r="AC16" i="6" s="1"/>
  <c r="AD16" i="6" s="1"/>
  <c r="AA17" i="6"/>
  <c r="AB17" i="6" s="1"/>
  <c r="AC17" i="6" s="1"/>
  <c r="AD17" i="6" s="1"/>
  <c r="AA18" i="6"/>
  <c r="AB18" i="6" s="1"/>
  <c r="AC18" i="6" s="1"/>
  <c r="AD18" i="6" s="1"/>
  <c r="AA19" i="6"/>
  <c r="AB19" i="6" s="1"/>
  <c r="AC19" i="6" s="1"/>
  <c r="AD19" i="6" s="1"/>
  <c r="AA20" i="6"/>
  <c r="AB20" i="6" s="1"/>
  <c r="AC20" i="6" s="1"/>
  <c r="AD20" i="6" s="1"/>
  <c r="AA21" i="6"/>
  <c r="AB21" i="6" s="1"/>
  <c r="AC21" i="6" s="1"/>
  <c r="AD21" i="6" s="1"/>
  <c r="AA22" i="6"/>
  <c r="AB22" i="6" s="1"/>
  <c r="AC22" i="6" s="1"/>
  <c r="AD22" i="6" s="1"/>
  <c r="AA23" i="6"/>
  <c r="AB23" i="6" s="1"/>
  <c r="AC23" i="6" s="1"/>
  <c r="AD23" i="6" s="1"/>
  <c r="AA24" i="6"/>
  <c r="AB24" i="6" s="1"/>
  <c r="AC24" i="6" s="1"/>
  <c r="AD24" i="6" s="1"/>
  <c r="AA25" i="6"/>
  <c r="AB25" i="6" s="1"/>
  <c r="AC25" i="6" s="1"/>
  <c r="AD25" i="6" s="1"/>
  <c r="AA26" i="6"/>
  <c r="AB26" i="6" s="1"/>
  <c r="AC26" i="6" s="1"/>
  <c r="AD26" i="6" s="1"/>
  <c r="AA27" i="6"/>
  <c r="AB27" i="6" s="1"/>
  <c r="AC27" i="6" s="1"/>
  <c r="AD27" i="6" s="1"/>
  <c r="AA28" i="6"/>
  <c r="AB28" i="6" s="1"/>
  <c r="AC28" i="6" s="1"/>
  <c r="AD28" i="6" s="1"/>
  <c r="AA2" i="6"/>
  <c r="AB2" i="6" s="1"/>
  <c r="AC2" i="6" s="1"/>
  <c r="AD2" i="6" s="1"/>
  <c r="V63" i="6"/>
  <c r="W63" i="6" s="1"/>
  <c r="X63" i="6" s="1"/>
  <c r="Y63" i="6" s="1"/>
  <c r="V62" i="6"/>
  <c r="W62" i="6" s="1"/>
  <c r="X62" i="6" s="1"/>
  <c r="Y62" i="6" s="1"/>
  <c r="V61" i="6"/>
  <c r="W61" i="6" s="1"/>
  <c r="X61" i="6" s="1"/>
  <c r="Y61" i="6" s="1"/>
  <c r="V60" i="6"/>
  <c r="W60" i="6" s="1"/>
  <c r="X60" i="6" s="1"/>
  <c r="Y60" i="6" s="1"/>
  <c r="V59" i="6"/>
  <c r="W59" i="6" s="1"/>
  <c r="X59" i="6" s="1"/>
  <c r="Y59" i="6" s="1"/>
  <c r="V58" i="6"/>
  <c r="W58" i="6" s="1"/>
  <c r="X58" i="6" s="1"/>
  <c r="Y58" i="6" s="1"/>
  <c r="V57" i="6"/>
  <c r="W57" i="6" s="1"/>
  <c r="X57" i="6" s="1"/>
  <c r="Y57" i="6" s="1"/>
  <c r="V56" i="6"/>
  <c r="W56" i="6" s="1"/>
  <c r="X56" i="6" s="1"/>
  <c r="Y56" i="6" s="1"/>
  <c r="V55" i="6"/>
  <c r="W55" i="6" s="1"/>
  <c r="X55" i="6" s="1"/>
  <c r="Y55" i="6" s="1"/>
  <c r="V54" i="6"/>
  <c r="W54" i="6" s="1"/>
  <c r="X54" i="6" s="1"/>
  <c r="Y54" i="6" s="1"/>
  <c r="V53" i="6"/>
  <c r="W53" i="6" s="1"/>
  <c r="X53" i="6" s="1"/>
  <c r="Y53" i="6" s="1"/>
  <c r="V52" i="6"/>
  <c r="W52" i="6" s="1"/>
  <c r="X52" i="6" s="1"/>
  <c r="Y52" i="6" s="1"/>
  <c r="V51" i="6"/>
  <c r="W51" i="6" s="1"/>
  <c r="X51" i="6" s="1"/>
  <c r="Y51" i="6" s="1"/>
  <c r="V50" i="6"/>
  <c r="W50" i="6" s="1"/>
  <c r="X50" i="6" s="1"/>
  <c r="Y50" i="6" s="1"/>
  <c r="V49" i="6"/>
  <c r="W49" i="6" s="1"/>
  <c r="X49" i="6" s="1"/>
  <c r="Y49" i="6" s="1"/>
  <c r="V48" i="6"/>
  <c r="W48" i="6" s="1"/>
  <c r="X48" i="6" s="1"/>
  <c r="Y48" i="6" s="1"/>
  <c r="V47" i="6"/>
  <c r="W47" i="6" s="1"/>
  <c r="X47" i="6" s="1"/>
  <c r="Y47" i="6" s="1"/>
  <c r="V46" i="6"/>
  <c r="W46" i="6" s="1"/>
  <c r="X46" i="6" s="1"/>
  <c r="Y46" i="6" s="1"/>
  <c r="V45" i="6"/>
  <c r="W45" i="6" s="1"/>
  <c r="X45" i="6" s="1"/>
  <c r="Y45" i="6" s="1"/>
  <c r="V44" i="6"/>
  <c r="W44" i="6" s="1"/>
  <c r="X44" i="6" s="1"/>
  <c r="Y44" i="6" s="1"/>
  <c r="V43" i="6"/>
  <c r="W43" i="6" s="1"/>
  <c r="X43" i="6" s="1"/>
  <c r="Y43" i="6" s="1"/>
  <c r="V42" i="6"/>
  <c r="W42" i="6" s="1"/>
  <c r="X42" i="6" s="1"/>
  <c r="Y42" i="6" s="1"/>
  <c r="V41" i="6"/>
  <c r="W41" i="6" s="1"/>
  <c r="X41" i="6" s="1"/>
  <c r="Y41" i="6" s="1"/>
  <c r="V40" i="6"/>
  <c r="W40" i="6" s="1"/>
  <c r="X40" i="6" s="1"/>
  <c r="Y40" i="6" s="1"/>
  <c r="V39" i="6"/>
  <c r="W39" i="6" s="1"/>
  <c r="X39" i="6" s="1"/>
  <c r="Y39" i="6" s="1"/>
  <c r="V38" i="6"/>
  <c r="W38" i="6" s="1"/>
  <c r="X38" i="6" s="1"/>
  <c r="Y38" i="6" s="1"/>
  <c r="V37" i="6"/>
  <c r="W37" i="6" s="1"/>
  <c r="X37" i="6" s="1"/>
  <c r="Y37" i="6" s="1"/>
  <c r="V3" i="6"/>
  <c r="W3" i="6" s="1"/>
  <c r="X3" i="6" s="1"/>
  <c r="Y3" i="6" s="1"/>
  <c r="V4" i="6"/>
  <c r="W4" i="6" s="1"/>
  <c r="X4" i="6" s="1"/>
  <c r="Y4" i="6" s="1"/>
  <c r="V5" i="6"/>
  <c r="W5" i="6" s="1"/>
  <c r="X5" i="6" s="1"/>
  <c r="Y5" i="6" s="1"/>
  <c r="V6" i="6"/>
  <c r="W6" i="6" s="1"/>
  <c r="X6" i="6" s="1"/>
  <c r="Y6" i="6" s="1"/>
  <c r="V7" i="6"/>
  <c r="W7" i="6" s="1"/>
  <c r="X7" i="6" s="1"/>
  <c r="Y7" i="6" s="1"/>
  <c r="V8" i="6"/>
  <c r="W8" i="6" s="1"/>
  <c r="X8" i="6" s="1"/>
  <c r="Y8" i="6" s="1"/>
  <c r="V9" i="6"/>
  <c r="W9" i="6" s="1"/>
  <c r="X9" i="6" s="1"/>
  <c r="Y9" i="6" s="1"/>
  <c r="V10" i="6"/>
  <c r="W10" i="6" s="1"/>
  <c r="X10" i="6" s="1"/>
  <c r="Y10" i="6" s="1"/>
  <c r="V11" i="6"/>
  <c r="W11" i="6" s="1"/>
  <c r="X11" i="6" s="1"/>
  <c r="Y11" i="6" s="1"/>
  <c r="V12" i="6"/>
  <c r="W12" i="6" s="1"/>
  <c r="X12" i="6" s="1"/>
  <c r="Y12" i="6" s="1"/>
  <c r="V13" i="6"/>
  <c r="W13" i="6" s="1"/>
  <c r="X13" i="6" s="1"/>
  <c r="Y13" i="6" s="1"/>
  <c r="V14" i="6"/>
  <c r="W14" i="6" s="1"/>
  <c r="X14" i="6" s="1"/>
  <c r="Y14" i="6" s="1"/>
  <c r="V15" i="6"/>
  <c r="W15" i="6" s="1"/>
  <c r="X15" i="6" s="1"/>
  <c r="Y15" i="6" s="1"/>
  <c r="V16" i="6"/>
  <c r="W16" i="6" s="1"/>
  <c r="X16" i="6" s="1"/>
  <c r="Y16" i="6" s="1"/>
  <c r="V17" i="6"/>
  <c r="W17" i="6" s="1"/>
  <c r="X17" i="6" s="1"/>
  <c r="Y17" i="6" s="1"/>
  <c r="V18" i="6"/>
  <c r="W18" i="6" s="1"/>
  <c r="X18" i="6" s="1"/>
  <c r="Y18" i="6" s="1"/>
  <c r="V19" i="6"/>
  <c r="W19" i="6" s="1"/>
  <c r="X19" i="6" s="1"/>
  <c r="Y19" i="6" s="1"/>
  <c r="V20" i="6"/>
  <c r="W20" i="6" s="1"/>
  <c r="X20" i="6" s="1"/>
  <c r="Y20" i="6" s="1"/>
  <c r="V21" i="6"/>
  <c r="W21" i="6" s="1"/>
  <c r="X21" i="6" s="1"/>
  <c r="Y21" i="6" s="1"/>
  <c r="V22" i="6"/>
  <c r="W22" i="6" s="1"/>
  <c r="X22" i="6" s="1"/>
  <c r="Y22" i="6" s="1"/>
  <c r="V23" i="6"/>
  <c r="W23" i="6" s="1"/>
  <c r="X23" i="6" s="1"/>
  <c r="Y23" i="6" s="1"/>
  <c r="V24" i="6"/>
  <c r="W24" i="6" s="1"/>
  <c r="X24" i="6" s="1"/>
  <c r="Y24" i="6" s="1"/>
  <c r="V25" i="6"/>
  <c r="W25" i="6" s="1"/>
  <c r="X25" i="6" s="1"/>
  <c r="Y25" i="6" s="1"/>
  <c r="V26" i="6"/>
  <c r="W26" i="6" s="1"/>
  <c r="X26" i="6" s="1"/>
  <c r="Y26" i="6" s="1"/>
  <c r="V27" i="6"/>
  <c r="W27" i="6" s="1"/>
  <c r="X27" i="6" s="1"/>
  <c r="Y27" i="6" s="1"/>
  <c r="V28" i="6"/>
  <c r="W28" i="6" s="1"/>
  <c r="X28" i="6" s="1"/>
  <c r="Y28" i="6" s="1"/>
  <c r="V2" i="6"/>
  <c r="W2" i="6" s="1"/>
  <c r="X2" i="6" s="1"/>
  <c r="Y2" i="6" s="1"/>
  <c r="Q63" i="6"/>
  <c r="R63" i="6" s="1"/>
  <c r="S63" i="6" s="1"/>
  <c r="T63" i="6" s="1"/>
  <c r="Q62" i="6"/>
  <c r="R62" i="6" s="1"/>
  <c r="S62" i="6" s="1"/>
  <c r="T62" i="6" s="1"/>
  <c r="Q61" i="6"/>
  <c r="R61" i="6" s="1"/>
  <c r="S61" i="6" s="1"/>
  <c r="T61" i="6" s="1"/>
  <c r="Q60" i="6"/>
  <c r="R60" i="6" s="1"/>
  <c r="S60" i="6" s="1"/>
  <c r="T60" i="6" s="1"/>
  <c r="Q59" i="6"/>
  <c r="R59" i="6" s="1"/>
  <c r="S59" i="6" s="1"/>
  <c r="T59" i="6" s="1"/>
  <c r="Q58" i="6"/>
  <c r="R58" i="6" s="1"/>
  <c r="S58" i="6" s="1"/>
  <c r="T58" i="6" s="1"/>
  <c r="Q57" i="6"/>
  <c r="R57" i="6" s="1"/>
  <c r="S57" i="6" s="1"/>
  <c r="T57" i="6" s="1"/>
  <c r="Q56" i="6"/>
  <c r="R56" i="6" s="1"/>
  <c r="S56" i="6" s="1"/>
  <c r="T56" i="6" s="1"/>
  <c r="Q55" i="6"/>
  <c r="R55" i="6" s="1"/>
  <c r="S55" i="6" s="1"/>
  <c r="T55" i="6" s="1"/>
  <c r="Q54" i="6"/>
  <c r="R54" i="6" s="1"/>
  <c r="S54" i="6" s="1"/>
  <c r="T54" i="6" s="1"/>
  <c r="Q53" i="6"/>
  <c r="R53" i="6" s="1"/>
  <c r="S53" i="6" s="1"/>
  <c r="T53" i="6" s="1"/>
  <c r="Q52" i="6"/>
  <c r="R52" i="6" s="1"/>
  <c r="S52" i="6" s="1"/>
  <c r="T52" i="6" s="1"/>
  <c r="Q51" i="6"/>
  <c r="R51" i="6" s="1"/>
  <c r="S51" i="6" s="1"/>
  <c r="T51" i="6" s="1"/>
  <c r="Q50" i="6"/>
  <c r="R50" i="6" s="1"/>
  <c r="S50" i="6" s="1"/>
  <c r="T50" i="6" s="1"/>
  <c r="Q49" i="6"/>
  <c r="R49" i="6" s="1"/>
  <c r="S49" i="6" s="1"/>
  <c r="T49" i="6" s="1"/>
  <c r="Q48" i="6"/>
  <c r="R48" i="6" s="1"/>
  <c r="S48" i="6" s="1"/>
  <c r="T48" i="6" s="1"/>
  <c r="Q47" i="6"/>
  <c r="R47" i="6" s="1"/>
  <c r="S47" i="6" s="1"/>
  <c r="T47" i="6" s="1"/>
  <c r="Q46" i="6"/>
  <c r="R46" i="6" s="1"/>
  <c r="S46" i="6" s="1"/>
  <c r="T46" i="6" s="1"/>
  <c r="Q45" i="6"/>
  <c r="R45" i="6" s="1"/>
  <c r="S45" i="6" s="1"/>
  <c r="T45" i="6" s="1"/>
  <c r="Q44" i="6"/>
  <c r="R44" i="6" s="1"/>
  <c r="S44" i="6" s="1"/>
  <c r="T44" i="6" s="1"/>
  <c r="Q43" i="6"/>
  <c r="R43" i="6" s="1"/>
  <c r="S43" i="6" s="1"/>
  <c r="T43" i="6" s="1"/>
  <c r="Q42" i="6"/>
  <c r="R42" i="6" s="1"/>
  <c r="S42" i="6" s="1"/>
  <c r="T42" i="6" s="1"/>
  <c r="Q41" i="6"/>
  <c r="R41" i="6" s="1"/>
  <c r="S41" i="6" s="1"/>
  <c r="T41" i="6" s="1"/>
  <c r="Q40" i="6"/>
  <c r="R40" i="6" s="1"/>
  <c r="S40" i="6" s="1"/>
  <c r="T40" i="6" s="1"/>
  <c r="Q39" i="6"/>
  <c r="R39" i="6" s="1"/>
  <c r="S39" i="6" s="1"/>
  <c r="T39" i="6" s="1"/>
  <c r="Q38" i="6"/>
  <c r="R38" i="6" s="1"/>
  <c r="S38" i="6" s="1"/>
  <c r="T38" i="6" s="1"/>
  <c r="Q37" i="6"/>
  <c r="R37" i="6" s="1"/>
  <c r="S37" i="6" s="1"/>
  <c r="T37" i="6" s="1"/>
  <c r="Q3" i="6"/>
  <c r="R3" i="6" s="1"/>
  <c r="S3" i="6" s="1"/>
  <c r="T3" i="6" s="1"/>
  <c r="Q4" i="6"/>
  <c r="R4" i="6" s="1"/>
  <c r="S4" i="6" s="1"/>
  <c r="T4" i="6" s="1"/>
  <c r="Q5" i="6"/>
  <c r="R5" i="6" s="1"/>
  <c r="S5" i="6" s="1"/>
  <c r="T5" i="6" s="1"/>
  <c r="Q6" i="6"/>
  <c r="R6" i="6" s="1"/>
  <c r="S6" i="6" s="1"/>
  <c r="T6" i="6" s="1"/>
  <c r="Q7" i="6"/>
  <c r="R7" i="6" s="1"/>
  <c r="S7" i="6" s="1"/>
  <c r="T7" i="6" s="1"/>
  <c r="Q8" i="6"/>
  <c r="R8" i="6" s="1"/>
  <c r="S8" i="6" s="1"/>
  <c r="T8" i="6" s="1"/>
  <c r="Q9" i="6"/>
  <c r="R9" i="6" s="1"/>
  <c r="S9" i="6" s="1"/>
  <c r="T9" i="6" s="1"/>
  <c r="Q10" i="6"/>
  <c r="R10" i="6" s="1"/>
  <c r="S10" i="6" s="1"/>
  <c r="T10" i="6" s="1"/>
  <c r="Q11" i="6"/>
  <c r="R11" i="6" s="1"/>
  <c r="S11" i="6" s="1"/>
  <c r="T11" i="6" s="1"/>
  <c r="Q12" i="6"/>
  <c r="R12" i="6"/>
  <c r="S12" i="6" s="1"/>
  <c r="T12" i="6" s="1"/>
  <c r="Q13" i="6"/>
  <c r="R13" i="6" s="1"/>
  <c r="S13" i="6" s="1"/>
  <c r="T13" i="6" s="1"/>
  <c r="Q14" i="6"/>
  <c r="R14" i="6" s="1"/>
  <c r="S14" i="6" s="1"/>
  <c r="T14" i="6" s="1"/>
  <c r="Q15" i="6"/>
  <c r="R15" i="6" s="1"/>
  <c r="S15" i="6" s="1"/>
  <c r="T15" i="6" s="1"/>
  <c r="Q16" i="6"/>
  <c r="R16" i="6" s="1"/>
  <c r="S16" i="6" s="1"/>
  <c r="T16" i="6" s="1"/>
  <c r="Q17" i="6"/>
  <c r="R17" i="6" s="1"/>
  <c r="S17" i="6" s="1"/>
  <c r="T17" i="6" s="1"/>
  <c r="Q18" i="6"/>
  <c r="R18" i="6" s="1"/>
  <c r="S18" i="6" s="1"/>
  <c r="T18" i="6" s="1"/>
  <c r="Q19" i="6"/>
  <c r="R19" i="6" s="1"/>
  <c r="S19" i="6" s="1"/>
  <c r="T19" i="6" s="1"/>
  <c r="Q20" i="6"/>
  <c r="R20" i="6" s="1"/>
  <c r="S20" i="6" s="1"/>
  <c r="T20" i="6" s="1"/>
  <c r="Q21" i="6"/>
  <c r="R21" i="6" s="1"/>
  <c r="S21" i="6" s="1"/>
  <c r="T21" i="6" s="1"/>
  <c r="Q22" i="6"/>
  <c r="R22" i="6"/>
  <c r="S22" i="6" s="1"/>
  <c r="T22" i="6" s="1"/>
  <c r="Q23" i="6"/>
  <c r="R23" i="6" s="1"/>
  <c r="S23" i="6" s="1"/>
  <c r="T23" i="6" s="1"/>
  <c r="Q24" i="6"/>
  <c r="R24" i="6" s="1"/>
  <c r="S24" i="6" s="1"/>
  <c r="T24" i="6" s="1"/>
  <c r="Q25" i="6"/>
  <c r="R25" i="6" s="1"/>
  <c r="S25" i="6" s="1"/>
  <c r="T25" i="6" s="1"/>
  <c r="Q26" i="6"/>
  <c r="R26" i="6" s="1"/>
  <c r="S26" i="6" s="1"/>
  <c r="T26" i="6" s="1"/>
  <c r="Q27" i="6"/>
  <c r="R27" i="6" s="1"/>
  <c r="S27" i="6" s="1"/>
  <c r="T27" i="6" s="1"/>
  <c r="Q28" i="6"/>
  <c r="R28" i="6"/>
  <c r="S28" i="6" s="1"/>
  <c r="T28" i="6" s="1"/>
  <c r="Q2" i="6"/>
  <c r="R2" i="6" s="1"/>
  <c r="S2" i="6" s="1"/>
  <c r="T2" i="6" s="1"/>
  <c r="L63" i="6"/>
  <c r="M63" i="6" s="1"/>
  <c r="N63" i="6" s="1"/>
  <c r="O63" i="6" s="1"/>
  <c r="L62" i="6"/>
  <c r="M62" i="6" s="1"/>
  <c r="N62" i="6" s="1"/>
  <c r="O62" i="6" s="1"/>
  <c r="L61" i="6"/>
  <c r="M61" i="6" s="1"/>
  <c r="N61" i="6" s="1"/>
  <c r="O61" i="6" s="1"/>
  <c r="L60" i="6"/>
  <c r="M60" i="6" s="1"/>
  <c r="N60" i="6" s="1"/>
  <c r="O60" i="6" s="1"/>
  <c r="L59" i="6"/>
  <c r="M59" i="6" s="1"/>
  <c r="N59" i="6" s="1"/>
  <c r="O59" i="6" s="1"/>
  <c r="L58" i="6"/>
  <c r="M58" i="6" s="1"/>
  <c r="N58" i="6" s="1"/>
  <c r="O58" i="6" s="1"/>
  <c r="L57" i="6"/>
  <c r="M57" i="6" s="1"/>
  <c r="N57" i="6" s="1"/>
  <c r="O57" i="6" s="1"/>
  <c r="L56" i="6"/>
  <c r="M56" i="6" s="1"/>
  <c r="N56" i="6" s="1"/>
  <c r="O56" i="6" s="1"/>
  <c r="L55" i="6"/>
  <c r="M55" i="6" s="1"/>
  <c r="N55" i="6" s="1"/>
  <c r="O55" i="6" s="1"/>
  <c r="L54" i="6"/>
  <c r="M54" i="6" s="1"/>
  <c r="N54" i="6" s="1"/>
  <c r="O54" i="6" s="1"/>
  <c r="L53" i="6"/>
  <c r="M53" i="6" s="1"/>
  <c r="N53" i="6" s="1"/>
  <c r="O53" i="6" s="1"/>
  <c r="L52" i="6"/>
  <c r="M52" i="6" s="1"/>
  <c r="N52" i="6" s="1"/>
  <c r="O52" i="6" s="1"/>
  <c r="L51" i="6"/>
  <c r="M51" i="6" s="1"/>
  <c r="N51" i="6" s="1"/>
  <c r="O51" i="6" s="1"/>
  <c r="L50" i="6"/>
  <c r="M50" i="6" s="1"/>
  <c r="N50" i="6" s="1"/>
  <c r="O50" i="6" s="1"/>
  <c r="L49" i="6"/>
  <c r="M49" i="6" s="1"/>
  <c r="N49" i="6" s="1"/>
  <c r="O49" i="6" s="1"/>
  <c r="L48" i="6"/>
  <c r="M48" i="6" s="1"/>
  <c r="N48" i="6" s="1"/>
  <c r="O48" i="6" s="1"/>
  <c r="L47" i="6"/>
  <c r="M47" i="6" s="1"/>
  <c r="N47" i="6" s="1"/>
  <c r="O47" i="6" s="1"/>
  <c r="L46" i="6"/>
  <c r="M46" i="6" s="1"/>
  <c r="N46" i="6" s="1"/>
  <c r="O46" i="6" s="1"/>
  <c r="L45" i="6"/>
  <c r="M45" i="6" s="1"/>
  <c r="N45" i="6" s="1"/>
  <c r="O45" i="6" s="1"/>
  <c r="L44" i="6"/>
  <c r="M44" i="6" s="1"/>
  <c r="N44" i="6" s="1"/>
  <c r="O44" i="6" s="1"/>
  <c r="L43" i="6"/>
  <c r="M43" i="6" s="1"/>
  <c r="N43" i="6" s="1"/>
  <c r="O43" i="6" s="1"/>
  <c r="L42" i="6"/>
  <c r="M42" i="6" s="1"/>
  <c r="N42" i="6" s="1"/>
  <c r="O42" i="6" s="1"/>
  <c r="L41" i="6"/>
  <c r="M41" i="6" s="1"/>
  <c r="N41" i="6" s="1"/>
  <c r="O41" i="6" s="1"/>
  <c r="L40" i="6"/>
  <c r="M40" i="6" s="1"/>
  <c r="N40" i="6" s="1"/>
  <c r="O40" i="6" s="1"/>
  <c r="L39" i="6"/>
  <c r="M39" i="6" s="1"/>
  <c r="N39" i="6" s="1"/>
  <c r="O39" i="6" s="1"/>
  <c r="L38" i="6"/>
  <c r="M38" i="6" s="1"/>
  <c r="N38" i="6" s="1"/>
  <c r="O38" i="6" s="1"/>
  <c r="L37" i="6"/>
  <c r="M37" i="6" s="1"/>
  <c r="N37" i="6" s="1"/>
  <c r="O37" i="6" s="1"/>
  <c r="L3" i="6"/>
  <c r="M3" i="6" s="1"/>
  <c r="N3" i="6" s="1"/>
  <c r="O3" i="6" s="1"/>
  <c r="L4" i="6"/>
  <c r="M4" i="6" s="1"/>
  <c r="N4" i="6" s="1"/>
  <c r="O4" i="6" s="1"/>
  <c r="L5" i="6"/>
  <c r="M5" i="6" s="1"/>
  <c r="N5" i="6" s="1"/>
  <c r="O5" i="6" s="1"/>
  <c r="L6" i="6"/>
  <c r="M6" i="6" s="1"/>
  <c r="N6" i="6" s="1"/>
  <c r="O6" i="6" s="1"/>
  <c r="L7" i="6"/>
  <c r="M7" i="6" s="1"/>
  <c r="N7" i="6" s="1"/>
  <c r="O7" i="6" s="1"/>
  <c r="L8" i="6"/>
  <c r="M8" i="6" s="1"/>
  <c r="N8" i="6" s="1"/>
  <c r="O8" i="6" s="1"/>
  <c r="L9" i="6"/>
  <c r="M9" i="6" s="1"/>
  <c r="N9" i="6" s="1"/>
  <c r="O9" i="6" s="1"/>
  <c r="L10" i="6"/>
  <c r="M10" i="6" s="1"/>
  <c r="N10" i="6" s="1"/>
  <c r="O10" i="6" s="1"/>
  <c r="L11" i="6"/>
  <c r="M11" i="6" s="1"/>
  <c r="N11" i="6" s="1"/>
  <c r="O11" i="6" s="1"/>
  <c r="L12" i="6"/>
  <c r="M12" i="6"/>
  <c r="N12" i="6" s="1"/>
  <c r="O12" i="6" s="1"/>
  <c r="L13" i="6"/>
  <c r="M13" i="6" s="1"/>
  <c r="N13" i="6" s="1"/>
  <c r="O13" i="6" s="1"/>
  <c r="L14" i="6"/>
  <c r="M14" i="6" s="1"/>
  <c r="N14" i="6" s="1"/>
  <c r="O14" i="6" s="1"/>
  <c r="L15" i="6"/>
  <c r="M15" i="6" s="1"/>
  <c r="N15" i="6" s="1"/>
  <c r="O15" i="6" s="1"/>
  <c r="L16" i="6"/>
  <c r="M16" i="6" s="1"/>
  <c r="N16" i="6" s="1"/>
  <c r="O16" i="6" s="1"/>
  <c r="L17" i="6"/>
  <c r="M17" i="6" s="1"/>
  <c r="N17" i="6" s="1"/>
  <c r="O17" i="6" s="1"/>
  <c r="L18" i="6"/>
  <c r="M18" i="6" s="1"/>
  <c r="N18" i="6" s="1"/>
  <c r="O18" i="6" s="1"/>
  <c r="L19" i="6"/>
  <c r="M19" i="6" s="1"/>
  <c r="N19" i="6" s="1"/>
  <c r="O19" i="6" s="1"/>
  <c r="L20" i="6"/>
  <c r="M20" i="6" s="1"/>
  <c r="N20" i="6" s="1"/>
  <c r="O20" i="6" s="1"/>
  <c r="L21" i="6"/>
  <c r="M21" i="6" s="1"/>
  <c r="N21" i="6" s="1"/>
  <c r="O21" i="6" s="1"/>
  <c r="L22" i="6"/>
  <c r="M22" i="6" s="1"/>
  <c r="N22" i="6" s="1"/>
  <c r="O22" i="6" s="1"/>
  <c r="L23" i="6"/>
  <c r="M23" i="6" s="1"/>
  <c r="N23" i="6" s="1"/>
  <c r="O23" i="6" s="1"/>
  <c r="L24" i="6"/>
  <c r="M24" i="6" s="1"/>
  <c r="N24" i="6" s="1"/>
  <c r="O24" i="6" s="1"/>
  <c r="L25" i="6"/>
  <c r="M25" i="6" s="1"/>
  <c r="N25" i="6" s="1"/>
  <c r="O25" i="6" s="1"/>
  <c r="L26" i="6"/>
  <c r="M26" i="6" s="1"/>
  <c r="N26" i="6" s="1"/>
  <c r="O26" i="6" s="1"/>
  <c r="L27" i="6"/>
  <c r="M27" i="6" s="1"/>
  <c r="N27" i="6" s="1"/>
  <c r="O27" i="6" s="1"/>
  <c r="L28" i="6"/>
  <c r="M28" i="6"/>
  <c r="N28" i="6" s="1"/>
  <c r="O28" i="6" s="1"/>
  <c r="L2" i="6"/>
  <c r="M2" i="6" s="1"/>
  <c r="N2" i="6" s="1"/>
  <c r="O2" i="6" s="1"/>
  <c r="G63" i="6"/>
  <c r="H63" i="6" s="1"/>
  <c r="I63" i="6" s="1"/>
  <c r="J63" i="6" s="1"/>
  <c r="G62" i="6"/>
  <c r="H62" i="6" s="1"/>
  <c r="I62" i="6" s="1"/>
  <c r="J62" i="6" s="1"/>
  <c r="G61" i="6"/>
  <c r="H61" i="6" s="1"/>
  <c r="I61" i="6" s="1"/>
  <c r="J61" i="6" s="1"/>
  <c r="G60" i="6"/>
  <c r="H60" i="6" s="1"/>
  <c r="I60" i="6" s="1"/>
  <c r="J60" i="6" s="1"/>
  <c r="G59" i="6"/>
  <c r="H59" i="6" s="1"/>
  <c r="I59" i="6" s="1"/>
  <c r="J59" i="6" s="1"/>
  <c r="G58" i="6"/>
  <c r="H58" i="6" s="1"/>
  <c r="I58" i="6" s="1"/>
  <c r="J58" i="6" s="1"/>
  <c r="G57" i="6"/>
  <c r="H57" i="6" s="1"/>
  <c r="I57" i="6" s="1"/>
  <c r="J57" i="6" s="1"/>
  <c r="G56" i="6"/>
  <c r="H56" i="6" s="1"/>
  <c r="I56" i="6" s="1"/>
  <c r="J56" i="6" s="1"/>
  <c r="G55" i="6"/>
  <c r="H55" i="6" s="1"/>
  <c r="I55" i="6" s="1"/>
  <c r="J55" i="6" s="1"/>
  <c r="G54" i="6"/>
  <c r="H54" i="6" s="1"/>
  <c r="I54" i="6" s="1"/>
  <c r="J54" i="6" s="1"/>
  <c r="G53" i="6"/>
  <c r="H53" i="6" s="1"/>
  <c r="I53" i="6" s="1"/>
  <c r="J53" i="6" s="1"/>
  <c r="G52" i="6"/>
  <c r="H52" i="6" s="1"/>
  <c r="I52" i="6" s="1"/>
  <c r="J52" i="6" s="1"/>
  <c r="G51" i="6"/>
  <c r="H51" i="6" s="1"/>
  <c r="I51" i="6" s="1"/>
  <c r="J51" i="6" s="1"/>
  <c r="G50" i="6"/>
  <c r="H50" i="6" s="1"/>
  <c r="I50" i="6" s="1"/>
  <c r="J50" i="6" s="1"/>
  <c r="G49" i="6"/>
  <c r="H49" i="6" s="1"/>
  <c r="I49" i="6" s="1"/>
  <c r="J49" i="6" s="1"/>
  <c r="G48" i="6"/>
  <c r="H48" i="6" s="1"/>
  <c r="I48" i="6" s="1"/>
  <c r="J48" i="6" s="1"/>
  <c r="G47" i="6"/>
  <c r="H47" i="6" s="1"/>
  <c r="I47" i="6" s="1"/>
  <c r="J47" i="6" s="1"/>
  <c r="G46" i="6"/>
  <c r="H46" i="6" s="1"/>
  <c r="I46" i="6" s="1"/>
  <c r="J46" i="6" s="1"/>
  <c r="G45" i="6"/>
  <c r="H45" i="6" s="1"/>
  <c r="I45" i="6" s="1"/>
  <c r="J45" i="6" s="1"/>
  <c r="G44" i="6"/>
  <c r="H44" i="6" s="1"/>
  <c r="I44" i="6" s="1"/>
  <c r="J44" i="6" s="1"/>
  <c r="G43" i="6"/>
  <c r="H43" i="6" s="1"/>
  <c r="I43" i="6" s="1"/>
  <c r="J43" i="6" s="1"/>
  <c r="G42" i="6"/>
  <c r="H42" i="6" s="1"/>
  <c r="I42" i="6" s="1"/>
  <c r="J42" i="6" s="1"/>
  <c r="G41" i="6"/>
  <c r="H41" i="6" s="1"/>
  <c r="I41" i="6" s="1"/>
  <c r="J41" i="6" s="1"/>
  <c r="G40" i="6"/>
  <c r="H40" i="6" s="1"/>
  <c r="I40" i="6" s="1"/>
  <c r="J40" i="6" s="1"/>
  <c r="G39" i="6"/>
  <c r="H39" i="6" s="1"/>
  <c r="I39" i="6" s="1"/>
  <c r="J39" i="6" s="1"/>
  <c r="G38" i="6"/>
  <c r="H38" i="6" s="1"/>
  <c r="I38" i="6" s="1"/>
  <c r="J38" i="6" s="1"/>
  <c r="G37" i="6"/>
  <c r="H37" i="6" s="1"/>
  <c r="I37" i="6" s="1"/>
  <c r="J37" i="6" s="1"/>
  <c r="G3" i="6"/>
  <c r="H3" i="6" s="1"/>
  <c r="I3" i="6" s="1"/>
  <c r="J3" i="6" s="1"/>
  <c r="G4" i="6"/>
  <c r="H4" i="6"/>
  <c r="I4" i="6" s="1"/>
  <c r="J4" i="6" s="1"/>
  <c r="G5" i="6"/>
  <c r="H5" i="6" s="1"/>
  <c r="I5" i="6" s="1"/>
  <c r="J5" i="6" s="1"/>
  <c r="G6" i="6"/>
  <c r="H6" i="6"/>
  <c r="I6" i="6" s="1"/>
  <c r="J6" i="6" s="1"/>
  <c r="G7" i="6"/>
  <c r="H7" i="6" s="1"/>
  <c r="I7" i="6" s="1"/>
  <c r="J7" i="6" s="1"/>
  <c r="G8" i="6"/>
  <c r="H8" i="6" s="1"/>
  <c r="F67" i="2" s="1"/>
  <c r="G9" i="6"/>
  <c r="H9" i="6" s="1"/>
  <c r="I9" i="6" s="1"/>
  <c r="J9" i="6" s="1"/>
  <c r="G10" i="6"/>
  <c r="H10" i="6"/>
  <c r="F69" i="2" s="1"/>
  <c r="G11" i="6"/>
  <c r="H11" i="6" s="1"/>
  <c r="I11" i="6" s="1"/>
  <c r="J11" i="6" s="1"/>
  <c r="G12" i="6"/>
  <c r="H12" i="6" s="1"/>
  <c r="F71" i="2" s="1"/>
  <c r="G13" i="6"/>
  <c r="H13" i="6" s="1"/>
  <c r="I13" i="6" s="1"/>
  <c r="J13" i="6" s="1"/>
  <c r="G14" i="6"/>
  <c r="H14" i="6" s="1"/>
  <c r="F73" i="2" s="1"/>
  <c r="G15" i="6"/>
  <c r="H15" i="6" s="1"/>
  <c r="I15" i="6" s="1"/>
  <c r="J15" i="6" s="1"/>
  <c r="G16" i="6"/>
  <c r="H16" i="6" s="1"/>
  <c r="F75" i="2" s="1"/>
  <c r="G17" i="6"/>
  <c r="H17" i="6" s="1"/>
  <c r="I17" i="6" s="1"/>
  <c r="J17" i="6" s="1"/>
  <c r="G18" i="6"/>
  <c r="H18" i="6"/>
  <c r="F77" i="2" s="1"/>
  <c r="G19" i="6"/>
  <c r="H19" i="6" s="1"/>
  <c r="I19" i="6" s="1"/>
  <c r="J19" i="6" s="1"/>
  <c r="G20" i="6"/>
  <c r="H20" i="6"/>
  <c r="F79" i="2" s="1"/>
  <c r="G21" i="6"/>
  <c r="H21" i="6" s="1"/>
  <c r="I21" i="6" s="1"/>
  <c r="J21" i="6" s="1"/>
  <c r="G22" i="6"/>
  <c r="H22" i="6"/>
  <c r="I22" i="6" s="1"/>
  <c r="J22" i="6" s="1"/>
  <c r="G23" i="6"/>
  <c r="H23" i="6" s="1"/>
  <c r="I23" i="6" s="1"/>
  <c r="J23" i="6" s="1"/>
  <c r="G24" i="6"/>
  <c r="H24" i="6" s="1"/>
  <c r="F83" i="2" s="1"/>
  <c r="G25" i="6"/>
  <c r="H25" i="6" s="1"/>
  <c r="I25" i="6" s="1"/>
  <c r="J25" i="6" s="1"/>
  <c r="G26" i="6"/>
  <c r="H26" i="6"/>
  <c r="I26" i="6" s="1"/>
  <c r="J26" i="6" s="1"/>
  <c r="G27" i="6"/>
  <c r="H27" i="6" s="1"/>
  <c r="I27" i="6" s="1"/>
  <c r="J27" i="6" s="1"/>
  <c r="G28" i="6"/>
  <c r="H28" i="6" s="1"/>
  <c r="F87" i="2" s="1"/>
  <c r="H2" i="6"/>
  <c r="I2" i="6" s="1"/>
  <c r="J2" i="6" s="1"/>
  <c r="G2" i="6"/>
  <c r="A61" i="6"/>
  <c r="A46" i="6"/>
  <c r="A63" i="6"/>
  <c r="A62" i="6"/>
  <c r="A60" i="6"/>
  <c r="A59" i="6"/>
  <c r="A58" i="6"/>
  <c r="A37" i="6"/>
  <c r="A57" i="6"/>
  <c r="A56" i="6"/>
  <c r="A50" i="6"/>
  <c r="A54" i="6"/>
  <c r="A53" i="6"/>
  <c r="A55" i="6"/>
  <c r="A40" i="6"/>
  <c r="A52" i="6"/>
  <c r="A49" i="6"/>
  <c r="A47" i="6"/>
  <c r="A45" i="6"/>
  <c r="A48" i="6"/>
  <c r="A51" i="6"/>
  <c r="A44" i="6"/>
  <c r="A42" i="6"/>
  <c r="A43" i="6"/>
  <c r="A41" i="6"/>
  <c r="A39" i="6"/>
  <c r="A38" i="6"/>
  <c r="A4" i="6"/>
  <c r="A6" i="6"/>
  <c r="A8" i="6"/>
  <c r="A7" i="6"/>
  <c r="A9" i="6"/>
  <c r="A16" i="6"/>
  <c r="A13" i="6"/>
  <c r="A10" i="6"/>
  <c r="A12" i="6"/>
  <c r="A14" i="6"/>
  <c r="A17" i="6"/>
  <c r="A5" i="6"/>
  <c r="A20" i="6"/>
  <c r="A18" i="6"/>
  <c r="A19" i="6"/>
  <c r="A15" i="6"/>
  <c r="A21" i="6"/>
  <c r="A22" i="6"/>
  <c r="A2" i="6"/>
  <c r="A23" i="6"/>
  <c r="A24" i="6"/>
  <c r="A25" i="6"/>
  <c r="A27" i="6"/>
  <c r="A28" i="6"/>
  <c r="A11" i="6"/>
  <c r="A26" i="6"/>
  <c r="A3" i="6"/>
  <c r="F181" i="2" l="1"/>
  <c r="G181" i="2" s="1"/>
  <c r="H181" i="2" s="1"/>
  <c r="I181" i="2" s="1"/>
  <c r="F84" i="2"/>
  <c r="G84" i="2" s="1"/>
  <c r="H84" i="2" s="1"/>
  <c r="I84" i="2" s="1"/>
  <c r="J84" i="2" s="1"/>
  <c r="K84" i="2" s="1"/>
  <c r="L84" i="2" s="1"/>
  <c r="M84" i="2" s="1"/>
  <c r="N84" i="2" s="1"/>
  <c r="O84" i="2" s="1"/>
  <c r="P84" i="2" s="1"/>
  <c r="Q84" i="2" s="1"/>
  <c r="R84" i="2" s="1"/>
  <c r="S84" i="2" s="1"/>
  <c r="T84" i="2" s="1"/>
  <c r="U84" i="2" s="1"/>
  <c r="V84" i="2" s="1"/>
  <c r="W84" i="2" s="1"/>
  <c r="X84" i="2" s="1"/>
  <c r="Y84" i="2" s="1"/>
  <c r="Z84" i="2" s="1"/>
  <c r="AA84" i="2" s="1"/>
  <c r="AB84" i="2" s="1"/>
  <c r="AC84" i="2" s="1"/>
  <c r="AD84" i="2" s="1"/>
  <c r="AE84" i="2" s="1"/>
  <c r="AF84" i="2" s="1"/>
  <c r="AG84" i="2" s="1"/>
  <c r="AH84" i="2" s="1"/>
  <c r="AI84" i="2" s="1"/>
  <c r="AJ84" i="2" s="1"/>
  <c r="AK84" i="2" s="1"/>
  <c r="AL84" i="2" s="1"/>
  <c r="AM84" i="2" s="1"/>
  <c r="AN84" i="2" s="1"/>
  <c r="AO84" i="2" s="1"/>
  <c r="AP84" i="2" s="1"/>
  <c r="AQ84" i="2" s="1"/>
  <c r="AR84" i="2" s="1"/>
  <c r="AS84" i="2" s="1"/>
  <c r="AT84" i="2" s="1"/>
  <c r="AU84" i="2" s="1"/>
  <c r="AV84" i="2" s="1"/>
  <c r="AW84" i="2" s="1"/>
  <c r="AX84" i="2" s="1"/>
  <c r="AY84" i="2" s="1"/>
  <c r="AZ84" i="2" s="1"/>
  <c r="BA84" i="2" s="1"/>
  <c r="BB84" i="2" s="1"/>
  <c r="F176" i="2"/>
  <c r="G176" i="2" s="1"/>
  <c r="H176" i="2" s="1"/>
  <c r="I176" i="2" s="1"/>
  <c r="J176" i="2" s="1"/>
  <c r="K176" i="2" s="1"/>
  <c r="L176" i="2" s="1"/>
  <c r="M176" i="2" s="1"/>
  <c r="N176" i="2" s="1"/>
  <c r="O176" i="2" s="1"/>
  <c r="P176" i="2" s="1"/>
  <c r="Q176" i="2" s="1"/>
  <c r="R176" i="2" s="1"/>
  <c r="S176" i="2" s="1"/>
  <c r="T176" i="2" s="1"/>
  <c r="U176" i="2" s="1"/>
  <c r="V176" i="2" s="1"/>
  <c r="W176" i="2" s="1"/>
  <c r="X176" i="2" s="1"/>
  <c r="Y176" i="2" s="1"/>
  <c r="Z176" i="2" s="1"/>
  <c r="AA176" i="2" s="1"/>
  <c r="AB176" i="2" s="1"/>
  <c r="AC176" i="2" s="1"/>
  <c r="AD176" i="2" s="1"/>
  <c r="AE176" i="2" s="1"/>
  <c r="AF176" i="2" s="1"/>
  <c r="AG176" i="2" s="1"/>
  <c r="AH176" i="2" s="1"/>
  <c r="AI176" i="2" s="1"/>
  <c r="AJ176" i="2" s="1"/>
  <c r="AK176" i="2" s="1"/>
  <c r="AL176" i="2" s="1"/>
  <c r="AM176" i="2" s="1"/>
  <c r="AN176" i="2" s="1"/>
  <c r="AO176" i="2" s="1"/>
  <c r="AP176" i="2" s="1"/>
  <c r="AQ176" i="2" s="1"/>
  <c r="AR176" i="2" s="1"/>
  <c r="AS176" i="2" s="1"/>
  <c r="AT176" i="2" s="1"/>
  <c r="AU176" i="2" s="1"/>
  <c r="AV176" i="2" s="1"/>
  <c r="AW176" i="2" s="1"/>
  <c r="AX176" i="2" s="1"/>
  <c r="AY176" i="2" s="1"/>
  <c r="AZ176" i="2" s="1"/>
  <c r="BA176" i="2" s="1"/>
  <c r="BB176" i="2" s="1"/>
  <c r="F81" i="2"/>
  <c r="F170" i="2"/>
  <c r="G170" i="2" s="1"/>
  <c r="H170" i="2" s="1"/>
  <c r="I170" i="2" s="1"/>
  <c r="J170" i="2" s="1"/>
  <c r="K170" i="2" s="1"/>
  <c r="L170" i="2" s="1"/>
  <c r="M170" i="2" s="1"/>
  <c r="N170" i="2" s="1"/>
  <c r="O170" i="2" s="1"/>
  <c r="P170" i="2" s="1"/>
  <c r="Q170" i="2" s="1"/>
  <c r="R170" i="2" s="1"/>
  <c r="S170" i="2" s="1"/>
  <c r="T170" i="2" s="1"/>
  <c r="U170" i="2" s="1"/>
  <c r="V170" i="2" s="1"/>
  <c r="W170" i="2" s="1"/>
  <c r="X170" i="2" s="1"/>
  <c r="Y170" i="2" s="1"/>
  <c r="Z170" i="2" s="1"/>
  <c r="AA170" i="2" s="1"/>
  <c r="AB170" i="2" s="1"/>
  <c r="AC170" i="2" s="1"/>
  <c r="AD170" i="2" s="1"/>
  <c r="AE170" i="2" s="1"/>
  <c r="AF170" i="2" s="1"/>
  <c r="AG170" i="2" s="1"/>
  <c r="AH170" i="2" s="1"/>
  <c r="AI170" i="2" s="1"/>
  <c r="AJ170" i="2" s="1"/>
  <c r="AK170" i="2" s="1"/>
  <c r="AL170" i="2" s="1"/>
  <c r="AM170" i="2" s="1"/>
  <c r="AN170" i="2" s="1"/>
  <c r="AO170" i="2" s="1"/>
  <c r="AP170" i="2" s="1"/>
  <c r="AQ170" i="2" s="1"/>
  <c r="AR170" i="2" s="1"/>
  <c r="AS170" i="2" s="1"/>
  <c r="AT170" i="2" s="1"/>
  <c r="AU170" i="2" s="1"/>
  <c r="AV170" i="2" s="1"/>
  <c r="AW170" i="2" s="1"/>
  <c r="AX170" i="2" s="1"/>
  <c r="AY170" i="2" s="1"/>
  <c r="AZ170" i="2" s="1"/>
  <c r="BA170" i="2" s="1"/>
  <c r="BB170" i="2" s="1"/>
  <c r="F72" i="2"/>
  <c r="G72" i="2" s="1"/>
  <c r="H72" i="2" s="1"/>
  <c r="I72" i="2" s="1"/>
  <c r="J72" i="2" s="1"/>
  <c r="K72" i="2" s="1"/>
  <c r="L72" i="2" s="1"/>
  <c r="M72" i="2" s="1"/>
  <c r="N72" i="2" s="1"/>
  <c r="O72" i="2" s="1"/>
  <c r="P72" i="2" s="1"/>
  <c r="Q72" i="2" s="1"/>
  <c r="R72" i="2" s="1"/>
  <c r="S72" i="2" s="1"/>
  <c r="T72" i="2" s="1"/>
  <c r="U72" i="2" s="1"/>
  <c r="V72" i="2" s="1"/>
  <c r="W72" i="2" s="1"/>
  <c r="X72" i="2" s="1"/>
  <c r="Y72" i="2" s="1"/>
  <c r="Z72" i="2" s="1"/>
  <c r="AA72" i="2" s="1"/>
  <c r="AB72" i="2" s="1"/>
  <c r="AC72" i="2" s="1"/>
  <c r="AD72" i="2" s="1"/>
  <c r="AE72" i="2" s="1"/>
  <c r="AF72" i="2" s="1"/>
  <c r="AG72" i="2" s="1"/>
  <c r="AH72" i="2" s="1"/>
  <c r="AI72" i="2" s="1"/>
  <c r="AJ72" i="2" s="1"/>
  <c r="AK72" i="2" s="1"/>
  <c r="AL72" i="2" s="1"/>
  <c r="AM72" i="2" s="1"/>
  <c r="AN72" i="2" s="1"/>
  <c r="AO72" i="2" s="1"/>
  <c r="AP72" i="2" s="1"/>
  <c r="AQ72" i="2" s="1"/>
  <c r="AR72" i="2" s="1"/>
  <c r="AS72" i="2" s="1"/>
  <c r="AT72" i="2" s="1"/>
  <c r="AU72" i="2" s="1"/>
  <c r="AV72" i="2" s="1"/>
  <c r="AW72" i="2" s="1"/>
  <c r="AX72" i="2" s="1"/>
  <c r="AY72" i="2" s="1"/>
  <c r="AZ72" i="2" s="1"/>
  <c r="BA72" i="2" s="1"/>
  <c r="BB72" i="2" s="1"/>
  <c r="F167" i="2"/>
  <c r="G167" i="2" s="1"/>
  <c r="H167" i="2" s="1"/>
  <c r="I167" i="2" s="1"/>
  <c r="J167" i="2" s="1"/>
  <c r="K167" i="2" s="1"/>
  <c r="L167" i="2" s="1"/>
  <c r="M167" i="2" s="1"/>
  <c r="N167" i="2" s="1"/>
  <c r="O167" i="2" s="1"/>
  <c r="P167" i="2" s="1"/>
  <c r="Q167" i="2" s="1"/>
  <c r="R167" i="2" s="1"/>
  <c r="S167" i="2" s="1"/>
  <c r="T167" i="2" s="1"/>
  <c r="U167" i="2" s="1"/>
  <c r="V167" i="2" s="1"/>
  <c r="W167" i="2" s="1"/>
  <c r="X167" i="2" s="1"/>
  <c r="Y167" i="2" s="1"/>
  <c r="Z167" i="2" s="1"/>
  <c r="AA167" i="2" s="1"/>
  <c r="AB167" i="2" s="1"/>
  <c r="AC167" i="2" s="1"/>
  <c r="AD167" i="2" s="1"/>
  <c r="AE167" i="2" s="1"/>
  <c r="AF167" i="2" s="1"/>
  <c r="AG167" i="2" s="1"/>
  <c r="AH167" i="2" s="1"/>
  <c r="AI167" i="2" s="1"/>
  <c r="AJ167" i="2" s="1"/>
  <c r="AK167" i="2" s="1"/>
  <c r="AL167" i="2" s="1"/>
  <c r="AM167" i="2" s="1"/>
  <c r="AN167" i="2" s="1"/>
  <c r="AO167" i="2" s="1"/>
  <c r="AP167" i="2" s="1"/>
  <c r="AQ167" i="2" s="1"/>
  <c r="AR167" i="2" s="1"/>
  <c r="AS167" i="2" s="1"/>
  <c r="AT167" i="2" s="1"/>
  <c r="AU167" i="2" s="1"/>
  <c r="AV167" i="2" s="1"/>
  <c r="AW167" i="2" s="1"/>
  <c r="AX167" i="2" s="1"/>
  <c r="AY167" i="2" s="1"/>
  <c r="AZ167" i="2" s="1"/>
  <c r="BA167" i="2" s="1"/>
  <c r="BB167" i="2" s="1"/>
  <c r="F68" i="2"/>
  <c r="G68" i="2" s="1"/>
  <c r="H68" i="2" s="1"/>
  <c r="I68" i="2" s="1"/>
  <c r="J68" i="2" s="1"/>
  <c r="K68" i="2" s="1"/>
  <c r="L68" i="2" s="1"/>
  <c r="M68" i="2" s="1"/>
  <c r="N68" i="2" s="1"/>
  <c r="O68" i="2" s="1"/>
  <c r="P68" i="2" s="1"/>
  <c r="Q68" i="2" s="1"/>
  <c r="R68" i="2" s="1"/>
  <c r="S68" i="2" s="1"/>
  <c r="T68" i="2" s="1"/>
  <c r="U68" i="2" s="1"/>
  <c r="V68" i="2" s="1"/>
  <c r="W68" i="2" s="1"/>
  <c r="X68" i="2" s="1"/>
  <c r="Y68" i="2" s="1"/>
  <c r="Z68" i="2" s="1"/>
  <c r="AA68" i="2" s="1"/>
  <c r="AB68" i="2" s="1"/>
  <c r="AC68" i="2" s="1"/>
  <c r="AD68" i="2" s="1"/>
  <c r="AE68" i="2" s="1"/>
  <c r="AF68" i="2" s="1"/>
  <c r="AG68" i="2" s="1"/>
  <c r="AH68" i="2" s="1"/>
  <c r="AI68" i="2" s="1"/>
  <c r="AJ68" i="2" s="1"/>
  <c r="AK68" i="2" s="1"/>
  <c r="AL68" i="2" s="1"/>
  <c r="AM68" i="2" s="1"/>
  <c r="AN68" i="2" s="1"/>
  <c r="AO68" i="2" s="1"/>
  <c r="AP68" i="2" s="1"/>
  <c r="AQ68" i="2" s="1"/>
  <c r="AR68" i="2" s="1"/>
  <c r="AS68" i="2" s="1"/>
  <c r="AT68" i="2" s="1"/>
  <c r="AU68" i="2" s="1"/>
  <c r="AV68" i="2" s="1"/>
  <c r="AW68" i="2" s="1"/>
  <c r="AX68" i="2" s="1"/>
  <c r="AY68" i="2" s="1"/>
  <c r="AZ68" i="2" s="1"/>
  <c r="BA68" i="2" s="1"/>
  <c r="BB68" i="2" s="1"/>
  <c r="F164" i="2"/>
  <c r="G164" i="2" s="1"/>
  <c r="H164" i="2" s="1"/>
  <c r="I164" i="2" s="1"/>
  <c r="J164" i="2" s="1"/>
  <c r="K164" i="2" s="1"/>
  <c r="L164" i="2" s="1"/>
  <c r="M164" i="2" s="1"/>
  <c r="N164" i="2" s="1"/>
  <c r="O164" i="2" s="1"/>
  <c r="P164" i="2" s="1"/>
  <c r="Q164" i="2" s="1"/>
  <c r="R164" i="2" s="1"/>
  <c r="S164" i="2" s="1"/>
  <c r="T164" i="2" s="1"/>
  <c r="U164" i="2" s="1"/>
  <c r="V164" i="2" s="1"/>
  <c r="W164" i="2" s="1"/>
  <c r="X164" i="2" s="1"/>
  <c r="Y164" i="2" s="1"/>
  <c r="F162" i="2"/>
  <c r="G162" i="2" s="1"/>
  <c r="H162" i="2" s="1"/>
  <c r="I162" i="2" s="1"/>
  <c r="J162" i="2" s="1"/>
  <c r="K162" i="2" s="1"/>
  <c r="L162" i="2" s="1"/>
  <c r="M162" i="2" s="1"/>
  <c r="N162" i="2" s="1"/>
  <c r="O162" i="2" s="1"/>
  <c r="P162" i="2" s="1"/>
  <c r="Q162" i="2" s="1"/>
  <c r="R162" i="2" s="1"/>
  <c r="S162" i="2" s="1"/>
  <c r="T162" i="2" s="1"/>
  <c r="U162" i="2" s="1"/>
  <c r="V162" i="2" s="1"/>
  <c r="W162" i="2" s="1"/>
  <c r="X162" i="2" s="1"/>
  <c r="Y162" i="2" s="1"/>
  <c r="F182" i="2"/>
  <c r="G182" i="2" s="1"/>
  <c r="H182" i="2" s="1"/>
  <c r="I182" i="2" s="1"/>
  <c r="J182" i="2" s="1"/>
  <c r="K182" i="2" s="1"/>
  <c r="L182" i="2" s="1"/>
  <c r="M182" i="2" s="1"/>
  <c r="N182" i="2" s="1"/>
  <c r="O182" i="2" s="1"/>
  <c r="P182" i="2" s="1"/>
  <c r="Q182" i="2" s="1"/>
  <c r="R182" i="2" s="1"/>
  <c r="S182" i="2" s="1"/>
  <c r="T182" i="2" s="1"/>
  <c r="U182" i="2" s="1"/>
  <c r="V182" i="2" s="1"/>
  <c r="W182" i="2" s="1"/>
  <c r="X182" i="2" s="1"/>
  <c r="Y182" i="2" s="1"/>
  <c r="Z182" i="2" s="1"/>
  <c r="AA182" i="2" s="1"/>
  <c r="AB182" i="2" s="1"/>
  <c r="AC182" i="2" s="1"/>
  <c r="AD182" i="2" s="1"/>
  <c r="AE182" i="2" s="1"/>
  <c r="AF182" i="2" s="1"/>
  <c r="AG182" i="2" s="1"/>
  <c r="AH182" i="2" s="1"/>
  <c r="AI182" i="2" s="1"/>
  <c r="AJ182" i="2" s="1"/>
  <c r="AK182" i="2" s="1"/>
  <c r="AL182" i="2" s="1"/>
  <c r="AM182" i="2" s="1"/>
  <c r="AN182" i="2" s="1"/>
  <c r="AO182" i="2" s="1"/>
  <c r="AP182" i="2" s="1"/>
  <c r="AQ182" i="2" s="1"/>
  <c r="AR182" i="2" s="1"/>
  <c r="AS182" i="2" s="1"/>
  <c r="AT182" i="2" s="1"/>
  <c r="AU182" i="2" s="1"/>
  <c r="AV182" i="2" s="1"/>
  <c r="AW182" i="2" s="1"/>
  <c r="AX182" i="2" s="1"/>
  <c r="AY182" i="2" s="1"/>
  <c r="AZ182" i="2" s="1"/>
  <c r="BA182" i="2" s="1"/>
  <c r="BB182" i="2" s="1"/>
  <c r="Z164" i="2"/>
  <c r="AA164" i="2" s="1"/>
  <c r="AB164" i="2" s="1"/>
  <c r="AC164" i="2" s="1"/>
  <c r="AD164" i="2" s="1"/>
  <c r="AE164" i="2" s="1"/>
  <c r="AF164" i="2" s="1"/>
  <c r="AG164" i="2" s="1"/>
  <c r="AH164" i="2" s="1"/>
  <c r="AI164" i="2" s="1"/>
  <c r="AJ164" i="2" s="1"/>
  <c r="AK164" i="2" s="1"/>
  <c r="AL164" i="2" s="1"/>
  <c r="AM164" i="2" s="1"/>
  <c r="AN164" i="2" s="1"/>
  <c r="AO164" i="2" s="1"/>
  <c r="AP164" i="2" s="1"/>
  <c r="AQ164" i="2" s="1"/>
  <c r="AR164" i="2" s="1"/>
  <c r="AS164" i="2" s="1"/>
  <c r="AT164" i="2" s="1"/>
  <c r="AU164" i="2" s="1"/>
  <c r="AV164" i="2" s="1"/>
  <c r="AW164" i="2" s="1"/>
  <c r="AX164" i="2" s="1"/>
  <c r="AY164" i="2" s="1"/>
  <c r="AZ164" i="2" s="1"/>
  <c r="BA164" i="2" s="1"/>
  <c r="BB164" i="2" s="1"/>
  <c r="G83" i="2"/>
  <c r="H83" i="2" s="1"/>
  <c r="I83" i="2" s="1"/>
  <c r="J83" i="2" s="1"/>
  <c r="K83" i="2" s="1"/>
  <c r="L83" i="2" s="1"/>
  <c r="M83" i="2" s="1"/>
  <c r="N83" i="2" s="1"/>
  <c r="O83" i="2" s="1"/>
  <c r="P83" i="2" s="1"/>
  <c r="Q83" i="2" s="1"/>
  <c r="R83" i="2" s="1"/>
  <c r="S83" i="2" s="1"/>
  <c r="T83" i="2" s="1"/>
  <c r="U83" i="2" s="1"/>
  <c r="V83" i="2" s="1"/>
  <c r="W83" i="2" s="1"/>
  <c r="X83" i="2" s="1"/>
  <c r="Y83" i="2" s="1"/>
  <c r="Z83" i="2" s="1"/>
  <c r="AA83" i="2" s="1"/>
  <c r="AB83" i="2" s="1"/>
  <c r="AC83" i="2" s="1"/>
  <c r="AD83" i="2" s="1"/>
  <c r="AE83" i="2" s="1"/>
  <c r="AF83" i="2" s="1"/>
  <c r="AG83" i="2" s="1"/>
  <c r="AH83" i="2" s="1"/>
  <c r="AI83" i="2" s="1"/>
  <c r="AJ83" i="2" s="1"/>
  <c r="AK83" i="2" s="1"/>
  <c r="AL83" i="2" s="1"/>
  <c r="AM83" i="2" s="1"/>
  <c r="AN83" i="2" s="1"/>
  <c r="AO83" i="2" s="1"/>
  <c r="AP83" i="2" s="1"/>
  <c r="AQ83" i="2" s="1"/>
  <c r="AR83" i="2" s="1"/>
  <c r="AS83" i="2" s="1"/>
  <c r="AT83" i="2" s="1"/>
  <c r="AU83" i="2" s="1"/>
  <c r="AV83" i="2" s="1"/>
  <c r="AW83" i="2" s="1"/>
  <c r="AX83" i="2" s="1"/>
  <c r="AY83" i="2" s="1"/>
  <c r="AZ83" i="2" s="1"/>
  <c r="BA83" i="2" s="1"/>
  <c r="BB83" i="2" s="1"/>
  <c r="Z162" i="2"/>
  <c r="AA162" i="2" s="1"/>
  <c r="AB162" i="2" s="1"/>
  <c r="AC162" i="2" s="1"/>
  <c r="AD162" i="2" s="1"/>
  <c r="AE162" i="2" s="1"/>
  <c r="AF162" i="2" s="1"/>
  <c r="AG162" i="2" s="1"/>
  <c r="AH162" i="2" s="1"/>
  <c r="AI162" i="2" s="1"/>
  <c r="AJ162" i="2" s="1"/>
  <c r="AK162" i="2" s="1"/>
  <c r="AL162" i="2" s="1"/>
  <c r="AM162" i="2" s="1"/>
  <c r="AN162" i="2" s="1"/>
  <c r="AO162" i="2" s="1"/>
  <c r="AP162" i="2" s="1"/>
  <c r="AQ162" i="2" s="1"/>
  <c r="AR162" i="2" s="1"/>
  <c r="AS162" i="2" s="1"/>
  <c r="AT162" i="2" s="1"/>
  <c r="AU162" i="2" s="1"/>
  <c r="AV162" i="2" s="1"/>
  <c r="AW162" i="2" s="1"/>
  <c r="AX162" i="2" s="1"/>
  <c r="AY162" i="2" s="1"/>
  <c r="AZ162" i="2" s="1"/>
  <c r="BA162" i="2" s="1"/>
  <c r="BB162" i="2" s="1"/>
  <c r="J181" i="2"/>
  <c r="K181" i="2" s="1"/>
  <c r="L181" i="2" s="1"/>
  <c r="M181" i="2" s="1"/>
  <c r="N181" i="2" s="1"/>
  <c r="O181" i="2" s="1"/>
  <c r="P181" i="2" s="1"/>
  <c r="Q181" i="2" s="1"/>
  <c r="R181" i="2" s="1"/>
  <c r="S181" i="2" s="1"/>
  <c r="T181" i="2" s="1"/>
  <c r="U181" i="2" s="1"/>
  <c r="V181" i="2" s="1"/>
  <c r="W181" i="2" s="1"/>
  <c r="X181" i="2" s="1"/>
  <c r="Y181" i="2" s="1"/>
  <c r="Z181" i="2" s="1"/>
  <c r="AA181" i="2" s="1"/>
  <c r="AB181" i="2" s="1"/>
  <c r="AC181" i="2" s="1"/>
  <c r="AD181" i="2" s="1"/>
  <c r="AE181" i="2" s="1"/>
  <c r="AF181" i="2" s="1"/>
  <c r="AG181" i="2" s="1"/>
  <c r="AH181" i="2" s="1"/>
  <c r="AI181" i="2" s="1"/>
  <c r="AJ181" i="2" s="1"/>
  <c r="AK181" i="2" s="1"/>
  <c r="AL181" i="2" s="1"/>
  <c r="AM181" i="2" s="1"/>
  <c r="AN181" i="2" s="1"/>
  <c r="AO181" i="2" s="1"/>
  <c r="AP181" i="2" s="1"/>
  <c r="AQ181" i="2" s="1"/>
  <c r="AR181" i="2" s="1"/>
  <c r="AS181" i="2" s="1"/>
  <c r="AT181" i="2" s="1"/>
  <c r="AU181" i="2" s="1"/>
  <c r="AV181" i="2" s="1"/>
  <c r="AW181" i="2" s="1"/>
  <c r="AX181" i="2" s="1"/>
  <c r="AY181" i="2" s="1"/>
  <c r="AZ181" i="2" s="1"/>
  <c r="BA181" i="2" s="1"/>
  <c r="BB181" i="2" s="1"/>
  <c r="F85" i="2"/>
  <c r="G85" i="2" s="1"/>
  <c r="H85" i="2" s="1"/>
  <c r="I85" i="2" s="1"/>
  <c r="J85" i="2" s="1"/>
  <c r="K85" i="2" s="1"/>
  <c r="L85" i="2" s="1"/>
  <c r="M85" i="2" s="1"/>
  <c r="N85" i="2" s="1"/>
  <c r="O85" i="2" s="1"/>
  <c r="P85" i="2" s="1"/>
  <c r="Q85" i="2" s="1"/>
  <c r="R85" i="2" s="1"/>
  <c r="S85" i="2" s="1"/>
  <c r="T85" i="2" s="1"/>
  <c r="U85" i="2" s="1"/>
  <c r="V85" i="2" s="1"/>
  <c r="W85" i="2" s="1"/>
  <c r="X85" i="2" s="1"/>
  <c r="Y85" i="2" s="1"/>
  <c r="Z85" i="2" s="1"/>
  <c r="AA85" i="2" s="1"/>
  <c r="AB85" i="2" s="1"/>
  <c r="AC85" i="2" s="1"/>
  <c r="AD85" i="2" s="1"/>
  <c r="AE85" i="2" s="1"/>
  <c r="AF85" i="2" s="1"/>
  <c r="AG85" i="2" s="1"/>
  <c r="AH85" i="2" s="1"/>
  <c r="AI85" i="2" s="1"/>
  <c r="AJ85" i="2" s="1"/>
  <c r="AK85" i="2" s="1"/>
  <c r="AL85" i="2" s="1"/>
  <c r="AM85" i="2" s="1"/>
  <c r="AN85" i="2" s="1"/>
  <c r="AO85" i="2" s="1"/>
  <c r="AP85" i="2" s="1"/>
  <c r="AQ85" i="2" s="1"/>
  <c r="AR85" i="2" s="1"/>
  <c r="AS85" i="2" s="1"/>
  <c r="AT85" i="2" s="1"/>
  <c r="AU85" i="2" s="1"/>
  <c r="AV85" i="2" s="1"/>
  <c r="AW85" i="2" s="1"/>
  <c r="AX85" i="2" s="1"/>
  <c r="AY85" i="2" s="1"/>
  <c r="AZ85" i="2" s="1"/>
  <c r="BA85" i="2" s="1"/>
  <c r="BB85" i="2" s="1"/>
  <c r="F82" i="2"/>
  <c r="G82" i="2" s="1"/>
  <c r="H82" i="2" s="1"/>
  <c r="I82" i="2" s="1"/>
  <c r="J82" i="2" s="1"/>
  <c r="K82" i="2" s="1"/>
  <c r="L82" i="2" s="1"/>
  <c r="M82" i="2" s="1"/>
  <c r="N82" i="2" s="1"/>
  <c r="O82" i="2" s="1"/>
  <c r="P82" i="2" s="1"/>
  <c r="Q82" i="2" s="1"/>
  <c r="R82" i="2" s="1"/>
  <c r="S82" i="2" s="1"/>
  <c r="T82" i="2" s="1"/>
  <c r="U82" i="2" s="1"/>
  <c r="V82" i="2" s="1"/>
  <c r="W82" i="2" s="1"/>
  <c r="X82" i="2" s="1"/>
  <c r="Y82" i="2" s="1"/>
  <c r="Z82" i="2" s="1"/>
  <c r="AA82" i="2" s="1"/>
  <c r="AB82" i="2" s="1"/>
  <c r="AC82" i="2" s="1"/>
  <c r="AD82" i="2" s="1"/>
  <c r="AE82" i="2" s="1"/>
  <c r="AF82" i="2" s="1"/>
  <c r="AG82" i="2" s="1"/>
  <c r="AH82" i="2" s="1"/>
  <c r="AI82" i="2" s="1"/>
  <c r="AJ82" i="2" s="1"/>
  <c r="AK82" i="2" s="1"/>
  <c r="AL82" i="2" s="1"/>
  <c r="AM82" i="2" s="1"/>
  <c r="AN82" i="2" s="1"/>
  <c r="AO82" i="2" s="1"/>
  <c r="AP82" i="2" s="1"/>
  <c r="AQ82" i="2" s="1"/>
  <c r="AR82" i="2" s="1"/>
  <c r="AS82" i="2" s="1"/>
  <c r="AT82" i="2" s="1"/>
  <c r="AU82" i="2" s="1"/>
  <c r="AV82" i="2" s="1"/>
  <c r="AW82" i="2" s="1"/>
  <c r="AX82" i="2" s="1"/>
  <c r="AY82" i="2" s="1"/>
  <c r="AZ82" i="2" s="1"/>
  <c r="BA82" i="2" s="1"/>
  <c r="BB82" i="2" s="1"/>
  <c r="F76" i="2"/>
  <c r="G76" i="2" s="1"/>
  <c r="H76" i="2" s="1"/>
  <c r="I76" i="2" s="1"/>
  <c r="J76" i="2" s="1"/>
  <c r="K76" i="2" s="1"/>
  <c r="L76" i="2" s="1"/>
  <c r="M76" i="2" s="1"/>
  <c r="N76" i="2" s="1"/>
  <c r="O76" i="2" s="1"/>
  <c r="P76" i="2" s="1"/>
  <c r="Q76" i="2" s="1"/>
  <c r="R76" i="2" s="1"/>
  <c r="S76" i="2" s="1"/>
  <c r="T76" i="2" s="1"/>
  <c r="U76" i="2" s="1"/>
  <c r="V76" i="2" s="1"/>
  <c r="W76" i="2" s="1"/>
  <c r="X76" i="2" s="1"/>
  <c r="Y76" i="2" s="1"/>
  <c r="Z76" i="2" s="1"/>
  <c r="AA76" i="2" s="1"/>
  <c r="AB76" i="2" s="1"/>
  <c r="AC76" i="2" s="1"/>
  <c r="AD76" i="2" s="1"/>
  <c r="AE76" i="2" s="1"/>
  <c r="AF76" i="2" s="1"/>
  <c r="AG76" i="2" s="1"/>
  <c r="AH76" i="2" s="1"/>
  <c r="AI76" i="2" s="1"/>
  <c r="AJ76" i="2" s="1"/>
  <c r="AK76" i="2" s="1"/>
  <c r="AL76" i="2" s="1"/>
  <c r="AM76" i="2" s="1"/>
  <c r="AN76" i="2" s="1"/>
  <c r="AO76" i="2" s="1"/>
  <c r="AP76" i="2" s="1"/>
  <c r="AQ76" i="2" s="1"/>
  <c r="AR76" i="2" s="1"/>
  <c r="AS76" i="2" s="1"/>
  <c r="AT76" i="2" s="1"/>
  <c r="AU76" i="2" s="1"/>
  <c r="AV76" i="2" s="1"/>
  <c r="AW76" i="2" s="1"/>
  <c r="AX76" i="2" s="1"/>
  <c r="AY76" i="2" s="1"/>
  <c r="AZ76" i="2" s="1"/>
  <c r="BA76" i="2" s="1"/>
  <c r="BB76" i="2" s="1"/>
  <c r="F65" i="2"/>
  <c r="G65" i="2" s="1"/>
  <c r="H65" i="2" s="1"/>
  <c r="I65" i="2" s="1"/>
  <c r="J65" i="2" s="1"/>
  <c r="K65" i="2" s="1"/>
  <c r="L65" i="2" s="1"/>
  <c r="M65" i="2" s="1"/>
  <c r="N65" i="2" s="1"/>
  <c r="O65" i="2" s="1"/>
  <c r="P65" i="2" s="1"/>
  <c r="Q65" i="2" s="1"/>
  <c r="R65" i="2" s="1"/>
  <c r="S65" i="2" s="1"/>
  <c r="T65" i="2" s="1"/>
  <c r="U65" i="2" s="1"/>
  <c r="V65" i="2" s="1"/>
  <c r="W65" i="2" s="1"/>
  <c r="X65" i="2" s="1"/>
  <c r="Y65" i="2" s="1"/>
  <c r="Z65" i="2" s="1"/>
  <c r="AA65" i="2" s="1"/>
  <c r="AB65" i="2" s="1"/>
  <c r="AC65" i="2" s="1"/>
  <c r="AD65" i="2" s="1"/>
  <c r="AE65" i="2" s="1"/>
  <c r="AF65" i="2" s="1"/>
  <c r="AG65" i="2" s="1"/>
  <c r="AH65" i="2" s="1"/>
  <c r="AI65" i="2" s="1"/>
  <c r="AJ65" i="2" s="1"/>
  <c r="AK65" i="2" s="1"/>
  <c r="AL65" i="2" s="1"/>
  <c r="AM65" i="2" s="1"/>
  <c r="AN65" i="2" s="1"/>
  <c r="AO65" i="2" s="1"/>
  <c r="AP65" i="2" s="1"/>
  <c r="AQ65" i="2" s="1"/>
  <c r="AR65" i="2" s="1"/>
  <c r="AS65" i="2" s="1"/>
  <c r="AT65" i="2" s="1"/>
  <c r="AU65" i="2" s="1"/>
  <c r="AV65" i="2" s="1"/>
  <c r="AW65" i="2" s="1"/>
  <c r="AX65" i="2" s="1"/>
  <c r="AY65" i="2" s="1"/>
  <c r="AZ65" i="2" s="1"/>
  <c r="BA65" i="2" s="1"/>
  <c r="BB65" i="2" s="1"/>
  <c r="F177" i="2"/>
  <c r="G177" i="2" s="1"/>
  <c r="H177" i="2" s="1"/>
  <c r="I177" i="2" s="1"/>
  <c r="J177" i="2" s="1"/>
  <c r="K177" i="2" s="1"/>
  <c r="L177" i="2" s="1"/>
  <c r="M177" i="2" s="1"/>
  <c r="N177" i="2" s="1"/>
  <c r="O177" i="2" s="1"/>
  <c r="P177" i="2" s="1"/>
  <c r="Q177" i="2" s="1"/>
  <c r="R177" i="2" s="1"/>
  <c r="S177" i="2" s="1"/>
  <c r="T177" i="2" s="1"/>
  <c r="U177" i="2" s="1"/>
  <c r="V177" i="2" s="1"/>
  <c r="W177" i="2" s="1"/>
  <c r="X177" i="2" s="1"/>
  <c r="Y177" i="2" s="1"/>
  <c r="Z177" i="2" s="1"/>
  <c r="AA177" i="2" s="1"/>
  <c r="AB177" i="2" s="1"/>
  <c r="AC177" i="2" s="1"/>
  <c r="AD177" i="2" s="1"/>
  <c r="AE177" i="2" s="1"/>
  <c r="AF177" i="2" s="1"/>
  <c r="AG177" i="2" s="1"/>
  <c r="AH177" i="2" s="1"/>
  <c r="AI177" i="2" s="1"/>
  <c r="AJ177" i="2" s="1"/>
  <c r="AK177" i="2" s="1"/>
  <c r="AL177" i="2" s="1"/>
  <c r="AM177" i="2" s="1"/>
  <c r="AN177" i="2" s="1"/>
  <c r="AO177" i="2" s="1"/>
  <c r="AP177" i="2" s="1"/>
  <c r="AQ177" i="2" s="1"/>
  <c r="AR177" i="2" s="1"/>
  <c r="AS177" i="2" s="1"/>
  <c r="AT177" i="2" s="1"/>
  <c r="AU177" i="2" s="1"/>
  <c r="AV177" i="2" s="1"/>
  <c r="AW177" i="2" s="1"/>
  <c r="AX177" i="2" s="1"/>
  <c r="AY177" i="2" s="1"/>
  <c r="AZ177" i="2" s="1"/>
  <c r="BA177" i="2" s="1"/>
  <c r="BB177" i="2" s="1"/>
  <c r="F174" i="2"/>
  <c r="G174" i="2" s="1"/>
  <c r="H174" i="2" s="1"/>
  <c r="I174" i="2" s="1"/>
  <c r="J174" i="2" s="1"/>
  <c r="K174" i="2" s="1"/>
  <c r="L174" i="2" s="1"/>
  <c r="M174" i="2" s="1"/>
  <c r="N174" i="2" s="1"/>
  <c r="O174" i="2" s="1"/>
  <c r="P174" i="2" s="1"/>
  <c r="Q174" i="2" s="1"/>
  <c r="R174" i="2" s="1"/>
  <c r="S174" i="2" s="1"/>
  <c r="T174" i="2" s="1"/>
  <c r="U174" i="2" s="1"/>
  <c r="V174" i="2" s="1"/>
  <c r="W174" i="2" s="1"/>
  <c r="X174" i="2" s="1"/>
  <c r="Y174" i="2" s="1"/>
  <c r="Z174" i="2" s="1"/>
  <c r="AA174" i="2" s="1"/>
  <c r="AB174" i="2" s="1"/>
  <c r="AC174" i="2" s="1"/>
  <c r="AD174" i="2" s="1"/>
  <c r="AE174" i="2" s="1"/>
  <c r="AF174" i="2" s="1"/>
  <c r="AG174" i="2" s="1"/>
  <c r="AH174" i="2" s="1"/>
  <c r="AI174" i="2" s="1"/>
  <c r="AJ174" i="2" s="1"/>
  <c r="AK174" i="2" s="1"/>
  <c r="AL174" i="2" s="1"/>
  <c r="AM174" i="2" s="1"/>
  <c r="AN174" i="2" s="1"/>
  <c r="AO174" i="2" s="1"/>
  <c r="AP174" i="2" s="1"/>
  <c r="AQ174" i="2" s="1"/>
  <c r="AR174" i="2" s="1"/>
  <c r="AS174" i="2" s="1"/>
  <c r="AT174" i="2" s="1"/>
  <c r="AU174" i="2" s="1"/>
  <c r="AV174" i="2" s="1"/>
  <c r="AW174" i="2" s="1"/>
  <c r="AX174" i="2" s="1"/>
  <c r="AY174" i="2" s="1"/>
  <c r="AZ174" i="2" s="1"/>
  <c r="BA174" i="2" s="1"/>
  <c r="BB174" i="2" s="1"/>
  <c r="F63" i="2"/>
  <c r="G63" i="2" s="1"/>
  <c r="H63" i="2" s="1"/>
  <c r="I63" i="2" s="1"/>
  <c r="J63" i="2" s="1"/>
  <c r="K63" i="2" s="1"/>
  <c r="L63" i="2" s="1"/>
  <c r="M63" i="2" s="1"/>
  <c r="N63" i="2" s="1"/>
  <c r="O63" i="2" s="1"/>
  <c r="P63" i="2" s="1"/>
  <c r="Q63" i="2" s="1"/>
  <c r="R63" i="2" s="1"/>
  <c r="S63" i="2" s="1"/>
  <c r="T63" i="2" s="1"/>
  <c r="U63" i="2" s="1"/>
  <c r="V63" i="2" s="1"/>
  <c r="W63" i="2" s="1"/>
  <c r="X63" i="2" s="1"/>
  <c r="Y63" i="2" s="1"/>
  <c r="Z63" i="2" s="1"/>
  <c r="AA63" i="2" s="1"/>
  <c r="AB63" i="2" s="1"/>
  <c r="AC63" i="2" s="1"/>
  <c r="AD63" i="2" s="1"/>
  <c r="AE63" i="2" s="1"/>
  <c r="AF63" i="2" s="1"/>
  <c r="AG63" i="2" s="1"/>
  <c r="AH63" i="2" s="1"/>
  <c r="AI63" i="2" s="1"/>
  <c r="AJ63" i="2" s="1"/>
  <c r="AK63" i="2" s="1"/>
  <c r="AL63" i="2" s="1"/>
  <c r="AM63" i="2" s="1"/>
  <c r="AN63" i="2" s="1"/>
  <c r="AO63" i="2" s="1"/>
  <c r="AP63" i="2" s="1"/>
  <c r="AQ63" i="2" s="1"/>
  <c r="AR63" i="2" s="1"/>
  <c r="AS63" i="2" s="1"/>
  <c r="AT63" i="2" s="1"/>
  <c r="AU63" i="2" s="1"/>
  <c r="AV63" i="2" s="1"/>
  <c r="AW63" i="2" s="1"/>
  <c r="AX63" i="2" s="1"/>
  <c r="AY63" i="2" s="1"/>
  <c r="AZ63" i="2" s="1"/>
  <c r="BA63" i="2" s="1"/>
  <c r="BB63" i="2" s="1"/>
  <c r="I28" i="6"/>
  <c r="J28" i="6" s="1"/>
  <c r="I24" i="6"/>
  <c r="J24" i="6" s="1"/>
  <c r="I20" i="6"/>
  <c r="J20" i="6" s="1"/>
  <c r="I16" i="6"/>
  <c r="J16" i="6" s="1"/>
  <c r="I12" i="6"/>
  <c r="J12" i="6" s="1"/>
  <c r="I8" i="6"/>
  <c r="J8" i="6" s="1"/>
  <c r="G81" i="2"/>
  <c r="H81" i="2" s="1"/>
  <c r="I81" i="2" s="1"/>
  <c r="J81" i="2" s="1"/>
  <c r="K81" i="2" s="1"/>
  <c r="L81" i="2" s="1"/>
  <c r="M81" i="2" s="1"/>
  <c r="N81" i="2" s="1"/>
  <c r="O81" i="2" s="1"/>
  <c r="P81" i="2" s="1"/>
  <c r="Q81" i="2" s="1"/>
  <c r="R81" i="2" s="1"/>
  <c r="S81" i="2" s="1"/>
  <c r="T81" i="2" s="1"/>
  <c r="U81" i="2" s="1"/>
  <c r="V81" i="2" s="1"/>
  <c r="W81" i="2" s="1"/>
  <c r="X81" i="2" s="1"/>
  <c r="Y81" i="2" s="1"/>
  <c r="Z81" i="2" s="1"/>
  <c r="AA81" i="2" s="1"/>
  <c r="AB81" i="2" s="1"/>
  <c r="AC81" i="2" s="1"/>
  <c r="AD81" i="2" s="1"/>
  <c r="AE81" i="2" s="1"/>
  <c r="AF81" i="2" s="1"/>
  <c r="AG81" i="2" s="1"/>
  <c r="AH81" i="2" s="1"/>
  <c r="AI81" i="2" s="1"/>
  <c r="AJ81" i="2" s="1"/>
  <c r="AK81" i="2" s="1"/>
  <c r="AL81" i="2" s="1"/>
  <c r="AM81" i="2" s="1"/>
  <c r="AN81" i="2" s="1"/>
  <c r="AO81" i="2" s="1"/>
  <c r="AP81" i="2" s="1"/>
  <c r="AQ81" i="2" s="1"/>
  <c r="AR81" i="2" s="1"/>
  <c r="AS81" i="2" s="1"/>
  <c r="AT81" i="2" s="1"/>
  <c r="AU81" i="2" s="1"/>
  <c r="AV81" i="2" s="1"/>
  <c r="AW81" i="2" s="1"/>
  <c r="AX81" i="2" s="1"/>
  <c r="AY81" i="2" s="1"/>
  <c r="AZ81" i="2" s="1"/>
  <c r="BA81" i="2" s="1"/>
  <c r="BB81" i="2" s="1"/>
  <c r="F173" i="2"/>
  <c r="G173" i="2" s="1"/>
  <c r="H173" i="2" s="1"/>
  <c r="I173" i="2" s="1"/>
  <c r="J173" i="2" s="1"/>
  <c r="K173" i="2" s="1"/>
  <c r="L173" i="2" s="1"/>
  <c r="M173" i="2" s="1"/>
  <c r="N173" i="2" s="1"/>
  <c r="O173" i="2" s="1"/>
  <c r="P173" i="2" s="1"/>
  <c r="Q173" i="2" s="1"/>
  <c r="R173" i="2" s="1"/>
  <c r="S173" i="2" s="1"/>
  <c r="T173" i="2" s="1"/>
  <c r="U173" i="2" s="1"/>
  <c r="V173" i="2" s="1"/>
  <c r="W173" i="2" s="1"/>
  <c r="X173" i="2" s="1"/>
  <c r="Y173" i="2" s="1"/>
  <c r="Z173" i="2" s="1"/>
  <c r="AA173" i="2" s="1"/>
  <c r="AB173" i="2" s="1"/>
  <c r="AC173" i="2" s="1"/>
  <c r="AD173" i="2" s="1"/>
  <c r="AE173" i="2" s="1"/>
  <c r="AF173" i="2" s="1"/>
  <c r="AG173" i="2" s="1"/>
  <c r="AH173" i="2" s="1"/>
  <c r="AI173" i="2" s="1"/>
  <c r="AJ173" i="2" s="1"/>
  <c r="AK173" i="2" s="1"/>
  <c r="AL173" i="2" s="1"/>
  <c r="AM173" i="2" s="1"/>
  <c r="AN173" i="2" s="1"/>
  <c r="AO173" i="2" s="1"/>
  <c r="AP173" i="2" s="1"/>
  <c r="AQ173" i="2" s="1"/>
  <c r="AR173" i="2" s="1"/>
  <c r="AS173" i="2" s="1"/>
  <c r="AT173" i="2" s="1"/>
  <c r="AU173" i="2" s="1"/>
  <c r="AV173" i="2" s="1"/>
  <c r="AW173" i="2" s="1"/>
  <c r="AX173" i="2" s="1"/>
  <c r="AY173" i="2" s="1"/>
  <c r="AZ173" i="2" s="1"/>
  <c r="BA173" i="2" s="1"/>
  <c r="BB173" i="2" s="1"/>
  <c r="F61" i="2"/>
  <c r="F78" i="2"/>
  <c r="G78" i="2" s="1"/>
  <c r="H78" i="2" s="1"/>
  <c r="I78" i="2" s="1"/>
  <c r="J78" i="2" s="1"/>
  <c r="K78" i="2" s="1"/>
  <c r="L78" i="2" s="1"/>
  <c r="M78" i="2" s="1"/>
  <c r="N78" i="2" s="1"/>
  <c r="O78" i="2" s="1"/>
  <c r="P78" i="2" s="1"/>
  <c r="Q78" i="2" s="1"/>
  <c r="R78" i="2" s="1"/>
  <c r="S78" i="2" s="1"/>
  <c r="T78" i="2" s="1"/>
  <c r="U78" i="2" s="1"/>
  <c r="V78" i="2" s="1"/>
  <c r="W78" i="2" s="1"/>
  <c r="X78" i="2" s="1"/>
  <c r="Y78" i="2" s="1"/>
  <c r="Z78" i="2" s="1"/>
  <c r="AA78" i="2" s="1"/>
  <c r="AB78" i="2" s="1"/>
  <c r="AC78" i="2" s="1"/>
  <c r="AD78" i="2" s="1"/>
  <c r="AE78" i="2" s="1"/>
  <c r="AF78" i="2" s="1"/>
  <c r="AG78" i="2" s="1"/>
  <c r="AH78" i="2" s="1"/>
  <c r="AI78" i="2" s="1"/>
  <c r="AJ78" i="2" s="1"/>
  <c r="AK78" i="2" s="1"/>
  <c r="AL78" i="2" s="1"/>
  <c r="AM78" i="2" s="1"/>
  <c r="AN78" i="2" s="1"/>
  <c r="AO78" i="2" s="1"/>
  <c r="AP78" i="2" s="1"/>
  <c r="AQ78" i="2" s="1"/>
  <c r="AR78" i="2" s="1"/>
  <c r="AS78" i="2" s="1"/>
  <c r="AT78" i="2" s="1"/>
  <c r="AU78" i="2" s="1"/>
  <c r="AV78" i="2" s="1"/>
  <c r="AW78" i="2" s="1"/>
  <c r="AX78" i="2" s="1"/>
  <c r="AY78" i="2" s="1"/>
  <c r="AZ78" i="2" s="1"/>
  <c r="BA78" i="2" s="1"/>
  <c r="BB78" i="2" s="1"/>
  <c r="F62" i="2"/>
  <c r="G62" i="2" s="1"/>
  <c r="H62" i="2" s="1"/>
  <c r="I62" i="2" s="1"/>
  <c r="J62" i="2" s="1"/>
  <c r="K62" i="2" s="1"/>
  <c r="L62" i="2" s="1"/>
  <c r="M62" i="2" s="1"/>
  <c r="N62" i="2" s="1"/>
  <c r="O62" i="2" s="1"/>
  <c r="P62" i="2" s="1"/>
  <c r="Q62" i="2" s="1"/>
  <c r="R62" i="2" s="1"/>
  <c r="S62" i="2" s="1"/>
  <c r="T62" i="2" s="1"/>
  <c r="U62" i="2" s="1"/>
  <c r="V62" i="2" s="1"/>
  <c r="W62" i="2" s="1"/>
  <c r="X62" i="2" s="1"/>
  <c r="Y62" i="2" s="1"/>
  <c r="Z62" i="2" s="1"/>
  <c r="AA62" i="2" s="1"/>
  <c r="AB62" i="2" s="1"/>
  <c r="AC62" i="2" s="1"/>
  <c r="AD62" i="2" s="1"/>
  <c r="AE62" i="2" s="1"/>
  <c r="AF62" i="2" s="1"/>
  <c r="AG62" i="2" s="1"/>
  <c r="AH62" i="2" s="1"/>
  <c r="AI62" i="2" s="1"/>
  <c r="AJ62" i="2" s="1"/>
  <c r="AK62" i="2" s="1"/>
  <c r="AL62" i="2" s="1"/>
  <c r="AM62" i="2" s="1"/>
  <c r="AN62" i="2" s="1"/>
  <c r="AO62" i="2" s="1"/>
  <c r="AP62" i="2" s="1"/>
  <c r="AQ62" i="2" s="1"/>
  <c r="AR62" i="2" s="1"/>
  <c r="AS62" i="2" s="1"/>
  <c r="AT62" i="2" s="1"/>
  <c r="AU62" i="2" s="1"/>
  <c r="AV62" i="2" s="1"/>
  <c r="AW62" i="2" s="1"/>
  <c r="AX62" i="2" s="1"/>
  <c r="AY62" i="2" s="1"/>
  <c r="AZ62" i="2" s="1"/>
  <c r="BA62" i="2" s="1"/>
  <c r="BB62" i="2" s="1"/>
  <c r="I18" i="6"/>
  <c r="J18" i="6" s="1"/>
  <c r="I14" i="6"/>
  <c r="J14" i="6" s="1"/>
  <c r="I10" i="6"/>
  <c r="J10" i="6" s="1"/>
  <c r="F74" i="2"/>
  <c r="G74" i="2" s="1"/>
  <c r="H74" i="2" s="1"/>
  <c r="I74" i="2" s="1"/>
  <c r="J74" i="2" s="1"/>
  <c r="K74" i="2" s="1"/>
  <c r="L74" i="2" s="1"/>
  <c r="M74" i="2" s="1"/>
  <c r="N74" i="2" s="1"/>
  <c r="O74" i="2" s="1"/>
  <c r="P74" i="2" s="1"/>
  <c r="Q74" i="2" s="1"/>
  <c r="R74" i="2" s="1"/>
  <c r="S74" i="2" s="1"/>
  <c r="T74" i="2" s="1"/>
  <c r="U74" i="2" s="1"/>
  <c r="V74" i="2" s="1"/>
  <c r="W74" i="2" s="1"/>
  <c r="X74" i="2" s="1"/>
  <c r="Y74" i="2" s="1"/>
  <c r="Z74" i="2" s="1"/>
  <c r="AA74" i="2" s="1"/>
  <c r="AB74" i="2" s="1"/>
  <c r="AC74" i="2" s="1"/>
  <c r="AD74" i="2" s="1"/>
  <c r="AE74" i="2" s="1"/>
  <c r="AF74" i="2" s="1"/>
  <c r="AG74" i="2" s="1"/>
  <c r="AH74" i="2" s="1"/>
  <c r="AI74" i="2" s="1"/>
  <c r="AJ74" i="2" s="1"/>
  <c r="AK74" i="2" s="1"/>
  <c r="AL74" i="2" s="1"/>
  <c r="AM74" i="2" s="1"/>
  <c r="AN74" i="2" s="1"/>
  <c r="AO74" i="2" s="1"/>
  <c r="AP74" i="2" s="1"/>
  <c r="AQ74" i="2" s="1"/>
  <c r="AR74" i="2" s="1"/>
  <c r="AS74" i="2" s="1"/>
  <c r="AT74" i="2" s="1"/>
  <c r="AU74" i="2" s="1"/>
  <c r="AV74" i="2" s="1"/>
  <c r="AW74" i="2" s="1"/>
  <c r="AX74" i="2" s="1"/>
  <c r="AY74" i="2" s="1"/>
  <c r="AZ74" i="2" s="1"/>
  <c r="BA74" i="2" s="1"/>
  <c r="BB74" i="2" s="1"/>
  <c r="F70" i="2"/>
  <c r="G70" i="2" s="1"/>
  <c r="H70" i="2" s="1"/>
  <c r="I70" i="2" s="1"/>
  <c r="J70" i="2" s="1"/>
  <c r="K70" i="2" s="1"/>
  <c r="L70" i="2" s="1"/>
  <c r="M70" i="2" s="1"/>
  <c r="N70" i="2" s="1"/>
  <c r="O70" i="2" s="1"/>
  <c r="P70" i="2" s="1"/>
  <c r="Q70" i="2" s="1"/>
  <c r="R70" i="2" s="1"/>
  <c r="S70" i="2" s="1"/>
  <c r="T70" i="2" s="1"/>
  <c r="U70" i="2" s="1"/>
  <c r="V70" i="2" s="1"/>
  <c r="W70" i="2" s="1"/>
  <c r="X70" i="2" s="1"/>
  <c r="Y70" i="2" s="1"/>
  <c r="Z70" i="2" s="1"/>
  <c r="AA70" i="2" s="1"/>
  <c r="AB70" i="2" s="1"/>
  <c r="AC70" i="2" s="1"/>
  <c r="AD70" i="2" s="1"/>
  <c r="AE70" i="2" s="1"/>
  <c r="AF70" i="2" s="1"/>
  <c r="AG70" i="2" s="1"/>
  <c r="AH70" i="2" s="1"/>
  <c r="AI70" i="2" s="1"/>
  <c r="AJ70" i="2" s="1"/>
  <c r="AK70" i="2" s="1"/>
  <c r="AL70" i="2" s="1"/>
  <c r="AM70" i="2" s="1"/>
  <c r="AN70" i="2" s="1"/>
  <c r="AO70" i="2" s="1"/>
  <c r="AP70" i="2" s="1"/>
  <c r="AQ70" i="2" s="1"/>
  <c r="AR70" i="2" s="1"/>
  <c r="AS70" i="2" s="1"/>
  <c r="AT70" i="2" s="1"/>
  <c r="AU70" i="2" s="1"/>
  <c r="AV70" i="2" s="1"/>
  <c r="AW70" i="2" s="1"/>
  <c r="AX70" i="2" s="1"/>
  <c r="AY70" i="2" s="1"/>
  <c r="AZ70" i="2" s="1"/>
  <c r="BA70" i="2" s="1"/>
  <c r="BB70" i="2" s="1"/>
  <c r="F156" i="2"/>
  <c r="F180" i="2"/>
  <c r="G180" i="2" s="1"/>
  <c r="H180" i="2" s="1"/>
  <c r="I180" i="2" s="1"/>
  <c r="J180" i="2" s="1"/>
  <c r="K180" i="2" s="1"/>
  <c r="L180" i="2" s="1"/>
  <c r="M180" i="2" s="1"/>
  <c r="N180" i="2" s="1"/>
  <c r="O180" i="2" s="1"/>
  <c r="P180" i="2" s="1"/>
  <c r="Q180" i="2" s="1"/>
  <c r="R180" i="2" s="1"/>
  <c r="S180" i="2" s="1"/>
  <c r="T180" i="2" s="1"/>
  <c r="U180" i="2" s="1"/>
  <c r="V180" i="2" s="1"/>
  <c r="W180" i="2" s="1"/>
  <c r="X180" i="2" s="1"/>
  <c r="Y180" i="2" s="1"/>
  <c r="Z180" i="2" s="1"/>
  <c r="AA180" i="2" s="1"/>
  <c r="AB180" i="2" s="1"/>
  <c r="AC180" i="2" s="1"/>
  <c r="AD180" i="2" s="1"/>
  <c r="AE180" i="2" s="1"/>
  <c r="AF180" i="2" s="1"/>
  <c r="AG180" i="2" s="1"/>
  <c r="AH180" i="2" s="1"/>
  <c r="AI180" i="2" s="1"/>
  <c r="AJ180" i="2" s="1"/>
  <c r="AK180" i="2" s="1"/>
  <c r="AL180" i="2" s="1"/>
  <c r="AM180" i="2" s="1"/>
  <c r="AN180" i="2" s="1"/>
  <c r="AO180" i="2" s="1"/>
  <c r="AP180" i="2" s="1"/>
  <c r="AQ180" i="2" s="1"/>
  <c r="AR180" i="2" s="1"/>
  <c r="AS180" i="2" s="1"/>
  <c r="AT180" i="2" s="1"/>
  <c r="AU180" i="2" s="1"/>
  <c r="AV180" i="2" s="1"/>
  <c r="AW180" i="2" s="1"/>
  <c r="AX180" i="2" s="1"/>
  <c r="AY180" i="2" s="1"/>
  <c r="AZ180" i="2" s="1"/>
  <c r="BA180" i="2" s="1"/>
  <c r="BB180" i="2" s="1"/>
  <c r="F178" i="2"/>
  <c r="G178" i="2" s="1"/>
  <c r="H178" i="2" s="1"/>
  <c r="I178" i="2" s="1"/>
  <c r="J178" i="2" s="1"/>
  <c r="K178" i="2" s="1"/>
  <c r="L178" i="2" s="1"/>
  <c r="M178" i="2" s="1"/>
  <c r="N178" i="2" s="1"/>
  <c r="O178" i="2" s="1"/>
  <c r="P178" i="2" s="1"/>
  <c r="Q178" i="2" s="1"/>
  <c r="R178" i="2" s="1"/>
  <c r="S178" i="2" s="1"/>
  <c r="T178" i="2" s="1"/>
  <c r="U178" i="2" s="1"/>
  <c r="V178" i="2" s="1"/>
  <c r="W178" i="2" s="1"/>
  <c r="X178" i="2" s="1"/>
  <c r="Y178" i="2" s="1"/>
  <c r="Z178" i="2" s="1"/>
  <c r="AA178" i="2" s="1"/>
  <c r="AB178" i="2" s="1"/>
  <c r="AC178" i="2" s="1"/>
  <c r="AD178" i="2" s="1"/>
  <c r="AE178" i="2" s="1"/>
  <c r="AF178" i="2" s="1"/>
  <c r="AG178" i="2" s="1"/>
  <c r="AH178" i="2" s="1"/>
  <c r="AI178" i="2" s="1"/>
  <c r="AJ178" i="2" s="1"/>
  <c r="AK178" i="2" s="1"/>
  <c r="AL178" i="2" s="1"/>
  <c r="AM178" i="2" s="1"/>
  <c r="AN178" i="2" s="1"/>
  <c r="AO178" i="2" s="1"/>
  <c r="AP178" i="2" s="1"/>
  <c r="AQ178" i="2" s="1"/>
  <c r="AR178" i="2" s="1"/>
  <c r="AS178" i="2" s="1"/>
  <c r="AT178" i="2" s="1"/>
  <c r="AU178" i="2" s="1"/>
  <c r="AV178" i="2" s="1"/>
  <c r="AW178" i="2" s="1"/>
  <c r="AX178" i="2" s="1"/>
  <c r="AY178" i="2" s="1"/>
  <c r="AZ178" i="2" s="1"/>
  <c r="BA178" i="2" s="1"/>
  <c r="BB178" i="2" s="1"/>
  <c r="F172" i="2"/>
  <c r="G172" i="2" s="1"/>
  <c r="H172" i="2" s="1"/>
  <c r="I172" i="2" s="1"/>
  <c r="J172" i="2" s="1"/>
  <c r="K172" i="2" s="1"/>
  <c r="L172" i="2" s="1"/>
  <c r="M172" i="2" s="1"/>
  <c r="N172" i="2" s="1"/>
  <c r="O172" i="2" s="1"/>
  <c r="P172" i="2" s="1"/>
  <c r="Q172" i="2" s="1"/>
  <c r="R172" i="2" s="1"/>
  <c r="S172" i="2" s="1"/>
  <c r="T172" i="2" s="1"/>
  <c r="U172" i="2" s="1"/>
  <c r="V172" i="2" s="1"/>
  <c r="W172" i="2" s="1"/>
  <c r="X172" i="2" s="1"/>
  <c r="Y172" i="2" s="1"/>
  <c r="Z172" i="2" s="1"/>
  <c r="AA172" i="2" s="1"/>
  <c r="AB172" i="2" s="1"/>
  <c r="AC172" i="2" s="1"/>
  <c r="AD172" i="2" s="1"/>
  <c r="AE172" i="2" s="1"/>
  <c r="AF172" i="2" s="1"/>
  <c r="AG172" i="2" s="1"/>
  <c r="AH172" i="2" s="1"/>
  <c r="AI172" i="2" s="1"/>
  <c r="AJ172" i="2" s="1"/>
  <c r="AK172" i="2" s="1"/>
  <c r="AL172" i="2" s="1"/>
  <c r="AM172" i="2" s="1"/>
  <c r="AN172" i="2" s="1"/>
  <c r="AO172" i="2" s="1"/>
  <c r="AP172" i="2" s="1"/>
  <c r="AQ172" i="2" s="1"/>
  <c r="AR172" i="2" s="1"/>
  <c r="AS172" i="2" s="1"/>
  <c r="AT172" i="2" s="1"/>
  <c r="AU172" i="2" s="1"/>
  <c r="AV172" i="2" s="1"/>
  <c r="AW172" i="2" s="1"/>
  <c r="AX172" i="2" s="1"/>
  <c r="AY172" i="2" s="1"/>
  <c r="AZ172" i="2" s="1"/>
  <c r="BA172" i="2" s="1"/>
  <c r="BB172" i="2" s="1"/>
  <c r="F169" i="2"/>
  <c r="G169" i="2" s="1"/>
  <c r="H169" i="2" s="1"/>
  <c r="I169" i="2" s="1"/>
  <c r="J169" i="2" s="1"/>
  <c r="K169" i="2" s="1"/>
  <c r="L169" i="2" s="1"/>
  <c r="M169" i="2" s="1"/>
  <c r="N169" i="2" s="1"/>
  <c r="O169" i="2" s="1"/>
  <c r="P169" i="2" s="1"/>
  <c r="Q169" i="2" s="1"/>
  <c r="R169" i="2" s="1"/>
  <c r="S169" i="2" s="1"/>
  <c r="T169" i="2" s="1"/>
  <c r="U169" i="2" s="1"/>
  <c r="V169" i="2" s="1"/>
  <c r="W169" i="2" s="1"/>
  <c r="X169" i="2" s="1"/>
  <c r="Y169" i="2" s="1"/>
  <c r="Z169" i="2" s="1"/>
  <c r="AA169" i="2" s="1"/>
  <c r="AB169" i="2" s="1"/>
  <c r="AC169" i="2" s="1"/>
  <c r="AD169" i="2" s="1"/>
  <c r="AE169" i="2" s="1"/>
  <c r="AF169" i="2" s="1"/>
  <c r="AG169" i="2" s="1"/>
  <c r="AH169" i="2" s="1"/>
  <c r="AI169" i="2" s="1"/>
  <c r="AJ169" i="2" s="1"/>
  <c r="AK169" i="2" s="1"/>
  <c r="AL169" i="2" s="1"/>
  <c r="AM169" i="2" s="1"/>
  <c r="AN169" i="2" s="1"/>
  <c r="AO169" i="2" s="1"/>
  <c r="AP169" i="2" s="1"/>
  <c r="AQ169" i="2" s="1"/>
  <c r="AR169" i="2" s="1"/>
  <c r="AS169" i="2" s="1"/>
  <c r="AT169" i="2" s="1"/>
  <c r="AU169" i="2" s="1"/>
  <c r="AV169" i="2" s="1"/>
  <c r="AW169" i="2" s="1"/>
  <c r="AX169" i="2" s="1"/>
  <c r="AY169" i="2" s="1"/>
  <c r="AZ169" i="2" s="1"/>
  <c r="BA169" i="2" s="1"/>
  <c r="BB169" i="2" s="1"/>
  <c r="F166" i="2"/>
  <c r="G166" i="2" s="1"/>
  <c r="H166" i="2" s="1"/>
  <c r="I166" i="2" s="1"/>
  <c r="J166" i="2" s="1"/>
  <c r="K166" i="2" s="1"/>
  <c r="L166" i="2" s="1"/>
  <c r="M166" i="2" s="1"/>
  <c r="N166" i="2" s="1"/>
  <c r="O166" i="2" s="1"/>
  <c r="P166" i="2" s="1"/>
  <c r="Q166" i="2" s="1"/>
  <c r="R166" i="2" s="1"/>
  <c r="S166" i="2" s="1"/>
  <c r="T166" i="2" s="1"/>
  <c r="U166" i="2" s="1"/>
  <c r="V166" i="2" s="1"/>
  <c r="W166" i="2" s="1"/>
  <c r="X166" i="2" s="1"/>
  <c r="Y166" i="2" s="1"/>
  <c r="Z166" i="2" s="1"/>
  <c r="AA166" i="2" s="1"/>
  <c r="AB166" i="2" s="1"/>
  <c r="AC166" i="2" s="1"/>
  <c r="AD166" i="2" s="1"/>
  <c r="AE166" i="2" s="1"/>
  <c r="AF166" i="2" s="1"/>
  <c r="AG166" i="2" s="1"/>
  <c r="AH166" i="2" s="1"/>
  <c r="AI166" i="2" s="1"/>
  <c r="AJ166" i="2" s="1"/>
  <c r="AK166" i="2" s="1"/>
  <c r="AL166" i="2" s="1"/>
  <c r="AM166" i="2" s="1"/>
  <c r="AN166" i="2" s="1"/>
  <c r="AO166" i="2" s="1"/>
  <c r="AP166" i="2" s="1"/>
  <c r="AQ166" i="2" s="1"/>
  <c r="AR166" i="2" s="1"/>
  <c r="AS166" i="2" s="1"/>
  <c r="AT166" i="2" s="1"/>
  <c r="AU166" i="2" s="1"/>
  <c r="AV166" i="2" s="1"/>
  <c r="AW166" i="2" s="1"/>
  <c r="AX166" i="2" s="1"/>
  <c r="AY166" i="2" s="1"/>
  <c r="AZ166" i="2" s="1"/>
  <c r="BA166" i="2" s="1"/>
  <c r="BB166" i="2" s="1"/>
  <c r="F163" i="2"/>
  <c r="G163" i="2" s="1"/>
  <c r="H163" i="2" s="1"/>
  <c r="I163" i="2" s="1"/>
  <c r="J163" i="2" s="1"/>
  <c r="K163" i="2" s="1"/>
  <c r="L163" i="2" s="1"/>
  <c r="M163" i="2" s="1"/>
  <c r="N163" i="2" s="1"/>
  <c r="O163" i="2" s="1"/>
  <c r="P163" i="2" s="1"/>
  <c r="Q163" i="2" s="1"/>
  <c r="R163" i="2" s="1"/>
  <c r="S163" i="2" s="1"/>
  <c r="T163" i="2" s="1"/>
  <c r="U163" i="2" s="1"/>
  <c r="V163" i="2" s="1"/>
  <c r="W163" i="2" s="1"/>
  <c r="X163" i="2" s="1"/>
  <c r="Y163" i="2" s="1"/>
  <c r="Z163" i="2" s="1"/>
  <c r="AA163" i="2" s="1"/>
  <c r="AB163" i="2" s="1"/>
  <c r="AC163" i="2" s="1"/>
  <c r="AD163" i="2" s="1"/>
  <c r="AE163" i="2" s="1"/>
  <c r="AF163" i="2" s="1"/>
  <c r="AG163" i="2" s="1"/>
  <c r="AH163" i="2" s="1"/>
  <c r="AI163" i="2" s="1"/>
  <c r="AJ163" i="2" s="1"/>
  <c r="AK163" i="2" s="1"/>
  <c r="AL163" i="2" s="1"/>
  <c r="AM163" i="2" s="1"/>
  <c r="AN163" i="2" s="1"/>
  <c r="AO163" i="2" s="1"/>
  <c r="AP163" i="2" s="1"/>
  <c r="AQ163" i="2" s="1"/>
  <c r="AR163" i="2" s="1"/>
  <c r="AS163" i="2" s="1"/>
  <c r="AT163" i="2" s="1"/>
  <c r="AU163" i="2" s="1"/>
  <c r="AV163" i="2" s="1"/>
  <c r="AW163" i="2" s="1"/>
  <c r="AX163" i="2" s="1"/>
  <c r="AY163" i="2" s="1"/>
  <c r="AZ163" i="2" s="1"/>
  <c r="BA163" i="2" s="1"/>
  <c r="BB163" i="2" s="1"/>
  <c r="F158" i="2"/>
  <c r="G158" i="2" s="1"/>
  <c r="H158" i="2" s="1"/>
  <c r="I158" i="2" s="1"/>
  <c r="J158" i="2" s="1"/>
  <c r="K158" i="2" s="1"/>
  <c r="L158" i="2" s="1"/>
  <c r="M158" i="2" s="1"/>
  <c r="N158" i="2" s="1"/>
  <c r="O158" i="2" s="1"/>
  <c r="P158" i="2" s="1"/>
  <c r="Q158" i="2" s="1"/>
  <c r="R158" i="2" s="1"/>
  <c r="S158" i="2" s="1"/>
  <c r="T158" i="2" s="1"/>
  <c r="U158" i="2" s="1"/>
  <c r="V158" i="2" s="1"/>
  <c r="W158" i="2" s="1"/>
  <c r="X158" i="2" s="1"/>
  <c r="Y158" i="2" s="1"/>
  <c r="Z158" i="2" s="1"/>
  <c r="AA158" i="2" s="1"/>
  <c r="AB158" i="2" s="1"/>
  <c r="AC158" i="2" s="1"/>
  <c r="AD158" i="2" s="1"/>
  <c r="AE158" i="2" s="1"/>
  <c r="AF158" i="2" s="1"/>
  <c r="AG158" i="2" s="1"/>
  <c r="AH158" i="2" s="1"/>
  <c r="AI158" i="2" s="1"/>
  <c r="AJ158" i="2" s="1"/>
  <c r="AK158" i="2" s="1"/>
  <c r="AL158" i="2" s="1"/>
  <c r="AM158" i="2" s="1"/>
  <c r="AN158" i="2" s="1"/>
  <c r="AO158" i="2" s="1"/>
  <c r="AP158" i="2" s="1"/>
  <c r="AQ158" i="2" s="1"/>
  <c r="AR158" i="2" s="1"/>
  <c r="AS158" i="2" s="1"/>
  <c r="AT158" i="2" s="1"/>
  <c r="AU158" i="2" s="1"/>
  <c r="AV158" i="2" s="1"/>
  <c r="AW158" i="2" s="1"/>
  <c r="AX158" i="2" s="1"/>
  <c r="AY158" i="2" s="1"/>
  <c r="AZ158" i="2" s="1"/>
  <c r="BA158" i="2" s="1"/>
  <c r="BB158" i="2" s="1"/>
  <c r="F66" i="2"/>
  <c r="G66" i="2" s="1"/>
  <c r="H66" i="2" s="1"/>
  <c r="I66" i="2" s="1"/>
  <c r="J66" i="2" s="1"/>
  <c r="K66" i="2" s="1"/>
  <c r="L66" i="2" s="1"/>
  <c r="M66" i="2" s="1"/>
  <c r="N66" i="2" s="1"/>
  <c r="O66" i="2" s="1"/>
  <c r="P66" i="2" s="1"/>
  <c r="Q66" i="2" s="1"/>
  <c r="R66" i="2" s="1"/>
  <c r="S66" i="2" s="1"/>
  <c r="T66" i="2" s="1"/>
  <c r="U66" i="2" s="1"/>
  <c r="V66" i="2" s="1"/>
  <c r="W66" i="2" s="1"/>
  <c r="X66" i="2" s="1"/>
  <c r="Y66" i="2" s="1"/>
  <c r="Z66" i="2" s="1"/>
  <c r="AA66" i="2" s="1"/>
  <c r="AB66" i="2" s="1"/>
  <c r="AC66" i="2" s="1"/>
  <c r="AD66" i="2" s="1"/>
  <c r="AE66" i="2" s="1"/>
  <c r="AF66" i="2" s="1"/>
  <c r="AG66" i="2" s="1"/>
  <c r="AH66" i="2" s="1"/>
  <c r="AI66" i="2" s="1"/>
  <c r="AJ66" i="2" s="1"/>
  <c r="AK66" i="2" s="1"/>
  <c r="AL66" i="2" s="1"/>
  <c r="AM66" i="2" s="1"/>
  <c r="AN66" i="2" s="1"/>
  <c r="AO66" i="2" s="1"/>
  <c r="AP66" i="2" s="1"/>
  <c r="AQ66" i="2" s="1"/>
  <c r="AR66" i="2" s="1"/>
  <c r="AS66" i="2" s="1"/>
  <c r="AT66" i="2" s="1"/>
  <c r="AU66" i="2" s="1"/>
  <c r="AV66" i="2" s="1"/>
  <c r="AW66" i="2" s="1"/>
  <c r="AX66" i="2" s="1"/>
  <c r="AY66" i="2" s="1"/>
  <c r="AZ66" i="2" s="1"/>
  <c r="BA66" i="2" s="1"/>
  <c r="BB66" i="2" s="1"/>
  <c r="F171" i="2"/>
  <c r="G171" i="2" s="1"/>
  <c r="H171" i="2" s="1"/>
  <c r="I171" i="2" s="1"/>
  <c r="J171" i="2" s="1"/>
  <c r="K171" i="2" s="1"/>
  <c r="L171" i="2" s="1"/>
  <c r="M171" i="2" s="1"/>
  <c r="N171" i="2" s="1"/>
  <c r="O171" i="2" s="1"/>
  <c r="P171" i="2" s="1"/>
  <c r="Q171" i="2" s="1"/>
  <c r="R171" i="2" s="1"/>
  <c r="S171" i="2" s="1"/>
  <c r="T171" i="2" s="1"/>
  <c r="U171" i="2" s="1"/>
  <c r="V171" i="2" s="1"/>
  <c r="W171" i="2" s="1"/>
  <c r="X171" i="2" s="1"/>
  <c r="Y171" i="2" s="1"/>
  <c r="Z171" i="2" s="1"/>
  <c r="AA171" i="2" s="1"/>
  <c r="AB171" i="2" s="1"/>
  <c r="AC171" i="2" s="1"/>
  <c r="AD171" i="2" s="1"/>
  <c r="AE171" i="2" s="1"/>
  <c r="AF171" i="2" s="1"/>
  <c r="AG171" i="2" s="1"/>
  <c r="AH171" i="2" s="1"/>
  <c r="AI171" i="2" s="1"/>
  <c r="AJ171" i="2" s="1"/>
  <c r="AK171" i="2" s="1"/>
  <c r="AL171" i="2" s="1"/>
  <c r="AM171" i="2" s="1"/>
  <c r="AN171" i="2" s="1"/>
  <c r="AO171" i="2" s="1"/>
  <c r="AP171" i="2" s="1"/>
  <c r="AQ171" i="2" s="1"/>
  <c r="AR171" i="2" s="1"/>
  <c r="AS171" i="2" s="1"/>
  <c r="AT171" i="2" s="1"/>
  <c r="AU171" i="2" s="1"/>
  <c r="AV171" i="2" s="1"/>
  <c r="AW171" i="2" s="1"/>
  <c r="AX171" i="2" s="1"/>
  <c r="AY171" i="2" s="1"/>
  <c r="AZ171" i="2" s="1"/>
  <c r="BA171" i="2" s="1"/>
  <c r="BB171" i="2" s="1"/>
  <c r="F165" i="2"/>
  <c r="G165" i="2" s="1"/>
  <c r="H165" i="2" s="1"/>
  <c r="I165" i="2" s="1"/>
  <c r="J165" i="2" s="1"/>
  <c r="K165" i="2" s="1"/>
  <c r="L165" i="2" s="1"/>
  <c r="M165" i="2" s="1"/>
  <c r="N165" i="2" s="1"/>
  <c r="O165" i="2" s="1"/>
  <c r="P165" i="2" s="1"/>
  <c r="Q165" i="2" s="1"/>
  <c r="R165" i="2" s="1"/>
  <c r="S165" i="2" s="1"/>
  <c r="T165" i="2" s="1"/>
  <c r="U165" i="2" s="1"/>
  <c r="V165" i="2" s="1"/>
  <c r="W165" i="2" s="1"/>
  <c r="X165" i="2" s="1"/>
  <c r="Y165" i="2" s="1"/>
  <c r="Z165" i="2" s="1"/>
  <c r="AA165" i="2" s="1"/>
  <c r="AB165" i="2" s="1"/>
  <c r="AC165" i="2" s="1"/>
  <c r="AD165" i="2" s="1"/>
  <c r="AE165" i="2" s="1"/>
  <c r="AF165" i="2" s="1"/>
  <c r="AG165" i="2" s="1"/>
  <c r="AH165" i="2" s="1"/>
  <c r="AI165" i="2" s="1"/>
  <c r="AJ165" i="2" s="1"/>
  <c r="AK165" i="2" s="1"/>
  <c r="AL165" i="2" s="1"/>
  <c r="AM165" i="2" s="1"/>
  <c r="AN165" i="2" s="1"/>
  <c r="AO165" i="2" s="1"/>
  <c r="AP165" i="2" s="1"/>
  <c r="AQ165" i="2" s="1"/>
  <c r="AR165" i="2" s="1"/>
  <c r="AS165" i="2" s="1"/>
  <c r="AT165" i="2" s="1"/>
  <c r="AU165" i="2" s="1"/>
  <c r="AV165" i="2" s="1"/>
  <c r="AW165" i="2" s="1"/>
  <c r="AX165" i="2" s="1"/>
  <c r="AY165" i="2" s="1"/>
  <c r="AZ165" i="2" s="1"/>
  <c r="BA165" i="2" s="1"/>
  <c r="BB165" i="2" s="1"/>
  <c r="F161" i="2"/>
  <c r="G161" i="2" s="1"/>
  <c r="H161" i="2" s="1"/>
  <c r="I161" i="2" s="1"/>
  <c r="J161" i="2" s="1"/>
  <c r="K161" i="2" s="1"/>
  <c r="L161" i="2" s="1"/>
  <c r="M161" i="2" s="1"/>
  <c r="N161" i="2" s="1"/>
  <c r="O161" i="2" s="1"/>
  <c r="P161" i="2" s="1"/>
  <c r="Q161" i="2" s="1"/>
  <c r="R161" i="2" s="1"/>
  <c r="S161" i="2" s="1"/>
  <c r="T161" i="2" s="1"/>
  <c r="U161" i="2" s="1"/>
  <c r="V161" i="2" s="1"/>
  <c r="W161" i="2" s="1"/>
  <c r="X161" i="2" s="1"/>
  <c r="Y161" i="2" s="1"/>
  <c r="Z161" i="2" s="1"/>
  <c r="AA161" i="2" s="1"/>
  <c r="AB161" i="2" s="1"/>
  <c r="AC161" i="2" s="1"/>
  <c r="AD161" i="2" s="1"/>
  <c r="AE161" i="2" s="1"/>
  <c r="AF161" i="2" s="1"/>
  <c r="AG161" i="2" s="1"/>
  <c r="AH161" i="2" s="1"/>
  <c r="AI161" i="2" s="1"/>
  <c r="AJ161" i="2" s="1"/>
  <c r="AK161" i="2" s="1"/>
  <c r="AL161" i="2" s="1"/>
  <c r="AM161" i="2" s="1"/>
  <c r="AN161" i="2" s="1"/>
  <c r="AO161" i="2" s="1"/>
  <c r="AP161" i="2" s="1"/>
  <c r="AQ161" i="2" s="1"/>
  <c r="AR161" i="2" s="1"/>
  <c r="AS161" i="2" s="1"/>
  <c r="AT161" i="2" s="1"/>
  <c r="AU161" i="2" s="1"/>
  <c r="AV161" i="2" s="1"/>
  <c r="AW161" i="2" s="1"/>
  <c r="AX161" i="2" s="1"/>
  <c r="AY161" i="2" s="1"/>
  <c r="AZ161" i="2" s="1"/>
  <c r="BA161" i="2" s="1"/>
  <c r="BB161" i="2" s="1"/>
  <c r="F86" i="2"/>
  <c r="G86" i="2" s="1"/>
  <c r="H86" i="2" s="1"/>
  <c r="I86" i="2" s="1"/>
  <c r="J86" i="2" s="1"/>
  <c r="K86" i="2" s="1"/>
  <c r="L86" i="2" s="1"/>
  <c r="M86" i="2" s="1"/>
  <c r="N86" i="2" s="1"/>
  <c r="O86" i="2" s="1"/>
  <c r="P86" i="2" s="1"/>
  <c r="Q86" i="2" s="1"/>
  <c r="R86" i="2" s="1"/>
  <c r="S86" i="2" s="1"/>
  <c r="T86" i="2" s="1"/>
  <c r="U86" i="2" s="1"/>
  <c r="V86" i="2" s="1"/>
  <c r="W86" i="2" s="1"/>
  <c r="X86" i="2" s="1"/>
  <c r="Y86" i="2" s="1"/>
  <c r="Z86" i="2" s="1"/>
  <c r="AA86" i="2" s="1"/>
  <c r="AB86" i="2" s="1"/>
  <c r="AC86" i="2" s="1"/>
  <c r="AD86" i="2" s="1"/>
  <c r="AE86" i="2" s="1"/>
  <c r="AF86" i="2" s="1"/>
  <c r="AG86" i="2" s="1"/>
  <c r="AH86" i="2" s="1"/>
  <c r="AI86" i="2" s="1"/>
  <c r="AJ86" i="2" s="1"/>
  <c r="AK86" i="2" s="1"/>
  <c r="AL86" i="2" s="1"/>
  <c r="AM86" i="2" s="1"/>
  <c r="AN86" i="2" s="1"/>
  <c r="AO86" i="2" s="1"/>
  <c r="AP86" i="2" s="1"/>
  <c r="AQ86" i="2" s="1"/>
  <c r="AR86" i="2" s="1"/>
  <c r="AS86" i="2" s="1"/>
  <c r="AT86" i="2" s="1"/>
  <c r="AU86" i="2" s="1"/>
  <c r="AV86" i="2" s="1"/>
  <c r="AW86" i="2" s="1"/>
  <c r="AX86" i="2" s="1"/>
  <c r="AY86" i="2" s="1"/>
  <c r="AZ86" i="2" s="1"/>
  <c r="BA86" i="2" s="1"/>
  <c r="BB86" i="2" s="1"/>
  <c r="F179" i="2"/>
  <c r="G179" i="2" s="1"/>
  <c r="H179" i="2" s="1"/>
  <c r="I179" i="2" s="1"/>
  <c r="J179" i="2" s="1"/>
  <c r="K179" i="2" s="1"/>
  <c r="L179" i="2" s="1"/>
  <c r="M179" i="2" s="1"/>
  <c r="N179" i="2" s="1"/>
  <c r="O179" i="2" s="1"/>
  <c r="P179" i="2" s="1"/>
  <c r="Q179" i="2" s="1"/>
  <c r="R179" i="2" s="1"/>
  <c r="S179" i="2" s="1"/>
  <c r="T179" i="2" s="1"/>
  <c r="U179" i="2" s="1"/>
  <c r="V179" i="2" s="1"/>
  <c r="W179" i="2" s="1"/>
  <c r="X179" i="2" s="1"/>
  <c r="Y179" i="2" s="1"/>
  <c r="Z179" i="2" s="1"/>
  <c r="AA179" i="2" s="1"/>
  <c r="AB179" i="2" s="1"/>
  <c r="AC179" i="2" s="1"/>
  <c r="AD179" i="2" s="1"/>
  <c r="AE179" i="2" s="1"/>
  <c r="AF179" i="2" s="1"/>
  <c r="AG179" i="2" s="1"/>
  <c r="AH179" i="2" s="1"/>
  <c r="AI179" i="2" s="1"/>
  <c r="AJ179" i="2" s="1"/>
  <c r="AK179" i="2" s="1"/>
  <c r="AL179" i="2" s="1"/>
  <c r="AM179" i="2" s="1"/>
  <c r="AN179" i="2" s="1"/>
  <c r="AO179" i="2" s="1"/>
  <c r="AP179" i="2" s="1"/>
  <c r="AQ179" i="2" s="1"/>
  <c r="AR179" i="2" s="1"/>
  <c r="AS179" i="2" s="1"/>
  <c r="AT179" i="2" s="1"/>
  <c r="AU179" i="2" s="1"/>
  <c r="AV179" i="2" s="1"/>
  <c r="AW179" i="2" s="1"/>
  <c r="AX179" i="2" s="1"/>
  <c r="AY179" i="2" s="1"/>
  <c r="AZ179" i="2" s="1"/>
  <c r="BA179" i="2" s="1"/>
  <c r="BB179" i="2" s="1"/>
  <c r="F168" i="2"/>
  <c r="G168" i="2" s="1"/>
  <c r="H168" i="2" s="1"/>
  <c r="I168" i="2" s="1"/>
  <c r="J168" i="2" s="1"/>
  <c r="K168" i="2" s="1"/>
  <c r="L168" i="2" s="1"/>
  <c r="M168" i="2" s="1"/>
  <c r="N168" i="2" s="1"/>
  <c r="O168" i="2" s="1"/>
  <c r="P168" i="2" s="1"/>
  <c r="Q168" i="2" s="1"/>
  <c r="R168" i="2" s="1"/>
  <c r="S168" i="2" s="1"/>
  <c r="T168" i="2" s="1"/>
  <c r="U168" i="2" s="1"/>
  <c r="V168" i="2" s="1"/>
  <c r="W168" i="2" s="1"/>
  <c r="X168" i="2" s="1"/>
  <c r="Y168" i="2" s="1"/>
  <c r="Z168" i="2" s="1"/>
  <c r="AA168" i="2" s="1"/>
  <c r="AB168" i="2" s="1"/>
  <c r="AC168" i="2" s="1"/>
  <c r="AD168" i="2" s="1"/>
  <c r="AE168" i="2" s="1"/>
  <c r="AF168" i="2" s="1"/>
  <c r="AG168" i="2" s="1"/>
  <c r="AH168" i="2" s="1"/>
  <c r="AI168" i="2" s="1"/>
  <c r="AJ168" i="2" s="1"/>
  <c r="AK168" i="2" s="1"/>
  <c r="AL168" i="2" s="1"/>
  <c r="AM168" i="2" s="1"/>
  <c r="AN168" i="2" s="1"/>
  <c r="AO168" i="2" s="1"/>
  <c r="AP168" i="2" s="1"/>
  <c r="AQ168" i="2" s="1"/>
  <c r="AR168" i="2" s="1"/>
  <c r="AS168" i="2" s="1"/>
  <c r="AT168" i="2" s="1"/>
  <c r="AU168" i="2" s="1"/>
  <c r="AV168" i="2" s="1"/>
  <c r="AW168" i="2" s="1"/>
  <c r="AX168" i="2" s="1"/>
  <c r="AY168" i="2" s="1"/>
  <c r="AZ168" i="2" s="1"/>
  <c r="BA168" i="2" s="1"/>
  <c r="BB168" i="2" s="1"/>
  <c r="F160" i="2"/>
  <c r="G160" i="2" s="1"/>
  <c r="H160" i="2" s="1"/>
  <c r="I160" i="2" s="1"/>
  <c r="J160" i="2" s="1"/>
  <c r="K160" i="2" s="1"/>
  <c r="L160" i="2" s="1"/>
  <c r="M160" i="2" s="1"/>
  <c r="N160" i="2" s="1"/>
  <c r="O160" i="2" s="1"/>
  <c r="P160" i="2" s="1"/>
  <c r="Q160" i="2" s="1"/>
  <c r="R160" i="2" s="1"/>
  <c r="S160" i="2" s="1"/>
  <c r="T160" i="2" s="1"/>
  <c r="U160" i="2" s="1"/>
  <c r="V160" i="2" s="1"/>
  <c r="W160" i="2" s="1"/>
  <c r="X160" i="2" s="1"/>
  <c r="Y160" i="2" s="1"/>
  <c r="Z160" i="2" s="1"/>
  <c r="AA160" i="2" s="1"/>
  <c r="AB160" i="2" s="1"/>
  <c r="AC160" i="2" s="1"/>
  <c r="AD160" i="2" s="1"/>
  <c r="AE160" i="2" s="1"/>
  <c r="AF160" i="2" s="1"/>
  <c r="AG160" i="2" s="1"/>
  <c r="AH160" i="2" s="1"/>
  <c r="AI160" i="2" s="1"/>
  <c r="AJ160" i="2" s="1"/>
  <c r="AK160" i="2" s="1"/>
  <c r="AL160" i="2" s="1"/>
  <c r="AM160" i="2" s="1"/>
  <c r="AN160" i="2" s="1"/>
  <c r="AO160" i="2" s="1"/>
  <c r="AP160" i="2" s="1"/>
  <c r="AQ160" i="2" s="1"/>
  <c r="AR160" i="2" s="1"/>
  <c r="AS160" i="2" s="1"/>
  <c r="AT160" i="2" s="1"/>
  <c r="AU160" i="2" s="1"/>
  <c r="AV160" i="2" s="1"/>
  <c r="AW160" i="2" s="1"/>
  <c r="AX160" i="2" s="1"/>
  <c r="AY160" i="2" s="1"/>
  <c r="AZ160" i="2" s="1"/>
  <c r="BA160" i="2" s="1"/>
  <c r="BB160" i="2" s="1"/>
  <c r="F157" i="2"/>
  <c r="G157" i="2" s="1"/>
  <c r="H157" i="2" s="1"/>
  <c r="I157" i="2" s="1"/>
  <c r="J157" i="2" s="1"/>
  <c r="K157" i="2" s="1"/>
  <c r="L157" i="2" s="1"/>
  <c r="M157" i="2" s="1"/>
  <c r="N157" i="2" s="1"/>
  <c r="O157" i="2" s="1"/>
  <c r="P157" i="2" s="1"/>
  <c r="Q157" i="2" s="1"/>
  <c r="R157" i="2" s="1"/>
  <c r="S157" i="2" s="1"/>
  <c r="T157" i="2" s="1"/>
  <c r="U157" i="2" s="1"/>
  <c r="V157" i="2" s="1"/>
  <c r="W157" i="2" s="1"/>
  <c r="X157" i="2" s="1"/>
  <c r="Y157" i="2" s="1"/>
  <c r="Z157" i="2" s="1"/>
  <c r="AA157" i="2" s="1"/>
  <c r="AB157" i="2" s="1"/>
  <c r="AC157" i="2" s="1"/>
  <c r="AD157" i="2" s="1"/>
  <c r="AE157" i="2" s="1"/>
  <c r="AF157" i="2" s="1"/>
  <c r="AG157" i="2" s="1"/>
  <c r="AH157" i="2" s="1"/>
  <c r="AI157" i="2" s="1"/>
  <c r="AJ157" i="2" s="1"/>
  <c r="AK157" i="2" s="1"/>
  <c r="AL157" i="2" s="1"/>
  <c r="AM157" i="2" s="1"/>
  <c r="AN157" i="2" s="1"/>
  <c r="AO157" i="2" s="1"/>
  <c r="AP157" i="2" s="1"/>
  <c r="AQ157" i="2" s="1"/>
  <c r="AR157" i="2" s="1"/>
  <c r="AS157" i="2" s="1"/>
  <c r="AT157" i="2" s="1"/>
  <c r="AU157" i="2" s="1"/>
  <c r="AV157" i="2" s="1"/>
  <c r="AW157" i="2" s="1"/>
  <c r="AX157" i="2" s="1"/>
  <c r="AY157" i="2" s="1"/>
  <c r="AZ157" i="2" s="1"/>
  <c r="BA157" i="2" s="1"/>
  <c r="BB157" i="2" s="1"/>
  <c r="G67" i="2" l="1"/>
  <c r="H67" i="2" s="1"/>
  <c r="I67" i="2" s="1"/>
  <c r="J67" i="2" s="1"/>
  <c r="K67" i="2" s="1"/>
  <c r="L67" i="2" s="1"/>
  <c r="M67" i="2" s="1"/>
  <c r="N67" i="2" s="1"/>
  <c r="O67" i="2" s="1"/>
  <c r="P67" i="2" s="1"/>
  <c r="Q67" i="2" s="1"/>
  <c r="R67" i="2" s="1"/>
  <c r="S67" i="2" s="1"/>
  <c r="T67" i="2" s="1"/>
  <c r="U67" i="2" s="1"/>
  <c r="V67" i="2" s="1"/>
  <c r="W67" i="2" s="1"/>
  <c r="X67" i="2" s="1"/>
  <c r="Y67" i="2" s="1"/>
  <c r="Z67" i="2" s="1"/>
  <c r="AA67" i="2" s="1"/>
  <c r="AB67" i="2" s="1"/>
  <c r="AC67" i="2" s="1"/>
  <c r="AD67" i="2" s="1"/>
  <c r="AE67" i="2" s="1"/>
  <c r="AF67" i="2" s="1"/>
  <c r="AG67" i="2" s="1"/>
  <c r="AH67" i="2" s="1"/>
  <c r="AI67" i="2" s="1"/>
  <c r="AJ67" i="2" s="1"/>
  <c r="AK67" i="2" s="1"/>
  <c r="AL67" i="2" s="1"/>
  <c r="AM67" i="2" s="1"/>
  <c r="AN67" i="2" s="1"/>
  <c r="AO67" i="2" s="1"/>
  <c r="AP67" i="2" s="1"/>
  <c r="AQ67" i="2" s="1"/>
  <c r="AR67" i="2" s="1"/>
  <c r="AS67" i="2" s="1"/>
  <c r="AT67" i="2" s="1"/>
  <c r="AU67" i="2" s="1"/>
  <c r="AV67" i="2" s="1"/>
  <c r="AW67" i="2" s="1"/>
  <c r="AX67" i="2" s="1"/>
  <c r="AY67" i="2" s="1"/>
  <c r="AZ67" i="2" s="1"/>
  <c r="BA67" i="2" s="1"/>
  <c r="BB67" i="2" s="1"/>
  <c r="G73" i="2"/>
  <c r="H73" i="2" s="1"/>
  <c r="I73" i="2" s="1"/>
  <c r="J73" i="2" s="1"/>
  <c r="K73" i="2" s="1"/>
  <c r="L73" i="2" s="1"/>
  <c r="M73" i="2" s="1"/>
  <c r="N73" i="2" s="1"/>
  <c r="O73" i="2" s="1"/>
  <c r="P73" i="2" s="1"/>
  <c r="Q73" i="2" s="1"/>
  <c r="R73" i="2" s="1"/>
  <c r="S73" i="2" s="1"/>
  <c r="T73" i="2" s="1"/>
  <c r="U73" i="2" s="1"/>
  <c r="V73" i="2" s="1"/>
  <c r="W73" i="2" s="1"/>
  <c r="X73" i="2" s="1"/>
  <c r="Y73" i="2" s="1"/>
  <c r="Z73" i="2" s="1"/>
  <c r="AA73" i="2" s="1"/>
  <c r="AB73" i="2" s="1"/>
  <c r="AC73" i="2" s="1"/>
  <c r="AD73" i="2" s="1"/>
  <c r="AE73" i="2" s="1"/>
  <c r="AF73" i="2" s="1"/>
  <c r="AG73" i="2" s="1"/>
  <c r="AH73" i="2" s="1"/>
  <c r="AI73" i="2" s="1"/>
  <c r="AJ73" i="2" s="1"/>
  <c r="AK73" i="2" s="1"/>
  <c r="AL73" i="2" s="1"/>
  <c r="AM73" i="2" s="1"/>
  <c r="AN73" i="2" s="1"/>
  <c r="AO73" i="2" s="1"/>
  <c r="AP73" i="2" s="1"/>
  <c r="AQ73" i="2" s="1"/>
  <c r="AR73" i="2" s="1"/>
  <c r="AS73" i="2" s="1"/>
  <c r="AT73" i="2" s="1"/>
  <c r="AU73" i="2" s="1"/>
  <c r="AV73" i="2" s="1"/>
  <c r="AW73" i="2" s="1"/>
  <c r="AX73" i="2" s="1"/>
  <c r="AY73" i="2" s="1"/>
  <c r="AZ73" i="2" s="1"/>
  <c r="BA73" i="2" s="1"/>
  <c r="BB73" i="2" s="1"/>
  <c r="G156" i="2"/>
  <c r="F183" i="2"/>
  <c r="G61" i="2"/>
  <c r="F88" i="2"/>
  <c r="G79" i="2"/>
  <c r="H79" i="2" s="1"/>
  <c r="I79" i="2" s="1"/>
  <c r="J79" i="2" s="1"/>
  <c r="K79" i="2" s="1"/>
  <c r="L79" i="2" s="1"/>
  <c r="M79" i="2" s="1"/>
  <c r="N79" i="2" s="1"/>
  <c r="O79" i="2" s="1"/>
  <c r="P79" i="2" s="1"/>
  <c r="Q79" i="2" s="1"/>
  <c r="R79" i="2" s="1"/>
  <c r="S79" i="2" s="1"/>
  <c r="T79" i="2" s="1"/>
  <c r="U79" i="2" s="1"/>
  <c r="V79" i="2" s="1"/>
  <c r="W79" i="2" s="1"/>
  <c r="X79" i="2" s="1"/>
  <c r="Y79" i="2" s="1"/>
  <c r="Z79" i="2" s="1"/>
  <c r="AA79" i="2" s="1"/>
  <c r="AB79" i="2" s="1"/>
  <c r="AC79" i="2" s="1"/>
  <c r="AD79" i="2" s="1"/>
  <c r="AE79" i="2" s="1"/>
  <c r="AF79" i="2" s="1"/>
  <c r="AG79" i="2" s="1"/>
  <c r="AH79" i="2" s="1"/>
  <c r="AI79" i="2" s="1"/>
  <c r="AJ79" i="2" s="1"/>
  <c r="AK79" i="2" s="1"/>
  <c r="AL79" i="2" s="1"/>
  <c r="AM79" i="2" s="1"/>
  <c r="AN79" i="2" s="1"/>
  <c r="AO79" i="2" s="1"/>
  <c r="AP79" i="2" s="1"/>
  <c r="AQ79" i="2" s="1"/>
  <c r="AR79" i="2" s="1"/>
  <c r="AS79" i="2" s="1"/>
  <c r="AT79" i="2" s="1"/>
  <c r="AU79" i="2" s="1"/>
  <c r="AV79" i="2" s="1"/>
  <c r="AW79" i="2" s="1"/>
  <c r="AX79" i="2" s="1"/>
  <c r="AY79" i="2" s="1"/>
  <c r="AZ79" i="2" s="1"/>
  <c r="BA79" i="2" s="1"/>
  <c r="BB79" i="2" s="1"/>
  <c r="G77" i="2"/>
  <c r="H77" i="2" s="1"/>
  <c r="I77" i="2" s="1"/>
  <c r="J77" i="2" s="1"/>
  <c r="K77" i="2" s="1"/>
  <c r="L77" i="2" s="1"/>
  <c r="M77" i="2" s="1"/>
  <c r="N77" i="2" s="1"/>
  <c r="O77" i="2" s="1"/>
  <c r="P77" i="2" s="1"/>
  <c r="Q77" i="2" s="1"/>
  <c r="R77" i="2" s="1"/>
  <c r="S77" i="2" s="1"/>
  <c r="T77" i="2" s="1"/>
  <c r="U77" i="2" s="1"/>
  <c r="V77" i="2" s="1"/>
  <c r="W77" i="2" s="1"/>
  <c r="X77" i="2" s="1"/>
  <c r="Y77" i="2" s="1"/>
  <c r="Z77" i="2" s="1"/>
  <c r="AA77" i="2" s="1"/>
  <c r="AB77" i="2" s="1"/>
  <c r="AC77" i="2" s="1"/>
  <c r="AD77" i="2" s="1"/>
  <c r="AE77" i="2" s="1"/>
  <c r="AF77" i="2" s="1"/>
  <c r="AG77" i="2" s="1"/>
  <c r="AH77" i="2" s="1"/>
  <c r="AI77" i="2" s="1"/>
  <c r="AJ77" i="2" s="1"/>
  <c r="AK77" i="2" s="1"/>
  <c r="AL77" i="2" s="1"/>
  <c r="AM77" i="2" s="1"/>
  <c r="AN77" i="2" s="1"/>
  <c r="AO77" i="2" s="1"/>
  <c r="AP77" i="2" s="1"/>
  <c r="AQ77" i="2" s="1"/>
  <c r="AR77" i="2" s="1"/>
  <c r="AS77" i="2" s="1"/>
  <c r="AT77" i="2" s="1"/>
  <c r="AU77" i="2" s="1"/>
  <c r="AV77" i="2" s="1"/>
  <c r="AW77" i="2" s="1"/>
  <c r="AX77" i="2" s="1"/>
  <c r="AY77" i="2" s="1"/>
  <c r="AZ77" i="2" s="1"/>
  <c r="BA77" i="2" s="1"/>
  <c r="BB77" i="2" s="1"/>
  <c r="G87" i="2"/>
  <c r="H87" i="2" s="1"/>
  <c r="I87" i="2" s="1"/>
  <c r="J87" i="2" s="1"/>
  <c r="K87" i="2" s="1"/>
  <c r="L87" i="2" s="1"/>
  <c r="M87" i="2" s="1"/>
  <c r="N87" i="2" s="1"/>
  <c r="O87" i="2" s="1"/>
  <c r="P87" i="2" s="1"/>
  <c r="Q87" i="2" s="1"/>
  <c r="R87" i="2" s="1"/>
  <c r="S87" i="2" s="1"/>
  <c r="T87" i="2" s="1"/>
  <c r="U87" i="2" s="1"/>
  <c r="V87" i="2" s="1"/>
  <c r="W87" i="2" s="1"/>
  <c r="X87" i="2" s="1"/>
  <c r="Y87" i="2" s="1"/>
  <c r="Z87" i="2" s="1"/>
  <c r="AA87" i="2" s="1"/>
  <c r="AB87" i="2" s="1"/>
  <c r="AC87" i="2" s="1"/>
  <c r="AD87" i="2" s="1"/>
  <c r="AE87" i="2" s="1"/>
  <c r="AF87" i="2" s="1"/>
  <c r="AG87" i="2" s="1"/>
  <c r="AH87" i="2" s="1"/>
  <c r="AI87" i="2" s="1"/>
  <c r="AJ87" i="2" s="1"/>
  <c r="AK87" i="2" s="1"/>
  <c r="AL87" i="2" s="1"/>
  <c r="AM87" i="2" s="1"/>
  <c r="AN87" i="2" s="1"/>
  <c r="AO87" i="2" s="1"/>
  <c r="AP87" i="2" s="1"/>
  <c r="AQ87" i="2" s="1"/>
  <c r="AR87" i="2" s="1"/>
  <c r="AS87" i="2" s="1"/>
  <c r="AT87" i="2" s="1"/>
  <c r="AU87" i="2" s="1"/>
  <c r="AV87" i="2" s="1"/>
  <c r="AW87" i="2" s="1"/>
  <c r="AX87" i="2" s="1"/>
  <c r="AY87" i="2" s="1"/>
  <c r="AZ87" i="2" s="1"/>
  <c r="BA87" i="2" s="1"/>
  <c r="BB87" i="2" s="1"/>
  <c r="G75" i="2"/>
  <c r="H75" i="2" s="1"/>
  <c r="I75" i="2" s="1"/>
  <c r="J75" i="2" s="1"/>
  <c r="K75" i="2" s="1"/>
  <c r="L75" i="2" s="1"/>
  <c r="M75" i="2" s="1"/>
  <c r="N75" i="2" s="1"/>
  <c r="O75" i="2" s="1"/>
  <c r="P75" i="2" s="1"/>
  <c r="Q75" i="2" s="1"/>
  <c r="R75" i="2" s="1"/>
  <c r="S75" i="2" s="1"/>
  <c r="T75" i="2" s="1"/>
  <c r="U75" i="2" s="1"/>
  <c r="V75" i="2" s="1"/>
  <c r="W75" i="2" s="1"/>
  <c r="X75" i="2" s="1"/>
  <c r="Y75" i="2" s="1"/>
  <c r="Z75" i="2" s="1"/>
  <c r="AA75" i="2" s="1"/>
  <c r="AB75" i="2" s="1"/>
  <c r="AC75" i="2" s="1"/>
  <c r="AD75" i="2" s="1"/>
  <c r="AE75" i="2" s="1"/>
  <c r="AF75" i="2" s="1"/>
  <c r="AG75" i="2" s="1"/>
  <c r="AH75" i="2" s="1"/>
  <c r="AI75" i="2" s="1"/>
  <c r="AJ75" i="2" s="1"/>
  <c r="AK75" i="2" s="1"/>
  <c r="AL75" i="2" s="1"/>
  <c r="AM75" i="2" s="1"/>
  <c r="AN75" i="2" s="1"/>
  <c r="AO75" i="2" s="1"/>
  <c r="AP75" i="2" s="1"/>
  <c r="AQ75" i="2" s="1"/>
  <c r="AR75" i="2" s="1"/>
  <c r="AS75" i="2" s="1"/>
  <c r="AT75" i="2" s="1"/>
  <c r="AU75" i="2" s="1"/>
  <c r="AV75" i="2" s="1"/>
  <c r="AW75" i="2" s="1"/>
  <c r="AX75" i="2" s="1"/>
  <c r="AY75" i="2" s="1"/>
  <c r="AZ75" i="2" s="1"/>
  <c r="BA75" i="2" s="1"/>
  <c r="BB75" i="2" s="1"/>
  <c r="G69" i="2"/>
  <c r="H69" i="2" s="1"/>
  <c r="I69" i="2" s="1"/>
  <c r="J69" i="2" s="1"/>
  <c r="K69" i="2" s="1"/>
  <c r="L69" i="2" s="1"/>
  <c r="M69" i="2" s="1"/>
  <c r="N69" i="2" s="1"/>
  <c r="O69" i="2" s="1"/>
  <c r="P69" i="2" s="1"/>
  <c r="Q69" i="2" s="1"/>
  <c r="R69" i="2" s="1"/>
  <c r="S69" i="2" s="1"/>
  <c r="T69" i="2" s="1"/>
  <c r="U69" i="2" s="1"/>
  <c r="V69" i="2" s="1"/>
  <c r="W69" i="2" s="1"/>
  <c r="X69" i="2" s="1"/>
  <c r="Y69" i="2" s="1"/>
  <c r="Z69" i="2" s="1"/>
  <c r="AA69" i="2" s="1"/>
  <c r="AB69" i="2" s="1"/>
  <c r="AC69" i="2" s="1"/>
  <c r="AD69" i="2" s="1"/>
  <c r="AE69" i="2" s="1"/>
  <c r="AF69" i="2" s="1"/>
  <c r="AG69" i="2" s="1"/>
  <c r="AH69" i="2" s="1"/>
  <c r="AI69" i="2" s="1"/>
  <c r="AJ69" i="2" s="1"/>
  <c r="AK69" i="2" s="1"/>
  <c r="AL69" i="2" s="1"/>
  <c r="AM69" i="2" s="1"/>
  <c r="AN69" i="2" s="1"/>
  <c r="AO69" i="2" s="1"/>
  <c r="AP69" i="2" s="1"/>
  <c r="AQ69" i="2" s="1"/>
  <c r="AR69" i="2" s="1"/>
  <c r="AS69" i="2" s="1"/>
  <c r="AT69" i="2" s="1"/>
  <c r="AU69" i="2" s="1"/>
  <c r="AV69" i="2" s="1"/>
  <c r="AW69" i="2" s="1"/>
  <c r="AX69" i="2" s="1"/>
  <c r="AY69" i="2" s="1"/>
  <c r="AZ69" i="2" s="1"/>
  <c r="BA69" i="2" s="1"/>
  <c r="BB69" i="2" s="1"/>
  <c r="G71" i="2"/>
  <c r="H71" i="2" s="1"/>
  <c r="I71" i="2" s="1"/>
  <c r="J71" i="2" s="1"/>
  <c r="K71" i="2" s="1"/>
  <c r="L71" i="2" s="1"/>
  <c r="M71" i="2" s="1"/>
  <c r="N71" i="2" s="1"/>
  <c r="O71" i="2" s="1"/>
  <c r="P71" i="2" s="1"/>
  <c r="Q71" i="2" s="1"/>
  <c r="R71" i="2" s="1"/>
  <c r="S71" i="2" s="1"/>
  <c r="T71" i="2" s="1"/>
  <c r="U71" i="2" s="1"/>
  <c r="V71" i="2" s="1"/>
  <c r="W71" i="2" s="1"/>
  <c r="X71" i="2" s="1"/>
  <c r="Y71" i="2" s="1"/>
  <c r="Z71" i="2" s="1"/>
  <c r="AA71" i="2" s="1"/>
  <c r="AB71" i="2" s="1"/>
  <c r="AC71" i="2" s="1"/>
  <c r="AD71" i="2" s="1"/>
  <c r="AE71" i="2" s="1"/>
  <c r="AF71" i="2" s="1"/>
  <c r="AG71" i="2" s="1"/>
  <c r="AH71" i="2" s="1"/>
  <c r="AI71" i="2" s="1"/>
  <c r="AJ71" i="2" s="1"/>
  <c r="AK71" i="2" s="1"/>
  <c r="AL71" i="2" s="1"/>
  <c r="AM71" i="2" s="1"/>
  <c r="AN71" i="2" s="1"/>
  <c r="AO71" i="2" s="1"/>
  <c r="AP71" i="2" s="1"/>
  <c r="AQ71" i="2" s="1"/>
  <c r="AR71" i="2" s="1"/>
  <c r="AS71" i="2" s="1"/>
  <c r="AT71" i="2" s="1"/>
  <c r="AU71" i="2" s="1"/>
  <c r="AV71" i="2" s="1"/>
  <c r="AW71" i="2" s="1"/>
  <c r="AX71" i="2" s="1"/>
  <c r="AY71" i="2" s="1"/>
  <c r="AZ71" i="2" s="1"/>
  <c r="BA71" i="2" s="1"/>
  <c r="BB71" i="2" s="1"/>
  <c r="H61" i="2" l="1"/>
  <c r="G88" i="2"/>
  <c r="H156" i="2"/>
  <c r="G183" i="2"/>
  <c r="I156" i="2" l="1"/>
  <c r="H183" i="2"/>
  <c r="I61" i="2"/>
  <c r="H88" i="2"/>
  <c r="J61" i="2" l="1"/>
  <c r="I88" i="2"/>
  <c r="J156" i="2"/>
  <c r="I183" i="2"/>
  <c r="K156" i="2" l="1"/>
  <c r="J183" i="2"/>
  <c r="K61" i="2"/>
  <c r="J88" i="2"/>
  <c r="L156" i="2" l="1"/>
  <c r="K183" i="2"/>
  <c r="L61" i="2"/>
  <c r="K88" i="2"/>
  <c r="L183" i="2" l="1"/>
  <c r="M156" i="2"/>
  <c r="M61" i="2"/>
  <c r="L88" i="2"/>
  <c r="N61" i="2" l="1"/>
  <c r="M88" i="2"/>
  <c r="M183" i="2"/>
  <c r="N156" i="2"/>
  <c r="O156" i="2" l="1"/>
  <c r="N183" i="2"/>
  <c r="O61" i="2"/>
  <c r="N88" i="2"/>
  <c r="P156" i="2" l="1"/>
  <c r="O183" i="2"/>
  <c r="P61" i="2"/>
  <c r="O88" i="2"/>
  <c r="Q156" i="2" l="1"/>
  <c r="P183" i="2"/>
  <c r="Q61" i="2"/>
  <c r="P88" i="2"/>
  <c r="R61" i="2" l="1"/>
  <c r="Q88" i="2"/>
  <c r="Q183" i="2"/>
  <c r="R156" i="2"/>
  <c r="S156" i="2" l="1"/>
  <c r="R183" i="2"/>
  <c r="S61" i="2"/>
  <c r="R88" i="2"/>
  <c r="T61" i="2" l="1"/>
  <c r="S88" i="2"/>
  <c r="S183" i="2"/>
  <c r="T156" i="2"/>
  <c r="T183" i="2" l="1"/>
  <c r="U156" i="2"/>
  <c r="U61" i="2"/>
  <c r="T88" i="2"/>
  <c r="V61" i="2" l="1"/>
  <c r="U88" i="2"/>
  <c r="V156" i="2"/>
  <c r="U183" i="2"/>
  <c r="V183" i="2" l="1"/>
  <c r="W156" i="2"/>
  <c r="W61" i="2"/>
  <c r="V88" i="2"/>
  <c r="X61" i="2" l="1"/>
  <c r="W88" i="2"/>
  <c r="W183" i="2"/>
  <c r="X156" i="2"/>
  <c r="Y156" i="2" l="1"/>
  <c r="X183" i="2"/>
  <c r="Y61" i="2"/>
  <c r="X88" i="2"/>
  <c r="Z61" i="2" l="1"/>
  <c r="Y88" i="2"/>
  <c r="Y183" i="2"/>
  <c r="Z156" i="2"/>
  <c r="Z183" i="2" l="1"/>
  <c r="AA156" i="2"/>
  <c r="AA61" i="2"/>
  <c r="Z88" i="2"/>
  <c r="AB61" i="2" l="1"/>
  <c r="AA88" i="2"/>
  <c r="AA183" i="2"/>
  <c r="AB156" i="2"/>
  <c r="AB183" i="2" l="1"/>
  <c r="AC156" i="2"/>
  <c r="AC61" i="2"/>
  <c r="AB88" i="2"/>
  <c r="AD61" i="2" l="1"/>
  <c r="AC88" i="2"/>
  <c r="AC183" i="2"/>
  <c r="AD156" i="2"/>
  <c r="AD183" i="2" l="1"/>
  <c r="AE156" i="2"/>
  <c r="AE61" i="2"/>
  <c r="AD88" i="2"/>
  <c r="AF61" i="2" l="1"/>
  <c r="AE88" i="2"/>
  <c r="AF156" i="2"/>
  <c r="AE183" i="2"/>
  <c r="AF183" i="2" l="1"/>
  <c r="AG156" i="2"/>
  <c r="AG61" i="2"/>
  <c r="AF88" i="2"/>
  <c r="AH61" i="2" l="1"/>
  <c r="AG88" i="2"/>
  <c r="AH156" i="2"/>
  <c r="AG183" i="2"/>
  <c r="AI156" i="2" l="1"/>
  <c r="AH183" i="2"/>
  <c r="AI61" i="2"/>
  <c r="AH88" i="2"/>
  <c r="AJ61" i="2" l="1"/>
  <c r="AI88" i="2"/>
  <c r="AJ156" i="2"/>
  <c r="AI183" i="2"/>
  <c r="AK156" i="2" l="1"/>
  <c r="AJ183" i="2"/>
  <c r="AK61" i="2"/>
  <c r="AJ88" i="2"/>
  <c r="AL61" i="2" l="1"/>
  <c r="AK88" i="2"/>
  <c r="AL156" i="2"/>
  <c r="AK183" i="2"/>
  <c r="AM156" i="2" l="1"/>
  <c r="AL183" i="2"/>
  <c r="AM61" i="2"/>
  <c r="AL88" i="2"/>
  <c r="AN61" i="2" l="1"/>
  <c r="AM88" i="2"/>
  <c r="AM183" i="2"/>
  <c r="AN156" i="2"/>
  <c r="AO156" i="2" l="1"/>
  <c r="AN183" i="2"/>
  <c r="AO61" i="2"/>
  <c r="AN88" i="2"/>
  <c r="AP61" i="2" l="1"/>
  <c r="AO88" i="2"/>
  <c r="AO183" i="2"/>
  <c r="AP156" i="2"/>
  <c r="AQ156" i="2" l="1"/>
  <c r="AP183" i="2"/>
  <c r="AQ61" i="2"/>
  <c r="AP88" i="2"/>
  <c r="AR61" i="2" l="1"/>
  <c r="AQ88" i="2"/>
  <c r="AR156" i="2"/>
  <c r="AQ183" i="2"/>
  <c r="AS156" i="2" l="1"/>
  <c r="AR183" i="2"/>
  <c r="AS61" i="2"/>
  <c r="AR88" i="2"/>
  <c r="AT61" i="2" l="1"/>
  <c r="AS88" i="2"/>
  <c r="AT156" i="2"/>
  <c r="AS183" i="2"/>
  <c r="AT183" i="2" l="1"/>
  <c r="AU156" i="2"/>
  <c r="AU61" i="2"/>
  <c r="AT88" i="2"/>
  <c r="AV61" i="2" l="1"/>
  <c r="AU88" i="2"/>
  <c r="AV156" i="2"/>
  <c r="AU183" i="2"/>
  <c r="AW156" i="2" l="1"/>
  <c r="AV183" i="2"/>
  <c r="AW61" i="2"/>
  <c r="AV88" i="2"/>
  <c r="AX61" i="2" l="1"/>
  <c r="AW88" i="2"/>
  <c r="AX156" i="2"/>
  <c r="AW183" i="2"/>
  <c r="AX183" i="2" l="1"/>
  <c r="AY156" i="2"/>
  <c r="AY61" i="2"/>
  <c r="AX88" i="2"/>
  <c r="AZ156" i="2" l="1"/>
  <c r="AY183" i="2"/>
  <c r="AZ61" i="2"/>
  <c r="AY88" i="2"/>
  <c r="BA61" i="2" l="1"/>
  <c r="AZ88" i="2"/>
  <c r="BA156" i="2"/>
  <c r="AZ183" i="2"/>
  <c r="BB156" i="2" l="1"/>
  <c r="BB183" i="2" s="1"/>
  <c r="BA183" i="2"/>
  <c r="BB61" i="2"/>
  <c r="BB88" i="2" s="1"/>
  <c r="BA88" i="2"/>
</calcChain>
</file>

<file path=xl/sharedStrings.xml><?xml version="1.0" encoding="utf-8"?>
<sst xmlns="http://schemas.openxmlformats.org/spreadsheetml/2006/main" count="2024" uniqueCount="816">
  <si>
    <t>TECHNOLOGY</t>
  </si>
  <si>
    <t>Country</t>
  </si>
  <si>
    <t>AT</t>
  </si>
  <si>
    <t>BG</t>
  </si>
  <si>
    <t>BE</t>
  </si>
  <si>
    <t>CZ</t>
  </si>
  <si>
    <t>DK</t>
  </si>
  <si>
    <t>DE</t>
  </si>
  <si>
    <t>EE</t>
  </si>
  <si>
    <t>IE</t>
  </si>
  <si>
    <t>GR</t>
  </si>
  <si>
    <t>ES</t>
  </si>
  <si>
    <t>FR</t>
  </si>
  <si>
    <t>HR</t>
  </si>
  <si>
    <t>IT</t>
  </si>
  <si>
    <t>CY</t>
  </si>
  <si>
    <t>LV</t>
  </si>
  <si>
    <t>LT</t>
  </si>
  <si>
    <t>LU</t>
  </si>
  <si>
    <t>HU</t>
  </si>
  <si>
    <t>MT</t>
  </si>
  <si>
    <t>NL</t>
  </si>
  <si>
    <t>PL</t>
  </si>
  <si>
    <t>PT</t>
  </si>
  <si>
    <t>RO</t>
  </si>
  <si>
    <t>SI</t>
  </si>
  <si>
    <t>SK</t>
  </si>
  <si>
    <t>FI</t>
  </si>
  <si>
    <t>SE</t>
  </si>
  <si>
    <t>Source: JRC-IDEES 2021 (International &amp; domestic)</t>
  </si>
  <si>
    <t>ATEPTDSLRL00</t>
  </si>
  <si>
    <t>ATEPTELCRL00</t>
  </si>
  <si>
    <t>BGEPTDSLRL00</t>
  </si>
  <si>
    <t>BGEPTELCRL00</t>
  </si>
  <si>
    <t>BEEPTDSLRL00</t>
  </si>
  <si>
    <t>BEEPTELCRL00</t>
  </si>
  <si>
    <t>CZEPTDSLRL00</t>
  </si>
  <si>
    <t>CZEPTELCRL00</t>
  </si>
  <si>
    <t>DKEPTDSLRL00</t>
  </si>
  <si>
    <t>DKEPTELCRL00</t>
  </si>
  <si>
    <t>DEEPTDSLRL00</t>
  </si>
  <si>
    <t>DEEPTELCRL00</t>
  </si>
  <si>
    <t>EEEPTDSLRL00</t>
  </si>
  <si>
    <t>EEEPTELCRL00</t>
  </si>
  <si>
    <t>IEEPTDSLRL00</t>
  </si>
  <si>
    <t>IEEPTELCRL00</t>
  </si>
  <si>
    <t>GREPTDSLRL00</t>
  </si>
  <si>
    <t>GREPTELCRL00</t>
  </si>
  <si>
    <t>ESEPTDSLRL00</t>
  </si>
  <si>
    <t>ESEPTELCRL00</t>
  </si>
  <si>
    <t>FREPTDSLRL00</t>
  </si>
  <si>
    <t>FREPTELCRL00</t>
  </si>
  <si>
    <t>HREPTDSLRL00</t>
  </si>
  <si>
    <t>HREPTELCRL00</t>
  </si>
  <si>
    <t>ITEPTDSLRL00</t>
  </si>
  <si>
    <t>ITEPTELCRL00</t>
  </si>
  <si>
    <t>CYEPTDSLRL00</t>
  </si>
  <si>
    <t>CYEPTELCRL00</t>
  </si>
  <si>
    <t>LVEPTDSLRL00</t>
  </si>
  <si>
    <t>LVEPTELCRL00</t>
  </si>
  <si>
    <t>LTEPTDSLRL00</t>
  </si>
  <si>
    <t>LTEPTELCRL00</t>
  </si>
  <si>
    <t>LUEPTDSLRL00</t>
  </si>
  <si>
    <t>LUEPTELCRL00</t>
  </si>
  <si>
    <t>HUEPTDSLRL00</t>
  </si>
  <si>
    <t>HUEPTELCRL00</t>
  </si>
  <si>
    <t>MTEPTDSLRL00</t>
  </si>
  <si>
    <t>MTEPTELCRL00</t>
  </si>
  <si>
    <t>NLEPTDSLRL00</t>
  </si>
  <si>
    <t>NLEPTELCRL00</t>
  </si>
  <si>
    <t>PLEPTDSLRL00</t>
  </si>
  <si>
    <t>PLEPTELCRL00</t>
  </si>
  <si>
    <t>PTEPTDSLRL00</t>
  </si>
  <si>
    <t>PTEPTELCRL00</t>
  </si>
  <si>
    <t>PTEFTDSLRL00</t>
  </si>
  <si>
    <t>PTEFTELCRL00</t>
  </si>
  <si>
    <t>ROEPTDSLRL00</t>
  </si>
  <si>
    <t>ROEPTELCRL00</t>
  </si>
  <si>
    <t>SIEPTDSLRL00</t>
  </si>
  <si>
    <t>SIEPTELCRL00</t>
  </si>
  <si>
    <t>SKEPTDSLRL00</t>
  </si>
  <si>
    <t>SKEPTELCRL00</t>
  </si>
  <si>
    <t>FIEPTDSLRL00</t>
  </si>
  <si>
    <t>FIEPTELCRL00</t>
  </si>
  <si>
    <t>SEEPTDSLRL00</t>
  </si>
  <si>
    <t>SEEPTELCRL00</t>
  </si>
  <si>
    <t>Source: JRC-IDEES 2021 (all rail)</t>
  </si>
  <si>
    <t>Row Labels</t>
  </si>
  <si>
    <t>Grand Total</t>
  </si>
  <si>
    <t>Passenger rail (Gpkm)</t>
  </si>
  <si>
    <t>Austria</t>
  </si>
  <si>
    <t>Belgium</t>
  </si>
  <si>
    <t>Bulgaria</t>
  </si>
  <si>
    <t>Cyprus</t>
  </si>
  <si>
    <t>Czechia</t>
  </si>
  <si>
    <t>Germany</t>
  </si>
  <si>
    <t>Denmark</t>
  </si>
  <si>
    <t>Estonia</t>
  </si>
  <si>
    <t>Spain</t>
  </si>
  <si>
    <t>Finland</t>
  </si>
  <si>
    <t>France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</si>
  <si>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</si>
  <si>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</si>
  <si>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</si>
  <si>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</si>
  <si>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</si>
  <si>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</si>
  <si>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</si>
  <si>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</si>
  <si>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</si>
  <si>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</si>
  <si>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</si>
  <si>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</si>
  <si>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Romania</t>
  </si>
  <si>
    <t>Sweden</t>
  </si>
  <si>
    <t>Slovenia</t>
  </si>
  <si>
    <t>Slovakia</t>
  </si>
  <si>
    <t>Country code</t>
  </si>
  <si>
    <t>YEAR</t>
  </si>
  <si>
    <t>'20-'30</t>
  </si>
  <si>
    <t>'30-'50</t>
  </si>
  <si>
    <t>Reference Scenario 2020 (REF2020)</t>
  </si>
  <si>
    <t>Passenger Transport activity (Gpkm)</t>
  </si>
  <si>
    <t>Rail</t>
  </si>
  <si>
    <t>-</t>
  </si>
  <si>
    <t>Freight transport activity (Gtkm)</t>
  </si>
  <si>
    <t>Freight rail (Gtkm)</t>
  </si>
  <si>
    <t>ATEFTDSLRL00</t>
  </si>
  <si>
    <t>ATEFTELCRL00</t>
  </si>
  <si>
    <t>BGEFTDSLRL00</t>
  </si>
  <si>
    <t>BGEFTELCRL00</t>
  </si>
  <si>
    <t>BEEFTDSLRL00</t>
  </si>
  <si>
    <t>BEEFTELCRL00</t>
  </si>
  <si>
    <t>CZEFTDSLRL00</t>
  </si>
  <si>
    <t>CZEFTELCRL00</t>
  </si>
  <si>
    <t>DKEFTDSLRL00</t>
  </si>
  <si>
    <t>DKEFTELCRL00</t>
  </si>
  <si>
    <t>DEEFTDSLRL00</t>
  </si>
  <si>
    <t>DEEFTELCRL00</t>
  </si>
  <si>
    <t>EEEFTDSLRL00</t>
  </si>
  <si>
    <t>EEEFTELCRL00</t>
  </si>
  <si>
    <t>IEEFTDSLRL00</t>
  </si>
  <si>
    <t>IEEFTELCRL00</t>
  </si>
  <si>
    <t>GREFTDSLRL00</t>
  </si>
  <si>
    <t>GREFTELCRL00</t>
  </si>
  <si>
    <t>ESEFTDSLRL00</t>
  </si>
  <si>
    <t>ESEFTELCRL00</t>
  </si>
  <si>
    <t>FREFTDSLRL00</t>
  </si>
  <si>
    <t>FREFTELCRL00</t>
  </si>
  <si>
    <t>HREFTDSLRL00</t>
  </si>
  <si>
    <t>HREFTELCRL00</t>
  </si>
  <si>
    <t>ITEFTDSLRL00</t>
  </si>
  <si>
    <t>ITEFTELCRL00</t>
  </si>
  <si>
    <t>CYEFTDSLRL00</t>
  </si>
  <si>
    <t>CYEFTELCRL00</t>
  </si>
  <si>
    <t>LVEFTDSLRL00</t>
  </si>
  <si>
    <t>LVEFTELCRL00</t>
  </si>
  <si>
    <t>LTEFTDSLRL00</t>
  </si>
  <si>
    <t>LTEFTELCRL00</t>
  </si>
  <si>
    <t>LUEFTDSLRL00</t>
  </si>
  <si>
    <t>LUEFTELCRL00</t>
  </si>
  <si>
    <t>HUEFTDSLRL00</t>
  </si>
  <si>
    <t>HUEFTELCRL00</t>
  </si>
  <si>
    <t>MTEFTDSLRL00</t>
  </si>
  <si>
    <t>MTEFTELCRL00</t>
  </si>
  <si>
    <t>NLEFTDSLRL00</t>
  </si>
  <si>
    <t>NLEFTELCRL00</t>
  </si>
  <si>
    <t>PLEFTDSLRL00</t>
  </si>
  <si>
    <t>PLEFTELCRL00</t>
  </si>
  <si>
    <t>ROEFTDSLRL00</t>
  </si>
  <si>
    <t>ROEFTELCRL00</t>
  </si>
  <si>
    <t>SIEFTDSLRL00</t>
  </si>
  <si>
    <t>SIEFTELCRL00</t>
  </si>
  <si>
    <t>SKEFTDSLRL00</t>
  </si>
  <si>
    <t>SKEFTELCRL00</t>
  </si>
  <si>
    <t>FIEFTDSLRL00</t>
  </si>
  <si>
    <t>FIEFTELCRL00</t>
  </si>
  <si>
    <t>SEEFTDSLRL00</t>
  </si>
  <si>
    <t>SEEFTELCRL00</t>
  </si>
  <si>
    <t>ATEAVKRS0000</t>
  </si>
  <si>
    <t>BGEAVKRS0000</t>
  </si>
  <si>
    <t>BEEAVKRS0000</t>
  </si>
  <si>
    <t>CZEAVKRS0000</t>
  </si>
  <si>
    <t>DKEAVKRS0000</t>
  </si>
  <si>
    <t>DEEAVKRS0000</t>
  </si>
  <si>
    <t>EEEAVKRS0000</t>
  </si>
  <si>
    <t>IEEAVKRS0000</t>
  </si>
  <si>
    <t>GREAVKRS0000</t>
  </si>
  <si>
    <t>ESEAVKRS0000</t>
  </si>
  <si>
    <t>FREAVKRS0000</t>
  </si>
  <si>
    <t>HREAVKRS0000</t>
  </si>
  <si>
    <t>ITEAVKRS0000</t>
  </si>
  <si>
    <t>CYEAVKRS0000</t>
  </si>
  <si>
    <t>LVEAVKRS0000</t>
  </si>
  <si>
    <t>LTEAVKRS0000</t>
  </si>
  <si>
    <t>LUEAVKRS0000</t>
  </si>
  <si>
    <t>HUEAVKRS0000</t>
  </si>
  <si>
    <t>MTEAVKRS0000</t>
  </si>
  <si>
    <t>NLEAVKRS0000</t>
  </si>
  <si>
    <t>PLEAVKRS0000</t>
  </si>
  <si>
    <t>PTEAVKRS0000</t>
  </si>
  <si>
    <t>ROEAVKRS0000</t>
  </si>
  <si>
    <t>SIEAVKRS0000</t>
  </si>
  <si>
    <t>SKEAVKRS0000</t>
  </si>
  <si>
    <t>FIEAVKRS0000</t>
  </si>
  <si>
    <t>SEEAVKRS0000</t>
  </si>
  <si>
    <t>Aviation activity (Mvkm)</t>
  </si>
  <si>
    <t>Intra-EU aviation</t>
  </si>
  <si>
    <t xml:space="preserve"> Energy Demand (ktoe)</t>
  </si>
  <si>
    <t xml:space="preserve">International maritime </t>
  </si>
  <si>
    <t>Inland waterways and domestic maritime</t>
  </si>
  <si>
    <t>Shipping activity (domestic and international) Gtkm</t>
  </si>
  <si>
    <t>ATEFTDSLHD00</t>
  </si>
  <si>
    <t>BGEFTDSLHD00</t>
  </si>
  <si>
    <t>BEEFTDSLHD00</t>
  </si>
  <si>
    <t>CZEFTDSLHD00</t>
  </si>
  <si>
    <t>DKEFTDSLHD00</t>
  </si>
  <si>
    <t>DEEFTDSLHD00</t>
  </si>
  <si>
    <t>EEEFTDSLHD00</t>
  </si>
  <si>
    <t>IEEFTDSLHD00</t>
  </si>
  <si>
    <t>GREFTDSLHD00</t>
  </si>
  <si>
    <t>ESEFTDSLHD00</t>
  </si>
  <si>
    <t>FREFTDSLHD00</t>
  </si>
  <si>
    <t>HREFTDSLHD00</t>
  </si>
  <si>
    <t>ITEFTDSLHD00</t>
  </si>
  <si>
    <t>CYEFTDSLHD00</t>
  </si>
  <si>
    <t>LVEFTDSLHD00</t>
  </si>
  <si>
    <t>LTEFTDSLHD00</t>
  </si>
  <si>
    <t>LUEFTDSLHD00</t>
  </si>
  <si>
    <t>HUEFTDSLHD00</t>
  </si>
  <si>
    <t>MTEFTDSLHD00</t>
  </si>
  <si>
    <t>NLEFTDSLHD00</t>
  </si>
  <si>
    <t>PLEFTDSLHD00</t>
  </si>
  <si>
    <t>PTEFTDSLHD00</t>
  </si>
  <si>
    <t>ROEFTDSLHD00</t>
  </si>
  <si>
    <t>SIEFTDSLHD00</t>
  </si>
  <si>
    <t>SKEFTDSLHD00</t>
  </si>
  <si>
    <t>FIEFTDSLHD00</t>
  </si>
  <si>
    <t>SEEFTDSLHD00</t>
  </si>
  <si>
    <t>Freight activity (domestic and international) Gtkm</t>
  </si>
  <si>
    <t>Heavy goods and light commercial vehicles</t>
  </si>
  <si>
    <t>ATEPTELCVPBT</t>
  </si>
  <si>
    <t>ATEPTELCBUBT</t>
  </si>
  <si>
    <t>ATEFTGSLLC00</t>
  </si>
  <si>
    <t>ATEFTDSLLC00</t>
  </si>
  <si>
    <t>ATEFTNGSLC00</t>
  </si>
  <si>
    <t>ATEFTGSLLCHB</t>
  </si>
  <si>
    <t>ATEFTDSLLCHB</t>
  </si>
  <si>
    <t>ATEFTDSLLCPH</t>
  </si>
  <si>
    <t>ATEFTELCLCBT</t>
  </si>
  <si>
    <t>ATEFTHY2LCFC</t>
  </si>
  <si>
    <t>BGEPTELCVPBT</t>
  </si>
  <si>
    <t>BGEPTELCBUBT</t>
  </si>
  <si>
    <t>BGEFTGSLLC00</t>
  </si>
  <si>
    <t>BGEFTDSLLC00</t>
  </si>
  <si>
    <t>BGEFTNGSLC00</t>
  </si>
  <si>
    <t>BGEFTGSLLCHB</t>
  </si>
  <si>
    <t>BGEFTDSLLCHB</t>
  </si>
  <si>
    <t>BGEFTDSLLCPH</t>
  </si>
  <si>
    <t>BGEFTELCLCBT</t>
  </si>
  <si>
    <t>BGEFTHY2LCFC</t>
  </si>
  <si>
    <t>BEEPTELCVPBT</t>
  </si>
  <si>
    <t>BEEPTELCBUBT</t>
  </si>
  <si>
    <t>BEEFTGSLLC00</t>
  </si>
  <si>
    <t>BEEFTDSLLC00</t>
  </si>
  <si>
    <t>BEEFTNGSLC00</t>
  </si>
  <si>
    <t>BEEFTGSLLCHB</t>
  </si>
  <si>
    <t>BEEFTDSLLCHB</t>
  </si>
  <si>
    <t>BEEFTDSLLCPH</t>
  </si>
  <si>
    <t>BEEFTELCLCBT</t>
  </si>
  <si>
    <t>BEEFTHY2LCFC</t>
  </si>
  <si>
    <t>CZEPTELCVPBT</t>
  </si>
  <si>
    <t>CZEPTELCBUBT</t>
  </si>
  <si>
    <t>CZEFTGSLLC00</t>
  </si>
  <si>
    <t>CZEFTDSLLC00</t>
  </si>
  <si>
    <t>CZEFTNGSLC00</t>
  </si>
  <si>
    <t>CZEFTGSLLCHB</t>
  </si>
  <si>
    <t>CZEFTDSLLCHB</t>
  </si>
  <si>
    <t>CZEFTDSLLCPH</t>
  </si>
  <si>
    <t>CZEFTELCLCBT</t>
  </si>
  <si>
    <t>CZEFTHY2LCFC</t>
  </si>
  <si>
    <t>DKEPTELCVPBT</t>
  </si>
  <si>
    <t>DKEPTELCBUBT</t>
  </si>
  <si>
    <t>DKEFTGSLLC00</t>
  </si>
  <si>
    <t>DKEFTDSLLC00</t>
  </si>
  <si>
    <t>DKEFTNGSLC00</t>
  </si>
  <si>
    <t>DKEFTGSLLCHB</t>
  </si>
  <si>
    <t>DKEFTDSLLCHB</t>
  </si>
  <si>
    <t>DKEFTDSLLCPH</t>
  </si>
  <si>
    <t>DKEFTELCLCBT</t>
  </si>
  <si>
    <t>DKEFTHY2LCFC</t>
  </si>
  <si>
    <t>DEEPTELCVPBT</t>
  </si>
  <si>
    <t>DEEPTELCBUBT</t>
  </si>
  <si>
    <t>DEEFTGSLLC00</t>
  </si>
  <si>
    <t>DEEFTDSLLC00</t>
  </si>
  <si>
    <t>DEEFTNGSLC00</t>
  </si>
  <si>
    <t>DEEFTGSLLCHB</t>
  </si>
  <si>
    <t>DEEFTDSLLCHB</t>
  </si>
  <si>
    <t>DEEFTDSLLCPH</t>
  </si>
  <si>
    <t>DEEFTELCLCBT</t>
  </si>
  <si>
    <t>DEEFTHY2LCFC</t>
  </si>
  <si>
    <t>EEEPTELCVPBT</t>
  </si>
  <si>
    <t>EEEPTELCBUBT</t>
  </si>
  <si>
    <t>EEEFTGSLLC00</t>
  </si>
  <si>
    <t>EEEFTDSLLC00</t>
  </si>
  <si>
    <t>EEEFTNGSLC00</t>
  </si>
  <si>
    <t>EEEFTGSLLCHB</t>
  </si>
  <si>
    <t>EEEFTDSLLCHB</t>
  </si>
  <si>
    <t>EEEFTDSLLCPH</t>
  </si>
  <si>
    <t>EEEFTELCLCBT</t>
  </si>
  <si>
    <t>EEEFTHY2LCFC</t>
  </si>
  <si>
    <t>IEEPTELCVPBT</t>
  </si>
  <si>
    <t>IEEPTELCBUBT</t>
  </si>
  <si>
    <t>IEEFTGSLLC00</t>
  </si>
  <si>
    <t>IEEFTDSLLC00</t>
  </si>
  <si>
    <t>IEEFTNGSLC00</t>
  </si>
  <si>
    <t>IEEFTGSLLCHB</t>
  </si>
  <si>
    <t>IEEFTDSLLCHB</t>
  </si>
  <si>
    <t>IEEFTDSLLCPH</t>
  </si>
  <si>
    <t>IEEFTELCLCBT</t>
  </si>
  <si>
    <t>IEEFTHY2LCFC</t>
  </si>
  <si>
    <t>GREPTELCVPBT</t>
  </si>
  <si>
    <t>GREPTELCBUBT</t>
  </si>
  <si>
    <t>GREFTGSLLC00</t>
  </si>
  <si>
    <t>GREFTDSLLC00</t>
  </si>
  <si>
    <t>GREFTNGSLC00</t>
  </si>
  <si>
    <t>GREFTGSLLCHB</t>
  </si>
  <si>
    <t>GREFTDSLLCHB</t>
  </si>
  <si>
    <t>GREFTDSLLCPH</t>
  </si>
  <si>
    <t>GREFTELCLCBT</t>
  </si>
  <si>
    <t>GREFTHY2LCFC</t>
  </si>
  <si>
    <t>ESEPTELCVPBT</t>
  </si>
  <si>
    <t>ESEPTELCBUBT</t>
  </si>
  <si>
    <t>ESEFTGSLLC00</t>
  </si>
  <si>
    <t>ESEFTDSLLC00</t>
  </si>
  <si>
    <t>ESEFTNGSLC00</t>
  </si>
  <si>
    <t>ESEFTGSLLCHB</t>
  </si>
  <si>
    <t>ESEFTDSLLCHB</t>
  </si>
  <si>
    <t>ESEFTDSLLCPH</t>
  </si>
  <si>
    <t>ESEFTELCLCBT</t>
  </si>
  <si>
    <t>ESEFTHY2LCFC</t>
  </si>
  <si>
    <t>FREPTELCVPBT</t>
  </si>
  <si>
    <t>FREPTELCBUBT</t>
  </si>
  <si>
    <t>FREFTGSLLC00</t>
  </si>
  <si>
    <t>FREFTDSLLC00</t>
  </si>
  <si>
    <t>FREFTNGSLC00</t>
  </si>
  <si>
    <t>FREFTGSLLCHB</t>
  </si>
  <si>
    <t>FREFTDSLLCHB</t>
  </si>
  <si>
    <t>FREFTDSLLCPH</t>
  </si>
  <si>
    <t>FREFTELCLCBT</t>
  </si>
  <si>
    <t>FREFTHY2LCFC</t>
  </si>
  <si>
    <t>HREPTELCVPBT</t>
  </si>
  <si>
    <t>HREPTELCBUBT</t>
  </si>
  <si>
    <t>HREFTGSLLC00</t>
  </si>
  <si>
    <t>HREFTDSLLC00</t>
  </si>
  <si>
    <t>HREFTNGSLC00</t>
  </si>
  <si>
    <t>HREFTGSLLCHB</t>
  </si>
  <si>
    <t>HREFTDSLLCHB</t>
  </si>
  <si>
    <t>HREFTDSLLCPH</t>
  </si>
  <si>
    <t>HREFTELCLCBT</t>
  </si>
  <si>
    <t>HREFTHY2LCFC</t>
  </si>
  <si>
    <t>ITEPTELCVPBT</t>
  </si>
  <si>
    <t>ITEPTELCBUBT</t>
  </si>
  <si>
    <t>ITEFTGSLLC00</t>
  </si>
  <si>
    <t>ITEFTDSLLC00</t>
  </si>
  <si>
    <t>ITEFTNGSLC00</t>
  </si>
  <si>
    <t>ITEFTGSLLCHB</t>
  </si>
  <si>
    <t>ITEFTDSLLCHB</t>
  </si>
  <si>
    <t>ITEFTDSLLCPH</t>
  </si>
  <si>
    <t>ITEFTELCLCBT</t>
  </si>
  <si>
    <t>ITEFTHY2LCFC</t>
  </si>
  <si>
    <t>CYEPTELCVPBT</t>
  </si>
  <si>
    <t>CYEPTELCBUBT</t>
  </si>
  <si>
    <t>CYEFTGSLLC00</t>
  </si>
  <si>
    <t>CYEFTDSLLC00</t>
  </si>
  <si>
    <t>CYEFTNGSLC00</t>
  </si>
  <si>
    <t>CYEFTGSLLCHB</t>
  </si>
  <si>
    <t>CYEFTDSLLCHB</t>
  </si>
  <si>
    <t>CYEFTDSLLCPH</t>
  </si>
  <si>
    <t>CYEFTELCLCBT</t>
  </si>
  <si>
    <t>CYEFTHY2LCFC</t>
  </si>
  <si>
    <t>LVEPTELCVPBT</t>
  </si>
  <si>
    <t>LVEPTELCBUBT</t>
  </si>
  <si>
    <t>LVEFTGSLLC00</t>
  </si>
  <si>
    <t>LVEFTDSLLC00</t>
  </si>
  <si>
    <t>LVEFTNGSLC00</t>
  </si>
  <si>
    <t>LVEFTGSLLCHB</t>
  </si>
  <si>
    <t>LVEFTDSLLCHB</t>
  </si>
  <si>
    <t>LVEFTDSLLCPH</t>
  </si>
  <si>
    <t>LVEFTELCLCBT</t>
  </si>
  <si>
    <t>LVEFTHY2LCFC</t>
  </si>
  <si>
    <t>LTEPTELCVPBT</t>
  </si>
  <si>
    <t>LTEPTELCBUBT</t>
  </si>
  <si>
    <t>LTEFTGSLLC00</t>
  </si>
  <si>
    <t>LTEFTDSLLC00</t>
  </si>
  <si>
    <t>LTEFTNGSLC00</t>
  </si>
  <si>
    <t>LTEFTGSLLCHB</t>
  </si>
  <si>
    <t>LTEFTDSLLCHB</t>
  </si>
  <si>
    <t>LTEFTDSLLCPH</t>
  </si>
  <si>
    <t>LTEFTELCLCBT</t>
  </si>
  <si>
    <t>LTEFTHY2LCFC</t>
  </si>
  <si>
    <t>LUEPTELCVPBT</t>
  </si>
  <si>
    <t>LUEPTELCBUBT</t>
  </si>
  <si>
    <t>LUEFTGSLLC00</t>
  </si>
  <si>
    <t>LUEFTDSLLC00</t>
  </si>
  <si>
    <t>LUEFTNGSLC00</t>
  </si>
  <si>
    <t>LUEFTGSLLCHB</t>
  </si>
  <si>
    <t>LUEFTDSLLCHB</t>
  </si>
  <si>
    <t>LUEFTDSLLCPH</t>
  </si>
  <si>
    <t>LUEFTELCLCBT</t>
  </si>
  <si>
    <t>LUEFTHY2LCFC</t>
  </si>
  <si>
    <t>HUEPTELCVPBT</t>
  </si>
  <si>
    <t>HUEPTELCBUBT</t>
  </si>
  <si>
    <t>HUEFTGSLLC00</t>
  </si>
  <si>
    <t>HUEFTDSLLC00</t>
  </si>
  <si>
    <t>HUEFTNGSLC00</t>
  </si>
  <si>
    <t>HUEFTGSLLCHB</t>
  </si>
  <si>
    <t>HUEFTDSLLCHB</t>
  </si>
  <si>
    <t>HUEFTDSLLCPH</t>
  </si>
  <si>
    <t>HUEFTELCLCBT</t>
  </si>
  <si>
    <t>HUEFTHY2LCFC</t>
  </si>
  <si>
    <t>MTEPTELCVPBT</t>
  </si>
  <si>
    <t>MTEPTELCBUBT</t>
  </si>
  <si>
    <t>MTEFTGSLLC00</t>
  </si>
  <si>
    <t>MTEFTDSLLC00</t>
  </si>
  <si>
    <t>MTEFTNGSLC00</t>
  </si>
  <si>
    <t>MTEFTGSLLCHB</t>
  </si>
  <si>
    <t>MTEFTDSLLCHB</t>
  </si>
  <si>
    <t>MTEFTDSLLCPH</t>
  </si>
  <si>
    <t>MTEFTELCLCBT</t>
  </si>
  <si>
    <t>MTEFTHY2LCFC</t>
  </si>
  <si>
    <t>NLEPTELCVPBT</t>
  </si>
  <si>
    <t>NLEPTELCBUBT</t>
  </si>
  <si>
    <t>NLEFTGSLLC00</t>
  </si>
  <si>
    <t>NLEFTDSLLC00</t>
  </si>
  <si>
    <t>NLEFTNGSLC00</t>
  </si>
  <si>
    <t>NLEFTGSLLCHB</t>
  </si>
  <si>
    <t>NLEFTDSLLCHB</t>
  </si>
  <si>
    <t>NLEFTDSLLCPH</t>
  </si>
  <si>
    <t>NLEFTELCLCBT</t>
  </si>
  <si>
    <t>NLEFTHY2LCFC</t>
  </si>
  <si>
    <t>PLEPTELCVPBT</t>
  </si>
  <si>
    <t>PLEPTELCBUBT</t>
  </si>
  <si>
    <t>PLEFTGSLLC00</t>
  </si>
  <si>
    <t>PLEFTDSLLC00</t>
  </si>
  <si>
    <t>PLEFTNGSLC00</t>
  </si>
  <si>
    <t>PLEFTGSLLCHB</t>
  </si>
  <si>
    <t>PLEFTDSLLCHB</t>
  </si>
  <si>
    <t>PLEFTDSLLCPH</t>
  </si>
  <si>
    <t>PLEFTELCLCBT</t>
  </si>
  <si>
    <t>PLEFTHY2LCFC</t>
  </si>
  <si>
    <t>PTEPTELCVPBT</t>
  </si>
  <si>
    <t>PTEPTELCBUBT</t>
  </si>
  <si>
    <t>PTEFTGSLLC00</t>
  </si>
  <si>
    <t>PTEFTDSLLC00</t>
  </si>
  <si>
    <t>PTEFTNGSLC00</t>
  </si>
  <si>
    <t>PTEFTGSLLCHB</t>
  </si>
  <si>
    <t>PTEFTDSLLCHB</t>
  </si>
  <si>
    <t>PTEFTDSLLCPH</t>
  </si>
  <si>
    <t>PTEFTELCLCBT</t>
  </si>
  <si>
    <t>PTEFTHY2LCFC</t>
  </si>
  <si>
    <t>ROEPTELCVPBT</t>
  </si>
  <si>
    <t>ROEPTELCBUBT</t>
  </si>
  <si>
    <t>ROEFTGSLLC00</t>
  </si>
  <si>
    <t>ROEFTDSLLC00</t>
  </si>
  <si>
    <t>ROEFTNGSLC00</t>
  </si>
  <si>
    <t>ROEFTGSLLCHB</t>
  </si>
  <si>
    <t>ROEFTDSLLCHB</t>
  </si>
  <si>
    <t>ROEFTDSLLCPH</t>
  </si>
  <si>
    <t>ROEFTELCLCBT</t>
  </si>
  <si>
    <t>ROEFTHY2LCFC</t>
  </si>
  <si>
    <t>SIEPTELCVPBT</t>
  </si>
  <si>
    <t>SIEPTELCBUBT</t>
  </si>
  <si>
    <t>SIEFTGSLLC00</t>
  </si>
  <si>
    <t>SIEFTDSLLC00</t>
  </si>
  <si>
    <t>SIEFTNGSLC00</t>
  </si>
  <si>
    <t>SIEFTGSLLCHB</t>
  </si>
  <si>
    <t>SIEFTDSLLCHB</t>
  </si>
  <si>
    <t>SIEFTDSLLCPH</t>
  </si>
  <si>
    <t>SIEFTELCLCBT</t>
  </si>
  <si>
    <t>SIEFTHY2LCFC</t>
  </si>
  <si>
    <t>SKEPTELCVPBT</t>
  </si>
  <si>
    <t>SKEPTELCBUBT</t>
  </si>
  <si>
    <t>SKEFTGSLLC00</t>
  </si>
  <si>
    <t>SKEFTDSLLC00</t>
  </si>
  <si>
    <t>SKEFTNGSLC00</t>
  </si>
  <si>
    <t>SKEFTGSLLCHB</t>
  </si>
  <si>
    <t>SKEFTDSLLCHB</t>
  </si>
  <si>
    <t>SKEFTDSLLCPH</t>
  </si>
  <si>
    <t>SKEFTELCLCBT</t>
  </si>
  <si>
    <t>SKEFTHY2LCFC</t>
  </si>
  <si>
    <t>FIEPTELCVPBT</t>
  </si>
  <si>
    <t>FIEPTELCBUBT</t>
  </si>
  <si>
    <t>FIEFTGSLLC00</t>
  </si>
  <si>
    <t>FIEFTDSLLC00</t>
  </si>
  <si>
    <t>FIEFTNGSLC00</t>
  </si>
  <si>
    <t>FIEFTGSLLCHB</t>
  </si>
  <si>
    <t>FIEFTDSLLCHB</t>
  </si>
  <si>
    <t>FIEFTDSLLCPH</t>
  </si>
  <si>
    <t>FIEFTELCLCBT</t>
  </si>
  <si>
    <t>FIEFTHY2LCFC</t>
  </si>
  <si>
    <t>SEEPTELCVPBT</t>
  </si>
  <si>
    <t>SEEPTELCBUBT</t>
  </si>
  <si>
    <t>SEEFTGSLLC00</t>
  </si>
  <si>
    <t>SEEFTDSLLC00</t>
  </si>
  <si>
    <t>SEEFTNGSLC00</t>
  </si>
  <si>
    <t>SEEFTGSLLCHB</t>
  </si>
  <si>
    <t>SEEFTDSLLCHB</t>
  </si>
  <si>
    <t>SEEFTDSLLCPH</t>
  </si>
  <si>
    <t>SEEFTELCLCBT</t>
  </si>
  <si>
    <t>SEEFTHY2LCFC</t>
  </si>
  <si>
    <t xml:space="preserve">Passenger cars </t>
  </si>
  <si>
    <t>country</t>
  </si>
  <si>
    <t>Source: JRC-IDEES 2021</t>
  </si>
  <si>
    <t>Freight activity (domestic and international) Gveh-km</t>
  </si>
  <si>
    <t>Passenger activity (Gveh-km)</t>
  </si>
  <si>
    <t>ATEPTGSLVP00</t>
  </si>
  <si>
    <t>ATEPTDSLVP00</t>
  </si>
  <si>
    <t>ATEPTNGSVP00</t>
  </si>
  <si>
    <t>ATEPTLPGVP00</t>
  </si>
  <si>
    <t>ATEPTDSLVPHB</t>
  </si>
  <si>
    <t>ATEPTGSLVPHB</t>
  </si>
  <si>
    <t>ATEPTGSLVPPH</t>
  </si>
  <si>
    <t>ATEPTHY2VPFC</t>
  </si>
  <si>
    <t>BGEPTGSLVP00</t>
  </si>
  <si>
    <t>BGEPTDSLVP00</t>
  </si>
  <si>
    <t>BGEPTNGSVP00</t>
  </si>
  <si>
    <t>BGEPTLPGVP00</t>
  </si>
  <si>
    <t>BGEPTDSLVPHB</t>
  </si>
  <si>
    <t>BGEPTGSLVPHB</t>
  </si>
  <si>
    <t>BGEPTGSLVPPH</t>
  </si>
  <si>
    <t>BGEPTHY2VPFC</t>
  </si>
  <si>
    <t>BEEPTGSLVP00</t>
  </si>
  <si>
    <t>BEEPTDSLVP00</t>
  </si>
  <si>
    <t>BEEPTNGSVP00</t>
  </si>
  <si>
    <t>BEEPTLPGVP00</t>
  </si>
  <si>
    <t>BEEPTDSLVPHB</t>
  </si>
  <si>
    <t>BEEPTGSLVPHB</t>
  </si>
  <si>
    <t>BEEPTGSLVPPH</t>
  </si>
  <si>
    <t>BEEPTHY2VPFC</t>
  </si>
  <si>
    <t>CZEPTGSLVP00</t>
  </si>
  <si>
    <t>CZEPTDSLVP00</t>
  </si>
  <si>
    <t>CZEPTNGSVP00</t>
  </si>
  <si>
    <t>CZEPTLPGVP00</t>
  </si>
  <si>
    <t>CZEPTDSLVPHB</t>
  </si>
  <si>
    <t>CZEPTGSLVPHB</t>
  </si>
  <si>
    <t>CZEPTGSLVPPH</t>
  </si>
  <si>
    <t>CZEPTHY2VPFC</t>
  </si>
  <si>
    <t>DKEPTGSLVP00</t>
  </si>
  <si>
    <t>DKEPTDSLVP00</t>
  </si>
  <si>
    <t>DKEPTNGSVP00</t>
  </si>
  <si>
    <t>DKEPTLPGVP00</t>
  </si>
  <si>
    <t>DKEPTDSLVPHB</t>
  </si>
  <si>
    <t>DKEPTGSLVPHB</t>
  </si>
  <si>
    <t>DKEPTGSLVPPH</t>
  </si>
  <si>
    <t>DKEPTHY2VPFC</t>
  </si>
  <si>
    <t>DEEPTGSLVP00</t>
  </si>
  <si>
    <t>DEEPTDSLVP00</t>
  </si>
  <si>
    <t>DEEPTNGSVP00</t>
  </si>
  <si>
    <t>DEEPTLPGVP00</t>
  </si>
  <si>
    <t>DEEPTDSLVPHB</t>
  </si>
  <si>
    <t>DEEPTGSLVPHB</t>
  </si>
  <si>
    <t>DEEPTGSLVPPH</t>
  </si>
  <si>
    <t>DEEPTHY2VPFC</t>
  </si>
  <si>
    <t>EEEPTGSLVP00</t>
  </si>
  <si>
    <t>EEEPTDSLVP00</t>
  </si>
  <si>
    <t>EEEPTNGSVP00</t>
  </si>
  <si>
    <t>EEEPTLPGVP00</t>
  </si>
  <si>
    <t>EEEPTDSLVPHB</t>
  </si>
  <si>
    <t>EEEPTGSLVPHB</t>
  </si>
  <si>
    <t>EEEPTGSLVPPH</t>
  </si>
  <si>
    <t>EEEPTHY2VPFC</t>
  </si>
  <si>
    <t>IEEPTGSLVP00</t>
  </si>
  <si>
    <t>IEEPTDSLVP00</t>
  </si>
  <si>
    <t>IEEPTNGSVP00</t>
  </si>
  <si>
    <t>IEEPTLPGVP00</t>
  </si>
  <si>
    <t>IEEPTDSLVPHB</t>
  </si>
  <si>
    <t>IEEPTGSLVPHB</t>
  </si>
  <si>
    <t>IEEPTGSLVPPH</t>
  </si>
  <si>
    <t>IEEPTHY2VPFC</t>
  </si>
  <si>
    <t>GREPTGSLVP00</t>
  </si>
  <si>
    <t>GREPTDSLVP00</t>
  </si>
  <si>
    <t>GREPTNGSVP00</t>
  </si>
  <si>
    <t>GREPTLPGVP00</t>
  </si>
  <si>
    <t>GREPTDSLVPHB</t>
  </si>
  <si>
    <t>GREPTGSLVPHB</t>
  </si>
  <si>
    <t>GREPTGSLVPPH</t>
  </si>
  <si>
    <t>GREPTHY2VPFC</t>
  </si>
  <si>
    <t>ESEPTGSLVP00</t>
  </si>
  <si>
    <t>ESEPTDSLVP00</t>
  </si>
  <si>
    <t>ESEPTNGSVP00</t>
  </si>
  <si>
    <t>ESEPTLPGVP00</t>
  </si>
  <si>
    <t>ESEPTDSLVPHB</t>
  </si>
  <si>
    <t>ESEPTGSLVPHB</t>
  </si>
  <si>
    <t>ESEPTGSLVPPH</t>
  </si>
  <si>
    <t>ESEPTHY2VPFC</t>
  </si>
  <si>
    <t>FREPTGSLVP00</t>
  </si>
  <si>
    <t>FREPTDSLVP00</t>
  </si>
  <si>
    <t>FREPTNGSVP00</t>
  </si>
  <si>
    <t>FREPTLPGVP00</t>
  </si>
  <si>
    <t>FREPTDSLVPHB</t>
  </si>
  <si>
    <t>FREPTGSLVPHB</t>
  </si>
  <si>
    <t>FREPTGSLVPPH</t>
  </si>
  <si>
    <t>FREPTHY2VPFC</t>
  </si>
  <si>
    <t>HREPTGSLVP00</t>
  </si>
  <si>
    <t>HREPTDSLVP00</t>
  </si>
  <si>
    <t>HREPTNGSVP00</t>
  </si>
  <si>
    <t>HREPTLPGVP00</t>
  </si>
  <si>
    <t>HREPTDSLVPHB</t>
  </si>
  <si>
    <t>HREPTGSLVPHB</t>
  </si>
  <si>
    <t>HREPTGSLVPPH</t>
  </si>
  <si>
    <t>HREPTHY2VPFC</t>
  </si>
  <si>
    <t>ITEPTGSLVP00</t>
  </si>
  <si>
    <t>ITEPTDSLVP00</t>
  </si>
  <si>
    <t>ITEPTNGSVP00</t>
  </si>
  <si>
    <t>ITEPTLPGVP00</t>
  </si>
  <si>
    <t>ITEPTDSLVPHB</t>
  </si>
  <si>
    <t>ITEPTGSLVPHB</t>
  </si>
  <si>
    <t>ITEPTGSLVPPH</t>
  </si>
  <si>
    <t>ITEPTHY2VPFC</t>
  </si>
  <si>
    <t>CYEPTGSLVP00</t>
  </si>
  <si>
    <t>CYEPTDSLVP00</t>
  </si>
  <si>
    <t>CYEPTNGSVP00</t>
  </si>
  <si>
    <t>CYEPTLPGVP00</t>
  </si>
  <si>
    <t>CYEPTDSLVPHB</t>
  </si>
  <si>
    <t>CYEPTGSLVPHB</t>
  </si>
  <si>
    <t>CYEPTGSLVPPH</t>
  </si>
  <si>
    <t>CYEPTHY2VPFC</t>
  </si>
  <si>
    <t>LVEPTGSLVP00</t>
  </si>
  <si>
    <t>LVEPTDSLVP00</t>
  </si>
  <si>
    <t>LVEPTNGSVP00</t>
  </si>
  <si>
    <t>LVEPTLPGVP00</t>
  </si>
  <si>
    <t>LVEPTDSLVPHB</t>
  </si>
  <si>
    <t>LVEPTGSLVPHB</t>
  </si>
  <si>
    <t>LVEPTGSLVPPH</t>
  </si>
  <si>
    <t>LVEPTHY2VPFC</t>
  </si>
  <si>
    <t>LTEPTGSLVP00</t>
  </si>
  <si>
    <t>LTEPTDSLVP00</t>
  </si>
  <si>
    <t>LTEPTNGSVP00</t>
  </si>
  <si>
    <t>LTEPTLPGVP00</t>
  </si>
  <si>
    <t>LTEPTDSLVPHB</t>
  </si>
  <si>
    <t>LTEPTGSLVPHB</t>
  </si>
  <si>
    <t>LTEPTGSLVPPH</t>
  </si>
  <si>
    <t>LTEPTHY2VPFC</t>
  </si>
  <si>
    <t>LUEPTGSLVP00</t>
  </si>
  <si>
    <t>LUEPTDSLVP00</t>
  </si>
  <si>
    <t>LUEPTNGSVP00</t>
  </si>
  <si>
    <t>LUEPTLPGVP00</t>
  </si>
  <si>
    <t>LUEPTDSLVPHB</t>
  </si>
  <si>
    <t>LUEPTGSLVPHB</t>
  </si>
  <si>
    <t>LUEPTGSLVPPH</t>
  </si>
  <si>
    <t>LUEPTHY2VPFC</t>
  </si>
  <si>
    <t>HUEPTGSLVP00</t>
  </si>
  <si>
    <t>HUEPTDSLVP00</t>
  </si>
  <si>
    <t>HUEPTNGSVP00</t>
  </si>
  <si>
    <t>HUEPTLPGVP00</t>
  </si>
  <si>
    <t>HUEPTDSLVPHB</t>
  </si>
  <si>
    <t>HUEPTGSLVPHB</t>
  </si>
  <si>
    <t>HUEPTGSLVPPH</t>
  </si>
  <si>
    <t>HUEPTHY2VPFC</t>
  </si>
  <si>
    <t>MTEPTGSLVP00</t>
  </si>
  <si>
    <t>MTEPTDSLVP00</t>
  </si>
  <si>
    <t>MTEPTNGSVP00</t>
  </si>
  <si>
    <t>MTEPTLPGVP00</t>
  </si>
  <si>
    <t>MTEPTDSLVPHB</t>
  </si>
  <si>
    <t>MTEPTGSLVPHB</t>
  </si>
  <si>
    <t>MTEPTGSLVPPH</t>
  </si>
  <si>
    <t>MTEPTHY2VPFC</t>
  </si>
  <si>
    <t>NLEPTGSLVP00</t>
  </si>
  <si>
    <t>NLEPTDSLVP00</t>
  </si>
  <si>
    <t>NLEPTNGSVP00</t>
  </si>
  <si>
    <t>NLEPTLPGVP00</t>
  </si>
  <si>
    <t>NLEPTDSLVPHB</t>
  </si>
  <si>
    <t>NLEPTGSLVPHB</t>
  </si>
  <si>
    <t>NLEPTGSLVPPH</t>
  </si>
  <si>
    <t>NLEPTHY2VPFC</t>
  </si>
  <si>
    <t>PLEPTGSLVP00</t>
  </si>
  <si>
    <t>PLEPTDSLVP00</t>
  </si>
  <si>
    <t>PLEPTNGSVP00</t>
  </si>
  <si>
    <t>PLEPTLPGVP00</t>
  </si>
  <si>
    <t>PLEPTDSLVPHB</t>
  </si>
  <si>
    <t>PLEPTGSLVPHB</t>
  </si>
  <si>
    <t>PLEPTGSLVPPH</t>
  </si>
  <si>
    <t>PLEPTHY2VPFC</t>
  </si>
  <si>
    <t>PTEPTGSLVP00</t>
  </si>
  <si>
    <t>PTEPTDSLVP00</t>
  </si>
  <si>
    <t>PTEPTNGSVP00</t>
  </si>
  <si>
    <t>PTEPTLPGVP00</t>
  </si>
  <si>
    <t>PTEPTDSLVPHB</t>
  </si>
  <si>
    <t>PTEPTGSLVPHB</t>
  </si>
  <si>
    <t>PTEPTGSLVPPH</t>
  </si>
  <si>
    <t>PTEPTHY2VPFC</t>
  </si>
  <si>
    <t>ROEPTGSLVP00</t>
  </si>
  <si>
    <t>ROEPTDSLVP00</t>
  </si>
  <si>
    <t>ROEPTNGSVP00</t>
  </si>
  <si>
    <t>ROEPTLPGVP00</t>
  </si>
  <si>
    <t>ROEPTDSLVPHB</t>
  </si>
  <si>
    <t>ROEPTGSLVPHB</t>
  </si>
  <si>
    <t>ROEPTGSLVPPH</t>
  </si>
  <si>
    <t>ROEPTHY2VPFC</t>
  </si>
  <si>
    <t>SIEPTGSLVP00</t>
  </si>
  <si>
    <t>SIEPTDSLVP00</t>
  </si>
  <si>
    <t>SIEPTNGSVP00</t>
  </si>
  <si>
    <t>SIEPTLPGVP00</t>
  </si>
  <si>
    <t>SIEPTDSLVPHB</t>
  </si>
  <si>
    <t>SIEPTGSLVPHB</t>
  </si>
  <si>
    <t>SIEPTGSLVPPH</t>
  </si>
  <si>
    <t>SIEPTHY2VPFC</t>
  </si>
  <si>
    <t>SKEPTGSLVP00</t>
  </si>
  <si>
    <t>SKEPTDSLVP00</t>
  </si>
  <si>
    <t>SKEPTNGSVP00</t>
  </si>
  <si>
    <t>SKEPTLPGVP00</t>
  </si>
  <si>
    <t>SKEPTDSLVPHB</t>
  </si>
  <si>
    <t>SKEPTGSLVPHB</t>
  </si>
  <si>
    <t>SKEPTGSLVPPH</t>
  </si>
  <si>
    <t>SKEPTHY2VPFC</t>
  </si>
  <si>
    <t>FIEPTGSLVP00</t>
  </si>
  <si>
    <t>FIEPTDSLVP00</t>
  </si>
  <si>
    <t>FIEPTNGSVP00</t>
  </si>
  <si>
    <t>FIEPTLPGVP00</t>
  </si>
  <si>
    <t>FIEPTDSLVPHB</t>
  </si>
  <si>
    <t>FIEPTGSLVPHB</t>
  </si>
  <si>
    <t>FIEPTGSLVPPH</t>
  </si>
  <si>
    <t>FIEPTHY2VPFC</t>
  </si>
  <si>
    <t>SEEPTGSLVP00</t>
  </si>
  <si>
    <t>SEEPTDSLVP00</t>
  </si>
  <si>
    <t>SEEPTNGSVP00</t>
  </si>
  <si>
    <t>SEEPTLPGVP00</t>
  </si>
  <si>
    <t>SEEPTDSLVPHB</t>
  </si>
  <si>
    <t>SEEPTGSLVPHB</t>
  </si>
  <si>
    <t>SEEPTGSLVPPH</t>
  </si>
  <si>
    <t>SEEPTHY2VPFC</t>
  </si>
  <si>
    <t>Demand projections (Gveh-km)</t>
  </si>
  <si>
    <t>Buses and coaches</t>
  </si>
  <si>
    <t>ATEPTDSLBU00</t>
  </si>
  <si>
    <t>ATEPTNGSBU00</t>
  </si>
  <si>
    <t>ATEPTHY2BUFC</t>
  </si>
  <si>
    <t>BGEPTDSLBU00</t>
  </si>
  <si>
    <t>BGEPTNGSBU00</t>
  </si>
  <si>
    <t>BGEPTHY2BUFC</t>
  </si>
  <si>
    <t>BEEPTDSLBU00</t>
  </si>
  <si>
    <t>BEEPTNGSBU00</t>
  </si>
  <si>
    <t>BEEPTHY2BUFC</t>
  </si>
  <si>
    <t>CZEPTDSLBU00</t>
  </si>
  <si>
    <t>CZEPTNGSBU00</t>
  </si>
  <si>
    <t>CZEPTHY2BUFC</t>
  </si>
  <si>
    <t>DKEPTDSLBU00</t>
  </si>
  <si>
    <t>DKEPTNGSBU00</t>
  </si>
  <si>
    <t>DKEPTHY2BUFC</t>
  </si>
  <si>
    <t>DEEPTDSLBU00</t>
  </si>
  <si>
    <t>DEEPTNGSBU00</t>
  </si>
  <si>
    <t>DEEPTHY2BUFC</t>
  </si>
  <si>
    <t>EEEPTDSLBU00</t>
  </si>
  <si>
    <t>EEEPTNGSBU00</t>
  </si>
  <si>
    <t>EEEPTHY2BUFC</t>
  </si>
  <si>
    <t>IEEPTDSLBU00</t>
  </si>
  <si>
    <t>IEEPTNGSBU00</t>
  </si>
  <si>
    <t>IEEPTHY2BUFC</t>
  </si>
  <si>
    <t>GREPTDSLBU00</t>
  </si>
  <si>
    <t>GREPTNGSBU00</t>
  </si>
  <si>
    <t>GREPTHY2BUFC</t>
  </si>
  <si>
    <t>ESEPTDSLBU00</t>
  </si>
  <si>
    <t>ESEPTNGSBU00</t>
  </si>
  <si>
    <t>ESEPTHY2BUFC</t>
  </si>
  <si>
    <t>FREPTDSLBU00</t>
  </si>
  <si>
    <t>FREPTNGSBU00</t>
  </si>
  <si>
    <t>FREPTHY2BUFC</t>
  </si>
  <si>
    <t>HREPTDSLBU00</t>
  </si>
  <si>
    <t>HREPTNGSBU00</t>
  </si>
  <si>
    <t>HREPTHY2BUFC</t>
  </si>
  <si>
    <t>ITEPTDSLBU00</t>
  </si>
  <si>
    <t>ITEPTNGSBU00</t>
  </si>
  <si>
    <t>ITEPTHY2BUFC</t>
  </si>
  <si>
    <t>CYEPTDSLBU00</t>
  </si>
  <si>
    <t>CYEPTNGSBU00</t>
  </si>
  <si>
    <t>CYEPTHY2BUFC</t>
  </si>
  <si>
    <t>LVEPTDSLBU00</t>
  </si>
  <si>
    <t>LVEPTNGSBU00</t>
  </si>
  <si>
    <t>LVEPTHY2BUFC</t>
  </si>
  <si>
    <t>LTEPTDSLBU00</t>
  </si>
  <si>
    <t>LTEPTNGSBU00</t>
  </si>
  <si>
    <t>LTEPTHY2BUFC</t>
  </si>
  <si>
    <t>LUEPTDSLBU00</t>
  </si>
  <si>
    <t>LUEPTNGSBU00</t>
  </si>
  <si>
    <t>LUEPTHY2BUFC</t>
  </si>
  <si>
    <t>HUEPTDSLBU00</t>
  </si>
  <si>
    <t>HUEPTNGSBU00</t>
  </si>
  <si>
    <t>HUEPTHY2BUFC</t>
  </si>
  <si>
    <t>MTEPTDSLBU00</t>
  </si>
  <si>
    <t>MTEPTNGSBU00</t>
  </si>
  <si>
    <t>MTEPTHY2BUFC</t>
  </si>
  <si>
    <t>NLEPTDSLBU00</t>
  </si>
  <si>
    <t>NLEPTNGSBU00</t>
  </si>
  <si>
    <t>NLEPTHY2BUFC</t>
  </si>
  <si>
    <t>PLEPTDSLBU00</t>
  </si>
  <si>
    <t>PLEPTNGSBU00</t>
  </si>
  <si>
    <t>PLEPTHY2BUFC</t>
  </si>
  <si>
    <t>PTEPTDSLBU00</t>
  </si>
  <si>
    <t>PTEPTNGSBU00</t>
  </si>
  <si>
    <t>PTEPTHY2BUFC</t>
  </si>
  <si>
    <t>ROEPTDSLBU00</t>
  </si>
  <si>
    <t>ROEPTNGSBU00</t>
  </si>
  <si>
    <t>ROEPTHY2BUFC</t>
  </si>
  <si>
    <t>SIEPTDSLBU00</t>
  </si>
  <si>
    <t>SIEPTNGSBU00</t>
  </si>
  <si>
    <t>SIEPTHY2BUFC</t>
  </si>
  <si>
    <t>SKEPTDSLBU00</t>
  </si>
  <si>
    <t>SKEPTNGSBU00</t>
  </si>
  <si>
    <t>SKEPTHY2BUFC</t>
  </si>
  <si>
    <t>FIEPTDSLBU00</t>
  </si>
  <si>
    <t>FIEPTNGSBU00</t>
  </si>
  <si>
    <t>FIEPTHY2BUFC</t>
  </si>
  <si>
    <t>SEEPTDSLBU00</t>
  </si>
  <si>
    <t>SEEPTNGSBU00</t>
  </si>
  <si>
    <t>SEEPTHY2BUFC</t>
  </si>
  <si>
    <r>
      <rPr>
        <b/>
        <sz val="11"/>
        <color theme="1"/>
        <rFont val="Calibri"/>
        <family val="2"/>
        <scheme val="minor"/>
      </rPr>
      <t>Source</t>
    </r>
    <r>
      <rPr>
        <sz val="11"/>
        <color theme="1"/>
        <rFont val="Calibri"/>
        <family val="2"/>
        <scheme val="minor"/>
      </rPr>
      <t>: interpolation from EU Reference Scenario 2020 projections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</si>
</sst>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General_)"/>
    <numFmt numFmtId="166" formatCode="0.0"/>
    <numFmt numFmtId="167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5" fontId="4" fillId="0" borderId="0"/>
  </cellStyleXfs>
  <cellXfs count="33">
    <xf numFmtId="0" fontId="0" fillId="0" borderId="0" xfId="0"/>
    <xf numFmtId="0" fontId="3" fillId="0" borderId="0" xfId="0" applyFont="1"/>
    <xf numFmtId="0" fontId="3" fillId="2" borderId="0" xfId="0" applyFont="1" applyFill="1"/>
    <xf numFmtId="0" fontId="0" fillId="2" borderId="0" xfId="0" applyFill="1"/>
    <xf numFmtId="164" fontId="0" fillId="0" borderId="0" xfId="0" applyNumberFormat="1"/>
    <xf numFmtId="167" fontId="0" fillId="0" borderId="0" xfId="0" applyNumberFormat="1"/>
    <xf numFmtId="164" fontId="2" fillId="0" borderId="0" xfId="0" applyNumberFormat="1" applyFont="1"/>
    <xf numFmtId="164" fontId="0" fillId="3" borderId="0" xfId="0" applyNumberFormat="1" applyFill="1"/>
    <xf numFmtId="167" fontId="2" fillId="0" borderId="0" xfId="0" applyNumberFormat="1" applyFont="1"/>
    <xf numFmtId="2" fontId="0" fillId="0" borderId="0" xfId="0" applyNumberFormat="1"/>
    <xf numFmtId="2" fontId="2" fillId="0" borderId="0" xfId="0" applyNumberFormat="1" applyFont="1"/>
    <xf numFmtId="0" fontId="5" fillId="0" borderId="3" xfId="0" applyFont="1" applyBorder="1" applyAlignment="1">
      <alignment horizontal="center" vertical="top"/>
    </xf>
    <xf numFmtId="167" fontId="0" fillId="5" borderId="0" xfId="0" applyNumberFormat="1" applyFill="1"/>
    <xf numFmtId="2" fontId="0" fillId="4" borderId="0" xfId="0" applyNumberFormat="1" applyFill="1"/>
    <xf numFmtId="2" fontId="0" fillId="5" borderId="0" xfId="0" applyNumberFormat="1" applyFill="1"/>
    <xf numFmtId="0" fontId="2" fillId="0" borderId="0" xfId="0" applyFont="1"/>
    <xf numFmtId="167" fontId="2" fillId="4" borderId="0" xfId="0" applyNumberFormat="1" applyFont="1" applyFill="1"/>
    <xf numFmtId="164" fontId="0" fillId="5" borderId="0" xfId="0" applyNumberFormat="1" applyFill="1"/>
    <xf numFmtId="164" fontId="0" fillId="4" borderId="0" xfId="0" applyNumberFormat="1" applyFill="1"/>
    <xf numFmtId="164" fontId="6" fillId="4" borderId="0" xfId="0" applyNumberFormat="1" applyFont="1" applyFill="1"/>
    <xf numFmtId="164" fontId="3" fillId="0" borderId="0" xfId="0" applyNumberFormat="1" applyFont="1"/>
    <xf numFmtId="164" fontId="7" fillId="0" borderId="0" xfId="0" applyNumberFormat="1" applyFont="1"/>
    <xf numFmtId="164" fontId="3" fillId="5" borderId="0" xfId="0" applyNumberFormat="1" applyFont="1" applyFill="1"/>
    <xf numFmtId="0" fontId="8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right" vertical="center"/>
    </xf>
    <xf numFmtId="0" fontId="8" fillId="6" borderId="2" xfId="0" applyFont="1" applyFill="1" applyBorder="1" applyAlignment="1">
      <alignment horizontal="right" vertical="center"/>
    </xf>
    <xf numFmtId="0" fontId="8" fillId="6" borderId="2" xfId="0" applyFont="1" applyFill="1" applyBorder="1" applyAlignment="1">
      <alignment horizontal="left" vertical="center"/>
    </xf>
    <xf numFmtId="0" fontId="9" fillId="6" borderId="0" xfId="0" applyFont="1" applyFill="1" applyAlignment="1">
      <alignment vertical="center"/>
    </xf>
    <xf numFmtId="165" fontId="9" fillId="7" borderId="0" xfId="2" applyFont="1" applyFill="1" applyAlignment="1">
      <alignment horizontal="left" indent="2"/>
    </xf>
    <xf numFmtId="1" fontId="9" fillId="7" borderId="0" xfId="2" applyNumberFormat="1" applyFont="1" applyFill="1"/>
    <xf numFmtId="166" fontId="9" fillId="7" borderId="0" xfId="1" applyNumberFormat="1" applyFont="1" applyFill="1" applyAlignment="1">
      <alignment horizontal="right"/>
    </xf>
    <xf numFmtId="1" fontId="9" fillId="7" borderId="0" xfId="2" applyNumberFormat="1" applyFont="1" applyFill="1" applyAlignment="1">
      <alignment horizontal="right"/>
    </xf>
  </cellXfs>
  <cellStyles count="3">
    <cellStyle name="Normal" xfId="0" builtinId="0"/>
    <cellStyle name="Normal_AppendixAU" xfId="2" xr:uid="{A531B0DC-AF85-4250-9017-F05C5A70358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40943-EDEA-4F09-8145-A83C25A5B725}">
  <dimension ref="A1:B28"/>
  <sheetViews>
    <sheetView workbookViewId="0">
      <selection activeCell="A5" sqref="A5"/>
    </sheetView>
  </sheetViews>
  <sheetFormatPr defaultRowHeight="14.4" x14ac:dyDescent="0.3"/>
  <cols>
    <col min="1" max="1" width="11" bestFit="1" customWidth="1"/>
    <col min="2" max="2" width="11.88671875" bestFit="1" customWidth="1"/>
  </cols>
  <sheetData>
    <row r="1" spans="1:2" x14ac:dyDescent="0.3">
      <c r="A1" s="1" t="s">
        <v>1</v>
      </c>
      <c r="B1" s="1" t="s">
        <v>117</v>
      </c>
    </row>
    <row r="2" spans="1:2" x14ac:dyDescent="0.3">
      <c r="A2" t="s">
        <v>90</v>
      </c>
      <c r="B2" t="s">
        <v>2</v>
      </c>
    </row>
    <row r="3" spans="1:2" x14ac:dyDescent="0.3">
      <c r="A3" t="s">
        <v>91</v>
      </c>
      <c r="B3" t="s">
        <v>4</v>
      </c>
    </row>
    <row r="4" spans="1:2" x14ac:dyDescent="0.3">
      <c r="A4" t="s">
        <v>92</v>
      </c>
      <c r="B4" t="s">
        <v>3</v>
      </c>
    </row>
    <row r="5" spans="1:2" x14ac:dyDescent="0.3">
      <c r="A5" t="s">
        <v>93</v>
      </c>
      <c r="B5" t="s">
        <v>15</v>
      </c>
    </row>
    <row r="6" spans="1:2" x14ac:dyDescent="0.3">
      <c r="A6" t="s">
        <v>94</v>
      </c>
      <c r="B6" t="s">
        <v>5</v>
      </c>
    </row>
    <row r="7" spans="1:2" x14ac:dyDescent="0.3">
      <c r="A7" t="s">
        <v>95</v>
      </c>
      <c r="B7" t="s">
        <v>7</v>
      </c>
    </row>
    <row r="8" spans="1:2" x14ac:dyDescent="0.3">
      <c r="A8" t="s">
        <v>96</v>
      </c>
      <c r="B8" t="s">
        <v>6</v>
      </c>
    </row>
    <row r="9" spans="1:2" x14ac:dyDescent="0.3">
      <c r="A9" t="s">
        <v>97</v>
      </c>
      <c r="B9" t="s">
        <v>8</v>
      </c>
    </row>
    <row r="10" spans="1:2" x14ac:dyDescent="0.3">
      <c r="A10" t="s">
        <v>98</v>
      </c>
      <c r="B10" t="s">
        <v>11</v>
      </c>
    </row>
    <row r="11" spans="1:2" x14ac:dyDescent="0.3">
      <c r="A11" t="s">
        <v>99</v>
      </c>
      <c r="B11" t="s">
        <v>27</v>
      </c>
    </row>
    <row r="12" spans="1:2" x14ac:dyDescent="0.3">
      <c r="A12" t="s">
        <v>100</v>
      </c>
      <c r="B12" t="s">
        <v>12</v>
      </c>
    </row>
    <row r="13" spans="1:2" x14ac:dyDescent="0.3">
      <c r="A13" t="s">
        <v>101</v>
      </c>
      <c r="B13" t="s">
        <v>10</v>
      </c>
    </row>
    <row r="14" spans="1:2" x14ac:dyDescent="0.3">
      <c r="A14" t="s">
        <v>102</v>
      </c>
      <c r="B14" t="s">
        <v>13</v>
      </c>
    </row>
    <row r="15" spans="1:2" x14ac:dyDescent="0.3">
      <c r="A15" t="s">
        <v>103</v>
      </c>
      <c r="B15" t="s">
        <v>19</v>
      </c>
    </row>
    <row r="16" spans="1:2" x14ac:dyDescent="0.3">
      <c r="A16" t="s">
        <v>104</v>
      </c>
      <c r="B16" t="s">
        <v>9</v>
      </c>
    </row>
    <row r="17" spans="1:2" x14ac:dyDescent="0.3">
      <c r="A17" t="s">
        <v>105</v>
      </c>
      <c r="B17" t="s">
        <v>14</v>
      </c>
    </row>
    <row r="18" spans="1:2" x14ac:dyDescent="0.3">
      <c r="A18" t="s">
        <v>106</v>
      </c>
      <c r="B18" t="s">
        <v>17</v>
      </c>
    </row>
    <row r="19" spans="1:2" x14ac:dyDescent="0.3">
      <c r="A19" t="s">
        <v>107</v>
      </c>
      <c r="B19" t="s">
        <v>18</v>
      </c>
    </row>
    <row r="20" spans="1:2" x14ac:dyDescent="0.3">
      <c r="A20" t="s">
        <v>108</v>
      </c>
      <c r="B20" t="s">
        <v>16</v>
      </c>
    </row>
    <row r="21" spans="1:2" x14ac:dyDescent="0.3">
      <c r="A21" t="s">
        <v>109</v>
      </c>
      <c r="B21" t="s">
        <v>20</v>
      </c>
    </row>
    <row r="22" spans="1:2" x14ac:dyDescent="0.3">
      <c r="A22" t="s">
        <v>110</v>
      </c>
      <c r="B22" t="s">
        <v>21</v>
      </c>
    </row>
    <row r="23" spans="1:2" x14ac:dyDescent="0.3">
      <c r="A23" t="s">
        <v>111</v>
      </c>
      <c r="B23" t="s">
        <v>22</v>
      </c>
    </row>
    <row r="24" spans="1:2" x14ac:dyDescent="0.3">
      <c r="A24" t="s">
        <v>112</v>
      </c>
      <c r="B24" t="s">
        <v>23</v>
      </c>
    </row>
    <row r="25" spans="1:2" x14ac:dyDescent="0.3">
      <c r="A25" t="s">
        <v>113</v>
      </c>
      <c r="B25" t="s">
        <v>24</v>
      </c>
    </row>
    <row r="26" spans="1:2" x14ac:dyDescent="0.3">
      <c r="A26" t="s">
        <v>114</v>
      </c>
      <c r="B26" t="s">
        <v>28</v>
      </c>
    </row>
    <row r="27" spans="1:2" x14ac:dyDescent="0.3">
      <c r="A27" t="s">
        <v>115</v>
      </c>
      <c r="B27" t="s">
        <v>25</v>
      </c>
    </row>
    <row r="28" spans="1:2" x14ac:dyDescent="0.3">
      <c r="A28" t="s">
        <v>116</v>
      </c>
      <c r="B28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946A3-109E-4636-91EB-1339C7DB81F3}">
  <dimension ref="A1:BC30"/>
  <sheetViews>
    <sheetView workbookViewId="0">
      <selection activeCell="A3" sqref="A3"/>
    </sheetView>
  </sheetViews>
  <sheetFormatPr defaultRowHeight="14.4" x14ac:dyDescent="0.3"/>
  <cols>
    <col min="2" max="2" width="14.109375" bestFit="1" customWidth="1"/>
    <col min="3" max="55" width="10.5546875" bestFit="1" customWidth="1"/>
  </cols>
  <sheetData>
    <row r="1" spans="1:55" x14ac:dyDescent="0.3">
      <c r="A1" s="1" t="s">
        <v>29</v>
      </c>
    </row>
    <row r="2" spans="1:55" x14ac:dyDescent="0.3">
      <c r="A2" s="1" t="s">
        <v>514</v>
      </c>
    </row>
    <row r="3" spans="1:55" x14ac:dyDescent="0.3">
      <c r="B3" t="s">
        <v>1</v>
      </c>
      <c r="C3" s="1">
        <v>2018</v>
      </c>
      <c r="D3" s="1">
        <v>2019</v>
      </c>
      <c r="E3" s="1">
        <v>2020</v>
      </c>
      <c r="F3" s="1">
        <v>2021</v>
      </c>
      <c r="G3" s="1">
        <v>2022</v>
      </c>
      <c r="H3" s="1">
        <v>2023</v>
      </c>
      <c r="I3" s="1">
        <v>2024</v>
      </c>
      <c r="J3" s="1">
        <v>2025</v>
      </c>
      <c r="K3" s="1">
        <v>2026</v>
      </c>
      <c r="L3" s="1">
        <v>2027</v>
      </c>
      <c r="M3" s="1">
        <v>2028</v>
      </c>
      <c r="N3" s="1">
        <v>2029</v>
      </c>
      <c r="O3" s="1">
        <v>2030</v>
      </c>
      <c r="P3" s="1">
        <v>2031</v>
      </c>
      <c r="Q3" s="1">
        <v>2032</v>
      </c>
      <c r="R3" s="1">
        <v>2033</v>
      </c>
      <c r="S3" s="1">
        <v>2034</v>
      </c>
      <c r="T3" s="1">
        <v>2035</v>
      </c>
      <c r="U3" s="1">
        <v>2036</v>
      </c>
      <c r="V3" s="1">
        <v>2037</v>
      </c>
      <c r="W3" s="1">
        <v>2038</v>
      </c>
      <c r="X3" s="1">
        <v>2039</v>
      </c>
      <c r="Y3" s="1">
        <v>2040</v>
      </c>
      <c r="Z3" s="1">
        <v>2041</v>
      </c>
      <c r="AA3" s="1">
        <v>2042</v>
      </c>
      <c r="AB3" s="1">
        <v>2043</v>
      </c>
      <c r="AC3" s="1">
        <v>2044</v>
      </c>
      <c r="AD3" s="1">
        <v>2045</v>
      </c>
      <c r="AE3" s="1">
        <v>2046</v>
      </c>
      <c r="AF3" s="1">
        <v>2047</v>
      </c>
      <c r="AG3" s="1">
        <v>2048</v>
      </c>
      <c r="AH3" s="1">
        <v>2049</v>
      </c>
      <c r="AI3" s="1">
        <v>2050</v>
      </c>
      <c r="AJ3" s="1">
        <v>2051</v>
      </c>
      <c r="AK3" s="1">
        <v>2052</v>
      </c>
      <c r="AL3" s="1">
        <v>2053</v>
      </c>
      <c r="AM3" s="1">
        <v>2054</v>
      </c>
      <c r="AN3" s="1">
        <v>2055</v>
      </c>
      <c r="AO3" s="1">
        <v>2056</v>
      </c>
      <c r="AP3" s="1">
        <v>2057</v>
      </c>
      <c r="AQ3" s="1">
        <v>2058</v>
      </c>
      <c r="AR3" s="1">
        <v>2059</v>
      </c>
      <c r="AS3" s="1">
        <v>2060</v>
      </c>
      <c r="AT3" s="1">
        <v>2061</v>
      </c>
      <c r="AU3" s="1">
        <v>2062</v>
      </c>
      <c r="AV3" s="1">
        <v>2063</v>
      </c>
      <c r="AW3" s="1">
        <v>2064</v>
      </c>
      <c r="AX3" s="1">
        <v>2065</v>
      </c>
      <c r="AY3" s="1">
        <v>2066</v>
      </c>
      <c r="AZ3" s="1">
        <v>2067</v>
      </c>
      <c r="BA3" s="1">
        <v>2068</v>
      </c>
      <c r="BB3" s="1">
        <v>2069</v>
      </c>
      <c r="BC3" s="1">
        <v>2070</v>
      </c>
    </row>
    <row r="4" spans="1:55" x14ac:dyDescent="0.3">
      <c r="A4" t="str">
        <f t="shared" ref="A4:A30" si="0">LEFT(B4,2)</f>
        <v>AT</v>
      </c>
      <c r="B4" t="s">
        <v>212</v>
      </c>
      <c r="C4" s="4">
        <v>4.0861886790000002</v>
      </c>
      <c r="D4" s="4">
        <v>4.1547379040000001</v>
      </c>
      <c r="E4" s="4">
        <v>4.1314052419999996</v>
      </c>
      <c r="F4" s="4">
        <v>4.3596898570000002</v>
      </c>
      <c r="G4" s="6">
        <f>F4*('Road freight EU Ref'!H3/'Road freight EU Ref'!G3)</f>
        <v>4.5415132165117589</v>
      </c>
      <c r="H4" s="6">
        <f>G4*('Road freight EU Ref'!I3/'Road freight EU Ref'!H3)</f>
        <v>4.7233365760235184</v>
      </c>
      <c r="I4" s="6">
        <f>H4*('Road freight EU Ref'!J3/'Road freight EU Ref'!I3)</f>
        <v>4.9051599355352771</v>
      </c>
      <c r="J4" s="6">
        <f>I4*('Road freight EU Ref'!K3/'Road freight EU Ref'!J3)</f>
        <v>5.0869832950470348</v>
      </c>
      <c r="K4" s="6">
        <f>J4*('Road freight EU Ref'!L3/'Road freight EU Ref'!K3)</f>
        <v>5.2119630967703081</v>
      </c>
      <c r="L4" s="6">
        <f>K4*('Road freight EU Ref'!M3/'Road freight EU Ref'!L3)</f>
        <v>5.3369428984935814</v>
      </c>
      <c r="M4" s="6">
        <f>L4*('Road freight EU Ref'!N3/'Road freight EU Ref'!M3)</f>
        <v>5.4619227002168547</v>
      </c>
      <c r="N4" s="6">
        <f>M4*('Road freight EU Ref'!O3/'Road freight EU Ref'!N3)</f>
        <v>5.5869025019401279</v>
      </c>
      <c r="O4" s="6">
        <f>N4*('Road freight EU Ref'!P3/'Road freight EU Ref'!O3)</f>
        <v>5.7118823036634012</v>
      </c>
      <c r="P4" s="6">
        <f>O4*('Road freight EU Ref'!Q3/'Road freight EU Ref'!P3)</f>
        <v>5.790273693715692</v>
      </c>
      <c r="Q4" s="6">
        <f>P4*('Road freight EU Ref'!R3/'Road freight EU Ref'!Q3)</f>
        <v>5.8686650837679837</v>
      </c>
      <c r="R4" s="6">
        <f>Q4*('Road freight EU Ref'!S3/'Road freight EU Ref'!R3)</f>
        <v>5.9470564738202754</v>
      </c>
      <c r="S4" s="6">
        <f>R4*('Road freight EU Ref'!T3/'Road freight EU Ref'!S3)</f>
        <v>6.025447863872567</v>
      </c>
      <c r="T4" s="6">
        <f>S4*('Road freight EU Ref'!U3/'Road freight EU Ref'!T3)</f>
        <v>6.1038392539248578</v>
      </c>
      <c r="U4" s="6">
        <f>T4*('Road freight EU Ref'!V3/'Road freight EU Ref'!U3)</f>
        <v>6.1742592546833288</v>
      </c>
      <c r="V4" s="6">
        <f>U4*('Road freight EU Ref'!W3/'Road freight EU Ref'!V3)</f>
        <v>6.2446792554417989</v>
      </c>
      <c r="W4" s="6">
        <f>V4*('Road freight EU Ref'!X3/'Road freight EU Ref'!W3)</f>
        <v>6.315099256200269</v>
      </c>
      <c r="X4" s="6">
        <f>W4*('Road freight EU Ref'!Y3/'Road freight EU Ref'!X3)</f>
        <v>6.3855192569587391</v>
      </c>
      <c r="Y4" s="6">
        <f>X4*('Road freight EU Ref'!Z3/'Road freight EU Ref'!Y3)</f>
        <v>6.4559392577172074</v>
      </c>
      <c r="Z4" s="6">
        <f>Y4*('Road freight EU Ref'!AA3/'Road freight EU Ref'!Z3)</f>
        <v>6.505268289995942</v>
      </c>
      <c r="AA4" s="6">
        <f>Z4*('Road freight EU Ref'!AB3/'Road freight EU Ref'!AA3)</f>
        <v>6.5545973222746783</v>
      </c>
      <c r="AB4" s="6">
        <f>AA4*('Road freight EU Ref'!AC3/'Road freight EU Ref'!AB3)</f>
        <v>6.6039263545534146</v>
      </c>
      <c r="AC4" s="6">
        <f>AB4*('Road freight EU Ref'!AD3/'Road freight EU Ref'!AC3)</f>
        <v>6.65325538683215</v>
      </c>
      <c r="AD4" s="6">
        <f>AC4*('Road freight EU Ref'!AE3/'Road freight EU Ref'!AD3)</f>
        <v>6.7025844191108837</v>
      </c>
      <c r="AE4" s="6">
        <f>AD4*('Road freight EU Ref'!AF3/'Road freight EU Ref'!AE3)</f>
        <v>6.7277297892201586</v>
      </c>
      <c r="AF4" s="6">
        <f>AE4*('Road freight EU Ref'!AG3/'Road freight EU Ref'!AF3)</f>
        <v>6.7528751593294336</v>
      </c>
      <c r="AG4" s="6">
        <f>AF4*('Road freight EU Ref'!AH3/'Road freight EU Ref'!AG3)</f>
        <v>6.7780205294387095</v>
      </c>
      <c r="AH4" s="6">
        <f>AG4*('Road freight EU Ref'!AI3/'Road freight EU Ref'!AH3)</f>
        <v>6.8031658995479845</v>
      </c>
      <c r="AI4" s="6">
        <f>AH4*('Road freight EU Ref'!AJ3/'Road freight EU Ref'!AI3)</f>
        <v>6.8283112696572585</v>
      </c>
      <c r="AJ4" s="17">
        <f>AI4</f>
        <v>6.8283112696572585</v>
      </c>
      <c r="AK4" s="17">
        <f t="shared" ref="AK4:BC4" si="1">AJ4</f>
        <v>6.8283112696572585</v>
      </c>
      <c r="AL4" s="17">
        <f t="shared" si="1"/>
        <v>6.8283112696572585</v>
      </c>
      <c r="AM4" s="17">
        <f t="shared" si="1"/>
        <v>6.8283112696572585</v>
      </c>
      <c r="AN4" s="17">
        <f t="shared" si="1"/>
        <v>6.8283112696572585</v>
      </c>
      <c r="AO4" s="17">
        <f t="shared" si="1"/>
        <v>6.8283112696572585</v>
      </c>
      <c r="AP4" s="17">
        <f t="shared" si="1"/>
        <v>6.8283112696572585</v>
      </c>
      <c r="AQ4" s="17">
        <f t="shared" si="1"/>
        <v>6.8283112696572585</v>
      </c>
      <c r="AR4" s="17">
        <f t="shared" si="1"/>
        <v>6.8283112696572585</v>
      </c>
      <c r="AS4" s="17">
        <f t="shared" si="1"/>
        <v>6.8283112696572585</v>
      </c>
      <c r="AT4" s="17">
        <f t="shared" si="1"/>
        <v>6.8283112696572585</v>
      </c>
      <c r="AU4" s="17">
        <f t="shared" si="1"/>
        <v>6.8283112696572585</v>
      </c>
      <c r="AV4" s="17">
        <f t="shared" si="1"/>
        <v>6.8283112696572585</v>
      </c>
      <c r="AW4" s="17">
        <f t="shared" si="1"/>
        <v>6.8283112696572585</v>
      </c>
      <c r="AX4" s="17">
        <f t="shared" si="1"/>
        <v>6.8283112696572585</v>
      </c>
      <c r="AY4" s="17">
        <f t="shared" si="1"/>
        <v>6.8283112696572585</v>
      </c>
      <c r="AZ4" s="17">
        <f t="shared" si="1"/>
        <v>6.8283112696572585</v>
      </c>
      <c r="BA4" s="17">
        <f t="shared" si="1"/>
        <v>6.8283112696572585</v>
      </c>
      <c r="BB4" s="17">
        <f t="shared" si="1"/>
        <v>6.8283112696572585</v>
      </c>
      <c r="BC4" s="17">
        <f t="shared" si="1"/>
        <v>6.8283112696572585</v>
      </c>
    </row>
    <row r="5" spans="1:55" x14ac:dyDescent="0.3">
      <c r="A5" t="str">
        <f t="shared" si="0"/>
        <v>BE</v>
      </c>
      <c r="B5" t="s">
        <v>214</v>
      </c>
      <c r="C5" s="4">
        <v>3.9293467720000002</v>
      </c>
      <c r="D5" s="4">
        <v>4.1377003160000001</v>
      </c>
      <c r="E5" s="4">
        <v>4.0378508999999996</v>
      </c>
      <c r="F5" s="4">
        <v>4.2947537450000004</v>
      </c>
      <c r="G5" s="6">
        <f>F5*('Road freight EU Ref'!H4/'Road freight EU Ref'!G4)</f>
        <v>4.3950374601008289</v>
      </c>
      <c r="H5" s="6">
        <f>G5*('Road freight EU Ref'!I4/'Road freight EU Ref'!H4)</f>
        <v>4.4953211752016573</v>
      </c>
      <c r="I5" s="6">
        <f>H5*('Road freight EU Ref'!J4/'Road freight EU Ref'!I4)</f>
        <v>4.5956048903024866</v>
      </c>
      <c r="J5" s="6">
        <f>I5*('Road freight EU Ref'!K4/'Road freight EU Ref'!J4)</f>
        <v>4.6958886054033151</v>
      </c>
      <c r="K5" s="6">
        <f>J5*('Road freight EU Ref'!L4/'Road freight EU Ref'!K4)</f>
        <v>4.7140659741553179</v>
      </c>
      <c r="L5" s="6">
        <f>K5*('Road freight EU Ref'!M4/'Road freight EU Ref'!L4)</f>
        <v>4.7322433429073198</v>
      </c>
      <c r="M5" s="6">
        <f>L5*('Road freight EU Ref'!N4/'Road freight EU Ref'!M4)</f>
        <v>4.7504207116593218</v>
      </c>
      <c r="N5" s="6">
        <f>M5*('Road freight EU Ref'!O4/'Road freight EU Ref'!N4)</f>
        <v>4.7685980804113237</v>
      </c>
      <c r="O5" s="6">
        <f>N5*('Road freight EU Ref'!P4/'Road freight EU Ref'!O4)</f>
        <v>4.7867754491633256</v>
      </c>
      <c r="P5" s="6">
        <f>O5*('Road freight EU Ref'!Q4/'Road freight EU Ref'!P4)</f>
        <v>4.7987005537738829</v>
      </c>
      <c r="Q5" s="6">
        <f>P5*('Road freight EU Ref'!R4/'Road freight EU Ref'!Q4)</f>
        <v>4.8106256583844402</v>
      </c>
      <c r="R5" s="6">
        <f>Q5*('Road freight EU Ref'!S4/'Road freight EU Ref'!R4)</f>
        <v>4.8225507629949975</v>
      </c>
      <c r="S5" s="6">
        <f>R5*('Road freight EU Ref'!T4/'Road freight EU Ref'!S4)</f>
        <v>4.8344758676055548</v>
      </c>
      <c r="T5" s="6">
        <f>S5*('Road freight EU Ref'!U4/'Road freight EU Ref'!T4)</f>
        <v>4.8464009722161121</v>
      </c>
      <c r="U5" s="6">
        <f>T5*('Road freight EU Ref'!V4/'Road freight EU Ref'!U4)</f>
        <v>4.8653436301509059</v>
      </c>
      <c r="V5" s="6">
        <f>U5*('Road freight EU Ref'!W4/'Road freight EU Ref'!V4)</f>
        <v>4.8842862880856996</v>
      </c>
      <c r="W5" s="6">
        <f>V5*('Road freight EU Ref'!X4/'Road freight EU Ref'!W4)</f>
        <v>4.9032289460204934</v>
      </c>
      <c r="X5" s="6">
        <f>W5*('Road freight EU Ref'!Y4/'Road freight EU Ref'!X4)</f>
        <v>4.9221716039552881</v>
      </c>
      <c r="Y5" s="6">
        <f>X5*('Road freight EU Ref'!Z4/'Road freight EU Ref'!Y4)</f>
        <v>4.9411142618900827</v>
      </c>
      <c r="Z5" s="6">
        <f>Y5*('Road freight EU Ref'!AA4/'Road freight EU Ref'!Z4)</f>
        <v>4.9636997869025592</v>
      </c>
      <c r="AA5" s="6">
        <f>Z5*('Road freight EU Ref'!AB4/'Road freight EU Ref'!AA4)</f>
        <v>4.9862853119150357</v>
      </c>
      <c r="AB5" s="6">
        <f>AA5*('Road freight EU Ref'!AC4/'Road freight EU Ref'!AB4)</f>
        <v>5.008870836927513</v>
      </c>
      <c r="AC5" s="6">
        <f>AB5*('Road freight EU Ref'!AD4/'Road freight EU Ref'!AC4)</f>
        <v>5.0314563619399895</v>
      </c>
      <c r="AD5" s="6">
        <f>AC5*('Road freight EU Ref'!AE4/'Road freight EU Ref'!AD4)</f>
        <v>5.0540418869524659</v>
      </c>
      <c r="AE5" s="6">
        <f>AD5*('Road freight EU Ref'!AF4/'Road freight EU Ref'!AE4)</f>
        <v>5.0741794025131961</v>
      </c>
      <c r="AF5" s="6">
        <f>AE5*('Road freight EU Ref'!AG4/'Road freight EU Ref'!AF4)</f>
        <v>5.0943169180739263</v>
      </c>
      <c r="AG5" s="6">
        <f>AF5*('Road freight EU Ref'!AH4/'Road freight EU Ref'!AG4)</f>
        <v>5.1144544336346565</v>
      </c>
      <c r="AH5" s="6">
        <f>AG5*('Road freight EU Ref'!AI4/'Road freight EU Ref'!AH4)</f>
        <v>5.1345919491953866</v>
      </c>
      <c r="AI5" s="6">
        <f>AH5*('Road freight EU Ref'!AJ4/'Road freight EU Ref'!AI4)</f>
        <v>5.1547294647561186</v>
      </c>
      <c r="AJ5" s="17">
        <f t="shared" ref="AJ5:BC5" si="2">AI5</f>
        <v>5.1547294647561186</v>
      </c>
      <c r="AK5" s="17">
        <f t="shared" si="2"/>
        <v>5.1547294647561186</v>
      </c>
      <c r="AL5" s="17">
        <f t="shared" si="2"/>
        <v>5.1547294647561186</v>
      </c>
      <c r="AM5" s="17">
        <f t="shared" si="2"/>
        <v>5.1547294647561186</v>
      </c>
      <c r="AN5" s="17">
        <f t="shared" si="2"/>
        <v>5.1547294647561186</v>
      </c>
      <c r="AO5" s="17">
        <f t="shared" si="2"/>
        <v>5.1547294647561186</v>
      </c>
      <c r="AP5" s="17">
        <f t="shared" si="2"/>
        <v>5.1547294647561186</v>
      </c>
      <c r="AQ5" s="17">
        <f t="shared" si="2"/>
        <v>5.1547294647561186</v>
      </c>
      <c r="AR5" s="17">
        <f t="shared" si="2"/>
        <v>5.1547294647561186</v>
      </c>
      <c r="AS5" s="17">
        <f t="shared" si="2"/>
        <v>5.1547294647561186</v>
      </c>
      <c r="AT5" s="17">
        <f t="shared" si="2"/>
        <v>5.1547294647561186</v>
      </c>
      <c r="AU5" s="17">
        <f t="shared" si="2"/>
        <v>5.1547294647561186</v>
      </c>
      <c r="AV5" s="17">
        <f t="shared" si="2"/>
        <v>5.1547294647561186</v>
      </c>
      <c r="AW5" s="17">
        <f t="shared" si="2"/>
        <v>5.1547294647561186</v>
      </c>
      <c r="AX5" s="17">
        <f t="shared" si="2"/>
        <v>5.1547294647561186</v>
      </c>
      <c r="AY5" s="17">
        <f t="shared" si="2"/>
        <v>5.1547294647561186</v>
      </c>
      <c r="AZ5" s="17">
        <f t="shared" si="2"/>
        <v>5.1547294647561186</v>
      </c>
      <c r="BA5" s="17">
        <f t="shared" si="2"/>
        <v>5.1547294647561186</v>
      </c>
      <c r="BB5" s="17">
        <f t="shared" si="2"/>
        <v>5.1547294647561186</v>
      </c>
      <c r="BC5" s="17">
        <f t="shared" si="2"/>
        <v>5.1547294647561186</v>
      </c>
    </row>
    <row r="6" spans="1:55" x14ac:dyDescent="0.3">
      <c r="A6" t="str">
        <f t="shared" si="0"/>
        <v>BG</v>
      </c>
      <c r="B6" t="s">
        <v>213</v>
      </c>
      <c r="C6" s="4">
        <v>1.092817098</v>
      </c>
      <c r="D6" s="4">
        <v>0.86381344299999996</v>
      </c>
      <c r="E6" s="4">
        <v>1.097879118</v>
      </c>
      <c r="F6" s="4">
        <v>1.3228351979999999</v>
      </c>
      <c r="G6" s="6">
        <f>F6*('Road freight EU Ref'!H5/'Road freight EU Ref'!G5)</f>
        <v>1.3467503856110876</v>
      </c>
      <c r="H6" s="6">
        <f>G6*('Road freight EU Ref'!I5/'Road freight EU Ref'!H5)</f>
        <v>1.3706655732221753</v>
      </c>
      <c r="I6" s="6">
        <f>H6*('Road freight EU Ref'!J5/'Road freight EU Ref'!I5)</f>
        <v>1.394580760833263</v>
      </c>
      <c r="J6" s="6">
        <f>I6*('Road freight EU Ref'!K5/'Road freight EU Ref'!J5)</f>
        <v>1.4184959484443502</v>
      </c>
      <c r="K6" s="6">
        <f>J6*('Road freight EU Ref'!L5/'Road freight EU Ref'!K5)</f>
        <v>1.4626075181916893</v>
      </c>
      <c r="L6" s="6">
        <f>K6*('Road freight EU Ref'!M5/'Road freight EU Ref'!L5)</f>
        <v>1.5067190879390284</v>
      </c>
      <c r="M6" s="6">
        <f>L6*('Road freight EU Ref'!N5/'Road freight EU Ref'!M5)</f>
        <v>1.5508306576863675</v>
      </c>
      <c r="N6" s="6">
        <f>M6*('Road freight EU Ref'!O5/'Road freight EU Ref'!N5)</f>
        <v>1.5949422274337068</v>
      </c>
      <c r="O6" s="6">
        <f>N6*('Road freight EU Ref'!P5/'Road freight EU Ref'!O5)</f>
        <v>1.6390537971810466</v>
      </c>
      <c r="P6" s="6">
        <f>O6*('Road freight EU Ref'!Q5/'Road freight EU Ref'!P5)</f>
        <v>1.6426192814072789</v>
      </c>
      <c r="Q6" s="6">
        <f>P6*('Road freight EU Ref'!R5/'Road freight EU Ref'!Q5)</f>
        <v>1.6461847656335111</v>
      </c>
      <c r="R6" s="6">
        <f>Q6*('Road freight EU Ref'!S5/'Road freight EU Ref'!R5)</f>
        <v>1.6497502498597429</v>
      </c>
      <c r="S6" s="6">
        <f>R6*('Road freight EU Ref'!T5/'Road freight EU Ref'!S5)</f>
        <v>1.653315734085975</v>
      </c>
      <c r="T6" s="6">
        <f>S6*('Road freight EU Ref'!U5/'Road freight EU Ref'!T5)</f>
        <v>1.6568812183122075</v>
      </c>
      <c r="U6" s="6">
        <f>T6*('Road freight EU Ref'!V5/'Road freight EU Ref'!U5)</f>
        <v>1.673866389832944</v>
      </c>
      <c r="V6" s="6">
        <f>U6*('Road freight EU Ref'!W5/'Road freight EU Ref'!V5)</f>
        <v>1.6908515613536803</v>
      </c>
      <c r="W6" s="6">
        <f>V6*('Road freight EU Ref'!X5/'Road freight EU Ref'!W5)</f>
        <v>1.7078367328744168</v>
      </c>
      <c r="X6" s="6">
        <f>W6*('Road freight EU Ref'!Y5/'Road freight EU Ref'!X5)</f>
        <v>1.7248219043951531</v>
      </c>
      <c r="Y6" s="6">
        <f>X6*('Road freight EU Ref'!Z5/'Road freight EU Ref'!Y5)</f>
        <v>1.7418070759158901</v>
      </c>
      <c r="Z6" s="6">
        <f>Y6*('Road freight EU Ref'!AA5/'Road freight EU Ref'!Z5)</f>
        <v>1.7514098237285471</v>
      </c>
      <c r="AA6" s="6">
        <f>Z6*('Road freight EU Ref'!AB5/'Road freight EU Ref'!AA5)</f>
        <v>1.7610125715412042</v>
      </c>
      <c r="AB6" s="6">
        <f>AA6*('Road freight EU Ref'!AC5/'Road freight EU Ref'!AB5)</f>
        <v>1.7706153193538612</v>
      </c>
      <c r="AC6" s="6">
        <f>AB6*('Road freight EU Ref'!AD5/'Road freight EU Ref'!AC5)</f>
        <v>1.7802180671665182</v>
      </c>
      <c r="AD6" s="6">
        <f>AC6*('Road freight EU Ref'!AE5/'Road freight EU Ref'!AD5)</f>
        <v>1.7898208149791759</v>
      </c>
      <c r="AE6" s="6">
        <f>AD6*('Road freight EU Ref'!AF5/'Road freight EU Ref'!AE5)</f>
        <v>1.8075779225358684</v>
      </c>
      <c r="AF6" s="6">
        <f>AE6*('Road freight EU Ref'!AG5/'Road freight EU Ref'!AF5)</f>
        <v>1.825335030092561</v>
      </c>
      <c r="AG6" s="6">
        <f>AF6*('Road freight EU Ref'!AH5/'Road freight EU Ref'!AG5)</f>
        <v>1.8430921376492533</v>
      </c>
      <c r="AH6" s="6">
        <f>AG6*('Road freight EU Ref'!AI5/'Road freight EU Ref'!AH5)</f>
        <v>1.8608492452059457</v>
      </c>
      <c r="AI6" s="6">
        <f>AH6*('Road freight EU Ref'!AJ5/'Road freight EU Ref'!AI5)</f>
        <v>1.8786063527626382</v>
      </c>
      <c r="AJ6" s="17">
        <f t="shared" ref="AJ6:BC6" si="3">AI6</f>
        <v>1.8786063527626382</v>
      </c>
      <c r="AK6" s="17">
        <f t="shared" si="3"/>
        <v>1.8786063527626382</v>
      </c>
      <c r="AL6" s="17">
        <f t="shared" si="3"/>
        <v>1.8786063527626382</v>
      </c>
      <c r="AM6" s="17">
        <f t="shared" si="3"/>
        <v>1.8786063527626382</v>
      </c>
      <c r="AN6" s="17">
        <f t="shared" si="3"/>
        <v>1.8786063527626382</v>
      </c>
      <c r="AO6" s="17">
        <f t="shared" si="3"/>
        <v>1.8786063527626382</v>
      </c>
      <c r="AP6" s="17">
        <f t="shared" si="3"/>
        <v>1.8786063527626382</v>
      </c>
      <c r="AQ6" s="17">
        <f t="shared" si="3"/>
        <v>1.8786063527626382</v>
      </c>
      <c r="AR6" s="17">
        <f t="shared" si="3"/>
        <v>1.8786063527626382</v>
      </c>
      <c r="AS6" s="17">
        <f t="shared" si="3"/>
        <v>1.8786063527626382</v>
      </c>
      <c r="AT6" s="17">
        <f t="shared" si="3"/>
        <v>1.8786063527626382</v>
      </c>
      <c r="AU6" s="17">
        <f t="shared" si="3"/>
        <v>1.8786063527626382</v>
      </c>
      <c r="AV6" s="17">
        <f t="shared" si="3"/>
        <v>1.8786063527626382</v>
      </c>
      <c r="AW6" s="17">
        <f t="shared" si="3"/>
        <v>1.8786063527626382</v>
      </c>
      <c r="AX6" s="17">
        <f t="shared" si="3"/>
        <v>1.8786063527626382</v>
      </c>
      <c r="AY6" s="17">
        <f t="shared" si="3"/>
        <v>1.8786063527626382</v>
      </c>
      <c r="AZ6" s="17">
        <f t="shared" si="3"/>
        <v>1.8786063527626382</v>
      </c>
      <c r="BA6" s="17">
        <f t="shared" si="3"/>
        <v>1.8786063527626382</v>
      </c>
      <c r="BB6" s="17">
        <f t="shared" si="3"/>
        <v>1.8786063527626382</v>
      </c>
      <c r="BC6" s="17">
        <f t="shared" si="3"/>
        <v>1.8786063527626382</v>
      </c>
    </row>
    <row r="7" spans="1:55" x14ac:dyDescent="0.3">
      <c r="A7" t="str">
        <f t="shared" si="0"/>
        <v>CY</v>
      </c>
      <c r="B7" t="s">
        <v>225</v>
      </c>
      <c r="C7" s="4">
        <v>0.111</v>
      </c>
      <c r="D7" s="4">
        <v>0.114</v>
      </c>
      <c r="E7" s="4">
        <v>8.3000000000000004E-2</v>
      </c>
      <c r="F7" s="4">
        <v>8.3000000000000004E-2</v>
      </c>
      <c r="G7" s="6">
        <f>F7*('Road freight EU Ref'!H6/'Road freight EU Ref'!G6)</f>
        <v>8.4818437668821883E-2</v>
      </c>
      <c r="H7" s="6">
        <f>G7*('Road freight EU Ref'!I6/'Road freight EU Ref'!H6)</f>
        <v>8.6636875337643776E-2</v>
      </c>
      <c r="I7" s="6">
        <f>H7*('Road freight EU Ref'!J6/'Road freight EU Ref'!I6)</f>
        <v>8.8455313006465655E-2</v>
      </c>
      <c r="J7" s="6">
        <f>I7*('Road freight EU Ref'!K6/'Road freight EU Ref'!J6)</f>
        <v>9.027375067528752E-2</v>
      </c>
      <c r="K7" s="6">
        <f>J7*('Road freight EU Ref'!L6/'Road freight EU Ref'!K6)</f>
        <v>9.1412899750265841E-2</v>
      </c>
      <c r="L7" s="6">
        <f>K7*('Road freight EU Ref'!M6/'Road freight EU Ref'!L6)</f>
        <v>9.2552048825244163E-2</v>
      </c>
      <c r="M7" s="6">
        <f>L7*('Road freight EU Ref'!N6/'Road freight EU Ref'!M6)</f>
        <v>9.3691197900222484E-2</v>
      </c>
      <c r="N7" s="6">
        <f>M7*('Road freight EU Ref'!O6/'Road freight EU Ref'!N6)</f>
        <v>9.4830346975200819E-2</v>
      </c>
      <c r="O7" s="6">
        <f>N7*('Road freight EU Ref'!P6/'Road freight EU Ref'!O6)</f>
        <v>9.5969496050179154E-2</v>
      </c>
      <c r="P7" s="6">
        <f>O7*('Road freight EU Ref'!Q6/'Road freight EU Ref'!P6)</f>
        <v>9.7163331482329793E-2</v>
      </c>
      <c r="Q7" s="6">
        <f>P7*('Road freight EU Ref'!R6/'Road freight EU Ref'!Q6)</f>
        <v>9.8357166914480432E-2</v>
      </c>
      <c r="R7" s="6">
        <f>Q7*('Road freight EU Ref'!S6/'Road freight EU Ref'!R6)</f>
        <v>9.9551002346631084E-2</v>
      </c>
      <c r="S7" s="6">
        <f>R7*('Road freight EU Ref'!T6/'Road freight EU Ref'!S6)</f>
        <v>0.10074483777878172</v>
      </c>
      <c r="T7" s="6">
        <f>S7*('Road freight EU Ref'!U6/'Road freight EU Ref'!T6)</f>
        <v>0.10193867321093242</v>
      </c>
      <c r="U7" s="6">
        <f>T7*('Road freight EU Ref'!V6/'Road freight EU Ref'!U6)</f>
        <v>0.10307326070376154</v>
      </c>
      <c r="V7" s="6">
        <f>U7*('Road freight EU Ref'!W6/'Road freight EU Ref'!V6)</f>
        <v>0.10420784819659067</v>
      </c>
      <c r="W7" s="6">
        <f>V7*('Road freight EU Ref'!X6/'Road freight EU Ref'!W6)</f>
        <v>0.1053424356894198</v>
      </c>
      <c r="X7" s="6">
        <f>W7*('Road freight EU Ref'!Y6/'Road freight EU Ref'!X6)</f>
        <v>0.10647702318224893</v>
      </c>
      <c r="Y7" s="6">
        <f>X7*('Road freight EU Ref'!Z6/'Road freight EU Ref'!Y6)</f>
        <v>0.10761161067507803</v>
      </c>
      <c r="Z7" s="6">
        <f>Y7*('Road freight EU Ref'!AA6/'Road freight EU Ref'!Z6)</f>
        <v>0.1082422128803522</v>
      </c>
      <c r="AA7" s="6">
        <f>Z7*('Road freight EU Ref'!AB6/'Road freight EU Ref'!AA6)</f>
        <v>0.10887281508562638</v>
      </c>
      <c r="AB7" s="6">
        <f>AA7*('Road freight EU Ref'!AC6/'Road freight EU Ref'!AB6)</f>
        <v>0.10950341729090055</v>
      </c>
      <c r="AC7" s="6">
        <f>AB7*('Road freight EU Ref'!AD6/'Road freight EU Ref'!AC6)</f>
        <v>0.11013401949617471</v>
      </c>
      <c r="AD7" s="6">
        <f>AC7*('Road freight EU Ref'!AE6/'Road freight EU Ref'!AD6)</f>
        <v>0.11076462170144893</v>
      </c>
      <c r="AE7" s="6">
        <f>AD7*('Road freight EU Ref'!AF6/'Road freight EU Ref'!AE6)</f>
        <v>0.11143112106194014</v>
      </c>
      <c r="AF7" s="6">
        <f>AE7*('Road freight EU Ref'!AG6/'Road freight EU Ref'!AF6)</f>
        <v>0.11209762042243135</v>
      </c>
      <c r="AG7" s="6">
        <f>AF7*('Road freight EU Ref'!AH6/'Road freight EU Ref'!AG6)</f>
        <v>0.11276411978292256</v>
      </c>
      <c r="AH7" s="6">
        <f>AG7*('Road freight EU Ref'!AI6/'Road freight EU Ref'!AH6)</f>
        <v>0.11343061914341378</v>
      </c>
      <c r="AI7" s="6">
        <f>AH7*('Road freight EU Ref'!AJ6/'Road freight EU Ref'!AI6)</f>
        <v>0.11409711850390501</v>
      </c>
      <c r="AJ7" s="17">
        <f t="shared" ref="AJ7:BC7" si="4">AI7</f>
        <v>0.11409711850390501</v>
      </c>
      <c r="AK7" s="17">
        <f t="shared" si="4"/>
        <v>0.11409711850390501</v>
      </c>
      <c r="AL7" s="17">
        <f t="shared" si="4"/>
        <v>0.11409711850390501</v>
      </c>
      <c r="AM7" s="17">
        <f t="shared" si="4"/>
        <v>0.11409711850390501</v>
      </c>
      <c r="AN7" s="17">
        <f t="shared" si="4"/>
        <v>0.11409711850390501</v>
      </c>
      <c r="AO7" s="17">
        <f t="shared" si="4"/>
        <v>0.11409711850390501</v>
      </c>
      <c r="AP7" s="17">
        <f t="shared" si="4"/>
        <v>0.11409711850390501</v>
      </c>
      <c r="AQ7" s="17">
        <f t="shared" si="4"/>
        <v>0.11409711850390501</v>
      </c>
      <c r="AR7" s="17">
        <f t="shared" si="4"/>
        <v>0.11409711850390501</v>
      </c>
      <c r="AS7" s="17">
        <f t="shared" si="4"/>
        <v>0.11409711850390501</v>
      </c>
      <c r="AT7" s="17">
        <f t="shared" si="4"/>
        <v>0.11409711850390501</v>
      </c>
      <c r="AU7" s="17">
        <f t="shared" si="4"/>
        <v>0.11409711850390501</v>
      </c>
      <c r="AV7" s="17">
        <f t="shared" si="4"/>
        <v>0.11409711850390501</v>
      </c>
      <c r="AW7" s="17">
        <f t="shared" si="4"/>
        <v>0.11409711850390501</v>
      </c>
      <c r="AX7" s="17">
        <f t="shared" si="4"/>
        <v>0.11409711850390501</v>
      </c>
      <c r="AY7" s="17">
        <f t="shared" si="4"/>
        <v>0.11409711850390501</v>
      </c>
      <c r="AZ7" s="17">
        <f t="shared" si="4"/>
        <v>0.11409711850390501</v>
      </c>
      <c r="BA7" s="17">
        <f t="shared" si="4"/>
        <v>0.11409711850390501</v>
      </c>
      <c r="BB7" s="17">
        <f t="shared" si="4"/>
        <v>0.11409711850390501</v>
      </c>
      <c r="BC7" s="17">
        <f t="shared" si="4"/>
        <v>0.11409711850390501</v>
      </c>
    </row>
    <row r="8" spans="1:55" x14ac:dyDescent="0.3">
      <c r="A8" t="str">
        <f t="shared" si="0"/>
        <v>CZ</v>
      </c>
      <c r="B8" t="s">
        <v>215</v>
      </c>
      <c r="C8" s="4">
        <v>4.5611910130000002</v>
      </c>
      <c r="D8" s="4">
        <v>4.6554061029999998</v>
      </c>
      <c r="E8" s="4">
        <v>5.162863046</v>
      </c>
      <c r="F8" s="4">
        <v>5.61102861</v>
      </c>
      <c r="G8" s="6">
        <f>F8*('Road freight EU Ref'!H7/'Road freight EU Ref'!G7)</f>
        <v>5.7690277529412173</v>
      </c>
      <c r="H8" s="6">
        <f>G8*('Road freight EU Ref'!I7/'Road freight EU Ref'!H7)</f>
        <v>5.9270268958824337</v>
      </c>
      <c r="I8" s="6">
        <f>H8*('Road freight EU Ref'!J7/'Road freight EU Ref'!I7)</f>
        <v>6.085026038823651</v>
      </c>
      <c r="J8" s="6">
        <f>I8*('Road freight EU Ref'!K7/'Road freight EU Ref'!J7)</f>
        <v>6.2430251817648683</v>
      </c>
      <c r="K8" s="6">
        <f>J8*('Road freight EU Ref'!L7/'Road freight EU Ref'!K7)</f>
        <v>6.3599086230924904</v>
      </c>
      <c r="L8" s="6">
        <f>K8*('Road freight EU Ref'!M7/'Road freight EU Ref'!L7)</f>
        <v>6.4767920644201116</v>
      </c>
      <c r="M8" s="6">
        <f>L8*('Road freight EU Ref'!N7/'Road freight EU Ref'!M7)</f>
        <v>6.5936755057477328</v>
      </c>
      <c r="N8" s="6">
        <f>M8*('Road freight EU Ref'!O7/'Road freight EU Ref'!N7)</f>
        <v>6.7105589470753539</v>
      </c>
      <c r="O8" s="6">
        <f>N8*('Road freight EU Ref'!P7/'Road freight EU Ref'!O7)</f>
        <v>6.827442388402976</v>
      </c>
      <c r="P8" s="6">
        <f>O8*('Road freight EU Ref'!Q7/'Road freight EU Ref'!P7)</f>
        <v>6.8989846532085037</v>
      </c>
      <c r="Q8" s="6">
        <f>P8*('Road freight EU Ref'!R7/'Road freight EU Ref'!Q7)</f>
        <v>6.9705269180140315</v>
      </c>
      <c r="R8" s="6">
        <f>Q8*('Road freight EU Ref'!S7/'Road freight EU Ref'!R7)</f>
        <v>7.0420691828195592</v>
      </c>
      <c r="S8" s="6">
        <f>R8*('Road freight EU Ref'!T7/'Road freight EU Ref'!S7)</f>
        <v>7.113611447625086</v>
      </c>
      <c r="T8" s="6">
        <f>S8*('Road freight EU Ref'!U7/'Road freight EU Ref'!T7)</f>
        <v>7.1851537124306146</v>
      </c>
      <c r="U8" s="6">
        <f>T8*('Road freight EU Ref'!V7/'Road freight EU Ref'!U7)</f>
        <v>7.2720860068779958</v>
      </c>
      <c r="V8" s="6">
        <f>U8*('Road freight EU Ref'!W7/'Road freight EU Ref'!V7)</f>
        <v>7.3590183013253769</v>
      </c>
      <c r="W8" s="6">
        <f>V8*('Road freight EU Ref'!X7/'Road freight EU Ref'!W7)</f>
        <v>7.445950595772759</v>
      </c>
      <c r="X8" s="6">
        <f>W8*('Road freight EU Ref'!Y7/'Road freight EU Ref'!X7)</f>
        <v>7.5328828902201401</v>
      </c>
      <c r="Y8" s="6">
        <f>X8*('Road freight EU Ref'!Z7/'Road freight EU Ref'!Y7)</f>
        <v>7.6198151846675204</v>
      </c>
      <c r="Z8" s="6">
        <f>Y8*('Road freight EU Ref'!AA7/'Road freight EU Ref'!Z7)</f>
        <v>7.6759497109339092</v>
      </c>
      <c r="AA8" s="6">
        <f>Z8*('Road freight EU Ref'!AB7/'Road freight EU Ref'!AA7)</f>
        <v>7.732084237200298</v>
      </c>
      <c r="AB8" s="6">
        <f>AA8*('Road freight EU Ref'!AC7/'Road freight EU Ref'!AB7)</f>
        <v>7.788218763466686</v>
      </c>
      <c r="AC8" s="6">
        <f>AB8*('Road freight EU Ref'!AD7/'Road freight EU Ref'!AC7)</f>
        <v>7.844353289733073</v>
      </c>
      <c r="AD8" s="6">
        <f>AC8*('Road freight EU Ref'!AE7/'Road freight EU Ref'!AD7)</f>
        <v>7.9004878159994609</v>
      </c>
      <c r="AE8" s="6">
        <f>AD8*('Road freight EU Ref'!AF7/'Road freight EU Ref'!AE7)</f>
        <v>7.9620020656194663</v>
      </c>
      <c r="AF8" s="6">
        <f>AE8*('Road freight EU Ref'!AG7/'Road freight EU Ref'!AF7)</f>
        <v>8.0235163152394708</v>
      </c>
      <c r="AG8" s="6">
        <f>AF8*('Road freight EU Ref'!AH7/'Road freight EU Ref'!AG7)</f>
        <v>8.0850305648594745</v>
      </c>
      <c r="AH8" s="6">
        <f>AG8*('Road freight EU Ref'!AI7/'Road freight EU Ref'!AH7)</f>
        <v>8.1465448144794781</v>
      </c>
      <c r="AI8" s="6">
        <f>AH8*('Road freight EU Ref'!AJ7/'Road freight EU Ref'!AI7)</f>
        <v>8.2080590640994799</v>
      </c>
      <c r="AJ8" s="17">
        <f t="shared" ref="AJ8:BC8" si="5">AI8</f>
        <v>8.2080590640994799</v>
      </c>
      <c r="AK8" s="17">
        <f t="shared" si="5"/>
        <v>8.2080590640994799</v>
      </c>
      <c r="AL8" s="17">
        <f t="shared" si="5"/>
        <v>8.2080590640994799</v>
      </c>
      <c r="AM8" s="17">
        <f t="shared" si="5"/>
        <v>8.2080590640994799</v>
      </c>
      <c r="AN8" s="17">
        <f t="shared" si="5"/>
        <v>8.2080590640994799</v>
      </c>
      <c r="AO8" s="17">
        <f t="shared" si="5"/>
        <v>8.2080590640994799</v>
      </c>
      <c r="AP8" s="17">
        <f t="shared" si="5"/>
        <v>8.2080590640994799</v>
      </c>
      <c r="AQ8" s="17">
        <f t="shared" si="5"/>
        <v>8.2080590640994799</v>
      </c>
      <c r="AR8" s="17">
        <f t="shared" si="5"/>
        <v>8.2080590640994799</v>
      </c>
      <c r="AS8" s="17">
        <f t="shared" si="5"/>
        <v>8.2080590640994799</v>
      </c>
      <c r="AT8" s="17">
        <f t="shared" si="5"/>
        <v>8.2080590640994799</v>
      </c>
      <c r="AU8" s="17">
        <f t="shared" si="5"/>
        <v>8.2080590640994799</v>
      </c>
      <c r="AV8" s="17">
        <f t="shared" si="5"/>
        <v>8.2080590640994799</v>
      </c>
      <c r="AW8" s="17">
        <f t="shared" si="5"/>
        <v>8.2080590640994799</v>
      </c>
      <c r="AX8" s="17">
        <f t="shared" si="5"/>
        <v>8.2080590640994799</v>
      </c>
      <c r="AY8" s="17">
        <f t="shared" si="5"/>
        <v>8.2080590640994799</v>
      </c>
      <c r="AZ8" s="17">
        <f t="shared" si="5"/>
        <v>8.2080590640994799</v>
      </c>
      <c r="BA8" s="17">
        <f t="shared" si="5"/>
        <v>8.2080590640994799</v>
      </c>
      <c r="BB8" s="17">
        <f t="shared" si="5"/>
        <v>8.2080590640994799</v>
      </c>
      <c r="BC8" s="17">
        <f t="shared" si="5"/>
        <v>8.2080590640994799</v>
      </c>
    </row>
    <row r="9" spans="1:55" x14ac:dyDescent="0.3">
      <c r="A9" t="str">
        <f t="shared" si="0"/>
        <v>DE</v>
      </c>
      <c r="B9" t="s">
        <v>217</v>
      </c>
      <c r="C9" s="4">
        <v>40.056434469999999</v>
      </c>
      <c r="D9" s="4">
        <v>40.965947669999998</v>
      </c>
      <c r="E9" s="4">
        <v>40.882130019999998</v>
      </c>
      <c r="F9" s="4">
        <v>41.73496548</v>
      </c>
      <c r="G9" s="6">
        <f>F9*('Road freight EU Ref'!H8/'Road freight EU Ref'!G8)</f>
        <v>42.86782868853971</v>
      </c>
      <c r="H9" s="6">
        <f>G9*('Road freight EU Ref'!I8/'Road freight EU Ref'!H8)</f>
        <v>44.000691897079427</v>
      </c>
      <c r="I9" s="6">
        <f>H9*('Road freight EU Ref'!J8/'Road freight EU Ref'!I8)</f>
        <v>45.133555105619152</v>
      </c>
      <c r="J9" s="6">
        <f>I9*('Road freight EU Ref'!K8/'Road freight EU Ref'!J8)</f>
        <v>46.266418314158855</v>
      </c>
      <c r="K9" s="6">
        <f>J9*('Road freight EU Ref'!L8/'Road freight EU Ref'!K8)</f>
        <v>47.166729733470298</v>
      </c>
      <c r="L9" s="6">
        <f>K9*('Road freight EU Ref'!M8/'Road freight EU Ref'!L8)</f>
        <v>48.067041152781748</v>
      </c>
      <c r="M9" s="6">
        <f>L9*('Road freight EU Ref'!N8/'Road freight EU Ref'!M8)</f>
        <v>48.967352572093198</v>
      </c>
      <c r="N9" s="6">
        <f>M9*('Road freight EU Ref'!O8/'Road freight EU Ref'!N8)</f>
        <v>49.86766399140464</v>
      </c>
      <c r="O9" s="6">
        <f>N9*('Road freight EU Ref'!P8/'Road freight EU Ref'!O8)</f>
        <v>50.767975410716076</v>
      </c>
      <c r="P9" s="6">
        <f>O9*('Road freight EU Ref'!Q8/'Road freight EU Ref'!P8)</f>
        <v>51.077641665822853</v>
      </c>
      <c r="Q9" s="6">
        <f>P9*('Road freight EU Ref'!R8/'Road freight EU Ref'!Q8)</f>
        <v>51.387307920929622</v>
      </c>
      <c r="R9" s="6">
        <f>Q9*('Road freight EU Ref'!S8/'Road freight EU Ref'!R8)</f>
        <v>51.696974176036392</v>
      </c>
      <c r="S9" s="6">
        <f>R9*('Road freight EU Ref'!T8/'Road freight EU Ref'!S8)</f>
        <v>52.006640431143168</v>
      </c>
      <c r="T9" s="6">
        <f>S9*('Road freight EU Ref'!U8/'Road freight EU Ref'!T8)</f>
        <v>52.316306686249966</v>
      </c>
      <c r="U9" s="6">
        <f>T9*('Road freight EU Ref'!V8/'Road freight EU Ref'!U8)</f>
        <v>52.665064095421627</v>
      </c>
      <c r="V9" s="6">
        <f>U9*('Road freight EU Ref'!W8/'Road freight EU Ref'!V8)</f>
        <v>53.013821504593281</v>
      </c>
      <c r="W9" s="6">
        <f>V9*('Road freight EU Ref'!X8/'Road freight EU Ref'!W8)</f>
        <v>53.362578913764942</v>
      </c>
      <c r="X9" s="6">
        <f>W9*('Road freight EU Ref'!Y8/'Road freight EU Ref'!X8)</f>
        <v>53.711336322936603</v>
      </c>
      <c r="Y9" s="6">
        <f>X9*('Road freight EU Ref'!Z8/'Road freight EU Ref'!Y8)</f>
        <v>54.060093732108278</v>
      </c>
      <c r="Z9" s="6">
        <f>Y9*('Road freight EU Ref'!AA8/'Road freight EU Ref'!Z8)</f>
        <v>54.204599347918546</v>
      </c>
      <c r="AA9" s="6">
        <f>Z9*('Road freight EU Ref'!AB8/'Road freight EU Ref'!AA8)</f>
        <v>54.34910496372882</v>
      </c>
      <c r="AB9" s="6">
        <f>AA9*('Road freight EU Ref'!AC8/'Road freight EU Ref'!AB8)</f>
        <v>54.493610579539094</v>
      </c>
      <c r="AC9" s="6">
        <f>AB9*('Road freight EU Ref'!AD8/'Road freight EU Ref'!AC8)</f>
        <v>54.638116195349369</v>
      </c>
      <c r="AD9" s="6">
        <f>AC9*('Road freight EU Ref'!AE8/'Road freight EU Ref'!AD8)</f>
        <v>54.782621811159622</v>
      </c>
      <c r="AE9" s="6">
        <f>AD9*('Road freight EU Ref'!AF8/'Road freight EU Ref'!AE8)</f>
        <v>54.931237267569294</v>
      </c>
      <c r="AF9" s="6">
        <f>AE9*('Road freight EU Ref'!AG8/'Road freight EU Ref'!AF8)</f>
        <v>55.079852723978959</v>
      </c>
      <c r="AG9" s="6">
        <f>AF9*('Road freight EU Ref'!AH8/'Road freight EU Ref'!AG8)</f>
        <v>55.228468180388631</v>
      </c>
      <c r="AH9" s="6">
        <f>AG9*('Road freight EU Ref'!AI8/'Road freight EU Ref'!AH8)</f>
        <v>55.377083636798304</v>
      </c>
      <c r="AI9" s="6">
        <f>AH9*('Road freight EU Ref'!AJ8/'Road freight EU Ref'!AI8)</f>
        <v>55.525699093207969</v>
      </c>
      <c r="AJ9" s="17">
        <f t="shared" ref="AJ9:BC9" si="6">AI9</f>
        <v>55.525699093207969</v>
      </c>
      <c r="AK9" s="17">
        <f t="shared" si="6"/>
        <v>55.525699093207969</v>
      </c>
      <c r="AL9" s="17">
        <f t="shared" si="6"/>
        <v>55.525699093207969</v>
      </c>
      <c r="AM9" s="17">
        <f t="shared" si="6"/>
        <v>55.525699093207969</v>
      </c>
      <c r="AN9" s="17">
        <f t="shared" si="6"/>
        <v>55.525699093207969</v>
      </c>
      <c r="AO9" s="17">
        <f t="shared" si="6"/>
        <v>55.525699093207969</v>
      </c>
      <c r="AP9" s="17">
        <f t="shared" si="6"/>
        <v>55.525699093207969</v>
      </c>
      <c r="AQ9" s="17">
        <f t="shared" si="6"/>
        <v>55.525699093207969</v>
      </c>
      <c r="AR9" s="17">
        <f t="shared" si="6"/>
        <v>55.525699093207969</v>
      </c>
      <c r="AS9" s="17">
        <f t="shared" si="6"/>
        <v>55.525699093207969</v>
      </c>
      <c r="AT9" s="17">
        <f t="shared" si="6"/>
        <v>55.525699093207969</v>
      </c>
      <c r="AU9" s="17">
        <f t="shared" si="6"/>
        <v>55.525699093207969</v>
      </c>
      <c r="AV9" s="17">
        <f t="shared" si="6"/>
        <v>55.525699093207969</v>
      </c>
      <c r="AW9" s="17">
        <f t="shared" si="6"/>
        <v>55.525699093207969</v>
      </c>
      <c r="AX9" s="17">
        <f t="shared" si="6"/>
        <v>55.525699093207969</v>
      </c>
      <c r="AY9" s="17">
        <f t="shared" si="6"/>
        <v>55.525699093207969</v>
      </c>
      <c r="AZ9" s="17">
        <f t="shared" si="6"/>
        <v>55.525699093207969</v>
      </c>
      <c r="BA9" s="17">
        <f t="shared" si="6"/>
        <v>55.525699093207969</v>
      </c>
      <c r="BB9" s="17">
        <f t="shared" si="6"/>
        <v>55.525699093207969</v>
      </c>
      <c r="BC9" s="17">
        <f t="shared" si="6"/>
        <v>55.525699093207969</v>
      </c>
    </row>
    <row r="10" spans="1:55" x14ac:dyDescent="0.3">
      <c r="A10" t="str">
        <f t="shared" si="0"/>
        <v>DK</v>
      </c>
      <c r="B10" t="s">
        <v>216</v>
      </c>
      <c r="C10" s="4">
        <v>1.767809164</v>
      </c>
      <c r="D10" s="4">
        <v>1.79437224</v>
      </c>
      <c r="E10" s="4">
        <v>1.857828896</v>
      </c>
      <c r="F10" s="4">
        <v>1.8936354019999999</v>
      </c>
      <c r="G10" s="6">
        <f>F10*('Road freight EU Ref'!H9/'Road freight EU Ref'!G9)</f>
        <v>1.9556120145992761</v>
      </c>
      <c r="H10" s="6">
        <f>G10*('Road freight EU Ref'!I9/'Road freight EU Ref'!H9)</f>
        <v>2.0175886271985526</v>
      </c>
      <c r="I10" s="6">
        <f>H10*('Road freight EU Ref'!J9/'Road freight EU Ref'!I9)</f>
        <v>2.0795652397978293</v>
      </c>
      <c r="J10" s="6">
        <f>I10*('Road freight EU Ref'!K9/'Road freight EU Ref'!J9)</f>
        <v>2.141541852397105</v>
      </c>
      <c r="K10" s="6">
        <f>J10*('Road freight EU Ref'!L9/'Road freight EU Ref'!K9)</f>
        <v>2.1618770503415159</v>
      </c>
      <c r="L10" s="6">
        <f>K10*('Road freight EU Ref'!M9/'Road freight EU Ref'!L9)</f>
        <v>2.1822122482859267</v>
      </c>
      <c r="M10" s="6">
        <f>L10*('Road freight EU Ref'!N9/'Road freight EU Ref'!M9)</f>
        <v>2.2025474462303376</v>
      </c>
      <c r="N10" s="6">
        <f>M10*('Road freight EU Ref'!O9/'Road freight EU Ref'!N9)</f>
        <v>2.2228826441747485</v>
      </c>
      <c r="O10" s="6">
        <f>N10*('Road freight EU Ref'!P9/'Road freight EU Ref'!O9)</f>
        <v>2.2432178421191593</v>
      </c>
      <c r="P10" s="6">
        <f>O10*('Road freight EU Ref'!Q9/'Road freight EU Ref'!P9)</f>
        <v>2.2620358084306624</v>
      </c>
      <c r="Q10" s="6">
        <f>P10*('Road freight EU Ref'!R9/'Road freight EU Ref'!Q9)</f>
        <v>2.2808537747421651</v>
      </c>
      <c r="R10" s="6">
        <f>Q10*('Road freight EU Ref'!S9/'Road freight EU Ref'!R9)</f>
        <v>2.2996717410536678</v>
      </c>
      <c r="S10" s="6">
        <f>R10*('Road freight EU Ref'!T9/'Road freight EU Ref'!S9)</f>
        <v>2.3184897073651705</v>
      </c>
      <c r="T10" s="6">
        <f>S10*('Road freight EU Ref'!U9/'Road freight EU Ref'!T9)</f>
        <v>2.3373076736766731</v>
      </c>
      <c r="U10" s="6">
        <f>T10*('Road freight EU Ref'!V9/'Road freight EU Ref'!U9)</f>
        <v>2.3562044017369961</v>
      </c>
      <c r="V10" s="6">
        <f>U10*('Road freight EU Ref'!W9/'Road freight EU Ref'!V9)</f>
        <v>2.3751011297973195</v>
      </c>
      <c r="W10" s="6">
        <f>V10*('Road freight EU Ref'!X9/'Road freight EU Ref'!W9)</f>
        <v>2.3939978578576429</v>
      </c>
      <c r="X10" s="6">
        <f>W10*('Road freight EU Ref'!Y9/'Road freight EU Ref'!X9)</f>
        <v>2.4128945859179662</v>
      </c>
      <c r="Y10" s="6">
        <f>X10*('Road freight EU Ref'!Z9/'Road freight EU Ref'!Y9)</f>
        <v>2.4317913139782892</v>
      </c>
      <c r="Z10" s="6">
        <f>Y10*('Road freight EU Ref'!AA9/'Road freight EU Ref'!Z9)</f>
        <v>2.4455740832655288</v>
      </c>
      <c r="AA10" s="6">
        <f>Z10*('Road freight EU Ref'!AB9/'Road freight EU Ref'!AA9)</f>
        <v>2.4593568525527685</v>
      </c>
      <c r="AB10" s="6">
        <f>AA10*('Road freight EU Ref'!AC9/'Road freight EU Ref'!AB9)</f>
        <v>2.4731396218400081</v>
      </c>
      <c r="AC10" s="6">
        <f>AB10*('Road freight EU Ref'!AD9/'Road freight EU Ref'!AC9)</f>
        <v>2.4869223911272482</v>
      </c>
      <c r="AD10" s="6">
        <f>AC10*('Road freight EU Ref'!AE9/'Road freight EU Ref'!AD9)</f>
        <v>2.5007051604144874</v>
      </c>
      <c r="AE10" s="6">
        <f>AD10*('Road freight EU Ref'!AF9/'Road freight EU Ref'!AE9)</f>
        <v>2.5145007441293905</v>
      </c>
      <c r="AF10" s="6">
        <f>AE10*('Road freight EU Ref'!AG9/'Road freight EU Ref'!AF9)</f>
        <v>2.5282963278442936</v>
      </c>
      <c r="AG10" s="6">
        <f>AF10*('Road freight EU Ref'!AH9/'Road freight EU Ref'!AG9)</f>
        <v>2.5420919115591967</v>
      </c>
      <c r="AH10" s="6">
        <f>AG10*('Road freight EU Ref'!AI9/'Road freight EU Ref'!AH9)</f>
        <v>2.5558874952740998</v>
      </c>
      <c r="AI10" s="6">
        <f>AH10*('Road freight EU Ref'!AJ9/'Road freight EU Ref'!AI9)</f>
        <v>2.5696830789890033</v>
      </c>
      <c r="AJ10" s="17">
        <f t="shared" ref="AJ10:BC10" si="7">AI10</f>
        <v>2.5696830789890033</v>
      </c>
      <c r="AK10" s="17">
        <f t="shared" si="7"/>
        <v>2.5696830789890033</v>
      </c>
      <c r="AL10" s="17">
        <f t="shared" si="7"/>
        <v>2.5696830789890033</v>
      </c>
      <c r="AM10" s="17">
        <f t="shared" si="7"/>
        <v>2.5696830789890033</v>
      </c>
      <c r="AN10" s="17">
        <f t="shared" si="7"/>
        <v>2.5696830789890033</v>
      </c>
      <c r="AO10" s="17">
        <f t="shared" si="7"/>
        <v>2.5696830789890033</v>
      </c>
      <c r="AP10" s="17">
        <f t="shared" si="7"/>
        <v>2.5696830789890033</v>
      </c>
      <c r="AQ10" s="17">
        <f t="shared" si="7"/>
        <v>2.5696830789890033</v>
      </c>
      <c r="AR10" s="17">
        <f t="shared" si="7"/>
        <v>2.5696830789890033</v>
      </c>
      <c r="AS10" s="17">
        <f t="shared" si="7"/>
        <v>2.5696830789890033</v>
      </c>
      <c r="AT10" s="17">
        <f t="shared" si="7"/>
        <v>2.5696830789890033</v>
      </c>
      <c r="AU10" s="17">
        <f t="shared" si="7"/>
        <v>2.5696830789890033</v>
      </c>
      <c r="AV10" s="17">
        <f t="shared" si="7"/>
        <v>2.5696830789890033</v>
      </c>
      <c r="AW10" s="17">
        <f t="shared" si="7"/>
        <v>2.5696830789890033</v>
      </c>
      <c r="AX10" s="17">
        <f t="shared" si="7"/>
        <v>2.5696830789890033</v>
      </c>
      <c r="AY10" s="17">
        <f t="shared" si="7"/>
        <v>2.5696830789890033</v>
      </c>
      <c r="AZ10" s="17">
        <f t="shared" si="7"/>
        <v>2.5696830789890033</v>
      </c>
      <c r="BA10" s="17">
        <f t="shared" si="7"/>
        <v>2.5696830789890033</v>
      </c>
      <c r="BB10" s="17">
        <f t="shared" si="7"/>
        <v>2.5696830789890033</v>
      </c>
      <c r="BC10" s="17">
        <f t="shared" si="7"/>
        <v>2.5696830789890033</v>
      </c>
    </row>
    <row r="11" spans="1:55" x14ac:dyDescent="0.3">
      <c r="A11" t="str">
        <f t="shared" si="0"/>
        <v>EE</v>
      </c>
      <c r="B11" t="s">
        <v>218</v>
      </c>
      <c r="C11" s="4">
        <v>0.25081199999999998</v>
      </c>
      <c r="D11" s="4">
        <v>0.23991611900000001</v>
      </c>
      <c r="E11" s="4">
        <v>0.22843208300000001</v>
      </c>
      <c r="F11" s="4">
        <v>0.26964418499999998</v>
      </c>
      <c r="G11" s="6">
        <f>F11*('Road freight EU Ref'!H10/'Road freight EU Ref'!G10)</f>
        <v>0.27946106554373673</v>
      </c>
      <c r="H11" s="6">
        <f>G11*('Road freight EU Ref'!I10/'Road freight EU Ref'!H10)</f>
        <v>0.28927794608747343</v>
      </c>
      <c r="I11" s="6">
        <f>H11*('Road freight EU Ref'!J10/'Road freight EU Ref'!I10)</f>
        <v>0.29909482663121012</v>
      </c>
      <c r="J11" s="6">
        <f>I11*('Road freight EU Ref'!K10/'Road freight EU Ref'!J10)</f>
        <v>0.30891170717494676</v>
      </c>
      <c r="K11" s="6">
        <f>J11*('Road freight EU Ref'!L10/'Road freight EU Ref'!K10)</f>
        <v>0.31795379985984379</v>
      </c>
      <c r="L11" s="6">
        <f>K11*('Road freight EU Ref'!M10/'Road freight EU Ref'!L10)</f>
        <v>0.32699589254474082</v>
      </c>
      <c r="M11" s="6">
        <f>L11*('Road freight EU Ref'!N10/'Road freight EU Ref'!M10)</f>
        <v>0.33603798522963785</v>
      </c>
      <c r="N11" s="6">
        <f>M11*('Road freight EU Ref'!O10/'Road freight EU Ref'!N10)</f>
        <v>0.34508007791453493</v>
      </c>
      <c r="O11" s="6">
        <f>N11*('Road freight EU Ref'!P10/'Road freight EU Ref'!O10)</f>
        <v>0.35412217059943196</v>
      </c>
      <c r="P11" s="6">
        <f>O11*('Road freight EU Ref'!Q10/'Road freight EU Ref'!P10)</f>
        <v>0.36010963398598189</v>
      </c>
      <c r="Q11" s="6">
        <f>P11*('Road freight EU Ref'!R10/'Road freight EU Ref'!Q10)</f>
        <v>0.36609709737253188</v>
      </c>
      <c r="R11" s="6">
        <f>Q11*('Road freight EU Ref'!S10/'Road freight EU Ref'!R10)</f>
        <v>0.37208456075908181</v>
      </c>
      <c r="S11" s="6">
        <f>R11*('Road freight EU Ref'!T10/'Road freight EU Ref'!S10)</f>
        <v>0.37807202414563174</v>
      </c>
      <c r="T11" s="6">
        <f>S11*('Road freight EU Ref'!U10/'Road freight EU Ref'!T10)</f>
        <v>0.38405948753218161</v>
      </c>
      <c r="U11" s="6">
        <f>T11*('Road freight EU Ref'!V10/'Road freight EU Ref'!U10)</f>
        <v>0.38964771972867812</v>
      </c>
      <c r="V11" s="6">
        <f>U11*('Road freight EU Ref'!W10/'Road freight EU Ref'!V10)</f>
        <v>0.39523595192517469</v>
      </c>
      <c r="W11" s="6">
        <f>V11*('Road freight EU Ref'!X10/'Road freight EU Ref'!W10)</f>
        <v>0.4008241841216712</v>
      </c>
      <c r="X11" s="6">
        <f>W11*('Road freight EU Ref'!Y10/'Road freight EU Ref'!X10)</f>
        <v>0.40641241631816771</v>
      </c>
      <c r="Y11" s="6">
        <f>X11*('Road freight EU Ref'!Z10/'Road freight EU Ref'!Y10)</f>
        <v>0.41200064851466434</v>
      </c>
      <c r="Z11" s="6">
        <f>Y11*('Road freight EU Ref'!AA10/'Road freight EU Ref'!Z10)</f>
        <v>0.41459942444249287</v>
      </c>
      <c r="AA11" s="6">
        <f>Z11*('Road freight EU Ref'!AB10/'Road freight EU Ref'!AA10)</f>
        <v>0.4171982003703214</v>
      </c>
      <c r="AB11" s="6">
        <f>AA11*('Road freight EU Ref'!AC10/'Road freight EU Ref'!AB10)</f>
        <v>0.41979697629814999</v>
      </c>
      <c r="AC11" s="6">
        <f>AB11*('Road freight EU Ref'!AD10/'Road freight EU Ref'!AC10)</f>
        <v>0.42239575222597858</v>
      </c>
      <c r="AD11" s="6">
        <f>AC11*('Road freight EU Ref'!AE10/'Road freight EU Ref'!AD10)</f>
        <v>0.42499452815380723</v>
      </c>
      <c r="AE11" s="6">
        <f>AD11*('Road freight EU Ref'!AF10/'Road freight EU Ref'!AE10)</f>
        <v>0.42783011581565672</v>
      </c>
      <c r="AF11" s="6">
        <f>AE11*('Road freight EU Ref'!AG10/'Road freight EU Ref'!AF10)</f>
        <v>0.43066570347750621</v>
      </c>
      <c r="AG11" s="6">
        <f>AF11*('Road freight EU Ref'!AH10/'Road freight EU Ref'!AG10)</f>
        <v>0.43350129113935576</v>
      </c>
      <c r="AH11" s="6">
        <f>AG11*('Road freight EU Ref'!AI10/'Road freight EU Ref'!AH10)</f>
        <v>0.43633687880120525</v>
      </c>
      <c r="AI11" s="6">
        <f>AH11*('Road freight EU Ref'!AJ10/'Road freight EU Ref'!AI10)</f>
        <v>0.4391724664630548</v>
      </c>
      <c r="AJ11" s="17">
        <f t="shared" ref="AJ11:BC11" si="8">AI11</f>
        <v>0.4391724664630548</v>
      </c>
      <c r="AK11" s="17">
        <f t="shared" si="8"/>
        <v>0.4391724664630548</v>
      </c>
      <c r="AL11" s="17">
        <f t="shared" si="8"/>
        <v>0.4391724664630548</v>
      </c>
      <c r="AM11" s="17">
        <f t="shared" si="8"/>
        <v>0.4391724664630548</v>
      </c>
      <c r="AN11" s="17">
        <f t="shared" si="8"/>
        <v>0.4391724664630548</v>
      </c>
      <c r="AO11" s="17">
        <f t="shared" si="8"/>
        <v>0.4391724664630548</v>
      </c>
      <c r="AP11" s="17">
        <f t="shared" si="8"/>
        <v>0.4391724664630548</v>
      </c>
      <c r="AQ11" s="17">
        <f t="shared" si="8"/>
        <v>0.4391724664630548</v>
      </c>
      <c r="AR11" s="17">
        <f t="shared" si="8"/>
        <v>0.4391724664630548</v>
      </c>
      <c r="AS11" s="17">
        <f t="shared" si="8"/>
        <v>0.4391724664630548</v>
      </c>
      <c r="AT11" s="17">
        <f t="shared" si="8"/>
        <v>0.4391724664630548</v>
      </c>
      <c r="AU11" s="17">
        <f t="shared" si="8"/>
        <v>0.4391724664630548</v>
      </c>
      <c r="AV11" s="17">
        <f t="shared" si="8"/>
        <v>0.4391724664630548</v>
      </c>
      <c r="AW11" s="17">
        <f t="shared" si="8"/>
        <v>0.4391724664630548</v>
      </c>
      <c r="AX11" s="17">
        <f t="shared" si="8"/>
        <v>0.4391724664630548</v>
      </c>
      <c r="AY11" s="17">
        <f t="shared" si="8"/>
        <v>0.4391724664630548</v>
      </c>
      <c r="AZ11" s="17">
        <f t="shared" si="8"/>
        <v>0.4391724664630548</v>
      </c>
      <c r="BA11" s="17">
        <f t="shared" si="8"/>
        <v>0.4391724664630548</v>
      </c>
      <c r="BB11" s="17">
        <f t="shared" si="8"/>
        <v>0.4391724664630548</v>
      </c>
      <c r="BC11" s="17">
        <f t="shared" si="8"/>
        <v>0.4391724664630548</v>
      </c>
    </row>
    <row r="12" spans="1:55" x14ac:dyDescent="0.3">
      <c r="A12" t="str">
        <f t="shared" si="0"/>
        <v>ES</v>
      </c>
      <c r="B12" t="s">
        <v>221</v>
      </c>
      <c r="C12" s="4">
        <v>17.526184140000002</v>
      </c>
      <c r="D12" s="4">
        <v>18.343316059999999</v>
      </c>
      <c r="E12" s="4">
        <v>17.876988279999999</v>
      </c>
      <c r="F12" s="4">
        <v>19.654843119999999</v>
      </c>
      <c r="G12" s="6">
        <f>F12*('Road freight EU Ref'!H11/'Road freight EU Ref'!G11)</f>
        <v>20.122861039417938</v>
      </c>
      <c r="H12" s="6">
        <f>G12*('Road freight EU Ref'!I11/'Road freight EU Ref'!H11)</f>
        <v>20.590878958835873</v>
      </c>
      <c r="I12" s="6">
        <f>H12*('Road freight EU Ref'!J11/'Road freight EU Ref'!I11)</f>
        <v>21.058896878253812</v>
      </c>
      <c r="J12" s="6">
        <f>I12*('Road freight EU Ref'!K11/'Road freight EU Ref'!J11)</f>
        <v>21.526914797671754</v>
      </c>
      <c r="K12" s="6">
        <f>J12*('Road freight EU Ref'!L11/'Road freight EU Ref'!K11)</f>
        <v>21.74247027069455</v>
      </c>
      <c r="L12" s="6">
        <f>K12*('Road freight EU Ref'!M11/'Road freight EU Ref'!L11)</f>
        <v>21.95802574371735</v>
      </c>
      <c r="M12" s="6">
        <f>L12*('Road freight EU Ref'!N11/'Road freight EU Ref'!M11)</f>
        <v>22.173581216740146</v>
      </c>
      <c r="N12" s="6">
        <f>M12*('Road freight EU Ref'!O11/'Road freight EU Ref'!N11)</f>
        <v>22.389136689762942</v>
      </c>
      <c r="O12" s="6">
        <f>N12*('Road freight EU Ref'!P11/'Road freight EU Ref'!O11)</f>
        <v>22.604692162785735</v>
      </c>
      <c r="P12" s="6">
        <f>O12*('Road freight EU Ref'!Q11/'Road freight EU Ref'!P11)</f>
        <v>22.812795904747613</v>
      </c>
      <c r="Q12" s="6">
        <f>P12*('Road freight EU Ref'!R11/'Road freight EU Ref'!Q11)</f>
        <v>23.020899646709488</v>
      </c>
      <c r="R12" s="6">
        <f>Q12*('Road freight EU Ref'!S11/'Road freight EU Ref'!R11)</f>
        <v>23.229003388671366</v>
      </c>
      <c r="S12" s="6">
        <f>R12*('Road freight EU Ref'!T11/'Road freight EU Ref'!S11)</f>
        <v>23.437107130633244</v>
      </c>
      <c r="T12" s="6">
        <f>S12*('Road freight EU Ref'!U11/'Road freight EU Ref'!T11)</f>
        <v>23.645210872595118</v>
      </c>
      <c r="U12" s="6">
        <f>T12*('Road freight EU Ref'!V11/'Road freight EU Ref'!U11)</f>
        <v>23.868449027801944</v>
      </c>
      <c r="V12" s="6">
        <f>U12*('Road freight EU Ref'!W11/'Road freight EU Ref'!V11)</f>
        <v>24.091687183008769</v>
      </c>
      <c r="W12" s="6">
        <f>V12*('Road freight EU Ref'!X11/'Road freight EU Ref'!W11)</f>
        <v>24.314925338215595</v>
      </c>
      <c r="X12" s="6">
        <f>W12*('Road freight EU Ref'!Y11/'Road freight EU Ref'!X11)</f>
        <v>24.53816349342242</v>
      </c>
      <c r="Y12" s="6">
        <f>X12*('Road freight EU Ref'!Z11/'Road freight EU Ref'!Y11)</f>
        <v>24.761401648629242</v>
      </c>
      <c r="Z12" s="6">
        <f>Y12*('Road freight EU Ref'!AA11/'Road freight EU Ref'!Z11)</f>
        <v>24.974492410942659</v>
      </c>
      <c r="AA12" s="6">
        <f>Z12*('Road freight EU Ref'!AB11/'Road freight EU Ref'!AA11)</f>
        <v>25.187583173256073</v>
      </c>
      <c r="AB12" s="6">
        <f>AA12*('Road freight EU Ref'!AC11/'Road freight EU Ref'!AB11)</f>
        <v>25.400673935569486</v>
      </c>
      <c r="AC12" s="6">
        <f>AB12*('Road freight EU Ref'!AD11/'Road freight EU Ref'!AC11)</f>
        <v>25.6137646978829</v>
      </c>
      <c r="AD12" s="6">
        <f>AC12*('Road freight EU Ref'!AE11/'Road freight EU Ref'!AD11)</f>
        <v>25.826855460196313</v>
      </c>
      <c r="AE12" s="6">
        <f>AD12*('Road freight EU Ref'!AF11/'Road freight EU Ref'!AE11)</f>
        <v>26.042473684744618</v>
      </c>
      <c r="AF12" s="6">
        <f>AE12*('Road freight EU Ref'!AG11/'Road freight EU Ref'!AF11)</f>
        <v>26.258091909292922</v>
      </c>
      <c r="AG12" s="6">
        <f>AF12*('Road freight EU Ref'!AH11/'Road freight EU Ref'!AG11)</f>
        <v>26.473710133841227</v>
      </c>
      <c r="AH12" s="6">
        <f>AG12*('Road freight EU Ref'!AI11/'Road freight EU Ref'!AH11)</f>
        <v>26.689328358389531</v>
      </c>
      <c r="AI12" s="6">
        <f>AH12*('Road freight EU Ref'!AJ11/'Road freight EU Ref'!AI11)</f>
        <v>26.904946582937828</v>
      </c>
      <c r="AJ12" s="17">
        <f t="shared" ref="AJ12:BC12" si="9">AI12</f>
        <v>26.904946582937828</v>
      </c>
      <c r="AK12" s="17">
        <f t="shared" si="9"/>
        <v>26.904946582937828</v>
      </c>
      <c r="AL12" s="17">
        <f t="shared" si="9"/>
        <v>26.904946582937828</v>
      </c>
      <c r="AM12" s="17">
        <f t="shared" si="9"/>
        <v>26.904946582937828</v>
      </c>
      <c r="AN12" s="17">
        <f t="shared" si="9"/>
        <v>26.904946582937828</v>
      </c>
      <c r="AO12" s="17">
        <f t="shared" si="9"/>
        <v>26.904946582937828</v>
      </c>
      <c r="AP12" s="17">
        <f t="shared" si="9"/>
        <v>26.904946582937828</v>
      </c>
      <c r="AQ12" s="17">
        <f t="shared" si="9"/>
        <v>26.904946582937828</v>
      </c>
      <c r="AR12" s="17">
        <f t="shared" si="9"/>
        <v>26.904946582937828</v>
      </c>
      <c r="AS12" s="17">
        <f t="shared" si="9"/>
        <v>26.904946582937828</v>
      </c>
      <c r="AT12" s="17">
        <f t="shared" si="9"/>
        <v>26.904946582937828</v>
      </c>
      <c r="AU12" s="17">
        <f t="shared" si="9"/>
        <v>26.904946582937828</v>
      </c>
      <c r="AV12" s="17">
        <f t="shared" si="9"/>
        <v>26.904946582937828</v>
      </c>
      <c r="AW12" s="17">
        <f t="shared" si="9"/>
        <v>26.904946582937828</v>
      </c>
      <c r="AX12" s="17">
        <f t="shared" si="9"/>
        <v>26.904946582937828</v>
      </c>
      <c r="AY12" s="17">
        <f t="shared" si="9"/>
        <v>26.904946582937828</v>
      </c>
      <c r="AZ12" s="17">
        <f t="shared" si="9"/>
        <v>26.904946582937828</v>
      </c>
      <c r="BA12" s="17">
        <f t="shared" si="9"/>
        <v>26.904946582937828</v>
      </c>
      <c r="BB12" s="17">
        <f t="shared" si="9"/>
        <v>26.904946582937828</v>
      </c>
      <c r="BC12" s="17">
        <f t="shared" si="9"/>
        <v>26.904946582937828</v>
      </c>
    </row>
    <row r="13" spans="1:55" x14ac:dyDescent="0.3">
      <c r="A13" t="str">
        <f t="shared" si="0"/>
        <v>FI</v>
      </c>
      <c r="B13" t="s">
        <v>237</v>
      </c>
      <c r="C13" s="4">
        <v>1.980845054</v>
      </c>
      <c r="D13" s="4">
        <v>1.9719465009999999</v>
      </c>
      <c r="E13" s="4">
        <v>1.9017717519999999</v>
      </c>
      <c r="F13" s="4">
        <v>1.9521427330000001</v>
      </c>
      <c r="G13" s="6">
        <f>F13*('Road freight EU Ref'!H12/'Road freight EU Ref'!G12)</f>
        <v>2.0054605447375726</v>
      </c>
      <c r="H13" s="6">
        <f>G13*('Road freight EU Ref'!I12/'Road freight EU Ref'!H12)</f>
        <v>2.0587783564751456</v>
      </c>
      <c r="I13" s="6">
        <f>H13*('Road freight EU Ref'!J12/'Road freight EU Ref'!I12)</f>
        <v>2.1120961682127186</v>
      </c>
      <c r="J13" s="6">
        <f>I13*('Road freight EU Ref'!K12/'Road freight EU Ref'!J12)</f>
        <v>2.1654139799502916</v>
      </c>
      <c r="K13" s="6">
        <f>J13*('Road freight EU Ref'!L12/'Road freight EU Ref'!K12)</f>
        <v>2.1986110039931557</v>
      </c>
      <c r="L13" s="6">
        <f>K13*('Road freight EU Ref'!M12/'Road freight EU Ref'!L12)</f>
        <v>2.2318080280360197</v>
      </c>
      <c r="M13" s="6">
        <f>L13*('Road freight EU Ref'!N12/'Road freight EU Ref'!M12)</f>
        <v>2.2650050520788834</v>
      </c>
      <c r="N13" s="6">
        <f>M13*('Road freight EU Ref'!O12/'Road freight EU Ref'!N12)</f>
        <v>2.2982020761217474</v>
      </c>
      <c r="O13" s="6">
        <f>N13*('Road freight EU Ref'!P12/'Road freight EU Ref'!O12)</f>
        <v>2.331399100164611</v>
      </c>
      <c r="P13" s="6">
        <f>O13*('Road freight EU Ref'!Q12/'Road freight EU Ref'!P12)</f>
        <v>2.346629659528503</v>
      </c>
      <c r="Q13" s="6">
        <f>P13*('Road freight EU Ref'!R12/'Road freight EU Ref'!Q12)</f>
        <v>2.3618602188923954</v>
      </c>
      <c r="R13" s="6">
        <f>Q13*('Road freight EU Ref'!S12/'Road freight EU Ref'!R12)</f>
        <v>2.3770907782562873</v>
      </c>
      <c r="S13" s="6">
        <f>R13*('Road freight EU Ref'!T12/'Road freight EU Ref'!S12)</f>
        <v>2.3923213376201793</v>
      </c>
      <c r="T13" s="6">
        <f>S13*('Road freight EU Ref'!U12/'Road freight EU Ref'!T12)</f>
        <v>2.4075518969840712</v>
      </c>
      <c r="U13" s="6">
        <f>T13*('Road freight EU Ref'!V12/'Road freight EU Ref'!U12)</f>
        <v>2.4145546428839846</v>
      </c>
      <c r="V13" s="6">
        <f>U13*('Road freight EU Ref'!W12/'Road freight EU Ref'!V12)</f>
        <v>2.4215573887838979</v>
      </c>
      <c r="W13" s="6">
        <f>V13*('Road freight EU Ref'!X12/'Road freight EU Ref'!W12)</f>
        <v>2.4285601346838108</v>
      </c>
      <c r="X13" s="6">
        <f>W13*('Road freight EU Ref'!Y12/'Road freight EU Ref'!X12)</f>
        <v>2.4355628805837242</v>
      </c>
      <c r="Y13" s="6">
        <f>X13*('Road freight EU Ref'!Z12/'Road freight EU Ref'!Y12)</f>
        <v>2.4425656264836375</v>
      </c>
      <c r="Z13" s="6">
        <f>Y13*('Road freight EU Ref'!AA12/'Road freight EU Ref'!Z12)</f>
        <v>2.445370618059409</v>
      </c>
      <c r="AA13" s="6">
        <f>Z13*('Road freight EU Ref'!AB12/'Road freight EU Ref'!AA12)</f>
        <v>2.4481756096351805</v>
      </c>
      <c r="AB13" s="6">
        <f>AA13*('Road freight EU Ref'!AC12/'Road freight EU Ref'!AB12)</f>
        <v>2.4509806012109521</v>
      </c>
      <c r="AC13" s="6">
        <f>AB13*('Road freight EU Ref'!AD12/'Road freight EU Ref'!AC12)</f>
        <v>2.453785592786724</v>
      </c>
      <c r="AD13" s="6">
        <f>AC13*('Road freight EU Ref'!AE12/'Road freight EU Ref'!AD12)</f>
        <v>2.4565905843624956</v>
      </c>
      <c r="AE13" s="6">
        <f>AD13*('Road freight EU Ref'!AF12/'Road freight EU Ref'!AE12)</f>
        <v>2.4615421093092014</v>
      </c>
      <c r="AF13" s="6">
        <f>AE13*('Road freight EU Ref'!AG12/'Road freight EU Ref'!AF12)</f>
        <v>2.4664936342559067</v>
      </c>
      <c r="AG13" s="6">
        <f>AF13*('Road freight EU Ref'!AH12/'Road freight EU Ref'!AG12)</f>
        <v>2.4714451592026121</v>
      </c>
      <c r="AH13" s="6">
        <f>AG13*('Road freight EU Ref'!AI12/'Road freight EU Ref'!AH12)</f>
        <v>2.4763966841493175</v>
      </c>
      <c r="AI13" s="6">
        <f>AH13*('Road freight EU Ref'!AJ12/'Road freight EU Ref'!AI12)</f>
        <v>2.4813482090960237</v>
      </c>
      <c r="AJ13" s="17">
        <f t="shared" ref="AJ13:BC13" si="10">AI13</f>
        <v>2.4813482090960237</v>
      </c>
      <c r="AK13" s="17">
        <f t="shared" si="10"/>
        <v>2.4813482090960237</v>
      </c>
      <c r="AL13" s="17">
        <f t="shared" si="10"/>
        <v>2.4813482090960237</v>
      </c>
      <c r="AM13" s="17">
        <f t="shared" si="10"/>
        <v>2.4813482090960237</v>
      </c>
      <c r="AN13" s="17">
        <f t="shared" si="10"/>
        <v>2.4813482090960237</v>
      </c>
      <c r="AO13" s="17">
        <f t="shared" si="10"/>
        <v>2.4813482090960237</v>
      </c>
      <c r="AP13" s="17">
        <f t="shared" si="10"/>
        <v>2.4813482090960237</v>
      </c>
      <c r="AQ13" s="17">
        <f t="shared" si="10"/>
        <v>2.4813482090960237</v>
      </c>
      <c r="AR13" s="17">
        <f t="shared" si="10"/>
        <v>2.4813482090960237</v>
      </c>
      <c r="AS13" s="17">
        <f t="shared" si="10"/>
        <v>2.4813482090960237</v>
      </c>
      <c r="AT13" s="17">
        <f t="shared" si="10"/>
        <v>2.4813482090960237</v>
      </c>
      <c r="AU13" s="17">
        <f t="shared" si="10"/>
        <v>2.4813482090960237</v>
      </c>
      <c r="AV13" s="17">
        <f t="shared" si="10"/>
        <v>2.4813482090960237</v>
      </c>
      <c r="AW13" s="17">
        <f t="shared" si="10"/>
        <v>2.4813482090960237</v>
      </c>
      <c r="AX13" s="17">
        <f t="shared" si="10"/>
        <v>2.4813482090960237</v>
      </c>
      <c r="AY13" s="17">
        <f t="shared" si="10"/>
        <v>2.4813482090960237</v>
      </c>
      <c r="AZ13" s="17">
        <f t="shared" si="10"/>
        <v>2.4813482090960237</v>
      </c>
      <c r="BA13" s="17">
        <f t="shared" si="10"/>
        <v>2.4813482090960237</v>
      </c>
      <c r="BB13" s="17">
        <f t="shared" si="10"/>
        <v>2.4813482090960237</v>
      </c>
      <c r="BC13" s="17">
        <f t="shared" si="10"/>
        <v>2.4813482090960237</v>
      </c>
    </row>
    <row r="14" spans="1:55" x14ac:dyDescent="0.3">
      <c r="A14" t="str">
        <f t="shared" si="0"/>
        <v>FR</v>
      </c>
      <c r="B14" t="s">
        <v>222</v>
      </c>
      <c r="C14" s="4">
        <v>21.193836180000002</v>
      </c>
      <c r="D14" s="4">
        <v>21.864384650000002</v>
      </c>
      <c r="E14" s="4">
        <v>21.240078870000001</v>
      </c>
      <c r="F14" s="4">
        <v>22.26402362</v>
      </c>
      <c r="G14" s="6">
        <f>F14*('Road freight EU Ref'!H13/'Road freight EU Ref'!G13)</f>
        <v>22.575986915313731</v>
      </c>
      <c r="H14" s="6">
        <f>G14*('Road freight EU Ref'!I13/'Road freight EU Ref'!H13)</f>
        <v>22.887950210627462</v>
      </c>
      <c r="I14" s="6">
        <f>H14*('Road freight EU Ref'!J13/'Road freight EU Ref'!I13)</f>
        <v>23.199913505941193</v>
      </c>
      <c r="J14" s="6">
        <f>I14*('Road freight EU Ref'!K13/'Road freight EU Ref'!J13)</f>
        <v>23.511876801254928</v>
      </c>
      <c r="K14" s="6">
        <f>J14*('Road freight EU Ref'!L13/'Road freight EU Ref'!K13)</f>
        <v>23.79087636014166</v>
      </c>
      <c r="L14" s="6">
        <f>K14*('Road freight EU Ref'!M13/'Road freight EU Ref'!L13)</f>
        <v>24.069875919028387</v>
      </c>
      <c r="M14" s="6">
        <f>L14*('Road freight EU Ref'!N13/'Road freight EU Ref'!M13)</f>
        <v>24.348875477915119</v>
      </c>
      <c r="N14" s="6">
        <f>M14*('Road freight EU Ref'!O13/'Road freight EU Ref'!N13)</f>
        <v>24.627875036801846</v>
      </c>
      <c r="O14" s="6">
        <f>N14*('Road freight EU Ref'!P13/'Road freight EU Ref'!O13)</f>
        <v>24.906874595688571</v>
      </c>
      <c r="P14" s="6">
        <f>O14*('Road freight EU Ref'!Q13/'Road freight EU Ref'!P13)</f>
        <v>25.050718299856651</v>
      </c>
      <c r="Q14" s="6">
        <f>P14*('Road freight EU Ref'!R13/'Road freight EU Ref'!Q13)</f>
        <v>25.194562004024732</v>
      </c>
      <c r="R14" s="6">
        <f>Q14*('Road freight EU Ref'!S13/'Road freight EU Ref'!R13)</f>
        <v>25.338405708192813</v>
      </c>
      <c r="S14" s="6">
        <f>R14*('Road freight EU Ref'!T13/'Road freight EU Ref'!S13)</f>
        <v>25.482249412360893</v>
      </c>
      <c r="T14" s="6">
        <f>S14*('Road freight EU Ref'!U13/'Road freight EU Ref'!T13)</f>
        <v>25.626093116528963</v>
      </c>
      <c r="U14" s="6">
        <f>T14*('Road freight EU Ref'!V13/'Road freight EU Ref'!U13)</f>
        <v>25.831023138561005</v>
      </c>
      <c r="V14" s="6">
        <f>U14*('Road freight EU Ref'!W13/'Road freight EU Ref'!V13)</f>
        <v>26.035953160593049</v>
      </c>
      <c r="W14" s="6">
        <f>V14*('Road freight EU Ref'!X13/'Road freight EU Ref'!W13)</f>
        <v>26.240883182625094</v>
      </c>
      <c r="X14" s="6">
        <f>W14*('Road freight EU Ref'!Y13/'Road freight EU Ref'!X13)</f>
        <v>26.445813204657139</v>
      </c>
      <c r="Y14" s="6">
        <f>X14*('Road freight EU Ref'!Z13/'Road freight EU Ref'!Y13)</f>
        <v>26.65074322668919</v>
      </c>
      <c r="Z14" s="6">
        <f>Y14*('Road freight EU Ref'!AA13/'Road freight EU Ref'!Z13)</f>
        <v>26.816606624364724</v>
      </c>
      <c r="AA14" s="6">
        <f>Z14*('Road freight EU Ref'!AB13/'Road freight EU Ref'!AA13)</f>
        <v>26.982470022040257</v>
      </c>
      <c r="AB14" s="6">
        <f>AA14*('Road freight EU Ref'!AC13/'Road freight EU Ref'!AB13)</f>
        <v>27.14833341971579</v>
      </c>
      <c r="AC14" s="6">
        <f>AB14*('Road freight EU Ref'!AD13/'Road freight EU Ref'!AC13)</f>
        <v>27.314196817391323</v>
      </c>
      <c r="AD14" s="6">
        <f>AC14*('Road freight EU Ref'!AE13/'Road freight EU Ref'!AD13)</f>
        <v>27.48006021506686</v>
      </c>
      <c r="AE14" s="6">
        <f>AD14*('Road freight EU Ref'!AF13/'Road freight EU Ref'!AE13)</f>
        <v>27.635764421382479</v>
      </c>
      <c r="AF14" s="6">
        <f>AE14*('Road freight EU Ref'!AG13/'Road freight EU Ref'!AF13)</f>
        <v>27.791468627698102</v>
      </c>
      <c r="AG14" s="6">
        <f>AF14*('Road freight EU Ref'!AH13/'Road freight EU Ref'!AG13)</f>
        <v>27.947172834013724</v>
      </c>
      <c r="AH14" s="6">
        <f>AG14*('Road freight EU Ref'!AI13/'Road freight EU Ref'!AH13)</f>
        <v>28.102877040329346</v>
      </c>
      <c r="AI14" s="6">
        <f>AH14*('Road freight EU Ref'!AJ13/'Road freight EU Ref'!AI13)</f>
        <v>28.258581246644965</v>
      </c>
      <c r="AJ14" s="17">
        <f t="shared" ref="AJ14:BC14" si="11">AI14</f>
        <v>28.258581246644965</v>
      </c>
      <c r="AK14" s="17">
        <f t="shared" si="11"/>
        <v>28.258581246644965</v>
      </c>
      <c r="AL14" s="17">
        <f t="shared" si="11"/>
        <v>28.258581246644965</v>
      </c>
      <c r="AM14" s="17">
        <f t="shared" si="11"/>
        <v>28.258581246644965</v>
      </c>
      <c r="AN14" s="17">
        <f t="shared" si="11"/>
        <v>28.258581246644965</v>
      </c>
      <c r="AO14" s="17">
        <f t="shared" si="11"/>
        <v>28.258581246644965</v>
      </c>
      <c r="AP14" s="17">
        <f t="shared" si="11"/>
        <v>28.258581246644965</v>
      </c>
      <c r="AQ14" s="17">
        <f t="shared" si="11"/>
        <v>28.258581246644965</v>
      </c>
      <c r="AR14" s="17">
        <f t="shared" si="11"/>
        <v>28.258581246644965</v>
      </c>
      <c r="AS14" s="17">
        <f t="shared" si="11"/>
        <v>28.258581246644965</v>
      </c>
      <c r="AT14" s="17">
        <f t="shared" si="11"/>
        <v>28.258581246644965</v>
      </c>
      <c r="AU14" s="17">
        <f t="shared" si="11"/>
        <v>28.258581246644965</v>
      </c>
      <c r="AV14" s="17">
        <f t="shared" si="11"/>
        <v>28.258581246644965</v>
      </c>
      <c r="AW14" s="17">
        <f t="shared" si="11"/>
        <v>28.258581246644965</v>
      </c>
      <c r="AX14" s="17">
        <f t="shared" si="11"/>
        <v>28.258581246644965</v>
      </c>
      <c r="AY14" s="17">
        <f t="shared" si="11"/>
        <v>28.258581246644965</v>
      </c>
      <c r="AZ14" s="17">
        <f t="shared" si="11"/>
        <v>28.258581246644965</v>
      </c>
      <c r="BA14" s="17">
        <f t="shared" si="11"/>
        <v>28.258581246644965</v>
      </c>
      <c r="BB14" s="17">
        <f t="shared" si="11"/>
        <v>28.258581246644965</v>
      </c>
      <c r="BC14" s="17">
        <f t="shared" si="11"/>
        <v>28.258581246644965</v>
      </c>
    </row>
    <row r="15" spans="1:55" x14ac:dyDescent="0.3">
      <c r="A15" t="str">
        <f t="shared" si="0"/>
        <v>GR</v>
      </c>
      <c r="B15" t="s">
        <v>220</v>
      </c>
      <c r="C15" s="4">
        <v>2.1296479239999999</v>
      </c>
      <c r="D15" s="4">
        <v>2.0878062380000002</v>
      </c>
      <c r="E15" s="4">
        <v>1.9161698819999999</v>
      </c>
      <c r="F15" s="4">
        <v>2.1909759700000002</v>
      </c>
      <c r="G15" s="6">
        <f>F15*('Road freight EU Ref'!H14/'Road freight EU Ref'!G14)</f>
        <v>2.2541130376825635</v>
      </c>
      <c r="H15" s="6">
        <f>G15*('Road freight EU Ref'!I14/'Road freight EU Ref'!H14)</f>
        <v>2.3172501053651264</v>
      </c>
      <c r="I15" s="6">
        <f>H15*('Road freight EU Ref'!J14/'Road freight EU Ref'!I14)</f>
        <v>2.3803871730476898</v>
      </c>
      <c r="J15" s="6">
        <f>I15*('Road freight EU Ref'!K14/'Road freight EU Ref'!J14)</f>
        <v>2.4435242407302522</v>
      </c>
      <c r="K15" s="6">
        <f>J15*('Road freight EU Ref'!L14/'Road freight EU Ref'!K14)</f>
        <v>2.4592232987299543</v>
      </c>
      <c r="L15" s="6">
        <f>K15*('Road freight EU Ref'!M14/'Road freight EU Ref'!L14)</f>
        <v>2.4749223567296563</v>
      </c>
      <c r="M15" s="6">
        <f>L15*('Road freight EU Ref'!N14/'Road freight EU Ref'!M14)</f>
        <v>2.4906214147293584</v>
      </c>
      <c r="N15" s="6">
        <f>M15*('Road freight EU Ref'!O14/'Road freight EU Ref'!N14)</f>
        <v>2.5063204727290604</v>
      </c>
      <c r="O15" s="6">
        <f>N15*('Road freight EU Ref'!P14/'Road freight EU Ref'!O14)</f>
        <v>2.5220195307287625</v>
      </c>
      <c r="P15" s="6">
        <f>O15*('Road freight EU Ref'!Q14/'Road freight EU Ref'!P14)</f>
        <v>2.5428908968354444</v>
      </c>
      <c r="Q15" s="6">
        <f>P15*('Road freight EU Ref'!R14/'Road freight EU Ref'!Q14)</f>
        <v>2.5637622629421264</v>
      </c>
      <c r="R15" s="6">
        <f>Q15*('Road freight EU Ref'!S14/'Road freight EU Ref'!R14)</f>
        <v>2.5846336290488083</v>
      </c>
      <c r="S15" s="6">
        <f>R15*('Road freight EU Ref'!T14/'Road freight EU Ref'!S14)</f>
        <v>2.6055049951554903</v>
      </c>
      <c r="T15" s="6">
        <f>S15*('Road freight EU Ref'!U14/'Road freight EU Ref'!T14)</f>
        <v>2.6263763612621718</v>
      </c>
      <c r="U15" s="6">
        <f>T15*('Road freight EU Ref'!V14/'Road freight EU Ref'!U14)</f>
        <v>2.6423356376615592</v>
      </c>
      <c r="V15" s="6">
        <f>U15*('Road freight EU Ref'!W14/'Road freight EU Ref'!V14)</f>
        <v>2.6582949140609466</v>
      </c>
      <c r="W15" s="6">
        <f>V15*('Road freight EU Ref'!X14/'Road freight EU Ref'!W14)</f>
        <v>2.6742541904603341</v>
      </c>
      <c r="X15" s="6">
        <f>W15*('Road freight EU Ref'!Y14/'Road freight EU Ref'!X14)</f>
        <v>2.6902134668597215</v>
      </c>
      <c r="Y15" s="6">
        <f>X15*('Road freight EU Ref'!Z14/'Road freight EU Ref'!Y14)</f>
        <v>2.7061727432591085</v>
      </c>
      <c r="Z15" s="6">
        <f>Y15*('Road freight EU Ref'!AA14/'Road freight EU Ref'!Z14)</f>
        <v>2.7231744643883462</v>
      </c>
      <c r="AA15" s="6">
        <f>Z15*('Road freight EU Ref'!AB14/'Road freight EU Ref'!AA14)</f>
        <v>2.7401761855175839</v>
      </c>
      <c r="AB15" s="6">
        <f>AA15*('Road freight EU Ref'!AC14/'Road freight EU Ref'!AB14)</f>
        <v>2.7571779066468216</v>
      </c>
      <c r="AC15" s="6">
        <f>AB15*('Road freight EU Ref'!AD14/'Road freight EU Ref'!AC14)</f>
        <v>2.7741796277760593</v>
      </c>
      <c r="AD15" s="6">
        <f>AC15*('Road freight EU Ref'!AE14/'Road freight EU Ref'!AD14)</f>
        <v>2.7911813489052975</v>
      </c>
      <c r="AE15" s="6">
        <f>AD15*('Road freight EU Ref'!AF14/'Road freight EU Ref'!AE14)</f>
        <v>2.80815792575416</v>
      </c>
      <c r="AF15" s="6">
        <f>AE15*('Road freight EU Ref'!AG14/'Road freight EU Ref'!AF14)</f>
        <v>2.8251345026030226</v>
      </c>
      <c r="AG15" s="6">
        <f>AF15*('Road freight EU Ref'!AH14/'Road freight EU Ref'!AG14)</f>
        <v>2.8421110794518851</v>
      </c>
      <c r="AH15" s="6">
        <f>AG15*('Road freight EU Ref'!AI14/'Road freight EU Ref'!AH14)</f>
        <v>2.8590876563007477</v>
      </c>
      <c r="AI15" s="6">
        <f>AH15*('Road freight EU Ref'!AJ14/'Road freight EU Ref'!AI14)</f>
        <v>2.8760642331496107</v>
      </c>
      <c r="AJ15" s="17">
        <f t="shared" ref="AJ15:BC15" si="12">AI15</f>
        <v>2.8760642331496107</v>
      </c>
      <c r="AK15" s="17">
        <f t="shared" si="12"/>
        <v>2.8760642331496107</v>
      </c>
      <c r="AL15" s="17">
        <f t="shared" si="12"/>
        <v>2.8760642331496107</v>
      </c>
      <c r="AM15" s="17">
        <f t="shared" si="12"/>
        <v>2.8760642331496107</v>
      </c>
      <c r="AN15" s="17">
        <f t="shared" si="12"/>
        <v>2.8760642331496107</v>
      </c>
      <c r="AO15" s="17">
        <f t="shared" si="12"/>
        <v>2.8760642331496107</v>
      </c>
      <c r="AP15" s="17">
        <f t="shared" si="12"/>
        <v>2.8760642331496107</v>
      </c>
      <c r="AQ15" s="17">
        <f t="shared" si="12"/>
        <v>2.8760642331496107</v>
      </c>
      <c r="AR15" s="17">
        <f t="shared" si="12"/>
        <v>2.8760642331496107</v>
      </c>
      <c r="AS15" s="17">
        <f t="shared" si="12"/>
        <v>2.8760642331496107</v>
      </c>
      <c r="AT15" s="17">
        <f t="shared" si="12"/>
        <v>2.8760642331496107</v>
      </c>
      <c r="AU15" s="17">
        <f t="shared" si="12"/>
        <v>2.8760642331496107</v>
      </c>
      <c r="AV15" s="17">
        <f t="shared" si="12"/>
        <v>2.8760642331496107</v>
      </c>
      <c r="AW15" s="17">
        <f t="shared" si="12"/>
        <v>2.8760642331496107</v>
      </c>
      <c r="AX15" s="17">
        <f t="shared" si="12"/>
        <v>2.8760642331496107</v>
      </c>
      <c r="AY15" s="17">
        <f t="shared" si="12"/>
        <v>2.8760642331496107</v>
      </c>
      <c r="AZ15" s="17">
        <f t="shared" si="12"/>
        <v>2.8760642331496107</v>
      </c>
      <c r="BA15" s="17">
        <f t="shared" si="12"/>
        <v>2.8760642331496107</v>
      </c>
      <c r="BB15" s="17">
        <f t="shared" si="12"/>
        <v>2.8760642331496107</v>
      </c>
      <c r="BC15" s="17">
        <f t="shared" si="12"/>
        <v>2.8760642331496107</v>
      </c>
    </row>
    <row r="16" spans="1:55" x14ac:dyDescent="0.3">
      <c r="A16" t="str">
        <f t="shared" si="0"/>
        <v>HR</v>
      </c>
      <c r="B16" t="s">
        <v>223</v>
      </c>
      <c r="C16" s="4">
        <v>0.90041131799999996</v>
      </c>
      <c r="D16" s="4">
        <v>0.87084535600000001</v>
      </c>
      <c r="E16" s="4">
        <v>0.89122016500000001</v>
      </c>
      <c r="F16" s="4">
        <v>0.91649513699999996</v>
      </c>
      <c r="G16" s="6">
        <f>F16*('Road freight EU Ref'!H15/'Road freight EU Ref'!G15)</f>
        <v>0.95694987711961887</v>
      </c>
      <c r="H16" s="6">
        <f>G16*('Road freight EU Ref'!I15/'Road freight EU Ref'!H15)</f>
        <v>0.99740461723923768</v>
      </c>
      <c r="I16" s="6">
        <f>H16*('Road freight EU Ref'!J15/'Road freight EU Ref'!I15)</f>
        <v>1.0378593573588564</v>
      </c>
      <c r="J16" s="6">
        <f>I16*('Road freight EU Ref'!K15/'Road freight EU Ref'!J15)</f>
        <v>1.0783140974784755</v>
      </c>
      <c r="K16" s="6">
        <f>J16*('Road freight EU Ref'!L15/'Road freight EU Ref'!K15)</f>
        <v>1.1207859359650716</v>
      </c>
      <c r="L16" s="6">
        <f>K16*('Road freight EU Ref'!M15/'Road freight EU Ref'!L15)</f>
        <v>1.1632577744516677</v>
      </c>
      <c r="M16" s="6">
        <f>L16*('Road freight EU Ref'!N15/'Road freight EU Ref'!M15)</f>
        <v>1.2057296129382638</v>
      </c>
      <c r="N16" s="6">
        <f>M16*('Road freight EU Ref'!O15/'Road freight EU Ref'!N15)</f>
        <v>1.2482014514248601</v>
      </c>
      <c r="O16" s="6">
        <f>N16*('Road freight EU Ref'!P15/'Road freight EU Ref'!O15)</f>
        <v>1.2906732899114566</v>
      </c>
      <c r="P16" s="6">
        <f>O16*('Road freight EU Ref'!Q15/'Road freight EU Ref'!P15)</f>
        <v>1.3081894866633392</v>
      </c>
      <c r="Q16" s="6">
        <f>P16*('Road freight EU Ref'!R15/'Road freight EU Ref'!Q15)</f>
        <v>1.3257056834152219</v>
      </c>
      <c r="R16" s="6">
        <f>Q16*('Road freight EU Ref'!S15/'Road freight EU Ref'!R15)</f>
        <v>1.3432218801671043</v>
      </c>
      <c r="S16" s="6">
        <f>R16*('Road freight EU Ref'!T15/'Road freight EU Ref'!S15)</f>
        <v>1.3607380769189867</v>
      </c>
      <c r="T16" s="6">
        <f>S16*('Road freight EU Ref'!U15/'Road freight EU Ref'!T15)</f>
        <v>1.3782542736708689</v>
      </c>
      <c r="U16" s="6">
        <f>T16*('Road freight EU Ref'!V15/'Road freight EU Ref'!U15)</f>
        <v>1.393759898172771</v>
      </c>
      <c r="V16" s="6">
        <f>U16*('Road freight EU Ref'!W15/'Road freight EU Ref'!V15)</f>
        <v>1.4092655226746733</v>
      </c>
      <c r="W16" s="6">
        <f>V16*('Road freight EU Ref'!X15/'Road freight EU Ref'!W15)</f>
        <v>1.4247711471765754</v>
      </c>
      <c r="X16" s="6">
        <f>W16*('Road freight EU Ref'!Y15/'Road freight EU Ref'!X15)</f>
        <v>1.4402767716784777</v>
      </c>
      <c r="Y16" s="6">
        <f>X16*('Road freight EU Ref'!Z15/'Road freight EU Ref'!Y15)</f>
        <v>1.4557823961803797</v>
      </c>
      <c r="Z16" s="6">
        <f>Y16*('Road freight EU Ref'!AA15/'Road freight EU Ref'!Z15)</f>
        <v>1.4653565908524673</v>
      </c>
      <c r="AA16" s="6">
        <f>Z16*('Road freight EU Ref'!AB15/'Road freight EU Ref'!AA15)</f>
        <v>1.4749307855245546</v>
      </c>
      <c r="AB16" s="6">
        <f>AA16*('Road freight EU Ref'!AC15/'Road freight EU Ref'!AB15)</f>
        <v>1.4845049801966421</v>
      </c>
      <c r="AC16" s="6">
        <f>AB16*('Road freight EU Ref'!AD15/'Road freight EU Ref'!AC15)</f>
        <v>1.4940791748687297</v>
      </c>
      <c r="AD16" s="6">
        <f>AC16*('Road freight EU Ref'!AE15/'Road freight EU Ref'!AD15)</f>
        <v>1.5036533695408174</v>
      </c>
      <c r="AE16" s="6">
        <f>AD16*('Road freight EU Ref'!AF15/'Road freight EU Ref'!AE15)</f>
        <v>1.5144961926809404</v>
      </c>
      <c r="AF16" s="6">
        <f>AE16*('Road freight EU Ref'!AG15/'Road freight EU Ref'!AF15)</f>
        <v>1.5253390158210631</v>
      </c>
      <c r="AG16" s="6">
        <f>AF16*('Road freight EU Ref'!AH15/'Road freight EU Ref'!AG15)</f>
        <v>1.5361818389611857</v>
      </c>
      <c r="AH16" s="6">
        <f>AG16*('Road freight EU Ref'!AI15/'Road freight EU Ref'!AH15)</f>
        <v>1.5470246621013086</v>
      </c>
      <c r="AI16" s="6">
        <f>AH16*('Road freight EU Ref'!AJ15/'Road freight EU Ref'!AI15)</f>
        <v>1.5578674852414316</v>
      </c>
      <c r="AJ16" s="17">
        <f t="shared" ref="AJ16:BC16" si="13">AI16</f>
        <v>1.5578674852414316</v>
      </c>
      <c r="AK16" s="17">
        <f t="shared" si="13"/>
        <v>1.5578674852414316</v>
      </c>
      <c r="AL16" s="17">
        <f t="shared" si="13"/>
        <v>1.5578674852414316</v>
      </c>
      <c r="AM16" s="17">
        <f t="shared" si="13"/>
        <v>1.5578674852414316</v>
      </c>
      <c r="AN16" s="17">
        <f t="shared" si="13"/>
        <v>1.5578674852414316</v>
      </c>
      <c r="AO16" s="17">
        <f t="shared" si="13"/>
        <v>1.5578674852414316</v>
      </c>
      <c r="AP16" s="17">
        <f t="shared" si="13"/>
        <v>1.5578674852414316</v>
      </c>
      <c r="AQ16" s="17">
        <f t="shared" si="13"/>
        <v>1.5578674852414316</v>
      </c>
      <c r="AR16" s="17">
        <f t="shared" si="13"/>
        <v>1.5578674852414316</v>
      </c>
      <c r="AS16" s="17">
        <f t="shared" si="13"/>
        <v>1.5578674852414316</v>
      </c>
      <c r="AT16" s="17">
        <f t="shared" si="13"/>
        <v>1.5578674852414316</v>
      </c>
      <c r="AU16" s="17">
        <f t="shared" si="13"/>
        <v>1.5578674852414316</v>
      </c>
      <c r="AV16" s="17">
        <f t="shared" si="13"/>
        <v>1.5578674852414316</v>
      </c>
      <c r="AW16" s="17">
        <f t="shared" si="13"/>
        <v>1.5578674852414316</v>
      </c>
      <c r="AX16" s="17">
        <f t="shared" si="13"/>
        <v>1.5578674852414316</v>
      </c>
      <c r="AY16" s="17">
        <f t="shared" si="13"/>
        <v>1.5578674852414316</v>
      </c>
      <c r="AZ16" s="17">
        <f t="shared" si="13"/>
        <v>1.5578674852414316</v>
      </c>
      <c r="BA16" s="17">
        <f t="shared" si="13"/>
        <v>1.5578674852414316</v>
      </c>
      <c r="BB16" s="17">
        <f t="shared" si="13"/>
        <v>1.5578674852414316</v>
      </c>
      <c r="BC16" s="17">
        <f t="shared" si="13"/>
        <v>1.5578674852414316</v>
      </c>
    </row>
    <row r="17" spans="1:55" x14ac:dyDescent="0.3">
      <c r="A17" t="str">
        <f t="shared" si="0"/>
        <v>HU</v>
      </c>
      <c r="B17" t="s">
        <v>229</v>
      </c>
      <c r="C17" s="4">
        <v>2.4181828300000001</v>
      </c>
      <c r="D17" s="4">
        <v>2.4930310100000002</v>
      </c>
      <c r="E17" s="4">
        <v>2.4168493409999998</v>
      </c>
      <c r="F17" s="4">
        <v>2.7056136230000001</v>
      </c>
      <c r="G17" s="6">
        <f>F17*('Road freight EU Ref'!H16/'Road freight EU Ref'!G16)</f>
        <v>2.7965602338499682</v>
      </c>
      <c r="H17" s="6">
        <f>G17*('Road freight EU Ref'!I16/'Road freight EU Ref'!H16)</f>
        <v>2.8875068446999368</v>
      </c>
      <c r="I17" s="6">
        <f>H17*('Road freight EU Ref'!J16/'Road freight EU Ref'!I16)</f>
        <v>2.9784534555499045</v>
      </c>
      <c r="J17" s="6">
        <f>I17*('Road freight EU Ref'!K16/'Road freight EU Ref'!J16)</f>
        <v>3.0694000663998717</v>
      </c>
      <c r="K17" s="6">
        <f>J17*('Road freight EU Ref'!L16/'Road freight EU Ref'!K16)</f>
        <v>3.1430730807712592</v>
      </c>
      <c r="L17" s="6">
        <f>K17*('Road freight EU Ref'!M16/'Road freight EU Ref'!L16)</f>
        <v>3.2167460951426468</v>
      </c>
      <c r="M17" s="6">
        <f>L17*('Road freight EU Ref'!N16/'Road freight EU Ref'!M16)</f>
        <v>3.2904191095140347</v>
      </c>
      <c r="N17" s="6">
        <f>M17*('Road freight EU Ref'!O16/'Road freight EU Ref'!N16)</f>
        <v>3.3640921238854222</v>
      </c>
      <c r="O17" s="6">
        <f>N17*('Road freight EU Ref'!P16/'Road freight EU Ref'!O16)</f>
        <v>3.4377651382568111</v>
      </c>
      <c r="P17" s="6">
        <f>O17*('Road freight EU Ref'!Q16/'Road freight EU Ref'!P16)</f>
        <v>3.4784693363952925</v>
      </c>
      <c r="Q17" s="6">
        <f>P17*('Road freight EU Ref'!R16/'Road freight EU Ref'!Q16)</f>
        <v>3.519173534533774</v>
      </c>
      <c r="R17" s="6">
        <f>Q17*('Road freight EU Ref'!S16/'Road freight EU Ref'!R16)</f>
        <v>3.5598777326722559</v>
      </c>
      <c r="S17" s="6">
        <f>R17*('Road freight EU Ref'!T16/'Road freight EU Ref'!S16)</f>
        <v>3.6005819308107379</v>
      </c>
      <c r="T17" s="6">
        <f>S17*('Road freight EU Ref'!U16/'Road freight EU Ref'!T16)</f>
        <v>3.6412861289492193</v>
      </c>
      <c r="U17" s="6">
        <f>T17*('Road freight EU Ref'!V16/'Road freight EU Ref'!U16)</f>
        <v>3.6855756155420609</v>
      </c>
      <c r="V17" s="6">
        <f>U17*('Road freight EU Ref'!W16/'Road freight EU Ref'!V16)</f>
        <v>3.7298651021349025</v>
      </c>
      <c r="W17" s="6">
        <f>V17*('Road freight EU Ref'!X16/'Road freight EU Ref'!W16)</f>
        <v>3.7741545887277441</v>
      </c>
      <c r="X17" s="6">
        <f>W17*('Road freight EU Ref'!Y16/'Road freight EU Ref'!X16)</f>
        <v>3.8184440753205857</v>
      </c>
      <c r="Y17" s="6">
        <f>X17*('Road freight EU Ref'!Z16/'Road freight EU Ref'!Y16)</f>
        <v>3.8627335619134264</v>
      </c>
      <c r="Z17" s="6">
        <f>Y17*('Road freight EU Ref'!AA16/'Road freight EU Ref'!Z16)</f>
        <v>3.8960449249029976</v>
      </c>
      <c r="AA17" s="6">
        <f>Z17*('Road freight EU Ref'!AB16/'Road freight EU Ref'!AA16)</f>
        <v>3.9293562878925683</v>
      </c>
      <c r="AB17" s="6">
        <f>AA17*('Road freight EU Ref'!AC16/'Road freight EU Ref'!AB16)</f>
        <v>3.962667650882139</v>
      </c>
      <c r="AC17" s="6">
        <f>AB17*('Road freight EU Ref'!AD16/'Road freight EU Ref'!AC16)</f>
        <v>3.9959790138717102</v>
      </c>
      <c r="AD17" s="6">
        <f>AC17*('Road freight EU Ref'!AE16/'Road freight EU Ref'!AD16)</f>
        <v>4.0292903768612822</v>
      </c>
      <c r="AE17" s="6">
        <f>AD17*('Road freight EU Ref'!AF16/'Road freight EU Ref'!AE16)</f>
        <v>4.060334492035742</v>
      </c>
      <c r="AF17" s="6">
        <f>AE17*('Road freight EU Ref'!AG16/'Road freight EU Ref'!AF16)</f>
        <v>4.0913786072102027</v>
      </c>
      <c r="AG17" s="6">
        <f>AF17*('Road freight EU Ref'!AH16/'Road freight EU Ref'!AG16)</f>
        <v>4.1224227223846626</v>
      </c>
      <c r="AH17" s="6">
        <f>AG17*('Road freight EU Ref'!AI16/'Road freight EU Ref'!AH16)</f>
        <v>4.1534668375591224</v>
      </c>
      <c r="AI17" s="6">
        <f>AH17*('Road freight EU Ref'!AJ16/'Road freight EU Ref'!AI16)</f>
        <v>4.184510952733584</v>
      </c>
      <c r="AJ17" s="17">
        <f t="shared" ref="AJ17:BC17" si="14">AI17</f>
        <v>4.184510952733584</v>
      </c>
      <c r="AK17" s="17">
        <f t="shared" si="14"/>
        <v>4.184510952733584</v>
      </c>
      <c r="AL17" s="17">
        <f t="shared" si="14"/>
        <v>4.184510952733584</v>
      </c>
      <c r="AM17" s="17">
        <f t="shared" si="14"/>
        <v>4.184510952733584</v>
      </c>
      <c r="AN17" s="17">
        <f t="shared" si="14"/>
        <v>4.184510952733584</v>
      </c>
      <c r="AO17" s="17">
        <f t="shared" si="14"/>
        <v>4.184510952733584</v>
      </c>
      <c r="AP17" s="17">
        <f t="shared" si="14"/>
        <v>4.184510952733584</v>
      </c>
      <c r="AQ17" s="17">
        <f t="shared" si="14"/>
        <v>4.184510952733584</v>
      </c>
      <c r="AR17" s="17">
        <f t="shared" si="14"/>
        <v>4.184510952733584</v>
      </c>
      <c r="AS17" s="17">
        <f t="shared" si="14"/>
        <v>4.184510952733584</v>
      </c>
      <c r="AT17" s="17">
        <f t="shared" si="14"/>
        <v>4.184510952733584</v>
      </c>
      <c r="AU17" s="17">
        <f t="shared" si="14"/>
        <v>4.184510952733584</v>
      </c>
      <c r="AV17" s="17">
        <f t="shared" si="14"/>
        <v>4.184510952733584</v>
      </c>
      <c r="AW17" s="17">
        <f t="shared" si="14"/>
        <v>4.184510952733584</v>
      </c>
      <c r="AX17" s="17">
        <f t="shared" si="14"/>
        <v>4.184510952733584</v>
      </c>
      <c r="AY17" s="17">
        <f t="shared" si="14"/>
        <v>4.184510952733584</v>
      </c>
      <c r="AZ17" s="17">
        <f t="shared" si="14"/>
        <v>4.184510952733584</v>
      </c>
      <c r="BA17" s="17">
        <f t="shared" si="14"/>
        <v>4.184510952733584</v>
      </c>
      <c r="BB17" s="17">
        <f t="shared" si="14"/>
        <v>4.184510952733584</v>
      </c>
      <c r="BC17" s="17">
        <f t="shared" si="14"/>
        <v>4.184510952733584</v>
      </c>
    </row>
    <row r="18" spans="1:55" x14ac:dyDescent="0.3">
      <c r="A18" t="str">
        <f t="shared" si="0"/>
        <v>IE</v>
      </c>
      <c r="B18" t="s">
        <v>219</v>
      </c>
      <c r="C18" s="4">
        <v>2.0138761559999998</v>
      </c>
      <c r="D18" s="4">
        <v>2.1431607069999998</v>
      </c>
      <c r="E18" s="4">
        <v>1.8411983759999999</v>
      </c>
      <c r="F18" s="4">
        <v>2.0404448959999999</v>
      </c>
      <c r="G18" s="6">
        <f>F18*('Road freight EU Ref'!H17/'Road freight EU Ref'!G17)</f>
        <v>2.116953966770017</v>
      </c>
      <c r="H18" s="6">
        <f>G18*('Road freight EU Ref'!I17/'Road freight EU Ref'!H17)</f>
        <v>2.1934630375400341</v>
      </c>
      <c r="I18" s="6">
        <f>H18*('Road freight EU Ref'!J17/'Road freight EU Ref'!I17)</f>
        <v>2.2699721083100513</v>
      </c>
      <c r="J18" s="6">
        <f>I18*('Road freight EU Ref'!K17/'Road freight EU Ref'!J17)</f>
        <v>2.3464811790800684</v>
      </c>
      <c r="K18" s="6">
        <f>J18*('Road freight EU Ref'!L17/'Road freight EU Ref'!K17)</f>
        <v>2.4382725627703397</v>
      </c>
      <c r="L18" s="6">
        <f>K18*('Road freight EU Ref'!M17/'Road freight EU Ref'!L17)</f>
        <v>2.5300639464606114</v>
      </c>
      <c r="M18" s="6">
        <f>L18*('Road freight EU Ref'!N17/'Road freight EU Ref'!M17)</f>
        <v>2.6218553301508827</v>
      </c>
      <c r="N18" s="6">
        <f>M18*('Road freight EU Ref'!O17/'Road freight EU Ref'!N17)</f>
        <v>2.7136467138411544</v>
      </c>
      <c r="O18" s="6">
        <f>N18*('Road freight EU Ref'!P17/'Road freight EU Ref'!O17)</f>
        <v>2.8054380975314261</v>
      </c>
      <c r="P18" s="6">
        <f>O18*('Road freight EU Ref'!Q17/'Road freight EU Ref'!P17)</f>
        <v>2.8417450663882176</v>
      </c>
      <c r="Q18" s="6">
        <f>P18*('Road freight EU Ref'!R17/'Road freight EU Ref'!Q17)</f>
        <v>2.878052035245009</v>
      </c>
      <c r="R18" s="6">
        <f>Q18*('Road freight EU Ref'!S17/'Road freight EU Ref'!R17)</f>
        <v>2.9143590041018004</v>
      </c>
      <c r="S18" s="6">
        <f>R18*('Road freight EU Ref'!T17/'Road freight EU Ref'!S17)</f>
        <v>2.9506659729585913</v>
      </c>
      <c r="T18" s="6">
        <f>S18*('Road freight EU Ref'!U17/'Road freight EU Ref'!T17)</f>
        <v>2.9869729418153832</v>
      </c>
      <c r="U18" s="6">
        <f>T18*('Road freight EU Ref'!V17/'Road freight EU Ref'!U17)</f>
        <v>3.0319080707874848</v>
      </c>
      <c r="V18" s="6">
        <f>U18*('Road freight EU Ref'!W17/'Road freight EU Ref'!V17)</f>
        <v>3.0768431997595864</v>
      </c>
      <c r="W18" s="6">
        <f>V18*('Road freight EU Ref'!X17/'Road freight EU Ref'!W17)</f>
        <v>3.1217783287316876</v>
      </c>
      <c r="X18" s="6">
        <f>W18*('Road freight EU Ref'!Y17/'Road freight EU Ref'!X17)</f>
        <v>3.1667134577037888</v>
      </c>
      <c r="Y18" s="6">
        <f>X18*('Road freight EU Ref'!Z17/'Road freight EU Ref'!Y17)</f>
        <v>3.2116485866758904</v>
      </c>
      <c r="Z18" s="6">
        <f>Y18*('Road freight EU Ref'!AA17/'Road freight EU Ref'!Z17)</f>
        <v>3.2420404258662092</v>
      </c>
      <c r="AA18" s="6">
        <f>Z18*('Road freight EU Ref'!AB17/'Road freight EU Ref'!AA17)</f>
        <v>3.2724322650565276</v>
      </c>
      <c r="AB18" s="6">
        <f>AA18*('Road freight EU Ref'!AC17/'Road freight EU Ref'!AB17)</f>
        <v>3.3028241042468465</v>
      </c>
      <c r="AC18" s="6">
        <f>AB18*('Road freight EU Ref'!AD17/'Road freight EU Ref'!AC17)</f>
        <v>3.3332159434371653</v>
      </c>
      <c r="AD18" s="6">
        <f>AC18*('Road freight EU Ref'!AE17/'Road freight EU Ref'!AD17)</f>
        <v>3.3636077826274851</v>
      </c>
      <c r="AE18" s="6">
        <f>AD18*('Road freight EU Ref'!AF17/'Road freight EU Ref'!AE17)</f>
        <v>3.4234107181583506</v>
      </c>
      <c r="AF18" s="6">
        <f>AE18*('Road freight EU Ref'!AG17/'Road freight EU Ref'!AF17)</f>
        <v>3.4832136536892158</v>
      </c>
      <c r="AG18" s="6">
        <f>AF18*('Road freight EU Ref'!AH17/'Road freight EU Ref'!AG17)</f>
        <v>3.5430165892200809</v>
      </c>
      <c r="AH18" s="6">
        <f>AG18*('Road freight EU Ref'!AI17/'Road freight EU Ref'!AH17)</f>
        <v>3.6028195247509465</v>
      </c>
      <c r="AI18" s="6">
        <f>AH18*('Road freight EU Ref'!AJ17/'Road freight EU Ref'!AI17)</f>
        <v>3.662622460281812</v>
      </c>
      <c r="AJ18" s="17">
        <f t="shared" ref="AJ18:BC18" si="15">AI18</f>
        <v>3.662622460281812</v>
      </c>
      <c r="AK18" s="17">
        <f t="shared" si="15"/>
        <v>3.662622460281812</v>
      </c>
      <c r="AL18" s="17">
        <f t="shared" si="15"/>
        <v>3.662622460281812</v>
      </c>
      <c r="AM18" s="17">
        <f t="shared" si="15"/>
        <v>3.662622460281812</v>
      </c>
      <c r="AN18" s="17">
        <f t="shared" si="15"/>
        <v>3.662622460281812</v>
      </c>
      <c r="AO18" s="17">
        <f t="shared" si="15"/>
        <v>3.662622460281812</v>
      </c>
      <c r="AP18" s="17">
        <f t="shared" si="15"/>
        <v>3.662622460281812</v>
      </c>
      <c r="AQ18" s="17">
        <f t="shared" si="15"/>
        <v>3.662622460281812</v>
      </c>
      <c r="AR18" s="17">
        <f t="shared" si="15"/>
        <v>3.662622460281812</v>
      </c>
      <c r="AS18" s="17">
        <f t="shared" si="15"/>
        <v>3.662622460281812</v>
      </c>
      <c r="AT18" s="17">
        <f t="shared" si="15"/>
        <v>3.662622460281812</v>
      </c>
      <c r="AU18" s="17">
        <f t="shared" si="15"/>
        <v>3.662622460281812</v>
      </c>
      <c r="AV18" s="17">
        <f t="shared" si="15"/>
        <v>3.662622460281812</v>
      </c>
      <c r="AW18" s="17">
        <f t="shared" si="15"/>
        <v>3.662622460281812</v>
      </c>
      <c r="AX18" s="17">
        <f t="shared" si="15"/>
        <v>3.662622460281812</v>
      </c>
      <c r="AY18" s="17">
        <f t="shared" si="15"/>
        <v>3.662622460281812</v>
      </c>
      <c r="AZ18" s="17">
        <f t="shared" si="15"/>
        <v>3.662622460281812</v>
      </c>
      <c r="BA18" s="17">
        <f t="shared" si="15"/>
        <v>3.662622460281812</v>
      </c>
      <c r="BB18" s="17">
        <f t="shared" si="15"/>
        <v>3.662622460281812</v>
      </c>
      <c r="BC18" s="17">
        <f t="shared" si="15"/>
        <v>3.662622460281812</v>
      </c>
    </row>
    <row r="19" spans="1:55" x14ac:dyDescent="0.3">
      <c r="A19" t="str">
        <f t="shared" si="0"/>
        <v>IT</v>
      </c>
      <c r="B19" t="s">
        <v>224</v>
      </c>
      <c r="C19" s="4">
        <v>9.5258294239999994</v>
      </c>
      <c r="D19" s="4">
        <v>10.022775790000001</v>
      </c>
      <c r="E19" s="4">
        <v>9.6847137219999997</v>
      </c>
      <c r="F19" s="4">
        <v>10.55369726</v>
      </c>
      <c r="G19" s="6">
        <f>F19*('Road freight EU Ref'!H18/'Road freight EU Ref'!G18)</f>
        <v>10.791503779342785</v>
      </c>
      <c r="H19" s="6">
        <f>G19*('Road freight EU Ref'!I18/'Road freight EU Ref'!H18)</f>
        <v>11.029310298685569</v>
      </c>
      <c r="I19" s="6">
        <f>H19*('Road freight EU Ref'!J18/'Road freight EU Ref'!I18)</f>
        <v>11.267116818028354</v>
      </c>
      <c r="J19" s="6">
        <f>I19*('Road freight EU Ref'!K18/'Road freight EU Ref'!J18)</f>
        <v>11.504923337371139</v>
      </c>
      <c r="K19" s="6">
        <f>J19*('Road freight EU Ref'!L18/'Road freight EU Ref'!K18)</f>
        <v>11.770760299958699</v>
      </c>
      <c r="L19" s="6">
        <f>K19*('Road freight EU Ref'!M18/'Road freight EU Ref'!L18)</f>
        <v>12.036597262546259</v>
      </c>
      <c r="M19" s="6">
        <f>L19*('Road freight EU Ref'!N18/'Road freight EU Ref'!M18)</f>
        <v>12.302434225133819</v>
      </c>
      <c r="N19" s="6">
        <f>M19*('Road freight EU Ref'!O18/'Road freight EU Ref'!N18)</f>
        <v>12.568271187721381</v>
      </c>
      <c r="O19" s="6">
        <f>N19*('Road freight EU Ref'!P18/'Road freight EU Ref'!O18)</f>
        <v>12.834108150308939</v>
      </c>
      <c r="P19" s="6">
        <f>O19*('Road freight EU Ref'!Q18/'Road freight EU Ref'!P18)</f>
        <v>13.050993148642984</v>
      </c>
      <c r="Q19" s="6">
        <f>P19*('Road freight EU Ref'!R18/'Road freight EU Ref'!Q18)</f>
        <v>13.267878146977029</v>
      </c>
      <c r="R19" s="6">
        <f>Q19*('Road freight EU Ref'!S18/'Road freight EU Ref'!R18)</f>
        <v>13.484763145311073</v>
      </c>
      <c r="S19" s="6">
        <f>R19*('Road freight EU Ref'!T18/'Road freight EU Ref'!S18)</f>
        <v>13.701648143645116</v>
      </c>
      <c r="T19" s="6">
        <f>S19*('Road freight EU Ref'!U18/'Road freight EU Ref'!T18)</f>
        <v>13.918533141979157</v>
      </c>
      <c r="U19" s="6">
        <f>T19*('Road freight EU Ref'!V18/'Road freight EU Ref'!U18)</f>
        <v>14.077774672150387</v>
      </c>
      <c r="V19" s="6">
        <f>U19*('Road freight EU Ref'!W18/'Road freight EU Ref'!V18)</f>
        <v>14.237016202321616</v>
      </c>
      <c r="W19" s="6">
        <f>V19*('Road freight EU Ref'!X18/'Road freight EU Ref'!W18)</f>
        <v>14.396257732492847</v>
      </c>
      <c r="X19" s="6">
        <f>W19*('Road freight EU Ref'!Y18/'Road freight EU Ref'!X18)</f>
        <v>14.555499262664075</v>
      </c>
      <c r="Y19" s="6">
        <f>X19*('Road freight EU Ref'!Z18/'Road freight EU Ref'!Y18)</f>
        <v>14.714740792835309</v>
      </c>
      <c r="Z19" s="6">
        <f>Y19*('Road freight EU Ref'!AA18/'Road freight EU Ref'!Z18)</f>
        <v>14.833616616256043</v>
      </c>
      <c r="AA19" s="6">
        <f>Z19*('Road freight EU Ref'!AB18/'Road freight EU Ref'!AA18)</f>
        <v>14.952492439676778</v>
      </c>
      <c r="AB19" s="6">
        <f>AA19*('Road freight EU Ref'!AC18/'Road freight EU Ref'!AB18)</f>
        <v>15.071368263097513</v>
      </c>
      <c r="AC19" s="6">
        <f>AB19*('Road freight EU Ref'!AD18/'Road freight EU Ref'!AC18)</f>
        <v>15.190244086518248</v>
      </c>
      <c r="AD19" s="6">
        <f>AC19*('Road freight EU Ref'!AE18/'Road freight EU Ref'!AD18)</f>
        <v>15.309119909938982</v>
      </c>
      <c r="AE19" s="6">
        <f>AD19*('Road freight EU Ref'!AF18/'Road freight EU Ref'!AE18)</f>
        <v>15.427314784086473</v>
      </c>
      <c r="AF19" s="6">
        <f>AE19*('Road freight EU Ref'!AG18/'Road freight EU Ref'!AF18)</f>
        <v>15.545509658233964</v>
      </c>
      <c r="AG19" s="6">
        <f>AF19*('Road freight EU Ref'!AH18/'Road freight EU Ref'!AG18)</f>
        <v>15.663704532381457</v>
      </c>
      <c r="AH19" s="6">
        <f>AG19*('Road freight EU Ref'!AI18/'Road freight EU Ref'!AH18)</f>
        <v>15.78189940652895</v>
      </c>
      <c r="AI19" s="6">
        <f>AH19*('Road freight EU Ref'!AJ18/'Road freight EU Ref'!AI18)</f>
        <v>15.900094280676441</v>
      </c>
      <c r="AJ19" s="17">
        <f t="shared" ref="AJ19:BC19" si="16">AI19</f>
        <v>15.900094280676441</v>
      </c>
      <c r="AK19" s="17">
        <f t="shared" si="16"/>
        <v>15.900094280676441</v>
      </c>
      <c r="AL19" s="17">
        <f t="shared" si="16"/>
        <v>15.900094280676441</v>
      </c>
      <c r="AM19" s="17">
        <f t="shared" si="16"/>
        <v>15.900094280676441</v>
      </c>
      <c r="AN19" s="17">
        <f t="shared" si="16"/>
        <v>15.900094280676441</v>
      </c>
      <c r="AO19" s="17">
        <f t="shared" si="16"/>
        <v>15.900094280676441</v>
      </c>
      <c r="AP19" s="17">
        <f t="shared" si="16"/>
        <v>15.900094280676441</v>
      </c>
      <c r="AQ19" s="17">
        <f t="shared" si="16"/>
        <v>15.900094280676441</v>
      </c>
      <c r="AR19" s="17">
        <f t="shared" si="16"/>
        <v>15.900094280676441</v>
      </c>
      <c r="AS19" s="17">
        <f t="shared" si="16"/>
        <v>15.900094280676441</v>
      </c>
      <c r="AT19" s="17">
        <f t="shared" si="16"/>
        <v>15.900094280676441</v>
      </c>
      <c r="AU19" s="17">
        <f t="shared" si="16"/>
        <v>15.900094280676441</v>
      </c>
      <c r="AV19" s="17">
        <f t="shared" si="16"/>
        <v>15.900094280676441</v>
      </c>
      <c r="AW19" s="17">
        <f t="shared" si="16"/>
        <v>15.900094280676441</v>
      </c>
      <c r="AX19" s="17">
        <f t="shared" si="16"/>
        <v>15.900094280676441</v>
      </c>
      <c r="AY19" s="17">
        <f t="shared" si="16"/>
        <v>15.900094280676441</v>
      </c>
      <c r="AZ19" s="17">
        <f t="shared" si="16"/>
        <v>15.900094280676441</v>
      </c>
      <c r="BA19" s="17">
        <f t="shared" si="16"/>
        <v>15.900094280676441</v>
      </c>
      <c r="BB19" s="17">
        <f t="shared" si="16"/>
        <v>15.900094280676441</v>
      </c>
      <c r="BC19" s="17">
        <f t="shared" si="16"/>
        <v>15.900094280676441</v>
      </c>
    </row>
    <row r="20" spans="1:55" x14ac:dyDescent="0.3">
      <c r="A20" t="str">
        <f t="shared" si="0"/>
        <v>LT</v>
      </c>
      <c r="B20" t="s">
        <v>227</v>
      </c>
      <c r="C20" s="4">
        <v>0.75430182999999995</v>
      </c>
      <c r="D20" s="4">
        <v>0.76615503200000001</v>
      </c>
      <c r="E20" s="4">
        <v>0.81243483699999997</v>
      </c>
      <c r="F20" s="4">
        <v>0.80034841099999998</v>
      </c>
      <c r="G20" s="6">
        <f>F20*('Road freight EU Ref'!H19/'Road freight EU Ref'!G19)</f>
        <v>0.82292502938880485</v>
      </c>
      <c r="H20" s="6">
        <f>G20*('Road freight EU Ref'!I19/'Road freight EU Ref'!H19)</f>
        <v>0.84550164777760961</v>
      </c>
      <c r="I20" s="6">
        <f>H20*('Road freight EU Ref'!J19/'Road freight EU Ref'!I19)</f>
        <v>0.86807826616641426</v>
      </c>
      <c r="J20" s="6">
        <f>I20*('Road freight EU Ref'!K19/'Road freight EU Ref'!J19)</f>
        <v>0.8906548845552188</v>
      </c>
      <c r="K20" s="6">
        <f>J20*('Road freight EU Ref'!L19/'Road freight EU Ref'!K19)</f>
        <v>0.90159578048871625</v>
      </c>
      <c r="L20" s="6">
        <f>K20*('Road freight EU Ref'!M19/'Road freight EU Ref'!L19)</f>
        <v>0.9125366764222137</v>
      </c>
      <c r="M20" s="6">
        <f>L20*('Road freight EU Ref'!N19/'Road freight EU Ref'!M19)</f>
        <v>0.92347757235571104</v>
      </c>
      <c r="N20" s="6">
        <f>M20*('Road freight EU Ref'!O19/'Road freight EU Ref'!N19)</f>
        <v>0.93441846828920849</v>
      </c>
      <c r="O20" s="6">
        <f>N20*('Road freight EU Ref'!P19/'Road freight EU Ref'!O19)</f>
        <v>0.94535936422270594</v>
      </c>
      <c r="P20" s="6">
        <f>O20*('Road freight EU Ref'!Q19/'Road freight EU Ref'!P19)</f>
        <v>0.95262687635807153</v>
      </c>
      <c r="Q20" s="6">
        <f>P20*('Road freight EU Ref'!R19/'Road freight EU Ref'!Q19)</f>
        <v>0.95989438849343689</v>
      </c>
      <c r="R20" s="6">
        <f>Q20*('Road freight EU Ref'!S19/'Road freight EU Ref'!R19)</f>
        <v>0.96716190062880247</v>
      </c>
      <c r="S20" s="6">
        <f>R20*('Road freight EU Ref'!T19/'Road freight EU Ref'!S19)</f>
        <v>0.97442941276416795</v>
      </c>
      <c r="T20" s="6">
        <f>S20*('Road freight EU Ref'!U19/'Road freight EU Ref'!T19)</f>
        <v>0.98169692489953342</v>
      </c>
      <c r="U20" s="6">
        <f>T20*('Road freight EU Ref'!V19/'Road freight EU Ref'!U19)</f>
        <v>0.99158484675745895</v>
      </c>
      <c r="V20" s="6">
        <f>U20*('Road freight EU Ref'!W19/'Road freight EU Ref'!V19)</f>
        <v>1.0014727686153846</v>
      </c>
      <c r="W20" s="6">
        <f>V20*('Road freight EU Ref'!X19/'Road freight EU Ref'!W19)</f>
        <v>1.0113606904733101</v>
      </c>
      <c r="X20" s="6">
        <f>W20*('Road freight EU Ref'!Y19/'Road freight EU Ref'!X19)</f>
        <v>1.0212486123312359</v>
      </c>
      <c r="Y20" s="6">
        <f>X20*('Road freight EU Ref'!Z19/'Road freight EU Ref'!Y19)</f>
        <v>1.0311365341891614</v>
      </c>
      <c r="Z20" s="6">
        <f>Y20*('Road freight EU Ref'!AA19/'Road freight EU Ref'!Z19)</f>
        <v>1.0357085729606172</v>
      </c>
      <c r="AA20" s="6">
        <f>Z20*('Road freight EU Ref'!AB19/'Road freight EU Ref'!AA19)</f>
        <v>1.0402806117320731</v>
      </c>
      <c r="AB20" s="6">
        <f>AA20*('Road freight EU Ref'!AC19/'Road freight EU Ref'!AB19)</f>
        <v>1.0448526505035289</v>
      </c>
      <c r="AC20" s="6">
        <f>AB20*('Road freight EU Ref'!AD19/'Road freight EU Ref'!AC19)</f>
        <v>1.0494246892749848</v>
      </c>
      <c r="AD20" s="6">
        <f>AC20*('Road freight EU Ref'!AE19/'Road freight EU Ref'!AD19)</f>
        <v>1.0539967280464404</v>
      </c>
      <c r="AE20" s="6">
        <f>AD20*('Road freight EU Ref'!AF19/'Road freight EU Ref'!AE19)</f>
        <v>1.0582219255050112</v>
      </c>
      <c r="AF20" s="6">
        <f>AE20*('Road freight EU Ref'!AG19/'Road freight EU Ref'!AF19)</f>
        <v>1.0624471229635819</v>
      </c>
      <c r="AG20" s="6">
        <f>AF20*('Road freight EU Ref'!AH19/'Road freight EU Ref'!AG19)</f>
        <v>1.0666723204221524</v>
      </c>
      <c r="AH20" s="6">
        <f>AG20*('Road freight EU Ref'!AI19/'Road freight EU Ref'!AH19)</f>
        <v>1.0708975178807232</v>
      </c>
      <c r="AI20" s="6">
        <f>AH20*('Road freight EU Ref'!AJ19/'Road freight EU Ref'!AI19)</f>
        <v>1.0751227153392935</v>
      </c>
      <c r="AJ20" s="17">
        <f t="shared" ref="AJ20:BC20" si="17">AI20</f>
        <v>1.0751227153392935</v>
      </c>
      <c r="AK20" s="17">
        <f t="shared" si="17"/>
        <v>1.0751227153392935</v>
      </c>
      <c r="AL20" s="17">
        <f t="shared" si="17"/>
        <v>1.0751227153392935</v>
      </c>
      <c r="AM20" s="17">
        <f t="shared" si="17"/>
        <v>1.0751227153392935</v>
      </c>
      <c r="AN20" s="17">
        <f t="shared" si="17"/>
        <v>1.0751227153392935</v>
      </c>
      <c r="AO20" s="17">
        <f t="shared" si="17"/>
        <v>1.0751227153392935</v>
      </c>
      <c r="AP20" s="17">
        <f t="shared" si="17"/>
        <v>1.0751227153392935</v>
      </c>
      <c r="AQ20" s="17">
        <f t="shared" si="17"/>
        <v>1.0751227153392935</v>
      </c>
      <c r="AR20" s="17">
        <f t="shared" si="17"/>
        <v>1.0751227153392935</v>
      </c>
      <c r="AS20" s="17">
        <f t="shared" si="17"/>
        <v>1.0751227153392935</v>
      </c>
      <c r="AT20" s="17">
        <f t="shared" si="17"/>
        <v>1.0751227153392935</v>
      </c>
      <c r="AU20" s="17">
        <f t="shared" si="17"/>
        <v>1.0751227153392935</v>
      </c>
      <c r="AV20" s="17">
        <f t="shared" si="17"/>
        <v>1.0751227153392935</v>
      </c>
      <c r="AW20" s="17">
        <f t="shared" si="17"/>
        <v>1.0751227153392935</v>
      </c>
      <c r="AX20" s="17">
        <f t="shared" si="17"/>
        <v>1.0751227153392935</v>
      </c>
      <c r="AY20" s="17">
        <f t="shared" si="17"/>
        <v>1.0751227153392935</v>
      </c>
      <c r="AZ20" s="17">
        <f t="shared" si="17"/>
        <v>1.0751227153392935</v>
      </c>
      <c r="BA20" s="17">
        <f t="shared" si="17"/>
        <v>1.0751227153392935</v>
      </c>
      <c r="BB20" s="17">
        <f t="shared" si="17"/>
        <v>1.0751227153392935</v>
      </c>
      <c r="BC20" s="17">
        <f t="shared" si="17"/>
        <v>1.0751227153392935</v>
      </c>
    </row>
    <row r="21" spans="1:55" x14ac:dyDescent="0.3">
      <c r="A21" t="str">
        <f t="shared" si="0"/>
        <v>LU</v>
      </c>
      <c r="B21" t="s">
        <v>228</v>
      </c>
      <c r="C21" s="4">
        <v>0.20368884900000001</v>
      </c>
      <c r="D21" s="4">
        <v>0.206046384</v>
      </c>
      <c r="E21" s="4">
        <v>0.186345127</v>
      </c>
      <c r="F21" s="4">
        <v>0.209716931</v>
      </c>
      <c r="G21" s="6">
        <f>F21*('Road freight EU Ref'!H20/'Road freight EU Ref'!G20)</f>
        <v>0.22084860470350487</v>
      </c>
      <c r="H21" s="6">
        <f>G21*('Road freight EU Ref'!I20/'Road freight EU Ref'!H20)</f>
        <v>0.23198027840700972</v>
      </c>
      <c r="I21" s="6">
        <f>H21*('Road freight EU Ref'!J20/'Road freight EU Ref'!I20)</f>
        <v>0.24311195211051459</v>
      </c>
      <c r="J21" s="6">
        <f>I21*('Road freight EU Ref'!K20/'Road freight EU Ref'!J20)</f>
        <v>0.25424362581401949</v>
      </c>
      <c r="K21" s="6">
        <f>J21*('Road freight EU Ref'!L20/'Road freight EU Ref'!K20)</f>
        <v>0.26204073453333093</v>
      </c>
      <c r="L21" s="6">
        <f>K21*('Road freight EU Ref'!M20/'Road freight EU Ref'!L20)</f>
        <v>0.26983784325264243</v>
      </c>
      <c r="M21" s="6">
        <f>L21*('Road freight EU Ref'!N20/'Road freight EU Ref'!M20)</f>
        <v>0.27763495197195392</v>
      </c>
      <c r="N21" s="6">
        <f>M21*('Road freight EU Ref'!O20/'Road freight EU Ref'!N20)</f>
        <v>0.28543206069126542</v>
      </c>
      <c r="O21" s="6">
        <f>N21*('Road freight EU Ref'!P20/'Road freight EU Ref'!O20)</f>
        <v>0.29322916941057692</v>
      </c>
      <c r="P21" s="6">
        <f>O21*('Road freight EU Ref'!Q20/'Road freight EU Ref'!P20)</f>
        <v>0.29631388508432549</v>
      </c>
      <c r="Q21" s="6">
        <f>P21*('Road freight EU Ref'!R20/'Road freight EU Ref'!Q20)</f>
        <v>0.29939860075807406</v>
      </c>
      <c r="R21" s="6">
        <f>Q21*('Road freight EU Ref'!S20/'Road freight EU Ref'!R20)</f>
        <v>0.30248331643182264</v>
      </c>
      <c r="S21" s="6">
        <f>R21*('Road freight EU Ref'!T20/'Road freight EU Ref'!S20)</f>
        <v>0.30556803210557121</v>
      </c>
      <c r="T21" s="6">
        <f>S21*('Road freight EU Ref'!U20/'Road freight EU Ref'!T20)</f>
        <v>0.30865274777931989</v>
      </c>
      <c r="U21" s="6">
        <f>T21*('Road freight EU Ref'!V20/'Road freight EU Ref'!U20)</f>
        <v>0.31172903617611392</v>
      </c>
      <c r="V21" s="6">
        <f>U21*('Road freight EU Ref'!W20/'Road freight EU Ref'!V20)</f>
        <v>0.31480532457290794</v>
      </c>
      <c r="W21" s="6">
        <f>V21*('Road freight EU Ref'!X20/'Road freight EU Ref'!W20)</f>
        <v>0.31788161296970197</v>
      </c>
      <c r="X21" s="6">
        <f>W21*('Road freight EU Ref'!Y20/'Road freight EU Ref'!X20)</f>
        <v>0.32095790136649599</v>
      </c>
      <c r="Y21" s="6">
        <f>X21*('Road freight EU Ref'!Z20/'Road freight EU Ref'!Y20)</f>
        <v>0.32403418976329007</v>
      </c>
      <c r="Z21" s="6">
        <f>Y21*('Road freight EU Ref'!AA20/'Road freight EU Ref'!Z20)</f>
        <v>0.32659086340102911</v>
      </c>
      <c r="AA21" s="6">
        <f>Z21*('Road freight EU Ref'!AB20/'Road freight EU Ref'!AA20)</f>
        <v>0.3291475370387682</v>
      </c>
      <c r="AB21" s="6">
        <f>AA21*('Road freight EU Ref'!AC20/'Road freight EU Ref'!AB20)</f>
        <v>0.33170421067650724</v>
      </c>
      <c r="AC21" s="6">
        <f>AB21*('Road freight EU Ref'!AD20/'Road freight EU Ref'!AC20)</f>
        <v>0.33426088431424633</v>
      </c>
      <c r="AD21" s="6">
        <f>AC21*('Road freight EU Ref'!AE20/'Road freight EU Ref'!AD20)</f>
        <v>0.33681755795198526</v>
      </c>
      <c r="AE21" s="6">
        <f>AD21*('Road freight EU Ref'!AF20/'Road freight EU Ref'!AE20)</f>
        <v>0.33953745117901718</v>
      </c>
      <c r="AF21" s="6">
        <f>AE21*('Road freight EU Ref'!AG20/'Road freight EU Ref'!AF20)</f>
        <v>0.3422573444060491</v>
      </c>
      <c r="AG21" s="6">
        <f>AF21*('Road freight EU Ref'!AH20/'Road freight EU Ref'!AG20)</f>
        <v>0.34497723763308102</v>
      </c>
      <c r="AH21" s="6">
        <f>AG21*('Road freight EU Ref'!AI20/'Road freight EU Ref'!AH20)</f>
        <v>0.34769713086011295</v>
      </c>
      <c r="AI21" s="6">
        <f>AH21*('Road freight EU Ref'!AJ20/'Road freight EU Ref'!AI20)</f>
        <v>0.35041702408714503</v>
      </c>
      <c r="AJ21" s="17">
        <f t="shared" ref="AJ21:BC21" si="18">AI21</f>
        <v>0.35041702408714503</v>
      </c>
      <c r="AK21" s="17">
        <f t="shared" si="18"/>
        <v>0.35041702408714503</v>
      </c>
      <c r="AL21" s="17">
        <f t="shared" si="18"/>
        <v>0.35041702408714503</v>
      </c>
      <c r="AM21" s="17">
        <f t="shared" si="18"/>
        <v>0.35041702408714503</v>
      </c>
      <c r="AN21" s="17">
        <f t="shared" si="18"/>
        <v>0.35041702408714503</v>
      </c>
      <c r="AO21" s="17">
        <f t="shared" si="18"/>
        <v>0.35041702408714503</v>
      </c>
      <c r="AP21" s="17">
        <f t="shared" si="18"/>
        <v>0.35041702408714503</v>
      </c>
      <c r="AQ21" s="17">
        <f t="shared" si="18"/>
        <v>0.35041702408714503</v>
      </c>
      <c r="AR21" s="17">
        <f t="shared" si="18"/>
        <v>0.35041702408714503</v>
      </c>
      <c r="AS21" s="17">
        <f t="shared" si="18"/>
        <v>0.35041702408714503</v>
      </c>
      <c r="AT21" s="17">
        <f t="shared" si="18"/>
        <v>0.35041702408714503</v>
      </c>
      <c r="AU21" s="17">
        <f t="shared" si="18"/>
        <v>0.35041702408714503</v>
      </c>
      <c r="AV21" s="17">
        <f t="shared" si="18"/>
        <v>0.35041702408714503</v>
      </c>
      <c r="AW21" s="17">
        <f t="shared" si="18"/>
        <v>0.35041702408714503</v>
      </c>
      <c r="AX21" s="17">
        <f t="shared" si="18"/>
        <v>0.35041702408714503</v>
      </c>
      <c r="AY21" s="17">
        <f t="shared" si="18"/>
        <v>0.35041702408714503</v>
      </c>
      <c r="AZ21" s="17">
        <f t="shared" si="18"/>
        <v>0.35041702408714503</v>
      </c>
      <c r="BA21" s="17">
        <f t="shared" si="18"/>
        <v>0.35041702408714503</v>
      </c>
      <c r="BB21" s="17">
        <f t="shared" si="18"/>
        <v>0.35041702408714503</v>
      </c>
      <c r="BC21" s="17">
        <f t="shared" si="18"/>
        <v>0.35041702408714503</v>
      </c>
    </row>
    <row r="22" spans="1:55" x14ac:dyDescent="0.3">
      <c r="A22" t="str">
        <f t="shared" si="0"/>
        <v>LV</v>
      </c>
      <c r="B22" t="s">
        <v>226</v>
      </c>
      <c r="C22" s="4">
        <v>0.53638940899999998</v>
      </c>
      <c r="D22" s="4">
        <v>0.52509270699999999</v>
      </c>
      <c r="E22" s="4">
        <v>0.56120247400000001</v>
      </c>
      <c r="F22" s="4">
        <v>0.60258334599999996</v>
      </c>
      <c r="G22" s="6">
        <f>F22*('Road freight EU Ref'!H21/'Road freight EU Ref'!G21)</f>
        <v>0.61926688777886552</v>
      </c>
      <c r="H22" s="6">
        <f>G22*('Road freight EU Ref'!I21/'Road freight EU Ref'!H21)</f>
        <v>0.63595042955773118</v>
      </c>
      <c r="I22" s="6">
        <f>H22*('Road freight EU Ref'!J21/'Road freight EU Ref'!I21)</f>
        <v>0.65263397133659673</v>
      </c>
      <c r="J22" s="6">
        <f>I22*('Road freight EU Ref'!K21/'Road freight EU Ref'!J21)</f>
        <v>0.6693175131154625</v>
      </c>
      <c r="K22" s="6">
        <f>J22*('Road freight EU Ref'!L21/'Road freight EU Ref'!K21)</f>
        <v>0.67815238993504834</v>
      </c>
      <c r="L22" s="6">
        <f>K22*('Road freight EU Ref'!M21/'Road freight EU Ref'!L21)</f>
        <v>0.68698726675463417</v>
      </c>
      <c r="M22" s="6">
        <f>L22*('Road freight EU Ref'!N21/'Road freight EU Ref'!M21)</f>
        <v>0.69582214357422001</v>
      </c>
      <c r="N22" s="6">
        <f>M22*('Road freight EU Ref'!O21/'Road freight EU Ref'!N21)</f>
        <v>0.70465702039380573</v>
      </c>
      <c r="O22" s="6">
        <f>N22*('Road freight EU Ref'!P21/'Road freight EU Ref'!O21)</f>
        <v>0.71349189721339135</v>
      </c>
      <c r="P22" s="6">
        <f>O22*('Road freight EU Ref'!Q21/'Road freight EU Ref'!P21)</f>
        <v>0.72170327927752553</v>
      </c>
      <c r="Q22" s="6">
        <f>P22*('Road freight EU Ref'!R21/'Road freight EU Ref'!Q21)</f>
        <v>0.72991466134165972</v>
      </c>
      <c r="R22" s="6">
        <f>Q22*('Road freight EU Ref'!S21/'Road freight EU Ref'!R21)</f>
        <v>0.73812604340579402</v>
      </c>
      <c r="S22" s="6">
        <f>R22*('Road freight EU Ref'!T21/'Road freight EU Ref'!S21)</f>
        <v>0.74633742546992832</v>
      </c>
      <c r="T22" s="6">
        <f>S22*('Road freight EU Ref'!U21/'Road freight EU Ref'!T21)</f>
        <v>0.7545488075340625</v>
      </c>
      <c r="U22" s="6">
        <f>T22*('Road freight EU Ref'!V21/'Road freight EU Ref'!U21)</f>
        <v>0.76266960036020404</v>
      </c>
      <c r="V22" s="6">
        <f>U22*('Road freight EU Ref'!W21/'Road freight EU Ref'!V21)</f>
        <v>0.77079039318634568</v>
      </c>
      <c r="W22" s="6">
        <f>V22*('Road freight EU Ref'!X21/'Road freight EU Ref'!W21)</f>
        <v>0.77891118601248721</v>
      </c>
      <c r="X22" s="6">
        <f>W22*('Road freight EU Ref'!Y21/'Road freight EU Ref'!X21)</f>
        <v>0.78703197883862874</v>
      </c>
      <c r="Y22" s="6">
        <f>X22*('Road freight EU Ref'!Z21/'Road freight EU Ref'!Y21)</f>
        <v>0.79515277166477027</v>
      </c>
      <c r="Z22" s="6">
        <f>Y22*('Road freight EU Ref'!AA21/'Road freight EU Ref'!Z21)</f>
        <v>0.79624758244678151</v>
      </c>
      <c r="AA22" s="6">
        <f>Z22*('Road freight EU Ref'!AB21/'Road freight EU Ref'!AA21)</f>
        <v>0.79734239322879275</v>
      </c>
      <c r="AB22" s="6">
        <f>AA22*('Road freight EU Ref'!AC21/'Road freight EU Ref'!AB21)</f>
        <v>0.79843720401080398</v>
      </c>
      <c r="AC22" s="6">
        <f>AB22*('Road freight EU Ref'!AD21/'Road freight EU Ref'!AC21)</f>
        <v>0.79953201479281522</v>
      </c>
      <c r="AD22" s="6">
        <f>AC22*('Road freight EU Ref'!AE21/'Road freight EU Ref'!AD21)</f>
        <v>0.80062682557482645</v>
      </c>
      <c r="AE22" s="6">
        <f>AD22*('Road freight EU Ref'!AF21/'Road freight EU Ref'!AE21)</f>
        <v>0.80124170280761431</v>
      </c>
      <c r="AF22" s="6">
        <f>AE22*('Road freight EU Ref'!AG21/'Road freight EU Ref'!AF21)</f>
        <v>0.80185658004040228</v>
      </c>
      <c r="AG22" s="6">
        <f>AF22*('Road freight EU Ref'!AH21/'Road freight EU Ref'!AG21)</f>
        <v>0.80247145727319014</v>
      </c>
      <c r="AH22" s="6">
        <f>AG22*('Road freight EU Ref'!AI21/'Road freight EU Ref'!AH21)</f>
        <v>0.80308633450597799</v>
      </c>
      <c r="AI22" s="6">
        <f>AH22*('Road freight EU Ref'!AJ21/'Road freight EU Ref'!AI21)</f>
        <v>0.80370121173876596</v>
      </c>
      <c r="AJ22" s="17">
        <f t="shared" ref="AJ22:BC22" si="19">AI22</f>
        <v>0.80370121173876596</v>
      </c>
      <c r="AK22" s="17">
        <f t="shared" si="19"/>
        <v>0.80370121173876596</v>
      </c>
      <c r="AL22" s="17">
        <f t="shared" si="19"/>
        <v>0.80370121173876596</v>
      </c>
      <c r="AM22" s="17">
        <f t="shared" si="19"/>
        <v>0.80370121173876596</v>
      </c>
      <c r="AN22" s="17">
        <f t="shared" si="19"/>
        <v>0.80370121173876596</v>
      </c>
      <c r="AO22" s="17">
        <f t="shared" si="19"/>
        <v>0.80370121173876596</v>
      </c>
      <c r="AP22" s="17">
        <f t="shared" si="19"/>
        <v>0.80370121173876596</v>
      </c>
      <c r="AQ22" s="17">
        <f t="shared" si="19"/>
        <v>0.80370121173876596</v>
      </c>
      <c r="AR22" s="17">
        <f t="shared" si="19"/>
        <v>0.80370121173876596</v>
      </c>
      <c r="AS22" s="17">
        <f t="shared" si="19"/>
        <v>0.80370121173876596</v>
      </c>
      <c r="AT22" s="17">
        <f t="shared" si="19"/>
        <v>0.80370121173876596</v>
      </c>
      <c r="AU22" s="17">
        <f t="shared" si="19"/>
        <v>0.80370121173876596</v>
      </c>
      <c r="AV22" s="17">
        <f t="shared" si="19"/>
        <v>0.80370121173876596</v>
      </c>
      <c r="AW22" s="17">
        <f t="shared" si="19"/>
        <v>0.80370121173876596</v>
      </c>
      <c r="AX22" s="17">
        <f t="shared" si="19"/>
        <v>0.80370121173876596</v>
      </c>
      <c r="AY22" s="17">
        <f t="shared" si="19"/>
        <v>0.80370121173876596</v>
      </c>
      <c r="AZ22" s="17">
        <f t="shared" si="19"/>
        <v>0.80370121173876596</v>
      </c>
      <c r="BA22" s="17">
        <f t="shared" si="19"/>
        <v>0.80370121173876596</v>
      </c>
      <c r="BB22" s="17">
        <f t="shared" si="19"/>
        <v>0.80370121173876596</v>
      </c>
      <c r="BC22" s="17">
        <f t="shared" si="19"/>
        <v>0.80370121173876596</v>
      </c>
    </row>
    <row r="23" spans="1:55" x14ac:dyDescent="0.3">
      <c r="A23" t="str">
        <f t="shared" si="0"/>
        <v>MT</v>
      </c>
      <c r="B23" t="s">
        <v>230</v>
      </c>
      <c r="C23" s="4">
        <v>0.10862145099999999</v>
      </c>
      <c r="D23" s="4">
        <v>0.11209698799999999</v>
      </c>
      <c r="E23" s="4">
        <v>0.11209698799999999</v>
      </c>
      <c r="F23" s="4">
        <v>0.11209698799999999</v>
      </c>
      <c r="G23" s="6">
        <f>F23*('Road freight EU Ref'!H22/'Road freight EU Ref'!G22)</f>
        <v>0.11648460519471047</v>
      </c>
      <c r="H23" s="6">
        <f>G23*('Road freight EU Ref'!I22/'Road freight EU Ref'!H22)</f>
        <v>0.12087222238942094</v>
      </c>
      <c r="I23" s="6">
        <f>H23*('Road freight EU Ref'!J22/'Road freight EU Ref'!I22)</f>
        <v>0.12525983958413142</v>
      </c>
      <c r="J23" s="6">
        <f>I23*('Road freight EU Ref'!K22/'Road freight EU Ref'!J22)</f>
        <v>0.12964745677884187</v>
      </c>
      <c r="K23" s="6">
        <f>J23*('Road freight EU Ref'!L22/'Road freight EU Ref'!K22)</f>
        <v>0.13459785826177362</v>
      </c>
      <c r="L23" s="6">
        <f>K23*('Road freight EU Ref'!M22/'Road freight EU Ref'!L22)</f>
        <v>0.13954825974470536</v>
      </c>
      <c r="M23" s="6">
        <f>L23*('Road freight EU Ref'!N22/'Road freight EU Ref'!M22)</f>
        <v>0.1444986612276371</v>
      </c>
      <c r="N23" s="6">
        <f>M23*('Road freight EU Ref'!O22/'Road freight EU Ref'!N22)</f>
        <v>0.14944906271056885</v>
      </c>
      <c r="O23" s="6">
        <f>N23*('Road freight EU Ref'!P22/'Road freight EU Ref'!O22)</f>
        <v>0.15439946419350062</v>
      </c>
      <c r="P23" s="6">
        <f>O23*('Road freight EU Ref'!Q22/'Road freight EU Ref'!P22)</f>
        <v>0.15744689608042028</v>
      </c>
      <c r="Q23" s="6">
        <f>P23*('Road freight EU Ref'!R22/'Road freight EU Ref'!Q22)</f>
        <v>0.16049432796733995</v>
      </c>
      <c r="R23" s="6">
        <f>Q23*('Road freight EU Ref'!S22/'Road freight EU Ref'!R22)</f>
        <v>0.16354175985425962</v>
      </c>
      <c r="S23" s="6">
        <f>R23*('Road freight EU Ref'!T22/'Road freight EU Ref'!S22)</f>
        <v>0.16658919174117931</v>
      </c>
      <c r="T23" s="6">
        <f>S23*('Road freight EU Ref'!U22/'Road freight EU Ref'!T22)</f>
        <v>0.169636623628099</v>
      </c>
      <c r="U23" s="6">
        <f>T23*('Road freight EU Ref'!V22/'Road freight EU Ref'!U22)</f>
        <v>0.172410897282503</v>
      </c>
      <c r="V23" s="6">
        <f>U23*('Road freight EU Ref'!W22/'Road freight EU Ref'!V22)</f>
        <v>0.17518517093690697</v>
      </c>
      <c r="W23" s="6">
        <f>V23*('Road freight EU Ref'!X22/'Road freight EU Ref'!W22)</f>
        <v>0.17795944459131094</v>
      </c>
      <c r="X23" s="6">
        <f>W23*('Road freight EU Ref'!Y22/'Road freight EU Ref'!X22)</f>
        <v>0.18073371824571491</v>
      </c>
      <c r="Y23" s="6">
        <f>X23*('Road freight EU Ref'!Z22/'Road freight EU Ref'!Y22)</f>
        <v>0.18350799190011891</v>
      </c>
      <c r="Z23" s="6">
        <f>Y23*('Road freight EU Ref'!AA22/'Road freight EU Ref'!Z22)</f>
        <v>0.18544375802070234</v>
      </c>
      <c r="AA23" s="6">
        <f>Z23*('Road freight EU Ref'!AB22/'Road freight EU Ref'!AA22)</f>
        <v>0.18737952414128578</v>
      </c>
      <c r="AB23" s="6">
        <f>AA23*('Road freight EU Ref'!AC22/'Road freight EU Ref'!AB22)</f>
        <v>0.18931529026186919</v>
      </c>
      <c r="AC23" s="6">
        <f>AB23*('Road freight EU Ref'!AD22/'Road freight EU Ref'!AC22)</f>
        <v>0.19125105638245263</v>
      </c>
      <c r="AD23" s="6">
        <f>AC23*('Road freight EU Ref'!AE22/'Road freight EU Ref'!AD22)</f>
        <v>0.19318682250303601</v>
      </c>
      <c r="AE23" s="6">
        <f>AD23*('Road freight EU Ref'!AF22/'Road freight EU Ref'!AE22)</f>
        <v>0.19511192867184732</v>
      </c>
      <c r="AF23" s="6">
        <f>AE23*('Road freight EU Ref'!AG22/'Road freight EU Ref'!AF22)</f>
        <v>0.19703703484065865</v>
      </c>
      <c r="AG23" s="6">
        <f>AF23*('Road freight EU Ref'!AH22/'Road freight EU Ref'!AG22)</f>
        <v>0.19896214100946996</v>
      </c>
      <c r="AH23" s="6">
        <f>AG23*('Road freight EU Ref'!AI22/'Road freight EU Ref'!AH22)</f>
        <v>0.2008872471782813</v>
      </c>
      <c r="AI23" s="6">
        <f>AH23*('Road freight EU Ref'!AJ22/'Road freight EU Ref'!AI22)</f>
        <v>0.20281235334709266</v>
      </c>
      <c r="AJ23" s="17">
        <f t="shared" ref="AJ23:BC23" si="20">AI23</f>
        <v>0.20281235334709266</v>
      </c>
      <c r="AK23" s="17">
        <f t="shared" si="20"/>
        <v>0.20281235334709266</v>
      </c>
      <c r="AL23" s="17">
        <f t="shared" si="20"/>
        <v>0.20281235334709266</v>
      </c>
      <c r="AM23" s="17">
        <f t="shared" si="20"/>
        <v>0.20281235334709266</v>
      </c>
      <c r="AN23" s="17">
        <f t="shared" si="20"/>
        <v>0.20281235334709266</v>
      </c>
      <c r="AO23" s="17">
        <f t="shared" si="20"/>
        <v>0.20281235334709266</v>
      </c>
      <c r="AP23" s="17">
        <f t="shared" si="20"/>
        <v>0.20281235334709266</v>
      </c>
      <c r="AQ23" s="17">
        <f t="shared" si="20"/>
        <v>0.20281235334709266</v>
      </c>
      <c r="AR23" s="17">
        <f t="shared" si="20"/>
        <v>0.20281235334709266</v>
      </c>
      <c r="AS23" s="17">
        <f t="shared" si="20"/>
        <v>0.20281235334709266</v>
      </c>
      <c r="AT23" s="17">
        <f t="shared" si="20"/>
        <v>0.20281235334709266</v>
      </c>
      <c r="AU23" s="17">
        <f t="shared" si="20"/>
        <v>0.20281235334709266</v>
      </c>
      <c r="AV23" s="17">
        <f t="shared" si="20"/>
        <v>0.20281235334709266</v>
      </c>
      <c r="AW23" s="17">
        <f t="shared" si="20"/>
        <v>0.20281235334709266</v>
      </c>
      <c r="AX23" s="17">
        <f t="shared" si="20"/>
        <v>0.20281235334709266</v>
      </c>
      <c r="AY23" s="17">
        <f t="shared" si="20"/>
        <v>0.20281235334709266</v>
      </c>
      <c r="AZ23" s="17">
        <f t="shared" si="20"/>
        <v>0.20281235334709266</v>
      </c>
      <c r="BA23" s="17">
        <f t="shared" si="20"/>
        <v>0.20281235334709266</v>
      </c>
      <c r="BB23" s="17">
        <f t="shared" si="20"/>
        <v>0.20281235334709266</v>
      </c>
      <c r="BC23" s="17">
        <f t="shared" si="20"/>
        <v>0.20281235334709266</v>
      </c>
    </row>
    <row r="24" spans="1:55" x14ac:dyDescent="0.3">
      <c r="A24" t="str">
        <f t="shared" si="0"/>
        <v>NL</v>
      </c>
      <c r="B24" t="s">
        <v>231</v>
      </c>
      <c r="C24" s="4">
        <v>5.7601702350000004</v>
      </c>
      <c r="D24" s="4">
        <v>5.9083743100000001</v>
      </c>
      <c r="E24" s="4">
        <v>6.0853453689999997</v>
      </c>
      <c r="F24" s="4">
        <v>6.2437851789999996</v>
      </c>
      <c r="G24" s="6">
        <f>F24*('Road freight EU Ref'!H23/'Road freight EU Ref'!G23)</f>
        <v>6.3932814142740826</v>
      </c>
      <c r="H24" s="6">
        <f>G24*('Road freight EU Ref'!I23/'Road freight EU Ref'!H23)</f>
        <v>6.5427776495481655</v>
      </c>
      <c r="I24" s="6">
        <f>H24*('Road freight EU Ref'!J23/'Road freight EU Ref'!I23)</f>
        <v>6.6922738848222485</v>
      </c>
      <c r="J24" s="6">
        <f>I24*('Road freight EU Ref'!K23/'Road freight EU Ref'!J23)</f>
        <v>6.8417701200963323</v>
      </c>
      <c r="K24" s="6">
        <f>J24*('Road freight EU Ref'!L23/'Road freight EU Ref'!K23)</f>
        <v>6.9466828640167266</v>
      </c>
      <c r="L24" s="6">
        <f>K24*('Road freight EU Ref'!M23/'Road freight EU Ref'!L23)</f>
        <v>7.0515956079371218</v>
      </c>
      <c r="M24" s="6">
        <f>L24*('Road freight EU Ref'!N23/'Road freight EU Ref'!M23)</f>
        <v>7.1565083518575161</v>
      </c>
      <c r="N24" s="6">
        <f>M24*('Road freight EU Ref'!O23/'Road freight EU Ref'!N23)</f>
        <v>7.2614210957779113</v>
      </c>
      <c r="O24" s="6">
        <f>N24*('Road freight EU Ref'!P23/'Road freight EU Ref'!O23)</f>
        <v>7.3663338396983047</v>
      </c>
      <c r="P24" s="6">
        <f>O24*('Road freight EU Ref'!Q23/'Road freight EU Ref'!P23)</f>
        <v>7.4025375714171364</v>
      </c>
      <c r="Q24" s="6">
        <f>P24*('Road freight EU Ref'!R23/'Road freight EU Ref'!Q23)</f>
        <v>7.4387413031359673</v>
      </c>
      <c r="R24" s="6">
        <f>Q24*('Road freight EU Ref'!S23/'Road freight EU Ref'!R23)</f>
        <v>7.4749450348547999</v>
      </c>
      <c r="S24" s="6">
        <f>R24*('Road freight EU Ref'!T23/'Road freight EU Ref'!S23)</f>
        <v>7.5111487665736307</v>
      </c>
      <c r="T24" s="6">
        <f>S24*('Road freight EU Ref'!U23/'Road freight EU Ref'!T23)</f>
        <v>7.5473524982924598</v>
      </c>
      <c r="U24" s="6">
        <f>T24*('Road freight EU Ref'!V23/'Road freight EU Ref'!U23)</f>
        <v>7.5883614897053713</v>
      </c>
      <c r="V24" s="6">
        <f>U24*('Road freight EU Ref'!W23/'Road freight EU Ref'!V23)</f>
        <v>7.6293704811182828</v>
      </c>
      <c r="W24" s="6">
        <f>V24*('Road freight EU Ref'!X23/'Road freight EU Ref'!W23)</f>
        <v>7.6703794725311942</v>
      </c>
      <c r="X24" s="6">
        <f>W24*('Road freight EU Ref'!Y23/'Road freight EU Ref'!X23)</f>
        <v>7.7113884639441057</v>
      </c>
      <c r="Y24" s="6">
        <f>X24*('Road freight EU Ref'!Z23/'Road freight EU Ref'!Y23)</f>
        <v>7.7523974553570136</v>
      </c>
      <c r="Z24" s="6">
        <f>Y24*('Road freight EU Ref'!AA23/'Road freight EU Ref'!Z23)</f>
        <v>7.8002883223133717</v>
      </c>
      <c r="AA24" s="6">
        <f>Z24*('Road freight EU Ref'!AB23/'Road freight EU Ref'!AA23)</f>
        <v>7.8481791892697288</v>
      </c>
      <c r="AB24" s="6">
        <f>AA24*('Road freight EU Ref'!AC23/'Road freight EU Ref'!AB23)</f>
        <v>7.8960700562260859</v>
      </c>
      <c r="AC24" s="6">
        <f>AB24*('Road freight EU Ref'!AD23/'Road freight EU Ref'!AC23)</f>
        <v>7.9439609231824431</v>
      </c>
      <c r="AD24" s="6">
        <f>AC24*('Road freight EU Ref'!AE23/'Road freight EU Ref'!AD23)</f>
        <v>7.9918517901387967</v>
      </c>
      <c r="AE24" s="6">
        <f>AD24*('Road freight EU Ref'!AF23/'Road freight EU Ref'!AE23)</f>
        <v>8.0375053293675549</v>
      </c>
      <c r="AF24" s="6">
        <f>AE24*('Road freight EU Ref'!AG23/'Road freight EU Ref'!AF23)</f>
        <v>8.0831588685963123</v>
      </c>
      <c r="AG24" s="6">
        <f>AF24*('Road freight EU Ref'!AH23/'Road freight EU Ref'!AG23)</f>
        <v>8.1288124078250696</v>
      </c>
      <c r="AH24" s="6">
        <f>AG24*('Road freight EU Ref'!AI23/'Road freight EU Ref'!AH23)</f>
        <v>8.174465947053827</v>
      </c>
      <c r="AI24" s="6">
        <f>AH24*('Road freight EU Ref'!AJ23/'Road freight EU Ref'!AI23)</f>
        <v>8.2201194862825844</v>
      </c>
      <c r="AJ24" s="17">
        <f t="shared" ref="AJ24:BC24" si="21">AI24</f>
        <v>8.2201194862825844</v>
      </c>
      <c r="AK24" s="17">
        <f t="shared" si="21"/>
        <v>8.2201194862825844</v>
      </c>
      <c r="AL24" s="17">
        <f t="shared" si="21"/>
        <v>8.2201194862825844</v>
      </c>
      <c r="AM24" s="17">
        <f t="shared" si="21"/>
        <v>8.2201194862825844</v>
      </c>
      <c r="AN24" s="17">
        <f t="shared" si="21"/>
        <v>8.2201194862825844</v>
      </c>
      <c r="AO24" s="17">
        <f t="shared" si="21"/>
        <v>8.2201194862825844</v>
      </c>
      <c r="AP24" s="17">
        <f t="shared" si="21"/>
        <v>8.2201194862825844</v>
      </c>
      <c r="AQ24" s="17">
        <f t="shared" si="21"/>
        <v>8.2201194862825844</v>
      </c>
      <c r="AR24" s="17">
        <f t="shared" si="21"/>
        <v>8.2201194862825844</v>
      </c>
      <c r="AS24" s="17">
        <f t="shared" si="21"/>
        <v>8.2201194862825844</v>
      </c>
      <c r="AT24" s="17">
        <f t="shared" si="21"/>
        <v>8.2201194862825844</v>
      </c>
      <c r="AU24" s="17">
        <f t="shared" si="21"/>
        <v>8.2201194862825844</v>
      </c>
      <c r="AV24" s="17">
        <f t="shared" si="21"/>
        <v>8.2201194862825844</v>
      </c>
      <c r="AW24" s="17">
        <f t="shared" si="21"/>
        <v>8.2201194862825844</v>
      </c>
      <c r="AX24" s="17">
        <f t="shared" si="21"/>
        <v>8.2201194862825844</v>
      </c>
      <c r="AY24" s="17">
        <f t="shared" si="21"/>
        <v>8.2201194862825844</v>
      </c>
      <c r="AZ24" s="17">
        <f t="shared" si="21"/>
        <v>8.2201194862825844</v>
      </c>
      <c r="BA24" s="17">
        <f t="shared" si="21"/>
        <v>8.2201194862825844</v>
      </c>
      <c r="BB24" s="17">
        <f t="shared" si="21"/>
        <v>8.2201194862825844</v>
      </c>
      <c r="BC24" s="17">
        <f t="shared" si="21"/>
        <v>8.2201194862825844</v>
      </c>
    </row>
    <row r="25" spans="1:55" x14ac:dyDescent="0.3">
      <c r="A25" t="str">
        <f t="shared" si="0"/>
        <v>PL</v>
      </c>
      <c r="B25" t="s">
        <v>232</v>
      </c>
      <c r="C25" s="4">
        <v>16.54861309</v>
      </c>
      <c r="D25" s="4">
        <v>16.911174540000001</v>
      </c>
      <c r="E25" s="4">
        <v>17.36674245</v>
      </c>
      <c r="F25" s="4">
        <v>18.55972384</v>
      </c>
      <c r="G25" s="6">
        <f>F25*('Road freight EU Ref'!H24/'Road freight EU Ref'!G24)</f>
        <v>19.290319884240223</v>
      </c>
      <c r="H25" s="6">
        <f>G25*('Road freight EU Ref'!I24/'Road freight EU Ref'!H24)</f>
        <v>20.020915928480445</v>
      </c>
      <c r="I25" s="6">
        <f>H25*('Road freight EU Ref'!J24/'Road freight EU Ref'!I24)</f>
        <v>20.751511972720664</v>
      </c>
      <c r="J25" s="6">
        <f>I25*('Road freight EU Ref'!K24/'Road freight EU Ref'!J24)</f>
        <v>21.482108016960883</v>
      </c>
      <c r="K25" s="6">
        <f>J25*('Road freight EU Ref'!L24/'Road freight EU Ref'!K24)</f>
        <v>22.119867664861633</v>
      </c>
      <c r="L25" s="6">
        <f>K25*('Road freight EU Ref'!M24/'Road freight EU Ref'!L24)</f>
        <v>22.757627312762381</v>
      </c>
      <c r="M25" s="6">
        <f>L25*('Road freight EU Ref'!N24/'Road freight EU Ref'!M24)</f>
        <v>23.395386960663128</v>
      </c>
      <c r="N25" s="6">
        <f>M25*('Road freight EU Ref'!O24/'Road freight EU Ref'!N24)</f>
        <v>24.033146608563879</v>
      </c>
      <c r="O25" s="6">
        <f>N25*('Road freight EU Ref'!P24/'Road freight EU Ref'!O24)</f>
        <v>24.670906256464633</v>
      </c>
      <c r="P25" s="6">
        <f>O25*('Road freight EU Ref'!Q24/'Road freight EU Ref'!P24)</f>
        <v>25.113134898288401</v>
      </c>
      <c r="Q25" s="6">
        <f>P25*('Road freight EU Ref'!R24/'Road freight EU Ref'!Q24)</f>
        <v>25.555363540112165</v>
      </c>
      <c r="R25" s="6">
        <f>Q25*('Road freight EU Ref'!S24/'Road freight EU Ref'!R24)</f>
        <v>25.997592181935932</v>
      </c>
      <c r="S25" s="6">
        <f>R25*('Road freight EU Ref'!T24/'Road freight EU Ref'!S24)</f>
        <v>26.439820823759696</v>
      </c>
      <c r="T25" s="6">
        <f>S25*('Road freight EU Ref'!U24/'Road freight EU Ref'!T24)</f>
        <v>26.882049465583464</v>
      </c>
      <c r="U25" s="6">
        <f>T25*('Road freight EU Ref'!V24/'Road freight EU Ref'!U24)</f>
        <v>27.333225471770199</v>
      </c>
      <c r="V25" s="6">
        <f>U25*('Road freight EU Ref'!W24/'Road freight EU Ref'!V24)</f>
        <v>27.784401477956941</v>
      </c>
      <c r="W25" s="6">
        <f>V25*('Road freight EU Ref'!X24/'Road freight EU Ref'!W24)</f>
        <v>28.235577484143679</v>
      </c>
      <c r="X25" s="6">
        <f>W25*('Road freight EU Ref'!Y24/'Road freight EU Ref'!X24)</f>
        <v>28.686753490330421</v>
      </c>
      <c r="Y25" s="6">
        <f>X25*('Road freight EU Ref'!Z24/'Road freight EU Ref'!Y24)</f>
        <v>29.137929496517149</v>
      </c>
      <c r="Z25" s="6">
        <f>Y25*('Road freight EU Ref'!AA24/'Road freight EU Ref'!Z24)</f>
        <v>29.298954858377673</v>
      </c>
      <c r="AA25" s="6">
        <f>Z25*('Road freight EU Ref'!AB24/'Road freight EU Ref'!AA24)</f>
        <v>29.459980220238197</v>
      </c>
      <c r="AB25" s="6">
        <f>AA25*('Road freight EU Ref'!AC24/'Road freight EU Ref'!AB24)</f>
        <v>29.621005582098721</v>
      </c>
      <c r="AC25" s="6">
        <f>AB25*('Road freight EU Ref'!AD24/'Road freight EU Ref'!AC24)</f>
        <v>29.782030943959246</v>
      </c>
      <c r="AD25" s="6">
        <f>AC25*('Road freight EU Ref'!AE24/'Road freight EU Ref'!AD24)</f>
        <v>29.943056305819766</v>
      </c>
      <c r="AE25" s="6">
        <f>AD25*('Road freight EU Ref'!AF24/'Road freight EU Ref'!AE24)</f>
        <v>30.105704123078141</v>
      </c>
      <c r="AF25" s="6">
        <f>AE25*('Road freight EU Ref'!AG24/'Road freight EU Ref'!AF24)</f>
        <v>30.268351940336519</v>
      </c>
      <c r="AG25" s="6">
        <f>AF25*('Road freight EU Ref'!AH24/'Road freight EU Ref'!AG24)</f>
        <v>30.430999757594893</v>
      </c>
      <c r="AH25" s="6">
        <f>AG25*('Road freight EU Ref'!AI24/'Road freight EU Ref'!AH24)</f>
        <v>30.593647574853268</v>
      </c>
      <c r="AI25" s="6">
        <f>AH25*('Road freight EU Ref'!AJ24/'Road freight EU Ref'!AI24)</f>
        <v>30.756295392111642</v>
      </c>
      <c r="AJ25" s="17">
        <f t="shared" ref="AJ25:BC25" si="22">AI25</f>
        <v>30.756295392111642</v>
      </c>
      <c r="AK25" s="17">
        <f t="shared" si="22"/>
        <v>30.756295392111642</v>
      </c>
      <c r="AL25" s="17">
        <f t="shared" si="22"/>
        <v>30.756295392111642</v>
      </c>
      <c r="AM25" s="17">
        <f t="shared" si="22"/>
        <v>30.756295392111642</v>
      </c>
      <c r="AN25" s="17">
        <f t="shared" si="22"/>
        <v>30.756295392111642</v>
      </c>
      <c r="AO25" s="17">
        <f t="shared" si="22"/>
        <v>30.756295392111642</v>
      </c>
      <c r="AP25" s="17">
        <f t="shared" si="22"/>
        <v>30.756295392111642</v>
      </c>
      <c r="AQ25" s="17">
        <f t="shared" si="22"/>
        <v>30.756295392111642</v>
      </c>
      <c r="AR25" s="17">
        <f t="shared" si="22"/>
        <v>30.756295392111642</v>
      </c>
      <c r="AS25" s="17">
        <f t="shared" si="22"/>
        <v>30.756295392111642</v>
      </c>
      <c r="AT25" s="17">
        <f t="shared" si="22"/>
        <v>30.756295392111642</v>
      </c>
      <c r="AU25" s="17">
        <f t="shared" si="22"/>
        <v>30.756295392111642</v>
      </c>
      <c r="AV25" s="17">
        <f t="shared" si="22"/>
        <v>30.756295392111642</v>
      </c>
      <c r="AW25" s="17">
        <f t="shared" si="22"/>
        <v>30.756295392111642</v>
      </c>
      <c r="AX25" s="17">
        <f t="shared" si="22"/>
        <v>30.756295392111642</v>
      </c>
      <c r="AY25" s="17">
        <f t="shared" si="22"/>
        <v>30.756295392111642</v>
      </c>
      <c r="AZ25" s="17">
        <f t="shared" si="22"/>
        <v>30.756295392111642</v>
      </c>
      <c r="BA25" s="17">
        <f t="shared" si="22"/>
        <v>30.756295392111642</v>
      </c>
      <c r="BB25" s="17">
        <f t="shared" si="22"/>
        <v>30.756295392111642</v>
      </c>
      <c r="BC25" s="17">
        <f t="shared" si="22"/>
        <v>30.756295392111642</v>
      </c>
    </row>
    <row r="26" spans="1:55" x14ac:dyDescent="0.3">
      <c r="A26" t="str">
        <f t="shared" si="0"/>
        <v>PT</v>
      </c>
      <c r="B26" t="s">
        <v>233</v>
      </c>
      <c r="C26" s="4">
        <v>1.724891516</v>
      </c>
      <c r="D26" s="4">
        <v>1.702582034</v>
      </c>
      <c r="E26" s="4">
        <v>1.443960659</v>
      </c>
      <c r="F26" s="4">
        <v>1.60363649</v>
      </c>
      <c r="G26" s="6">
        <f>F26*('Road freight EU Ref'!H25/'Road freight EU Ref'!G25)</f>
        <v>1.6455784939553511</v>
      </c>
      <c r="H26" s="6">
        <f>G26*('Road freight EU Ref'!I25/'Road freight EU Ref'!H25)</f>
        <v>1.6875204979107024</v>
      </c>
      <c r="I26" s="6">
        <f>H26*('Road freight EU Ref'!J25/'Road freight EU Ref'!I25)</f>
        <v>1.7294625018660534</v>
      </c>
      <c r="J26" s="6">
        <f>I26*('Road freight EU Ref'!K25/'Road freight EU Ref'!J25)</f>
        <v>1.7714045058214041</v>
      </c>
      <c r="K26" s="6">
        <f>J26*('Road freight EU Ref'!L25/'Road freight EU Ref'!K25)</f>
        <v>1.790377673878558</v>
      </c>
      <c r="L26" s="6">
        <f>K26*('Road freight EU Ref'!M25/'Road freight EU Ref'!L25)</f>
        <v>1.8093508419357121</v>
      </c>
      <c r="M26" s="6">
        <f>L26*('Road freight EU Ref'!N25/'Road freight EU Ref'!M25)</f>
        <v>1.8283240099928657</v>
      </c>
      <c r="N26" s="6">
        <f>M26*('Road freight EU Ref'!O25/'Road freight EU Ref'!N25)</f>
        <v>1.8472971780500196</v>
      </c>
      <c r="O26" s="6">
        <f>N26*('Road freight EU Ref'!P25/'Road freight EU Ref'!O25)</f>
        <v>1.8662703461071732</v>
      </c>
      <c r="P26" s="6">
        <f>O26*('Road freight EU Ref'!Q25/'Road freight EU Ref'!P25)</f>
        <v>1.8809908652988996</v>
      </c>
      <c r="Q26" s="6">
        <f>P26*('Road freight EU Ref'!R25/'Road freight EU Ref'!Q25)</f>
        <v>1.8957113844906257</v>
      </c>
      <c r="R26" s="6">
        <f>Q26*('Road freight EU Ref'!S25/'Road freight EU Ref'!R25)</f>
        <v>1.9104319036823516</v>
      </c>
      <c r="S26" s="6">
        <f>R26*('Road freight EU Ref'!T25/'Road freight EU Ref'!S25)</f>
        <v>1.9251524228740775</v>
      </c>
      <c r="T26" s="6">
        <f>S26*('Road freight EU Ref'!U25/'Road freight EU Ref'!T25)</f>
        <v>1.9398729420658036</v>
      </c>
      <c r="U26" s="6">
        <f>T26*('Road freight EU Ref'!V25/'Road freight EU Ref'!U25)</f>
        <v>1.9535536020617257</v>
      </c>
      <c r="V26" s="6">
        <f>U26*('Road freight EU Ref'!W25/'Road freight EU Ref'!V25)</f>
        <v>1.967234262057648</v>
      </c>
      <c r="W26" s="6">
        <f>V26*('Road freight EU Ref'!X25/'Road freight EU Ref'!W25)</f>
        <v>1.9809149220535702</v>
      </c>
      <c r="X26" s="6">
        <f>W26*('Road freight EU Ref'!Y25/'Road freight EU Ref'!X25)</f>
        <v>1.9945955820494925</v>
      </c>
      <c r="Y26" s="6">
        <f>X26*('Road freight EU Ref'!Z25/'Road freight EU Ref'!Y25)</f>
        <v>2.0082762420454143</v>
      </c>
      <c r="Z26" s="6">
        <f>Y26*('Road freight EU Ref'!AA25/'Road freight EU Ref'!Z25)</f>
        <v>2.0219074804058086</v>
      </c>
      <c r="AA26" s="6">
        <f>Z26*('Road freight EU Ref'!AB25/'Road freight EU Ref'!AA25)</f>
        <v>2.0355387187662028</v>
      </c>
      <c r="AB26" s="6">
        <f>AA26*('Road freight EU Ref'!AC25/'Road freight EU Ref'!AB25)</f>
        <v>2.0491699571265971</v>
      </c>
      <c r="AC26" s="6">
        <f>AB26*('Road freight EU Ref'!AD25/'Road freight EU Ref'!AC25)</f>
        <v>2.0628011954869914</v>
      </c>
      <c r="AD26" s="6">
        <f>AC26*('Road freight EU Ref'!AE25/'Road freight EU Ref'!AD25)</f>
        <v>2.0764324338473856</v>
      </c>
      <c r="AE26" s="6">
        <f>AD26*('Road freight EU Ref'!AF25/'Road freight EU Ref'!AE25)</f>
        <v>2.0919284747026876</v>
      </c>
      <c r="AF26" s="6">
        <f>AE26*('Road freight EU Ref'!AG25/'Road freight EU Ref'!AF25)</f>
        <v>2.1074245155579892</v>
      </c>
      <c r="AG26" s="6">
        <f>AF26*('Road freight EU Ref'!AH25/'Road freight EU Ref'!AG25)</f>
        <v>2.1229205564132911</v>
      </c>
      <c r="AH26" s="6">
        <f>AG26*('Road freight EU Ref'!AI25/'Road freight EU Ref'!AH25)</f>
        <v>2.1384165972685927</v>
      </c>
      <c r="AI26" s="6">
        <f>AH26*('Road freight EU Ref'!AJ25/'Road freight EU Ref'!AI25)</f>
        <v>2.1539126381238942</v>
      </c>
      <c r="AJ26" s="17">
        <f t="shared" ref="AJ26:BC26" si="23">AI26</f>
        <v>2.1539126381238942</v>
      </c>
      <c r="AK26" s="17">
        <f t="shared" si="23"/>
        <v>2.1539126381238942</v>
      </c>
      <c r="AL26" s="17">
        <f t="shared" si="23"/>
        <v>2.1539126381238942</v>
      </c>
      <c r="AM26" s="17">
        <f t="shared" si="23"/>
        <v>2.1539126381238942</v>
      </c>
      <c r="AN26" s="17">
        <f t="shared" si="23"/>
        <v>2.1539126381238942</v>
      </c>
      <c r="AO26" s="17">
        <f t="shared" si="23"/>
        <v>2.1539126381238942</v>
      </c>
      <c r="AP26" s="17">
        <f t="shared" si="23"/>
        <v>2.1539126381238942</v>
      </c>
      <c r="AQ26" s="17">
        <f t="shared" si="23"/>
        <v>2.1539126381238942</v>
      </c>
      <c r="AR26" s="17">
        <f t="shared" si="23"/>
        <v>2.1539126381238942</v>
      </c>
      <c r="AS26" s="17">
        <f t="shared" si="23"/>
        <v>2.1539126381238942</v>
      </c>
      <c r="AT26" s="17">
        <f t="shared" si="23"/>
        <v>2.1539126381238942</v>
      </c>
      <c r="AU26" s="17">
        <f t="shared" si="23"/>
        <v>2.1539126381238942</v>
      </c>
      <c r="AV26" s="17">
        <f t="shared" si="23"/>
        <v>2.1539126381238942</v>
      </c>
      <c r="AW26" s="17">
        <f t="shared" si="23"/>
        <v>2.1539126381238942</v>
      </c>
      <c r="AX26" s="17">
        <f t="shared" si="23"/>
        <v>2.1539126381238942</v>
      </c>
      <c r="AY26" s="17">
        <f t="shared" si="23"/>
        <v>2.1539126381238942</v>
      </c>
      <c r="AZ26" s="17">
        <f t="shared" si="23"/>
        <v>2.1539126381238942</v>
      </c>
      <c r="BA26" s="17">
        <f t="shared" si="23"/>
        <v>2.1539126381238942</v>
      </c>
      <c r="BB26" s="17">
        <f t="shared" si="23"/>
        <v>2.1539126381238942</v>
      </c>
      <c r="BC26" s="17">
        <f t="shared" si="23"/>
        <v>2.1539126381238942</v>
      </c>
    </row>
    <row r="27" spans="1:55" x14ac:dyDescent="0.3">
      <c r="A27" t="str">
        <f t="shared" si="0"/>
        <v>RO</v>
      </c>
      <c r="B27" t="s">
        <v>234</v>
      </c>
      <c r="C27" s="4">
        <v>1.441886354</v>
      </c>
      <c r="D27" s="4">
        <v>1.6089423570000001</v>
      </c>
      <c r="E27" s="4">
        <v>1.5164878230000001</v>
      </c>
      <c r="F27" s="4">
        <v>1.834972268</v>
      </c>
      <c r="G27" s="6">
        <f>F27*('Road freight EU Ref'!H26/'Road freight EU Ref'!G26)</f>
        <v>1.9492218876513885</v>
      </c>
      <c r="H27" s="6">
        <f>G27*('Road freight EU Ref'!I26/'Road freight EU Ref'!H26)</f>
        <v>2.063471507302777</v>
      </c>
      <c r="I27" s="6">
        <f>H27*('Road freight EU Ref'!J26/'Road freight EU Ref'!I26)</f>
        <v>2.1777211269541659</v>
      </c>
      <c r="J27" s="6">
        <f>I27*('Road freight EU Ref'!K26/'Road freight EU Ref'!J26)</f>
        <v>2.2919707466055543</v>
      </c>
      <c r="K27" s="6">
        <f>J27*('Road freight EU Ref'!L26/'Road freight EU Ref'!K26)</f>
        <v>2.4002794791641002</v>
      </c>
      <c r="L27" s="6">
        <f>K27*('Road freight EU Ref'!M26/'Road freight EU Ref'!L26)</f>
        <v>2.5085882117226466</v>
      </c>
      <c r="M27" s="6">
        <f>L27*('Road freight EU Ref'!N26/'Road freight EU Ref'!M26)</f>
        <v>2.6168969442811929</v>
      </c>
      <c r="N27" s="6">
        <f>M27*('Road freight EU Ref'!O26/'Road freight EU Ref'!N26)</f>
        <v>2.7252056768397388</v>
      </c>
      <c r="O27" s="6">
        <f>N27*('Road freight EU Ref'!P26/'Road freight EU Ref'!O26)</f>
        <v>2.8335144093982856</v>
      </c>
      <c r="P27" s="6">
        <f>O27*('Road freight EU Ref'!Q26/'Road freight EU Ref'!P26)</f>
        <v>2.88127415811398</v>
      </c>
      <c r="Q27" s="6">
        <f>P27*('Road freight EU Ref'!R26/'Road freight EU Ref'!Q26)</f>
        <v>2.9290339068296745</v>
      </c>
      <c r="R27" s="6">
        <f>Q27*('Road freight EU Ref'!S26/'Road freight EU Ref'!R26)</f>
        <v>2.9767936555453689</v>
      </c>
      <c r="S27" s="6">
        <f>R27*('Road freight EU Ref'!T26/'Road freight EU Ref'!S26)</f>
        <v>3.0245534042610633</v>
      </c>
      <c r="T27" s="6">
        <f>S27*('Road freight EU Ref'!U26/'Road freight EU Ref'!T26)</f>
        <v>3.0723131529767569</v>
      </c>
      <c r="U27" s="6">
        <f>T27*('Road freight EU Ref'!V26/'Road freight EU Ref'!U26)</f>
        <v>3.1219811908509203</v>
      </c>
      <c r="V27" s="6">
        <f>U27*('Road freight EU Ref'!W26/'Road freight EU Ref'!V26)</f>
        <v>3.1716492287250837</v>
      </c>
      <c r="W27" s="6">
        <f>V27*('Road freight EU Ref'!X26/'Road freight EU Ref'!W26)</f>
        <v>3.2213172665992471</v>
      </c>
      <c r="X27" s="6">
        <f>W27*('Road freight EU Ref'!Y26/'Road freight EU Ref'!X26)</f>
        <v>3.2709853044734105</v>
      </c>
      <c r="Y27" s="6">
        <f>X27*('Road freight EU Ref'!Z26/'Road freight EU Ref'!Y26)</f>
        <v>3.3206533423475726</v>
      </c>
      <c r="Z27" s="6">
        <f>Y27*('Road freight EU Ref'!AA26/'Road freight EU Ref'!Z26)</f>
        <v>3.3536407783637481</v>
      </c>
      <c r="AA27" s="6">
        <f>Z27*('Road freight EU Ref'!AB26/'Road freight EU Ref'!AA26)</f>
        <v>3.386628214379924</v>
      </c>
      <c r="AB27" s="6">
        <f>AA27*('Road freight EU Ref'!AC26/'Road freight EU Ref'!AB26)</f>
        <v>3.4196156503960995</v>
      </c>
      <c r="AC27" s="6">
        <f>AB27*('Road freight EU Ref'!AD26/'Road freight EU Ref'!AC26)</f>
        <v>3.4526030864122754</v>
      </c>
      <c r="AD27" s="6">
        <f>AC27*('Road freight EU Ref'!AE26/'Road freight EU Ref'!AD26)</f>
        <v>3.4855905224284522</v>
      </c>
      <c r="AE27" s="6">
        <f>AD27*('Road freight EU Ref'!AF26/'Road freight EU Ref'!AE26)</f>
        <v>3.5171345476820504</v>
      </c>
      <c r="AF27" s="6">
        <f>AE27*('Road freight EU Ref'!AG26/'Road freight EU Ref'!AF26)</f>
        <v>3.5486785729356485</v>
      </c>
      <c r="AG27" s="6">
        <f>AF27*('Road freight EU Ref'!AH26/'Road freight EU Ref'!AG26)</f>
        <v>3.5802225981892466</v>
      </c>
      <c r="AH27" s="6">
        <f>AG27*('Road freight EU Ref'!AI26/'Road freight EU Ref'!AH26)</f>
        <v>3.6117666234428452</v>
      </c>
      <c r="AI27" s="6">
        <f>AH27*('Road freight EU Ref'!AJ26/'Road freight EU Ref'!AI26)</f>
        <v>3.6433106486964424</v>
      </c>
      <c r="AJ27" s="17">
        <f t="shared" ref="AJ27:BC27" si="24">AI27</f>
        <v>3.6433106486964424</v>
      </c>
      <c r="AK27" s="17">
        <f t="shared" si="24"/>
        <v>3.6433106486964424</v>
      </c>
      <c r="AL27" s="17">
        <f t="shared" si="24"/>
        <v>3.6433106486964424</v>
      </c>
      <c r="AM27" s="17">
        <f t="shared" si="24"/>
        <v>3.6433106486964424</v>
      </c>
      <c r="AN27" s="17">
        <f t="shared" si="24"/>
        <v>3.6433106486964424</v>
      </c>
      <c r="AO27" s="17">
        <f t="shared" si="24"/>
        <v>3.6433106486964424</v>
      </c>
      <c r="AP27" s="17">
        <f t="shared" si="24"/>
        <v>3.6433106486964424</v>
      </c>
      <c r="AQ27" s="17">
        <f t="shared" si="24"/>
        <v>3.6433106486964424</v>
      </c>
      <c r="AR27" s="17">
        <f t="shared" si="24"/>
        <v>3.6433106486964424</v>
      </c>
      <c r="AS27" s="17">
        <f t="shared" si="24"/>
        <v>3.6433106486964424</v>
      </c>
      <c r="AT27" s="17">
        <f t="shared" si="24"/>
        <v>3.6433106486964424</v>
      </c>
      <c r="AU27" s="17">
        <f t="shared" si="24"/>
        <v>3.6433106486964424</v>
      </c>
      <c r="AV27" s="17">
        <f t="shared" si="24"/>
        <v>3.6433106486964424</v>
      </c>
      <c r="AW27" s="17">
        <f t="shared" si="24"/>
        <v>3.6433106486964424</v>
      </c>
      <c r="AX27" s="17">
        <f t="shared" si="24"/>
        <v>3.6433106486964424</v>
      </c>
      <c r="AY27" s="17">
        <f t="shared" si="24"/>
        <v>3.6433106486964424</v>
      </c>
      <c r="AZ27" s="17">
        <f t="shared" si="24"/>
        <v>3.6433106486964424</v>
      </c>
      <c r="BA27" s="17">
        <f t="shared" si="24"/>
        <v>3.6433106486964424</v>
      </c>
      <c r="BB27" s="17">
        <f t="shared" si="24"/>
        <v>3.6433106486964424</v>
      </c>
      <c r="BC27" s="17">
        <f t="shared" si="24"/>
        <v>3.6433106486964424</v>
      </c>
    </row>
    <row r="28" spans="1:55" x14ac:dyDescent="0.3">
      <c r="A28" t="str">
        <f t="shared" si="0"/>
        <v>SE</v>
      </c>
      <c r="B28" t="s">
        <v>238</v>
      </c>
      <c r="C28" s="4">
        <v>3.8184142740000002</v>
      </c>
      <c r="D28" s="4">
        <v>3.7528268319999998</v>
      </c>
      <c r="E28" s="4">
        <v>3.7848302989999998</v>
      </c>
      <c r="F28" s="4">
        <v>4.0749634840000004</v>
      </c>
      <c r="G28" s="6">
        <f>F28*('Road freight EU Ref'!H27/'Road freight EU Ref'!G27)</f>
        <v>4.1626535618787299</v>
      </c>
      <c r="H28" s="6">
        <f>G28*('Road freight EU Ref'!I27/'Road freight EU Ref'!H27)</f>
        <v>4.2503436397574603</v>
      </c>
      <c r="I28" s="6">
        <f>H28*('Road freight EU Ref'!J27/'Road freight EU Ref'!I27)</f>
        <v>4.3380337176361907</v>
      </c>
      <c r="J28" s="6">
        <f>I28*('Road freight EU Ref'!K27/'Road freight EU Ref'!J27)</f>
        <v>4.4257237955149202</v>
      </c>
      <c r="K28" s="6">
        <f>J28*('Road freight EU Ref'!L27/'Road freight EU Ref'!K27)</f>
        <v>4.4760996687229788</v>
      </c>
      <c r="L28" s="6">
        <f>K28*('Road freight EU Ref'!M27/'Road freight EU Ref'!L27)</f>
        <v>4.5264755419310374</v>
      </c>
      <c r="M28" s="6">
        <f>L28*('Road freight EU Ref'!N27/'Road freight EU Ref'!M27)</f>
        <v>4.5768514151390969</v>
      </c>
      <c r="N28" s="6">
        <f>M28*('Road freight EU Ref'!O27/'Road freight EU Ref'!N27)</f>
        <v>4.6272272883471555</v>
      </c>
      <c r="O28" s="6">
        <f>N28*('Road freight EU Ref'!P27/'Road freight EU Ref'!O27)</f>
        <v>4.6776031615552149</v>
      </c>
      <c r="P28" s="6">
        <f>O28*('Road freight EU Ref'!Q27/'Road freight EU Ref'!P27)</f>
        <v>4.7024853723313713</v>
      </c>
      <c r="Q28" s="6">
        <f>P28*('Road freight EU Ref'!R27/'Road freight EU Ref'!Q27)</f>
        <v>4.7273675831075277</v>
      </c>
      <c r="R28" s="6">
        <f>Q28*('Road freight EU Ref'!S27/'Road freight EU Ref'!R27)</f>
        <v>4.7522497938836841</v>
      </c>
      <c r="S28" s="6">
        <f>R28*('Road freight EU Ref'!T27/'Road freight EU Ref'!S27)</f>
        <v>4.7771320046598404</v>
      </c>
      <c r="T28" s="6">
        <f>S28*('Road freight EU Ref'!U27/'Road freight EU Ref'!T27)</f>
        <v>4.8020142154359977</v>
      </c>
      <c r="U28" s="6">
        <f>T28*('Road freight EU Ref'!V27/'Road freight EU Ref'!U27)</f>
        <v>4.8346454573453554</v>
      </c>
      <c r="V28" s="6">
        <f>U28*('Road freight EU Ref'!W27/'Road freight EU Ref'!V27)</f>
        <v>4.8672766992547141</v>
      </c>
      <c r="W28" s="6">
        <f>V28*('Road freight EU Ref'!X27/'Road freight EU Ref'!W27)</f>
        <v>4.8999079411640727</v>
      </c>
      <c r="X28" s="6">
        <f>W28*('Road freight EU Ref'!Y27/'Road freight EU Ref'!X27)</f>
        <v>4.9325391830734313</v>
      </c>
      <c r="Y28" s="6">
        <f>X28*('Road freight EU Ref'!Z27/'Road freight EU Ref'!Y27)</f>
        <v>4.965170424982789</v>
      </c>
      <c r="Z28" s="6">
        <f>Y28*('Road freight EU Ref'!AA27/'Road freight EU Ref'!Z27)</f>
        <v>4.9919567659246677</v>
      </c>
      <c r="AA28" s="6">
        <f>Z28*('Road freight EU Ref'!AB27/'Road freight EU Ref'!AA27)</f>
        <v>5.0187431068665473</v>
      </c>
      <c r="AB28" s="6">
        <f>AA28*('Road freight EU Ref'!AC27/'Road freight EU Ref'!AB27)</f>
        <v>5.045529447808426</v>
      </c>
      <c r="AC28" s="6">
        <f>AB28*('Road freight EU Ref'!AD27/'Road freight EU Ref'!AC27)</f>
        <v>5.0723157887503048</v>
      </c>
      <c r="AD28" s="6">
        <f>AC28*('Road freight EU Ref'!AE27/'Road freight EU Ref'!AD27)</f>
        <v>5.0991021296921826</v>
      </c>
      <c r="AE28" s="6">
        <f>AD28*('Road freight EU Ref'!AF27/'Road freight EU Ref'!AE27)</f>
        <v>5.1235392472904113</v>
      </c>
      <c r="AF28" s="6">
        <f>AE28*('Road freight EU Ref'!AG27/'Road freight EU Ref'!AF27)</f>
        <v>5.1479763648886401</v>
      </c>
      <c r="AG28" s="6">
        <f>AF28*('Road freight EU Ref'!AH27/'Road freight EU Ref'!AG27)</f>
        <v>5.1724134824868688</v>
      </c>
      <c r="AH28" s="6">
        <f>AG28*('Road freight EU Ref'!AI27/'Road freight EU Ref'!AH27)</f>
        <v>5.1968506000850976</v>
      </c>
      <c r="AI28" s="6">
        <f>AH28*('Road freight EU Ref'!AJ27/'Road freight EU Ref'!AI27)</f>
        <v>5.2212877176833272</v>
      </c>
      <c r="AJ28" s="17">
        <f t="shared" ref="AJ28:BC28" si="25">AI28</f>
        <v>5.2212877176833272</v>
      </c>
      <c r="AK28" s="17">
        <f t="shared" si="25"/>
        <v>5.2212877176833272</v>
      </c>
      <c r="AL28" s="17">
        <f t="shared" si="25"/>
        <v>5.2212877176833272</v>
      </c>
      <c r="AM28" s="17">
        <f t="shared" si="25"/>
        <v>5.2212877176833272</v>
      </c>
      <c r="AN28" s="17">
        <f t="shared" si="25"/>
        <v>5.2212877176833272</v>
      </c>
      <c r="AO28" s="17">
        <f t="shared" si="25"/>
        <v>5.2212877176833272</v>
      </c>
      <c r="AP28" s="17">
        <f t="shared" si="25"/>
        <v>5.2212877176833272</v>
      </c>
      <c r="AQ28" s="17">
        <f t="shared" si="25"/>
        <v>5.2212877176833272</v>
      </c>
      <c r="AR28" s="17">
        <f t="shared" si="25"/>
        <v>5.2212877176833272</v>
      </c>
      <c r="AS28" s="17">
        <f t="shared" si="25"/>
        <v>5.2212877176833272</v>
      </c>
      <c r="AT28" s="17">
        <f t="shared" si="25"/>
        <v>5.2212877176833272</v>
      </c>
      <c r="AU28" s="17">
        <f t="shared" si="25"/>
        <v>5.2212877176833272</v>
      </c>
      <c r="AV28" s="17">
        <f t="shared" si="25"/>
        <v>5.2212877176833272</v>
      </c>
      <c r="AW28" s="17">
        <f t="shared" si="25"/>
        <v>5.2212877176833272</v>
      </c>
      <c r="AX28" s="17">
        <f t="shared" si="25"/>
        <v>5.2212877176833272</v>
      </c>
      <c r="AY28" s="17">
        <f t="shared" si="25"/>
        <v>5.2212877176833272</v>
      </c>
      <c r="AZ28" s="17">
        <f t="shared" si="25"/>
        <v>5.2212877176833272</v>
      </c>
      <c r="BA28" s="17">
        <f t="shared" si="25"/>
        <v>5.2212877176833272</v>
      </c>
      <c r="BB28" s="17">
        <f t="shared" si="25"/>
        <v>5.2212877176833272</v>
      </c>
      <c r="BC28" s="17">
        <f t="shared" si="25"/>
        <v>5.2212877176833272</v>
      </c>
    </row>
    <row r="29" spans="1:55" x14ac:dyDescent="0.3">
      <c r="A29" t="str">
        <f t="shared" si="0"/>
        <v>SI</v>
      </c>
      <c r="B29" t="s">
        <v>235</v>
      </c>
      <c r="C29" s="4">
        <v>0.83290184099999998</v>
      </c>
      <c r="D29" s="4">
        <v>0.85287585799999999</v>
      </c>
      <c r="E29" s="4">
        <v>0.80560877399999997</v>
      </c>
      <c r="F29" s="4">
        <v>0.87391142899999996</v>
      </c>
      <c r="G29" s="6">
        <f>F29*('Road freight EU Ref'!H28/'Road freight EU Ref'!G28)</f>
        <v>0.92041639236007755</v>
      </c>
      <c r="H29" s="6">
        <f>G29*('Road freight EU Ref'!I28/'Road freight EU Ref'!H28)</f>
        <v>0.96692135572015525</v>
      </c>
      <c r="I29" s="6">
        <f>H29*('Road freight EU Ref'!J28/'Road freight EU Ref'!I28)</f>
        <v>1.0134263190802328</v>
      </c>
      <c r="J29" s="6">
        <f>I29*('Road freight EU Ref'!K28/'Road freight EU Ref'!J28)</f>
        <v>1.0599312824403102</v>
      </c>
      <c r="K29" s="6">
        <f>J29*('Road freight EU Ref'!L28/'Road freight EU Ref'!K28)</f>
        <v>1.0959362311876006</v>
      </c>
      <c r="L29" s="6">
        <f>K29*('Road freight EU Ref'!M28/'Road freight EU Ref'!L28)</f>
        <v>1.1319411799348909</v>
      </c>
      <c r="M29" s="6">
        <f>L29*('Road freight EU Ref'!N28/'Road freight EU Ref'!M28)</f>
        <v>1.1679461286821813</v>
      </c>
      <c r="N29" s="6">
        <f>M29*('Road freight EU Ref'!O28/'Road freight EU Ref'!N28)</f>
        <v>1.2039510774294715</v>
      </c>
      <c r="O29" s="6">
        <f>N29*('Road freight EU Ref'!P28/'Road freight EU Ref'!O28)</f>
        <v>1.2399560261767619</v>
      </c>
      <c r="P29" s="6">
        <f>O29*('Road freight EU Ref'!Q28/'Road freight EU Ref'!P28)</f>
        <v>1.2558122879938181</v>
      </c>
      <c r="Q29" s="6">
        <f>P29*('Road freight EU Ref'!R28/'Road freight EU Ref'!Q28)</f>
        <v>1.2716685498108742</v>
      </c>
      <c r="R29" s="6">
        <f>Q29*('Road freight EU Ref'!S28/'Road freight EU Ref'!R28)</f>
        <v>1.2875248116279303</v>
      </c>
      <c r="S29" s="6">
        <f>R29*('Road freight EU Ref'!T28/'Road freight EU Ref'!S28)</f>
        <v>1.3033810734449864</v>
      </c>
      <c r="T29" s="6">
        <f>S29*('Road freight EU Ref'!U28/'Road freight EU Ref'!T28)</f>
        <v>1.3192373352620426</v>
      </c>
      <c r="U29" s="6">
        <f>T29*('Road freight EU Ref'!V28/'Road freight EU Ref'!U28)</f>
        <v>1.3369307318000496</v>
      </c>
      <c r="V29" s="6">
        <f>U29*('Road freight EU Ref'!W28/'Road freight EU Ref'!V28)</f>
        <v>1.3546241283380565</v>
      </c>
      <c r="W29" s="6">
        <f>V29*('Road freight EU Ref'!X28/'Road freight EU Ref'!W28)</f>
        <v>1.3723175248760633</v>
      </c>
      <c r="X29" s="6">
        <f>W29*('Road freight EU Ref'!Y28/'Road freight EU Ref'!X28)</f>
        <v>1.3900109214140703</v>
      </c>
      <c r="Y29" s="6">
        <f>X29*('Road freight EU Ref'!Z28/'Road freight EU Ref'!Y28)</f>
        <v>1.4077043179520772</v>
      </c>
      <c r="Z29" s="6">
        <f>Y29*('Road freight EU Ref'!AA28/'Road freight EU Ref'!Z28)</f>
        <v>1.4227511305841649</v>
      </c>
      <c r="AA29" s="6">
        <f>Z29*('Road freight EU Ref'!AB28/'Road freight EU Ref'!AA28)</f>
        <v>1.4377979432162526</v>
      </c>
      <c r="AB29" s="6">
        <f>AA29*('Road freight EU Ref'!AC28/'Road freight EU Ref'!AB28)</f>
        <v>1.4528447558483404</v>
      </c>
      <c r="AC29" s="6">
        <f>AB29*('Road freight EU Ref'!AD28/'Road freight EU Ref'!AC28)</f>
        <v>1.4678915684804281</v>
      </c>
      <c r="AD29" s="6">
        <f>AC29*('Road freight EU Ref'!AE28/'Road freight EU Ref'!AD28)</f>
        <v>1.4829383811125163</v>
      </c>
      <c r="AE29" s="6">
        <f>AD29*('Road freight EU Ref'!AF28/'Road freight EU Ref'!AE28)</f>
        <v>1.4934650777440692</v>
      </c>
      <c r="AF29" s="6">
        <f>AE29*('Road freight EU Ref'!AG28/'Road freight EU Ref'!AF28)</f>
        <v>1.5039917743756219</v>
      </c>
      <c r="AG29" s="6">
        <f>AF29*('Road freight EU Ref'!AH28/'Road freight EU Ref'!AG28)</f>
        <v>1.5145184710071748</v>
      </c>
      <c r="AH29" s="6">
        <f>AG29*('Road freight EU Ref'!AI28/'Road freight EU Ref'!AH28)</f>
        <v>1.5250451676387278</v>
      </c>
      <c r="AI29" s="6">
        <f>AH29*('Road freight EU Ref'!AJ28/'Road freight EU Ref'!AI28)</f>
        <v>1.5355718642702803</v>
      </c>
      <c r="AJ29" s="17">
        <f t="shared" ref="AJ29:BC29" si="26">AI29</f>
        <v>1.5355718642702803</v>
      </c>
      <c r="AK29" s="17">
        <f t="shared" si="26"/>
        <v>1.5355718642702803</v>
      </c>
      <c r="AL29" s="17">
        <f t="shared" si="26"/>
        <v>1.5355718642702803</v>
      </c>
      <c r="AM29" s="17">
        <f t="shared" si="26"/>
        <v>1.5355718642702803</v>
      </c>
      <c r="AN29" s="17">
        <f t="shared" si="26"/>
        <v>1.5355718642702803</v>
      </c>
      <c r="AO29" s="17">
        <f t="shared" si="26"/>
        <v>1.5355718642702803</v>
      </c>
      <c r="AP29" s="17">
        <f t="shared" si="26"/>
        <v>1.5355718642702803</v>
      </c>
      <c r="AQ29" s="17">
        <f t="shared" si="26"/>
        <v>1.5355718642702803</v>
      </c>
      <c r="AR29" s="17">
        <f t="shared" si="26"/>
        <v>1.5355718642702803</v>
      </c>
      <c r="AS29" s="17">
        <f t="shared" si="26"/>
        <v>1.5355718642702803</v>
      </c>
      <c r="AT29" s="17">
        <f t="shared" si="26"/>
        <v>1.5355718642702803</v>
      </c>
      <c r="AU29" s="17">
        <f t="shared" si="26"/>
        <v>1.5355718642702803</v>
      </c>
      <c r="AV29" s="17">
        <f t="shared" si="26"/>
        <v>1.5355718642702803</v>
      </c>
      <c r="AW29" s="17">
        <f t="shared" si="26"/>
        <v>1.5355718642702803</v>
      </c>
      <c r="AX29" s="17">
        <f t="shared" si="26"/>
        <v>1.5355718642702803</v>
      </c>
      <c r="AY29" s="17">
        <f t="shared" si="26"/>
        <v>1.5355718642702803</v>
      </c>
      <c r="AZ29" s="17">
        <f t="shared" si="26"/>
        <v>1.5355718642702803</v>
      </c>
      <c r="BA29" s="17">
        <f t="shared" si="26"/>
        <v>1.5355718642702803</v>
      </c>
      <c r="BB29" s="17">
        <f t="shared" si="26"/>
        <v>1.5355718642702803</v>
      </c>
      <c r="BC29" s="17">
        <f t="shared" si="26"/>
        <v>1.5355718642702803</v>
      </c>
    </row>
    <row r="30" spans="1:55" x14ac:dyDescent="0.3">
      <c r="A30" t="str">
        <f t="shared" si="0"/>
        <v>SK</v>
      </c>
      <c r="B30" t="s">
        <v>236</v>
      </c>
      <c r="C30" s="4">
        <v>2.1874532470000001</v>
      </c>
      <c r="D30" s="4">
        <v>2.4285952430000002</v>
      </c>
      <c r="E30" s="4">
        <v>2.346252835</v>
      </c>
      <c r="F30" s="4">
        <v>2.2794527389999999</v>
      </c>
      <c r="G30" s="6">
        <f>F30*('Road freight EU Ref'!H29/'Road freight EU Ref'!G29)</f>
        <v>2.3307613737964443</v>
      </c>
      <c r="H30" s="6">
        <f>G30*('Road freight EU Ref'!I29/'Road freight EU Ref'!H29)</f>
        <v>2.3820700085928888</v>
      </c>
      <c r="I30" s="6">
        <f>H30*('Road freight EU Ref'!J29/'Road freight EU Ref'!I29)</f>
        <v>2.4333786433893332</v>
      </c>
      <c r="J30" s="6">
        <f>I30*('Road freight EU Ref'!K29/'Road freight EU Ref'!J29)</f>
        <v>2.4846872781857789</v>
      </c>
      <c r="K30" s="6">
        <f>J30*('Road freight EU Ref'!L29/'Road freight EU Ref'!K29)</f>
        <v>2.5483700365006672</v>
      </c>
      <c r="L30" s="6">
        <f>K30*('Road freight EU Ref'!M29/'Road freight EU Ref'!L29)</f>
        <v>2.6120527948155554</v>
      </c>
      <c r="M30" s="6">
        <f>L30*('Road freight EU Ref'!N29/'Road freight EU Ref'!M29)</f>
        <v>2.6757355531304441</v>
      </c>
      <c r="N30" s="6">
        <f>M30*('Road freight EU Ref'!O29/'Road freight EU Ref'!N29)</f>
        <v>2.7394183114453323</v>
      </c>
      <c r="O30" s="6">
        <f>N30*('Road freight EU Ref'!P29/'Road freight EU Ref'!O29)</f>
        <v>2.8031010697602206</v>
      </c>
      <c r="P30" s="6">
        <f>O30*('Road freight EU Ref'!Q29/'Road freight EU Ref'!P29)</f>
        <v>2.8239608484354277</v>
      </c>
      <c r="Q30" s="6">
        <f>P30*('Road freight EU Ref'!R29/'Road freight EU Ref'!Q29)</f>
        <v>2.8448206271106353</v>
      </c>
      <c r="R30" s="6">
        <f>Q30*('Road freight EU Ref'!S29/'Road freight EU Ref'!R29)</f>
        <v>2.8656804057858425</v>
      </c>
      <c r="S30" s="6">
        <f>R30*('Road freight EU Ref'!T29/'Road freight EU Ref'!S29)</f>
        <v>2.8865401844610501</v>
      </c>
      <c r="T30" s="6">
        <f>S30*('Road freight EU Ref'!U29/'Road freight EU Ref'!T29)</f>
        <v>2.9073999631362568</v>
      </c>
      <c r="U30" s="6">
        <f>T30*('Road freight EU Ref'!V29/'Road freight EU Ref'!U29)</f>
        <v>2.934632882195372</v>
      </c>
      <c r="V30" s="6">
        <f>U30*('Road freight EU Ref'!W29/'Road freight EU Ref'!V29)</f>
        <v>2.9618658012544872</v>
      </c>
      <c r="W30" s="6">
        <f>V30*('Road freight EU Ref'!X29/'Road freight EU Ref'!W29)</f>
        <v>2.9890987203136019</v>
      </c>
      <c r="X30" s="6">
        <f>W30*('Road freight EU Ref'!Y29/'Road freight EU Ref'!X29)</f>
        <v>3.0163316393727166</v>
      </c>
      <c r="Y30" s="6">
        <f>X30*('Road freight EU Ref'!Z29/'Road freight EU Ref'!Y29)</f>
        <v>3.0435645584318327</v>
      </c>
      <c r="Z30" s="6">
        <f>Y30*('Road freight EU Ref'!AA29/'Road freight EU Ref'!Z29)</f>
        <v>3.0559833054404879</v>
      </c>
      <c r="AA30" s="6">
        <f>Z30*('Road freight EU Ref'!AB29/'Road freight EU Ref'!AA29)</f>
        <v>3.0684020524491431</v>
      </c>
      <c r="AB30" s="6">
        <f>AA30*('Road freight EU Ref'!AC29/'Road freight EU Ref'!AB29)</f>
        <v>3.0808207994577987</v>
      </c>
      <c r="AC30" s="6">
        <f>AB30*('Road freight EU Ref'!AD29/'Road freight EU Ref'!AC29)</f>
        <v>3.0932395464664539</v>
      </c>
      <c r="AD30" s="6">
        <f>AC30*('Road freight EU Ref'!AE29/'Road freight EU Ref'!AD29)</f>
        <v>3.10565829347511</v>
      </c>
      <c r="AE30" s="6">
        <f>AD30*('Road freight EU Ref'!AF29/'Road freight EU Ref'!AE29)</f>
        <v>3.1176963831066971</v>
      </c>
      <c r="AF30" s="6">
        <f>AE30*('Road freight EU Ref'!AG29/'Road freight EU Ref'!AF29)</f>
        <v>3.1297344727382841</v>
      </c>
      <c r="AG30" s="6">
        <f>AF30*('Road freight EU Ref'!AH29/'Road freight EU Ref'!AG29)</f>
        <v>3.1417725623698716</v>
      </c>
      <c r="AH30" s="6">
        <f>AG30*('Road freight EU Ref'!AI29/'Road freight EU Ref'!AH29)</f>
        <v>3.1538106520014586</v>
      </c>
      <c r="AI30" s="6">
        <f>AH30*('Road freight EU Ref'!AJ29/'Road freight EU Ref'!AI29)</f>
        <v>3.1658487416330452</v>
      </c>
      <c r="AJ30" s="17">
        <f t="shared" ref="AJ30:BC30" si="27">AI30</f>
        <v>3.1658487416330452</v>
      </c>
      <c r="AK30" s="17">
        <f t="shared" si="27"/>
        <v>3.1658487416330452</v>
      </c>
      <c r="AL30" s="17">
        <f t="shared" si="27"/>
        <v>3.1658487416330452</v>
      </c>
      <c r="AM30" s="17">
        <f t="shared" si="27"/>
        <v>3.1658487416330452</v>
      </c>
      <c r="AN30" s="17">
        <f t="shared" si="27"/>
        <v>3.1658487416330452</v>
      </c>
      <c r="AO30" s="17">
        <f t="shared" si="27"/>
        <v>3.1658487416330452</v>
      </c>
      <c r="AP30" s="17">
        <f t="shared" si="27"/>
        <v>3.1658487416330452</v>
      </c>
      <c r="AQ30" s="17">
        <f t="shared" si="27"/>
        <v>3.1658487416330452</v>
      </c>
      <c r="AR30" s="17">
        <f t="shared" si="27"/>
        <v>3.1658487416330452</v>
      </c>
      <c r="AS30" s="17">
        <f t="shared" si="27"/>
        <v>3.1658487416330452</v>
      </c>
      <c r="AT30" s="17">
        <f t="shared" si="27"/>
        <v>3.1658487416330452</v>
      </c>
      <c r="AU30" s="17">
        <f t="shared" si="27"/>
        <v>3.1658487416330452</v>
      </c>
      <c r="AV30" s="17">
        <f t="shared" si="27"/>
        <v>3.1658487416330452</v>
      </c>
      <c r="AW30" s="17">
        <f t="shared" si="27"/>
        <v>3.1658487416330452</v>
      </c>
      <c r="AX30" s="17">
        <f t="shared" si="27"/>
        <v>3.1658487416330452</v>
      </c>
      <c r="AY30" s="17">
        <f t="shared" si="27"/>
        <v>3.1658487416330452</v>
      </c>
      <c r="AZ30" s="17">
        <f t="shared" si="27"/>
        <v>3.1658487416330452</v>
      </c>
      <c r="BA30" s="17">
        <f t="shared" si="27"/>
        <v>3.1658487416330452</v>
      </c>
      <c r="BB30" s="17">
        <f t="shared" si="27"/>
        <v>3.1658487416330452</v>
      </c>
      <c r="BC30" s="17">
        <f t="shared" si="27"/>
        <v>3.1658487416330452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F92E-74C6-4429-B6CA-AB174B40B82B}">
  <dimension ref="A1:BC251"/>
  <sheetViews>
    <sheetView workbookViewId="0"/>
  </sheetViews>
  <sheetFormatPr defaultRowHeight="14.4" x14ac:dyDescent="0.3"/>
  <cols>
    <col min="1" max="1" width="16.44140625" customWidth="1"/>
    <col min="2" max="2" width="14.109375" bestFit="1" customWidth="1"/>
    <col min="3" max="55" width="10.5546875" bestFit="1" customWidth="1"/>
  </cols>
  <sheetData>
    <row r="1" spans="1:55" x14ac:dyDescent="0.3">
      <c r="A1" s="1" t="s">
        <v>29</v>
      </c>
    </row>
    <row r="2" spans="1:55" x14ac:dyDescent="0.3">
      <c r="A2" s="1" t="s">
        <v>514</v>
      </c>
    </row>
    <row r="3" spans="1:55" x14ac:dyDescent="0.3">
      <c r="B3" t="s">
        <v>1</v>
      </c>
      <c r="C3" s="1">
        <v>2018</v>
      </c>
      <c r="D3" s="1">
        <v>2019</v>
      </c>
      <c r="E3" s="1">
        <v>2020</v>
      </c>
      <c r="F3" s="1">
        <v>2021</v>
      </c>
      <c r="G3" s="1">
        <v>2022</v>
      </c>
      <c r="H3" s="1">
        <v>2023</v>
      </c>
      <c r="I3" s="1">
        <v>2024</v>
      </c>
      <c r="J3" s="1">
        <v>2025</v>
      </c>
      <c r="K3" s="1">
        <v>2026</v>
      </c>
      <c r="L3" s="1">
        <v>2027</v>
      </c>
      <c r="M3" s="1">
        <v>2028</v>
      </c>
      <c r="N3" s="1">
        <v>2029</v>
      </c>
      <c r="O3" s="1">
        <v>2030</v>
      </c>
      <c r="P3" s="1">
        <v>2031</v>
      </c>
      <c r="Q3" s="1">
        <v>2032</v>
      </c>
      <c r="R3" s="1">
        <v>2033</v>
      </c>
      <c r="S3" s="1">
        <v>2034</v>
      </c>
      <c r="T3" s="1">
        <v>2035</v>
      </c>
      <c r="U3" s="1">
        <v>2036</v>
      </c>
      <c r="V3" s="1">
        <v>2037</v>
      </c>
      <c r="W3" s="1">
        <v>2038</v>
      </c>
      <c r="X3" s="1">
        <v>2039</v>
      </c>
      <c r="Y3" s="1">
        <v>2040</v>
      </c>
      <c r="Z3" s="1">
        <v>2041</v>
      </c>
      <c r="AA3" s="1">
        <v>2042</v>
      </c>
      <c r="AB3" s="1">
        <v>2043</v>
      </c>
      <c r="AC3" s="1">
        <v>2044</v>
      </c>
      <c r="AD3" s="1">
        <v>2045</v>
      </c>
      <c r="AE3" s="1">
        <v>2046</v>
      </c>
      <c r="AF3" s="1">
        <v>2047</v>
      </c>
      <c r="AG3" s="1">
        <v>2048</v>
      </c>
      <c r="AH3" s="1">
        <v>2049</v>
      </c>
      <c r="AI3" s="1">
        <v>2050</v>
      </c>
      <c r="AJ3" s="1">
        <v>2051</v>
      </c>
      <c r="AK3" s="1">
        <v>2052</v>
      </c>
      <c r="AL3" s="1">
        <v>2053</v>
      </c>
      <c r="AM3" s="1">
        <v>2054</v>
      </c>
      <c r="AN3" s="1">
        <v>2055</v>
      </c>
      <c r="AO3" s="1">
        <v>2056</v>
      </c>
      <c r="AP3" s="1">
        <v>2057</v>
      </c>
      <c r="AQ3" s="1">
        <v>2058</v>
      </c>
      <c r="AR3" s="1">
        <v>2059</v>
      </c>
      <c r="AS3" s="1">
        <v>2060</v>
      </c>
      <c r="AT3" s="1">
        <v>2061</v>
      </c>
      <c r="AU3" s="1">
        <v>2062</v>
      </c>
      <c r="AV3" s="1">
        <v>2063</v>
      </c>
      <c r="AW3" s="1">
        <v>2064</v>
      </c>
      <c r="AX3" s="1">
        <v>2065</v>
      </c>
      <c r="AY3" s="1">
        <v>2066</v>
      </c>
      <c r="AZ3" s="1">
        <v>2067</v>
      </c>
      <c r="BA3" s="1">
        <v>2068</v>
      </c>
      <c r="BB3" s="1">
        <v>2069</v>
      </c>
      <c r="BC3" s="1">
        <v>2070</v>
      </c>
    </row>
    <row r="4" spans="1:55" x14ac:dyDescent="0.3">
      <c r="B4" t="s">
        <v>2</v>
      </c>
      <c r="C4" s="4">
        <v>5.9205804649999996</v>
      </c>
      <c r="D4" s="4">
        <v>6.1155231599999995</v>
      </c>
      <c r="E4" s="4">
        <v>6.1927975629999992</v>
      </c>
      <c r="F4" s="4">
        <v>6.5598191600000009</v>
      </c>
      <c r="G4" s="6">
        <f>F4*('Road freight EU Ref'!H3/'Road freight EU Ref'!G3)</f>
        <v>6.8334001707101404</v>
      </c>
      <c r="H4" s="6">
        <f>G4*('Road freight EU Ref'!I3/'Road freight EU Ref'!H3)</f>
        <v>7.1069811814202817</v>
      </c>
      <c r="I4" s="6">
        <f>H4*('Road freight EU Ref'!J3/'Road freight EU Ref'!I3)</f>
        <v>7.3805621921304212</v>
      </c>
      <c r="J4" s="6">
        <f>I4*('Road freight EU Ref'!K3/'Road freight EU Ref'!J3)</f>
        <v>7.6541432028405589</v>
      </c>
      <c r="K4" s="6">
        <f>J4*('Road freight EU Ref'!L3/'Road freight EU Ref'!K3)</f>
        <v>7.8421944002533683</v>
      </c>
      <c r="L4" s="6">
        <f>K4*('Road freight EU Ref'!M3/'Road freight EU Ref'!L3)</f>
        <v>8.0302455976661786</v>
      </c>
      <c r="M4" s="6">
        <f>L4*('Road freight EU Ref'!N3/'Road freight EU Ref'!M3)</f>
        <v>8.218296795078988</v>
      </c>
      <c r="N4" s="6">
        <f>M4*('Road freight EU Ref'!O3/'Road freight EU Ref'!N3)</f>
        <v>8.4063479924917974</v>
      </c>
      <c r="O4" s="6">
        <f>N4*('Road freight EU Ref'!P3/'Road freight EU Ref'!O3)</f>
        <v>8.5943991899046068</v>
      </c>
      <c r="P4" s="6">
        <f>O4*('Road freight EU Ref'!Q3/'Road freight EU Ref'!P3)</f>
        <v>8.7123510074217148</v>
      </c>
      <c r="Q4" s="6">
        <f>P4*('Road freight EU Ref'!R3/'Road freight EU Ref'!Q3)</f>
        <v>8.8303028249388227</v>
      </c>
      <c r="R4" s="6">
        <f>Q4*('Road freight EU Ref'!S3/'Road freight EU Ref'!R3)</f>
        <v>8.9482546424559324</v>
      </c>
      <c r="S4" s="6">
        <f>R4*('Road freight EU Ref'!T3/'Road freight EU Ref'!S3)</f>
        <v>9.0662064599730421</v>
      </c>
      <c r="T4" s="6">
        <f>S4*('Road freight EU Ref'!U3/'Road freight EU Ref'!T3)</f>
        <v>9.18415827749015</v>
      </c>
      <c r="U4" s="6">
        <f>T4*('Road freight EU Ref'!V3/'Road freight EU Ref'!U3)</f>
        <v>9.2901159225003624</v>
      </c>
      <c r="V4" s="6">
        <f>U4*('Road freight EU Ref'!W3/'Road freight EU Ref'!V3)</f>
        <v>9.3960735675105749</v>
      </c>
      <c r="W4" s="6">
        <f>V4*('Road freight EU Ref'!X3/'Road freight EU Ref'!W3)</f>
        <v>9.5020312125207873</v>
      </c>
      <c r="X4" s="6">
        <f>W4*('Road freight EU Ref'!Y3/'Road freight EU Ref'!X3)</f>
        <v>9.6079888575309997</v>
      </c>
      <c r="Y4" s="6">
        <f>X4*('Road freight EU Ref'!Z3/'Road freight EU Ref'!Y3)</f>
        <v>9.7139465025412086</v>
      </c>
      <c r="Z4" s="6">
        <f>Y4*('Road freight EU Ref'!AA3/'Road freight EU Ref'!Z3)</f>
        <v>9.7881695646626437</v>
      </c>
      <c r="AA4" s="6">
        <f>Z4*('Road freight EU Ref'!AB3/'Road freight EU Ref'!AA3)</f>
        <v>9.8623926267840805</v>
      </c>
      <c r="AB4" s="6">
        <f>AA4*('Road freight EU Ref'!AC3/'Road freight EU Ref'!AB3)</f>
        <v>9.9366156889055173</v>
      </c>
      <c r="AC4" s="6">
        <f>AB4*('Road freight EU Ref'!AD3/'Road freight EU Ref'!AC3)</f>
        <v>10.010838751026952</v>
      </c>
      <c r="AD4" s="6">
        <f>AC4*('Road freight EU Ref'!AE3/'Road freight EU Ref'!AD3)</f>
        <v>10.085061813148386</v>
      </c>
      <c r="AE4" s="6">
        <f>AD4*('Road freight EU Ref'!AF3/'Road freight EU Ref'!AE3)</f>
        <v>10.12289686243825</v>
      </c>
      <c r="AF4" s="6">
        <f>AE4*('Road freight EU Ref'!AG3/'Road freight EU Ref'!AF3)</f>
        <v>10.160731911728114</v>
      </c>
      <c r="AG4" s="6">
        <f>AF4*('Road freight EU Ref'!AH3/'Road freight EU Ref'!AG3)</f>
        <v>10.198566961017978</v>
      </c>
      <c r="AH4" s="6">
        <f>AG4*('Road freight EU Ref'!AI3/'Road freight EU Ref'!AH3)</f>
        <v>10.236402010307842</v>
      </c>
      <c r="AI4" s="6">
        <f>AH4*('Road freight EU Ref'!AJ3/'Road freight EU Ref'!AI3)</f>
        <v>10.274237059597704</v>
      </c>
      <c r="AJ4" s="17">
        <f>AI4</f>
        <v>10.274237059597704</v>
      </c>
      <c r="AK4" s="17">
        <f t="shared" ref="AK4:BC4" si="0">AJ4</f>
        <v>10.274237059597704</v>
      </c>
      <c r="AL4" s="17">
        <f t="shared" si="0"/>
        <v>10.274237059597704</v>
      </c>
      <c r="AM4" s="17">
        <f t="shared" si="0"/>
        <v>10.274237059597704</v>
      </c>
      <c r="AN4" s="17">
        <f t="shared" si="0"/>
        <v>10.274237059597704</v>
      </c>
      <c r="AO4" s="17">
        <f t="shared" si="0"/>
        <v>10.274237059597704</v>
      </c>
      <c r="AP4" s="17">
        <f t="shared" si="0"/>
        <v>10.274237059597704</v>
      </c>
      <c r="AQ4" s="17">
        <f t="shared" si="0"/>
        <v>10.274237059597704</v>
      </c>
      <c r="AR4" s="17">
        <f t="shared" si="0"/>
        <v>10.274237059597704</v>
      </c>
      <c r="AS4" s="17">
        <f t="shared" si="0"/>
        <v>10.274237059597704</v>
      </c>
      <c r="AT4" s="17">
        <f t="shared" si="0"/>
        <v>10.274237059597704</v>
      </c>
      <c r="AU4" s="17">
        <f t="shared" si="0"/>
        <v>10.274237059597704</v>
      </c>
      <c r="AV4" s="17">
        <f t="shared" si="0"/>
        <v>10.274237059597704</v>
      </c>
      <c r="AW4" s="17">
        <f t="shared" si="0"/>
        <v>10.274237059597704</v>
      </c>
      <c r="AX4" s="17">
        <f t="shared" si="0"/>
        <v>10.274237059597704</v>
      </c>
      <c r="AY4" s="17">
        <f t="shared" si="0"/>
        <v>10.274237059597704</v>
      </c>
      <c r="AZ4" s="17">
        <f t="shared" si="0"/>
        <v>10.274237059597704</v>
      </c>
      <c r="BA4" s="17">
        <f t="shared" si="0"/>
        <v>10.274237059597704</v>
      </c>
      <c r="BB4" s="17">
        <f t="shared" si="0"/>
        <v>10.274237059597704</v>
      </c>
      <c r="BC4" s="17">
        <f t="shared" si="0"/>
        <v>10.274237059597704</v>
      </c>
    </row>
    <row r="5" spans="1:55" x14ac:dyDescent="0.3">
      <c r="B5" t="s">
        <v>4</v>
      </c>
      <c r="C5" s="4">
        <v>11.195742957000002</v>
      </c>
      <c r="D5" s="4">
        <v>11.347659705</v>
      </c>
      <c r="E5" s="4">
        <v>10.627549374999999</v>
      </c>
      <c r="F5" s="4">
        <v>12.353805455</v>
      </c>
      <c r="G5" s="6">
        <f>F5*('Road freight EU Ref'!H4/'Road freight EU Ref'!G4)</f>
        <v>12.642270307752643</v>
      </c>
      <c r="H5" s="6">
        <f>G5*('Road freight EU Ref'!I4/'Road freight EU Ref'!H4)</f>
        <v>12.930735160505284</v>
      </c>
      <c r="I5" s="6">
        <f>H5*('Road freight EU Ref'!J4/'Road freight EU Ref'!I4)</f>
        <v>13.219200013257927</v>
      </c>
      <c r="J5" s="6">
        <f>I5*('Road freight EU Ref'!K4/'Road freight EU Ref'!J4)</f>
        <v>13.507664866010568</v>
      </c>
      <c r="K5" s="6">
        <f>J5*('Road freight EU Ref'!L4/'Road freight EU Ref'!K4)</f>
        <v>13.559951839974435</v>
      </c>
      <c r="L5" s="6">
        <f>K5*('Road freight EU Ref'!M4/'Road freight EU Ref'!L4)</f>
        <v>13.612238813938301</v>
      </c>
      <c r="M5" s="6">
        <f>L5*('Road freight EU Ref'!N4/'Road freight EU Ref'!M4)</f>
        <v>13.664525787902166</v>
      </c>
      <c r="N5" s="6">
        <f>M5*('Road freight EU Ref'!O4/'Road freight EU Ref'!N4)</f>
        <v>13.716812761866032</v>
      </c>
      <c r="O5" s="6">
        <f>N5*('Road freight EU Ref'!P4/'Road freight EU Ref'!O4)</f>
        <v>13.769099735829897</v>
      </c>
      <c r="P5" s="6">
        <f>O5*('Road freight EU Ref'!Q4/'Road freight EU Ref'!P4)</f>
        <v>13.803402150155947</v>
      </c>
      <c r="Q5" s="6">
        <f>P5*('Road freight EU Ref'!R4/'Road freight EU Ref'!Q4)</f>
        <v>13.837704564481998</v>
      </c>
      <c r="R5" s="6">
        <f>Q5*('Road freight EU Ref'!S4/'Road freight EU Ref'!R4)</f>
        <v>13.872006978808049</v>
      </c>
      <c r="S5" s="6">
        <f>R5*('Road freight EU Ref'!T4/'Road freight EU Ref'!S4)</f>
        <v>13.9063093931341</v>
      </c>
      <c r="T5" s="6">
        <f>S5*('Road freight EU Ref'!U4/'Road freight EU Ref'!T4)</f>
        <v>13.940611807460151</v>
      </c>
      <c r="U5" s="6">
        <f>T5*('Road freight EU Ref'!V4/'Road freight EU Ref'!U4)</f>
        <v>13.995100126190765</v>
      </c>
      <c r="V5" s="6">
        <f>U5*('Road freight EU Ref'!W4/'Road freight EU Ref'!V4)</f>
        <v>14.04958844492138</v>
      </c>
      <c r="W5" s="6">
        <f>V5*('Road freight EU Ref'!X4/'Road freight EU Ref'!W4)</f>
        <v>14.104076763651994</v>
      </c>
      <c r="X5" s="6">
        <f>W5*('Road freight EU Ref'!Y4/'Road freight EU Ref'!X4)</f>
        <v>14.158565082382609</v>
      </c>
      <c r="Y5" s="6">
        <f>X5*('Road freight EU Ref'!Z4/'Road freight EU Ref'!Y4)</f>
        <v>14.213053401113223</v>
      </c>
      <c r="Z5" s="6">
        <f>Y5*('Road freight EU Ref'!AA4/'Road freight EU Ref'!Z4)</f>
        <v>14.278020381450105</v>
      </c>
      <c r="AA5" s="6">
        <f>Z5*('Road freight EU Ref'!AB4/'Road freight EU Ref'!AA4)</f>
        <v>14.342987361786989</v>
      </c>
      <c r="AB5" s="6">
        <f>AA5*('Road freight EU Ref'!AC4/'Road freight EU Ref'!AB4)</f>
        <v>14.407954342123874</v>
      </c>
      <c r="AC5" s="6">
        <f>AB5*('Road freight EU Ref'!AD4/'Road freight EU Ref'!AC4)</f>
        <v>14.472921322460758</v>
      </c>
      <c r="AD5" s="6">
        <f>AC5*('Road freight EU Ref'!AE4/'Road freight EU Ref'!AD4)</f>
        <v>14.537888302797642</v>
      </c>
      <c r="AE5" s="6">
        <f>AD5*('Road freight EU Ref'!AF4/'Road freight EU Ref'!AE4)</f>
        <v>14.595813614551295</v>
      </c>
      <c r="AF5" s="6">
        <f>AE5*('Road freight EU Ref'!AG4/'Road freight EU Ref'!AF4)</f>
        <v>14.65373892630495</v>
      </c>
      <c r="AG5" s="6">
        <f>AF5*('Road freight EU Ref'!AH4/'Road freight EU Ref'!AG4)</f>
        <v>14.711664238058605</v>
      </c>
      <c r="AH5" s="6">
        <f>AG5*('Road freight EU Ref'!AI4/'Road freight EU Ref'!AH4)</f>
        <v>14.76958954981226</v>
      </c>
      <c r="AI5" s="6">
        <f>AH5*('Road freight EU Ref'!AJ4/'Road freight EU Ref'!AI4)</f>
        <v>14.827514861565918</v>
      </c>
      <c r="AJ5" s="17">
        <f t="shared" ref="AJ5:BC17" si="1">AI5</f>
        <v>14.827514861565918</v>
      </c>
      <c r="AK5" s="17">
        <f t="shared" si="1"/>
        <v>14.827514861565918</v>
      </c>
      <c r="AL5" s="17">
        <f t="shared" si="1"/>
        <v>14.827514861565918</v>
      </c>
      <c r="AM5" s="17">
        <f t="shared" si="1"/>
        <v>14.827514861565918</v>
      </c>
      <c r="AN5" s="17">
        <f t="shared" si="1"/>
        <v>14.827514861565918</v>
      </c>
      <c r="AO5" s="17">
        <f t="shared" si="1"/>
        <v>14.827514861565918</v>
      </c>
      <c r="AP5" s="17">
        <f t="shared" si="1"/>
        <v>14.827514861565918</v>
      </c>
      <c r="AQ5" s="17">
        <f t="shared" si="1"/>
        <v>14.827514861565918</v>
      </c>
      <c r="AR5" s="17">
        <f t="shared" si="1"/>
        <v>14.827514861565918</v>
      </c>
      <c r="AS5" s="17">
        <f t="shared" si="1"/>
        <v>14.827514861565918</v>
      </c>
      <c r="AT5" s="17">
        <f t="shared" si="1"/>
        <v>14.827514861565918</v>
      </c>
      <c r="AU5" s="17">
        <f t="shared" si="1"/>
        <v>14.827514861565918</v>
      </c>
      <c r="AV5" s="17">
        <f t="shared" si="1"/>
        <v>14.827514861565918</v>
      </c>
      <c r="AW5" s="17">
        <f t="shared" si="1"/>
        <v>14.827514861565918</v>
      </c>
      <c r="AX5" s="17">
        <f t="shared" si="1"/>
        <v>14.827514861565918</v>
      </c>
      <c r="AY5" s="17">
        <f t="shared" si="1"/>
        <v>14.827514861565918</v>
      </c>
      <c r="AZ5" s="17">
        <f t="shared" si="1"/>
        <v>14.827514861565918</v>
      </c>
      <c r="BA5" s="17">
        <f t="shared" si="1"/>
        <v>14.827514861565918</v>
      </c>
      <c r="BB5" s="17">
        <f t="shared" si="1"/>
        <v>14.827514861565918</v>
      </c>
      <c r="BC5" s="17">
        <f t="shared" si="1"/>
        <v>14.827514861565918</v>
      </c>
    </row>
    <row r="6" spans="1:55" x14ac:dyDescent="0.3">
      <c r="B6" t="s">
        <v>3</v>
      </c>
      <c r="C6" s="4">
        <v>2.4908733359999999</v>
      </c>
      <c r="D6" s="4">
        <v>2.4459016770000002</v>
      </c>
      <c r="E6" s="4">
        <v>2.3552495850000001</v>
      </c>
      <c r="F6" s="4">
        <v>2.2599780810000003</v>
      </c>
      <c r="G6" s="6">
        <f>F6*('Road freight EU Ref'!H5/'Road freight EU Ref'!G5)</f>
        <v>2.3008356268876331</v>
      </c>
      <c r="H6" s="6">
        <f>G6*('Road freight EU Ref'!I5/'Road freight EU Ref'!H5)</f>
        <v>2.3416931727752659</v>
      </c>
      <c r="I6" s="6">
        <f>H6*('Road freight EU Ref'!J5/'Road freight EU Ref'!I5)</f>
        <v>2.3825507186628991</v>
      </c>
      <c r="J6" s="6">
        <f>I6*('Road freight EU Ref'!K5/'Road freight EU Ref'!J5)</f>
        <v>2.423408264550531</v>
      </c>
      <c r="K6" s="6">
        <f>J6*('Road freight EU Ref'!L5/'Road freight EU Ref'!K5)</f>
        <v>2.4987700185303261</v>
      </c>
      <c r="L6" s="6">
        <f>K6*('Road freight EU Ref'!M5/'Road freight EU Ref'!L5)</f>
        <v>2.5741317725101212</v>
      </c>
      <c r="M6" s="6">
        <f>L6*('Road freight EU Ref'!N5/'Road freight EU Ref'!M5)</f>
        <v>2.6494935264899158</v>
      </c>
      <c r="N6" s="6">
        <f>M6*('Road freight EU Ref'!O5/'Road freight EU Ref'!N5)</f>
        <v>2.7248552804697108</v>
      </c>
      <c r="O6" s="6">
        <f>N6*('Road freight EU Ref'!P5/'Road freight EU Ref'!O5)</f>
        <v>2.8002170344495068</v>
      </c>
      <c r="P6" s="6">
        <f>O6*('Road freight EU Ref'!Q5/'Road freight EU Ref'!P5)</f>
        <v>2.8063084328426089</v>
      </c>
      <c r="Q6" s="6">
        <f>P6*('Road freight EU Ref'!R5/'Road freight EU Ref'!Q5)</f>
        <v>2.812399831235711</v>
      </c>
      <c r="R6" s="6">
        <f>Q6*('Road freight EU Ref'!S5/'Road freight EU Ref'!R5)</f>
        <v>2.8184912296288127</v>
      </c>
      <c r="S6" s="6">
        <f>R6*('Road freight EU Ref'!T5/'Road freight EU Ref'!S5)</f>
        <v>2.8245826280219144</v>
      </c>
      <c r="T6" s="6">
        <f>S6*('Road freight EU Ref'!U5/'Road freight EU Ref'!T5)</f>
        <v>2.830674026415017</v>
      </c>
      <c r="U6" s="6">
        <f>T6*('Road freight EU Ref'!V5/'Road freight EU Ref'!U5)</f>
        <v>2.8596920895848861</v>
      </c>
      <c r="V6" s="6">
        <f>U6*('Road freight EU Ref'!W5/'Road freight EU Ref'!V5)</f>
        <v>2.8887101527547547</v>
      </c>
      <c r="W6" s="6">
        <f>V6*('Road freight EU Ref'!X5/'Road freight EU Ref'!W5)</f>
        <v>2.9177282159246238</v>
      </c>
      <c r="X6" s="6">
        <f>W6*('Road freight EU Ref'!Y5/'Road freight EU Ref'!X5)</f>
        <v>2.946746279094492</v>
      </c>
      <c r="Y6" s="6">
        <f>X6*('Road freight EU Ref'!Z5/'Road freight EU Ref'!Y5)</f>
        <v>2.9757643422643616</v>
      </c>
      <c r="Z6" s="6">
        <f>Y6*('Road freight EU Ref'!AA5/'Road freight EU Ref'!Z5)</f>
        <v>2.9921700136637823</v>
      </c>
      <c r="AA6" s="6">
        <f>Z6*('Road freight EU Ref'!AB5/'Road freight EU Ref'!AA5)</f>
        <v>3.0085756850632031</v>
      </c>
      <c r="AB6" s="6">
        <f>AA6*('Road freight EU Ref'!AC5/'Road freight EU Ref'!AB5)</f>
        <v>3.0249813564626238</v>
      </c>
      <c r="AC6" s="6">
        <f>AB6*('Road freight EU Ref'!AD5/'Road freight EU Ref'!AC5)</f>
        <v>3.0413870278620445</v>
      </c>
      <c r="AD6" s="6">
        <f>AC6*('Road freight EU Ref'!AE5/'Road freight EU Ref'!AD5)</f>
        <v>3.0577926992614661</v>
      </c>
      <c r="AE6" s="6">
        <f>AD6*('Road freight EU Ref'!AF5/'Road freight EU Ref'!AE5)</f>
        <v>3.0881295650484955</v>
      </c>
      <c r="AF6" s="6">
        <f>AE6*('Road freight EU Ref'!AG5/'Road freight EU Ref'!AF5)</f>
        <v>3.1184664308355252</v>
      </c>
      <c r="AG6" s="6">
        <f>AF6*('Road freight EU Ref'!AH5/'Road freight EU Ref'!AG5)</f>
        <v>3.1488032966225545</v>
      </c>
      <c r="AH6" s="6">
        <f>AG6*('Road freight EU Ref'!AI5/'Road freight EU Ref'!AH5)</f>
        <v>3.1791401624095839</v>
      </c>
      <c r="AI6" s="6">
        <f>AH6*('Road freight EU Ref'!AJ5/'Road freight EU Ref'!AI5)</f>
        <v>3.2094770281966132</v>
      </c>
      <c r="AJ6" s="17">
        <f t="shared" si="1"/>
        <v>3.2094770281966132</v>
      </c>
      <c r="AK6" s="17">
        <f t="shared" si="1"/>
        <v>3.2094770281966132</v>
      </c>
      <c r="AL6" s="17">
        <f t="shared" si="1"/>
        <v>3.2094770281966132</v>
      </c>
      <c r="AM6" s="17">
        <f t="shared" si="1"/>
        <v>3.2094770281966132</v>
      </c>
      <c r="AN6" s="17">
        <f t="shared" si="1"/>
        <v>3.2094770281966132</v>
      </c>
      <c r="AO6" s="17">
        <f t="shared" si="1"/>
        <v>3.2094770281966132</v>
      </c>
      <c r="AP6" s="17">
        <f t="shared" si="1"/>
        <v>3.2094770281966132</v>
      </c>
      <c r="AQ6" s="17">
        <f t="shared" si="1"/>
        <v>3.2094770281966132</v>
      </c>
      <c r="AR6" s="17">
        <f t="shared" si="1"/>
        <v>3.2094770281966132</v>
      </c>
      <c r="AS6" s="17">
        <f t="shared" si="1"/>
        <v>3.2094770281966132</v>
      </c>
      <c r="AT6" s="17">
        <f t="shared" si="1"/>
        <v>3.2094770281966132</v>
      </c>
      <c r="AU6" s="17">
        <f t="shared" si="1"/>
        <v>3.2094770281966132</v>
      </c>
      <c r="AV6" s="17">
        <f t="shared" si="1"/>
        <v>3.2094770281966132</v>
      </c>
      <c r="AW6" s="17">
        <f t="shared" si="1"/>
        <v>3.2094770281966132</v>
      </c>
      <c r="AX6" s="17">
        <f t="shared" si="1"/>
        <v>3.2094770281966132</v>
      </c>
      <c r="AY6" s="17">
        <f t="shared" si="1"/>
        <v>3.2094770281966132</v>
      </c>
      <c r="AZ6" s="17">
        <f t="shared" si="1"/>
        <v>3.2094770281966132</v>
      </c>
      <c r="BA6" s="17">
        <f t="shared" si="1"/>
        <v>3.2094770281966132</v>
      </c>
      <c r="BB6" s="17">
        <f t="shared" si="1"/>
        <v>3.2094770281966132</v>
      </c>
      <c r="BC6" s="17">
        <f t="shared" si="1"/>
        <v>3.2094770281966132</v>
      </c>
    </row>
    <row r="7" spans="1:55" x14ac:dyDescent="0.3">
      <c r="B7" t="s">
        <v>15</v>
      </c>
      <c r="C7" s="4">
        <v>1.5146746099999999</v>
      </c>
      <c r="D7" s="4">
        <v>1.4927900260000002</v>
      </c>
      <c r="E7" s="4">
        <v>1.4463114429999999</v>
      </c>
      <c r="F7" s="4">
        <v>1.425547208</v>
      </c>
      <c r="G7" s="6">
        <f>F7*('Road freight EU Ref'!H6/'Road freight EU Ref'!G6)</f>
        <v>1.4567793615145912</v>
      </c>
      <c r="H7" s="6">
        <f>G7*('Road freight EU Ref'!I6/'Road freight EU Ref'!H6)</f>
        <v>1.4880115150291826</v>
      </c>
      <c r="I7" s="6">
        <f>H7*('Road freight EU Ref'!J6/'Road freight EU Ref'!I6)</f>
        <v>1.5192436685437738</v>
      </c>
      <c r="J7" s="6">
        <f>I7*('Road freight EU Ref'!K6/'Road freight EU Ref'!J6)</f>
        <v>1.5504758220583648</v>
      </c>
      <c r="K7" s="6">
        <f>J7*('Road freight EU Ref'!L6/'Road freight EU Ref'!K6)</f>
        <v>1.570041012218981</v>
      </c>
      <c r="L7" s="6">
        <f>K7*('Road freight EU Ref'!M6/'Road freight EU Ref'!L6)</f>
        <v>1.5896062023795969</v>
      </c>
      <c r="M7" s="6">
        <f>L7*('Road freight EU Ref'!N6/'Road freight EU Ref'!M6)</f>
        <v>1.6091713925402131</v>
      </c>
      <c r="N7" s="6">
        <f>M7*('Road freight EU Ref'!O6/'Road freight EU Ref'!N6)</f>
        <v>1.6287365827008293</v>
      </c>
      <c r="O7" s="6">
        <f>N7*('Road freight EU Ref'!P6/'Road freight EU Ref'!O6)</f>
        <v>1.6483017728614455</v>
      </c>
      <c r="P7" s="6">
        <f>O7*('Road freight EU Ref'!Q6/'Road freight EU Ref'!P6)</f>
        <v>1.6688062158387205</v>
      </c>
      <c r="Q7" s="6">
        <f>P7*('Road freight EU Ref'!R6/'Road freight EU Ref'!Q6)</f>
        <v>1.6893106588159954</v>
      </c>
      <c r="R7" s="6">
        <f>Q7*('Road freight EU Ref'!S6/'Road freight EU Ref'!R6)</f>
        <v>1.7098151017932706</v>
      </c>
      <c r="S7" s="6">
        <f>R7*('Road freight EU Ref'!T6/'Road freight EU Ref'!S6)</f>
        <v>1.7303195447705455</v>
      </c>
      <c r="T7" s="6">
        <f>S7*('Road freight EU Ref'!U6/'Road freight EU Ref'!T6)</f>
        <v>1.7508239877478213</v>
      </c>
      <c r="U7" s="6">
        <f>T7*('Road freight EU Ref'!V6/'Road freight EU Ref'!U6)</f>
        <v>1.7703108315144993</v>
      </c>
      <c r="V7" s="6">
        <f>U7*('Road freight EU Ref'!W6/'Road freight EU Ref'!V6)</f>
        <v>1.7897976752811775</v>
      </c>
      <c r="W7" s="6">
        <f>V7*('Road freight EU Ref'!X6/'Road freight EU Ref'!W6)</f>
        <v>1.8092845190478557</v>
      </c>
      <c r="X7" s="6">
        <f>W7*('Road freight EU Ref'!Y6/'Road freight EU Ref'!X6)</f>
        <v>1.8287713628145339</v>
      </c>
      <c r="Y7" s="6">
        <f>X7*('Road freight EU Ref'!Z6/'Road freight EU Ref'!Y6)</f>
        <v>1.8482582065812116</v>
      </c>
      <c r="Z7" s="6">
        <f>Y7*('Road freight EU Ref'!AA6/'Road freight EU Ref'!Z6)</f>
        <v>1.8590889681846723</v>
      </c>
      <c r="AA7" s="6">
        <f>Z7*('Road freight EU Ref'!AB6/'Road freight EU Ref'!AA6)</f>
        <v>1.8699197297881331</v>
      </c>
      <c r="AB7" s="6">
        <f>AA7*('Road freight EU Ref'!AC6/'Road freight EU Ref'!AB6)</f>
        <v>1.8807504913915938</v>
      </c>
      <c r="AC7" s="6">
        <f>AB7*('Road freight EU Ref'!AD6/'Road freight EU Ref'!AC6)</f>
        <v>1.8915812529950544</v>
      </c>
      <c r="AD7" s="6">
        <f>AC7*('Road freight EU Ref'!AE6/'Road freight EU Ref'!AD6)</f>
        <v>1.9024120145985159</v>
      </c>
      <c r="AE7" s="6">
        <f>AD7*('Road freight EU Ref'!AF6/'Road freight EU Ref'!AE6)</f>
        <v>1.9138593194476972</v>
      </c>
      <c r="AF7" s="6">
        <f>AE7*('Road freight EU Ref'!AG6/'Road freight EU Ref'!AF6)</f>
        <v>1.9253066242968782</v>
      </c>
      <c r="AG7" s="6">
        <f>AF7*('Road freight EU Ref'!AH6/'Road freight EU Ref'!AG6)</f>
        <v>1.9367539291460591</v>
      </c>
      <c r="AH7" s="6">
        <f>AG7*('Road freight EU Ref'!AI6/'Road freight EU Ref'!AH6)</f>
        <v>1.9482012339952404</v>
      </c>
      <c r="AI7" s="6">
        <f>AH7*('Road freight EU Ref'!AJ6/'Road freight EU Ref'!AI6)</f>
        <v>1.959648538844422</v>
      </c>
      <c r="AJ7" s="17">
        <f t="shared" si="1"/>
        <v>1.959648538844422</v>
      </c>
      <c r="AK7" s="17">
        <f t="shared" si="1"/>
        <v>1.959648538844422</v>
      </c>
      <c r="AL7" s="17">
        <f t="shared" si="1"/>
        <v>1.959648538844422</v>
      </c>
      <c r="AM7" s="17">
        <f t="shared" si="1"/>
        <v>1.959648538844422</v>
      </c>
      <c r="AN7" s="17">
        <f t="shared" si="1"/>
        <v>1.959648538844422</v>
      </c>
      <c r="AO7" s="17">
        <f t="shared" si="1"/>
        <v>1.959648538844422</v>
      </c>
      <c r="AP7" s="17">
        <f t="shared" si="1"/>
        <v>1.959648538844422</v>
      </c>
      <c r="AQ7" s="17">
        <f t="shared" si="1"/>
        <v>1.959648538844422</v>
      </c>
      <c r="AR7" s="17">
        <f t="shared" si="1"/>
        <v>1.959648538844422</v>
      </c>
      <c r="AS7" s="17">
        <f t="shared" si="1"/>
        <v>1.959648538844422</v>
      </c>
      <c r="AT7" s="17">
        <f t="shared" si="1"/>
        <v>1.959648538844422</v>
      </c>
      <c r="AU7" s="17">
        <f t="shared" si="1"/>
        <v>1.959648538844422</v>
      </c>
      <c r="AV7" s="17">
        <f t="shared" si="1"/>
        <v>1.959648538844422</v>
      </c>
      <c r="AW7" s="17">
        <f t="shared" si="1"/>
        <v>1.959648538844422</v>
      </c>
      <c r="AX7" s="17">
        <f t="shared" si="1"/>
        <v>1.959648538844422</v>
      </c>
      <c r="AY7" s="17">
        <f t="shared" si="1"/>
        <v>1.959648538844422</v>
      </c>
      <c r="AZ7" s="17">
        <f t="shared" si="1"/>
        <v>1.959648538844422</v>
      </c>
      <c r="BA7" s="17">
        <f t="shared" si="1"/>
        <v>1.959648538844422</v>
      </c>
      <c r="BB7" s="17">
        <f t="shared" si="1"/>
        <v>1.959648538844422</v>
      </c>
      <c r="BC7" s="17">
        <f t="shared" si="1"/>
        <v>1.959648538844422</v>
      </c>
    </row>
    <row r="8" spans="1:55" x14ac:dyDescent="0.3">
      <c r="B8" t="s">
        <v>5</v>
      </c>
      <c r="C8" s="4">
        <v>6.5322268559999994</v>
      </c>
      <c r="D8" s="4">
        <v>6.5730812340000009</v>
      </c>
      <c r="E8" s="4">
        <v>6.3923406550000008</v>
      </c>
      <c r="F8" s="4">
        <v>6.5422600269999993</v>
      </c>
      <c r="G8" s="6">
        <f>F8*('Road freight EU Ref'!H7/'Road freight EU Ref'!G7)</f>
        <v>6.7264814147367096</v>
      </c>
      <c r="H8" s="6">
        <f>G8*('Road freight EU Ref'!I7/'Road freight EU Ref'!H7)</f>
        <v>6.9107028024734189</v>
      </c>
      <c r="I8" s="6">
        <f>H8*('Road freight EU Ref'!J7/'Road freight EU Ref'!I7)</f>
        <v>7.0949241902101292</v>
      </c>
      <c r="J8" s="6">
        <f>I8*('Road freight EU Ref'!K7/'Road freight EU Ref'!J7)</f>
        <v>7.2791455779468404</v>
      </c>
      <c r="K8" s="6">
        <f>J8*('Road freight EU Ref'!L7/'Road freight EU Ref'!K7)</f>
        <v>7.4154275182408318</v>
      </c>
      <c r="L8" s="6">
        <f>K8*('Road freight EU Ref'!M7/'Road freight EU Ref'!L7)</f>
        <v>7.5517094585348232</v>
      </c>
      <c r="M8" s="6">
        <f>L8*('Road freight EU Ref'!N7/'Road freight EU Ref'!M7)</f>
        <v>7.6879913988288138</v>
      </c>
      <c r="N8" s="6">
        <f>M8*('Road freight EU Ref'!O7/'Road freight EU Ref'!N7)</f>
        <v>7.8242733391228043</v>
      </c>
      <c r="O8" s="6">
        <f>N8*('Road freight EU Ref'!P7/'Road freight EU Ref'!O7)</f>
        <v>7.9605552794167966</v>
      </c>
      <c r="P8" s="6">
        <f>O8*('Road freight EU Ref'!Q7/'Road freight EU Ref'!P7)</f>
        <v>8.0439710186351103</v>
      </c>
      <c r="Q8" s="6">
        <f>P8*('Road freight EU Ref'!R7/'Road freight EU Ref'!Q7)</f>
        <v>8.127386757853424</v>
      </c>
      <c r="R8" s="6">
        <f>Q8*('Road freight EU Ref'!S7/'Road freight EU Ref'!R7)</f>
        <v>8.2108024970717359</v>
      </c>
      <c r="S8" s="6">
        <f>R8*('Road freight EU Ref'!T7/'Road freight EU Ref'!S7)</f>
        <v>8.2942182362900478</v>
      </c>
      <c r="T8" s="6">
        <f>S8*('Road freight EU Ref'!U7/'Road freight EU Ref'!T7)</f>
        <v>8.3776339755083615</v>
      </c>
      <c r="U8" s="6">
        <f>T8*('Road freight EU Ref'!V7/'Road freight EU Ref'!U7)</f>
        <v>8.4789939425569862</v>
      </c>
      <c r="V8" s="6">
        <f>U8*('Road freight EU Ref'!W7/'Road freight EU Ref'!V7)</f>
        <v>8.5803539096056127</v>
      </c>
      <c r="W8" s="6">
        <f>V8*('Road freight EU Ref'!X7/'Road freight EU Ref'!W7)</f>
        <v>8.6817138766542392</v>
      </c>
      <c r="X8" s="6">
        <f>W8*('Road freight EU Ref'!Y7/'Road freight EU Ref'!X7)</f>
        <v>8.7830738437028657</v>
      </c>
      <c r="Y8" s="6">
        <f>X8*('Road freight EU Ref'!Z7/'Road freight EU Ref'!Y7)</f>
        <v>8.8844338107514904</v>
      </c>
      <c r="Z8" s="6">
        <f>Y8*('Road freight EU Ref'!AA7/'Road freight EU Ref'!Z7)</f>
        <v>8.9498846741943652</v>
      </c>
      <c r="AA8" s="6">
        <f>Z8*('Road freight EU Ref'!AB7/'Road freight EU Ref'!AA7)</f>
        <v>9.0153355376372399</v>
      </c>
      <c r="AB8" s="6">
        <f>AA8*('Road freight EU Ref'!AC7/'Road freight EU Ref'!AB7)</f>
        <v>9.0807864010801147</v>
      </c>
      <c r="AC8" s="6">
        <f>AB8*('Road freight EU Ref'!AD7/'Road freight EU Ref'!AC7)</f>
        <v>9.1462372645229877</v>
      </c>
      <c r="AD8" s="6">
        <f>AC8*('Road freight EU Ref'!AE7/'Road freight EU Ref'!AD7)</f>
        <v>9.2116881279658624</v>
      </c>
      <c r="AE8" s="6">
        <f>AD8*('Road freight EU Ref'!AF7/'Road freight EU Ref'!AE7)</f>
        <v>9.283411557723932</v>
      </c>
      <c r="AF8" s="6">
        <f>AE8*('Road freight EU Ref'!AG7/'Road freight EU Ref'!AF7)</f>
        <v>9.3551349874820016</v>
      </c>
      <c r="AG8" s="6">
        <f>AF8*('Road freight EU Ref'!AH7/'Road freight EU Ref'!AG7)</f>
        <v>9.4268584172400711</v>
      </c>
      <c r="AH8" s="6">
        <f>AG8*('Road freight EU Ref'!AI7/'Road freight EU Ref'!AH7)</f>
        <v>9.4985818469981407</v>
      </c>
      <c r="AI8" s="6">
        <f>AH8*('Road freight EU Ref'!AJ7/'Road freight EU Ref'!AI7)</f>
        <v>9.5703052767562085</v>
      </c>
      <c r="AJ8" s="17">
        <f t="shared" si="1"/>
        <v>9.5703052767562085</v>
      </c>
      <c r="AK8" s="17">
        <f t="shared" si="1"/>
        <v>9.5703052767562085</v>
      </c>
      <c r="AL8" s="17">
        <f t="shared" si="1"/>
        <v>9.5703052767562085</v>
      </c>
      <c r="AM8" s="17">
        <f t="shared" si="1"/>
        <v>9.5703052767562085</v>
      </c>
      <c r="AN8" s="17">
        <f t="shared" si="1"/>
        <v>9.5703052767562085</v>
      </c>
      <c r="AO8" s="17">
        <f t="shared" si="1"/>
        <v>9.5703052767562085</v>
      </c>
      <c r="AP8" s="17">
        <f t="shared" si="1"/>
        <v>9.5703052767562085</v>
      </c>
      <c r="AQ8" s="17">
        <f t="shared" si="1"/>
        <v>9.5703052767562085</v>
      </c>
      <c r="AR8" s="17">
        <f t="shared" si="1"/>
        <v>9.5703052767562085</v>
      </c>
      <c r="AS8" s="17">
        <f t="shared" si="1"/>
        <v>9.5703052767562085</v>
      </c>
      <c r="AT8" s="17">
        <f t="shared" si="1"/>
        <v>9.5703052767562085</v>
      </c>
      <c r="AU8" s="17">
        <f t="shared" si="1"/>
        <v>9.5703052767562085</v>
      </c>
      <c r="AV8" s="17">
        <f t="shared" si="1"/>
        <v>9.5703052767562085</v>
      </c>
      <c r="AW8" s="17">
        <f t="shared" si="1"/>
        <v>9.5703052767562085</v>
      </c>
      <c r="AX8" s="17">
        <f t="shared" si="1"/>
        <v>9.5703052767562085</v>
      </c>
      <c r="AY8" s="17">
        <f t="shared" si="1"/>
        <v>9.5703052767562085</v>
      </c>
      <c r="AZ8" s="17">
        <f t="shared" si="1"/>
        <v>9.5703052767562085</v>
      </c>
      <c r="BA8" s="17">
        <f t="shared" si="1"/>
        <v>9.5703052767562085</v>
      </c>
      <c r="BB8" s="17">
        <f t="shared" si="1"/>
        <v>9.5703052767562085</v>
      </c>
      <c r="BC8" s="17">
        <f t="shared" si="1"/>
        <v>9.5703052767562085</v>
      </c>
    </row>
    <row r="9" spans="1:55" x14ac:dyDescent="0.3">
      <c r="B9" t="s">
        <v>7</v>
      </c>
      <c r="C9" s="4">
        <v>42.432037950000009</v>
      </c>
      <c r="D9" s="4">
        <v>43.881096139999997</v>
      </c>
      <c r="E9" s="4">
        <v>42.948136594000005</v>
      </c>
      <c r="F9" s="4">
        <v>45.016140636999999</v>
      </c>
      <c r="G9" s="6">
        <f>F9*('Road freight EU Ref'!H8/'Road freight EU Ref'!G8)</f>
        <v>46.238068795597506</v>
      </c>
      <c r="H9" s="6">
        <f>G9*('Road freight EU Ref'!I8/'Road freight EU Ref'!H8)</f>
        <v>47.45999695419502</v>
      </c>
      <c r="I9" s="6">
        <f>H9*('Road freight EU Ref'!J8/'Road freight EU Ref'!I8)</f>
        <v>48.681925112792534</v>
      </c>
      <c r="J9" s="6">
        <f>I9*('Road freight EU Ref'!K8/'Road freight EU Ref'!J8)</f>
        <v>49.903853271390027</v>
      </c>
      <c r="K9" s="6">
        <f>J9*('Road freight EU Ref'!L8/'Road freight EU Ref'!K8)</f>
        <v>50.874946574156574</v>
      </c>
      <c r="L9" s="6">
        <f>K9*('Road freight EU Ref'!M8/'Road freight EU Ref'!L8)</f>
        <v>51.846039876923122</v>
      </c>
      <c r="M9" s="6">
        <f>L9*('Road freight EU Ref'!N8/'Road freight EU Ref'!M8)</f>
        <v>52.817133179689677</v>
      </c>
      <c r="N9" s="6">
        <f>M9*('Road freight EU Ref'!O8/'Road freight EU Ref'!N8)</f>
        <v>53.788226482456224</v>
      </c>
      <c r="O9" s="6">
        <f>N9*('Road freight EU Ref'!P8/'Road freight EU Ref'!O8)</f>
        <v>54.759319785222765</v>
      </c>
      <c r="P9" s="6">
        <f>O9*('Road freight EU Ref'!Q8/'Road freight EU Ref'!P8)</f>
        <v>55.09333179481937</v>
      </c>
      <c r="Q9" s="6">
        <f>P9*('Road freight EU Ref'!R8/'Road freight EU Ref'!Q8)</f>
        <v>55.427343804415969</v>
      </c>
      <c r="R9" s="6">
        <f>Q9*('Road freight EU Ref'!S8/'Road freight EU Ref'!R8)</f>
        <v>55.761355814012568</v>
      </c>
      <c r="S9" s="6">
        <f>R9*('Road freight EU Ref'!T8/'Road freight EU Ref'!S8)</f>
        <v>56.095367823609173</v>
      </c>
      <c r="T9" s="6">
        <f>S9*('Road freight EU Ref'!U8/'Road freight EU Ref'!T8)</f>
        <v>56.429379833205807</v>
      </c>
      <c r="U9" s="6">
        <f>T9*('Road freight EU Ref'!V8/'Road freight EU Ref'!U8)</f>
        <v>56.805556317333739</v>
      </c>
      <c r="V9" s="6">
        <f>U9*('Road freight EU Ref'!W8/'Road freight EU Ref'!V8)</f>
        <v>57.181732801461663</v>
      </c>
      <c r="W9" s="6">
        <f>V9*('Road freight EU Ref'!X8/'Road freight EU Ref'!W8)</f>
        <v>57.557909285589595</v>
      </c>
      <c r="X9" s="6">
        <f>W9*('Road freight EU Ref'!Y8/'Road freight EU Ref'!X8)</f>
        <v>57.934085769717534</v>
      </c>
      <c r="Y9" s="6">
        <f>X9*('Road freight EU Ref'!Z8/'Road freight EU Ref'!Y8)</f>
        <v>58.310262253845487</v>
      </c>
      <c r="Z9" s="6">
        <f>Y9*('Road freight EU Ref'!AA8/'Road freight EU Ref'!Z8)</f>
        <v>58.466128804813849</v>
      </c>
      <c r="AA9" s="6">
        <f>Z9*('Road freight EU Ref'!AB8/'Road freight EU Ref'!AA8)</f>
        <v>58.621995355782218</v>
      </c>
      <c r="AB9" s="6">
        <f>AA9*('Road freight EU Ref'!AC8/'Road freight EU Ref'!AB8)</f>
        <v>58.777861906750587</v>
      </c>
      <c r="AC9" s="6">
        <f>AB9*('Road freight EU Ref'!AD8/'Road freight EU Ref'!AC8)</f>
        <v>58.933728457718956</v>
      </c>
      <c r="AD9" s="6">
        <f>AC9*('Road freight EU Ref'!AE8/'Road freight EU Ref'!AD8)</f>
        <v>59.089595008687297</v>
      </c>
      <c r="AE9" s="6">
        <f>AD9*('Road freight EU Ref'!AF8/'Road freight EU Ref'!AE8)</f>
        <v>59.249894513182532</v>
      </c>
      <c r="AF9" s="6">
        <f>AE9*('Road freight EU Ref'!AG8/'Road freight EU Ref'!AF8)</f>
        <v>59.41019401767776</v>
      </c>
      <c r="AG9" s="6">
        <f>AF9*('Road freight EU Ref'!AH8/'Road freight EU Ref'!AG8)</f>
        <v>59.570493522172995</v>
      </c>
      <c r="AH9" s="6">
        <f>AG9*('Road freight EU Ref'!AI8/'Road freight EU Ref'!AH8)</f>
        <v>59.730793026668231</v>
      </c>
      <c r="AI9" s="6">
        <f>AH9*('Road freight EU Ref'!AJ8/'Road freight EU Ref'!AI8)</f>
        <v>59.891092531163459</v>
      </c>
      <c r="AJ9" s="17">
        <f t="shared" si="1"/>
        <v>59.891092531163459</v>
      </c>
      <c r="AK9" s="17">
        <f t="shared" si="1"/>
        <v>59.891092531163459</v>
      </c>
      <c r="AL9" s="17">
        <f t="shared" si="1"/>
        <v>59.891092531163459</v>
      </c>
      <c r="AM9" s="17">
        <f t="shared" si="1"/>
        <v>59.891092531163459</v>
      </c>
      <c r="AN9" s="17">
        <f t="shared" si="1"/>
        <v>59.891092531163459</v>
      </c>
      <c r="AO9" s="17">
        <f t="shared" si="1"/>
        <v>59.891092531163459</v>
      </c>
      <c r="AP9" s="17">
        <f t="shared" si="1"/>
        <v>59.891092531163459</v>
      </c>
      <c r="AQ9" s="17">
        <f t="shared" si="1"/>
        <v>59.891092531163459</v>
      </c>
      <c r="AR9" s="17">
        <f t="shared" si="1"/>
        <v>59.891092531163459</v>
      </c>
      <c r="AS9" s="17">
        <f t="shared" si="1"/>
        <v>59.891092531163459</v>
      </c>
      <c r="AT9" s="17">
        <f t="shared" si="1"/>
        <v>59.891092531163459</v>
      </c>
      <c r="AU9" s="17">
        <f t="shared" si="1"/>
        <v>59.891092531163459</v>
      </c>
      <c r="AV9" s="17">
        <f t="shared" si="1"/>
        <v>59.891092531163459</v>
      </c>
      <c r="AW9" s="17">
        <f t="shared" si="1"/>
        <v>59.891092531163459</v>
      </c>
      <c r="AX9" s="17">
        <f t="shared" si="1"/>
        <v>59.891092531163459</v>
      </c>
      <c r="AY9" s="17">
        <f t="shared" si="1"/>
        <v>59.891092531163459</v>
      </c>
      <c r="AZ9" s="17">
        <f t="shared" si="1"/>
        <v>59.891092531163459</v>
      </c>
      <c r="BA9" s="17">
        <f t="shared" si="1"/>
        <v>59.891092531163459</v>
      </c>
      <c r="BB9" s="17">
        <f t="shared" si="1"/>
        <v>59.891092531163459</v>
      </c>
      <c r="BC9" s="17">
        <f t="shared" si="1"/>
        <v>59.891092531163459</v>
      </c>
    </row>
    <row r="10" spans="1:55" x14ac:dyDescent="0.3">
      <c r="B10" t="s">
        <v>6</v>
      </c>
      <c r="C10" s="4">
        <v>6.8860713670000013</v>
      </c>
      <c r="D10" s="4">
        <v>6.687784186</v>
      </c>
      <c r="E10" s="4">
        <v>6.2055417909999999</v>
      </c>
      <c r="F10" s="4">
        <v>6.3778431700000002</v>
      </c>
      <c r="G10" s="6">
        <f>F10*('Road freight EU Ref'!H9/'Road freight EU Ref'!G9)</f>
        <v>6.586582991271059</v>
      </c>
      <c r="H10" s="6">
        <f>G10*('Road freight EU Ref'!I9/'Road freight EU Ref'!H9)</f>
        <v>6.7953228125421186</v>
      </c>
      <c r="I10" s="6">
        <f>H10*('Road freight EU Ref'!J9/'Road freight EU Ref'!I9)</f>
        <v>7.0040626338131782</v>
      </c>
      <c r="J10" s="6">
        <f>I10*('Road freight EU Ref'!K9/'Road freight EU Ref'!J9)</f>
        <v>7.2128024550842351</v>
      </c>
      <c r="K10" s="6">
        <f>J10*('Road freight EU Ref'!L9/'Road freight EU Ref'!K9)</f>
        <v>7.2812922515801066</v>
      </c>
      <c r="L10" s="6">
        <f>K10*('Road freight EU Ref'!M9/'Road freight EU Ref'!L9)</f>
        <v>7.3497820480759781</v>
      </c>
      <c r="M10" s="6">
        <f>L10*('Road freight EU Ref'!N9/'Road freight EU Ref'!M9)</f>
        <v>7.4182718445718496</v>
      </c>
      <c r="N10" s="6">
        <f>M10*('Road freight EU Ref'!O9/'Road freight EU Ref'!N9)</f>
        <v>7.4867616410677211</v>
      </c>
      <c r="O10" s="6">
        <f>N10*('Road freight EU Ref'!P9/'Road freight EU Ref'!O9)</f>
        <v>7.5552514375635926</v>
      </c>
      <c r="P10" s="6">
        <f>O10*('Road freight EU Ref'!Q9/'Road freight EU Ref'!P9)</f>
        <v>7.6186311345138868</v>
      </c>
      <c r="Q10" s="6">
        <f>P10*('Road freight EU Ref'!R9/'Road freight EU Ref'!Q9)</f>
        <v>7.6820108314641802</v>
      </c>
      <c r="R10" s="6">
        <f>Q10*('Road freight EU Ref'!S9/'Road freight EU Ref'!R9)</f>
        <v>7.7453905284144744</v>
      </c>
      <c r="S10" s="6">
        <f>R10*('Road freight EU Ref'!T9/'Road freight EU Ref'!S9)</f>
        <v>7.8087702253647686</v>
      </c>
      <c r="T10" s="6">
        <f>S10*('Road freight EU Ref'!U9/'Road freight EU Ref'!T9)</f>
        <v>7.8721499223150619</v>
      </c>
      <c r="U10" s="6">
        <f>T10*('Road freight EU Ref'!V9/'Road freight EU Ref'!U9)</f>
        <v>7.9357948921268795</v>
      </c>
      <c r="V10" s="6">
        <f>U10*('Road freight EU Ref'!W9/'Road freight EU Ref'!V9)</f>
        <v>7.9994398619386979</v>
      </c>
      <c r="W10" s="6">
        <f>V10*('Road freight EU Ref'!X9/'Road freight EU Ref'!W9)</f>
        <v>8.0630848317505173</v>
      </c>
      <c r="X10" s="6">
        <f>W10*('Road freight EU Ref'!Y9/'Road freight EU Ref'!X9)</f>
        <v>8.1267298015623357</v>
      </c>
      <c r="Y10" s="6">
        <f>X10*('Road freight EU Ref'!Z9/'Road freight EU Ref'!Y9)</f>
        <v>8.1903747713741524</v>
      </c>
      <c r="Z10" s="6">
        <f>Y10*('Road freight EU Ref'!AA9/'Road freight EU Ref'!Z9)</f>
        <v>8.2367957143230779</v>
      </c>
      <c r="AA10" s="6">
        <f>Z10*('Road freight EU Ref'!AB9/'Road freight EU Ref'!AA9)</f>
        <v>8.2832166572720034</v>
      </c>
      <c r="AB10" s="6">
        <f>AA10*('Road freight EU Ref'!AC9/'Road freight EU Ref'!AB9)</f>
        <v>8.3296376002209289</v>
      </c>
      <c r="AC10" s="6">
        <f>AB10*('Road freight EU Ref'!AD9/'Road freight EU Ref'!AC9)</f>
        <v>8.3760585431698562</v>
      </c>
      <c r="AD10" s="6">
        <f>AC10*('Road freight EU Ref'!AE9/'Road freight EU Ref'!AD9)</f>
        <v>8.4224794861187799</v>
      </c>
      <c r="AE10" s="6">
        <f>AD10*('Road freight EU Ref'!AF9/'Road freight EU Ref'!AE9)</f>
        <v>8.4689435885955984</v>
      </c>
      <c r="AF10" s="6">
        <f>AE10*('Road freight EU Ref'!AG9/'Road freight EU Ref'!AF9)</f>
        <v>8.5154076910724168</v>
      </c>
      <c r="AG10" s="6">
        <f>AF10*('Road freight EU Ref'!AH9/'Road freight EU Ref'!AG9)</f>
        <v>8.5618717935492334</v>
      </c>
      <c r="AH10" s="6">
        <f>AG10*('Road freight EU Ref'!AI9/'Road freight EU Ref'!AH9)</f>
        <v>8.6083358960260519</v>
      </c>
      <c r="AI10" s="6">
        <f>AH10*('Road freight EU Ref'!AJ9/'Road freight EU Ref'!AI9)</f>
        <v>8.6547999985028703</v>
      </c>
      <c r="AJ10" s="17">
        <f t="shared" si="1"/>
        <v>8.6547999985028703</v>
      </c>
      <c r="AK10" s="17">
        <f t="shared" si="1"/>
        <v>8.6547999985028703</v>
      </c>
      <c r="AL10" s="17">
        <f t="shared" si="1"/>
        <v>8.6547999985028703</v>
      </c>
      <c r="AM10" s="17">
        <f t="shared" si="1"/>
        <v>8.6547999985028703</v>
      </c>
      <c r="AN10" s="17">
        <f t="shared" si="1"/>
        <v>8.6547999985028703</v>
      </c>
      <c r="AO10" s="17">
        <f t="shared" si="1"/>
        <v>8.6547999985028703</v>
      </c>
      <c r="AP10" s="17">
        <f t="shared" si="1"/>
        <v>8.6547999985028703</v>
      </c>
      <c r="AQ10" s="17">
        <f t="shared" si="1"/>
        <v>8.6547999985028703</v>
      </c>
      <c r="AR10" s="17">
        <f t="shared" si="1"/>
        <v>8.6547999985028703</v>
      </c>
      <c r="AS10" s="17">
        <f t="shared" si="1"/>
        <v>8.6547999985028703</v>
      </c>
      <c r="AT10" s="17">
        <f t="shared" si="1"/>
        <v>8.6547999985028703</v>
      </c>
      <c r="AU10" s="17">
        <f t="shared" si="1"/>
        <v>8.6547999985028703</v>
      </c>
      <c r="AV10" s="17">
        <f t="shared" si="1"/>
        <v>8.6547999985028703</v>
      </c>
      <c r="AW10" s="17">
        <f t="shared" si="1"/>
        <v>8.6547999985028703</v>
      </c>
      <c r="AX10" s="17">
        <f t="shared" si="1"/>
        <v>8.6547999985028703</v>
      </c>
      <c r="AY10" s="17">
        <f t="shared" si="1"/>
        <v>8.6547999985028703</v>
      </c>
      <c r="AZ10" s="17">
        <f t="shared" si="1"/>
        <v>8.6547999985028703</v>
      </c>
      <c r="BA10" s="17">
        <f t="shared" si="1"/>
        <v>8.6547999985028703</v>
      </c>
      <c r="BB10" s="17">
        <f t="shared" si="1"/>
        <v>8.6547999985028703</v>
      </c>
      <c r="BC10" s="17">
        <f t="shared" si="1"/>
        <v>8.6547999985028703</v>
      </c>
    </row>
    <row r="11" spans="1:55" x14ac:dyDescent="0.3">
      <c r="B11" t="s">
        <v>8</v>
      </c>
      <c r="C11" s="4">
        <v>1.0705854840000002</v>
      </c>
      <c r="D11" s="4">
        <v>1.185008053</v>
      </c>
      <c r="E11" s="4">
        <v>1.22030846</v>
      </c>
      <c r="F11" s="4">
        <v>1.2994432980000001</v>
      </c>
      <c r="G11" s="6">
        <f>F11*('Road freight EU Ref'!H10/'Road freight EU Ref'!G10)</f>
        <v>1.3467518636559785</v>
      </c>
      <c r="H11" s="6">
        <f>G11*('Road freight EU Ref'!I10/'Road freight EU Ref'!H10)</f>
        <v>1.394060429311957</v>
      </c>
      <c r="I11" s="6">
        <f>H11*('Road freight EU Ref'!J10/'Road freight EU Ref'!I10)</f>
        <v>1.4413689949679351</v>
      </c>
      <c r="J11" s="6">
        <f>I11*('Road freight EU Ref'!K10/'Road freight EU Ref'!J10)</f>
        <v>1.4886775606239131</v>
      </c>
      <c r="K11" s="6">
        <f>J11*('Road freight EU Ref'!L10/'Road freight EU Ref'!K10)</f>
        <v>1.5322523432185546</v>
      </c>
      <c r="L11" s="6">
        <f>K11*('Road freight EU Ref'!M10/'Road freight EU Ref'!L10)</f>
        <v>1.5758271258131962</v>
      </c>
      <c r="M11" s="6">
        <f>L11*('Road freight EU Ref'!N10/'Road freight EU Ref'!M10)</f>
        <v>1.6194019084078375</v>
      </c>
      <c r="N11" s="6">
        <f>M11*('Road freight EU Ref'!O10/'Road freight EU Ref'!N10)</f>
        <v>1.662976691002479</v>
      </c>
      <c r="O11" s="6">
        <f>N11*('Road freight EU Ref'!P10/'Road freight EU Ref'!O10)</f>
        <v>1.7065514735971206</v>
      </c>
      <c r="P11" s="6">
        <f>O11*('Road freight EU Ref'!Q10/'Road freight EU Ref'!P10)</f>
        <v>1.7354056807430032</v>
      </c>
      <c r="Q11" s="6">
        <f>P11*('Road freight EU Ref'!R10/'Road freight EU Ref'!Q10)</f>
        <v>1.764259887888886</v>
      </c>
      <c r="R11" s="6">
        <f>Q11*('Road freight EU Ref'!S10/'Road freight EU Ref'!R10)</f>
        <v>1.7931140950347686</v>
      </c>
      <c r="S11" s="6">
        <f>R11*('Road freight EU Ref'!T10/'Road freight EU Ref'!S10)</f>
        <v>1.8219683021806512</v>
      </c>
      <c r="T11" s="6">
        <f>S11*('Road freight EU Ref'!U10/'Road freight EU Ref'!T10)</f>
        <v>1.8508225093265334</v>
      </c>
      <c r="U11" s="6">
        <f>T11*('Road freight EU Ref'!V10/'Road freight EU Ref'!U10)</f>
        <v>1.8777527799548623</v>
      </c>
      <c r="V11" s="6">
        <f>U11*('Road freight EU Ref'!W10/'Road freight EU Ref'!V10)</f>
        <v>1.9046830505831918</v>
      </c>
      <c r="W11" s="6">
        <f>V11*('Road freight EU Ref'!X10/'Road freight EU Ref'!W10)</f>
        <v>1.9316133212115207</v>
      </c>
      <c r="X11" s="6">
        <f>W11*('Road freight EU Ref'!Y10/'Road freight EU Ref'!X10)</f>
        <v>1.9585435918398497</v>
      </c>
      <c r="Y11" s="6">
        <f>X11*('Road freight EU Ref'!Z10/'Road freight EU Ref'!Y10)</f>
        <v>1.9854738624681794</v>
      </c>
      <c r="Z11" s="6">
        <f>Y11*('Road freight EU Ref'!AA10/'Road freight EU Ref'!Z10)</f>
        <v>1.9979976332382425</v>
      </c>
      <c r="AA11" s="6">
        <f>Z11*('Road freight EU Ref'!AB10/'Road freight EU Ref'!AA10)</f>
        <v>2.0105214040083057</v>
      </c>
      <c r="AB11" s="6">
        <f>AA11*('Road freight EU Ref'!AC10/'Road freight EU Ref'!AB10)</f>
        <v>2.0230451747783693</v>
      </c>
      <c r="AC11" s="6">
        <f>AB11*('Road freight EU Ref'!AD10/'Road freight EU Ref'!AC10)</f>
        <v>2.0355689455484329</v>
      </c>
      <c r="AD11" s="6">
        <f>AC11*('Road freight EU Ref'!AE10/'Road freight EU Ref'!AD10)</f>
        <v>2.0480927163184965</v>
      </c>
      <c r="AE11" s="6">
        <f>AD11*('Road freight EU Ref'!AF10/'Road freight EU Ref'!AE10)</f>
        <v>2.0617577073995461</v>
      </c>
      <c r="AF11" s="6">
        <f>AE11*('Road freight EU Ref'!AG10/'Road freight EU Ref'!AF10)</f>
        <v>2.0754226984805952</v>
      </c>
      <c r="AG11" s="6">
        <f>AF11*('Road freight EU Ref'!AH10/'Road freight EU Ref'!AG10)</f>
        <v>2.0890876895616448</v>
      </c>
      <c r="AH11" s="6">
        <f>AG11*('Road freight EU Ref'!AI10/'Road freight EU Ref'!AH10)</f>
        <v>2.1027526806426944</v>
      </c>
      <c r="AI11" s="6">
        <f>AH11*('Road freight EU Ref'!AJ10/'Road freight EU Ref'!AI10)</f>
        <v>2.116417671723744</v>
      </c>
      <c r="AJ11" s="17">
        <f t="shared" si="1"/>
        <v>2.116417671723744</v>
      </c>
      <c r="AK11" s="17">
        <f t="shared" si="1"/>
        <v>2.116417671723744</v>
      </c>
      <c r="AL11" s="17">
        <f t="shared" si="1"/>
        <v>2.116417671723744</v>
      </c>
      <c r="AM11" s="17">
        <f t="shared" si="1"/>
        <v>2.116417671723744</v>
      </c>
      <c r="AN11" s="17">
        <f t="shared" si="1"/>
        <v>2.116417671723744</v>
      </c>
      <c r="AO11" s="17">
        <f t="shared" si="1"/>
        <v>2.116417671723744</v>
      </c>
      <c r="AP11" s="17">
        <f t="shared" si="1"/>
        <v>2.116417671723744</v>
      </c>
      <c r="AQ11" s="17">
        <f t="shared" si="1"/>
        <v>2.116417671723744</v>
      </c>
      <c r="AR11" s="17">
        <f t="shared" si="1"/>
        <v>2.116417671723744</v>
      </c>
      <c r="AS11" s="17">
        <f t="shared" si="1"/>
        <v>2.116417671723744</v>
      </c>
      <c r="AT11" s="17">
        <f t="shared" si="1"/>
        <v>2.116417671723744</v>
      </c>
      <c r="AU11" s="17">
        <f t="shared" si="1"/>
        <v>2.116417671723744</v>
      </c>
      <c r="AV11" s="17">
        <f t="shared" si="1"/>
        <v>2.116417671723744</v>
      </c>
      <c r="AW11" s="17">
        <f t="shared" si="1"/>
        <v>2.116417671723744</v>
      </c>
      <c r="AX11" s="17">
        <f t="shared" si="1"/>
        <v>2.116417671723744</v>
      </c>
      <c r="AY11" s="17">
        <f t="shared" si="1"/>
        <v>2.116417671723744</v>
      </c>
      <c r="AZ11" s="17">
        <f t="shared" si="1"/>
        <v>2.116417671723744</v>
      </c>
      <c r="BA11" s="17">
        <f t="shared" si="1"/>
        <v>2.116417671723744</v>
      </c>
      <c r="BB11" s="17">
        <f t="shared" si="1"/>
        <v>2.116417671723744</v>
      </c>
      <c r="BC11" s="17">
        <f t="shared" si="1"/>
        <v>2.116417671723744</v>
      </c>
    </row>
    <row r="12" spans="1:55" x14ac:dyDescent="0.3">
      <c r="B12" t="s">
        <v>11</v>
      </c>
      <c r="C12" s="4">
        <v>27.662577185</v>
      </c>
      <c r="D12" s="4">
        <v>27.913472851000002</v>
      </c>
      <c r="E12" s="4">
        <v>18.443173611000002</v>
      </c>
      <c r="F12" s="4">
        <v>26.948140767000002</v>
      </c>
      <c r="G12" s="6">
        <f>F12*('Road freight EU Ref'!H11/'Road freight EU Ref'!G11)</f>
        <v>27.589825500729543</v>
      </c>
      <c r="H12" s="6">
        <f>G12*('Road freight EU Ref'!I11/'Road freight EU Ref'!H11)</f>
        <v>28.23151023445908</v>
      </c>
      <c r="I12" s="6">
        <f>H12*('Road freight EU Ref'!J11/'Road freight EU Ref'!I11)</f>
        <v>28.873194968188621</v>
      </c>
      <c r="J12" s="6">
        <f>I12*('Road freight EU Ref'!K11/'Road freight EU Ref'!J11)</f>
        <v>29.514879701918165</v>
      </c>
      <c r="K12" s="6">
        <f>J12*('Road freight EU Ref'!L11/'Road freight EU Ref'!K11)</f>
        <v>29.810421070254232</v>
      </c>
      <c r="L12" s="6">
        <f>K12*('Road freight EU Ref'!M11/'Road freight EU Ref'!L11)</f>
        <v>30.105962438590304</v>
      </c>
      <c r="M12" s="6">
        <f>L12*('Road freight EU Ref'!N11/'Road freight EU Ref'!M11)</f>
        <v>30.401503806926371</v>
      </c>
      <c r="N12" s="6">
        <f>M12*('Road freight EU Ref'!O11/'Road freight EU Ref'!N11)</f>
        <v>30.697045175262442</v>
      </c>
      <c r="O12" s="6">
        <f>N12*('Road freight EU Ref'!P11/'Road freight EU Ref'!O11)</f>
        <v>30.992586543598506</v>
      </c>
      <c r="P12" s="6">
        <f>O12*('Road freight EU Ref'!Q11/'Road freight EU Ref'!P11)</f>
        <v>31.277911076503152</v>
      </c>
      <c r="Q12" s="6">
        <f>P12*('Road freight EU Ref'!R11/'Road freight EU Ref'!Q11)</f>
        <v>31.563235609407798</v>
      </c>
      <c r="R12" s="6">
        <f>Q12*('Road freight EU Ref'!S11/'Road freight EU Ref'!R11)</f>
        <v>31.848560142312444</v>
      </c>
      <c r="S12" s="6">
        <f>R12*('Road freight EU Ref'!T11/'Road freight EU Ref'!S11)</f>
        <v>32.133884675217089</v>
      </c>
      <c r="T12" s="6">
        <f>S12*('Road freight EU Ref'!U11/'Road freight EU Ref'!T11)</f>
        <v>32.419209208121728</v>
      </c>
      <c r="U12" s="6">
        <f>T12*('Road freight EU Ref'!V11/'Road freight EU Ref'!U11)</f>
        <v>32.72528406175195</v>
      </c>
      <c r="V12" s="6">
        <f>U12*('Road freight EU Ref'!W11/'Road freight EU Ref'!V11)</f>
        <v>33.031358915382171</v>
      </c>
      <c r="W12" s="6">
        <f>V12*('Road freight EU Ref'!X11/'Road freight EU Ref'!W11)</f>
        <v>33.337433769012392</v>
      </c>
      <c r="X12" s="6">
        <f>W12*('Road freight EU Ref'!Y11/'Road freight EU Ref'!X11)</f>
        <v>33.643508622642614</v>
      </c>
      <c r="Y12" s="6">
        <f>X12*('Road freight EU Ref'!Z11/'Road freight EU Ref'!Y11)</f>
        <v>33.949583476272828</v>
      </c>
      <c r="Z12" s="6">
        <f>Y12*('Road freight EU Ref'!AA11/'Road freight EU Ref'!Z11)</f>
        <v>34.241745556830267</v>
      </c>
      <c r="AA12" s="6">
        <f>Z12*('Road freight EU Ref'!AB11/'Road freight EU Ref'!AA11)</f>
        <v>34.533907637387706</v>
      </c>
      <c r="AB12" s="6">
        <f>AA12*('Road freight EU Ref'!AC11/'Road freight EU Ref'!AB11)</f>
        <v>34.826069717945138</v>
      </c>
      <c r="AC12" s="6">
        <f>AB12*('Road freight EU Ref'!AD11/'Road freight EU Ref'!AC11)</f>
        <v>35.11823179850257</v>
      </c>
      <c r="AD12" s="6">
        <f>AC12*('Road freight EU Ref'!AE11/'Road freight EU Ref'!AD11)</f>
        <v>35.41039387906001</v>
      </c>
      <c r="AE12" s="6">
        <f>AD12*('Road freight EU Ref'!AF11/'Road freight EU Ref'!AE11)</f>
        <v>35.706021284050379</v>
      </c>
      <c r="AF12" s="6">
        <f>AE12*('Road freight EU Ref'!AG11/'Road freight EU Ref'!AF11)</f>
        <v>36.001648689040749</v>
      </c>
      <c r="AG12" s="6">
        <f>AF12*('Road freight EU Ref'!AH11/'Road freight EU Ref'!AG11)</f>
        <v>36.297276094031119</v>
      </c>
      <c r="AH12" s="6">
        <f>AG12*('Road freight EU Ref'!AI11/'Road freight EU Ref'!AH11)</f>
        <v>36.592903499021482</v>
      </c>
      <c r="AI12" s="6">
        <f>AH12*('Road freight EU Ref'!AJ11/'Road freight EU Ref'!AI11)</f>
        <v>36.888530904011837</v>
      </c>
      <c r="AJ12" s="17">
        <f t="shared" si="1"/>
        <v>36.888530904011837</v>
      </c>
      <c r="AK12" s="17">
        <f t="shared" si="1"/>
        <v>36.888530904011837</v>
      </c>
      <c r="AL12" s="17">
        <f t="shared" si="1"/>
        <v>36.888530904011837</v>
      </c>
      <c r="AM12" s="17">
        <f t="shared" si="1"/>
        <v>36.888530904011837</v>
      </c>
      <c r="AN12" s="17">
        <f t="shared" si="1"/>
        <v>36.888530904011837</v>
      </c>
      <c r="AO12" s="17">
        <f t="shared" si="1"/>
        <v>36.888530904011837</v>
      </c>
      <c r="AP12" s="17">
        <f t="shared" si="1"/>
        <v>36.888530904011837</v>
      </c>
      <c r="AQ12" s="17">
        <f t="shared" si="1"/>
        <v>36.888530904011837</v>
      </c>
      <c r="AR12" s="17">
        <f t="shared" si="1"/>
        <v>36.888530904011837</v>
      </c>
      <c r="AS12" s="17">
        <f t="shared" si="1"/>
        <v>36.888530904011837</v>
      </c>
      <c r="AT12" s="17">
        <f t="shared" si="1"/>
        <v>36.888530904011837</v>
      </c>
      <c r="AU12" s="17">
        <f t="shared" si="1"/>
        <v>36.888530904011837</v>
      </c>
      <c r="AV12" s="17">
        <f t="shared" si="1"/>
        <v>36.888530904011837</v>
      </c>
      <c r="AW12" s="17">
        <f t="shared" si="1"/>
        <v>36.888530904011837</v>
      </c>
      <c r="AX12" s="17">
        <f t="shared" si="1"/>
        <v>36.888530904011837</v>
      </c>
      <c r="AY12" s="17">
        <f t="shared" si="1"/>
        <v>36.888530904011837</v>
      </c>
      <c r="AZ12" s="17">
        <f t="shared" si="1"/>
        <v>36.888530904011837</v>
      </c>
      <c r="BA12" s="17">
        <f t="shared" si="1"/>
        <v>36.888530904011837</v>
      </c>
      <c r="BB12" s="17">
        <f t="shared" si="1"/>
        <v>36.888530904011837</v>
      </c>
      <c r="BC12" s="17">
        <f t="shared" si="1"/>
        <v>36.888530904011837</v>
      </c>
    </row>
    <row r="13" spans="1:55" x14ac:dyDescent="0.3">
      <c r="B13" t="s">
        <v>27</v>
      </c>
      <c r="C13" s="4">
        <v>6.9369397819999996</v>
      </c>
      <c r="D13" s="4">
        <v>7.1382440910000007</v>
      </c>
      <c r="E13" s="4">
        <v>7.139667738</v>
      </c>
      <c r="F13" s="4">
        <v>7.4577104260000002</v>
      </c>
      <c r="G13" s="6">
        <f>F13*('Road freight EU Ref'!H12/'Road freight EU Ref'!G12)</f>
        <v>7.6613988109552</v>
      </c>
      <c r="H13" s="6">
        <f>G13*('Road freight EU Ref'!I12/'Road freight EU Ref'!H12)</f>
        <v>7.8650871959104007</v>
      </c>
      <c r="I13" s="6">
        <f>H13*('Road freight EU Ref'!J12/'Road freight EU Ref'!I12)</f>
        <v>8.0687755808656032</v>
      </c>
      <c r="J13" s="6">
        <f>I13*('Road freight EU Ref'!K12/'Road freight EU Ref'!J12)</f>
        <v>8.2724639658208048</v>
      </c>
      <c r="K13" s="6">
        <f>J13*('Road freight EU Ref'!L12/'Road freight EU Ref'!K12)</f>
        <v>8.3992855286765984</v>
      </c>
      <c r="L13" s="6">
        <f>K13*('Road freight EU Ref'!M12/'Road freight EU Ref'!L12)</f>
        <v>8.526107091532392</v>
      </c>
      <c r="M13" s="6">
        <f>L13*('Road freight EU Ref'!N12/'Road freight EU Ref'!M12)</f>
        <v>8.6529286543881838</v>
      </c>
      <c r="N13" s="6">
        <f>M13*('Road freight EU Ref'!O12/'Road freight EU Ref'!N12)</f>
        <v>8.7797502172439774</v>
      </c>
      <c r="O13" s="6">
        <f>N13*('Road freight EU Ref'!P12/'Road freight EU Ref'!O12)</f>
        <v>8.9065717800997692</v>
      </c>
      <c r="P13" s="6">
        <f>O13*('Road freight EU Ref'!Q12/'Road freight EU Ref'!P12)</f>
        <v>8.9647566143548723</v>
      </c>
      <c r="Q13" s="6">
        <f>P13*('Road freight EU Ref'!R12/'Road freight EU Ref'!Q12)</f>
        <v>9.022941448609977</v>
      </c>
      <c r="R13" s="6">
        <f>Q13*('Road freight EU Ref'!S12/'Road freight EU Ref'!R12)</f>
        <v>9.0811262828650801</v>
      </c>
      <c r="S13" s="6">
        <f>R13*('Road freight EU Ref'!T12/'Road freight EU Ref'!S12)</f>
        <v>9.1393111171201831</v>
      </c>
      <c r="T13" s="6">
        <f>S13*('Road freight EU Ref'!U12/'Road freight EU Ref'!T12)</f>
        <v>9.1974959513752861</v>
      </c>
      <c r="U13" s="6">
        <f>T13*('Road freight EU Ref'!V12/'Road freight EU Ref'!U12)</f>
        <v>9.2242483246652007</v>
      </c>
      <c r="V13" s="6">
        <f>U13*('Road freight EU Ref'!W12/'Road freight EU Ref'!V12)</f>
        <v>9.2510006979551171</v>
      </c>
      <c r="W13" s="6">
        <f>V13*('Road freight EU Ref'!X12/'Road freight EU Ref'!W12)</f>
        <v>9.2777530712450318</v>
      </c>
      <c r="X13" s="6">
        <f>W13*('Road freight EU Ref'!Y12/'Road freight EU Ref'!X12)</f>
        <v>9.3045054445349482</v>
      </c>
      <c r="Y13" s="6">
        <f>X13*('Road freight EU Ref'!Z12/'Road freight EU Ref'!Y12)</f>
        <v>9.3312578178248646</v>
      </c>
      <c r="Z13" s="6">
        <f>Y13*('Road freight EU Ref'!AA12/'Road freight EU Ref'!Z12)</f>
        <v>9.3419736402726041</v>
      </c>
      <c r="AA13" s="6">
        <f>Z13*('Road freight EU Ref'!AB12/'Road freight EU Ref'!AA12)</f>
        <v>9.3526894627203436</v>
      </c>
      <c r="AB13" s="6">
        <f>AA13*('Road freight EU Ref'!AC12/'Road freight EU Ref'!AB12)</f>
        <v>9.3634052851680831</v>
      </c>
      <c r="AC13" s="6">
        <f>AB13*('Road freight EU Ref'!AD12/'Road freight EU Ref'!AC12)</f>
        <v>9.3741211076158244</v>
      </c>
      <c r="AD13" s="6">
        <f>AC13*('Road freight EU Ref'!AE12/'Road freight EU Ref'!AD12)</f>
        <v>9.3848369300635639</v>
      </c>
      <c r="AE13" s="6">
        <f>AD13*('Road freight EU Ref'!AF12/'Road freight EU Ref'!AE12)</f>
        <v>9.4037530874712232</v>
      </c>
      <c r="AF13" s="6">
        <f>AE13*('Road freight EU Ref'!AG12/'Road freight EU Ref'!AF12)</f>
        <v>9.4226692448788825</v>
      </c>
      <c r="AG13" s="6">
        <f>AF13*('Road freight EU Ref'!AH12/'Road freight EU Ref'!AG12)</f>
        <v>9.4415854022865418</v>
      </c>
      <c r="AH13" s="6">
        <f>AG13*('Road freight EU Ref'!AI12/'Road freight EU Ref'!AH12)</f>
        <v>9.460501559694201</v>
      </c>
      <c r="AI13" s="6">
        <f>AH13*('Road freight EU Ref'!AJ12/'Road freight EU Ref'!AI12)</f>
        <v>9.4794177171018621</v>
      </c>
      <c r="AJ13" s="17">
        <f t="shared" si="1"/>
        <v>9.4794177171018621</v>
      </c>
      <c r="AK13" s="17">
        <f t="shared" si="1"/>
        <v>9.4794177171018621</v>
      </c>
      <c r="AL13" s="17">
        <f t="shared" si="1"/>
        <v>9.4794177171018621</v>
      </c>
      <c r="AM13" s="17">
        <f t="shared" si="1"/>
        <v>9.4794177171018621</v>
      </c>
      <c r="AN13" s="17">
        <f t="shared" si="1"/>
        <v>9.4794177171018621</v>
      </c>
      <c r="AO13" s="17">
        <f t="shared" si="1"/>
        <v>9.4794177171018621</v>
      </c>
      <c r="AP13" s="17">
        <f t="shared" si="1"/>
        <v>9.4794177171018621</v>
      </c>
      <c r="AQ13" s="17">
        <f t="shared" si="1"/>
        <v>9.4794177171018621</v>
      </c>
      <c r="AR13" s="17">
        <f t="shared" si="1"/>
        <v>9.4794177171018621</v>
      </c>
      <c r="AS13" s="17">
        <f t="shared" si="1"/>
        <v>9.4794177171018621</v>
      </c>
      <c r="AT13" s="17">
        <f t="shared" si="1"/>
        <v>9.4794177171018621</v>
      </c>
      <c r="AU13" s="17">
        <f t="shared" si="1"/>
        <v>9.4794177171018621</v>
      </c>
      <c r="AV13" s="17">
        <f t="shared" si="1"/>
        <v>9.4794177171018621</v>
      </c>
      <c r="AW13" s="17">
        <f t="shared" si="1"/>
        <v>9.4794177171018621</v>
      </c>
      <c r="AX13" s="17">
        <f t="shared" si="1"/>
        <v>9.4794177171018621</v>
      </c>
      <c r="AY13" s="17">
        <f t="shared" si="1"/>
        <v>9.4794177171018621</v>
      </c>
      <c r="AZ13" s="17">
        <f t="shared" si="1"/>
        <v>9.4794177171018621</v>
      </c>
      <c r="BA13" s="17">
        <f t="shared" si="1"/>
        <v>9.4794177171018621</v>
      </c>
      <c r="BB13" s="17">
        <f t="shared" si="1"/>
        <v>9.4794177171018621</v>
      </c>
      <c r="BC13" s="17">
        <f t="shared" si="1"/>
        <v>9.4794177171018621</v>
      </c>
    </row>
    <row r="14" spans="1:55" x14ac:dyDescent="0.3">
      <c r="B14" t="s">
        <v>12</v>
      </c>
      <c r="C14" s="4">
        <v>75.422041179000018</v>
      </c>
      <c r="D14" s="4">
        <v>76.188550941999992</v>
      </c>
      <c r="E14" s="4">
        <v>66.504985332000004</v>
      </c>
      <c r="F14" s="4">
        <v>76.180213843000018</v>
      </c>
      <c r="G14" s="6">
        <f>F14*('Road freight EU Ref'!H13/'Road freight EU Ref'!G13)</f>
        <v>77.247650302545381</v>
      </c>
      <c r="H14" s="6">
        <f>G14*('Road freight EU Ref'!I13/'Road freight EU Ref'!H13)</f>
        <v>78.315086762090729</v>
      </c>
      <c r="I14" s="6">
        <f>H14*('Road freight EU Ref'!J13/'Road freight EU Ref'!I13)</f>
        <v>79.382523221636092</v>
      </c>
      <c r="J14" s="6">
        <f>I14*('Road freight EU Ref'!K13/'Road freight EU Ref'!J13)</f>
        <v>80.449959681181454</v>
      </c>
      <c r="K14" s="6">
        <f>J14*('Road freight EU Ref'!L13/'Road freight EU Ref'!K13)</f>
        <v>81.404605005892705</v>
      </c>
      <c r="L14" s="6">
        <f>K14*('Road freight EU Ref'!M13/'Road freight EU Ref'!L13)</f>
        <v>82.359250330603942</v>
      </c>
      <c r="M14" s="6">
        <f>L14*('Road freight EU Ref'!N13/'Road freight EU Ref'!M13)</f>
        <v>83.313895655315193</v>
      </c>
      <c r="N14" s="6">
        <f>M14*('Road freight EU Ref'!O13/'Road freight EU Ref'!N13)</f>
        <v>84.268540980026444</v>
      </c>
      <c r="O14" s="6">
        <f>N14*('Road freight EU Ref'!P13/'Road freight EU Ref'!O13)</f>
        <v>85.223186304737666</v>
      </c>
      <c r="P14" s="6">
        <f>O14*('Road freight EU Ref'!Q13/'Road freight EU Ref'!P13)</f>
        <v>85.71537245808193</v>
      </c>
      <c r="Q14" s="6">
        <f>P14*('Road freight EU Ref'!R13/'Road freight EU Ref'!Q13)</f>
        <v>86.207558611426194</v>
      </c>
      <c r="R14" s="6">
        <f>Q14*('Road freight EU Ref'!S13/'Road freight EU Ref'!R13)</f>
        <v>86.699744764770458</v>
      </c>
      <c r="S14" s="6">
        <f>R14*('Road freight EU Ref'!T13/'Road freight EU Ref'!S13)</f>
        <v>87.191930918114721</v>
      </c>
      <c r="T14" s="6">
        <f>S14*('Road freight EU Ref'!U13/'Road freight EU Ref'!T13)</f>
        <v>87.684117071458942</v>
      </c>
      <c r="U14" s="6">
        <f>T14*('Road freight EU Ref'!V13/'Road freight EU Ref'!U13)</f>
        <v>88.38532064398963</v>
      </c>
      <c r="V14" s="6">
        <f>U14*('Road freight EU Ref'!W13/'Road freight EU Ref'!V13)</f>
        <v>89.086524216520331</v>
      </c>
      <c r="W14" s="6">
        <f>V14*('Road freight EU Ref'!X13/'Road freight EU Ref'!W13)</f>
        <v>89.787727789051033</v>
      </c>
      <c r="X14" s="6">
        <f>W14*('Road freight EU Ref'!Y13/'Road freight EU Ref'!X13)</f>
        <v>90.488931361581734</v>
      </c>
      <c r="Y14" s="6">
        <f>X14*('Road freight EU Ref'!Z13/'Road freight EU Ref'!Y13)</f>
        <v>91.19013493411245</v>
      </c>
      <c r="Z14" s="6">
        <f>Y14*('Road freight EU Ref'!AA13/'Road freight EU Ref'!Z13)</f>
        <v>91.757665283491789</v>
      </c>
      <c r="AA14" s="6">
        <f>Z14*('Road freight EU Ref'!AB13/'Road freight EU Ref'!AA13)</f>
        <v>92.325195632871143</v>
      </c>
      <c r="AB14" s="6">
        <f>AA14*('Road freight EU Ref'!AC13/'Road freight EU Ref'!AB13)</f>
        <v>92.892725982250496</v>
      </c>
      <c r="AC14" s="6">
        <f>AB14*('Road freight EU Ref'!AD13/'Road freight EU Ref'!AC13)</f>
        <v>93.460256331629836</v>
      </c>
      <c r="AD14" s="6">
        <f>AC14*('Road freight EU Ref'!AE13/'Road freight EU Ref'!AD13)</f>
        <v>94.027786681009189</v>
      </c>
      <c r="AE14" s="6">
        <f>AD14*('Road freight EU Ref'!AF13/'Road freight EU Ref'!AE13)</f>
        <v>94.560555597168758</v>
      </c>
      <c r="AF14" s="6">
        <f>AE14*('Road freight EU Ref'!AG13/'Road freight EU Ref'!AF13)</f>
        <v>95.093324513328341</v>
      </c>
      <c r="AG14" s="6">
        <f>AF14*('Road freight EU Ref'!AH13/'Road freight EU Ref'!AG13)</f>
        <v>95.626093429487923</v>
      </c>
      <c r="AH14" s="6">
        <f>AG14*('Road freight EU Ref'!AI13/'Road freight EU Ref'!AH13)</f>
        <v>96.158862345647506</v>
      </c>
      <c r="AI14" s="6">
        <f>AH14*('Road freight EU Ref'!AJ13/'Road freight EU Ref'!AI13)</f>
        <v>96.691631261807075</v>
      </c>
      <c r="AJ14" s="17">
        <f t="shared" si="1"/>
        <v>96.691631261807075</v>
      </c>
      <c r="AK14" s="17">
        <f t="shared" si="1"/>
        <v>96.691631261807075</v>
      </c>
      <c r="AL14" s="17">
        <f t="shared" si="1"/>
        <v>96.691631261807075</v>
      </c>
      <c r="AM14" s="17">
        <f t="shared" si="1"/>
        <v>96.691631261807075</v>
      </c>
      <c r="AN14" s="17">
        <f t="shared" si="1"/>
        <v>96.691631261807075</v>
      </c>
      <c r="AO14" s="17">
        <f t="shared" si="1"/>
        <v>96.691631261807075</v>
      </c>
      <c r="AP14" s="17">
        <f t="shared" si="1"/>
        <v>96.691631261807075</v>
      </c>
      <c r="AQ14" s="17">
        <f t="shared" si="1"/>
        <v>96.691631261807075</v>
      </c>
      <c r="AR14" s="17">
        <f t="shared" si="1"/>
        <v>96.691631261807075</v>
      </c>
      <c r="AS14" s="17">
        <f t="shared" si="1"/>
        <v>96.691631261807075</v>
      </c>
      <c r="AT14" s="17">
        <f t="shared" si="1"/>
        <v>96.691631261807075</v>
      </c>
      <c r="AU14" s="17">
        <f t="shared" si="1"/>
        <v>96.691631261807075</v>
      </c>
      <c r="AV14" s="17">
        <f t="shared" si="1"/>
        <v>96.691631261807075</v>
      </c>
      <c r="AW14" s="17">
        <f t="shared" si="1"/>
        <v>96.691631261807075</v>
      </c>
      <c r="AX14" s="17">
        <f t="shared" si="1"/>
        <v>96.691631261807075</v>
      </c>
      <c r="AY14" s="17">
        <f t="shared" si="1"/>
        <v>96.691631261807075</v>
      </c>
      <c r="AZ14" s="17">
        <f t="shared" si="1"/>
        <v>96.691631261807075</v>
      </c>
      <c r="BA14" s="17">
        <f t="shared" si="1"/>
        <v>96.691631261807075</v>
      </c>
      <c r="BB14" s="17">
        <f t="shared" si="1"/>
        <v>96.691631261807075</v>
      </c>
      <c r="BC14" s="17">
        <f t="shared" si="1"/>
        <v>96.691631261807075</v>
      </c>
    </row>
    <row r="15" spans="1:55" x14ac:dyDescent="0.3">
      <c r="B15" t="s">
        <v>10</v>
      </c>
      <c r="C15" s="4">
        <v>8.4057201320000008</v>
      </c>
      <c r="D15" s="4">
        <v>8.5680985379999992</v>
      </c>
      <c r="E15" s="4">
        <v>7.4596458569999999</v>
      </c>
      <c r="F15" s="4">
        <v>8.2218643080000007</v>
      </c>
      <c r="G15" s="6">
        <f>F15*('Road freight EU Ref'!H14/'Road freight EU Ref'!G14)</f>
        <v>8.4587926953483326</v>
      </c>
      <c r="H15" s="6">
        <f>G15*('Road freight EU Ref'!I14/'Road freight EU Ref'!H14)</f>
        <v>8.6957210826966644</v>
      </c>
      <c r="I15" s="6">
        <f>H15*('Road freight EU Ref'!J14/'Road freight EU Ref'!I14)</f>
        <v>8.9326494700449963</v>
      </c>
      <c r="J15" s="6">
        <f>I15*('Road freight EU Ref'!K14/'Road freight EU Ref'!J14)</f>
        <v>9.1695778573933264</v>
      </c>
      <c r="K15" s="6">
        <f>J15*('Road freight EU Ref'!L14/'Road freight EU Ref'!K14)</f>
        <v>9.2284901989271191</v>
      </c>
      <c r="L15" s="6">
        <f>K15*('Road freight EU Ref'!M14/'Road freight EU Ref'!L14)</f>
        <v>9.2874025404609117</v>
      </c>
      <c r="M15" s="6">
        <f>L15*('Road freight EU Ref'!N14/'Road freight EU Ref'!M14)</f>
        <v>9.3463148819947044</v>
      </c>
      <c r="N15" s="6">
        <f>M15*('Road freight EU Ref'!O14/'Road freight EU Ref'!N14)</f>
        <v>9.4052272235284953</v>
      </c>
      <c r="O15" s="6">
        <f>N15*('Road freight EU Ref'!P14/'Road freight EU Ref'!O14)</f>
        <v>9.4641395650622879</v>
      </c>
      <c r="P15" s="6">
        <f>O15*('Road freight EU Ref'!Q14/'Road freight EU Ref'!P14)</f>
        <v>9.5424615286079355</v>
      </c>
      <c r="Q15" s="6">
        <f>P15*('Road freight EU Ref'!R14/'Road freight EU Ref'!Q14)</f>
        <v>9.6207834921535831</v>
      </c>
      <c r="R15" s="6">
        <f>Q15*('Road freight EU Ref'!S14/'Road freight EU Ref'!R14)</f>
        <v>9.6991054556992307</v>
      </c>
      <c r="S15" s="6">
        <f>R15*('Road freight EU Ref'!T14/'Road freight EU Ref'!S14)</f>
        <v>9.7774274192448782</v>
      </c>
      <c r="T15" s="6">
        <f>S15*('Road freight EU Ref'!U14/'Road freight EU Ref'!T14)</f>
        <v>9.855749382790524</v>
      </c>
      <c r="U15" s="6">
        <f>T15*('Road freight EU Ref'!V14/'Road freight EU Ref'!U14)</f>
        <v>9.9156382208272245</v>
      </c>
      <c r="V15" s="6">
        <f>U15*('Road freight EU Ref'!W14/'Road freight EU Ref'!V14)</f>
        <v>9.9755270588639231</v>
      </c>
      <c r="W15" s="6">
        <f>V15*('Road freight EU Ref'!X14/'Road freight EU Ref'!W14)</f>
        <v>10.035415896900622</v>
      </c>
      <c r="X15" s="6">
        <f>W15*('Road freight EU Ref'!Y14/'Road freight EU Ref'!X14)</f>
        <v>10.095304734937322</v>
      </c>
      <c r="Y15" s="6">
        <f>X15*('Road freight EU Ref'!Z14/'Road freight EU Ref'!Y14)</f>
        <v>10.155193572974021</v>
      </c>
      <c r="Z15" s="6">
        <f>Y15*('Road freight EU Ref'!AA14/'Road freight EU Ref'!Z14)</f>
        <v>10.2189942928546</v>
      </c>
      <c r="AA15" s="6">
        <f>Z15*('Road freight EU Ref'!AB14/'Road freight EU Ref'!AA14)</f>
        <v>10.282795012735178</v>
      </c>
      <c r="AB15" s="6">
        <f>AA15*('Road freight EU Ref'!AC14/'Road freight EU Ref'!AB14)</f>
        <v>10.346595732615757</v>
      </c>
      <c r="AC15" s="6">
        <f>AB15*('Road freight EU Ref'!AD14/'Road freight EU Ref'!AC14)</f>
        <v>10.410396452496336</v>
      </c>
      <c r="AD15" s="6">
        <f>AC15*('Road freight EU Ref'!AE14/'Road freight EU Ref'!AD14)</f>
        <v>10.474197172376916</v>
      </c>
      <c r="AE15" s="6">
        <f>AD15*('Road freight EU Ref'!AF14/'Road freight EU Ref'!AE14)</f>
        <v>10.537903535740492</v>
      </c>
      <c r="AF15" s="6">
        <f>AE15*('Road freight EU Ref'!AG14/'Road freight EU Ref'!AF14)</f>
        <v>10.601609899104067</v>
      </c>
      <c r="AG15" s="6">
        <f>AF15*('Road freight EU Ref'!AH14/'Road freight EU Ref'!AG14)</f>
        <v>10.665316262467643</v>
      </c>
      <c r="AH15" s="6">
        <f>AG15*('Road freight EU Ref'!AI14/'Road freight EU Ref'!AH14)</f>
        <v>10.729022625831218</v>
      </c>
      <c r="AI15" s="6">
        <f>AH15*('Road freight EU Ref'!AJ14/'Road freight EU Ref'!AI14)</f>
        <v>10.792728989194796</v>
      </c>
      <c r="AJ15" s="17">
        <f t="shared" si="1"/>
        <v>10.792728989194796</v>
      </c>
      <c r="AK15" s="17">
        <f t="shared" si="1"/>
        <v>10.792728989194796</v>
      </c>
      <c r="AL15" s="17">
        <f t="shared" si="1"/>
        <v>10.792728989194796</v>
      </c>
      <c r="AM15" s="17">
        <f t="shared" si="1"/>
        <v>10.792728989194796</v>
      </c>
      <c r="AN15" s="17">
        <f t="shared" si="1"/>
        <v>10.792728989194796</v>
      </c>
      <c r="AO15" s="17">
        <f t="shared" si="1"/>
        <v>10.792728989194796</v>
      </c>
      <c r="AP15" s="17">
        <f t="shared" si="1"/>
        <v>10.792728989194796</v>
      </c>
      <c r="AQ15" s="17">
        <f t="shared" si="1"/>
        <v>10.792728989194796</v>
      </c>
      <c r="AR15" s="17">
        <f t="shared" si="1"/>
        <v>10.792728989194796</v>
      </c>
      <c r="AS15" s="17">
        <f t="shared" si="1"/>
        <v>10.792728989194796</v>
      </c>
      <c r="AT15" s="17">
        <f t="shared" si="1"/>
        <v>10.792728989194796</v>
      </c>
      <c r="AU15" s="17">
        <f t="shared" si="1"/>
        <v>10.792728989194796</v>
      </c>
      <c r="AV15" s="17">
        <f t="shared" si="1"/>
        <v>10.792728989194796</v>
      </c>
      <c r="AW15" s="17">
        <f t="shared" si="1"/>
        <v>10.792728989194796</v>
      </c>
      <c r="AX15" s="17">
        <f t="shared" si="1"/>
        <v>10.792728989194796</v>
      </c>
      <c r="AY15" s="17">
        <f t="shared" si="1"/>
        <v>10.792728989194796</v>
      </c>
      <c r="AZ15" s="17">
        <f t="shared" si="1"/>
        <v>10.792728989194796</v>
      </c>
      <c r="BA15" s="17">
        <f t="shared" si="1"/>
        <v>10.792728989194796</v>
      </c>
      <c r="BB15" s="17">
        <f t="shared" si="1"/>
        <v>10.792728989194796</v>
      </c>
      <c r="BC15" s="17">
        <f t="shared" si="1"/>
        <v>10.792728989194796</v>
      </c>
    </row>
    <row r="16" spans="1:55" x14ac:dyDescent="0.3">
      <c r="B16" t="s">
        <v>13</v>
      </c>
      <c r="C16" s="4">
        <v>1.9991481289999999</v>
      </c>
      <c r="D16" s="4">
        <v>2.1395474979999998</v>
      </c>
      <c r="E16" s="4">
        <v>2.2084732489999999</v>
      </c>
      <c r="F16" s="4">
        <v>2.3990504669999999</v>
      </c>
      <c r="G16" s="6">
        <f>F16*('Road freight EU Ref'!H15/'Road freight EU Ref'!G15)</f>
        <v>2.5049462423927888</v>
      </c>
      <c r="H16" s="6">
        <f>G16*('Road freight EU Ref'!I15/'Road freight EU Ref'!H15)</f>
        <v>2.6108420177855778</v>
      </c>
      <c r="I16" s="6">
        <f>H16*('Road freight EU Ref'!J15/'Road freight EU Ref'!I15)</f>
        <v>2.7167377931783663</v>
      </c>
      <c r="J16" s="6">
        <f>I16*('Road freight EU Ref'!K15/'Road freight EU Ref'!J15)</f>
        <v>2.8226335685711561</v>
      </c>
      <c r="K16" s="6">
        <f>J16*('Road freight EU Ref'!L15/'Road freight EU Ref'!K15)</f>
        <v>2.933809372830352</v>
      </c>
      <c r="L16" s="6">
        <f>K16*('Road freight EU Ref'!M15/'Road freight EU Ref'!L15)</f>
        <v>3.044985177089548</v>
      </c>
      <c r="M16" s="6">
        <f>L16*('Road freight EU Ref'!N15/'Road freight EU Ref'!M15)</f>
        <v>3.1561609813487439</v>
      </c>
      <c r="N16" s="6">
        <f>M16*('Road freight EU Ref'!O15/'Road freight EU Ref'!N15)</f>
        <v>3.2673367856079403</v>
      </c>
      <c r="O16" s="6">
        <f>N16*('Road freight EU Ref'!P15/'Road freight EU Ref'!O15)</f>
        <v>3.3785125898671371</v>
      </c>
      <c r="P16" s="6">
        <f>O16*('Road freight EU Ref'!Q15/'Road freight EU Ref'!P15)</f>
        <v>3.4243636132945183</v>
      </c>
      <c r="Q16" s="6">
        <f>P16*('Road freight EU Ref'!R15/'Road freight EU Ref'!Q15)</f>
        <v>3.4702146367218991</v>
      </c>
      <c r="R16" s="6">
        <f>Q16*('Road freight EU Ref'!S15/'Road freight EU Ref'!R15)</f>
        <v>3.5160656601492799</v>
      </c>
      <c r="S16" s="6">
        <f>R16*('Road freight EU Ref'!T15/'Road freight EU Ref'!S15)</f>
        <v>3.5619166835766607</v>
      </c>
      <c r="T16" s="6">
        <f>S16*('Road freight EU Ref'!U15/'Road freight EU Ref'!T15)</f>
        <v>3.607767707004041</v>
      </c>
      <c r="U16" s="6">
        <f>T16*('Road freight EU Ref'!V15/'Road freight EU Ref'!U15)</f>
        <v>3.6483557845624</v>
      </c>
      <c r="V16" s="6">
        <f>U16*('Road freight EU Ref'!W15/'Road freight EU Ref'!V15)</f>
        <v>3.6889438621207593</v>
      </c>
      <c r="W16" s="6">
        <f>V16*('Road freight EU Ref'!X15/'Road freight EU Ref'!W15)</f>
        <v>3.7295319396791187</v>
      </c>
      <c r="X16" s="6">
        <f>W16*('Road freight EU Ref'!Y15/'Road freight EU Ref'!X15)</f>
        <v>3.770120017237478</v>
      </c>
      <c r="Y16" s="6">
        <f>X16*('Road freight EU Ref'!Z15/'Road freight EU Ref'!Y15)</f>
        <v>3.8107080947958369</v>
      </c>
      <c r="Z16" s="6">
        <f>Y16*('Road freight EU Ref'!AA15/'Road freight EU Ref'!Z15)</f>
        <v>3.8357698493779786</v>
      </c>
      <c r="AA16" s="6">
        <f>Z16*('Road freight EU Ref'!AB15/'Road freight EU Ref'!AA15)</f>
        <v>3.8608316039601203</v>
      </c>
      <c r="AB16" s="6">
        <f>AA16*('Road freight EU Ref'!AC15/'Road freight EU Ref'!AB15)</f>
        <v>3.8858933585422624</v>
      </c>
      <c r="AC16" s="6">
        <f>AB16*('Road freight EU Ref'!AD15/'Road freight EU Ref'!AC15)</f>
        <v>3.910955113124404</v>
      </c>
      <c r="AD16" s="6">
        <f>AC16*('Road freight EU Ref'!AE15/'Road freight EU Ref'!AD15)</f>
        <v>3.9360168677065466</v>
      </c>
      <c r="AE16" s="6">
        <f>AD16*('Road freight EU Ref'!AF15/'Road freight EU Ref'!AE15)</f>
        <v>3.9643994295639482</v>
      </c>
      <c r="AF16" s="6">
        <f>AE16*('Road freight EU Ref'!AG15/'Road freight EU Ref'!AF15)</f>
        <v>3.9927819914213489</v>
      </c>
      <c r="AG16" s="6">
        <f>AF16*('Road freight EU Ref'!AH15/'Road freight EU Ref'!AG15)</f>
        <v>4.0211645532787497</v>
      </c>
      <c r="AH16" s="6">
        <f>AG16*('Road freight EU Ref'!AI15/'Road freight EU Ref'!AH15)</f>
        <v>4.0495471151361508</v>
      </c>
      <c r="AI16" s="6">
        <f>AH16*('Road freight EU Ref'!AJ15/'Road freight EU Ref'!AI15)</f>
        <v>4.0779296769935529</v>
      </c>
      <c r="AJ16" s="17">
        <f t="shared" si="1"/>
        <v>4.0779296769935529</v>
      </c>
      <c r="AK16" s="17">
        <f t="shared" si="1"/>
        <v>4.0779296769935529</v>
      </c>
      <c r="AL16" s="17">
        <f t="shared" si="1"/>
        <v>4.0779296769935529</v>
      </c>
      <c r="AM16" s="17">
        <f t="shared" si="1"/>
        <v>4.0779296769935529</v>
      </c>
      <c r="AN16" s="17">
        <f t="shared" si="1"/>
        <v>4.0779296769935529</v>
      </c>
      <c r="AO16" s="17">
        <f t="shared" si="1"/>
        <v>4.0779296769935529</v>
      </c>
      <c r="AP16" s="17">
        <f t="shared" si="1"/>
        <v>4.0779296769935529</v>
      </c>
      <c r="AQ16" s="17">
        <f t="shared" si="1"/>
        <v>4.0779296769935529</v>
      </c>
      <c r="AR16" s="17">
        <f t="shared" si="1"/>
        <v>4.0779296769935529</v>
      </c>
      <c r="AS16" s="17">
        <f t="shared" si="1"/>
        <v>4.0779296769935529</v>
      </c>
      <c r="AT16" s="17">
        <f t="shared" si="1"/>
        <v>4.0779296769935529</v>
      </c>
      <c r="AU16" s="17">
        <f t="shared" si="1"/>
        <v>4.0779296769935529</v>
      </c>
      <c r="AV16" s="17">
        <f t="shared" si="1"/>
        <v>4.0779296769935529</v>
      </c>
      <c r="AW16" s="17">
        <f t="shared" si="1"/>
        <v>4.0779296769935529</v>
      </c>
      <c r="AX16" s="17">
        <f t="shared" si="1"/>
        <v>4.0779296769935529</v>
      </c>
      <c r="AY16" s="17">
        <f t="shared" si="1"/>
        <v>4.0779296769935529</v>
      </c>
      <c r="AZ16" s="17">
        <f t="shared" si="1"/>
        <v>4.0779296769935529</v>
      </c>
      <c r="BA16" s="17">
        <f t="shared" si="1"/>
        <v>4.0779296769935529</v>
      </c>
      <c r="BB16" s="17">
        <f t="shared" si="1"/>
        <v>4.0779296769935529</v>
      </c>
      <c r="BC16" s="17">
        <f t="shared" si="1"/>
        <v>4.0779296769935529</v>
      </c>
    </row>
    <row r="17" spans="2:55" x14ac:dyDescent="0.3">
      <c r="B17" t="s">
        <v>19</v>
      </c>
      <c r="C17" s="4">
        <v>6.7893438809999997</v>
      </c>
      <c r="D17" s="4">
        <v>7.2548472410000002</v>
      </c>
      <c r="E17" s="4">
        <v>7.5829103610000006</v>
      </c>
      <c r="F17" s="4">
        <v>7.9314655030000001</v>
      </c>
      <c r="G17" s="6">
        <f>F17*('Road freight EU Ref'!H16/'Road freight EU Ref'!G16)</f>
        <v>8.1980741201503911</v>
      </c>
      <c r="H17" s="6">
        <f>G17*('Road freight EU Ref'!I16/'Road freight EU Ref'!H16)</f>
        <v>8.464682737300782</v>
      </c>
      <c r="I17" s="6">
        <f>H17*('Road freight EU Ref'!J16/'Road freight EU Ref'!I16)</f>
        <v>8.7312913544511712</v>
      </c>
      <c r="J17" s="6">
        <f>I17*('Road freight EU Ref'!K16/'Road freight EU Ref'!J16)</f>
        <v>8.9978999716015604</v>
      </c>
      <c r="K17" s="6">
        <f>J17*('Road freight EU Ref'!L16/'Road freight EU Ref'!K16)</f>
        <v>9.2138713013662183</v>
      </c>
      <c r="L17" s="6">
        <f>K17*('Road freight EU Ref'!M16/'Road freight EU Ref'!L16)</f>
        <v>9.4298426311308763</v>
      </c>
      <c r="M17" s="6">
        <f>L17*('Road freight EU Ref'!N16/'Road freight EU Ref'!M16)</f>
        <v>9.6458139608955342</v>
      </c>
      <c r="N17" s="6">
        <f>M17*('Road freight EU Ref'!O16/'Road freight EU Ref'!N16)</f>
        <v>9.8617852906601922</v>
      </c>
      <c r="O17" s="6">
        <f>N17*('Road freight EU Ref'!P16/'Road freight EU Ref'!O16)</f>
        <v>10.077756620424854</v>
      </c>
      <c r="P17" s="6">
        <f>O17*('Road freight EU Ref'!Q16/'Road freight EU Ref'!P16)</f>
        <v>10.197080362964511</v>
      </c>
      <c r="Q17" s="6">
        <f>P17*('Road freight EU Ref'!R16/'Road freight EU Ref'!Q16)</f>
        <v>10.316404105504169</v>
      </c>
      <c r="R17" s="6">
        <f>Q17*('Road freight EU Ref'!S16/'Road freight EU Ref'!R16)</f>
        <v>10.435727848043827</v>
      </c>
      <c r="S17" s="6">
        <f>R17*('Road freight EU Ref'!T16/'Road freight EU Ref'!S16)</f>
        <v>10.555051590583487</v>
      </c>
      <c r="T17" s="6">
        <f>S17*('Road freight EU Ref'!U16/'Road freight EU Ref'!T16)</f>
        <v>10.674375333123145</v>
      </c>
      <c r="U17" s="6">
        <f>T17*('Road freight EU Ref'!V16/'Road freight EU Ref'!U16)</f>
        <v>10.804209294657978</v>
      </c>
      <c r="V17" s="6">
        <f>U17*('Road freight EU Ref'!W16/'Road freight EU Ref'!V16)</f>
        <v>10.934043256192812</v>
      </c>
      <c r="W17" s="6">
        <f>V17*('Road freight EU Ref'!X16/'Road freight EU Ref'!W16)</f>
        <v>11.063877217727645</v>
      </c>
      <c r="X17" s="6">
        <f>W17*('Road freight EU Ref'!Y16/'Road freight EU Ref'!X16)</f>
        <v>11.193711179262479</v>
      </c>
      <c r="Y17" s="6">
        <f>X17*('Road freight EU Ref'!Z16/'Road freight EU Ref'!Y16)</f>
        <v>11.323545140797311</v>
      </c>
      <c r="Z17" s="6">
        <f>Y17*('Road freight EU Ref'!AA16/'Road freight EU Ref'!Z16)</f>
        <v>11.421196898669796</v>
      </c>
      <c r="AA17" s="6">
        <f>Z17*('Road freight EU Ref'!AB16/'Road freight EU Ref'!AA16)</f>
        <v>11.51884865654228</v>
      </c>
      <c r="AB17" s="6">
        <f>AA17*('Road freight EU Ref'!AC16/'Road freight EU Ref'!AB16)</f>
        <v>11.616500414414764</v>
      </c>
      <c r="AC17" s="6">
        <f>AB17*('Road freight EU Ref'!AD16/'Road freight EU Ref'!AC16)</f>
        <v>11.71415217228725</v>
      </c>
      <c r="AD17" s="6">
        <f>AC17*('Road freight EU Ref'!AE16/'Road freight EU Ref'!AD16)</f>
        <v>11.811803930159739</v>
      </c>
      <c r="AE17" s="6">
        <f>AD17*('Road freight EU Ref'!AF16/'Road freight EU Ref'!AE16)</f>
        <v>11.902809285279281</v>
      </c>
      <c r="AF17" s="6">
        <f>AE17*('Road freight EU Ref'!AG16/'Road freight EU Ref'!AF16)</f>
        <v>11.993814640398824</v>
      </c>
      <c r="AG17" s="6">
        <f>AF17*('Road freight EU Ref'!AH16/'Road freight EU Ref'!AG16)</f>
        <v>12.084819995518368</v>
      </c>
      <c r="AH17" s="6">
        <f>AG17*('Road freight EU Ref'!AI16/'Road freight EU Ref'!AH16)</f>
        <v>12.175825350637909</v>
      </c>
      <c r="AI17" s="6">
        <f>AH17*('Road freight EU Ref'!AJ16/'Road freight EU Ref'!AI16)</f>
        <v>12.266830705757457</v>
      </c>
      <c r="AJ17" s="17">
        <f t="shared" si="1"/>
        <v>12.266830705757457</v>
      </c>
      <c r="AK17" s="17">
        <f t="shared" si="1"/>
        <v>12.266830705757457</v>
      </c>
      <c r="AL17" s="17">
        <f t="shared" si="1"/>
        <v>12.266830705757457</v>
      </c>
      <c r="AM17" s="17">
        <f t="shared" si="1"/>
        <v>12.266830705757457</v>
      </c>
      <c r="AN17" s="17">
        <f t="shared" si="1"/>
        <v>12.266830705757457</v>
      </c>
      <c r="AO17" s="17">
        <f t="shared" si="1"/>
        <v>12.266830705757457</v>
      </c>
      <c r="AP17" s="17">
        <f t="shared" si="1"/>
        <v>12.266830705757457</v>
      </c>
      <c r="AQ17" s="17">
        <f t="shared" si="1"/>
        <v>12.266830705757457</v>
      </c>
      <c r="AR17" s="17">
        <f t="shared" si="1"/>
        <v>12.266830705757457</v>
      </c>
      <c r="AS17" s="17">
        <f t="shared" si="1"/>
        <v>12.266830705757457</v>
      </c>
      <c r="AT17" s="17">
        <f t="shared" si="1"/>
        <v>12.266830705757457</v>
      </c>
      <c r="AU17" s="17">
        <f t="shared" si="1"/>
        <v>12.266830705757457</v>
      </c>
      <c r="AV17" s="17">
        <f t="shared" si="1"/>
        <v>12.266830705757457</v>
      </c>
      <c r="AW17" s="17">
        <f t="shared" si="1"/>
        <v>12.266830705757457</v>
      </c>
      <c r="AX17" s="17">
        <f t="shared" si="1"/>
        <v>12.266830705757457</v>
      </c>
      <c r="AY17" s="17">
        <f t="shared" ref="AY17:BC17" si="2">AX17</f>
        <v>12.266830705757457</v>
      </c>
      <c r="AZ17" s="17">
        <f t="shared" si="2"/>
        <v>12.266830705757457</v>
      </c>
      <c r="BA17" s="17">
        <f t="shared" si="2"/>
        <v>12.266830705757457</v>
      </c>
      <c r="BB17" s="17">
        <f t="shared" si="2"/>
        <v>12.266830705757457</v>
      </c>
      <c r="BC17" s="17">
        <f t="shared" si="2"/>
        <v>12.266830705757457</v>
      </c>
    </row>
    <row r="18" spans="2:55" x14ac:dyDescent="0.3">
      <c r="B18" t="s">
        <v>9</v>
      </c>
      <c r="C18" s="4">
        <v>4.5961332679999991</v>
      </c>
      <c r="D18" s="4">
        <v>4.5234273150000002</v>
      </c>
      <c r="E18" s="4">
        <v>4.4413409909999997</v>
      </c>
      <c r="F18" s="4">
        <v>4.5555181720000002</v>
      </c>
      <c r="G18" s="6">
        <f>F18*('Road freight EU Ref'!H17/'Road freight EU Ref'!G17)</f>
        <v>4.7263331069678136</v>
      </c>
      <c r="H18" s="6">
        <f>G18*('Road freight EU Ref'!I17/'Road freight EU Ref'!H17)</f>
        <v>4.897148041935627</v>
      </c>
      <c r="I18" s="6">
        <f>H18*('Road freight EU Ref'!J17/'Road freight EU Ref'!I17)</f>
        <v>5.0679629769034404</v>
      </c>
      <c r="J18" s="6">
        <f>I18*('Road freight EU Ref'!K17/'Road freight EU Ref'!J17)</f>
        <v>5.2387779118712539</v>
      </c>
      <c r="K18" s="6">
        <f>J18*('Road freight EU Ref'!L17/'Road freight EU Ref'!K17)</f>
        <v>5.4437122951784396</v>
      </c>
      <c r="L18" s="6">
        <f>K18*('Road freight EU Ref'!M17/'Road freight EU Ref'!L17)</f>
        <v>5.6486466784856262</v>
      </c>
      <c r="M18" s="6">
        <f>L18*('Road freight EU Ref'!N17/'Road freight EU Ref'!M17)</f>
        <v>5.8535810617928119</v>
      </c>
      <c r="N18" s="6">
        <f>M18*('Road freight EU Ref'!O17/'Road freight EU Ref'!N17)</f>
        <v>6.0585154450999985</v>
      </c>
      <c r="O18" s="6">
        <f>N18*('Road freight EU Ref'!P17/'Road freight EU Ref'!O17)</f>
        <v>6.263449828407186</v>
      </c>
      <c r="P18" s="6">
        <f>O18*('Road freight EU Ref'!Q17/'Road freight EU Ref'!P17)</f>
        <v>6.3445091389142174</v>
      </c>
      <c r="Q18" s="6">
        <f>P18*('Road freight EU Ref'!R17/'Road freight EU Ref'!Q17)</f>
        <v>6.4255684494212488</v>
      </c>
      <c r="R18" s="6">
        <f>Q18*('Road freight EU Ref'!S17/'Road freight EU Ref'!R17)</f>
        <v>6.5066277599282802</v>
      </c>
      <c r="S18" s="6">
        <f>R18*('Road freight EU Ref'!T17/'Road freight EU Ref'!S17)</f>
        <v>6.5876870704353108</v>
      </c>
      <c r="T18" s="6">
        <f>S18*('Road freight EU Ref'!U17/'Road freight EU Ref'!T17)</f>
        <v>6.6687463809423431</v>
      </c>
      <c r="U18" s="6">
        <f>T18*('Road freight EU Ref'!V17/'Road freight EU Ref'!U17)</f>
        <v>6.7690690100880078</v>
      </c>
      <c r="V18" s="6">
        <f>U18*('Road freight EU Ref'!W17/'Road freight EU Ref'!V17)</f>
        <v>6.8693916392336725</v>
      </c>
      <c r="W18" s="6">
        <f>V18*('Road freight EU Ref'!X17/'Road freight EU Ref'!W17)</f>
        <v>6.9697142683793363</v>
      </c>
      <c r="X18" s="6">
        <f>W18*('Road freight EU Ref'!Y17/'Road freight EU Ref'!X17)</f>
        <v>7.0700368975250001</v>
      </c>
      <c r="Y18" s="6">
        <f>X18*('Road freight EU Ref'!Z17/'Road freight EU Ref'!Y17)</f>
        <v>7.1703595266706657</v>
      </c>
      <c r="Z18" s="6">
        <f>Y18*('Road freight EU Ref'!AA17/'Road freight EU Ref'!Z17)</f>
        <v>7.2382126581046053</v>
      </c>
      <c r="AA18" s="6">
        <f>Z18*('Road freight EU Ref'!AB17/'Road freight EU Ref'!AA17)</f>
        <v>7.3060657895385441</v>
      </c>
      <c r="AB18" s="6">
        <f>AA18*('Road freight EU Ref'!AC17/'Road freight EU Ref'!AB17)</f>
        <v>7.3739189209724838</v>
      </c>
      <c r="AC18" s="6">
        <f>AB18*('Road freight EU Ref'!AD17/'Road freight EU Ref'!AC17)</f>
        <v>7.4417720524064235</v>
      </c>
      <c r="AD18" s="6">
        <f>AC18*('Road freight EU Ref'!AE17/'Road freight EU Ref'!AD17)</f>
        <v>7.5096251838403649</v>
      </c>
      <c r="AE18" s="6">
        <f>AD18*('Road freight EU Ref'!AF17/'Road freight EU Ref'!AE17)</f>
        <v>7.6431418301775773</v>
      </c>
      <c r="AF18" s="6">
        <f>AE18*('Road freight EU Ref'!AG17/'Road freight EU Ref'!AF17)</f>
        <v>7.7766584765147888</v>
      </c>
      <c r="AG18" s="6">
        <f>AF18*('Road freight EU Ref'!AH17/'Road freight EU Ref'!AG17)</f>
        <v>7.9101751228520003</v>
      </c>
      <c r="AH18" s="6">
        <f>AG18*('Road freight EU Ref'!AI17/'Road freight EU Ref'!AH17)</f>
        <v>8.0436917691892127</v>
      </c>
      <c r="AI18" s="6">
        <f>AH18*('Road freight EU Ref'!AJ17/'Road freight EU Ref'!AI17)</f>
        <v>8.177208415526426</v>
      </c>
      <c r="AJ18" s="17">
        <f t="shared" ref="AJ18:BC30" si="3">AI18</f>
        <v>8.177208415526426</v>
      </c>
      <c r="AK18" s="17">
        <f t="shared" si="3"/>
        <v>8.177208415526426</v>
      </c>
      <c r="AL18" s="17">
        <f t="shared" si="3"/>
        <v>8.177208415526426</v>
      </c>
      <c r="AM18" s="17">
        <f t="shared" si="3"/>
        <v>8.177208415526426</v>
      </c>
      <c r="AN18" s="17">
        <f t="shared" si="3"/>
        <v>8.177208415526426</v>
      </c>
      <c r="AO18" s="17">
        <f t="shared" si="3"/>
        <v>8.177208415526426</v>
      </c>
      <c r="AP18" s="17">
        <f t="shared" si="3"/>
        <v>8.177208415526426</v>
      </c>
      <c r="AQ18" s="17">
        <f t="shared" si="3"/>
        <v>8.177208415526426</v>
      </c>
      <c r="AR18" s="17">
        <f t="shared" si="3"/>
        <v>8.177208415526426</v>
      </c>
      <c r="AS18" s="17">
        <f t="shared" si="3"/>
        <v>8.177208415526426</v>
      </c>
      <c r="AT18" s="17">
        <f t="shared" si="3"/>
        <v>8.177208415526426</v>
      </c>
      <c r="AU18" s="17">
        <f t="shared" si="3"/>
        <v>8.177208415526426</v>
      </c>
      <c r="AV18" s="17">
        <f t="shared" si="3"/>
        <v>8.177208415526426</v>
      </c>
      <c r="AW18" s="17">
        <f t="shared" si="3"/>
        <v>8.177208415526426</v>
      </c>
      <c r="AX18" s="17">
        <f t="shared" si="3"/>
        <v>8.177208415526426</v>
      </c>
      <c r="AY18" s="17">
        <f t="shared" si="3"/>
        <v>8.177208415526426</v>
      </c>
      <c r="AZ18" s="17">
        <f t="shared" si="3"/>
        <v>8.177208415526426</v>
      </c>
      <c r="BA18" s="17">
        <f t="shared" si="3"/>
        <v>8.177208415526426</v>
      </c>
      <c r="BB18" s="17">
        <f t="shared" si="3"/>
        <v>8.177208415526426</v>
      </c>
      <c r="BC18" s="17">
        <f t="shared" si="3"/>
        <v>8.177208415526426</v>
      </c>
    </row>
    <row r="19" spans="2:55" x14ac:dyDescent="0.3">
      <c r="B19" t="s">
        <v>14</v>
      </c>
      <c r="C19" s="4">
        <v>55.174178859999998</v>
      </c>
      <c r="D19" s="4">
        <v>56.443600085000007</v>
      </c>
      <c r="E19" s="4">
        <v>54.946539064999996</v>
      </c>
      <c r="F19" s="4">
        <v>66.126206475000004</v>
      </c>
      <c r="G19" s="6">
        <f>F19*('Road freight EU Ref'!H18/'Road freight EU Ref'!G18)</f>
        <v>67.616228655071708</v>
      </c>
      <c r="H19" s="6">
        <f>G19*('Road freight EU Ref'!I18/'Road freight EU Ref'!H18)</f>
        <v>69.106250835143427</v>
      </c>
      <c r="I19" s="6">
        <f>H19*('Road freight EU Ref'!J18/'Road freight EU Ref'!I18)</f>
        <v>70.596273015215132</v>
      </c>
      <c r="J19" s="6">
        <f>I19*('Road freight EU Ref'!K18/'Road freight EU Ref'!J18)</f>
        <v>72.086295195286851</v>
      </c>
      <c r="K19" s="6">
        <f>J19*('Road freight EU Ref'!L18/'Road freight EU Ref'!K18)</f>
        <v>73.751947472747744</v>
      </c>
      <c r="L19" s="6">
        <f>K19*('Road freight EU Ref'!M18/'Road freight EU Ref'!L18)</f>
        <v>75.417599750208637</v>
      </c>
      <c r="M19" s="6">
        <f>L19*('Road freight EU Ref'!N18/'Road freight EU Ref'!M18)</f>
        <v>77.083252027669531</v>
      </c>
      <c r="N19" s="6">
        <f>M19*('Road freight EU Ref'!O18/'Road freight EU Ref'!N18)</f>
        <v>78.748904305130438</v>
      </c>
      <c r="O19" s="6">
        <f>N19*('Road freight EU Ref'!P18/'Road freight EU Ref'!O18)</f>
        <v>80.414556582591331</v>
      </c>
      <c r="P19" s="6">
        <f>O19*('Road freight EU Ref'!Q18/'Road freight EU Ref'!P18)</f>
        <v>81.773490975709123</v>
      </c>
      <c r="Q19" s="6">
        <f>P19*('Road freight EU Ref'!R18/'Road freight EU Ref'!Q18)</f>
        <v>83.132425368826915</v>
      </c>
      <c r="R19" s="6">
        <f>Q19*('Road freight EU Ref'!S18/'Road freight EU Ref'!R18)</f>
        <v>84.491359761944707</v>
      </c>
      <c r="S19" s="6">
        <f>R19*('Road freight EU Ref'!T18/'Road freight EU Ref'!S18)</f>
        <v>85.8502941550625</v>
      </c>
      <c r="T19" s="6">
        <f>S19*('Road freight EU Ref'!U18/'Road freight EU Ref'!T18)</f>
        <v>87.209228548180278</v>
      </c>
      <c r="U19" s="6">
        <f>T19*('Road freight EU Ref'!V18/'Road freight EU Ref'!U18)</f>
        <v>88.20698677869234</v>
      </c>
      <c r="V19" s="6">
        <f>U19*('Road freight EU Ref'!W18/'Road freight EU Ref'!V18)</f>
        <v>89.204745009204402</v>
      </c>
      <c r="W19" s="6">
        <f>V19*('Road freight EU Ref'!X18/'Road freight EU Ref'!W18)</f>
        <v>90.202503239716478</v>
      </c>
      <c r="X19" s="6">
        <f>W19*('Road freight EU Ref'!Y18/'Road freight EU Ref'!X18)</f>
        <v>91.20026147022854</v>
      </c>
      <c r="Y19" s="6">
        <f>X19*('Road freight EU Ref'!Z18/'Road freight EU Ref'!Y18)</f>
        <v>92.198019700740645</v>
      </c>
      <c r="Z19" s="6">
        <f>Y19*('Road freight EU Ref'!AA18/'Road freight EU Ref'!Z18)</f>
        <v>92.942858883706279</v>
      </c>
      <c r="AA19" s="6">
        <f>Z19*('Road freight EU Ref'!AB18/'Road freight EU Ref'!AA18)</f>
        <v>93.687698066671913</v>
      </c>
      <c r="AB19" s="6">
        <f>AA19*('Road freight EU Ref'!AC18/'Road freight EU Ref'!AB18)</f>
        <v>94.432537249637562</v>
      </c>
      <c r="AC19" s="6">
        <f>AB19*('Road freight EU Ref'!AD18/'Road freight EU Ref'!AC18)</f>
        <v>95.177376432603211</v>
      </c>
      <c r="AD19" s="6">
        <f>AC19*('Road freight EU Ref'!AE18/'Road freight EU Ref'!AD18)</f>
        <v>95.922215615568845</v>
      </c>
      <c r="AE19" s="6">
        <f>AD19*('Road freight EU Ref'!AF18/'Road freight EU Ref'!AE18)</f>
        <v>96.662788180767066</v>
      </c>
      <c r="AF19" s="6">
        <f>AE19*('Road freight EU Ref'!AG18/'Road freight EU Ref'!AF18)</f>
        <v>97.403360745965287</v>
      </c>
      <c r="AG19" s="6">
        <f>AF19*('Road freight EU Ref'!AH18/'Road freight EU Ref'!AG18)</f>
        <v>98.143933311163522</v>
      </c>
      <c r="AH19" s="6">
        <f>AG19*('Road freight EU Ref'!AI18/'Road freight EU Ref'!AH18)</f>
        <v>98.884505876361757</v>
      </c>
      <c r="AI19" s="6">
        <f>AH19*('Road freight EU Ref'!AJ18/'Road freight EU Ref'!AI18)</f>
        <v>99.625078441559978</v>
      </c>
      <c r="AJ19" s="17">
        <f t="shared" si="3"/>
        <v>99.625078441559978</v>
      </c>
      <c r="AK19" s="17">
        <f t="shared" si="3"/>
        <v>99.625078441559978</v>
      </c>
      <c r="AL19" s="17">
        <f t="shared" si="3"/>
        <v>99.625078441559978</v>
      </c>
      <c r="AM19" s="17">
        <f t="shared" si="3"/>
        <v>99.625078441559978</v>
      </c>
      <c r="AN19" s="17">
        <f t="shared" si="3"/>
        <v>99.625078441559978</v>
      </c>
      <c r="AO19" s="17">
        <f t="shared" si="3"/>
        <v>99.625078441559978</v>
      </c>
      <c r="AP19" s="17">
        <f t="shared" si="3"/>
        <v>99.625078441559978</v>
      </c>
      <c r="AQ19" s="17">
        <f t="shared" si="3"/>
        <v>99.625078441559978</v>
      </c>
      <c r="AR19" s="17">
        <f t="shared" si="3"/>
        <v>99.625078441559978</v>
      </c>
      <c r="AS19" s="17">
        <f t="shared" si="3"/>
        <v>99.625078441559978</v>
      </c>
      <c r="AT19" s="17">
        <f t="shared" si="3"/>
        <v>99.625078441559978</v>
      </c>
      <c r="AU19" s="17">
        <f t="shared" si="3"/>
        <v>99.625078441559978</v>
      </c>
      <c r="AV19" s="17">
        <f t="shared" si="3"/>
        <v>99.625078441559978</v>
      </c>
      <c r="AW19" s="17">
        <f t="shared" si="3"/>
        <v>99.625078441559978</v>
      </c>
      <c r="AX19" s="17">
        <f t="shared" si="3"/>
        <v>99.625078441559978</v>
      </c>
      <c r="AY19" s="17">
        <f t="shared" si="3"/>
        <v>99.625078441559978</v>
      </c>
      <c r="AZ19" s="17">
        <f t="shared" si="3"/>
        <v>99.625078441559978</v>
      </c>
      <c r="BA19" s="17">
        <f t="shared" si="3"/>
        <v>99.625078441559978</v>
      </c>
      <c r="BB19" s="17">
        <f t="shared" si="3"/>
        <v>99.625078441559978</v>
      </c>
      <c r="BC19" s="17">
        <f t="shared" si="3"/>
        <v>99.625078441559978</v>
      </c>
    </row>
    <row r="20" spans="2:55" x14ac:dyDescent="0.3">
      <c r="B20" t="s">
        <v>17</v>
      </c>
      <c r="C20" s="4">
        <v>0.91906772400000003</v>
      </c>
      <c r="D20" s="4">
        <v>0.95840402000000002</v>
      </c>
      <c r="E20" s="4">
        <v>0.99310355099999992</v>
      </c>
      <c r="F20" s="4">
        <v>1.0300653310000001</v>
      </c>
      <c r="G20" s="6">
        <f>F20*('Road freight EU Ref'!H19/'Road freight EU Ref'!G19)</f>
        <v>1.0591219163244694</v>
      </c>
      <c r="H20" s="6">
        <f>G20*('Road freight EU Ref'!I19/'Road freight EU Ref'!H19)</f>
        <v>1.0881785016489385</v>
      </c>
      <c r="I20" s="6">
        <f>H20*('Road freight EU Ref'!J19/'Road freight EU Ref'!I19)</f>
        <v>1.1172350869734076</v>
      </c>
      <c r="J20" s="6">
        <f>I20*('Road freight EU Ref'!K19/'Road freight EU Ref'!J19)</f>
        <v>1.1462916722978767</v>
      </c>
      <c r="K20" s="6">
        <f>J20*('Road freight EU Ref'!L19/'Road freight EU Ref'!K19)</f>
        <v>1.1603728367461117</v>
      </c>
      <c r="L20" s="6">
        <f>K20*('Road freight EU Ref'!M19/'Road freight EU Ref'!L19)</f>
        <v>1.1744540011943467</v>
      </c>
      <c r="M20" s="6">
        <f>L20*('Road freight EU Ref'!N19/'Road freight EU Ref'!M19)</f>
        <v>1.1885351656425818</v>
      </c>
      <c r="N20" s="6">
        <f>M20*('Road freight EU Ref'!O19/'Road freight EU Ref'!N19)</f>
        <v>1.2026163300908168</v>
      </c>
      <c r="O20" s="6">
        <f>N20*('Road freight EU Ref'!P19/'Road freight EU Ref'!O19)</f>
        <v>1.2166974945390518</v>
      </c>
      <c r="P20" s="6">
        <f>O20*('Road freight EU Ref'!Q19/'Road freight EU Ref'!P19)</f>
        <v>1.2260509363531094</v>
      </c>
      <c r="Q20" s="6">
        <f>P20*('Road freight EU Ref'!R19/'Road freight EU Ref'!Q19)</f>
        <v>1.2354043781671666</v>
      </c>
      <c r="R20" s="6">
        <f>Q20*('Road freight EU Ref'!S19/'Road freight EU Ref'!R19)</f>
        <v>1.2447578199812241</v>
      </c>
      <c r="S20" s="6">
        <f>R20*('Road freight EU Ref'!T19/'Road freight EU Ref'!S19)</f>
        <v>1.2541112617952814</v>
      </c>
      <c r="T20" s="6">
        <f>S20*('Road freight EU Ref'!U19/'Road freight EU Ref'!T19)</f>
        <v>1.2634647036093387</v>
      </c>
      <c r="U20" s="6">
        <f>T20*('Road freight EU Ref'!V19/'Road freight EU Ref'!U19)</f>
        <v>1.2761906681536554</v>
      </c>
      <c r="V20" s="6">
        <f>U20*('Road freight EU Ref'!W19/'Road freight EU Ref'!V19)</f>
        <v>1.2889166326979722</v>
      </c>
      <c r="W20" s="6">
        <f>V20*('Road freight EU Ref'!X19/'Road freight EU Ref'!W19)</f>
        <v>1.3016425972422889</v>
      </c>
      <c r="X20" s="6">
        <f>W20*('Road freight EU Ref'!Y19/'Road freight EU Ref'!X19)</f>
        <v>1.3143685617866059</v>
      </c>
      <c r="Y20" s="6">
        <f>X20*('Road freight EU Ref'!Z19/'Road freight EU Ref'!Y19)</f>
        <v>1.3270945263309224</v>
      </c>
      <c r="Z20" s="6">
        <f>Y20*('Road freight EU Ref'!AA19/'Road freight EU Ref'!Z19)</f>
        <v>1.332978836920832</v>
      </c>
      <c r="AA20" s="6">
        <f>Z20*('Road freight EU Ref'!AB19/'Road freight EU Ref'!AA19)</f>
        <v>1.3388631475107413</v>
      </c>
      <c r="AB20" s="6">
        <f>AA20*('Road freight EU Ref'!AC19/'Road freight EU Ref'!AB19)</f>
        <v>1.3447474581006509</v>
      </c>
      <c r="AC20" s="6">
        <f>AB20*('Road freight EU Ref'!AD19/'Road freight EU Ref'!AC19)</f>
        <v>1.3506317686905602</v>
      </c>
      <c r="AD20" s="6">
        <f>AC20*('Road freight EU Ref'!AE19/'Road freight EU Ref'!AD19)</f>
        <v>1.3565160792804696</v>
      </c>
      <c r="AE20" s="6">
        <f>AD20*('Road freight EU Ref'!AF19/'Road freight EU Ref'!AE19)</f>
        <v>1.3619539977655766</v>
      </c>
      <c r="AF20" s="6">
        <f>AE20*('Road freight EU Ref'!AG19/'Road freight EU Ref'!AF19)</f>
        <v>1.3673919162506836</v>
      </c>
      <c r="AG20" s="6">
        <f>AF20*('Road freight EU Ref'!AH19/'Road freight EU Ref'!AG19)</f>
        <v>1.3728298347357906</v>
      </c>
      <c r="AH20" s="6">
        <f>AG20*('Road freight EU Ref'!AI19/'Road freight EU Ref'!AH19)</f>
        <v>1.3782677532208978</v>
      </c>
      <c r="AI20" s="6">
        <f>AH20*('Road freight EU Ref'!AJ19/'Road freight EU Ref'!AI19)</f>
        <v>1.3837056717060043</v>
      </c>
      <c r="AJ20" s="17">
        <f t="shared" si="3"/>
        <v>1.3837056717060043</v>
      </c>
      <c r="AK20" s="17">
        <f t="shared" si="3"/>
        <v>1.3837056717060043</v>
      </c>
      <c r="AL20" s="17">
        <f t="shared" si="3"/>
        <v>1.3837056717060043</v>
      </c>
      <c r="AM20" s="17">
        <f t="shared" si="3"/>
        <v>1.3837056717060043</v>
      </c>
      <c r="AN20" s="17">
        <f t="shared" si="3"/>
        <v>1.3837056717060043</v>
      </c>
      <c r="AO20" s="17">
        <f t="shared" si="3"/>
        <v>1.3837056717060043</v>
      </c>
      <c r="AP20" s="17">
        <f t="shared" si="3"/>
        <v>1.3837056717060043</v>
      </c>
      <c r="AQ20" s="17">
        <f t="shared" si="3"/>
        <v>1.3837056717060043</v>
      </c>
      <c r="AR20" s="17">
        <f t="shared" si="3"/>
        <v>1.3837056717060043</v>
      </c>
      <c r="AS20" s="17">
        <f t="shared" si="3"/>
        <v>1.3837056717060043</v>
      </c>
      <c r="AT20" s="17">
        <f t="shared" si="3"/>
        <v>1.3837056717060043</v>
      </c>
      <c r="AU20" s="17">
        <f t="shared" si="3"/>
        <v>1.3837056717060043</v>
      </c>
      <c r="AV20" s="17">
        <f t="shared" si="3"/>
        <v>1.3837056717060043</v>
      </c>
      <c r="AW20" s="17">
        <f t="shared" si="3"/>
        <v>1.3837056717060043</v>
      </c>
      <c r="AX20" s="17">
        <f t="shared" si="3"/>
        <v>1.3837056717060043</v>
      </c>
      <c r="AY20" s="17">
        <f t="shared" si="3"/>
        <v>1.3837056717060043</v>
      </c>
      <c r="AZ20" s="17">
        <f t="shared" si="3"/>
        <v>1.3837056717060043</v>
      </c>
      <c r="BA20" s="17">
        <f t="shared" si="3"/>
        <v>1.3837056717060043</v>
      </c>
      <c r="BB20" s="17">
        <f t="shared" si="3"/>
        <v>1.3837056717060043</v>
      </c>
      <c r="BC20" s="17">
        <f t="shared" si="3"/>
        <v>1.3837056717060043</v>
      </c>
    </row>
    <row r="21" spans="2:55" x14ac:dyDescent="0.3">
      <c r="B21" t="s">
        <v>18</v>
      </c>
      <c r="C21" s="4">
        <v>0.65466905500000006</v>
      </c>
      <c r="D21" s="4">
        <v>0.66978829200000001</v>
      </c>
      <c r="E21" s="4">
        <v>0.67800654699999996</v>
      </c>
      <c r="F21" s="4">
        <v>0.71150125300000011</v>
      </c>
      <c r="G21" s="6">
        <f>F21*('Road freight EU Ref'!H20/'Road freight EU Ref'!G20)</f>
        <v>0.749267396869571</v>
      </c>
      <c r="H21" s="6">
        <f>G21*('Road freight EU Ref'!I20/'Road freight EU Ref'!H20)</f>
        <v>0.78703354073914178</v>
      </c>
      <c r="I21" s="6">
        <f>H21*('Road freight EU Ref'!J20/'Road freight EU Ref'!I20)</f>
        <v>0.82479968460871267</v>
      </c>
      <c r="J21" s="6">
        <f>I21*('Road freight EU Ref'!K20/'Road freight EU Ref'!J20)</f>
        <v>0.86256582847828378</v>
      </c>
      <c r="K21" s="6">
        <f>J21*('Road freight EU Ref'!L20/'Road freight EU Ref'!K20)</f>
        <v>0.88901887925064771</v>
      </c>
      <c r="L21" s="6">
        <f>K21*('Road freight EU Ref'!M20/'Road freight EU Ref'!L20)</f>
        <v>0.91547193002301164</v>
      </c>
      <c r="M21" s="6">
        <f>L21*('Road freight EU Ref'!N20/'Road freight EU Ref'!M20)</f>
        <v>0.94192498079537568</v>
      </c>
      <c r="N21" s="6">
        <f>M21*('Road freight EU Ref'!O20/'Road freight EU Ref'!N20)</f>
        <v>0.96837803156773972</v>
      </c>
      <c r="O21" s="6">
        <f>N21*('Road freight EU Ref'!P20/'Road freight EU Ref'!O20)</f>
        <v>0.99483108234010376</v>
      </c>
      <c r="P21" s="6">
        <f>O21*('Road freight EU Ref'!Q20/'Road freight EU Ref'!P20)</f>
        <v>1.0052965180898805</v>
      </c>
      <c r="Q21" s="6">
        <f>P21*('Road freight EU Ref'!R20/'Road freight EU Ref'!Q20)</f>
        <v>1.0157619538396572</v>
      </c>
      <c r="R21" s="6">
        <f>Q21*('Road freight EU Ref'!S20/'Road freight EU Ref'!R20)</f>
        <v>1.0262273895894338</v>
      </c>
      <c r="S21" s="6">
        <f>R21*('Road freight EU Ref'!T20/'Road freight EU Ref'!S20)</f>
        <v>1.0366928253392105</v>
      </c>
      <c r="T21" s="6">
        <f>S21*('Road freight EU Ref'!U20/'Road freight EU Ref'!T20)</f>
        <v>1.0471582610889876</v>
      </c>
      <c r="U21" s="6">
        <f>T21*('Road freight EU Ref'!V20/'Road freight EU Ref'!U20)</f>
        <v>1.0575951058323827</v>
      </c>
      <c r="V21" s="6">
        <f>U21*('Road freight EU Ref'!W20/'Road freight EU Ref'!V20)</f>
        <v>1.0680319505757778</v>
      </c>
      <c r="W21" s="6">
        <f>V21*('Road freight EU Ref'!X20/'Road freight EU Ref'!W20)</f>
        <v>1.0784687953191729</v>
      </c>
      <c r="X21" s="6">
        <f>W21*('Road freight EU Ref'!Y20/'Road freight EU Ref'!X20)</f>
        <v>1.0889056400625681</v>
      </c>
      <c r="Y21" s="6">
        <f>X21*('Road freight EU Ref'!Z20/'Road freight EU Ref'!Y20)</f>
        <v>1.0993424848059634</v>
      </c>
      <c r="Z21" s="6">
        <f>Y21*('Road freight EU Ref'!AA20/'Road freight EU Ref'!Z20)</f>
        <v>1.1080164458833519</v>
      </c>
      <c r="AA21" s="6">
        <f>Z21*('Road freight EU Ref'!AB20/'Road freight EU Ref'!AA20)</f>
        <v>1.1166904069607406</v>
      </c>
      <c r="AB21" s="6">
        <f>AA21*('Road freight EU Ref'!AC20/'Road freight EU Ref'!AB20)</f>
        <v>1.1253643680381293</v>
      </c>
      <c r="AC21" s="6">
        <f>AB21*('Road freight EU Ref'!AD20/'Road freight EU Ref'!AC20)</f>
        <v>1.1340383291155181</v>
      </c>
      <c r="AD21" s="6">
        <f>AC21*('Road freight EU Ref'!AE20/'Road freight EU Ref'!AD20)</f>
        <v>1.1427122901929063</v>
      </c>
      <c r="AE21" s="6">
        <f>AD21*('Road freight EU Ref'!AF20/'Road freight EU Ref'!AE20)</f>
        <v>1.1519400021846455</v>
      </c>
      <c r="AF21" s="6">
        <f>AE21*('Road freight EU Ref'!AG20/'Road freight EU Ref'!AF20)</f>
        <v>1.1611677141763845</v>
      </c>
      <c r="AG21" s="6">
        <f>AF21*('Road freight EU Ref'!AH20/'Road freight EU Ref'!AG20)</f>
        <v>1.1703954261681235</v>
      </c>
      <c r="AH21" s="6">
        <f>AG21*('Road freight EU Ref'!AI20/'Road freight EU Ref'!AH20)</f>
        <v>1.1796231381598627</v>
      </c>
      <c r="AI21" s="6">
        <f>AH21*('Road freight EU Ref'!AJ20/'Road freight EU Ref'!AI20)</f>
        <v>1.1888508501516024</v>
      </c>
      <c r="AJ21" s="17">
        <f t="shared" si="3"/>
        <v>1.1888508501516024</v>
      </c>
      <c r="AK21" s="17">
        <f t="shared" si="3"/>
        <v>1.1888508501516024</v>
      </c>
      <c r="AL21" s="17">
        <f t="shared" si="3"/>
        <v>1.1888508501516024</v>
      </c>
      <c r="AM21" s="17">
        <f t="shared" si="3"/>
        <v>1.1888508501516024</v>
      </c>
      <c r="AN21" s="17">
        <f t="shared" si="3"/>
        <v>1.1888508501516024</v>
      </c>
      <c r="AO21" s="17">
        <f t="shared" si="3"/>
        <v>1.1888508501516024</v>
      </c>
      <c r="AP21" s="17">
        <f t="shared" si="3"/>
        <v>1.1888508501516024</v>
      </c>
      <c r="AQ21" s="17">
        <f t="shared" si="3"/>
        <v>1.1888508501516024</v>
      </c>
      <c r="AR21" s="17">
        <f t="shared" si="3"/>
        <v>1.1888508501516024</v>
      </c>
      <c r="AS21" s="17">
        <f t="shared" si="3"/>
        <v>1.1888508501516024</v>
      </c>
      <c r="AT21" s="17">
        <f t="shared" si="3"/>
        <v>1.1888508501516024</v>
      </c>
      <c r="AU21" s="17">
        <f t="shared" si="3"/>
        <v>1.1888508501516024</v>
      </c>
      <c r="AV21" s="17">
        <f t="shared" si="3"/>
        <v>1.1888508501516024</v>
      </c>
      <c r="AW21" s="17">
        <f t="shared" si="3"/>
        <v>1.1888508501516024</v>
      </c>
      <c r="AX21" s="17">
        <f t="shared" si="3"/>
        <v>1.1888508501516024</v>
      </c>
      <c r="AY21" s="17">
        <f t="shared" si="3"/>
        <v>1.1888508501516024</v>
      </c>
      <c r="AZ21" s="17">
        <f t="shared" si="3"/>
        <v>1.1888508501516024</v>
      </c>
      <c r="BA21" s="17">
        <f t="shared" si="3"/>
        <v>1.1888508501516024</v>
      </c>
      <c r="BB21" s="17">
        <f t="shared" si="3"/>
        <v>1.1888508501516024</v>
      </c>
      <c r="BC21" s="17">
        <f t="shared" si="3"/>
        <v>1.1888508501516024</v>
      </c>
    </row>
    <row r="22" spans="2:55" x14ac:dyDescent="0.3">
      <c r="B22" t="s">
        <v>16</v>
      </c>
      <c r="C22" s="4">
        <v>0.91066070799999999</v>
      </c>
      <c r="D22" s="4">
        <v>0.93807441499999999</v>
      </c>
      <c r="E22" s="4">
        <v>0.97060315899999994</v>
      </c>
      <c r="F22" s="4">
        <v>1.0008159289999998</v>
      </c>
      <c r="G22" s="6">
        <f>F22*('Road freight EU Ref'!H21/'Road freight EU Ref'!G21)</f>
        <v>1.0285252151514721</v>
      </c>
      <c r="H22" s="6">
        <f>G22*('Road freight EU Ref'!I21/'Road freight EU Ref'!H21)</f>
        <v>1.0562345013029446</v>
      </c>
      <c r="I22" s="6">
        <f>H22*('Road freight EU Ref'!J21/'Road freight EU Ref'!I21)</f>
        <v>1.0839437874544169</v>
      </c>
      <c r="J22" s="6">
        <f>I22*('Road freight EU Ref'!K21/'Road freight EU Ref'!J21)</f>
        <v>1.1116530736058896</v>
      </c>
      <c r="K22" s="6">
        <f>J22*('Road freight EU Ref'!L21/'Road freight EU Ref'!K21)</f>
        <v>1.1263267042504947</v>
      </c>
      <c r="L22" s="6">
        <f>K22*('Road freight EU Ref'!M21/'Road freight EU Ref'!L21)</f>
        <v>1.1410003348950999</v>
      </c>
      <c r="M22" s="6">
        <f>L22*('Road freight EU Ref'!N21/'Road freight EU Ref'!M21)</f>
        <v>1.155673965539705</v>
      </c>
      <c r="N22" s="6">
        <f>M22*('Road freight EU Ref'!O21/'Road freight EU Ref'!N21)</f>
        <v>1.1703475961843102</v>
      </c>
      <c r="O22" s="6">
        <f>N22*('Road freight EU Ref'!P21/'Road freight EU Ref'!O21)</f>
        <v>1.1850212268289151</v>
      </c>
      <c r="P22" s="6">
        <f>O22*('Road freight EU Ref'!Q21/'Road freight EU Ref'!P21)</f>
        <v>1.1986593102964433</v>
      </c>
      <c r="Q22" s="6">
        <f>P22*('Road freight EU Ref'!R21/'Road freight EU Ref'!Q21)</f>
        <v>1.2122973937639716</v>
      </c>
      <c r="R22" s="6">
        <f>Q22*('Road freight EU Ref'!S21/'Road freight EU Ref'!R21)</f>
        <v>1.2259354772314999</v>
      </c>
      <c r="S22" s="6">
        <f>R22*('Road freight EU Ref'!T21/'Road freight EU Ref'!S21)</f>
        <v>1.2395735606990284</v>
      </c>
      <c r="T22" s="6">
        <f>S22*('Road freight EU Ref'!U21/'Road freight EU Ref'!T21)</f>
        <v>1.2532116441665564</v>
      </c>
      <c r="U22" s="6">
        <f>T22*('Road freight EU Ref'!V21/'Road freight EU Ref'!U21)</f>
        <v>1.2666992701861965</v>
      </c>
      <c r="V22" s="6">
        <f>U22*('Road freight EU Ref'!W21/'Road freight EU Ref'!V21)</f>
        <v>1.2801868962058367</v>
      </c>
      <c r="W22" s="6">
        <f>V22*('Road freight EU Ref'!X21/'Road freight EU Ref'!W21)</f>
        <v>1.2936745222254769</v>
      </c>
      <c r="X22" s="6">
        <f>W22*('Road freight EU Ref'!Y21/'Road freight EU Ref'!X21)</f>
        <v>1.3071621482451168</v>
      </c>
      <c r="Y22" s="6">
        <f>X22*('Road freight EU Ref'!Z21/'Road freight EU Ref'!Y21)</f>
        <v>1.3206497742647569</v>
      </c>
      <c r="Z22" s="6">
        <f>Y22*('Road freight EU Ref'!AA21/'Road freight EU Ref'!Z21)</f>
        <v>1.3224681186932101</v>
      </c>
      <c r="AA22" s="6">
        <f>Z22*('Road freight EU Ref'!AB21/'Road freight EU Ref'!AA21)</f>
        <v>1.3242864631216633</v>
      </c>
      <c r="AB22" s="6">
        <f>AA22*('Road freight EU Ref'!AC21/'Road freight EU Ref'!AB21)</f>
        <v>1.3261048075501165</v>
      </c>
      <c r="AC22" s="6">
        <f>AB22*('Road freight EU Ref'!AD21/'Road freight EU Ref'!AC21)</f>
        <v>1.3279231519785697</v>
      </c>
      <c r="AD22" s="6">
        <f>AC22*('Road freight EU Ref'!AE21/'Road freight EU Ref'!AD21)</f>
        <v>1.3297414964070229</v>
      </c>
      <c r="AE22" s="6">
        <f>AD22*('Road freight EU Ref'!AF21/'Road freight EU Ref'!AE21)</f>
        <v>1.3307627309516523</v>
      </c>
      <c r="AF22" s="6">
        <f>AE22*('Road freight EU Ref'!AG21/'Road freight EU Ref'!AF21)</f>
        <v>1.3317839654962818</v>
      </c>
      <c r="AG22" s="6">
        <f>AF22*('Road freight EU Ref'!AH21/'Road freight EU Ref'!AG21)</f>
        <v>1.332805200040911</v>
      </c>
      <c r="AH22" s="6">
        <f>AG22*('Road freight EU Ref'!AI21/'Road freight EU Ref'!AH21)</f>
        <v>1.3338264345855404</v>
      </c>
      <c r="AI22" s="6">
        <f>AH22*('Road freight EU Ref'!AJ21/'Road freight EU Ref'!AI21)</f>
        <v>1.3348476691301698</v>
      </c>
      <c r="AJ22" s="17">
        <f t="shared" si="3"/>
        <v>1.3348476691301698</v>
      </c>
      <c r="AK22" s="17">
        <f t="shared" si="3"/>
        <v>1.3348476691301698</v>
      </c>
      <c r="AL22" s="17">
        <f t="shared" si="3"/>
        <v>1.3348476691301698</v>
      </c>
      <c r="AM22" s="17">
        <f t="shared" si="3"/>
        <v>1.3348476691301698</v>
      </c>
      <c r="AN22" s="17">
        <f t="shared" si="3"/>
        <v>1.3348476691301698</v>
      </c>
      <c r="AO22" s="17">
        <f t="shared" si="3"/>
        <v>1.3348476691301698</v>
      </c>
      <c r="AP22" s="17">
        <f t="shared" si="3"/>
        <v>1.3348476691301698</v>
      </c>
      <c r="AQ22" s="17">
        <f t="shared" si="3"/>
        <v>1.3348476691301698</v>
      </c>
      <c r="AR22" s="17">
        <f t="shared" si="3"/>
        <v>1.3348476691301698</v>
      </c>
      <c r="AS22" s="17">
        <f t="shared" si="3"/>
        <v>1.3348476691301698</v>
      </c>
      <c r="AT22" s="17">
        <f t="shared" si="3"/>
        <v>1.3348476691301698</v>
      </c>
      <c r="AU22" s="17">
        <f t="shared" si="3"/>
        <v>1.3348476691301698</v>
      </c>
      <c r="AV22" s="17">
        <f t="shared" si="3"/>
        <v>1.3348476691301698</v>
      </c>
      <c r="AW22" s="17">
        <f t="shared" si="3"/>
        <v>1.3348476691301698</v>
      </c>
      <c r="AX22" s="17">
        <f t="shared" si="3"/>
        <v>1.3348476691301698</v>
      </c>
      <c r="AY22" s="17">
        <f t="shared" si="3"/>
        <v>1.3348476691301698</v>
      </c>
      <c r="AZ22" s="17">
        <f t="shared" si="3"/>
        <v>1.3348476691301698</v>
      </c>
      <c r="BA22" s="17">
        <f t="shared" si="3"/>
        <v>1.3348476691301698</v>
      </c>
      <c r="BB22" s="17">
        <f t="shared" si="3"/>
        <v>1.3348476691301698</v>
      </c>
      <c r="BC22" s="17">
        <f t="shared" si="3"/>
        <v>1.3348476691301698</v>
      </c>
    </row>
    <row r="23" spans="2:55" x14ac:dyDescent="0.3">
      <c r="B23" t="s">
        <v>20</v>
      </c>
      <c r="C23" s="4">
        <v>0.37994217499999999</v>
      </c>
      <c r="D23" s="4">
        <v>0.39880609099999997</v>
      </c>
      <c r="E23" s="4">
        <v>0.38500870300000001</v>
      </c>
      <c r="F23" s="4">
        <v>0.37189727</v>
      </c>
      <c r="G23" s="6">
        <f>F23*('Road freight EU Ref'!H22/'Road freight EU Ref'!G22)</f>
        <v>0.38645379721478912</v>
      </c>
      <c r="H23" s="6">
        <f>G23*('Road freight EU Ref'!I22/'Road freight EU Ref'!H22)</f>
        <v>0.40101032442957818</v>
      </c>
      <c r="I23" s="6">
        <f>H23*('Road freight EU Ref'!J22/'Road freight EU Ref'!I22)</f>
        <v>0.4155668516443673</v>
      </c>
      <c r="J23" s="6">
        <f>I23*('Road freight EU Ref'!K22/'Road freight EU Ref'!J22)</f>
        <v>0.4301233788591563</v>
      </c>
      <c r="K23" s="6">
        <f>J23*('Road freight EU Ref'!L22/'Road freight EU Ref'!K22)</f>
        <v>0.44654702082985998</v>
      </c>
      <c r="L23" s="6">
        <f>K23*('Road freight EU Ref'!M22/'Road freight EU Ref'!L22)</f>
        <v>0.46297066280056359</v>
      </c>
      <c r="M23" s="6">
        <f>L23*('Road freight EU Ref'!N22/'Road freight EU Ref'!M22)</f>
        <v>0.47939430477126727</v>
      </c>
      <c r="N23" s="6">
        <f>M23*('Road freight EU Ref'!O22/'Road freight EU Ref'!N22)</f>
        <v>0.49581794674197088</v>
      </c>
      <c r="O23" s="6">
        <f>N23*('Road freight EU Ref'!P22/'Road freight EU Ref'!O22)</f>
        <v>0.51224158871267467</v>
      </c>
      <c r="P23" s="6">
        <f>O23*('Road freight EU Ref'!Q22/'Road freight EU Ref'!P22)</f>
        <v>0.52235186571009384</v>
      </c>
      <c r="Q23" s="6">
        <f>P23*('Road freight EU Ref'!R22/'Road freight EU Ref'!Q22)</f>
        <v>0.53246214270751302</v>
      </c>
      <c r="R23" s="6">
        <f>Q23*('Road freight EU Ref'!S22/'Road freight EU Ref'!R22)</f>
        <v>0.5425724197049322</v>
      </c>
      <c r="S23" s="6">
        <f>R23*('Road freight EU Ref'!T22/'Road freight EU Ref'!S22)</f>
        <v>0.55268269670235148</v>
      </c>
      <c r="T23" s="6">
        <f>S23*('Road freight EU Ref'!U22/'Road freight EU Ref'!T22)</f>
        <v>0.56279297369977077</v>
      </c>
      <c r="U23" s="6">
        <f>T23*('Road freight EU Ref'!V22/'Road freight EU Ref'!U22)</f>
        <v>0.57199701046038176</v>
      </c>
      <c r="V23" s="6">
        <f>U23*('Road freight EU Ref'!W22/'Road freight EU Ref'!V22)</f>
        <v>0.58120104722099264</v>
      </c>
      <c r="W23" s="6">
        <f>V23*('Road freight EU Ref'!X22/'Road freight EU Ref'!W22)</f>
        <v>0.59040508398160363</v>
      </c>
      <c r="X23" s="6">
        <f>W23*('Road freight EU Ref'!Y22/'Road freight EU Ref'!X22)</f>
        <v>0.59960912074221451</v>
      </c>
      <c r="Y23" s="6">
        <f>X23*('Road freight EU Ref'!Z22/'Road freight EU Ref'!Y22)</f>
        <v>0.6088131575028255</v>
      </c>
      <c r="Z23" s="6">
        <f>Y23*('Road freight EU Ref'!AA22/'Road freight EU Ref'!Z22)</f>
        <v>0.61523532948485471</v>
      </c>
      <c r="AA23" s="6">
        <f>Z23*('Road freight EU Ref'!AB22/'Road freight EU Ref'!AA22)</f>
        <v>0.62165750146688403</v>
      </c>
      <c r="AB23" s="6">
        <f>AA23*('Road freight EU Ref'!AC22/'Road freight EU Ref'!AB22)</f>
        <v>0.62807967344891324</v>
      </c>
      <c r="AC23" s="6">
        <f>AB23*('Road freight EU Ref'!AD22/'Road freight EU Ref'!AC22)</f>
        <v>0.63450184543094246</v>
      </c>
      <c r="AD23" s="6">
        <f>AC23*('Road freight EU Ref'!AE22/'Road freight EU Ref'!AD22)</f>
        <v>0.64092401741297145</v>
      </c>
      <c r="AE23" s="6">
        <f>AD23*('Road freight EU Ref'!AF22/'Road freight EU Ref'!AE22)</f>
        <v>0.64731082352984126</v>
      </c>
      <c r="AF23" s="6">
        <f>AE23*('Road freight EU Ref'!AG22/'Road freight EU Ref'!AF22)</f>
        <v>0.65369762964671119</v>
      </c>
      <c r="AG23" s="6">
        <f>AF23*('Road freight EU Ref'!AH22/'Road freight EU Ref'!AG22)</f>
        <v>0.660084435763581</v>
      </c>
      <c r="AH23" s="6">
        <f>AG23*('Road freight EU Ref'!AI22/'Road freight EU Ref'!AH22)</f>
        <v>0.66647124188045093</v>
      </c>
      <c r="AI23" s="6">
        <f>AH23*('Road freight EU Ref'!AJ22/'Road freight EU Ref'!AI22)</f>
        <v>0.67285804799732096</v>
      </c>
      <c r="AJ23" s="17">
        <f t="shared" si="3"/>
        <v>0.67285804799732096</v>
      </c>
      <c r="AK23" s="17">
        <f t="shared" si="3"/>
        <v>0.67285804799732096</v>
      </c>
      <c r="AL23" s="17">
        <f t="shared" si="3"/>
        <v>0.67285804799732096</v>
      </c>
      <c r="AM23" s="17">
        <f t="shared" si="3"/>
        <v>0.67285804799732096</v>
      </c>
      <c r="AN23" s="17">
        <f t="shared" si="3"/>
        <v>0.67285804799732096</v>
      </c>
      <c r="AO23" s="17">
        <f t="shared" si="3"/>
        <v>0.67285804799732096</v>
      </c>
      <c r="AP23" s="17">
        <f t="shared" si="3"/>
        <v>0.67285804799732096</v>
      </c>
      <c r="AQ23" s="17">
        <f t="shared" si="3"/>
        <v>0.67285804799732096</v>
      </c>
      <c r="AR23" s="17">
        <f t="shared" si="3"/>
        <v>0.67285804799732096</v>
      </c>
      <c r="AS23" s="17">
        <f t="shared" si="3"/>
        <v>0.67285804799732096</v>
      </c>
      <c r="AT23" s="17">
        <f t="shared" si="3"/>
        <v>0.67285804799732096</v>
      </c>
      <c r="AU23" s="17">
        <f t="shared" si="3"/>
        <v>0.67285804799732096</v>
      </c>
      <c r="AV23" s="17">
        <f t="shared" si="3"/>
        <v>0.67285804799732096</v>
      </c>
      <c r="AW23" s="17">
        <f t="shared" si="3"/>
        <v>0.67285804799732096</v>
      </c>
      <c r="AX23" s="17">
        <f t="shared" si="3"/>
        <v>0.67285804799732096</v>
      </c>
      <c r="AY23" s="17">
        <f t="shared" si="3"/>
        <v>0.67285804799732096</v>
      </c>
      <c r="AZ23" s="17">
        <f t="shared" si="3"/>
        <v>0.67285804799732096</v>
      </c>
      <c r="BA23" s="17">
        <f t="shared" si="3"/>
        <v>0.67285804799732096</v>
      </c>
      <c r="BB23" s="17">
        <f t="shared" si="3"/>
        <v>0.67285804799732096</v>
      </c>
      <c r="BC23" s="17">
        <f t="shared" si="3"/>
        <v>0.67285804799732096</v>
      </c>
    </row>
    <row r="24" spans="2:55" x14ac:dyDescent="0.3">
      <c r="B24" t="s">
        <v>21</v>
      </c>
      <c r="C24" s="4">
        <v>19.654723298999997</v>
      </c>
      <c r="D24" s="4">
        <v>19.862219101000001</v>
      </c>
      <c r="E24" s="4">
        <v>19.239504906999993</v>
      </c>
      <c r="F24" s="4">
        <v>19.849295522000002</v>
      </c>
      <c r="G24" s="6">
        <f>F24*('Road freight EU Ref'!H23/'Road freight EU Ref'!G23)</f>
        <v>20.324551295270691</v>
      </c>
      <c r="H24" s="6">
        <f>G24*('Road freight EU Ref'!I23/'Road freight EU Ref'!H23)</f>
        <v>20.79980706854138</v>
      </c>
      <c r="I24" s="6">
        <f>H24*('Road freight EU Ref'!J23/'Road freight EU Ref'!I23)</f>
        <v>21.275062841812069</v>
      </c>
      <c r="J24" s="6">
        <f>I24*('Road freight EU Ref'!K23/'Road freight EU Ref'!J23)</f>
        <v>21.750318615082762</v>
      </c>
      <c r="K24" s="6">
        <f>J24*('Road freight EU Ref'!L23/'Road freight EU Ref'!K23)</f>
        <v>22.083841309794263</v>
      </c>
      <c r="L24" s="6">
        <f>K24*('Road freight EU Ref'!M23/'Road freight EU Ref'!L23)</f>
        <v>22.417364004505767</v>
      </c>
      <c r="M24" s="6">
        <f>L24*('Road freight EU Ref'!N23/'Road freight EU Ref'!M23)</f>
        <v>22.750886699217268</v>
      </c>
      <c r="N24" s="6">
        <f>M24*('Road freight EU Ref'!O23/'Road freight EU Ref'!N23)</f>
        <v>23.084409393928773</v>
      </c>
      <c r="O24" s="6">
        <f>N24*('Road freight EU Ref'!P23/'Road freight EU Ref'!O23)</f>
        <v>23.417932088640274</v>
      </c>
      <c r="P24" s="6">
        <f>O24*('Road freight EU Ref'!Q23/'Road freight EU Ref'!P23)</f>
        <v>23.533025505419452</v>
      </c>
      <c r="Q24" s="6">
        <f>P24*('Road freight EU Ref'!R23/'Road freight EU Ref'!Q23)</f>
        <v>23.648118922198627</v>
      </c>
      <c r="R24" s="6">
        <f>Q24*('Road freight EU Ref'!S23/'Road freight EU Ref'!R23)</f>
        <v>23.763212338977805</v>
      </c>
      <c r="S24" s="6">
        <f>R24*('Road freight EU Ref'!T23/'Road freight EU Ref'!S23)</f>
        <v>23.87830575575698</v>
      </c>
      <c r="T24" s="6">
        <f>S24*('Road freight EU Ref'!U23/'Road freight EU Ref'!T23)</f>
        <v>23.993399172536147</v>
      </c>
      <c r="U24" s="6">
        <f>T24*('Road freight EU Ref'!V23/'Road freight EU Ref'!U23)</f>
        <v>24.123768742641122</v>
      </c>
      <c r="V24" s="6">
        <f>U24*('Road freight EU Ref'!W23/'Road freight EU Ref'!V23)</f>
        <v>24.254138312746097</v>
      </c>
      <c r="W24" s="6">
        <f>V24*('Road freight EU Ref'!X23/'Road freight EU Ref'!W23)</f>
        <v>24.384507882851072</v>
      </c>
      <c r="X24" s="6">
        <f>W24*('Road freight EU Ref'!Y23/'Road freight EU Ref'!X23)</f>
        <v>24.514877452956046</v>
      </c>
      <c r="Y24" s="6">
        <f>X24*('Road freight EU Ref'!Z23/'Road freight EU Ref'!Y23)</f>
        <v>24.645247023061007</v>
      </c>
      <c r="Z24" s="6">
        <f>Y24*('Road freight EU Ref'!AA23/'Road freight EU Ref'!Z23)</f>
        <v>24.79749440886453</v>
      </c>
      <c r="AA24" s="6">
        <f>Z24*('Road freight EU Ref'!AB23/'Road freight EU Ref'!AA23)</f>
        <v>24.949741794668054</v>
      </c>
      <c r="AB24" s="6">
        <f>AA24*('Road freight EU Ref'!AC23/'Road freight EU Ref'!AB23)</f>
        <v>25.101989180471573</v>
      </c>
      <c r="AC24" s="6">
        <f>AB24*('Road freight EU Ref'!AD23/'Road freight EU Ref'!AC23)</f>
        <v>25.254236566275097</v>
      </c>
      <c r="AD24" s="6">
        <f>AC24*('Road freight EU Ref'!AE23/'Road freight EU Ref'!AD23)</f>
        <v>25.406483952078606</v>
      </c>
      <c r="AE24" s="6">
        <f>AD24*('Road freight EU Ref'!AF23/'Road freight EU Ref'!AE23)</f>
        <v>25.551618764663875</v>
      </c>
      <c r="AF24" s="6">
        <f>AE24*('Road freight EU Ref'!AG23/'Road freight EU Ref'!AF23)</f>
        <v>25.69675357724914</v>
      </c>
      <c r="AG24" s="6">
        <f>AF24*('Road freight EU Ref'!AH23/'Road freight EU Ref'!AG23)</f>
        <v>25.841888389834409</v>
      </c>
      <c r="AH24" s="6">
        <f>AG24*('Road freight EU Ref'!AI23/'Road freight EU Ref'!AH23)</f>
        <v>25.987023202419678</v>
      </c>
      <c r="AI24" s="6">
        <f>AH24*('Road freight EU Ref'!AJ23/'Road freight EU Ref'!AI23)</f>
        <v>26.132158015004944</v>
      </c>
      <c r="AJ24" s="17">
        <f t="shared" si="3"/>
        <v>26.132158015004944</v>
      </c>
      <c r="AK24" s="17">
        <f t="shared" si="3"/>
        <v>26.132158015004944</v>
      </c>
      <c r="AL24" s="17">
        <f t="shared" si="3"/>
        <v>26.132158015004944</v>
      </c>
      <c r="AM24" s="17">
        <f t="shared" si="3"/>
        <v>26.132158015004944</v>
      </c>
      <c r="AN24" s="17">
        <f t="shared" si="3"/>
        <v>26.132158015004944</v>
      </c>
      <c r="AO24" s="17">
        <f t="shared" si="3"/>
        <v>26.132158015004944</v>
      </c>
      <c r="AP24" s="17">
        <f t="shared" si="3"/>
        <v>26.132158015004944</v>
      </c>
      <c r="AQ24" s="17">
        <f t="shared" si="3"/>
        <v>26.132158015004944</v>
      </c>
      <c r="AR24" s="17">
        <f t="shared" si="3"/>
        <v>26.132158015004944</v>
      </c>
      <c r="AS24" s="17">
        <f t="shared" si="3"/>
        <v>26.132158015004944</v>
      </c>
      <c r="AT24" s="17">
        <f t="shared" si="3"/>
        <v>26.132158015004944</v>
      </c>
      <c r="AU24" s="17">
        <f t="shared" si="3"/>
        <v>26.132158015004944</v>
      </c>
      <c r="AV24" s="17">
        <f t="shared" si="3"/>
        <v>26.132158015004944</v>
      </c>
      <c r="AW24" s="17">
        <f t="shared" si="3"/>
        <v>26.132158015004944</v>
      </c>
      <c r="AX24" s="17">
        <f t="shared" si="3"/>
        <v>26.132158015004944</v>
      </c>
      <c r="AY24" s="17">
        <f t="shared" si="3"/>
        <v>26.132158015004944</v>
      </c>
      <c r="AZ24" s="17">
        <f t="shared" si="3"/>
        <v>26.132158015004944</v>
      </c>
      <c r="BA24" s="17">
        <f t="shared" si="3"/>
        <v>26.132158015004944</v>
      </c>
      <c r="BB24" s="17">
        <f t="shared" si="3"/>
        <v>26.132158015004944</v>
      </c>
      <c r="BC24" s="17">
        <f t="shared" si="3"/>
        <v>26.132158015004944</v>
      </c>
    </row>
    <row r="25" spans="2:55" x14ac:dyDescent="0.3">
      <c r="B25" t="s">
        <v>22</v>
      </c>
      <c r="C25" s="4">
        <v>32.016681812999991</v>
      </c>
      <c r="D25" s="4">
        <v>33.6164305</v>
      </c>
      <c r="E25" s="4">
        <v>33.738567703999998</v>
      </c>
      <c r="F25" s="4">
        <v>34.862424244999993</v>
      </c>
      <c r="G25" s="6">
        <f>F25*('Road freight EU Ref'!H24/'Road freight EU Ref'!G24)</f>
        <v>36.234769516168711</v>
      </c>
      <c r="H25" s="6">
        <f>G25*('Road freight EU Ref'!I24/'Road freight EU Ref'!H24)</f>
        <v>37.60711478733743</v>
      </c>
      <c r="I25" s="6">
        <f>H25*('Road freight EU Ref'!J24/'Road freight EU Ref'!I24)</f>
        <v>38.979460058506149</v>
      </c>
      <c r="J25" s="6">
        <f>I25*('Road freight EU Ref'!K24/'Road freight EU Ref'!J24)</f>
        <v>40.351805329674868</v>
      </c>
      <c r="K25" s="6">
        <f>J25*('Road freight EU Ref'!L24/'Road freight EU Ref'!K24)</f>
        <v>41.549767519367542</v>
      </c>
      <c r="L25" s="6">
        <f>K25*('Road freight EU Ref'!M24/'Road freight EU Ref'!L24)</f>
        <v>42.747729709060216</v>
      </c>
      <c r="M25" s="6">
        <f>L25*('Road freight EU Ref'!N24/'Road freight EU Ref'!M24)</f>
        <v>43.945691898752891</v>
      </c>
      <c r="N25" s="6">
        <f>M25*('Road freight EU Ref'!O24/'Road freight EU Ref'!N24)</f>
        <v>45.143654088445565</v>
      </c>
      <c r="O25" s="6">
        <f>N25*('Road freight EU Ref'!P24/'Road freight EU Ref'!O24)</f>
        <v>46.341616278138254</v>
      </c>
      <c r="P25" s="6">
        <f>O25*('Road freight EU Ref'!Q24/'Road freight EU Ref'!P24)</f>
        <v>47.172294722357513</v>
      </c>
      <c r="Q25" s="6">
        <f>P25*('Road freight EU Ref'!R24/'Road freight EU Ref'!Q24)</f>
        <v>48.002973166576766</v>
      </c>
      <c r="R25" s="6">
        <f>Q25*('Road freight EU Ref'!S24/'Road freight EU Ref'!R24)</f>
        <v>48.833651610796025</v>
      </c>
      <c r="S25" s="6">
        <f>R25*('Road freight EU Ref'!T24/'Road freight EU Ref'!S24)</f>
        <v>49.664330055015284</v>
      </c>
      <c r="T25" s="6">
        <f>S25*('Road freight EU Ref'!U24/'Road freight EU Ref'!T24)</f>
        <v>50.495008499234551</v>
      </c>
      <c r="U25" s="6">
        <f>T25*('Road freight EU Ref'!V24/'Road freight EU Ref'!U24)</f>
        <v>51.342493595049788</v>
      </c>
      <c r="V25" s="6">
        <f>U25*('Road freight EU Ref'!W24/'Road freight EU Ref'!V24)</f>
        <v>52.189978690865033</v>
      </c>
      <c r="W25" s="6">
        <f>V25*('Road freight EU Ref'!X24/'Road freight EU Ref'!W24)</f>
        <v>53.03746378668027</v>
      </c>
      <c r="X25" s="6">
        <f>W25*('Road freight EU Ref'!Y24/'Road freight EU Ref'!X24)</f>
        <v>53.884948882495515</v>
      </c>
      <c r="Y25" s="6">
        <f>X25*('Road freight EU Ref'!Z24/'Road freight EU Ref'!Y24)</f>
        <v>54.732433978310731</v>
      </c>
      <c r="Z25" s="6">
        <f>Y25*('Road freight EU Ref'!AA24/'Road freight EU Ref'!Z24)</f>
        <v>55.034902621043848</v>
      </c>
      <c r="AA25" s="6">
        <f>Z25*('Road freight EU Ref'!AB24/'Road freight EU Ref'!AA24)</f>
        <v>55.337371263776959</v>
      </c>
      <c r="AB25" s="6">
        <f>AA25*('Road freight EU Ref'!AC24/'Road freight EU Ref'!AB24)</f>
        <v>55.639839906510069</v>
      </c>
      <c r="AC25" s="6">
        <f>AB25*('Road freight EU Ref'!AD24/'Road freight EU Ref'!AC24)</f>
        <v>55.942308549243187</v>
      </c>
      <c r="AD25" s="6">
        <f>AC25*('Road freight EU Ref'!AE24/'Road freight EU Ref'!AD24)</f>
        <v>56.244777191976297</v>
      </c>
      <c r="AE25" s="6">
        <f>AD25*('Road freight EU Ref'!AF24/'Road freight EU Ref'!AE24)</f>
        <v>56.550293440853018</v>
      </c>
      <c r="AF25" s="6">
        <f>AE25*('Road freight EU Ref'!AG24/'Road freight EU Ref'!AF24)</f>
        <v>56.855809689729746</v>
      </c>
      <c r="AG25" s="6">
        <f>AF25*('Road freight EU Ref'!AH24/'Road freight EU Ref'!AG24)</f>
        <v>57.161325938606474</v>
      </c>
      <c r="AH25" s="6">
        <f>AG25*('Road freight EU Ref'!AI24/'Road freight EU Ref'!AH24)</f>
        <v>57.466842187483195</v>
      </c>
      <c r="AI25" s="6">
        <f>AH25*('Road freight EU Ref'!AJ24/'Road freight EU Ref'!AI24)</f>
        <v>57.772358436359923</v>
      </c>
      <c r="AJ25" s="17">
        <f t="shared" si="3"/>
        <v>57.772358436359923</v>
      </c>
      <c r="AK25" s="17">
        <f t="shared" si="3"/>
        <v>57.772358436359923</v>
      </c>
      <c r="AL25" s="17">
        <f t="shared" si="3"/>
        <v>57.772358436359923</v>
      </c>
      <c r="AM25" s="17">
        <f t="shared" si="3"/>
        <v>57.772358436359923</v>
      </c>
      <c r="AN25" s="17">
        <f t="shared" si="3"/>
        <v>57.772358436359923</v>
      </c>
      <c r="AO25" s="17">
        <f t="shared" si="3"/>
        <v>57.772358436359923</v>
      </c>
      <c r="AP25" s="17">
        <f t="shared" si="3"/>
        <v>57.772358436359923</v>
      </c>
      <c r="AQ25" s="17">
        <f t="shared" si="3"/>
        <v>57.772358436359923</v>
      </c>
      <c r="AR25" s="17">
        <f t="shared" si="3"/>
        <v>57.772358436359923</v>
      </c>
      <c r="AS25" s="17">
        <f t="shared" si="3"/>
        <v>57.772358436359923</v>
      </c>
      <c r="AT25" s="17">
        <f t="shared" si="3"/>
        <v>57.772358436359923</v>
      </c>
      <c r="AU25" s="17">
        <f t="shared" si="3"/>
        <v>57.772358436359923</v>
      </c>
      <c r="AV25" s="17">
        <f t="shared" si="3"/>
        <v>57.772358436359923</v>
      </c>
      <c r="AW25" s="17">
        <f t="shared" si="3"/>
        <v>57.772358436359923</v>
      </c>
      <c r="AX25" s="17">
        <f t="shared" si="3"/>
        <v>57.772358436359923</v>
      </c>
      <c r="AY25" s="17">
        <f t="shared" si="3"/>
        <v>57.772358436359923</v>
      </c>
      <c r="AZ25" s="17">
        <f t="shared" si="3"/>
        <v>57.772358436359923</v>
      </c>
      <c r="BA25" s="17">
        <f t="shared" si="3"/>
        <v>57.772358436359923</v>
      </c>
      <c r="BB25" s="17">
        <f t="shared" si="3"/>
        <v>57.772358436359923</v>
      </c>
      <c r="BC25" s="17">
        <f t="shared" si="3"/>
        <v>57.772358436359923</v>
      </c>
    </row>
    <row r="26" spans="2:55" x14ac:dyDescent="0.3">
      <c r="B26" t="s">
        <v>23</v>
      </c>
      <c r="C26" s="4">
        <v>12.856415853</v>
      </c>
      <c r="D26" s="4">
        <v>13.250850216999998</v>
      </c>
      <c r="E26" s="4">
        <v>11.251380328</v>
      </c>
      <c r="F26" s="4">
        <v>12.494637786999998</v>
      </c>
      <c r="G26" s="6">
        <f>F26*('Road freight EU Ref'!H25/'Road freight EU Ref'!G25)</f>
        <v>12.82142640197036</v>
      </c>
      <c r="H26" s="6">
        <f>G26*('Road freight EU Ref'!I25/'Road freight EU Ref'!H25)</f>
        <v>13.148215016940723</v>
      </c>
      <c r="I26" s="6">
        <f>H26*('Road freight EU Ref'!J25/'Road freight EU Ref'!I25)</f>
        <v>13.475003631911086</v>
      </c>
      <c r="J26" s="6">
        <f>I26*('Road freight EU Ref'!K25/'Road freight EU Ref'!J25)</f>
        <v>13.801792246881444</v>
      </c>
      <c r="K26" s="6">
        <f>J26*('Road freight EU Ref'!L25/'Road freight EU Ref'!K25)</f>
        <v>13.949620550879452</v>
      </c>
      <c r="L26" s="6">
        <f>K26*('Road freight EU Ref'!M25/'Road freight EU Ref'!L25)</f>
        <v>14.097448854877459</v>
      </c>
      <c r="M26" s="6">
        <f>L26*('Road freight EU Ref'!N25/'Road freight EU Ref'!M25)</f>
        <v>14.245277158875464</v>
      </c>
      <c r="N26" s="6">
        <f>M26*('Road freight EU Ref'!O25/'Road freight EU Ref'!N25)</f>
        <v>14.393105462873471</v>
      </c>
      <c r="O26" s="6">
        <f>N26*('Road freight EU Ref'!P25/'Road freight EU Ref'!O25)</f>
        <v>14.540933766871476</v>
      </c>
      <c r="P26" s="6">
        <f>O26*('Road freight EU Ref'!Q25/'Road freight EU Ref'!P25)</f>
        <v>14.655627811615496</v>
      </c>
      <c r="Q26" s="6">
        <f>P26*('Road freight EU Ref'!R25/'Road freight EU Ref'!Q25)</f>
        <v>14.770321856359514</v>
      </c>
      <c r="R26" s="6">
        <f>Q26*('Road freight EU Ref'!S25/'Road freight EU Ref'!R25)</f>
        <v>14.885015901103531</v>
      </c>
      <c r="S26" s="6">
        <f>R26*('Road freight EU Ref'!T25/'Road freight EU Ref'!S25)</f>
        <v>14.999709945847547</v>
      </c>
      <c r="T26" s="6">
        <f>S26*('Road freight EU Ref'!U25/'Road freight EU Ref'!T25)</f>
        <v>15.114403990591565</v>
      </c>
      <c r="U26" s="6">
        <f>T26*('Road freight EU Ref'!V25/'Road freight EU Ref'!U25)</f>
        <v>15.220996034612805</v>
      </c>
      <c r="V26" s="6">
        <f>U26*('Road freight EU Ref'!W25/'Road freight EU Ref'!V25)</f>
        <v>15.327588078634045</v>
      </c>
      <c r="W26" s="6">
        <f>V26*('Road freight EU Ref'!X25/'Road freight EU Ref'!W25)</f>
        <v>15.434180122655288</v>
      </c>
      <c r="X26" s="6">
        <f>W26*('Road freight EU Ref'!Y25/'Road freight EU Ref'!X25)</f>
        <v>15.540772166676529</v>
      </c>
      <c r="Y26" s="6">
        <f>X26*('Road freight EU Ref'!Z25/'Road freight EU Ref'!Y25)</f>
        <v>15.647364210697768</v>
      </c>
      <c r="Z26" s="6">
        <f>Y26*('Road freight EU Ref'!AA25/'Road freight EU Ref'!Z25)</f>
        <v>15.753571189002052</v>
      </c>
      <c r="AA26" s="6">
        <f>Z26*('Road freight EU Ref'!AB25/'Road freight EU Ref'!AA25)</f>
        <v>15.859778167306334</v>
      </c>
      <c r="AB26" s="6">
        <f>AA26*('Road freight EU Ref'!AC25/'Road freight EU Ref'!AB25)</f>
        <v>15.965985145610619</v>
      </c>
      <c r="AC26" s="6">
        <f>AB26*('Road freight EU Ref'!AD25/'Road freight EU Ref'!AC25)</f>
        <v>16.072192123914903</v>
      </c>
      <c r="AD26" s="6">
        <f>AC26*('Road freight EU Ref'!AE25/'Road freight EU Ref'!AD25)</f>
        <v>16.178399102219185</v>
      </c>
      <c r="AE26" s="6">
        <f>AD26*('Road freight EU Ref'!AF25/'Road freight EU Ref'!AE25)</f>
        <v>16.29913557761552</v>
      </c>
      <c r="AF26" s="6">
        <f>AE26*('Road freight EU Ref'!AG25/'Road freight EU Ref'!AF25)</f>
        <v>16.419872053011854</v>
      </c>
      <c r="AG26" s="6">
        <f>AF26*('Road freight EU Ref'!AH25/'Road freight EU Ref'!AG25)</f>
        <v>16.540608528408189</v>
      </c>
      <c r="AH26" s="6">
        <f>AG26*('Road freight EU Ref'!AI25/'Road freight EU Ref'!AH25)</f>
        <v>16.661345003804524</v>
      </c>
      <c r="AI26" s="6">
        <f>AH26*('Road freight EU Ref'!AJ25/'Road freight EU Ref'!AI25)</f>
        <v>16.782081479200855</v>
      </c>
      <c r="AJ26" s="17">
        <f t="shared" si="3"/>
        <v>16.782081479200855</v>
      </c>
      <c r="AK26" s="17">
        <f t="shared" si="3"/>
        <v>16.782081479200855</v>
      </c>
      <c r="AL26" s="17">
        <f t="shared" si="3"/>
        <v>16.782081479200855</v>
      </c>
      <c r="AM26" s="17">
        <f t="shared" si="3"/>
        <v>16.782081479200855</v>
      </c>
      <c r="AN26" s="17">
        <f t="shared" si="3"/>
        <v>16.782081479200855</v>
      </c>
      <c r="AO26" s="17">
        <f t="shared" si="3"/>
        <v>16.782081479200855</v>
      </c>
      <c r="AP26" s="17">
        <f t="shared" si="3"/>
        <v>16.782081479200855</v>
      </c>
      <c r="AQ26" s="17">
        <f t="shared" si="3"/>
        <v>16.782081479200855</v>
      </c>
      <c r="AR26" s="17">
        <f t="shared" si="3"/>
        <v>16.782081479200855</v>
      </c>
      <c r="AS26" s="17">
        <f t="shared" si="3"/>
        <v>16.782081479200855</v>
      </c>
      <c r="AT26" s="17">
        <f t="shared" si="3"/>
        <v>16.782081479200855</v>
      </c>
      <c r="AU26" s="17">
        <f t="shared" si="3"/>
        <v>16.782081479200855</v>
      </c>
      <c r="AV26" s="17">
        <f t="shared" si="3"/>
        <v>16.782081479200855</v>
      </c>
      <c r="AW26" s="17">
        <f t="shared" si="3"/>
        <v>16.782081479200855</v>
      </c>
      <c r="AX26" s="17">
        <f t="shared" si="3"/>
        <v>16.782081479200855</v>
      </c>
      <c r="AY26" s="17">
        <f t="shared" si="3"/>
        <v>16.782081479200855</v>
      </c>
      <c r="AZ26" s="17">
        <f t="shared" si="3"/>
        <v>16.782081479200855</v>
      </c>
      <c r="BA26" s="17">
        <f t="shared" si="3"/>
        <v>16.782081479200855</v>
      </c>
      <c r="BB26" s="17">
        <f t="shared" si="3"/>
        <v>16.782081479200855</v>
      </c>
      <c r="BC26" s="17">
        <f t="shared" si="3"/>
        <v>16.782081479200855</v>
      </c>
    </row>
    <row r="27" spans="2:55" x14ac:dyDescent="0.3">
      <c r="B27" t="s">
        <v>24</v>
      </c>
      <c r="C27" s="4">
        <v>10.211096938999999</v>
      </c>
      <c r="D27" s="4">
        <v>10.819219783000001</v>
      </c>
      <c r="E27" s="4">
        <v>11.384779682999998</v>
      </c>
      <c r="F27" s="4">
        <v>11.912951958999999</v>
      </c>
      <c r="G27" s="6">
        <f>F27*('Road freight EU Ref'!H26/'Road freight EU Ref'!G26)</f>
        <v>12.654679915316455</v>
      </c>
      <c r="H27" s="6">
        <f>G27*('Road freight EU Ref'!I26/'Road freight EU Ref'!H26)</f>
        <v>13.396407871632913</v>
      </c>
      <c r="I27" s="6">
        <f>H27*('Road freight EU Ref'!J26/'Road freight EU Ref'!I26)</f>
        <v>14.138135827949371</v>
      </c>
      <c r="J27" s="6">
        <f>I27*('Road freight EU Ref'!K26/'Road freight EU Ref'!J26)</f>
        <v>14.879863784265828</v>
      </c>
      <c r="K27" s="6">
        <f>J27*('Road freight EU Ref'!L26/'Road freight EU Ref'!K26)</f>
        <v>15.583022491463323</v>
      </c>
      <c r="L27" s="6">
        <f>K27*('Road freight EU Ref'!M26/'Road freight EU Ref'!L26)</f>
        <v>16.28618119866082</v>
      </c>
      <c r="M27" s="6">
        <f>L27*('Road freight EU Ref'!N26/'Road freight EU Ref'!M26)</f>
        <v>16.989339905858319</v>
      </c>
      <c r="N27" s="6">
        <f>M27*('Road freight EU Ref'!O26/'Road freight EU Ref'!N26)</f>
        <v>17.692498613055815</v>
      </c>
      <c r="O27" s="6">
        <f>N27*('Road freight EU Ref'!P26/'Road freight EU Ref'!O26)</f>
        <v>18.395657320253317</v>
      </c>
      <c r="P27" s="6">
        <f>O27*('Road freight EU Ref'!Q26/'Road freight EU Ref'!P26)</f>
        <v>18.70572172937058</v>
      </c>
      <c r="Q27" s="6">
        <f>P27*('Road freight EU Ref'!R26/'Road freight EU Ref'!Q26)</f>
        <v>19.01578613848784</v>
      </c>
      <c r="R27" s="6">
        <f>Q27*('Road freight EU Ref'!S26/'Road freight EU Ref'!R26)</f>
        <v>19.3258505476051</v>
      </c>
      <c r="S27" s="6">
        <f>R27*('Road freight EU Ref'!T26/'Road freight EU Ref'!S26)</f>
        <v>19.635914956722363</v>
      </c>
      <c r="T27" s="6">
        <f>S27*('Road freight EU Ref'!U26/'Road freight EU Ref'!T26)</f>
        <v>19.945979365839619</v>
      </c>
      <c r="U27" s="6">
        <f>T27*('Road freight EU Ref'!V26/'Road freight EU Ref'!U26)</f>
        <v>20.268432712634667</v>
      </c>
      <c r="V27" s="6">
        <f>U27*('Road freight EU Ref'!W26/'Road freight EU Ref'!V26)</f>
        <v>20.590886059429714</v>
      </c>
      <c r="W27" s="6">
        <f>V27*('Road freight EU Ref'!X26/'Road freight EU Ref'!W26)</f>
        <v>20.913339406224761</v>
      </c>
      <c r="X27" s="6">
        <f>W27*('Road freight EU Ref'!Y26/'Road freight EU Ref'!X26)</f>
        <v>21.235792753019808</v>
      </c>
      <c r="Y27" s="6">
        <f>X27*('Road freight EU Ref'!Z26/'Road freight EU Ref'!Y26)</f>
        <v>21.558246099814848</v>
      </c>
      <c r="Z27" s="6">
        <f>Y27*('Road freight EU Ref'!AA26/'Road freight EU Ref'!Z26)</f>
        <v>21.772406143192292</v>
      </c>
      <c r="AA27" s="6">
        <f>Z27*('Road freight EU Ref'!AB26/'Road freight EU Ref'!AA26)</f>
        <v>21.986566186569739</v>
      </c>
      <c r="AB27" s="6">
        <f>AA27*('Road freight EU Ref'!AC26/'Road freight EU Ref'!AB26)</f>
        <v>22.200726229947183</v>
      </c>
      <c r="AC27" s="6">
        <f>AB27*('Road freight EU Ref'!AD26/'Road freight EU Ref'!AC26)</f>
        <v>22.41488627332463</v>
      </c>
      <c r="AD27" s="6">
        <f>AC27*('Road freight EU Ref'!AE26/'Road freight EU Ref'!AD26)</f>
        <v>22.62904631670208</v>
      </c>
      <c r="AE27" s="6">
        <f>AD27*('Road freight EU Ref'!AF26/'Road freight EU Ref'!AE26)</f>
        <v>22.83383549198982</v>
      </c>
      <c r="AF27" s="6">
        <f>AE27*('Road freight EU Ref'!AG26/'Road freight EU Ref'!AF26)</f>
        <v>23.038624667277563</v>
      </c>
      <c r="AG27" s="6">
        <f>AF27*('Road freight EU Ref'!AH26/'Road freight EU Ref'!AG26)</f>
        <v>23.243413842565307</v>
      </c>
      <c r="AH27" s="6">
        <f>AG27*('Road freight EU Ref'!AI26/'Road freight EU Ref'!AH26)</f>
        <v>23.44820301785305</v>
      </c>
      <c r="AI27" s="6">
        <f>AH27*('Road freight EU Ref'!AJ26/'Road freight EU Ref'!AI26)</f>
        <v>23.652992193140786</v>
      </c>
      <c r="AJ27" s="17">
        <f t="shared" si="3"/>
        <v>23.652992193140786</v>
      </c>
      <c r="AK27" s="17">
        <f t="shared" si="3"/>
        <v>23.652992193140786</v>
      </c>
      <c r="AL27" s="17">
        <f t="shared" si="3"/>
        <v>23.652992193140786</v>
      </c>
      <c r="AM27" s="17">
        <f t="shared" si="3"/>
        <v>23.652992193140786</v>
      </c>
      <c r="AN27" s="17">
        <f t="shared" si="3"/>
        <v>23.652992193140786</v>
      </c>
      <c r="AO27" s="17">
        <f t="shared" si="3"/>
        <v>23.652992193140786</v>
      </c>
      <c r="AP27" s="17">
        <f t="shared" si="3"/>
        <v>23.652992193140786</v>
      </c>
      <c r="AQ27" s="17">
        <f t="shared" si="3"/>
        <v>23.652992193140786</v>
      </c>
      <c r="AR27" s="17">
        <f t="shared" si="3"/>
        <v>23.652992193140786</v>
      </c>
      <c r="AS27" s="17">
        <f t="shared" si="3"/>
        <v>23.652992193140786</v>
      </c>
      <c r="AT27" s="17">
        <f t="shared" si="3"/>
        <v>23.652992193140786</v>
      </c>
      <c r="AU27" s="17">
        <f t="shared" si="3"/>
        <v>23.652992193140786</v>
      </c>
      <c r="AV27" s="17">
        <f t="shared" si="3"/>
        <v>23.652992193140786</v>
      </c>
      <c r="AW27" s="17">
        <f t="shared" si="3"/>
        <v>23.652992193140786</v>
      </c>
      <c r="AX27" s="17">
        <f t="shared" si="3"/>
        <v>23.652992193140786</v>
      </c>
      <c r="AY27" s="17">
        <f t="shared" si="3"/>
        <v>23.652992193140786</v>
      </c>
      <c r="AZ27" s="17">
        <f t="shared" si="3"/>
        <v>23.652992193140786</v>
      </c>
      <c r="BA27" s="17">
        <f t="shared" si="3"/>
        <v>23.652992193140786</v>
      </c>
      <c r="BB27" s="17">
        <f t="shared" si="3"/>
        <v>23.652992193140786</v>
      </c>
      <c r="BC27" s="17">
        <f t="shared" si="3"/>
        <v>23.652992193140786</v>
      </c>
    </row>
    <row r="28" spans="2:55" x14ac:dyDescent="0.3">
      <c r="B28" t="s">
        <v>28</v>
      </c>
      <c r="C28" s="4">
        <v>7.3454130849999997</v>
      </c>
      <c r="D28" s="4">
        <v>7.4617764279999994</v>
      </c>
      <c r="E28" s="4">
        <v>7.5463498019999999</v>
      </c>
      <c r="F28" s="4">
        <v>7.7233704239999996</v>
      </c>
      <c r="G28" s="6">
        <f>F28*('Road freight EU Ref'!H27/'Road freight EU Ref'!G27)</f>
        <v>7.8895714112299604</v>
      </c>
      <c r="H28" s="6">
        <f>G28*('Road freight EU Ref'!I27/'Road freight EU Ref'!H27)</f>
        <v>8.0557723984599221</v>
      </c>
      <c r="I28" s="6">
        <f>H28*('Road freight EU Ref'!J27/'Road freight EU Ref'!I27)</f>
        <v>8.2219733856898838</v>
      </c>
      <c r="J28" s="6">
        <f>I28*('Road freight EU Ref'!K27/'Road freight EU Ref'!J27)</f>
        <v>8.3881743729198437</v>
      </c>
      <c r="K28" s="6">
        <f>J28*('Road freight EU Ref'!L27/'Road freight EU Ref'!K27)</f>
        <v>8.4836529043829962</v>
      </c>
      <c r="L28" s="6">
        <f>K28*('Road freight EU Ref'!M27/'Road freight EU Ref'!L27)</f>
        <v>8.5791314358461488</v>
      </c>
      <c r="M28" s="6">
        <f>L28*('Road freight EU Ref'!N27/'Road freight EU Ref'!M27)</f>
        <v>8.6746099673093031</v>
      </c>
      <c r="N28" s="6">
        <f>M28*('Road freight EU Ref'!O27/'Road freight EU Ref'!N27)</f>
        <v>8.7700884987724574</v>
      </c>
      <c r="O28" s="6">
        <f>N28*('Road freight EU Ref'!P27/'Road freight EU Ref'!O27)</f>
        <v>8.8655670302356118</v>
      </c>
      <c r="P28" s="6">
        <f>O28*('Road freight EU Ref'!Q27/'Road freight EU Ref'!P27)</f>
        <v>8.912726846893321</v>
      </c>
      <c r="Q28" s="6">
        <f>P28*('Road freight EU Ref'!R27/'Road freight EU Ref'!Q27)</f>
        <v>8.9598866635510301</v>
      </c>
      <c r="R28" s="6">
        <f>Q28*('Road freight EU Ref'!S27/'Road freight EU Ref'!R27)</f>
        <v>9.0070464802087393</v>
      </c>
      <c r="S28" s="6">
        <f>R28*('Road freight EU Ref'!T27/'Road freight EU Ref'!S27)</f>
        <v>9.0542062968664485</v>
      </c>
      <c r="T28" s="6">
        <f>S28*('Road freight EU Ref'!U27/'Road freight EU Ref'!T27)</f>
        <v>9.1013661135241595</v>
      </c>
      <c r="U28" s="6">
        <f>T28*('Road freight EU Ref'!V27/'Road freight EU Ref'!U27)</f>
        <v>9.1632128440901326</v>
      </c>
      <c r="V28" s="6">
        <f>U28*('Road freight EU Ref'!W27/'Road freight EU Ref'!V27)</f>
        <v>9.2250595746561075</v>
      </c>
      <c r="W28" s="6">
        <f>V28*('Road freight EU Ref'!X27/'Road freight EU Ref'!W27)</f>
        <v>9.2869063052220806</v>
      </c>
      <c r="X28" s="6">
        <f>W28*('Road freight EU Ref'!Y27/'Road freight EU Ref'!X27)</f>
        <v>9.3487530357880537</v>
      </c>
      <c r="Y28" s="6">
        <f>X28*('Road freight EU Ref'!Z27/'Road freight EU Ref'!Y27)</f>
        <v>9.4105997663540268</v>
      </c>
      <c r="Z28" s="6">
        <f>Y28*('Road freight EU Ref'!AA27/'Road freight EU Ref'!Z27)</f>
        <v>9.4613685239662093</v>
      </c>
      <c r="AA28" s="6">
        <f>Z28*('Road freight EU Ref'!AB27/'Road freight EU Ref'!AA27)</f>
        <v>9.5121372815783918</v>
      </c>
      <c r="AB28" s="6">
        <f>AA28*('Road freight EU Ref'!AC27/'Road freight EU Ref'!AB27)</f>
        <v>9.5629060391905742</v>
      </c>
      <c r="AC28" s="6">
        <f>AB28*('Road freight EU Ref'!AD27/'Road freight EU Ref'!AC27)</f>
        <v>9.6136747968027567</v>
      </c>
      <c r="AD28" s="6">
        <f>AC28*('Road freight EU Ref'!AE27/'Road freight EU Ref'!AD27)</f>
        <v>9.6644435544149356</v>
      </c>
      <c r="AE28" s="6">
        <f>AD28*('Road freight EU Ref'!AF27/'Road freight EU Ref'!AE27)</f>
        <v>9.7107597759091977</v>
      </c>
      <c r="AF28" s="6">
        <f>AE28*('Road freight EU Ref'!AG27/'Road freight EU Ref'!AF27)</f>
        <v>9.757075997403458</v>
      </c>
      <c r="AG28" s="6">
        <f>AF28*('Road freight EU Ref'!AH27/'Road freight EU Ref'!AG27)</f>
        <v>9.8033922188977201</v>
      </c>
      <c r="AH28" s="6">
        <f>AG28*('Road freight EU Ref'!AI27/'Road freight EU Ref'!AH27)</f>
        <v>9.8497084403919821</v>
      </c>
      <c r="AI28" s="6">
        <f>AH28*('Road freight EU Ref'!AJ27/'Road freight EU Ref'!AI27)</f>
        <v>9.8960246618862442</v>
      </c>
      <c r="AJ28" s="17">
        <f t="shared" si="3"/>
        <v>9.8960246618862442</v>
      </c>
      <c r="AK28" s="17">
        <f t="shared" si="3"/>
        <v>9.8960246618862442</v>
      </c>
      <c r="AL28" s="17">
        <f t="shared" si="3"/>
        <v>9.8960246618862442</v>
      </c>
      <c r="AM28" s="17">
        <f t="shared" si="3"/>
        <v>9.8960246618862442</v>
      </c>
      <c r="AN28" s="17">
        <f t="shared" si="3"/>
        <v>9.8960246618862442</v>
      </c>
      <c r="AO28" s="17">
        <f t="shared" si="3"/>
        <v>9.8960246618862442</v>
      </c>
      <c r="AP28" s="17">
        <f t="shared" si="3"/>
        <v>9.8960246618862442</v>
      </c>
      <c r="AQ28" s="17">
        <f t="shared" si="3"/>
        <v>9.8960246618862442</v>
      </c>
      <c r="AR28" s="17">
        <f t="shared" si="3"/>
        <v>9.8960246618862442</v>
      </c>
      <c r="AS28" s="17">
        <f t="shared" si="3"/>
        <v>9.8960246618862442</v>
      </c>
      <c r="AT28" s="17">
        <f t="shared" si="3"/>
        <v>9.8960246618862442</v>
      </c>
      <c r="AU28" s="17">
        <f t="shared" si="3"/>
        <v>9.8960246618862442</v>
      </c>
      <c r="AV28" s="17">
        <f t="shared" si="3"/>
        <v>9.8960246618862442</v>
      </c>
      <c r="AW28" s="17">
        <f t="shared" si="3"/>
        <v>9.8960246618862442</v>
      </c>
      <c r="AX28" s="17">
        <f t="shared" si="3"/>
        <v>9.8960246618862442</v>
      </c>
      <c r="AY28" s="17">
        <f t="shared" si="3"/>
        <v>9.8960246618862442</v>
      </c>
      <c r="AZ28" s="17">
        <f t="shared" si="3"/>
        <v>9.8960246618862442</v>
      </c>
      <c r="BA28" s="17">
        <f t="shared" si="3"/>
        <v>9.8960246618862442</v>
      </c>
      <c r="BB28" s="17">
        <f t="shared" si="3"/>
        <v>9.8960246618862442</v>
      </c>
      <c r="BC28" s="17">
        <f t="shared" si="3"/>
        <v>9.8960246618862442</v>
      </c>
    </row>
    <row r="29" spans="2:55" x14ac:dyDescent="0.3">
      <c r="B29" t="s">
        <v>25</v>
      </c>
      <c r="C29" s="4">
        <v>1.3081102259999999</v>
      </c>
      <c r="D29" s="4">
        <v>1.3989483869999999</v>
      </c>
      <c r="E29" s="4">
        <v>1.4567664330000001</v>
      </c>
      <c r="F29" s="4">
        <v>1.4654557619999999</v>
      </c>
      <c r="G29" s="6">
        <f>F29*('Road freight EU Ref'!H28/'Road freight EU Ref'!G28)</f>
        <v>1.5434395990984671</v>
      </c>
      <c r="H29" s="6">
        <f>G29*('Road freight EU Ref'!I28/'Road freight EU Ref'!H28)</f>
        <v>1.6214234361969344</v>
      </c>
      <c r="I29" s="6">
        <f>H29*('Road freight EU Ref'!J28/'Road freight EU Ref'!I28)</f>
        <v>1.6994072732954015</v>
      </c>
      <c r="J29" s="6">
        <f>I29*('Road freight EU Ref'!K28/'Road freight EU Ref'!J28)</f>
        <v>1.777391110393868</v>
      </c>
      <c r="K29" s="6">
        <f>J29*('Road freight EU Ref'!L28/'Road freight EU Ref'!K28)</f>
        <v>1.8377675488421075</v>
      </c>
      <c r="L29" s="6">
        <f>K29*('Road freight EU Ref'!M28/'Road freight EU Ref'!L28)</f>
        <v>1.8981439872903467</v>
      </c>
      <c r="M29" s="6">
        <f>L29*('Road freight EU Ref'!N28/'Road freight EU Ref'!M28)</f>
        <v>1.958520425738586</v>
      </c>
      <c r="N29" s="6">
        <f>M29*('Road freight EU Ref'!O28/'Road freight EU Ref'!N28)</f>
        <v>2.018896864186825</v>
      </c>
      <c r="O29" s="6">
        <f>N29*('Road freight EU Ref'!P28/'Road freight EU Ref'!O28)</f>
        <v>2.0792733026350643</v>
      </c>
      <c r="P29" s="6">
        <f>O29*('Road freight EU Ref'!Q28/'Road freight EU Ref'!P28)</f>
        <v>2.1058625535276572</v>
      </c>
      <c r="Q29" s="6">
        <f>P29*('Road freight EU Ref'!R28/'Road freight EU Ref'!Q28)</f>
        <v>2.1324518044202501</v>
      </c>
      <c r="R29" s="6">
        <f>Q29*('Road freight EU Ref'!S28/'Road freight EU Ref'!R28)</f>
        <v>2.1590410553128434</v>
      </c>
      <c r="S29" s="6">
        <f>R29*('Road freight EU Ref'!T28/'Road freight EU Ref'!S28)</f>
        <v>2.1856303062054363</v>
      </c>
      <c r="T29" s="6">
        <f>S29*('Road freight EU Ref'!U28/'Road freight EU Ref'!T28)</f>
        <v>2.2122195570980292</v>
      </c>
      <c r="U29" s="6">
        <f>T29*('Road freight EU Ref'!V28/'Road freight EU Ref'!U28)</f>
        <v>2.2418894859324001</v>
      </c>
      <c r="V29" s="6">
        <f>U29*('Road freight EU Ref'!W28/'Road freight EU Ref'!V28)</f>
        <v>2.2715594147667706</v>
      </c>
      <c r="W29" s="6">
        <f>V29*('Road freight EU Ref'!X28/'Road freight EU Ref'!W28)</f>
        <v>2.3012293436011411</v>
      </c>
      <c r="X29" s="6">
        <f>W29*('Road freight EU Ref'!Y28/'Road freight EU Ref'!X28)</f>
        <v>2.330899272435512</v>
      </c>
      <c r="Y29" s="6">
        <f>X29*('Road freight EU Ref'!Z28/'Road freight EU Ref'!Y28)</f>
        <v>2.3605692012698825</v>
      </c>
      <c r="Z29" s="6">
        <f>Y29*('Road freight EU Ref'!AA28/'Road freight EU Ref'!Z28)</f>
        <v>2.3858010926718056</v>
      </c>
      <c r="AA29" s="6">
        <f>Z29*('Road freight EU Ref'!AB28/'Road freight EU Ref'!AA28)</f>
        <v>2.4110329840737288</v>
      </c>
      <c r="AB29" s="6">
        <f>AA29*('Road freight EU Ref'!AC28/'Road freight EU Ref'!AB28)</f>
        <v>2.436264875475652</v>
      </c>
      <c r="AC29" s="6">
        <f>AB29*('Road freight EU Ref'!AD28/'Road freight EU Ref'!AC28)</f>
        <v>2.4614967668775751</v>
      </c>
      <c r="AD29" s="6">
        <f>AC29*('Road freight EU Ref'!AE28/'Road freight EU Ref'!AD28)</f>
        <v>2.4867286582794987</v>
      </c>
      <c r="AE29" s="6">
        <f>AD29*('Road freight EU Ref'!AF28/'Road freight EU Ref'!AE28)</f>
        <v>2.5043807998142391</v>
      </c>
      <c r="AF29" s="6">
        <f>AE29*('Road freight EU Ref'!AG28/'Road freight EU Ref'!AF28)</f>
        <v>2.522032941348979</v>
      </c>
      <c r="AG29" s="6">
        <f>AF29*('Road freight EU Ref'!AH28/'Road freight EU Ref'!AG28)</f>
        <v>2.5396850828837194</v>
      </c>
      <c r="AH29" s="6">
        <f>AG29*('Road freight EU Ref'!AI28/'Road freight EU Ref'!AH28)</f>
        <v>2.5573372244184598</v>
      </c>
      <c r="AI29" s="6">
        <f>AH29*('Road freight EU Ref'!AJ28/'Road freight EU Ref'!AI28)</f>
        <v>2.5749893659531997</v>
      </c>
      <c r="AJ29" s="17">
        <f t="shared" si="3"/>
        <v>2.5749893659531997</v>
      </c>
      <c r="AK29" s="17">
        <f t="shared" si="3"/>
        <v>2.5749893659531997</v>
      </c>
      <c r="AL29" s="17">
        <f t="shared" si="3"/>
        <v>2.5749893659531997</v>
      </c>
      <c r="AM29" s="17">
        <f t="shared" si="3"/>
        <v>2.5749893659531997</v>
      </c>
      <c r="AN29" s="17">
        <f t="shared" si="3"/>
        <v>2.5749893659531997</v>
      </c>
      <c r="AO29" s="17">
        <f t="shared" si="3"/>
        <v>2.5749893659531997</v>
      </c>
      <c r="AP29" s="17">
        <f t="shared" si="3"/>
        <v>2.5749893659531997</v>
      </c>
      <c r="AQ29" s="17">
        <f t="shared" si="3"/>
        <v>2.5749893659531997</v>
      </c>
      <c r="AR29" s="17">
        <f t="shared" si="3"/>
        <v>2.5749893659531997</v>
      </c>
      <c r="AS29" s="17">
        <f t="shared" si="3"/>
        <v>2.5749893659531997</v>
      </c>
      <c r="AT29" s="17">
        <f t="shared" si="3"/>
        <v>2.5749893659531997</v>
      </c>
      <c r="AU29" s="17">
        <f t="shared" si="3"/>
        <v>2.5749893659531997</v>
      </c>
      <c r="AV29" s="17">
        <f t="shared" si="3"/>
        <v>2.5749893659531997</v>
      </c>
      <c r="AW29" s="17">
        <f t="shared" si="3"/>
        <v>2.5749893659531997</v>
      </c>
      <c r="AX29" s="17">
        <f t="shared" si="3"/>
        <v>2.5749893659531997</v>
      </c>
      <c r="AY29" s="17">
        <f t="shared" si="3"/>
        <v>2.5749893659531997</v>
      </c>
      <c r="AZ29" s="17">
        <f t="shared" si="3"/>
        <v>2.5749893659531997</v>
      </c>
      <c r="BA29" s="17">
        <f t="shared" si="3"/>
        <v>2.5749893659531997</v>
      </c>
      <c r="BB29" s="17">
        <f t="shared" si="3"/>
        <v>2.5749893659531997</v>
      </c>
      <c r="BC29" s="17">
        <f t="shared" si="3"/>
        <v>2.5749893659531997</v>
      </c>
    </row>
    <row r="30" spans="2:55" x14ac:dyDescent="0.3">
      <c r="B30" t="s">
        <v>26</v>
      </c>
      <c r="C30" s="4">
        <v>2.5924091509999996</v>
      </c>
      <c r="D30" s="4">
        <v>2.5852685919999998</v>
      </c>
      <c r="E30" s="4">
        <v>2.6301301750000006</v>
      </c>
      <c r="F30" s="4">
        <v>2.671981127</v>
      </c>
      <c r="G30" s="6">
        <f>F30*('Road freight EU Ref'!H29/'Road freight EU Ref'!G29)</f>
        <v>2.732125257862033</v>
      </c>
      <c r="H30" s="6">
        <f>G30*('Road freight EU Ref'!I29/'Road freight EU Ref'!H29)</f>
        <v>2.7922693887240659</v>
      </c>
      <c r="I30" s="6">
        <f>H30*('Road freight EU Ref'!J29/'Road freight EU Ref'!I29)</f>
        <v>2.8524135195860989</v>
      </c>
      <c r="J30" s="6">
        <f>I30*('Road freight EU Ref'!K29/'Road freight EU Ref'!J29)</f>
        <v>2.9125576504481332</v>
      </c>
      <c r="K30" s="6">
        <f>J30*('Road freight EU Ref'!L29/'Road freight EU Ref'!K29)</f>
        <v>2.9872067648699274</v>
      </c>
      <c r="L30" s="6">
        <f>K30*('Road freight EU Ref'!M29/'Road freight EU Ref'!L29)</f>
        <v>3.0618558792917221</v>
      </c>
      <c r="M30" s="6">
        <f>L30*('Road freight EU Ref'!N29/'Road freight EU Ref'!M29)</f>
        <v>3.1365049937135168</v>
      </c>
      <c r="N30" s="6">
        <f>M30*('Road freight EU Ref'!O29/'Road freight EU Ref'!N29)</f>
        <v>3.2111541081353114</v>
      </c>
      <c r="O30" s="6">
        <f>N30*('Road freight EU Ref'!P29/'Road freight EU Ref'!O29)</f>
        <v>3.2858032225571057</v>
      </c>
      <c r="P30" s="6">
        <f>O30*('Road freight EU Ref'!Q29/'Road freight EU Ref'!P29)</f>
        <v>3.3102551157593325</v>
      </c>
      <c r="Q30" s="6">
        <f>P30*('Road freight EU Ref'!R29/'Road freight EU Ref'!Q29)</f>
        <v>3.3347070089615594</v>
      </c>
      <c r="R30" s="6">
        <f>Q30*('Road freight EU Ref'!S29/'Road freight EU Ref'!R29)</f>
        <v>3.3591589021637858</v>
      </c>
      <c r="S30" s="6">
        <f>R30*('Road freight EU Ref'!T29/'Road freight EU Ref'!S29)</f>
        <v>3.3836107953660131</v>
      </c>
      <c r="T30" s="6">
        <f>S30*('Road freight EU Ref'!U29/'Road freight EU Ref'!T29)</f>
        <v>3.408062688568239</v>
      </c>
      <c r="U30" s="6">
        <f>T30*('Road freight EU Ref'!V29/'Road freight EU Ref'!U29)</f>
        <v>3.4399851954551317</v>
      </c>
      <c r="V30" s="6">
        <f>U30*('Road freight EU Ref'!W29/'Road freight EU Ref'!V29)</f>
        <v>3.4719077023420248</v>
      </c>
      <c r="W30" s="6">
        <f>V30*('Road freight EU Ref'!X29/'Road freight EU Ref'!W29)</f>
        <v>3.5038302092289175</v>
      </c>
      <c r="X30" s="6">
        <f>W30*('Road freight EU Ref'!Y29/'Road freight EU Ref'!X29)</f>
        <v>3.5357527161158102</v>
      </c>
      <c r="Y30" s="6">
        <f>X30*('Road freight EU Ref'!Z29/'Road freight EU Ref'!Y29)</f>
        <v>3.5676752230027042</v>
      </c>
      <c r="Z30" s="6">
        <f>Y30*('Road freight EU Ref'!AA29/'Road freight EU Ref'!Z29)</f>
        <v>3.5822325143474121</v>
      </c>
      <c r="AA30" s="6">
        <f>Z30*('Road freight EU Ref'!AB29/'Road freight EU Ref'!AA29)</f>
        <v>3.5967898056921195</v>
      </c>
      <c r="AB30" s="6">
        <f>AA30*('Road freight EU Ref'!AC29/'Road freight EU Ref'!AB29)</f>
        <v>3.6113470970368273</v>
      </c>
      <c r="AC30" s="6">
        <f>AB30*('Road freight EU Ref'!AD29/'Road freight EU Ref'!AC29)</f>
        <v>3.6259043883815347</v>
      </c>
      <c r="AD30" s="6">
        <f>AC30*('Road freight EU Ref'!AE29/'Road freight EU Ref'!AD29)</f>
        <v>3.6404616797262435</v>
      </c>
      <c r="AE30" s="6">
        <f>AD30*('Road freight EU Ref'!AF29/'Road freight EU Ref'!AE29)</f>
        <v>3.6545727633869847</v>
      </c>
      <c r="AF30" s="6">
        <f>AE30*('Road freight EU Ref'!AG29/'Road freight EU Ref'!AF29)</f>
        <v>3.6686838470477259</v>
      </c>
      <c r="AG30" s="6">
        <f>AF30*('Road freight EU Ref'!AH29/'Road freight EU Ref'!AG29)</f>
        <v>3.6827949307084675</v>
      </c>
      <c r="AH30" s="6">
        <f>AG30*('Road freight EU Ref'!AI29/'Road freight EU Ref'!AH29)</f>
        <v>3.6969060143692087</v>
      </c>
      <c r="AI30" s="6">
        <f>AH30*('Road freight EU Ref'!AJ29/'Road freight EU Ref'!AI29)</f>
        <v>3.7110170980299495</v>
      </c>
      <c r="AJ30" s="17">
        <f t="shared" si="3"/>
        <v>3.7110170980299495</v>
      </c>
      <c r="AK30" s="17">
        <f t="shared" si="3"/>
        <v>3.7110170980299495</v>
      </c>
      <c r="AL30" s="17">
        <f t="shared" si="3"/>
        <v>3.7110170980299495</v>
      </c>
      <c r="AM30" s="17">
        <f t="shared" si="3"/>
        <v>3.7110170980299495</v>
      </c>
      <c r="AN30" s="17">
        <f t="shared" si="3"/>
        <v>3.7110170980299495</v>
      </c>
      <c r="AO30" s="17">
        <f t="shared" si="3"/>
        <v>3.7110170980299495</v>
      </c>
      <c r="AP30" s="17">
        <f t="shared" si="3"/>
        <v>3.7110170980299495</v>
      </c>
      <c r="AQ30" s="17">
        <f t="shared" si="3"/>
        <v>3.7110170980299495</v>
      </c>
      <c r="AR30" s="17">
        <f t="shared" si="3"/>
        <v>3.7110170980299495</v>
      </c>
      <c r="AS30" s="17">
        <f t="shared" si="3"/>
        <v>3.7110170980299495</v>
      </c>
      <c r="AT30" s="17">
        <f t="shared" si="3"/>
        <v>3.7110170980299495</v>
      </c>
      <c r="AU30" s="17">
        <f t="shared" si="3"/>
        <v>3.7110170980299495</v>
      </c>
      <c r="AV30" s="17">
        <f t="shared" si="3"/>
        <v>3.7110170980299495</v>
      </c>
      <c r="AW30" s="17">
        <f t="shared" si="3"/>
        <v>3.7110170980299495</v>
      </c>
      <c r="AX30" s="17">
        <f t="shared" si="3"/>
        <v>3.7110170980299495</v>
      </c>
      <c r="AY30" s="17">
        <f t="shared" ref="AY30:BC30" si="4">AX30</f>
        <v>3.7110170980299495</v>
      </c>
      <c r="AZ30" s="17">
        <f t="shared" si="4"/>
        <v>3.7110170980299495</v>
      </c>
      <c r="BA30" s="17">
        <f t="shared" si="4"/>
        <v>3.7110170980299495</v>
      </c>
      <c r="BB30" s="17">
        <f t="shared" si="4"/>
        <v>3.7110170980299495</v>
      </c>
      <c r="BC30" s="17">
        <f t="shared" si="4"/>
        <v>3.7110170980299495</v>
      </c>
    </row>
    <row r="31" spans="2:55" x14ac:dyDescent="0.3">
      <c r="C31" s="4"/>
      <c r="D31" s="4"/>
      <c r="E31" s="4"/>
      <c r="F31" s="4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</row>
    <row r="32" spans="2:55" s="3" customFormat="1" x14ac:dyDescent="0.3"/>
    <row r="33" spans="1:6" x14ac:dyDescent="0.3">
      <c r="A33" s="1" t="s">
        <v>29</v>
      </c>
    </row>
    <row r="34" spans="1:6" x14ac:dyDescent="0.3">
      <c r="A34" s="1" t="s">
        <v>239</v>
      </c>
    </row>
    <row r="35" spans="1:6" x14ac:dyDescent="0.3">
      <c r="A35" s="1" t="s">
        <v>1</v>
      </c>
      <c r="B35" s="11" t="s">
        <v>0</v>
      </c>
      <c r="C35" s="11">
        <v>2018</v>
      </c>
      <c r="D35" s="11">
        <v>2019</v>
      </c>
      <c r="E35" s="11">
        <v>2020</v>
      </c>
      <c r="F35" s="11">
        <v>2021</v>
      </c>
    </row>
    <row r="36" spans="1:6" x14ac:dyDescent="0.3">
      <c r="A36" t="str">
        <f>LEFT(B36,2)</f>
        <v>AT</v>
      </c>
      <c r="B36" t="s">
        <v>243</v>
      </c>
      <c r="C36" s="18">
        <v>0.27390541200000001</v>
      </c>
      <c r="D36" s="18">
        <v>0.27479010999999998</v>
      </c>
      <c r="E36" s="18">
        <v>0.26844355399999997</v>
      </c>
      <c r="F36" s="18">
        <v>0.26910843099999998</v>
      </c>
    </row>
    <row r="37" spans="1:6" x14ac:dyDescent="0.3">
      <c r="A37" t="str">
        <f t="shared" ref="A37:A100" si="5">LEFT(B37,2)</f>
        <v>AT</v>
      </c>
      <c r="B37" t="s">
        <v>244</v>
      </c>
      <c r="C37" s="18">
        <v>5.6012872409999996</v>
      </c>
      <c r="D37" s="18">
        <v>5.7901954399999997</v>
      </c>
      <c r="E37" s="18">
        <v>5.8665026749999996</v>
      </c>
      <c r="F37" s="18">
        <v>6.2011029820000001</v>
      </c>
    </row>
    <row r="38" spans="1:6" x14ac:dyDescent="0.3">
      <c r="A38" t="str">
        <f t="shared" si="5"/>
        <v>AT</v>
      </c>
      <c r="B38" t="s">
        <v>245</v>
      </c>
      <c r="C38" s="18">
        <v>1.8850432E-2</v>
      </c>
      <c r="D38" s="18">
        <v>1.8228548000000001E-2</v>
      </c>
      <c r="E38" s="18">
        <v>1.6575004000000001E-2</v>
      </c>
      <c r="F38" s="18">
        <v>1.5754719E-2</v>
      </c>
    </row>
    <row r="39" spans="1:6" x14ac:dyDescent="0.3">
      <c r="A39" t="str">
        <f t="shared" si="5"/>
        <v>AT</v>
      </c>
      <c r="B39" t="s">
        <v>246</v>
      </c>
      <c r="C39" s="18">
        <v>0</v>
      </c>
      <c r="D39" s="18">
        <v>0</v>
      </c>
      <c r="E39" s="18">
        <v>1.38224E-4</v>
      </c>
      <c r="F39" s="18">
        <v>4.4126199999999999E-4</v>
      </c>
    </row>
    <row r="40" spans="1:6" x14ac:dyDescent="0.3">
      <c r="A40" t="str">
        <f t="shared" si="5"/>
        <v>AT</v>
      </c>
      <c r="B40" t="s">
        <v>247</v>
      </c>
      <c r="C40" s="18">
        <v>0</v>
      </c>
      <c r="D40" s="18">
        <v>2.83E-5</v>
      </c>
      <c r="E40" s="18">
        <v>3.3549600000000001E-4</v>
      </c>
      <c r="F40" s="18">
        <v>3.7675209999999998E-3</v>
      </c>
    </row>
    <row r="41" spans="1:6" x14ac:dyDescent="0.3">
      <c r="A41" t="str">
        <f t="shared" si="5"/>
        <v>AT</v>
      </c>
      <c r="B41" t="s">
        <v>248</v>
      </c>
      <c r="C41" s="4">
        <v>0</v>
      </c>
      <c r="D41" s="4">
        <v>0</v>
      </c>
      <c r="E41" s="4">
        <v>0</v>
      </c>
      <c r="F41" s="4">
        <v>0</v>
      </c>
    </row>
    <row r="42" spans="1:6" x14ac:dyDescent="0.3">
      <c r="A42" t="str">
        <f t="shared" si="5"/>
        <v>AT</v>
      </c>
      <c r="B42" t="s">
        <v>249</v>
      </c>
      <c r="C42" s="18">
        <v>2.6537379999999999E-2</v>
      </c>
      <c r="D42" s="18">
        <v>3.2280761999999998E-2</v>
      </c>
      <c r="E42" s="18">
        <v>4.0802610000000003E-2</v>
      </c>
      <c r="F42" s="18">
        <v>6.9644244999999994E-2</v>
      </c>
    </row>
    <row r="43" spans="1:6" x14ac:dyDescent="0.3">
      <c r="A43" t="str">
        <f t="shared" si="5"/>
        <v>AT</v>
      </c>
      <c r="B43" t="s">
        <v>250</v>
      </c>
      <c r="C43" s="4">
        <v>0</v>
      </c>
      <c r="D43" s="4">
        <v>0</v>
      </c>
      <c r="E43" s="4">
        <v>0</v>
      </c>
      <c r="F43" s="4">
        <v>0</v>
      </c>
    </row>
    <row r="44" spans="1:6" x14ac:dyDescent="0.3">
      <c r="A44" t="str">
        <f t="shared" si="5"/>
        <v>BG</v>
      </c>
      <c r="B44" t="s">
        <v>253</v>
      </c>
      <c r="C44" s="18">
        <v>0.16857757000000001</v>
      </c>
      <c r="D44" s="18">
        <v>0.17714855600000001</v>
      </c>
      <c r="E44" s="18">
        <v>0.18079941699999999</v>
      </c>
      <c r="F44" s="18">
        <v>0.18674012100000001</v>
      </c>
    </row>
    <row r="45" spans="1:6" x14ac:dyDescent="0.3">
      <c r="A45" t="str">
        <f t="shared" si="5"/>
        <v>BG</v>
      </c>
      <c r="B45" t="s">
        <v>254</v>
      </c>
      <c r="C45" s="18">
        <v>2.3196747000000002</v>
      </c>
      <c r="D45" s="18">
        <v>2.2648756159999999</v>
      </c>
      <c r="E45" s="18">
        <v>2.1696755680000002</v>
      </c>
      <c r="F45" s="18">
        <v>2.0677029760000001</v>
      </c>
    </row>
    <row r="46" spans="1:6" x14ac:dyDescent="0.3">
      <c r="A46" t="str">
        <f t="shared" si="5"/>
        <v>BG</v>
      </c>
      <c r="B46" t="s">
        <v>255</v>
      </c>
      <c r="C46" s="18">
        <v>2.057087E-3</v>
      </c>
      <c r="D46" s="18">
        <v>3.1094769999999998E-3</v>
      </c>
      <c r="E46" s="18">
        <v>3.9281439999999997E-3</v>
      </c>
      <c r="F46" s="18">
        <v>4.6084419999999999E-3</v>
      </c>
    </row>
    <row r="47" spans="1:6" x14ac:dyDescent="0.3">
      <c r="A47" t="str">
        <f t="shared" si="5"/>
        <v>BG</v>
      </c>
      <c r="B47" t="s">
        <v>256</v>
      </c>
      <c r="C47" s="18">
        <v>0</v>
      </c>
      <c r="D47" s="18">
        <v>0</v>
      </c>
      <c r="E47" s="18">
        <v>0</v>
      </c>
      <c r="F47" s="18">
        <v>0</v>
      </c>
    </row>
    <row r="48" spans="1:6" x14ac:dyDescent="0.3">
      <c r="A48" t="str">
        <f t="shared" si="5"/>
        <v>BG</v>
      </c>
      <c r="B48" t="s">
        <v>257</v>
      </c>
      <c r="C48" s="18">
        <v>0</v>
      </c>
      <c r="D48" s="18">
        <v>0</v>
      </c>
      <c r="E48" s="18">
        <v>0</v>
      </c>
      <c r="F48" s="18">
        <v>0</v>
      </c>
    </row>
    <row r="49" spans="1:6" x14ac:dyDescent="0.3">
      <c r="A49" t="str">
        <f t="shared" si="5"/>
        <v>BG</v>
      </c>
      <c r="B49" t="s">
        <v>258</v>
      </c>
      <c r="C49" s="4">
        <v>0</v>
      </c>
      <c r="D49" s="4">
        <v>0</v>
      </c>
      <c r="E49" s="4">
        <v>0</v>
      </c>
      <c r="F49" s="4">
        <v>0</v>
      </c>
    </row>
    <row r="50" spans="1:6" x14ac:dyDescent="0.3">
      <c r="A50" t="str">
        <f t="shared" si="5"/>
        <v>BG</v>
      </c>
      <c r="B50" t="s">
        <v>259</v>
      </c>
      <c r="C50" s="18">
        <v>5.6397900000000004E-4</v>
      </c>
      <c r="D50" s="18">
        <v>7.6802800000000003E-4</v>
      </c>
      <c r="E50" s="18">
        <v>8.4645599999999999E-4</v>
      </c>
      <c r="F50" s="18">
        <v>9.2654200000000003E-4</v>
      </c>
    </row>
    <row r="51" spans="1:6" x14ac:dyDescent="0.3">
      <c r="A51" t="str">
        <f t="shared" si="5"/>
        <v>BG</v>
      </c>
      <c r="B51" t="s">
        <v>260</v>
      </c>
      <c r="C51" s="4">
        <v>0</v>
      </c>
      <c r="D51" s="4">
        <v>0</v>
      </c>
      <c r="E51" s="4">
        <v>0</v>
      </c>
      <c r="F51" s="4">
        <v>0</v>
      </c>
    </row>
    <row r="52" spans="1:6" x14ac:dyDescent="0.3">
      <c r="A52" t="str">
        <f t="shared" si="5"/>
        <v>BE</v>
      </c>
      <c r="B52" t="s">
        <v>263</v>
      </c>
      <c r="C52" s="18">
        <v>0.51788217700000005</v>
      </c>
      <c r="D52" s="18">
        <v>0.55289635199999998</v>
      </c>
      <c r="E52" s="18">
        <v>0.50508794499999998</v>
      </c>
      <c r="F52" s="18">
        <v>0.55481756699999996</v>
      </c>
    </row>
    <row r="53" spans="1:6" x14ac:dyDescent="0.3">
      <c r="A53" t="str">
        <f t="shared" si="5"/>
        <v>BE</v>
      </c>
      <c r="B53" t="s">
        <v>264</v>
      </c>
      <c r="C53" s="18">
        <v>10.635846150000001</v>
      </c>
      <c r="D53" s="18">
        <v>10.731605979999999</v>
      </c>
      <c r="E53" s="18">
        <v>10.04505106</v>
      </c>
      <c r="F53" s="18">
        <v>11.687845749999999</v>
      </c>
    </row>
    <row r="54" spans="1:6" x14ac:dyDescent="0.3">
      <c r="A54" t="str">
        <f t="shared" si="5"/>
        <v>BE</v>
      </c>
      <c r="B54" t="s">
        <v>265</v>
      </c>
      <c r="C54" s="18">
        <v>2.6291272000000001E-2</v>
      </c>
      <c r="D54" s="18">
        <v>4.0081892000000001E-2</v>
      </c>
      <c r="E54" s="18">
        <v>4.5570409999999999E-2</v>
      </c>
      <c r="F54" s="18">
        <v>5.3454430999999997E-2</v>
      </c>
    </row>
    <row r="55" spans="1:6" x14ac:dyDescent="0.3">
      <c r="A55" t="str">
        <f t="shared" si="5"/>
        <v>BE</v>
      </c>
      <c r="B55" t="s">
        <v>266</v>
      </c>
      <c r="C55" s="18">
        <v>6.7856700000000004E-4</v>
      </c>
      <c r="D55" s="18">
        <v>1.422066E-3</v>
      </c>
      <c r="E55" s="18">
        <v>3.3882209999999999E-3</v>
      </c>
      <c r="F55" s="18">
        <v>8.0968050000000003E-3</v>
      </c>
    </row>
    <row r="56" spans="1:6" x14ac:dyDescent="0.3">
      <c r="A56" t="str">
        <f t="shared" si="5"/>
        <v>BE</v>
      </c>
      <c r="B56" t="s">
        <v>267</v>
      </c>
      <c r="C56" s="18">
        <v>2.1793600000000001E-4</v>
      </c>
      <c r="D56" s="18">
        <v>1.70046E-3</v>
      </c>
      <c r="E56" s="18">
        <v>4.0434529999999998E-3</v>
      </c>
      <c r="F56" s="18">
        <v>1.3188544E-2</v>
      </c>
    </row>
    <row r="57" spans="1:6" x14ac:dyDescent="0.3">
      <c r="A57" t="str">
        <f t="shared" si="5"/>
        <v>BE</v>
      </c>
      <c r="B57" t="s">
        <v>268</v>
      </c>
      <c r="C57" s="4">
        <v>0</v>
      </c>
      <c r="D57" s="4">
        <v>0</v>
      </c>
      <c r="E57" s="4">
        <v>0</v>
      </c>
      <c r="F57" s="4">
        <v>0</v>
      </c>
    </row>
    <row r="58" spans="1:6" x14ac:dyDescent="0.3">
      <c r="A58" t="str">
        <f t="shared" si="5"/>
        <v>BE</v>
      </c>
      <c r="B58" t="s">
        <v>269</v>
      </c>
      <c r="C58" s="18">
        <v>1.4826855E-2</v>
      </c>
      <c r="D58" s="18">
        <v>1.9952955000000001E-2</v>
      </c>
      <c r="E58" s="18">
        <v>2.4408286000000001E-2</v>
      </c>
      <c r="F58" s="18">
        <v>3.6402358000000003E-2</v>
      </c>
    </row>
    <row r="59" spans="1:6" x14ac:dyDescent="0.3">
      <c r="A59" t="str">
        <f t="shared" si="5"/>
        <v>BE</v>
      </c>
      <c r="B59" t="s">
        <v>270</v>
      </c>
      <c r="C59" s="4">
        <v>0</v>
      </c>
      <c r="D59" s="4">
        <v>0</v>
      </c>
      <c r="E59" s="4">
        <v>0</v>
      </c>
      <c r="F59" s="4">
        <v>0</v>
      </c>
    </row>
    <row r="60" spans="1:6" x14ac:dyDescent="0.3">
      <c r="A60" t="str">
        <f t="shared" si="5"/>
        <v>CZ</v>
      </c>
      <c r="B60" t="s">
        <v>273</v>
      </c>
      <c r="C60" s="18">
        <v>0.845648803</v>
      </c>
      <c r="D60" s="18">
        <v>0.84057324</v>
      </c>
      <c r="E60" s="18">
        <v>0.82558608600000005</v>
      </c>
      <c r="F60" s="18">
        <v>0.824211464</v>
      </c>
    </row>
    <row r="61" spans="1:6" x14ac:dyDescent="0.3">
      <c r="A61" t="str">
        <f t="shared" si="5"/>
        <v>CZ</v>
      </c>
      <c r="B61" t="s">
        <v>274</v>
      </c>
      <c r="C61" s="18">
        <v>5.545050002</v>
      </c>
      <c r="D61" s="18">
        <v>5.5639939800000002</v>
      </c>
      <c r="E61" s="18">
        <v>5.3957014990000003</v>
      </c>
      <c r="F61" s="18">
        <v>5.5117933389999996</v>
      </c>
    </row>
    <row r="62" spans="1:6" x14ac:dyDescent="0.3">
      <c r="A62" t="str">
        <f t="shared" si="5"/>
        <v>CZ</v>
      </c>
      <c r="B62" t="s">
        <v>275</v>
      </c>
      <c r="C62" s="18">
        <v>0.139410433</v>
      </c>
      <c r="D62" s="18">
        <v>0.16513574</v>
      </c>
      <c r="E62" s="18">
        <v>0.16687002200000001</v>
      </c>
      <c r="F62" s="18">
        <v>0.19893196299999999</v>
      </c>
    </row>
    <row r="63" spans="1:6" x14ac:dyDescent="0.3">
      <c r="A63" t="str">
        <f t="shared" si="5"/>
        <v>CZ</v>
      </c>
      <c r="B63" t="s">
        <v>276</v>
      </c>
      <c r="C63" s="18">
        <v>0</v>
      </c>
      <c r="D63" s="18">
        <v>0</v>
      </c>
      <c r="E63" s="18">
        <v>0</v>
      </c>
      <c r="F63" s="18">
        <v>0</v>
      </c>
    </row>
    <row r="64" spans="1:6" x14ac:dyDescent="0.3">
      <c r="A64" t="str">
        <f t="shared" si="5"/>
        <v>CZ</v>
      </c>
      <c r="B64" t="s">
        <v>277</v>
      </c>
      <c r="C64" s="18">
        <v>0</v>
      </c>
      <c r="D64" s="18">
        <v>0</v>
      </c>
      <c r="E64" s="18">
        <v>0</v>
      </c>
      <c r="F64" s="18">
        <v>0</v>
      </c>
    </row>
    <row r="65" spans="1:6" x14ac:dyDescent="0.3">
      <c r="A65" t="str">
        <f t="shared" si="5"/>
        <v>CZ</v>
      </c>
      <c r="B65" t="s">
        <v>278</v>
      </c>
      <c r="C65" s="4">
        <v>0</v>
      </c>
      <c r="D65" s="4">
        <v>0</v>
      </c>
      <c r="E65" s="4">
        <v>0</v>
      </c>
      <c r="F65" s="4">
        <v>0</v>
      </c>
    </row>
    <row r="66" spans="1:6" x14ac:dyDescent="0.3">
      <c r="A66" t="str">
        <f t="shared" si="5"/>
        <v>CZ</v>
      </c>
      <c r="B66" t="s">
        <v>279</v>
      </c>
      <c r="C66" s="18">
        <v>2.1176179999999999E-3</v>
      </c>
      <c r="D66" s="18">
        <v>3.3782740000000001E-3</v>
      </c>
      <c r="E66" s="18">
        <v>4.183048E-3</v>
      </c>
      <c r="F66" s="18">
        <v>7.3232610000000002E-3</v>
      </c>
    </row>
    <row r="67" spans="1:6" x14ac:dyDescent="0.3">
      <c r="A67" t="str">
        <f t="shared" si="5"/>
        <v>CZ</v>
      </c>
      <c r="B67" t="s">
        <v>280</v>
      </c>
      <c r="C67" s="4">
        <v>0</v>
      </c>
      <c r="D67" s="4">
        <v>0</v>
      </c>
      <c r="E67" s="4">
        <v>0</v>
      </c>
      <c r="F67" s="4">
        <v>0</v>
      </c>
    </row>
    <row r="68" spans="1:6" x14ac:dyDescent="0.3">
      <c r="A68" t="str">
        <f t="shared" si="5"/>
        <v>DK</v>
      </c>
      <c r="B68" t="s">
        <v>283</v>
      </c>
      <c r="C68" s="18">
        <v>0.36583056400000002</v>
      </c>
      <c r="D68" s="18">
        <v>0.35148391299999998</v>
      </c>
      <c r="E68" s="18">
        <v>0.325170505</v>
      </c>
      <c r="F68" s="18">
        <v>0.34505894500000001</v>
      </c>
    </row>
    <row r="69" spans="1:6" x14ac:dyDescent="0.3">
      <c r="A69" t="str">
        <f t="shared" si="5"/>
        <v>DK</v>
      </c>
      <c r="B69" t="s">
        <v>284</v>
      </c>
      <c r="C69" s="18">
        <v>6.5028537880000004</v>
      </c>
      <c r="D69" s="18">
        <v>6.3159837220000004</v>
      </c>
      <c r="E69" s="18">
        <v>5.8521773650000002</v>
      </c>
      <c r="F69" s="18">
        <v>5.9770035229999996</v>
      </c>
    </row>
    <row r="70" spans="1:6" x14ac:dyDescent="0.3">
      <c r="A70" t="str">
        <f t="shared" si="5"/>
        <v>DK</v>
      </c>
      <c r="B70" t="s">
        <v>285</v>
      </c>
      <c r="C70" s="18">
        <v>5.1228200000000002E-3</v>
      </c>
      <c r="D70" s="18">
        <v>4.907125E-3</v>
      </c>
      <c r="E70" s="18">
        <v>4.4942030000000004E-3</v>
      </c>
      <c r="F70" s="18">
        <v>4.4257510000000003E-3</v>
      </c>
    </row>
    <row r="71" spans="1:6" x14ac:dyDescent="0.3">
      <c r="A71" t="str">
        <f t="shared" si="5"/>
        <v>DK</v>
      </c>
      <c r="B71" t="s">
        <v>286</v>
      </c>
      <c r="C71" s="18">
        <v>0</v>
      </c>
      <c r="D71" s="18">
        <v>0</v>
      </c>
      <c r="E71" s="18">
        <v>0</v>
      </c>
      <c r="F71" s="18">
        <v>0</v>
      </c>
    </row>
    <row r="72" spans="1:6" x14ac:dyDescent="0.3">
      <c r="A72" t="str">
        <f t="shared" si="5"/>
        <v>DK</v>
      </c>
      <c r="B72" t="s">
        <v>287</v>
      </c>
      <c r="C72" s="18">
        <v>4.2346220000000004E-3</v>
      </c>
      <c r="D72" s="18">
        <v>4.7161030000000001E-3</v>
      </c>
      <c r="E72" s="18">
        <v>7.2903999999999998E-3</v>
      </c>
      <c r="F72" s="18">
        <v>1.3637410000000001E-2</v>
      </c>
    </row>
    <row r="73" spans="1:6" x14ac:dyDescent="0.3">
      <c r="A73" t="str">
        <f t="shared" si="5"/>
        <v>DK</v>
      </c>
      <c r="B73" t="s">
        <v>288</v>
      </c>
      <c r="C73" s="4">
        <v>0</v>
      </c>
      <c r="D73" s="4">
        <v>0</v>
      </c>
      <c r="E73" s="4">
        <v>0</v>
      </c>
      <c r="F73" s="4">
        <v>0</v>
      </c>
    </row>
    <row r="74" spans="1:6" x14ac:dyDescent="0.3">
      <c r="A74" t="str">
        <f t="shared" si="5"/>
        <v>DK</v>
      </c>
      <c r="B74" t="s">
        <v>289</v>
      </c>
      <c r="C74" s="18">
        <v>8.0295729999999999E-3</v>
      </c>
      <c r="D74" s="18">
        <v>1.0693322999999999E-2</v>
      </c>
      <c r="E74" s="18">
        <v>1.6409317999999999E-2</v>
      </c>
      <c r="F74" s="18">
        <v>3.7717541E-2</v>
      </c>
    </row>
    <row r="75" spans="1:6" x14ac:dyDescent="0.3">
      <c r="A75" t="str">
        <f t="shared" si="5"/>
        <v>DK</v>
      </c>
      <c r="B75" t="s">
        <v>290</v>
      </c>
      <c r="C75" s="4">
        <v>0</v>
      </c>
      <c r="D75" s="4">
        <v>0</v>
      </c>
      <c r="E75" s="4">
        <v>0</v>
      </c>
      <c r="F75" s="4">
        <v>0</v>
      </c>
    </row>
    <row r="76" spans="1:6" x14ac:dyDescent="0.3">
      <c r="A76" t="str">
        <f t="shared" si="5"/>
        <v>DE</v>
      </c>
      <c r="B76" t="s">
        <v>293</v>
      </c>
      <c r="C76" s="18">
        <v>1.7816144549999999</v>
      </c>
      <c r="D76" s="18">
        <v>1.862014249</v>
      </c>
      <c r="E76" s="18">
        <v>1.8402206999999999</v>
      </c>
      <c r="F76" s="18">
        <v>2.0846153780000001</v>
      </c>
    </row>
    <row r="77" spans="1:6" x14ac:dyDescent="0.3">
      <c r="A77" t="str">
        <f t="shared" si="5"/>
        <v>DE</v>
      </c>
      <c r="B77" t="s">
        <v>294</v>
      </c>
      <c r="C77" s="18">
        <v>40.290652880000003</v>
      </c>
      <c r="D77" s="18">
        <v>41.602059189999999</v>
      </c>
      <c r="E77" s="18">
        <v>40.662871729999999</v>
      </c>
      <c r="F77" s="18">
        <v>42.272965769999999</v>
      </c>
    </row>
    <row r="78" spans="1:6" x14ac:dyDescent="0.3">
      <c r="A78" t="str">
        <f t="shared" si="5"/>
        <v>DE</v>
      </c>
      <c r="B78" t="s">
        <v>295</v>
      </c>
      <c r="C78" s="18">
        <v>0.177170834</v>
      </c>
      <c r="D78" s="18">
        <v>0.17200215899999999</v>
      </c>
      <c r="E78" s="18">
        <v>0.151982861</v>
      </c>
      <c r="F78" s="18">
        <v>0.14666911899999999</v>
      </c>
    </row>
    <row r="79" spans="1:6" x14ac:dyDescent="0.3">
      <c r="A79" t="str">
        <f t="shared" si="5"/>
        <v>DE</v>
      </c>
      <c r="B79" t="s">
        <v>296</v>
      </c>
      <c r="C79" s="18">
        <v>1.8388000000000001E-4</v>
      </c>
      <c r="D79" s="18">
        <v>6.7325700000000002E-4</v>
      </c>
      <c r="E79" s="18">
        <v>2.777711E-3</v>
      </c>
      <c r="F79" s="18">
        <v>7.4830950000000004E-3</v>
      </c>
    </row>
    <row r="80" spans="1:6" x14ac:dyDescent="0.3">
      <c r="A80" t="str">
        <f t="shared" si="5"/>
        <v>DE</v>
      </c>
      <c r="B80" t="s">
        <v>297</v>
      </c>
      <c r="C80" s="18">
        <v>9.8599999999999998E-5</v>
      </c>
      <c r="D80" s="18">
        <v>3.1712960000000001E-3</v>
      </c>
      <c r="E80" s="18">
        <v>1.0359979E-2</v>
      </c>
      <c r="F80" s="18">
        <v>2.0844050999999999E-2</v>
      </c>
    </row>
    <row r="81" spans="1:6" x14ac:dyDescent="0.3">
      <c r="A81" t="str">
        <f t="shared" si="5"/>
        <v>DE</v>
      </c>
      <c r="B81" t="s">
        <v>298</v>
      </c>
      <c r="C81" s="4">
        <v>0</v>
      </c>
      <c r="D81" s="4">
        <v>0</v>
      </c>
      <c r="E81" s="4">
        <v>0</v>
      </c>
      <c r="F81" s="4">
        <v>0</v>
      </c>
    </row>
    <row r="82" spans="1:6" x14ac:dyDescent="0.3">
      <c r="A82" t="str">
        <f t="shared" si="5"/>
        <v>DE</v>
      </c>
      <c r="B82" t="s">
        <v>299</v>
      </c>
      <c r="C82" s="18">
        <v>0.18231730099999999</v>
      </c>
      <c r="D82" s="18">
        <v>0.24117598900000001</v>
      </c>
      <c r="E82" s="18">
        <v>0.27992361300000002</v>
      </c>
      <c r="F82" s="18">
        <v>0.48356322400000001</v>
      </c>
    </row>
    <row r="83" spans="1:6" x14ac:dyDescent="0.3">
      <c r="A83" t="str">
        <f t="shared" si="5"/>
        <v>DE</v>
      </c>
      <c r="B83" t="s">
        <v>300</v>
      </c>
      <c r="C83" s="4">
        <v>0</v>
      </c>
      <c r="D83" s="4">
        <v>0</v>
      </c>
      <c r="E83" s="4">
        <v>0</v>
      </c>
      <c r="F83" s="4">
        <v>0</v>
      </c>
    </row>
    <row r="84" spans="1:6" x14ac:dyDescent="0.3">
      <c r="A84" t="str">
        <f t="shared" si="5"/>
        <v>EE</v>
      </c>
      <c r="B84" t="s">
        <v>303</v>
      </c>
      <c r="C84" s="18">
        <v>0.12442489599999999</v>
      </c>
      <c r="D84" s="18">
        <v>0.120416724</v>
      </c>
      <c r="E84" s="18">
        <v>0.109290305</v>
      </c>
      <c r="F84" s="18">
        <v>0.10028308700000001</v>
      </c>
    </row>
    <row r="85" spans="1:6" x14ac:dyDescent="0.3">
      <c r="A85" t="str">
        <f t="shared" si="5"/>
        <v>EE</v>
      </c>
      <c r="B85" t="s">
        <v>304</v>
      </c>
      <c r="C85" s="18">
        <v>0.943737944</v>
      </c>
      <c r="D85" s="18">
        <v>1.0616465500000001</v>
      </c>
      <c r="E85" s="18">
        <v>1.1073305099999999</v>
      </c>
      <c r="F85" s="18">
        <v>1.1953829030000001</v>
      </c>
    </row>
    <row r="86" spans="1:6" x14ac:dyDescent="0.3">
      <c r="A86" t="str">
        <f t="shared" si="5"/>
        <v>EE</v>
      </c>
      <c r="B86" t="s">
        <v>305</v>
      </c>
      <c r="C86" s="18">
        <v>2.1057160000000001E-3</v>
      </c>
      <c r="D86" s="18">
        <v>2.6239649999999998E-3</v>
      </c>
      <c r="E86" s="18">
        <v>3.349646E-3</v>
      </c>
      <c r="F86" s="18">
        <v>3.393797E-3</v>
      </c>
    </row>
    <row r="87" spans="1:6" x14ac:dyDescent="0.3">
      <c r="A87" t="str">
        <f t="shared" si="5"/>
        <v>EE</v>
      </c>
      <c r="B87" t="s">
        <v>306</v>
      </c>
      <c r="C87" s="18">
        <v>5.5699999999999999E-5</v>
      </c>
      <c r="D87" s="18">
        <v>5.9899999999999999E-5</v>
      </c>
      <c r="E87" s="18">
        <v>6.1299999999999999E-5</v>
      </c>
      <c r="F87" s="18">
        <v>7.7700000000000005E-5</v>
      </c>
    </row>
    <row r="88" spans="1:6" x14ac:dyDescent="0.3">
      <c r="A88" t="str">
        <f t="shared" si="5"/>
        <v>EE</v>
      </c>
      <c r="B88" t="s">
        <v>307</v>
      </c>
      <c r="C88" s="18">
        <v>0</v>
      </c>
      <c r="D88" s="18">
        <v>0</v>
      </c>
      <c r="E88" s="18">
        <v>0</v>
      </c>
      <c r="F88" s="18">
        <v>2.83E-5</v>
      </c>
    </row>
    <row r="89" spans="1:6" x14ac:dyDescent="0.3">
      <c r="A89" t="str">
        <f t="shared" si="5"/>
        <v>EE</v>
      </c>
      <c r="B89" t="s">
        <v>308</v>
      </c>
      <c r="C89" s="4">
        <v>0</v>
      </c>
      <c r="D89" s="4">
        <v>0</v>
      </c>
      <c r="E89" s="4">
        <v>0</v>
      </c>
      <c r="F89" s="4">
        <v>0</v>
      </c>
    </row>
    <row r="90" spans="1:6" x14ac:dyDescent="0.3">
      <c r="A90" t="str">
        <f t="shared" si="5"/>
        <v>EE</v>
      </c>
      <c r="B90" t="s">
        <v>309</v>
      </c>
      <c r="C90" s="18">
        <v>2.6122800000000001E-4</v>
      </c>
      <c r="D90" s="18">
        <v>2.60914E-4</v>
      </c>
      <c r="E90" s="18">
        <v>2.7669899999999999E-4</v>
      </c>
      <c r="F90" s="18">
        <v>2.7751099999999998E-4</v>
      </c>
    </row>
    <row r="91" spans="1:6" x14ac:dyDescent="0.3">
      <c r="A91" t="str">
        <f t="shared" si="5"/>
        <v>EE</v>
      </c>
      <c r="B91" t="s">
        <v>310</v>
      </c>
      <c r="C91" s="4">
        <v>0</v>
      </c>
      <c r="D91" s="4">
        <v>0</v>
      </c>
      <c r="E91" s="4">
        <v>0</v>
      </c>
      <c r="F91" s="4">
        <v>0</v>
      </c>
    </row>
    <row r="92" spans="1:6" x14ac:dyDescent="0.3">
      <c r="A92" t="str">
        <f t="shared" si="5"/>
        <v>IE</v>
      </c>
      <c r="B92" t="s">
        <v>313</v>
      </c>
      <c r="C92" s="18">
        <v>5.0691499999999997E-3</v>
      </c>
      <c r="D92" s="18">
        <v>5.0367049999999998E-3</v>
      </c>
      <c r="E92" s="18">
        <v>6.4838509999999997E-3</v>
      </c>
      <c r="F92" s="18">
        <v>4.8084829999999997E-3</v>
      </c>
    </row>
    <row r="93" spans="1:6" x14ac:dyDescent="0.3">
      <c r="A93" t="str">
        <f t="shared" si="5"/>
        <v>IE</v>
      </c>
      <c r="B93" t="s">
        <v>314</v>
      </c>
      <c r="C93" s="18">
        <v>4.5878667550000003</v>
      </c>
      <c r="D93" s="18">
        <v>4.512111472</v>
      </c>
      <c r="E93" s="18">
        <v>4.4196567289999997</v>
      </c>
      <c r="F93" s="18">
        <v>4.521401783</v>
      </c>
    </row>
    <row r="94" spans="1:6" x14ac:dyDescent="0.3">
      <c r="A94" t="str">
        <f t="shared" si="5"/>
        <v>IE</v>
      </c>
      <c r="B94" t="s">
        <v>315</v>
      </c>
      <c r="C94" s="18">
        <v>0</v>
      </c>
      <c r="D94" s="18">
        <v>0</v>
      </c>
      <c r="E94" s="18">
        <v>0</v>
      </c>
      <c r="F94" s="18">
        <v>0</v>
      </c>
    </row>
    <row r="95" spans="1:6" x14ac:dyDescent="0.3">
      <c r="A95" t="str">
        <f t="shared" si="5"/>
        <v>IE</v>
      </c>
      <c r="B95" t="s">
        <v>316</v>
      </c>
      <c r="C95" s="18">
        <v>7.3246900000000002E-4</v>
      </c>
      <c r="D95" s="18">
        <v>1.3454210000000001E-3</v>
      </c>
      <c r="E95" s="18">
        <v>1.820028E-3</v>
      </c>
      <c r="F95" s="18">
        <v>2.9103969999999999E-3</v>
      </c>
    </row>
    <row r="96" spans="1:6" x14ac:dyDescent="0.3">
      <c r="A96" t="str">
        <f t="shared" si="5"/>
        <v>IE</v>
      </c>
      <c r="B96" t="s">
        <v>317</v>
      </c>
      <c r="C96" s="18">
        <v>6.3200000000000005E-5</v>
      </c>
      <c r="D96" s="18">
        <v>1.03632E-4</v>
      </c>
      <c r="E96" s="18">
        <v>5.2773999999999996E-4</v>
      </c>
      <c r="F96" s="18">
        <v>3.8768850000000001E-3</v>
      </c>
    </row>
    <row r="97" spans="1:6" x14ac:dyDescent="0.3">
      <c r="A97" t="str">
        <f t="shared" si="5"/>
        <v>IE</v>
      </c>
      <c r="B97" t="s">
        <v>318</v>
      </c>
      <c r="C97" s="4">
        <v>0</v>
      </c>
      <c r="D97" s="4">
        <v>0</v>
      </c>
      <c r="E97" s="4">
        <v>0</v>
      </c>
      <c r="F97" s="4">
        <v>0</v>
      </c>
    </row>
    <row r="98" spans="1:6" x14ac:dyDescent="0.3">
      <c r="A98" t="str">
        <f t="shared" si="5"/>
        <v>IE</v>
      </c>
      <c r="B98" t="s">
        <v>319</v>
      </c>
      <c r="C98" s="19">
        <v>2.4016939999999998E-3</v>
      </c>
      <c r="D98" s="19">
        <v>4.8300849999999996E-3</v>
      </c>
      <c r="E98" s="19">
        <v>1.2852643E-2</v>
      </c>
      <c r="F98" s="19">
        <v>2.2520624E-2</v>
      </c>
    </row>
    <row r="99" spans="1:6" x14ac:dyDescent="0.3">
      <c r="A99" t="str">
        <f t="shared" si="5"/>
        <v>IE</v>
      </c>
      <c r="B99" t="s">
        <v>320</v>
      </c>
      <c r="C99" s="4">
        <v>0</v>
      </c>
      <c r="D99" s="4">
        <v>0</v>
      </c>
      <c r="E99" s="4">
        <v>0</v>
      </c>
      <c r="F99" s="4">
        <v>0</v>
      </c>
    </row>
    <row r="100" spans="1:6" x14ac:dyDescent="0.3">
      <c r="A100" t="str">
        <f t="shared" si="5"/>
        <v>GR</v>
      </c>
      <c r="B100" t="s">
        <v>323</v>
      </c>
      <c r="C100" s="18">
        <v>3.3564979300000002</v>
      </c>
      <c r="D100" s="18">
        <v>3.4742426979999999</v>
      </c>
      <c r="E100" s="18">
        <v>3.1705755999999998</v>
      </c>
      <c r="F100" s="18">
        <v>3.5724033660000001</v>
      </c>
    </row>
    <row r="101" spans="1:6" x14ac:dyDescent="0.3">
      <c r="A101" t="str">
        <f t="shared" ref="A101:A164" si="6">LEFT(B101,2)</f>
        <v>GR</v>
      </c>
      <c r="B101" t="s">
        <v>324</v>
      </c>
      <c r="C101" s="18">
        <v>5.0492222020000002</v>
      </c>
      <c r="D101" s="18">
        <v>5.0938558399999998</v>
      </c>
      <c r="E101" s="18">
        <v>4.2890702569999997</v>
      </c>
      <c r="F101" s="18">
        <v>4.6494609420000002</v>
      </c>
    </row>
    <row r="102" spans="1:6" x14ac:dyDescent="0.3">
      <c r="A102" t="str">
        <f t="shared" si="6"/>
        <v>GR</v>
      </c>
      <c r="B102" t="s">
        <v>325</v>
      </c>
      <c r="C102" s="18">
        <v>0</v>
      </c>
      <c r="D102" s="18">
        <v>0</v>
      </c>
      <c r="E102" s="18">
        <v>0</v>
      </c>
      <c r="F102" s="18">
        <v>0</v>
      </c>
    </row>
    <row r="103" spans="1:6" x14ac:dyDescent="0.3">
      <c r="A103" t="str">
        <f t="shared" si="6"/>
        <v>GR</v>
      </c>
      <c r="B103" t="s">
        <v>326</v>
      </c>
      <c r="C103" s="18">
        <v>0</v>
      </c>
      <c r="D103" s="18">
        <v>0</v>
      </c>
      <c r="E103" s="18">
        <v>0</v>
      </c>
      <c r="F103" s="18">
        <v>0</v>
      </c>
    </row>
    <row r="104" spans="1:6" x14ac:dyDescent="0.3">
      <c r="A104" t="str">
        <f t="shared" si="6"/>
        <v>GR</v>
      </c>
      <c r="B104" t="s">
        <v>327</v>
      </c>
      <c r="C104" s="18">
        <v>0</v>
      </c>
      <c r="D104" s="18">
        <v>0</v>
      </c>
      <c r="E104" s="18">
        <v>0</v>
      </c>
      <c r="F104" s="18">
        <v>0</v>
      </c>
    </row>
    <row r="105" spans="1:6" x14ac:dyDescent="0.3">
      <c r="A105" t="str">
        <f t="shared" si="6"/>
        <v>GR</v>
      </c>
      <c r="B105" t="s">
        <v>328</v>
      </c>
      <c r="C105" s="4">
        <v>0</v>
      </c>
      <c r="D105" s="4">
        <v>0</v>
      </c>
      <c r="E105" s="4">
        <v>0</v>
      </c>
      <c r="F105" s="4">
        <v>0</v>
      </c>
    </row>
    <row r="106" spans="1:6" x14ac:dyDescent="0.3">
      <c r="A106" t="str">
        <f t="shared" si="6"/>
        <v>GR</v>
      </c>
      <c r="B106" t="s">
        <v>329</v>
      </c>
      <c r="C106" s="18">
        <v>0</v>
      </c>
      <c r="D106" s="18">
        <v>0</v>
      </c>
      <c r="E106" s="18">
        <v>0</v>
      </c>
      <c r="F106" s="18">
        <v>0</v>
      </c>
    </row>
    <row r="107" spans="1:6" x14ac:dyDescent="0.3">
      <c r="A107" t="str">
        <f t="shared" si="6"/>
        <v>GR</v>
      </c>
      <c r="B107" t="s">
        <v>330</v>
      </c>
      <c r="C107" s="4">
        <v>0</v>
      </c>
      <c r="D107" s="4">
        <v>0</v>
      </c>
      <c r="E107" s="4">
        <v>0</v>
      </c>
      <c r="F107" s="4">
        <v>0</v>
      </c>
    </row>
    <row r="108" spans="1:6" x14ac:dyDescent="0.3">
      <c r="A108" t="str">
        <f t="shared" si="6"/>
        <v>ES</v>
      </c>
      <c r="B108" t="s">
        <v>333</v>
      </c>
      <c r="C108" s="18">
        <v>0.453481248</v>
      </c>
      <c r="D108" s="18">
        <v>0.550677266</v>
      </c>
      <c r="E108" s="18">
        <v>0.37164263400000003</v>
      </c>
      <c r="F108" s="18">
        <v>0.635849408</v>
      </c>
    </row>
    <row r="109" spans="1:6" x14ac:dyDescent="0.3">
      <c r="A109" t="str">
        <f t="shared" si="6"/>
        <v>ES</v>
      </c>
      <c r="B109" t="s">
        <v>334</v>
      </c>
      <c r="C109" s="18">
        <v>27.15198281</v>
      </c>
      <c r="D109" s="18">
        <v>27.27440846</v>
      </c>
      <c r="E109" s="18">
        <v>17.981533760000001</v>
      </c>
      <c r="F109" s="18">
        <v>26.143231620000002</v>
      </c>
    </row>
    <row r="110" spans="1:6" x14ac:dyDescent="0.3">
      <c r="A110" t="str">
        <f t="shared" si="6"/>
        <v>ES</v>
      </c>
      <c r="B110" t="s">
        <v>335</v>
      </c>
      <c r="C110" s="18">
        <v>2.1171501999999998E-2</v>
      </c>
      <c r="D110" s="18">
        <v>3.8511248999999997E-2</v>
      </c>
      <c r="E110" s="18">
        <v>3.4334749999999997E-2</v>
      </c>
      <c r="F110" s="18">
        <v>5.6379512999999999E-2</v>
      </c>
    </row>
    <row r="111" spans="1:6" x14ac:dyDescent="0.3">
      <c r="A111" t="str">
        <f t="shared" si="6"/>
        <v>ES</v>
      </c>
      <c r="B111" t="s">
        <v>336</v>
      </c>
      <c r="C111" s="18">
        <v>3.5599999999999998E-5</v>
      </c>
      <c r="D111" s="18">
        <v>3.5752899999999998E-4</v>
      </c>
      <c r="E111" s="18">
        <v>8.4610700000000002E-4</v>
      </c>
      <c r="F111" s="18">
        <v>1.960481E-3</v>
      </c>
    </row>
    <row r="112" spans="1:6" x14ac:dyDescent="0.3">
      <c r="A112" t="str">
        <f t="shared" si="6"/>
        <v>ES</v>
      </c>
      <c r="B112" t="s">
        <v>337</v>
      </c>
      <c r="C112" s="18">
        <v>4.8399999999999997E-5</v>
      </c>
      <c r="D112" s="18">
        <v>2.0343789999999998E-3</v>
      </c>
      <c r="E112" s="18">
        <v>1.1152219E-2</v>
      </c>
      <c r="F112" s="18">
        <v>3.1836332000000002E-2</v>
      </c>
    </row>
    <row r="113" spans="1:6" x14ac:dyDescent="0.3">
      <c r="A113" t="str">
        <f t="shared" si="6"/>
        <v>ES</v>
      </c>
      <c r="B113" t="s">
        <v>338</v>
      </c>
      <c r="C113" s="4">
        <v>0</v>
      </c>
      <c r="D113" s="4">
        <v>0</v>
      </c>
      <c r="E113" s="4">
        <v>0</v>
      </c>
      <c r="F113" s="4">
        <v>0</v>
      </c>
    </row>
    <row r="114" spans="1:6" x14ac:dyDescent="0.3">
      <c r="A114" t="str">
        <f t="shared" si="6"/>
        <v>ES</v>
      </c>
      <c r="B114" t="s">
        <v>339</v>
      </c>
      <c r="C114" s="19">
        <v>3.5857624999999997E-2</v>
      </c>
      <c r="D114" s="19">
        <v>4.7483968000000001E-2</v>
      </c>
      <c r="E114" s="19">
        <v>4.3664140999999997E-2</v>
      </c>
      <c r="F114" s="19">
        <v>7.8883412999999999E-2</v>
      </c>
    </row>
    <row r="115" spans="1:6" x14ac:dyDescent="0.3">
      <c r="A115" t="str">
        <f t="shared" si="6"/>
        <v>ES</v>
      </c>
      <c r="B115" t="s">
        <v>340</v>
      </c>
      <c r="C115" s="4">
        <v>0</v>
      </c>
      <c r="D115" s="4">
        <v>0</v>
      </c>
      <c r="E115" s="4">
        <v>0</v>
      </c>
      <c r="F115" s="4">
        <v>0</v>
      </c>
    </row>
    <row r="116" spans="1:6" x14ac:dyDescent="0.3">
      <c r="A116" t="str">
        <f t="shared" si="6"/>
        <v>FR</v>
      </c>
      <c r="B116" t="s">
        <v>343</v>
      </c>
      <c r="C116" s="18">
        <v>2.447152145</v>
      </c>
      <c r="D116" s="18">
        <v>2.3695438069999999</v>
      </c>
      <c r="E116" s="18">
        <v>2.0399319550000001</v>
      </c>
      <c r="F116" s="18">
        <v>2.4689625149999999</v>
      </c>
    </row>
    <row r="117" spans="1:6" x14ac:dyDescent="0.3">
      <c r="A117" t="str">
        <f t="shared" si="6"/>
        <v>FR</v>
      </c>
      <c r="B117" t="s">
        <v>344</v>
      </c>
      <c r="C117" s="18">
        <v>72.663470970000006</v>
      </c>
      <c r="D117" s="18">
        <v>73.454299599999999</v>
      </c>
      <c r="E117" s="18">
        <v>64.079623990000002</v>
      </c>
      <c r="F117" s="18">
        <v>73.190790530000001</v>
      </c>
    </row>
    <row r="118" spans="1:6" x14ac:dyDescent="0.3">
      <c r="A118" t="str">
        <f t="shared" si="6"/>
        <v>FR</v>
      </c>
      <c r="B118" t="s">
        <v>345</v>
      </c>
      <c r="C118" s="18">
        <v>7.2018288E-2</v>
      </c>
      <c r="D118" s="18">
        <v>7.7777676000000004E-2</v>
      </c>
      <c r="E118" s="18">
        <v>7.2821530999999995E-2</v>
      </c>
      <c r="F118" s="18">
        <v>9.0540499999999996E-2</v>
      </c>
    </row>
    <row r="119" spans="1:6" x14ac:dyDescent="0.3">
      <c r="A119" t="str">
        <f t="shared" si="6"/>
        <v>FR</v>
      </c>
      <c r="B119" t="s">
        <v>346</v>
      </c>
      <c r="C119" s="18">
        <v>4.1124400000000001E-4</v>
      </c>
      <c r="D119" s="18">
        <v>4.1534100000000001E-4</v>
      </c>
      <c r="E119" s="18">
        <v>1.738453E-3</v>
      </c>
      <c r="F119" s="18">
        <v>4.3162390000000004E-3</v>
      </c>
    </row>
    <row r="120" spans="1:6" x14ac:dyDescent="0.3">
      <c r="A120" t="str">
        <f t="shared" si="6"/>
        <v>FR</v>
      </c>
      <c r="B120" t="s">
        <v>347</v>
      </c>
      <c r="C120" s="18">
        <v>1.2272300000000001E-4</v>
      </c>
      <c r="D120" s="18">
        <v>1.851232E-3</v>
      </c>
      <c r="E120" s="18">
        <v>6.7189429999999998E-3</v>
      </c>
      <c r="F120" s="18">
        <v>2.2283759E-2</v>
      </c>
    </row>
    <row r="121" spans="1:6" x14ac:dyDescent="0.3">
      <c r="A121" t="str">
        <f t="shared" si="6"/>
        <v>FR</v>
      </c>
      <c r="B121" t="s">
        <v>348</v>
      </c>
      <c r="C121" s="4">
        <v>0</v>
      </c>
      <c r="D121" s="4">
        <v>0</v>
      </c>
      <c r="E121" s="4">
        <v>0</v>
      </c>
      <c r="F121" s="4">
        <v>0</v>
      </c>
    </row>
    <row r="122" spans="1:6" x14ac:dyDescent="0.3">
      <c r="A122" t="str">
        <f t="shared" si="6"/>
        <v>FR</v>
      </c>
      <c r="B122" t="s">
        <v>349</v>
      </c>
      <c r="C122" s="18">
        <v>0.23886580900000001</v>
      </c>
      <c r="D122" s="18">
        <v>0.28466328600000002</v>
      </c>
      <c r="E122" s="18">
        <v>0.30415046000000001</v>
      </c>
      <c r="F122" s="18">
        <v>0.40332030000000002</v>
      </c>
    </row>
    <row r="123" spans="1:6" x14ac:dyDescent="0.3">
      <c r="A123" t="str">
        <f t="shared" si="6"/>
        <v>FR</v>
      </c>
      <c r="B123" t="s">
        <v>350</v>
      </c>
      <c r="C123" s="4">
        <v>0</v>
      </c>
      <c r="D123" s="4">
        <v>0</v>
      </c>
      <c r="E123" s="4">
        <v>0</v>
      </c>
      <c r="F123" s="4">
        <v>0</v>
      </c>
    </row>
    <row r="124" spans="1:6" x14ac:dyDescent="0.3">
      <c r="A124" t="str">
        <f t="shared" si="6"/>
        <v>HR</v>
      </c>
      <c r="B124" t="s">
        <v>353</v>
      </c>
      <c r="C124" s="18">
        <v>7.3090645999999995E-2</v>
      </c>
      <c r="D124" s="18">
        <v>7.5709077E-2</v>
      </c>
      <c r="E124" s="18">
        <v>7.5491975000000003E-2</v>
      </c>
      <c r="F124" s="18">
        <v>8.0642301999999999E-2</v>
      </c>
    </row>
    <row r="125" spans="1:6" x14ac:dyDescent="0.3">
      <c r="A125" t="str">
        <f t="shared" si="6"/>
        <v>HR</v>
      </c>
      <c r="B125" t="s">
        <v>354</v>
      </c>
      <c r="C125" s="18">
        <v>1.924420985</v>
      </c>
      <c r="D125" s="18">
        <v>2.0622247690000002</v>
      </c>
      <c r="E125" s="18">
        <v>2.1303884470000001</v>
      </c>
      <c r="F125" s="18">
        <v>2.3157887210000001</v>
      </c>
    </row>
    <row r="126" spans="1:6" x14ac:dyDescent="0.3">
      <c r="A126" t="str">
        <f t="shared" si="6"/>
        <v>HR</v>
      </c>
      <c r="B126" t="s">
        <v>355</v>
      </c>
      <c r="C126" s="18">
        <v>8.4738499999999998E-4</v>
      </c>
      <c r="D126" s="18">
        <v>8.2479600000000004E-4</v>
      </c>
      <c r="E126" s="18">
        <v>7.9336599999999999E-4</v>
      </c>
      <c r="F126" s="18">
        <v>7.9631000000000005E-4</v>
      </c>
    </row>
    <row r="127" spans="1:6" x14ac:dyDescent="0.3">
      <c r="A127" t="str">
        <f t="shared" si="6"/>
        <v>HR</v>
      </c>
      <c r="B127" t="s">
        <v>356</v>
      </c>
      <c r="C127" s="18">
        <v>0</v>
      </c>
      <c r="D127" s="18">
        <v>0</v>
      </c>
      <c r="E127" s="18">
        <v>0</v>
      </c>
      <c r="F127" s="18">
        <v>0</v>
      </c>
    </row>
    <row r="128" spans="1:6" x14ac:dyDescent="0.3">
      <c r="A128" t="str">
        <f t="shared" si="6"/>
        <v>HR</v>
      </c>
      <c r="B128" t="s">
        <v>357</v>
      </c>
      <c r="C128" s="18">
        <v>0</v>
      </c>
      <c r="D128" s="18">
        <v>0</v>
      </c>
      <c r="E128" s="18">
        <v>0</v>
      </c>
      <c r="F128" s="18">
        <v>0</v>
      </c>
    </row>
    <row r="129" spans="1:6" x14ac:dyDescent="0.3">
      <c r="A129" t="str">
        <f t="shared" si="6"/>
        <v>HR</v>
      </c>
      <c r="B129" t="s">
        <v>358</v>
      </c>
      <c r="C129" s="4">
        <v>0</v>
      </c>
      <c r="D129" s="4">
        <v>0</v>
      </c>
      <c r="E129" s="4">
        <v>0</v>
      </c>
      <c r="F129" s="4">
        <v>0</v>
      </c>
    </row>
    <row r="130" spans="1:6" x14ac:dyDescent="0.3">
      <c r="A130" t="str">
        <f t="shared" si="6"/>
        <v>HR</v>
      </c>
      <c r="B130" t="s">
        <v>359</v>
      </c>
      <c r="C130" s="18">
        <v>7.8911300000000003E-4</v>
      </c>
      <c r="D130" s="18">
        <v>7.88856E-4</v>
      </c>
      <c r="E130" s="18">
        <v>1.799461E-3</v>
      </c>
      <c r="F130" s="18">
        <v>1.8231339999999999E-3</v>
      </c>
    </row>
    <row r="131" spans="1:6" x14ac:dyDescent="0.3">
      <c r="A131" t="str">
        <f t="shared" si="6"/>
        <v>HR</v>
      </c>
      <c r="B131" t="s">
        <v>360</v>
      </c>
      <c r="C131" s="4">
        <v>0</v>
      </c>
      <c r="D131" s="4">
        <v>0</v>
      </c>
      <c r="E131" s="4">
        <v>0</v>
      </c>
      <c r="F131" s="4">
        <v>0</v>
      </c>
    </row>
    <row r="132" spans="1:6" x14ac:dyDescent="0.3">
      <c r="A132" t="str">
        <f t="shared" si="6"/>
        <v>IT</v>
      </c>
      <c r="B132" t="s">
        <v>363</v>
      </c>
      <c r="C132" s="18">
        <v>2.315589589</v>
      </c>
      <c r="D132" s="18">
        <v>2.3394972749999998</v>
      </c>
      <c r="E132" s="18">
        <v>2.3038062350000001</v>
      </c>
      <c r="F132" s="18">
        <v>2.2638110440000001</v>
      </c>
    </row>
    <row r="133" spans="1:6" x14ac:dyDescent="0.3">
      <c r="A133" t="str">
        <f t="shared" si="6"/>
        <v>IT</v>
      </c>
      <c r="B133" t="s">
        <v>364</v>
      </c>
      <c r="C133" s="18">
        <v>51.59598999</v>
      </c>
      <c r="D133" s="18">
        <v>52.776895080000003</v>
      </c>
      <c r="E133" s="18">
        <v>51.229595619999998</v>
      </c>
      <c r="F133" s="18">
        <v>62.236724389999999</v>
      </c>
    </row>
    <row r="134" spans="1:6" x14ac:dyDescent="0.3">
      <c r="A134" t="str">
        <f t="shared" si="6"/>
        <v>IT</v>
      </c>
      <c r="B134" t="s">
        <v>365</v>
      </c>
      <c r="C134" s="18">
        <v>1.23257393</v>
      </c>
      <c r="D134" s="18">
        <v>1.2726804030000001</v>
      </c>
      <c r="E134" s="18">
        <v>1.279848908</v>
      </c>
      <c r="F134" s="18">
        <v>1.3137022169999999</v>
      </c>
    </row>
    <row r="135" spans="1:6" x14ac:dyDescent="0.3">
      <c r="A135" t="str">
        <f t="shared" si="6"/>
        <v>IT</v>
      </c>
      <c r="B135" t="s">
        <v>366</v>
      </c>
      <c r="C135" s="18">
        <v>0</v>
      </c>
      <c r="D135" s="18">
        <v>0</v>
      </c>
      <c r="E135" s="18">
        <v>1.7941779000000001E-2</v>
      </c>
      <c r="F135" s="18">
        <v>7.1149190000000001E-2</v>
      </c>
    </row>
    <row r="136" spans="1:6" x14ac:dyDescent="0.3">
      <c r="A136" t="str">
        <f t="shared" si="6"/>
        <v>IT</v>
      </c>
      <c r="B136" t="s">
        <v>367</v>
      </c>
      <c r="C136" s="18">
        <v>0</v>
      </c>
      <c r="D136" s="18">
        <v>0</v>
      </c>
      <c r="E136" s="18">
        <v>5.2211753E-2</v>
      </c>
      <c r="F136" s="18">
        <v>0.14326326</v>
      </c>
    </row>
    <row r="137" spans="1:6" x14ac:dyDescent="0.3">
      <c r="A137" t="str">
        <f t="shared" si="6"/>
        <v>IT</v>
      </c>
      <c r="B137" t="s">
        <v>368</v>
      </c>
      <c r="C137" s="4">
        <v>0</v>
      </c>
      <c r="D137" s="4">
        <v>0</v>
      </c>
      <c r="E137" s="4">
        <v>0</v>
      </c>
      <c r="F137" s="4">
        <v>0</v>
      </c>
    </row>
    <row r="138" spans="1:6" x14ac:dyDescent="0.3">
      <c r="A138" t="str">
        <f t="shared" si="6"/>
        <v>IT</v>
      </c>
      <c r="B138" t="s">
        <v>369</v>
      </c>
      <c r="C138" s="18">
        <v>3.0025350999999999E-2</v>
      </c>
      <c r="D138" s="18">
        <v>5.4527327E-2</v>
      </c>
      <c r="E138" s="18">
        <v>6.3134770000000007E-2</v>
      </c>
      <c r="F138" s="18">
        <v>9.7556374000000001E-2</v>
      </c>
    </row>
    <row r="139" spans="1:6" x14ac:dyDescent="0.3">
      <c r="A139" t="str">
        <f t="shared" si="6"/>
        <v>IT</v>
      </c>
      <c r="B139" t="s">
        <v>370</v>
      </c>
      <c r="C139" s="4">
        <v>0</v>
      </c>
      <c r="D139" s="4">
        <v>0</v>
      </c>
      <c r="E139" s="4">
        <v>0</v>
      </c>
      <c r="F139" s="4">
        <v>0</v>
      </c>
    </row>
    <row r="140" spans="1:6" x14ac:dyDescent="0.3">
      <c r="A140" t="str">
        <f t="shared" si="6"/>
        <v>CY</v>
      </c>
      <c r="B140" t="s">
        <v>373</v>
      </c>
      <c r="C140" s="18">
        <v>5.4492356999999998E-2</v>
      </c>
      <c r="D140" s="18">
        <v>5.4395508000000002E-2</v>
      </c>
      <c r="E140" s="18">
        <v>5.3740427E-2</v>
      </c>
      <c r="F140" s="18">
        <v>5.3724048000000003E-2</v>
      </c>
    </row>
    <row r="141" spans="1:6" x14ac:dyDescent="0.3">
      <c r="A141" t="str">
        <f t="shared" si="6"/>
        <v>CY</v>
      </c>
      <c r="B141" t="s">
        <v>374</v>
      </c>
      <c r="C141" s="18">
        <v>1.4600822529999999</v>
      </c>
      <c r="D141" s="18">
        <v>1.438261518</v>
      </c>
      <c r="E141" s="18">
        <v>1.3923608839999999</v>
      </c>
      <c r="F141" s="18">
        <v>1.371221877</v>
      </c>
    </row>
    <row r="142" spans="1:6" x14ac:dyDescent="0.3">
      <c r="A142" t="str">
        <f t="shared" si="6"/>
        <v>CY</v>
      </c>
      <c r="B142" t="s">
        <v>375</v>
      </c>
      <c r="C142" s="18">
        <v>0</v>
      </c>
      <c r="D142" s="18">
        <v>0</v>
      </c>
      <c r="E142" s="18">
        <v>0</v>
      </c>
      <c r="F142" s="18">
        <v>0</v>
      </c>
    </row>
    <row r="143" spans="1:6" x14ac:dyDescent="0.3">
      <c r="A143" t="str">
        <f t="shared" si="6"/>
        <v>CY</v>
      </c>
      <c r="B143" t="s">
        <v>376</v>
      </c>
      <c r="C143" s="18">
        <v>6.7199999999999994E-5</v>
      </c>
      <c r="D143" s="18">
        <v>7.5799999999999999E-5</v>
      </c>
      <c r="E143" s="18">
        <v>1.4623199999999999E-4</v>
      </c>
      <c r="F143" s="18">
        <v>5.03883E-4</v>
      </c>
    </row>
    <row r="144" spans="1:6" x14ac:dyDescent="0.3">
      <c r="A144" t="str">
        <f t="shared" si="6"/>
        <v>CY</v>
      </c>
      <c r="B144" t="s">
        <v>377</v>
      </c>
      <c r="C144" s="18">
        <v>0</v>
      </c>
      <c r="D144" s="18">
        <v>0</v>
      </c>
      <c r="E144" s="18">
        <v>0</v>
      </c>
      <c r="F144" s="18">
        <v>0</v>
      </c>
    </row>
    <row r="145" spans="1:6" x14ac:dyDescent="0.3">
      <c r="A145" t="str">
        <f t="shared" si="6"/>
        <v>CY</v>
      </c>
      <c r="B145" t="s">
        <v>378</v>
      </c>
      <c r="C145" s="4">
        <v>0</v>
      </c>
      <c r="D145" s="4">
        <v>0</v>
      </c>
      <c r="E145" s="4">
        <v>0</v>
      </c>
      <c r="F145" s="4">
        <v>0</v>
      </c>
    </row>
    <row r="146" spans="1:6" x14ac:dyDescent="0.3">
      <c r="A146" t="str">
        <f t="shared" si="6"/>
        <v>CY</v>
      </c>
      <c r="B146" t="s">
        <v>379</v>
      </c>
      <c r="C146" s="18">
        <v>3.2799999999999998E-5</v>
      </c>
      <c r="D146" s="18">
        <v>5.7200000000000001E-5</v>
      </c>
      <c r="E146" s="18">
        <v>6.3899999999999995E-5</v>
      </c>
      <c r="F146" s="18">
        <v>9.7399999999999996E-5</v>
      </c>
    </row>
    <row r="147" spans="1:6" x14ac:dyDescent="0.3">
      <c r="A147" t="str">
        <f t="shared" si="6"/>
        <v>CY</v>
      </c>
      <c r="B147" t="s">
        <v>380</v>
      </c>
      <c r="C147" s="4">
        <v>0</v>
      </c>
      <c r="D147" s="4">
        <v>0</v>
      </c>
      <c r="E147" s="4">
        <v>0</v>
      </c>
      <c r="F147" s="4">
        <v>0</v>
      </c>
    </row>
    <row r="148" spans="1:6" x14ac:dyDescent="0.3">
      <c r="A148" t="str">
        <f t="shared" si="6"/>
        <v>LV</v>
      </c>
      <c r="B148" t="s">
        <v>383</v>
      </c>
      <c r="C148" s="18">
        <v>2.0895064000000001E-2</v>
      </c>
      <c r="D148" s="18">
        <v>2.0026353E-2</v>
      </c>
      <c r="E148" s="18">
        <v>2.0067776999999998E-2</v>
      </c>
      <c r="F148" s="18">
        <v>1.9770982999999999E-2</v>
      </c>
    </row>
    <row r="149" spans="1:6" x14ac:dyDescent="0.3">
      <c r="A149" t="str">
        <f t="shared" si="6"/>
        <v>LV</v>
      </c>
      <c r="B149" t="s">
        <v>384</v>
      </c>
      <c r="C149" s="18">
        <v>0.88964535499999997</v>
      </c>
      <c r="D149" s="18">
        <v>0.91790778200000001</v>
      </c>
      <c r="E149" s="18">
        <v>0.95037621100000003</v>
      </c>
      <c r="F149" s="18">
        <v>0.98064577399999997</v>
      </c>
    </row>
    <row r="150" spans="1:6" x14ac:dyDescent="0.3">
      <c r="A150" t="str">
        <f t="shared" si="6"/>
        <v>LV</v>
      </c>
      <c r="B150" t="s">
        <v>385</v>
      </c>
      <c r="C150" s="18">
        <v>0</v>
      </c>
      <c r="D150" s="18">
        <v>0</v>
      </c>
      <c r="E150" s="18">
        <v>0</v>
      </c>
      <c r="F150" s="18">
        <v>0</v>
      </c>
    </row>
    <row r="151" spans="1:6" x14ac:dyDescent="0.3">
      <c r="A151" t="str">
        <f t="shared" si="6"/>
        <v>LV</v>
      </c>
      <c r="B151" t="s">
        <v>386</v>
      </c>
      <c r="C151" s="18">
        <v>0</v>
      </c>
      <c r="D151" s="18">
        <v>0</v>
      </c>
      <c r="E151" s="18">
        <v>0</v>
      </c>
      <c r="F151" s="18">
        <v>8.4200000000000007E-6</v>
      </c>
    </row>
    <row r="152" spans="1:6" x14ac:dyDescent="0.3">
      <c r="A152" t="str">
        <f t="shared" si="6"/>
        <v>LV</v>
      </c>
      <c r="B152" t="s">
        <v>387</v>
      </c>
      <c r="C152" s="18">
        <v>0</v>
      </c>
      <c r="D152" s="18">
        <v>0</v>
      </c>
      <c r="E152" s="18">
        <v>0</v>
      </c>
      <c r="F152" s="18">
        <v>0</v>
      </c>
    </row>
    <row r="153" spans="1:6" x14ac:dyDescent="0.3">
      <c r="A153" t="str">
        <f t="shared" si="6"/>
        <v>LV</v>
      </c>
      <c r="B153" t="s">
        <v>388</v>
      </c>
      <c r="C153" s="4">
        <v>0</v>
      </c>
      <c r="D153" s="4">
        <v>0</v>
      </c>
      <c r="E153" s="4">
        <v>0</v>
      </c>
      <c r="F153" s="4">
        <v>0</v>
      </c>
    </row>
    <row r="154" spans="1:6" x14ac:dyDescent="0.3">
      <c r="A154" t="str">
        <f t="shared" si="6"/>
        <v>LV</v>
      </c>
      <c r="B154" t="s">
        <v>389</v>
      </c>
      <c r="C154" s="18">
        <v>1.20289E-4</v>
      </c>
      <c r="D154" s="18">
        <v>1.4028000000000001E-4</v>
      </c>
      <c r="E154" s="18">
        <v>1.59171E-4</v>
      </c>
      <c r="F154" s="18">
        <v>3.9075200000000002E-4</v>
      </c>
    </row>
    <row r="155" spans="1:6" x14ac:dyDescent="0.3">
      <c r="A155" t="str">
        <f t="shared" si="6"/>
        <v>LV</v>
      </c>
      <c r="B155" t="s">
        <v>390</v>
      </c>
      <c r="C155" s="4">
        <v>0</v>
      </c>
      <c r="D155" s="4">
        <v>0</v>
      </c>
      <c r="E155" s="4">
        <v>0</v>
      </c>
      <c r="F155" s="4">
        <v>0</v>
      </c>
    </row>
    <row r="156" spans="1:6" x14ac:dyDescent="0.3">
      <c r="A156" t="str">
        <f t="shared" si="6"/>
        <v>LT</v>
      </c>
      <c r="B156" t="s">
        <v>393</v>
      </c>
      <c r="C156" s="18">
        <v>1.6291559000000001E-2</v>
      </c>
      <c r="D156" s="18">
        <v>2.1468040000000001E-2</v>
      </c>
      <c r="E156" s="18">
        <v>1.9328555000000001E-2</v>
      </c>
      <c r="F156" s="18">
        <v>1.7797832E-2</v>
      </c>
    </row>
    <row r="157" spans="1:6" x14ac:dyDescent="0.3">
      <c r="A157" t="str">
        <f t="shared" si="6"/>
        <v>LT</v>
      </c>
      <c r="B157" t="s">
        <v>394</v>
      </c>
      <c r="C157" s="18">
        <v>0.90277616500000002</v>
      </c>
      <c r="D157" s="18">
        <v>0.93693598</v>
      </c>
      <c r="E157" s="18">
        <v>0.97377499599999995</v>
      </c>
      <c r="F157" s="18">
        <v>1.012267499</v>
      </c>
    </row>
    <row r="158" spans="1:6" x14ac:dyDescent="0.3">
      <c r="A158" t="str">
        <f t="shared" si="6"/>
        <v>LT</v>
      </c>
      <c r="B158" t="s">
        <v>395</v>
      </c>
      <c r="C158" s="18">
        <v>0</v>
      </c>
      <c r="D158" s="18">
        <v>0</v>
      </c>
      <c r="E158" s="18">
        <v>0</v>
      </c>
      <c r="F158" s="18">
        <v>0</v>
      </c>
    </row>
    <row r="159" spans="1:6" x14ac:dyDescent="0.3">
      <c r="A159" t="str">
        <f t="shared" si="6"/>
        <v>LT</v>
      </c>
      <c r="B159" t="s">
        <v>396</v>
      </c>
      <c r="C159" s="18">
        <v>0</v>
      </c>
      <c r="D159" s="18">
        <v>0</v>
      </c>
      <c r="E159" s="18">
        <v>0</v>
      </c>
      <c r="F159" s="18">
        <v>0</v>
      </c>
    </row>
    <row r="160" spans="1:6" x14ac:dyDescent="0.3">
      <c r="A160" t="str">
        <f t="shared" si="6"/>
        <v>LT</v>
      </c>
      <c r="B160" t="s">
        <v>397</v>
      </c>
      <c r="C160" s="18">
        <v>0</v>
      </c>
      <c r="D160" s="18">
        <v>0</v>
      </c>
      <c r="E160" s="18">
        <v>0</v>
      </c>
      <c r="F160" s="18">
        <v>0</v>
      </c>
    </row>
    <row r="161" spans="1:6" x14ac:dyDescent="0.3">
      <c r="A161" t="str">
        <f t="shared" si="6"/>
        <v>LT</v>
      </c>
      <c r="B161" t="s">
        <v>398</v>
      </c>
      <c r="C161" s="4">
        <v>0</v>
      </c>
      <c r="D161" s="4">
        <v>0</v>
      </c>
      <c r="E161" s="4">
        <v>0</v>
      </c>
      <c r="F161" s="4">
        <v>0</v>
      </c>
    </row>
    <row r="162" spans="1:6" x14ac:dyDescent="0.3">
      <c r="A162" t="str">
        <f t="shared" si="6"/>
        <v>LT</v>
      </c>
      <c r="B162" t="s">
        <v>399</v>
      </c>
      <c r="C162" s="18">
        <v>0</v>
      </c>
      <c r="D162" s="18">
        <v>0</v>
      </c>
      <c r="E162" s="18">
        <v>0</v>
      </c>
      <c r="F162" s="18">
        <v>0</v>
      </c>
    </row>
    <row r="163" spans="1:6" x14ac:dyDescent="0.3">
      <c r="A163" t="str">
        <f t="shared" si="6"/>
        <v>LT</v>
      </c>
      <c r="B163" t="s">
        <v>400</v>
      </c>
      <c r="C163" s="4">
        <v>0</v>
      </c>
      <c r="D163" s="4">
        <v>0</v>
      </c>
      <c r="E163" s="4">
        <v>0</v>
      </c>
      <c r="F163" s="4">
        <v>0</v>
      </c>
    </row>
    <row r="164" spans="1:6" x14ac:dyDescent="0.3">
      <c r="A164" t="str">
        <f t="shared" si="6"/>
        <v>LU</v>
      </c>
      <c r="B164" t="s">
        <v>403</v>
      </c>
      <c r="C164" s="18">
        <v>1.2030775E-2</v>
      </c>
      <c r="D164" s="18">
        <v>1.2328983999999999E-2</v>
      </c>
      <c r="E164" s="18">
        <v>1.2516017000000001E-2</v>
      </c>
      <c r="F164" s="18">
        <v>1.2956472E-2</v>
      </c>
    </row>
    <row r="165" spans="1:6" x14ac:dyDescent="0.3">
      <c r="A165" t="str">
        <f t="shared" ref="A165:A228" si="7">LEFT(B165,2)</f>
        <v>LU</v>
      </c>
      <c r="B165" t="s">
        <v>404</v>
      </c>
      <c r="C165" s="18">
        <v>0.63980046400000001</v>
      </c>
      <c r="D165" s="18">
        <v>0.65400135800000003</v>
      </c>
      <c r="E165" s="18">
        <v>0.66142546099999999</v>
      </c>
      <c r="F165" s="18">
        <v>0.69278004500000001</v>
      </c>
    </row>
    <row r="166" spans="1:6" x14ac:dyDescent="0.3">
      <c r="A166" t="str">
        <f t="shared" si="7"/>
        <v>LU</v>
      </c>
      <c r="B166" t="s">
        <v>405</v>
      </c>
      <c r="C166" s="18">
        <v>0</v>
      </c>
      <c r="D166" s="18">
        <v>0</v>
      </c>
      <c r="E166" s="18">
        <v>0</v>
      </c>
      <c r="F166" s="18">
        <v>0</v>
      </c>
    </row>
    <row r="167" spans="1:6" x14ac:dyDescent="0.3">
      <c r="A167" t="str">
        <f t="shared" si="7"/>
        <v>LU</v>
      </c>
      <c r="B167" t="s">
        <v>406</v>
      </c>
      <c r="C167" s="18">
        <v>0</v>
      </c>
      <c r="D167" s="18">
        <v>0</v>
      </c>
      <c r="E167" s="18">
        <v>1.7399999999999999E-5</v>
      </c>
      <c r="F167" s="18">
        <v>6.1099999999999994E-5</v>
      </c>
    </row>
    <row r="168" spans="1:6" x14ac:dyDescent="0.3">
      <c r="A168" t="str">
        <f t="shared" si="7"/>
        <v>LU</v>
      </c>
      <c r="B168" t="s">
        <v>407</v>
      </c>
      <c r="C168" s="18">
        <v>0</v>
      </c>
      <c r="D168" s="18">
        <v>3.7799999999999997E-5</v>
      </c>
      <c r="E168" s="18">
        <v>3.6699999999999998E-5</v>
      </c>
      <c r="F168" s="18">
        <v>1.84E-5</v>
      </c>
    </row>
    <row r="169" spans="1:6" x14ac:dyDescent="0.3">
      <c r="A169" t="str">
        <f t="shared" si="7"/>
        <v>LU</v>
      </c>
      <c r="B169" t="s">
        <v>408</v>
      </c>
      <c r="C169" s="4">
        <v>0</v>
      </c>
      <c r="D169" s="4">
        <v>0</v>
      </c>
      <c r="E169" s="4">
        <v>0</v>
      </c>
      <c r="F169" s="4">
        <v>0</v>
      </c>
    </row>
    <row r="170" spans="1:6" x14ac:dyDescent="0.3">
      <c r="A170" t="str">
        <f t="shared" si="7"/>
        <v>LU</v>
      </c>
      <c r="B170" t="s">
        <v>409</v>
      </c>
      <c r="C170" s="18">
        <v>2.8378159999999999E-3</v>
      </c>
      <c r="D170" s="18">
        <v>3.4201499999999998E-3</v>
      </c>
      <c r="E170" s="18">
        <v>4.0109689999999996E-3</v>
      </c>
      <c r="F170" s="18">
        <v>5.6852359999999998E-3</v>
      </c>
    </row>
    <row r="171" spans="1:6" x14ac:dyDescent="0.3">
      <c r="A171" t="str">
        <f t="shared" si="7"/>
        <v>LU</v>
      </c>
      <c r="B171" t="s">
        <v>410</v>
      </c>
      <c r="C171" s="4">
        <v>0</v>
      </c>
      <c r="D171" s="4">
        <v>0</v>
      </c>
      <c r="E171" s="4">
        <v>0</v>
      </c>
      <c r="F171" s="4">
        <v>0</v>
      </c>
    </row>
    <row r="172" spans="1:6" x14ac:dyDescent="0.3">
      <c r="A172" t="str">
        <f t="shared" si="7"/>
        <v>HU</v>
      </c>
      <c r="B172" t="s">
        <v>413</v>
      </c>
      <c r="C172" s="18">
        <v>0.206438962</v>
      </c>
      <c r="D172" s="18">
        <v>0.20644821599999999</v>
      </c>
      <c r="E172" s="18">
        <v>0.19651084199999999</v>
      </c>
      <c r="F172" s="18">
        <v>0.19071233000000001</v>
      </c>
    </row>
    <row r="173" spans="1:6" x14ac:dyDescent="0.3">
      <c r="A173" t="str">
        <f t="shared" si="7"/>
        <v>HU</v>
      </c>
      <c r="B173" t="s">
        <v>414</v>
      </c>
      <c r="C173" s="18">
        <v>6.5742738889999996</v>
      </c>
      <c r="D173" s="18">
        <v>7.0387127060000001</v>
      </c>
      <c r="E173" s="18">
        <v>7.3750976320000001</v>
      </c>
      <c r="F173" s="18">
        <v>7.726674515</v>
      </c>
    </row>
    <row r="174" spans="1:6" x14ac:dyDescent="0.3">
      <c r="A174" t="str">
        <f t="shared" si="7"/>
        <v>HU</v>
      </c>
      <c r="B174" t="s">
        <v>415</v>
      </c>
      <c r="C174" s="18">
        <v>5.8486019999999996E-3</v>
      </c>
      <c r="D174" s="18">
        <v>6.0172610000000003E-3</v>
      </c>
      <c r="E174" s="18">
        <v>6.1178450000000002E-3</v>
      </c>
      <c r="F174" s="18">
        <v>6.1213930000000001E-3</v>
      </c>
    </row>
    <row r="175" spans="1:6" x14ac:dyDescent="0.3">
      <c r="A175" t="str">
        <f t="shared" si="7"/>
        <v>HU</v>
      </c>
      <c r="B175" t="s">
        <v>416</v>
      </c>
      <c r="C175" s="18">
        <v>0</v>
      </c>
      <c r="D175" s="18">
        <v>0</v>
      </c>
      <c r="E175" s="18">
        <v>0</v>
      </c>
      <c r="F175" s="18">
        <v>0</v>
      </c>
    </row>
    <row r="176" spans="1:6" x14ac:dyDescent="0.3">
      <c r="A176" t="str">
        <f t="shared" si="7"/>
        <v>HU</v>
      </c>
      <c r="B176" t="s">
        <v>417</v>
      </c>
      <c r="C176" s="18">
        <v>0</v>
      </c>
      <c r="D176" s="18">
        <v>0</v>
      </c>
      <c r="E176" s="18">
        <v>0</v>
      </c>
      <c r="F176" s="18">
        <v>0</v>
      </c>
    </row>
    <row r="177" spans="1:6" x14ac:dyDescent="0.3">
      <c r="A177" t="str">
        <f t="shared" si="7"/>
        <v>HU</v>
      </c>
      <c r="B177" t="s">
        <v>418</v>
      </c>
      <c r="C177" s="4">
        <v>0</v>
      </c>
      <c r="D177" s="4">
        <v>0</v>
      </c>
      <c r="E177" s="4">
        <v>0</v>
      </c>
      <c r="F177" s="4">
        <v>0</v>
      </c>
    </row>
    <row r="178" spans="1:6" x14ac:dyDescent="0.3">
      <c r="A178" t="str">
        <f t="shared" si="7"/>
        <v>HU</v>
      </c>
      <c r="B178" t="s">
        <v>419</v>
      </c>
      <c r="C178" s="19">
        <v>2.782428E-3</v>
      </c>
      <c r="D178" s="19">
        <v>3.6690580000000002E-3</v>
      </c>
      <c r="E178" s="19">
        <v>5.1840419999999998E-3</v>
      </c>
      <c r="F178" s="19">
        <v>7.9572649999999998E-3</v>
      </c>
    </row>
    <row r="179" spans="1:6" x14ac:dyDescent="0.3">
      <c r="A179" t="str">
        <f t="shared" si="7"/>
        <v>HU</v>
      </c>
      <c r="B179" t="s">
        <v>420</v>
      </c>
      <c r="C179" s="4">
        <v>0</v>
      </c>
      <c r="D179" s="4">
        <v>0</v>
      </c>
      <c r="E179" s="4">
        <v>0</v>
      </c>
      <c r="F179" s="4">
        <v>0</v>
      </c>
    </row>
    <row r="180" spans="1:6" x14ac:dyDescent="0.3">
      <c r="A180" t="str">
        <f t="shared" si="7"/>
        <v>MT</v>
      </c>
      <c r="B180" t="s">
        <v>423</v>
      </c>
      <c r="C180" s="18">
        <v>7.4930960000000003E-3</v>
      </c>
      <c r="D180" s="18">
        <v>7.7710899999999996E-3</v>
      </c>
      <c r="E180" s="18">
        <v>7.4692839999999996E-3</v>
      </c>
      <c r="F180" s="18">
        <v>7.5920689999999999E-3</v>
      </c>
    </row>
    <row r="181" spans="1:6" x14ac:dyDescent="0.3">
      <c r="A181" t="str">
        <f t="shared" si="7"/>
        <v>MT</v>
      </c>
      <c r="B181" t="s">
        <v>424</v>
      </c>
      <c r="C181" s="18">
        <v>0.372256951</v>
      </c>
      <c r="D181" s="18">
        <v>0.38994433499999998</v>
      </c>
      <c r="E181" s="18">
        <v>0.37642968700000001</v>
      </c>
      <c r="F181" s="18">
        <v>0.36315080700000002</v>
      </c>
    </row>
    <row r="182" spans="1:6" x14ac:dyDescent="0.3">
      <c r="A182" t="str">
        <f t="shared" si="7"/>
        <v>MT</v>
      </c>
      <c r="B182" t="s">
        <v>425</v>
      </c>
      <c r="C182" s="18">
        <v>0</v>
      </c>
      <c r="D182" s="18">
        <v>0</v>
      </c>
      <c r="E182" s="18">
        <v>0</v>
      </c>
      <c r="F182" s="18">
        <v>0</v>
      </c>
    </row>
    <row r="183" spans="1:6" x14ac:dyDescent="0.3">
      <c r="A183" t="str">
        <f t="shared" si="7"/>
        <v>MT</v>
      </c>
      <c r="B183" t="s">
        <v>426</v>
      </c>
      <c r="C183" s="18">
        <v>0</v>
      </c>
      <c r="D183" s="18">
        <v>0</v>
      </c>
      <c r="E183" s="18">
        <v>0</v>
      </c>
      <c r="F183" s="18">
        <v>0</v>
      </c>
    </row>
    <row r="184" spans="1:6" x14ac:dyDescent="0.3">
      <c r="A184" t="str">
        <f t="shared" si="7"/>
        <v>MT</v>
      </c>
      <c r="B184" t="s">
        <v>427</v>
      </c>
      <c r="C184" s="18">
        <v>0</v>
      </c>
      <c r="D184" s="18">
        <v>0</v>
      </c>
      <c r="E184" s="18">
        <v>0</v>
      </c>
      <c r="F184" s="18">
        <v>1.91E-5</v>
      </c>
    </row>
    <row r="185" spans="1:6" x14ac:dyDescent="0.3">
      <c r="A185" t="str">
        <f t="shared" si="7"/>
        <v>MT</v>
      </c>
      <c r="B185" t="s">
        <v>428</v>
      </c>
      <c r="C185" s="4">
        <v>0</v>
      </c>
      <c r="D185" s="4">
        <v>0</v>
      </c>
      <c r="E185" s="4">
        <v>0</v>
      </c>
      <c r="F185" s="4">
        <v>0</v>
      </c>
    </row>
    <row r="186" spans="1:6" x14ac:dyDescent="0.3">
      <c r="A186" t="str">
        <f t="shared" si="7"/>
        <v>MT</v>
      </c>
      <c r="B186" t="s">
        <v>429</v>
      </c>
      <c r="C186" s="18">
        <v>1.9212799999999999E-4</v>
      </c>
      <c r="D186" s="18">
        <v>1.0906659999999999E-3</v>
      </c>
      <c r="E186" s="18">
        <v>1.109732E-3</v>
      </c>
      <c r="F186" s="18">
        <v>1.135294E-3</v>
      </c>
    </row>
    <row r="187" spans="1:6" x14ac:dyDescent="0.3">
      <c r="A187" t="str">
        <f t="shared" si="7"/>
        <v>MT</v>
      </c>
      <c r="B187" t="s">
        <v>430</v>
      </c>
      <c r="C187" s="4">
        <v>0</v>
      </c>
      <c r="D187" s="4">
        <v>0</v>
      </c>
      <c r="E187" s="4">
        <v>0</v>
      </c>
      <c r="F187" s="4">
        <v>0</v>
      </c>
    </row>
    <row r="188" spans="1:6" x14ac:dyDescent="0.3">
      <c r="A188" t="str">
        <f t="shared" si="7"/>
        <v>NL</v>
      </c>
      <c r="B188" t="s">
        <v>433</v>
      </c>
      <c r="C188" s="18">
        <v>0.375223533</v>
      </c>
      <c r="D188" s="18">
        <v>0.437752794</v>
      </c>
      <c r="E188" s="18">
        <v>0.43854960900000001</v>
      </c>
      <c r="F188" s="18">
        <v>0.42870731299999998</v>
      </c>
    </row>
    <row r="189" spans="1:6" x14ac:dyDescent="0.3">
      <c r="A189" t="str">
        <f t="shared" si="7"/>
        <v>NL</v>
      </c>
      <c r="B189" t="s">
        <v>434</v>
      </c>
      <c r="C189" s="18">
        <v>19.18038499</v>
      </c>
      <c r="D189" s="18">
        <v>19.30622958</v>
      </c>
      <c r="E189" s="18">
        <v>18.65951488</v>
      </c>
      <c r="F189" s="18">
        <v>19.228586580000002</v>
      </c>
    </row>
    <row r="190" spans="1:6" x14ac:dyDescent="0.3">
      <c r="A190" t="str">
        <f t="shared" si="7"/>
        <v>NL</v>
      </c>
      <c r="B190" t="s">
        <v>435</v>
      </c>
      <c r="C190" s="18">
        <v>5.7429513000000001E-2</v>
      </c>
      <c r="D190" s="18">
        <v>6.0049698999999998E-2</v>
      </c>
      <c r="E190" s="18">
        <v>5.9914896000000002E-2</v>
      </c>
      <c r="F190" s="18">
        <v>5.6826466999999999E-2</v>
      </c>
    </row>
    <row r="191" spans="1:6" x14ac:dyDescent="0.3">
      <c r="A191" t="str">
        <f t="shared" si="7"/>
        <v>NL</v>
      </c>
      <c r="B191" t="s">
        <v>436</v>
      </c>
      <c r="C191" s="18">
        <v>4.2799999999999997E-5</v>
      </c>
      <c r="D191" s="18">
        <v>8.3499999999999997E-5</v>
      </c>
      <c r="E191" s="18">
        <v>5.6294400000000001E-4</v>
      </c>
      <c r="F191" s="18">
        <v>1.7791020000000001E-3</v>
      </c>
    </row>
    <row r="192" spans="1:6" x14ac:dyDescent="0.3">
      <c r="A192" t="str">
        <f t="shared" si="7"/>
        <v>NL</v>
      </c>
      <c r="B192" t="s">
        <v>437</v>
      </c>
      <c r="C192" s="18">
        <v>4.5000000000000003E-5</v>
      </c>
      <c r="D192" s="18">
        <v>1.09857E-4</v>
      </c>
      <c r="E192" s="18">
        <v>3.9857160000000003E-3</v>
      </c>
      <c r="F192" s="18">
        <v>1.3602209000000001E-2</v>
      </c>
    </row>
    <row r="193" spans="1:6" x14ac:dyDescent="0.3">
      <c r="A193" t="str">
        <f t="shared" si="7"/>
        <v>NL</v>
      </c>
      <c r="B193" t="s">
        <v>438</v>
      </c>
      <c r="C193" s="4">
        <v>0</v>
      </c>
      <c r="D193" s="4">
        <v>0</v>
      </c>
      <c r="E193" s="4">
        <v>0</v>
      </c>
      <c r="F193" s="4">
        <v>0</v>
      </c>
    </row>
    <row r="194" spans="1:6" x14ac:dyDescent="0.3">
      <c r="A194" t="str">
        <f t="shared" si="7"/>
        <v>NL</v>
      </c>
      <c r="B194" t="s">
        <v>439</v>
      </c>
      <c r="C194" s="18">
        <v>4.1597463000000001E-2</v>
      </c>
      <c r="D194" s="18">
        <v>5.7993670999999997E-2</v>
      </c>
      <c r="E194" s="18">
        <v>7.6976861999999993E-2</v>
      </c>
      <c r="F194" s="18">
        <v>0.11979385100000001</v>
      </c>
    </row>
    <row r="195" spans="1:6" x14ac:dyDescent="0.3">
      <c r="A195" t="str">
        <f t="shared" si="7"/>
        <v>NL</v>
      </c>
      <c r="B195" t="s">
        <v>440</v>
      </c>
      <c r="C195" s="4">
        <v>0</v>
      </c>
      <c r="D195" s="4">
        <v>0</v>
      </c>
      <c r="E195" s="4">
        <v>0</v>
      </c>
      <c r="F195" s="4">
        <v>0</v>
      </c>
    </row>
    <row r="196" spans="1:6" x14ac:dyDescent="0.3">
      <c r="A196" t="str">
        <f t="shared" si="7"/>
        <v>PL</v>
      </c>
      <c r="B196" t="s">
        <v>443</v>
      </c>
      <c r="C196" s="18">
        <v>5.9772506859999996</v>
      </c>
      <c r="D196" s="18">
        <v>6.0400802530000002</v>
      </c>
      <c r="E196" s="18">
        <v>5.5739210620000001</v>
      </c>
      <c r="F196" s="18">
        <v>5.5358957950000001</v>
      </c>
    </row>
    <row r="197" spans="1:6" x14ac:dyDescent="0.3">
      <c r="A197" t="str">
        <f t="shared" si="7"/>
        <v>PL</v>
      </c>
      <c r="B197" t="s">
        <v>444</v>
      </c>
      <c r="C197" s="18">
        <v>26.012125009999998</v>
      </c>
      <c r="D197" s="18">
        <v>27.54796193</v>
      </c>
      <c r="E197" s="18">
        <v>28.142071919999999</v>
      </c>
      <c r="F197" s="18">
        <v>29.302727560000001</v>
      </c>
    </row>
    <row r="198" spans="1:6" x14ac:dyDescent="0.3">
      <c r="A198" t="str">
        <f t="shared" si="7"/>
        <v>PL</v>
      </c>
      <c r="B198" t="s">
        <v>445</v>
      </c>
      <c r="C198" s="18">
        <v>2.6407551000000001E-2</v>
      </c>
      <c r="D198" s="18">
        <v>2.6676634000000001E-2</v>
      </c>
      <c r="E198" s="18">
        <v>1.9435524999999999E-2</v>
      </c>
      <c r="F198" s="18">
        <v>1.7490102E-2</v>
      </c>
    </row>
    <row r="199" spans="1:6" x14ac:dyDescent="0.3">
      <c r="A199" t="str">
        <f t="shared" si="7"/>
        <v>PL</v>
      </c>
      <c r="B199" t="s">
        <v>446</v>
      </c>
      <c r="C199" s="18">
        <v>2.39812E-4</v>
      </c>
      <c r="D199" s="18">
        <v>2.2842500000000001E-4</v>
      </c>
      <c r="E199" s="18">
        <v>2.2042000000000001E-4</v>
      </c>
      <c r="F199" s="18">
        <v>2.4158099999999999E-4</v>
      </c>
    </row>
    <row r="200" spans="1:6" x14ac:dyDescent="0.3">
      <c r="A200" t="str">
        <f t="shared" si="7"/>
        <v>PL</v>
      </c>
      <c r="B200" t="s">
        <v>447</v>
      </c>
      <c r="C200" s="18">
        <v>4.2200000000000003E-5</v>
      </c>
      <c r="D200" s="18">
        <v>2.8399999999999999E-5</v>
      </c>
      <c r="E200" s="18">
        <v>2.7699999999999999E-5</v>
      </c>
      <c r="F200" s="18">
        <v>5.52E-5</v>
      </c>
    </row>
    <row r="201" spans="1:6" x14ac:dyDescent="0.3">
      <c r="A201" t="str">
        <f t="shared" si="7"/>
        <v>PL</v>
      </c>
      <c r="B201" t="s">
        <v>448</v>
      </c>
      <c r="C201" s="4">
        <v>0</v>
      </c>
      <c r="D201" s="4">
        <v>0</v>
      </c>
      <c r="E201" s="4">
        <v>0</v>
      </c>
      <c r="F201" s="4">
        <v>0</v>
      </c>
    </row>
    <row r="202" spans="1:6" x14ac:dyDescent="0.3">
      <c r="A202" t="str">
        <f t="shared" si="7"/>
        <v>PL</v>
      </c>
      <c r="B202" t="s">
        <v>449</v>
      </c>
      <c r="C202" s="18">
        <v>6.1655399999999995E-4</v>
      </c>
      <c r="D202" s="18">
        <v>1.4548580000000001E-3</v>
      </c>
      <c r="E202" s="18">
        <v>2.8910770000000001E-3</v>
      </c>
      <c r="F202" s="18">
        <v>6.014007E-3</v>
      </c>
    </row>
    <row r="203" spans="1:6" x14ac:dyDescent="0.3">
      <c r="A203" t="str">
        <f t="shared" si="7"/>
        <v>PL</v>
      </c>
      <c r="B203" t="s">
        <v>450</v>
      </c>
      <c r="C203" s="4">
        <v>0</v>
      </c>
      <c r="D203" s="4">
        <v>0</v>
      </c>
      <c r="E203" s="4">
        <v>0</v>
      </c>
      <c r="F203" s="4">
        <v>0</v>
      </c>
    </row>
    <row r="204" spans="1:6" x14ac:dyDescent="0.3">
      <c r="A204" t="str">
        <f t="shared" si="7"/>
        <v>PT</v>
      </c>
      <c r="B204" t="s">
        <v>453</v>
      </c>
      <c r="C204" s="18">
        <v>8.4519362000000001E-2</v>
      </c>
      <c r="D204" s="18">
        <v>0.103074015</v>
      </c>
      <c r="E204" s="18">
        <v>6.4949936E-2</v>
      </c>
      <c r="F204" s="18">
        <v>6.9283263999999997E-2</v>
      </c>
    </row>
    <row r="205" spans="1:6" x14ac:dyDescent="0.3">
      <c r="A205" t="str">
        <f t="shared" si="7"/>
        <v>PT</v>
      </c>
      <c r="B205" t="s">
        <v>454</v>
      </c>
      <c r="C205" s="18">
        <v>12.76385672</v>
      </c>
      <c r="D205" s="18">
        <v>13.13703924</v>
      </c>
      <c r="E205" s="18">
        <v>11.173970000000001</v>
      </c>
      <c r="F205" s="18">
        <v>12.409303510000001</v>
      </c>
    </row>
    <row r="206" spans="1:6" x14ac:dyDescent="0.3">
      <c r="A206" t="str">
        <f t="shared" si="7"/>
        <v>PT</v>
      </c>
      <c r="B206" t="s">
        <v>455</v>
      </c>
      <c r="C206" s="18">
        <v>4.2932099999999998E-4</v>
      </c>
      <c r="D206" s="18">
        <v>6.7736399999999996E-4</v>
      </c>
      <c r="E206" s="18">
        <v>6.8369199999999996E-4</v>
      </c>
      <c r="F206" s="18">
        <v>1.0627080000000001E-3</v>
      </c>
    </row>
    <row r="207" spans="1:6" x14ac:dyDescent="0.3">
      <c r="A207" t="str">
        <f t="shared" si="7"/>
        <v>PT</v>
      </c>
      <c r="B207" t="s">
        <v>456</v>
      </c>
      <c r="C207" s="18">
        <v>6.81E-6</v>
      </c>
      <c r="D207" s="18">
        <v>6.1299999999999998E-6</v>
      </c>
      <c r="E207" s="18">
        <v>5.4299999999999997E-6</v>
      </c>
      <c r="F207" s="18">
        <v>5.3999999999999998E-5</v>
      </c>
    </row>
    <row r="208" spans="1:6" x14ac:dyDescent="0.3">
      <c r="A208" t="str">
        <f t="shared" si="7"/>
        <v>PT</v>
      </c>
      <c r="B208" t="s">
        <v>457</v>
      </c>
      <c r="C208" s="18">
        <v>0</v>
      </c>
      <c r="D208" s="18">
        <v>4.7700000000000001E-5</v>
      </c>
      <c r="E208" s="18">
        <v>1.2256100000000001E-4</v>
      </c>
      <c r="F208" s="18">
        <v>2.33446E-4</v>
      </c>
    </row>
    <row r="209" spans="1:6" x14ac:dyDescent="0.3">
      <c r="A209" t="str">
        <f t="shared" si="7"/>
        <v>PT</v>
      </c>
      <c r="B209" t="s">
        <v>458</v>
      </c>
      <c r="C209" s="4">
        <v>0</v>
      </c>
      <c r="D209" s="4">
        <v>0</v>
      </c>
      <c r="E209" s="4">
        <v>0</v>
      </c>
      <c r="F209" s="4">
        <v>0</v>
      </c>
    </row>
    <row r="210" spans="1:6" x14ac:dyDescent="0.3">
      <c r="A210" t="str">
        <f t="shared" si="7"/>
        <v>PT</v>
      </c>
      <c r="B210" t="s">
        <v>459</v>
      </c>
      <c r="C210" s="18">
        <v>7.6036400000000001E-3</v>
      </c>
      <c r="D210" s="18">
        <v>1.0005768E-2</v>
      </c>
      <c r="E210" s="18">
        <v>1.1648709E-2</v>
      </c>
      <c r="F210" s="18">
        <v>1.4700859E-2</v>
      </c>
    </row>
    <row r="211" spans="1:6" x14ac:dyDescent="0.3">
      <c r="A211" t="str">
        <f t="shared" si="7"/>
        <v>PT</v>
      </c>
      <c r="B211" t="s">
        <v>460</v>
      </c>
      <c r="C211" s="4">
        <v>0</v>
      </c>
      <c r="D211" s="4">
        <v>0</v>
      </c>
      <c r="E211" s="4">
        <v>0</v>
      </c>
      <c r="F211" s="4">
        <v>0</v>
      </c>
    </row>
    <row r="212" spans="1:6" x14ac:dyDescent="0.3">
      <c r="A212" t="str">
        <f t="shared" si="7"/>
        <v>RO</v>
      </c>
      <c r="B212" t="s">
        <v>463</v>
      </c>
      <c r="C212" s="18">
        <v>1.1075623489999999</v>
      </c>
      <c r="D212" s="18">
        <v>1.0647125550000001</v>
      </c>
      <c r="E212" s="18">
        <v>1.035176549</v>
      </c>
      <c r="F212" s="18">
        <v>1.021707543</v>
      </c>
    </row>
    <row r="213" spans="1:6" x14ac:dyDescent="0.3">
      <c r="A213" t="str">
        <f t="shared" si="7"/>
        <v>RO</v>
      </c>
      <c r="B213" t="s">
        <v>464</v>
      </c>
      <c r="C213" s="18">
        <v>9.1028749829999995</v>
      </c>
      <c r="D213" s="18">
        <v>9.7532290400000008</v>
      </c>
      <c r="E213" s="18">
        <v>10.347068220000001</v>
      </c>
      <c r="F213" s="18">
        <v>10.8871035</v>
      </c>
    </row>
    <row r="214" spans="1:6" x14ac:dyDescent="0.3">
      <c r="A214" t="str">
        <f t="shared" si="7"/>
        <v>RO</v>
      </c>
      <c r="B214" t="s">
        <v>465</v>
      </c>
      <c r="C214" s="18">
        <v>0</v>
      </c>
      <c r="D214" s="18">
        <v>0</v>
      </c>
      <c r="E214" s="18">
        <v>0</v>
      </c>
      <c r="F214" s="18">
        <v>0</v>
      </c>
    </row>
    <row r="215" spans="1:6" x14ac:dyDescent="0.3">
      <c r="A215" t="str">
        <f t="shared" si="7"/>
        <v>RO</v>
      </c>
      <c r="B215" t="s">
        <v>466</v>
      </c>
      <c r="C215" s="18">
        <v>2.8900000000000001E-5</v>
      </c>
      <c r="D215" s="18">
        <v>2.8500000000000002E-5</v>
      </c>
      <c r="E215" s="18">
        <v>4.6900000000000002E-5</v>
      </c>
      <c r="F215" s="18">
        <v>1.0393E-4</v>
      </c>
    </row>
    <row r="216" spans="1:6" x14ac:dyDescent="0.3">
      <c r="A216" t="str">
        <f t="shared" si="7"/>
        <v>RO</v>
      </c>
      <c r="B216" t="s">
        <v>467</v>
      </c>
      <c r="C216" s="18">
        <v>0</v>
      </c>
      <c r="D216" s="18">
        <v>9.9699999999999998E-5</v>
      </c>
      <c r="E216" s="18">
        <v>5.2551099999999999E-4</v>
      </c>
      <c r="F216" s="18">
        <v>1.2462129999999999E-3</v>
      </c>
    </row>
    <row r="217" spans="1:6" x14ac:dyDescent="0.3">
      <c r="A217" t="str">
        <f t="shared" si="7"/>
        <v>RO</v>
      </c>
      <c r="B217" t="s">
        <v>468</v>
      </c>
      <c r="C217" s="4">
        <v>0</v>
      </c>
      <c r="D217" s="4">
        <v>0</v>
      </c>
      <c r="E217" s="4">
        <v>0</v>
      </c>
      <c r="F217" s="4">
        <v>0</v>
      </c>
    </row>
    <row r="218" spans="1:6" x14ac:dyDescent="0.3">
      <c r="A218" t="str">
        <f t="shared" si="7"/>
        <v>RO</v>
      </c>
      <c r="B218" t="s">
        <v>469</v>
      </c>
      <c r="C218" s="18">
        <v>6.3070699999999999E-4</v>
      </c>
      <c r="D218" s="18">
        <v>1.149988E-3</v>
      </c>
      <c r="E218" s="18">
        <v>1.962503E-3</v>
      </c>
      <c r="F218" s="18">
        <v>2.7907729999999999E-3</v>
      </c>
    </row>
    <row r="219" spans="1:6" x14ac:dyDescent="0.3">
      <c r="A219" t="str">
        <f t="shared" si="7"/>
        <v>RO</v>
      </c>
      <c r="B219" t="s">
        <v>470</v>
      </c>
      <c r="C219" s="4">
        <v>0</v>
      </c>
      <c r="D219" s="4">
        <v>0</v>
      </c>
      <c r="E219" s="4">
        <v>0</v>
      </c>
      <c r="F219" s="4">
        <v>0</v>
      </c>
    </row>
    <row r="220" spans="1:6" x14ac:dyDescent="0.3">
      <c r="A220" t="str">
        <f t="shared" si="7"/>
        <v>SI</v>
      </c>
      <c r="B220" t="s">
        <v>473</v>
      </c>
      <c r="C220" s="18">
        <v>5.6370996999999999E-2</v>
      </c>
      <c r="D220" s="18">
        <v>5.7726821999999997E-2</v>
      </c>
      <c r="E220" s="18">
        <v>5.7057958999999998E-2</v>
      </c>
      <c r="F220" s="18">
        <v>5.7015217999999999E-2</v>
      </c>
    </row>
    <row r="221" spans="1:6" x14ac:dyDescent="0.3">
      <c r="A221" t="str">
        <f t="shared" si="7"/>
        <v>SI</v>
      </c>
      <c r="B221" t="s">
        <v>474</v>
      </c>
      <c r="C221" s="18">
        <v>1.2486866860000001</v>
      </c>
      <c r="D221" s="18">
        <v>1.337368857</v>
      </c>
      <c r="E221" s="18">
        <v>1.3955724220000001</v>
      </c>
      <c r="F221" s="18">
        <v>1.4035565059999999</v>
      </c>
    </row>
    <row r="222" spans="1:6" x14ac:dyDescent="0.3">
      <c r="A222" t="str">
        <f t="shared" si="7"/>
        <v>SI</v>
      </c>
      <c r="B222" t="s">
        <v>475</v>
      </c>
      <c r="C222" s="18">
        <v>9.1508500000000005E-4</v>
      </c>
      <c r="D222" s="18">
        <v>1.240667E-3</v>
      </c>
      <c r="E222" s="18">
        <v>1.243079E-3</v>
      </c>
      <c r="F222" s="18">
        <v>1.2433920000000001E-3</v>
      </c>
    </row>
    <row r="223" spans="1:6" x14ac:dyDescent="0.3">
      <c r="A223" t="str">
        <f t="shared" si="7"/>
        <v>SI</v>
      </c>
      <c r="B223" t="s">
        <v>476</v>
      </c>
      <c r="C223" s="18">
        <v>0</v>
      </c>
      <c r="D223" s="18">
        <v>0</v>
      </c>
      <c r="E223" s="18">
        <v>0</v>
      </c>
      <c r="F223" s="18">
        <v>0</v>
      </c>
    </row>
    <row r="224" spans="1:6" x14ac:dyDescent="0.3">
      <c r="A224" t="str">
        <f t="shared" si="7"/>
        <v>SI</v>
      </c>
      <c r="B224" t="s">
        <v>477</v>
      </c>
      <c r="C224" s="18">
        <v>0</v>
      </c>
      <c r="D224" s="18">
        <v>0</v>
      </c>
      <c r="E224" s="18">
        <v>0</v>
      </c>
      <c r="F224" s="18">
        <v>0</v>
      </c>
    </row>
    <row r="225" spans="1:6" x14ac:dyDescent="0.3">
      <c r="A225" t="str">
        <f t="shared" si="7"/>
        <v>SI</v>
      </c>
      <c r="B225" t="s">
        <v>478</v>
      </c>
      <c r="C225" s="4">
        <v>0</v>
      </c>
      <c r="D225" s="4">
        <v>0</v>
      </c>
      <c r="E225" s="4">
        <v>0</v>
      </c>
      <c r="F225" s="4">
        <v>0</v>
      </c>
    </row>
    <row r="226" spans="1:6" x14ac:dyDescent="0.3">
      <c r="A226" t="str">
        <f t="shared" si="7"/>
        <v>SI</v>
      </c>
      <c r="B226" t="s">
        <v>479</v>
      </c>
      <c r="C226" s="18">
        <v>2.1374580000000001E-3</v>
      </c>
      <c r="D226" s="18">
        <v>2.6120409999999998E-3</v>
      </c>
      <c r="E226" s="18">
        <v>2.8929730000000001E-3</v>
      </c>
      <c r="F226" s="18">
        <v>3.640646E-3</v>
      </c>
    </row>
    <row r="227" spans="1:6" x14ac:dyDescent="0.3">
      <c r="A227" t="str">
        <f t="shared" si="7"/>
        <v>SI</v>
      </c>
      <c r="B227" t="s">
        <v>480</v>
      </c>
      <c r="C227" s="4">
        <v>0</v>
      </c>
      <c r="D227" s="4">
        <v>0</v>
      </c>
      <c r="E227" s="4">
        <v>0</v>
      </c>
      <c r="F227" s="4">
        <v>0</v>
      </c>
    </row>
    <row r="228" spans="1:6" x14ac:dyDescent="0.3">
      <c r="A228" t="str">
        <f t="shared" si="7"/>
        <v>SK</v>
      </c>
      <c r="B228" t="s">
        <v>483</v>
      </c>
      <c r="C228" s="18">
        <v>0.79956680999999996</v>
      </c>
      <c r="D228" s="18">
        <v>0.69263495200000003</v>
      </c>
      <c r="E228" s="18">
        <v>0.69477534100000005</v>
      </c>
      <c r="F228" s="18">
        <v>0.69542996400000001</v>
      </c>
    </row>
    <row r="229" spans="1:6" x14ac:dyDescent="0.3">
      <c r="A229" t="str">
        <f t="shared" ref="A229:A251" si="8">LEFT(B229,2)</f>
        <v>SK</v>
      </c>
      <c r="B229" t="s">
        <v>484</v>
      </c>
      <c r="C229" s="18">
        <v>1.787532098</v>
      </c>
      <c r="D229" s="18">
        <v>1.8863979399999999</v>
      </c>
      <c r="E229" s="18">
        <v>1.9262764670000001</v>
      </c>
      <c r="F229" s="18">
        <v>1.9669576289999999</v>
      </c>
    </row>
    <row r="230" spans="1:6" x14ac:dyDescent="0.3">
      <c r="A230" t="str">
        <f t="shared" si="8"/>
        <v>SK</v>
      </c>
      <c r="B230" t="s">
        <v>485</v>
      </c>
      <c r="C230" s="18">
        <v>4.3919759999999997E-3</v>
      </c>
      <c r="D230" s="18">
        <v>5.260514E-3</v>
      </c>
      <c r="E230" s="18">
        <v>7.894089E-3</v>
      </c>
      <c r="F230" s="18">
        <v>7.8972539999999994E-3</v>
      </c>
    </row>
    <row r="231" spans="1:6" x14ac:dyDescent="0.3">
      <c r="A231" t="str">
        <f t="shared" si="8"/>
        <v>SK</v>
      </c>
      <c r="B231" t="s">
        <v>486</v>
      </c>
      <c r="C231" s="18">
        <v>0</v>
      </c>
      <c r="D231" s="18">
        <v>0</v>
      </c>
      <c r="E231" s="18">
        <v>0</v>
      </c>
      <c r="F231" s="18">
        <v>0</v>
      </c>
    </row>
    <row r="232" spans="1:6" x14ac:dyDescent="0.3">
      <c r="A232" t="str">
        <f t="shared" si="8"/>
        <v>SK</v>
      </c>
      <c r="B232" t="s">
        <v>487</v>
      </c>
      <c r="C232" s="18">
        <v>0</v>
      </c>
      <c r="D232" s="18">
        <v>0</v>
      </c>
      <c r="E232" s="18">
        <v>0</v>
      </c>
      <c r="F232" s="18">
        <v>0</v>
      </c>
    </row>
    <row r="233" spans="1:6" x14ac:dyDescent="0.3">
      <c r="A233" t="str">
        <f t="shared" si="8"/>
        <v>SK</v>
      </c>
      <c r="B233" t="s">
        <v>488</v>
      </c>
      <c r="C233" s="4">
        <v>0</v>
      </c>
      <c r="D233" s="4">
        <v>0</v>
      </c>
      <c r="E233" s="4">
        <v>0</v>
      </c>
      <c r="F233" s="4">
        <v>0</v>
      </c>
    </row>
    <row r="234" spans="1:6" x14ac:dyDescent="0.3">
      <c r="A234" t="str">
        <f t="shared" si="8"/>
        <v>SK</v>
      </c>
      <c r="B234" t="s">
        <v>489</v>
      </c>
      <c r="C234" s="18">
        <v>9.1826699999999995E-4</v>
      </c>
      <c r="D234" s="18">
        <v>9.7518599999999996E-4</v>
      </c>
      <c r="E234" s="18">
        <v>1.184278E-3</v>
      </c>
      <c r="F234" s="18">
        <v>1.6962800000000001E-3</v>
      </c>
    </row>
    <row r="235" spans="1:6" x14ac:dyDescent="0.3">
      <c r="A235" t="str">
        <f t="shared" si="8"/>
        <v>SK</v>
      </c>
      <c r="B235" t="s">
        <v>490</v>
      </c>
      <c r="C235" s="4">
        <v>0</v>
      </c>
      <c r="D235" s="4">
        <v>0</v>
      </c>
      <c r="E235" s="4">
        <v>0</v>
      </c>
      <c r="F235" s="4">
        <v>0</v>
      </c>
    </row>
    <row r="236" spans="1:6" x14ac:dyDescent="0.3">
      <c r="A236" t="str">
        <f t="shared" si="8"/>
        <v>FI</v>
      </c>
      <c r="B236" t="s">
        <v>493</v>
      </c>
      <c r="C236" s="18">
        <v>0.236484044</v>
      </c>
      <c r="D236" s="18">
        <v>0.23456143600000001</v>
      </c>
      <c r="E236" s="18">
        <v>0.22987603000000001</v>
      </c>
      <c r="F236" s="18">
        <v>0.235360446</v>
      </c>
    </row>
    <row r="237" spans="1:6" x14ac:dyDescent="0.3">
      <c r="A237" t="str">
        <f t="shared" si="8"/>
        <v>FI</v>
      </c>
      <c r="B237" t="s">
        <v>494</v>
      </c>
      <c r="C237" s="18">
        <v>6.691276362</v>
      </c>
      <c r="D237" s="18">
        <v>6.891122556</v>
      </c>
      <c r="E237" s="18">
        <v>6.8953952230000004</v>
      </c>
      <c r="F237" s="18">
        <v>7.2032115360000004</v>
      </c>
    </row>
    <row r="238" spans="1:6" x14ac:dyDescent="0.3">
      <c r="A238" t="str">
        <f t="shared" si="8"/>
        <v>FI</v>
      </c>
      <c r="B238" t="s">
        <v>495</v>
      </c>
      <c r="C238" s="18">
        <v>5.7424490000000002E-3</v>
      </c>
      <c r="D238" s="18">
        <v>7.7055300000000004E-3</v>
      </c>
      <c r="E238" s="18">
        <v>9.3083990000000002E-3</v>
      </c>
      <c r="F238" s="18">
        <v>9.8624920000000005E-3</v>
      </c>
    </row>
    <row r="239" spans="1:6" x14ac:dyDescent="0.3">
      <c r="A239" t="str">
        <f t="shared" si="8"/>
        <v>FI</v>
      </c>
      <c r="B239" t="s">
        <v>496</v>
      </c>
      <c r="C239" s="18">
        <v>1.6972100000000001E-4</v>
      </c>
      <c r="D239" s="18">
        <v>8.4234299999999995E-4</v>
      </c>
      <c r="E239" s="18">
        <v>7.2231300000000003E-4</v>
      </c>
      <c r="F239" s="18">
        <v>1.1395050000000001E-3</v>
      </c>
    </row>
    <row r="240" spans="1:6" x14ac:dyDescent="0.3">
      <c r="A240" t="str">
        <f t="shared" si="8"/>
        <v>FI</v>
      </c>
      <c r="B240" t="s">
        <v>497</v>
      </c>
      <c r="C240" s="18">
        <v>1.5117200000000001E-4</v>
      </c>
      <c r="D240" s="18">
        <v>3.4512900000000001E-4</v>
      </c>
      <c r="E240" s="18">
        <v>3.78363E-4</v>
      </c>
      <c r="F240" s="18">
        <v>8.1587700000000001E-4</v>
      </c>
    </row>
    <row r="241" spans="1:6" x14ac:dyDescent="0.3">
      <c r="A241" t="str">
        <f t="shared" si="8"/>
        <v>FI</v>
      </c>
      <c r="B241" t="s">
        <v>498</v>
      </c>
      <c r="C241" s="4">
        <v>0</v>
      </c>
      <c r="D241" s="4">
        <v>0</v>
      </c>
      <c r="E241" s="4">
        <v>0</v>
      </c>
      <c r="F241" s="4">
        <v>0</v>
      </c>
    </row>
    <row r="242" spans="1:6" x14ac:dyDescent="0.3">
      <c r="A242" t="str">
        <f t="shared" si="8"/>
        <v>FI</v>
      </c>
      <c r="B242" t="s">
        <v>499</v>
      </c>
      <c r="C242" s="18">
        <v>3.1160340000000002E-3</v>
      </c>
      <c r="D242" s="18">
        <v>3.6670969999999998E-3</v>
      </c>
      <c r="E242" s="18">
        <v>3.9874100000000003E-3</v>
      </c>
      <c r="F242" s="18">
        <v>7.3205700000000002E-3</v>
      </c>
    </row>
    <row r="243" spans="1:6" x14ac:dyDescent="0.3">
      <c r="A243" t="str">
        <f t="shared" si="8"/>
        <v>FI</v>
      </c>
      <c r="B243" t="s">
        <v>500</v>
      </c>
      <c r="C243" s="4">
        <v>0</v>
      </c>
      <c r="D243" s="4">
        <v>0</v>
      </c>
      <c r="E243" s="4">
        <v>0</v>
      </c>
      <c r="F243" s="4">
        <v>0</v>
      </c>
    </row>
    <row r="244" spans="1:6" x14ac:dyDescent="0.3">
      <c r="A244" t="str">
        <f t="shared" si="8"/>
        <v>SE</v>
      </c>
      <c r="B244" t="s">
        <v>503</v>
      </c>
      <c r="C244" s="18">
        <v>0.24425170299999999</v>
      </c>
      <c r="D244" s="18">
        <v>0.245249153</v>
      </c>
      <c r="E244" s="18">
        <v>0.25112252400000001</v>
      </c>
      <c r="F244" s="18">
        <v>0.27011216700000001</v>
      </c>
    </row>
    <row r="245" spans="1:6" x14ac:dyDescent="0.3">
      <c r="A245" t="str">
        <f t="shared" si="8"/>
        <v>SE</v>
      </c>
      <c r="B245" t="s">
        <v>504</v>
      </c>
      <c r="C245" s="18">
        <v>7.004383786</v>
      </c>
      <c r="D245" s="18">
        <v>7.1077103660000001</v>
      </c>
      <c r="E245" s="18">
        <v>7.1702318810000003</v>
      </c>
      <c r="F245" s="18">
        <v>7.3065977750000002</v>
      </c>
    </row>
    <row r="246" spans="1:6" x14ac:dyDescent="0.3">
      <c r="A246" t="str">
        <f t="shared" si="8"/>
        <v>SE</v>
      </c>
      <c r="B246" t="s">
        <v>505</v>
      </c>
      <c r="C246" s="18">
        <v>7.6245865999999995E-2</v>
      </c>
      <c r="D246" s="18">
        <v>7.8569483999999995E-2</v>
      </c>
      <c r="E246" s="18">
        <v>7.9760787999999999E-2</v>
      </c>
      <c r="F246" s="18">
        <v>8.0257838999999997E-2</v>
      </c>
    </row>
    <row r="247" spans="1:6" x14ac:dyDescent="0.3">
      <c r="A247" t="str">
        <f t="shared" si="8"/>
        <v>SE</v>
      </c>
      <c r="B247" t="s">
        <v>506</v>
      </c>
      <c r="C247" s="18">
        <v>3.1430599999999998E-4</v>
      </c>
      <c r="D247" s="18">
        <v>2.7894900000000002E-4</v>
      </c>
      <c r="E247" s="18">
        <v>7.5007399999999999E-4</v>
      </c>
      <c r="F247" s="18">
        <v>1.2677089999999999E-3</v>
      </c>
    </row>
    <row r="248" spans="1:6" x14ac:dyDescent="0.3">
      <c r="A248" t="str">
        <f t="shared" si="8"/>
        <v>SE</v>
      </c>
      <c r="B248" t="s">
        <v>507</v>
      </c>
      <c r="C248" s="18">
        <v>0</v>
      </c>
      <c r="D248" s="18">
        <v>0</v>
      </c>
      <c r="E248" s="18">
        <v>0</v>
      </c>
      <c r="F248" s="18">
        <v>0</v>
      </c>
    </row>
    <row r="249" spans="1:6" x14ac:dyDescent="0.3">
      <c r="A249" t="str">
        <f t="shared" si="8"/>
        <v>SE</v>
      </c>
      <c r="B249" t="s">
        <v>508</v>
      </c>
      <c r="C249" s="4">
        <v>0</v>
      </c>
      <c r="D249" s="4">
        <v>0</v>
      </c>
      <c r="E249" s="4">
        <v>0</v>
      </c>
      <c r="F249" s="4">
        <v>0</v>
      </c>
    </row>
    <row r="250" spans="1:6" x14ac:dyDescent="0.3">
      <c r="A250" t="str">
        <f t="shared" si="8"/>
        <v>SE</v>
      </c>
      <c r="B250" t="s">
        <v>509</v>
      </c>
      <c r="C250" s="18">
        <v>2.0217424000000001E-2</v>
      </c>
      <c r="D250" s="18">
        <v>2.9968476000000001E-2</v>
      </c>
      <c r="E250" s="18">
        <v>4.4484534999999999E-2</v>
      </c>
      <c r="F250" s="18">
        <v>6.5134934000000005E-2</v>
      </c>
    </row>
    <row r="251" spans="1:6" x14ac:dyDescent="0.3">
      <c r="A251" t="str">
        <f t="shared" si="8"/>
        <v>SE</v>
      </c>
      <c r="B251" t="s">
        <v>510</v>
      </c>
      <c r="C251" s="4">
        <v>0</v>
      </c>
      <c r="D251" s="4">
        <v>0</v>
      </c>
      <c r="E251" s="4">
        <v>0</v>
      </c>
      <c r="F251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2508-10F8-42D2-B9BF-95F01EA26AF6}">
  <dimension ref="A1:AL29"/>
  <sheetViews>
    <sheetView workbookViewId="0"/>
  </sheetViews>
  <sheetFormatPr defaultRowHeight="14.4" x14ac:dyDescent="0.3"/>
  <cols>
    <col min="3" max="3" width="28.109375" bestFit="1" customWidth="1"/>
    <col min="4" max="4" width="21.44140625" bestFit="1" customWidth="1"/>
    <col min="5" max="5" width="31.5546875" bestFit="1" customWidth="1"/>
  </cols>
  <sheetData>
    <row r="1" spans="1:38" x14ac:dyDescent="0.3">
      <c r="A1" t="s">
        <v>815</v>
      </c>
    </row>
    <row r="2" spans="1:38" x14ac:dyDescent="0.3">
      <c r="A2" t="s">
        <v>1</v>
      </c>
      <c r="B2" s="25" t="s">
        <v>118</v>
      </c>
      <c r="C2" s="26"/>
      <c r="D2" s="26"/>
      <c r="E2" s="26"/>
      <c r="F2" s="27">
        <v>2020</v>
      </c>
      <c r="G2" s="27">
        <v>2021</v>
      </c>
      <c r="H2" s="27">
        <v>2022</v>
      </c>
      <c r="I2" s="27">
        <v>2023</v>
      </c>
      <c r="J2" s="27">
        <v>2024</v>
      </c>
      <c r="K2" s="27">
        <v>2025</v>
      </c>
      <c r="L2" s="27">
        <v>2026</v>
      </c>
      <c r="M2" s="27">
        <v>2027</v>
      </c>
      <c r="N2" s="27">
        <v>2028</v>
      </c>
      <c r="O2" s="27">
        <v>2029</v>
      </c>
      <c r="P2" s="27">
        <v>2030</v>
      </c>
      <c r="Q2" s="27">
        <v>2031</v>
      </c>
      <c r="R2" s="27">
        <v>2032</v>
      </c>
      <c r="S2" s="27">
        <v>2033</v>
      </c>
      <c r="T2" s="27">
        <v>2034</v>
      </c>
      <c r="U2" s="27">
        <v>2035</v>
      </c>
      <c r="V2" s="27">
        <v>2036</v>
      </c>
      <c r="W2" s="27">
        <v>2037</v>
      </c>
      <c r="X2" s="27">
        <v>2038</v>
      </c>
      <c r="Y2" s="27">
        <v>2039</v>
      </c>
      <c r="Z2" s="27">
        <v>2040</v>
      </c>
      <c r="AA2" s="27">
        <v>2041</v>
      </c>
      <c r="AB2" s="27">
        <v>2042</v>
      </c>
      <c r="AC2" s="27">
        <v>2043</v>
      </c>
      <c r="AD2" s="27">
        <v>2044</v>
      </c>
      <c r="AE2" s="27">
        <v>2045</v>
      </c>
      <c r="AF2" s="27">
        <v>2046</v>
      </c>
      <c r="AG2" s="27">
        <v>2047</v>
      </c>
      <c r="AH2" s="27">
        <v>2048</v>
      </c>
      <c r="AI2" s="27">
        <v>2049</v>
      </c>
      <c r="AJ2" s="27">
        <v>2050</v>
      </c>
      <c r="AK2" s="27" t="s">
        <v>119</v>
      </c>
      <c r="AL2" s="27" t="s">
        <v>120</v>
      </c>
    </row>
    <row r="3" spans="1:38" x14ac:dyDescent="0.3">
      <c r="A3" t="str">
        <f>VLOOKUP(B3,'Country codes'!$A$1:$B$28,2,FALSE)</f>
        <v>AT</v>
      </c>
      <c r="B3" s="23" t="s">
        <v>90</v>
      </c>
      <c r="C3" s="24" t="s">
        <v>121</v>
      </c>
      <c r="D3" s="28" t="s">
        <v>125</v>
      </c>
      <c r="E3" s="29" t="s">
        <v>240</v>
      </c>
      <c r="F3" s="30">
        <v>45.799190021798218</v>
      </c>
      <c r="G3" s="30">
        <f>F3+(($K3-$F3)/5)</f>
        <v>47.792399378221468</v>
      </c>
      <c r="H3" s="30">
        <f t="shared" ref="H3:J3" si="0">G3+(($K3-$F3)/5)</f>
        <v>49.785608734644718</v>
      </c>
      <c r="I3" s="30">
        <f t="shared" si="0"/>
        <v>51.778818091067969</v>
      </c>
      <c r="J3" s="30">
        <f t="shared" si="0"/>
        <v>53.772027447491219</v>
      </c>
      <c r="K3" s="30">
        <v>55.765236803914455</v>
      </c>
      <c r="L3" s="30">
        <f>K3+(($P3-$K3)/5)</f>
        <v>57.135307793844881</v>
      </c>
      <c r="M3" s="30">
        <f t="shared" ref="M3:O3" si="1">L3+(($P3-$K3)/5)</f>
        <v>58.505378783775306</v>
      </c>
      <c r="N3" s="30">
        <f t="shared" si="1"/>
        <v>59.875449773705732</v>
      </c>
      <c r="O3" s="30">
        <f t="shared" si="1"/>
        <v>61.245520763636158</v>
      </c>
      <c r="P3" s="30">
        <v>62.615591753566576</v>
      </c>
      <c r="Q3" s="30">
        <f>P3+(($U3-$P3)/5)</f>
        <v>63.474944768134243</v>
      </c>
      <c r="R3" s="30">
        <f t="shared" ref="R3:T3" si="2">Q3+(($U3-$P3)/5)</f>
        <v>64.33429778270191</v>
      </c>
      <c r="S3" s="30">
        <f t="shared" si="2"/>
        <v>65.193650797269584</v>
      </c>
      <c r="T3" s="30">
        <f t="shared" si="2"/>
        <v>66.053003811837257</v>
      </c>
      <c r="U3" s="30">
        <v>66.912356826404917</v>
      </c>
      <c r="V3" s="30">
        <f>U3+(($Z3-$U3)/5)</f>
        <v>67.684324766982087</v>
      </c>
      <c r="W3" s="30">
        <f t="shared" ref="W3:Y3" si="3">V3+(($Z3-$U3)/5)</f>
        <v>68.456292707559257</v>
      </c>
      <c r="X3" s="30">
        <f t="shared" si="3"/>
        <v>69.228260648136427</v>
      </c>
      <c r="Y3" s="30">
        <f t="shared" si="3"/>
        <v>70.000228588713597</v>
      </c>
      <c r="Z3" s="30">
        <v>70.772196529290753</v>
      </c>
      <c r="AA3" s="30">
        <f>Z3+(($AE3-$Z3)/5)</f>
        <v>71.312958117599877</v>
      </c>
      <c r="AB3" s="30">
        <f t="shared" ref="AB3:AD3" si="4">AA3+(($AE3-$Z3)/5)</f>
        <v>71.853719705909</v>
      </c>
      <c r="AC3" s="30">
        <f t="shared" si="4"/>
        <v>72.394481294218124</v>
      </c>
      <c r="AD3" s="30">
        <f t="shared" si="4"/>
        <v>72.935242882527248</v>
      </c>
      <c r="AE3" s="30">
        <v>73.476004470836344</v>
      </c>
      <c r="AF3" s="30">
        <f>AE3+(($AJ3-$AE3)/5)</f>
        <v>73.751656549354294</v>
      </c>
      <c r="AG3" s="30">
        <f t="shared" ref="AG3:AI3" si="5">AF3+(($AJ3-$AE3)/5)</f>
        <v>74.027308627872245</v>
      </c>
      <c r="AH3" s="30">
        <f t="shared" si="5"/>
        <v>74.302960706390195</v>
      </c>
      <c r="AI3" s="30">
        <f t="shared" si="5"/>
        <v>74.578612784908145</v>
      </c>
      <c r="AJ3" s="30">
        <v>74.854264863426081</v>
      </c>
      <c r="AK3" s="31">
        <v>3.1768985848378062</v>
      </c>
      <c r="AL3" s="31">
        <v>0.89663980331666782</v>
      </c>
    </row>
    <row r="4" spans="1:38" x14ac:dyDescent="0.3">
      <c r="A4" t="str">
        <f>VLOOKUP(B4,'Country codes'!$A$1:$B$28,2,FALSE)</f>
        <v>BE</v>
      </c>
      <c r="B4" s="23" t="s">
        <v>91</v>
      </c>
      <c r="C4" s="24" t="s">
        <v>121</v>
      </c>
      <c r="D4" s="28" t="s">
        <v>125</v>
      </c>
      <c r="E4" s="29" t="s">
        <v>240</v>
      </c>
      <c r="F4" s="30">
        <v>52.095417647826416</v>
      </c>
      <c r="G4" s="30">
        <f t="shared" ref="G4:J4" si="6">F4+(($K4-$F4)/5)</f>
        <v>53.340943777280941</v>
      </c>
      <c r="H4" s="30">
        <f t="shared" si="6"/>
        <v>54.586469906735466</v>
      </c>
      <c r="I4" s="30">
        <f t="shared" si="6"/>
        <v>55.831996036189992</v>
      </c>
      <c r="J4" s="30">
        <f t="shared" si="6"/>
        <v>57.077522165644517</v>
      </c>
      <c r="K4" s="30">
        <v>58.323048295099028</v>
      </c>
      <c r="L4" s="30">
        <f t="shared" ref="L4:O4" si="7">K4+(($P4-$K4)/5)</f>
        <v>58.548811647828686</v>
      </c>
      <c r="M4" s="30">
        <f t="shared" si="7"/>
        <v>58.774575000558343</v>
      </c>
      <c r="N4" s="30">
        <f t="shared" si="7"/>
        <v>59.000338353288001</v>
      </c>
      <c r="O4" s="30">
        <f t="shared" si="7"/>
        <v>59.226101706017658</v>
      </c>
      <c r="P4" s="30">
        <v>59.451865058747309</v>
      </c>
      <c r="Q4" s="30">
        <f t="shared" ref="Q4:T4" si="8">P4+(($U4-$P4)/5)</f>
        <v>59.599975141964649</v>
      </c>
      <c r="R4" s="30">
        <f t="shared" si="8"/>
        <v>59.748085225181988</v>
      </c>
      <c r="S4" s="30">
        <f t="shared" si="8"/>
        <v>59.896195308399328</v>
      </c>
      <c r="T4" s="30">
        <f t="shared" si="8"/>
        <v>60.044305391616668</v>
      </c>
      <c r="U4" s="30">
        <v>60.192415474834007</v>
      </c>
      <c r="V4" s="30">
        <f t="shared" ref="V4:Y4" si="9">U4+(($Z4-$U4)/5)</f>
        <v>60.427683737436595</v>
      </c>
      <c r="W4" s="30">
        <f t="shared" si="9"/>
        <v>60.662952000039184</v>
      </c>
      <c r="X4" s="30">
        <f t="shared" si="9"/>
        <v>60.898220262641772</v>
      </c>
      <c r="Y4" s="30">
        <f t="shared" si="9"/>
        <v>61.13348852524436</v>
      </c>
      <c r="Z4" s="30">
        <v>61.368756787846955</v>
      </c>
      <c r="AA4" s="30">
        <f t="shared" ref="AA4:AD4" si="10">Z4+(($AE4-$Z4)/5)</f>
        <v>61.649269546296367</v>
      </c>
      <c r="AB4" s="30">
        <f t="shared" si="10"/>
        <v>61.929782304745778</v>
      </c>
      <c r="AC4" s="30">
        <f t="shared" si="10"/>
        <v>62.21029506319519</v>
      </c>
      <c r="AD4" s="30">
        <f t="shared" si="10"/>
        <v>62.490807821644601</v>
      </c>
      <c r="AE4" s="30">
        <v>62.77132058009402</v>
      </c>
      <c r="AF4" s="30">
        <f t="shared" ref="AF4:AI4" si="11">AE4+(($AJ4-$AE4)/5)</f>
        <v>63.02142900286205</v>
      </c>
      <c r="AG4" s="30">
        <f t="shared" si="11"/>
        <v>63.271537425630079</v>
      </c>
      <c r="AH4" s="30">
        <f t="shared" si="11"/>
        <v>63.521645848398109</v>
      </c>
      <c r="AI4" s="30">
        <f t="shared" si="11"/>
        <v>63.771754271166138</v>
      </c>
      <c r="AJ4" s="30">
        <v>64.021862693934182</v>
      </c>
      <c r="AK4" s="31">
        <v>1.3296624494277598</v>
      </c>
      <c r="AL4" s="31">
        <v>0.3709745890691396</v>
      </c>
    </row>
    <row r="5" spans="1:38" x14ac:dyDescent="0.3">
      <c r="A5" t="str">
        <f>VLOOKUP(B5,'Country codes'!$A$1:$B$28,2,FALSE)</f>
        <v>BG</v>
      </c>
      <c r="B5" s="23" t="s">
        <v>92</v>
      </c>
      <c r="C5" s="24" t="s">
        <v>121</v>
      </c>
      <c r="D5" s="28" t="s">
        <v>125</v>
      </c>
      <c r="E5" s="29" t="s">
        <v>240</v>
      </c>
      <c r="F5" s="30">
        <v>12.036112757705528</v>
      </c>
      <c r="G5" s="30">
        <f t="shared" ref="G5:J5" si="12">F5+(($K5-$F5)/5)</f>
        <v>12.257716776741734</v>
      </c>
      <c r="H5" s="30">
        <f t="shared" si="12"/>
        <v>12.479320795777941</v>
      </c>
      <c r="I5" s="30">
        <f t="shared" si="12"/>
        <v>12.700924814814147</v>
      </c>
      <c r="J5" s="30">
        <f t="shared" si="12"/>
        <v>12.922528833850354</v>
      </c>
      <c r="K5" s="30">
        <v>13.144132852886557</v>
      </c>
      <c r="L5" s="30">
        <f t="shared" ref="L5:O5" si="13">K5+(($P5-$K5)/5)</f>
        <v>13.552881523437408</v>
      </c>
      <c r="M5" s="30">
        <f t="shared" si="13"/>
        <v>13.96163019398826</v>
      </c>
      <c r="N5" s="30">
        <f t="shared" si="13"/>
        <v>14.370378864539111</v>
      </c>
      <c r="O5" s="30">
        <f t="shared" si="13"/>
        <v>14.779127535089962</v>
      </c>
      <c r="P5" s="30">
        <v>15.187876205640817</v>
      </c>
      <c r="Q5" s="30">
        <f t="shared" ref="Q5:T5" si="14">P5+(($U5-$P5)/5)</f>
        <v>15.22091486070773</v>
      </c>
      <c r="R5" s="30">
        <f t="shared" si="14"/>
        <v>15.253953515774642</v>
      </c>
      <c r="S5" s="30">
        <f t="shared" si="14"/>
        <v>15.286992170841554</v>
      </c>
      <c r="T5" s="30">
        <f t="shared" si="14"/>
        <v>15.320030825908466</v>
      </c>
      <c r="U5" s="30">
        <v>15.353069480975382</v>
      </c>
      <c r="V5" s="30">
        <f t="shared" ref="V5:Y5" si="15">U5+(($Z5-$U5)/5)</f>
        <v>15.510458263962366</v>
      </c>
      <c r="W5" s="30">
        <f t="shared" si="15"/>
        <v>15.667847046949351</v>
      </c>
      <c r="X5" s="30">
        <f t="shared" si="15"/>
        <v>15.825235829936336</v>
      </c>
      <c r="Y5" s="30">
        <f t="shared" si="15"/>
        <v>15.98262461292332</v>
      </c>
      <c r="Z5" s="30">
        <v>16.140013395910309</v>
      </c>
      <c r="AA5" s="30">
        <f t="shared" ref="AA5:AD5" si="16">Z5+(($AE5-$Z5)/5)</f>
        <v>16.228994822428131</v>
      </c>
      <c r="AB5" s="30">
        <f t="shared" si="16"/>
        <v>16.317976248945953</v>
      </c>
      <c r="AC5" s="30">
        <f t="shared" si="16"/>
        <v>16.406957675463776</v>
      </c>
      <c r="AD5" s="30">
        <f t="shared" si="16"/>
        <v>16.495939101981598</v>
      </c>
      <c r="AE5" s="30">
        <v>16.584920528499428</v>
      </c>
      <c r="AF5" s="30">
        <f t="shared" ref="AF5:AI5" si="17">AE5+(($AJ5-$AE5)/5)</f>
        <v>16.749462260933793</v>
      </c>
      <c r="AG5" s="30">
        <f t="shared" si="17"/>
        <v>16.914003993368159</v>
      </c>
      <c r="AH5" s="30">
        <f t="shared" si="17"/>
        <v>17.078545725802524</v>
      </c>
      <c r="AI5" s="30">
        <f t="shared" si="17"/>
        <v>17.243087458236889</v>
      </c>
      <c r="AJ5" s="30">
        <v>17.407629190671255</v>
      </c>
      <c r="AK5" s="31">
        <v>2.3531186852712827</v>
      </c>
      <c r="AL5" s="31">
        <v>0.68438668411396897</v>
      </c>
    </row>
    <row r="6" spans="1:38" x14ac:dyDescent="0.3">
      <c r="A6" t="str">
        <f>VLOOKUP(B6,'Country codes'!$A$1:$B$28,2,FALSE)</f>
        <v>CY</v>
      </c>
      <c r="B6" s="23" t="s">
        <v>93</v>
      </c>
      <c r="C6" s="24" t="s">
        <v>121</v>
      </c>
      <c r="D6" s="28" t="s">
        <v>125</v>
      </c>
      <c r="E6" s="29" t="s">
        <v>240</v>
      </c>
      <c r="F6" s="30">
        <v>0.84646221498891383</v>
      </c>
      <c r="G6" s="30">
        <f t="shared" ref="G6:J6" si="18">F6+(($K6-$F6)/5)</f>
        <v>0.86542266281438152</v>
      </c>
      <c r="H6" s="30">
        <f t="shared" si="18"/>
        <v>0.8843831106398492</v>
      </c>
      <c r="I6" s="30">
        <f t="shared" si="18"/>
        <v>0.90334355846531689</v>
      </c>
      <c r="J6" s="30">
        <f t="shared" si="18"/>
        <v>0.92230400629078457</v>
      </c>
      <c r="K6" s="30">
        <v>0.94126445411625204</v>
      </c>
      <c r="L6" s="30">
        <f t="shared" ref="L6:O6" si="19">K6+(($P6-$K6)/5)</f>
        <v>0.95314210984890602</v>
      </c>
      <c r="M6" s="30">
        <f t="shared" si="19"/>
        <v>0.96501976558156</v>
      </c>
      <c r="N6" s="30">
        <f t="shared" si="19"/>
        <v>0.97689742131421398</v>
      </c>
      <c r="O6" s="30">
        <f t="shared" si="19"/>
        <v>0.98877507704686796</v>
      </c>
      <c r="P6" s="30">
        <v>1.000652732779522</v>
      </c>
      <c r="Q6" s="30">
        <f t="shared" ref="Q6:T6" si="20">P6+(($U6-$P6)/5)</f>
        <v>1.0131005910765578</v>
      </c>
      <c r="R6" s="30">
        <f t="shared" si="20"/>
        <v>1.0255484493735936</v>
      </c>
      <c r="S6" s="30">
        <f t="shared" si="20"/>
        <v>1.0379963076706293</v>
      </c>
      <c r="T6" s="30">
        <f t="shared" si="20"/>
        <v>1.0504441659676651</v>
      </c>
      <c r="U6" s="30">
        <v>1.0628920242647013</v>
      </c>
      <c r="V6" s="30">
        <f t="shared" ref="V6:Y6" si="21">U6+(($Z6-$U6)/5)</f>
        <v>1.0747221173880757</v>
      </c>
      <c r="W6" s="30">
        <f t="shared" si="21"/>
        <v>1.08655221051145</v>
      </c>
      <c r="X6" s="30">
        <f t="shared" si="21"/>
        <v>1.0983823036348244</v>
      </c>
      <c r="Y6" s="30">
        <f t="shared" si="21"/>
        <v>1.1102123967581987</v>
      </c>
      <c r="Z6" s="30">
        <v>1.1220424898815728</v>
      </c>
      <c r="AA6" s="30">
        <f t="shared" ref="AA6:AD6" si="22">Z6+(($AE6-$Z6)/5)</f>
        <v>1.1286176397570546</v>
      </c>
      <c r="AB6" s="30">
        <f t="shared" si="22"/>
        <v>1.1351927896325364</v>
      </c>
      <c r="AC6" s="30">
        <f t="shared" si="22"/>
        <v>1.1417679395080182</v>
      </c>
      <c r="AD6" s="30">
        <f t="shared" si="22"/>
        <v>1.1483430893835</v>
      </c>
      <c r="AE6" s="30">
        <v>1.1549182392589823</v>
      </c>
      <c r="AF6" s="30">
        <f t="shared" ref="AF6:AI6" si="23">AE6+(($AJ6-$AE6)/5)</f>
        <v>1.1618676808411557</v>
      </c>
      <c r="AG6" s="30">
        <f t="shared" si="23"/>
        <v>1.168817122423329</v>
      </c>
      <c r="AH6" s="30">
        <f t="shared" si="23"/>
        <v>1.1757665640055024</v>
      </c>
      <c r="AI6" s="30">
        <f t="shared" si="23"/>
        <v>1.1827160055876758</v>
      </c>
      <c r="AJ6" s="30">
        <v>1.1896654471698493</v>
      </c>
      <c r="AK6" s="31">
        <v>1.6875024922416104</v>
      </c>
      <c r="AL6" s="31">
        <v>0.86885084179173511</v>
      </c>
    </row>
    <row r="7" spans="1:38" x14ac:dyDescent="0.3">
      <c r="A7" t="str">
        <f>VLOOKUP(B7,'Country codes'!$A$1:$B$28,2,FALSE)</f>
        <v>CZ</v>
      </c>
      <c r="B7" s="23" t="s">
        <v>94</v>
      </c>
      <c r="C7" s="24" t="s">
        <v>121</v>
      </c>
      <c r="D7" s="28" t="s">
        <v>125</v>
      </c>
      <c r="E7" s="29" t="s">
        <v>240</v>
      </c>
      <c r="F7" s="30">
        <v>42.5575586801491</v>
      </c>
      <c r="G7" s="30">
        <f t="shared" ref="G7:J7" si="24">F7+(($K7-$F7)/5)</f>
        <v>43.790645322675694</v>
      </c>
      <c r="H7" s="30">
        <f t="shared" si="24"/>
        <v>45.023731965202288</v>
      </c>
      <c r="I7" s="30">
        <f t="shared" si="24"/>
        <v>46.256818607728881</v>
      </c>
      <c r="J7" s="30">
        <f t="shared" si="24"/>
        <v>47.489905250255475</v>
      </c>
      <c r="K7" s="30">
        <v>48.722991892782076</v>
      </c>
      <c r="L7" s="30">
        <f t="shared" ref="L7:O7" si="25">K7+(($P7-$K7)/5)</f>
        <v>49.635195639907799</v>
      </c>
      <c r="M7" s="30">
        <f t="shared" si="25"/>
        <v>50.547399387033522</v>
      </c>
      <c r="N7" s="30">
        <f t="shared" si="25"/>
        <v>51.459603134159245</v>
      </c>
      <c r="O7" s="30">
        <f t="shared" si="25"/>
        <v>52.371806881284968</v>
      </c>
      <c r="P7" s="30">
        <v>53.284010628410705</v>
      </c>
      <c r="Q7" s="30">
        <f t="shared" ref="Q7:T7" si="26">P7+(($U7-$P7)/5)</f>
        <v>53.842354233734042</v>
      </c>
      <c r="R7" s="30">
        <f t="shared" si="26"/>
        <v>54.400697839057379</v>
      </c>
      <c r="S7" s="30">
        <f t="shared" si="26"/>
        <v>54.959041444380716</v>
      </c>
      <c r="T7" s="30">
        <f t="shared" si="26"/>
        <v>55.517385049704053</v>
      </c>
      <c r="U7" s="30">
        <v>56.075728655027397</v>
      </c>
      <c r="V7" s="30">
        <f t="shared" ref="V7:Y7" si="27">U7+(($Z7-$U7)/5)</f>
        <v>56.754182025670914</v>
      </c>
      <c r="W7" s="30">
        <f t="shared" si="27"/>
        <v>57.432635396314431</v>
      </c>
      <c r="X7" s="30">
        <f t="shared" si="27"/>
        <v>58.111088766957948</v>
      </c>
      <c r="Y7" s="30">
        <f t="shared" si="27"/>
        <v>58.789542137601465</v>
      </c>
      <c r="Z7" s="30">
        <v>59.467995508244968</v>
      </c>
      <c r="AA7" s="30">
        <f t="shared" ref="AA7:AD7" si="28">Z7+(($AE7-$Z7)/5)</f>
        <v>59.906091141139598</v>
      </c>
      <c r="AB7" s="30">
        <f t="shared" si="28"/>
        <v>60.344186774034227</v>
      </c>
      <c r="AC7" s="30">
        <f t="shared" si="28"/>
        <v>60.782282406928857</v>
      </c>
      <c r="AD7" s="30">
        <f t="shared" si="28"/>
        <v>61.220378039823487</v>
      </c>
      <c r="AE7" s="30">
        <v>61.65847367271811</v>
      </c>
      <c r="AF7" s="30">
        <f t="shared" ref="AF7:AI7" si="29">AE7+(($AJ7-$AE7)/5)</f>
        <v>62.138554754928123</v>
      </c>
      <c r="AG7" s="30">
        <f t="shared" si="29"/>
        <v>62.618635837138136</v>
      </c>
      <c r="AH7" s="30">
        <f t="shared" si="29"/>
        <v>63.098716919348149</v>
      </c>
      <c r="AI7" s="30">
        <f t="shared" si="29"/>
        <v>63.578798001558162</v>
      </c>
      <c r="AJ7" s="30">
        <v>64.058879083768161</v>
      </c>
      <c r="AK7" s="31">
        <v>2.2732412751286457</v>
      </c>
      <c r="AL7" s="31">
        <v>0.92508443965022558</v>
      </c>
    </row>
    <row r="8" spans="1:38" x14ac:dyDescent="0.3">
      <c r="A8" t="str">
        <f>VLOOKUP(B8,'Country codes'!$A$1:$B$28,2,FALSE)</f>
        <v>DE</v>
      </c>
      <c r="B8" s="23" t="s">
        <v>95</v>
      </c>
      <c r="C8" s="24" t="s">
        <v>121</v>
      </c>
      <c r="D8" s="28" t="s">
        <v>125</v>
      </c>
      <c r="E8" s="29" t="s">
        <v>240</v>
      </c>
      <c r="F8" s="30">
        <v>455.9943772190677</v>
      </c>
      <c r="G8" s="30">
        <f t="shared" ref="G8:J8" si="30">F8+(($K8-$F8)/5)</f>
        <v>468.71734535009409</v>
      </c>
      <c r="H8" s="30">
        <f t="shared" si="30"/>
        <v>481.44031348112048</v>
      </c>
      <c r="I8" s="30">
        <f t="shared" si="30"/>
        <v>494.16328161214687</v>
      </c>
      <c r="J8" s="30">
        <f t="shared" si="30"/>
        <v>506.88624974317327</v>
      </c>
      <c r="K8" s="30">
        <v>519.60921787419954</v>
      </c>
      <c r="L8" s="30">
        <f t="shared" ref="L8:O8" si="31">K8+(($P8-$K8)/5)</f>
        <v>529.7204417267809</v>
      </c>
      <c r="M8" s="30">
        <f t="shared" si="31"/>
        <v>539.83166557936227</v>
      </c>
      <c r="N8" s="30">
        <f t="shared" si="31"/>
        <v>549.94288943194363</v>
      </c>
      <c r="O8" s="30">
        <f t="shared" si="31"/>
        <v>560.05411328452499</v>
      </c>
      <c r="P8" s="30">
        <v>570.16533713710623</v>
      </c>
      <c r="Q8" s="30">
        <f t="shared" ref="Q8:T8" si="32">P8+(($U8-$P8)/5)</f>
        <v>573.64313910408544</v>
      </c>
      <c r="R8" s="30">
        <f t="shared" si="32"/>
        <v>577.12094107106464</v>
      </c>
      <c r="S8" s="30">
        <f t="shared" si="32"/>
        <v>580.59874303804384</v>
      </c>
      <c r="T8" s="30">
        <f t="shared" si="32"/>
        <v>584.07654500502304</v>
      </c>
      <c r="U8" s="30">
        <v>587.55434697200246</v>
      </c>
      <c r="V8" s="30">
        <f t="shared" ref="V8:Y8" si="33">U8+(($Z8-$U8)/5)</f>
        <v>591.47117414840091</v>
      </c>
      <c r="W8" s="30">
        <f t="shared" si="33"/>
        <v>595.38800132479935</v>
      </c>
      <c r="X8" s="30">
        <f t="shared" si="33"/>
        <v>599.30482850119779</v>
      </c>
      <c r="Y8" s="30">
        <f t="shared" si="33"/>
        <v>603.22165567759623</v>
      </c>
      <c r="Z8" s="30">
        <v>607.1384828539949</v>
      </c>
      <c r="AA8" s="30">
        <f t="shared" ref="AA8:AD8" si="34">Z8+(($AE8-$Z8)/5)</f>
        <v>608.76139754559154</v>
      </c>
      <c r="AB8" s="30">
        <f t="shared" si="34"/>
        <v>610.38431223718817</v>
      </c>
      <c r="AC8" s="30">
        <f t="shared" si="34"/>
        <v>612.0072269287848</v>
      </c>
      <c r="AD8" s="30">
        <f t="shared" si="34"/>
        <v>613.63014162038144</v>
      </c>
      <c r="AE8" s="30">
        <v>615.25305631197784</v>
      </c>
      <c r="AF8" s="30">
        <f t="shared" ref="AF8:AI8" si="35">AE8+(($AJ8-$AE8)/5)</f>
        <v>616.92212783043192</v>
      </c>
      <c r="AG8" s="30">
        <f t="shared" si="35"/>
        <v>618.59119934888599</v>
      </c>
      <c r="AH8" s="30">
        <f t="shared" si="35"/>
        <v>620.26027086734007</v>
      </c>
      <c r="AI8" s="30">
        <f t="shared" si="35"/>
        <v>621.92934238579414</v>
      </c>
      <c r="AJ8" s="30">
        <v>623.59841390424822</v>
      </c>
      <c r="AK8" s="31">
        <v>2.2596100680715603</v>
      </c>
      <c r="AL8" s="31">
        <v>0.44890562507022835</v>
      </c>
    </row>
    <row r="9" spans="1:38" x14ac:dyDescent="0.3">
      <c r="A9" t="str">
        <f>VLOOKUP(B9,'Country codes'!$A$1:$B$28,2,FALSE)</f>
        <v>DK</v>
      </c>
      <c r="B9" s="23" t="s">
        <v>96</v>
      </c>
      <c r="C9" s="24" t="s">
        <v>121</v>
      </c>
      <c r="D9" s="28" t="s">
        <v>125</v>
      </c>
      <c r="E9" s="29" t="s">
        <v>240</v>
      </c>
      <c r="F9" s="30">
        <v>20.812907017461622</v>
      </c>
      <c r="G9" s="30">
        <f t="shared" ref="G9:J9" si="36">F9+(($K9-$F9)/5)</f>
        <v>21.517139422945839</v>
      </c>
      <c r="H9" s="30">
        <f t="shared" si="36"/>
        <v>22.221371828430055</v>
      </c>
      <c r="I9" s="30">
        <f t="shared" si="36"/>
        <v>22.925604233914271</v>
      </c>
      <c r="J9" s="30">
        <f t="shared" si="36"/>
        <v>23.629836639398487</v>
      </c>
      <c r="K9" s="30">
        <v>24.334069044882696</v>
      </c>
      <c r="L9" s="30">
        <f t="shared" ref="L9:O9" si="37">K9+(($P9-$K9)/5)</f>
        <v>24.56513532559384</v>
      </c>
      <c r="M9" s="30">
        <f t="shared" si="37"/>
        <v>24.796201606304983</v>
      </c>
      <c r="N9" s="30">
        <f t="shared" si="37"/>
        <v>25.027267887016126</v>
      </c>
      <c r="O9" s="30">
        <f t="shared" si="37"/>
        <v>25.25833416772727</v>
      </c>
      <c r="P9" s="30">
        <v>25.489400448438413</v>
      </c>
      <c r="Q9" s="30">
        <f t="shared" ref="Q9:T9" si="38">P9+(($U9-$P9)/5)</f>
        <v>25.703226618118833</v>
      </c>
      <c r="R9" s="30">
        <f t="shared" si="38"/>
        <v>25.917052787799253</v>
      </c>
      <c r="S9" s="30">
        <f t="shared" si="38"/>
        <v>26.130878957479673</v>
      </c>
      <c r="T9" s="30">
        <f t="shared" si="38"/>
        <v>26.344705127160093</v>
      </c>
      <c r="U9" s="30">
        <v>26.55853129684051</v>
      </c>
      <c r="V9" s="30">
        <f t="shared" ref="V9:Y9" si="39">U9+(($Z9-$U9)/5)</f>
        <v>26.773252426305046</v>
      </c>
      <c r="W9" s="30">
        <f t="shared" si="39"/>
        <v>26.987973555769582</v>
      </c>
      <c r="X9" s="30">
        <f t="shared" si="39"/>
        <v>27.202694685234118</v>
      </c>
      <c r="Y9" s="30">
        <f t="shared" si="39"/>
        <v>27.417415814698654</v>
      </c>
      <c r="Z9" s="30">
        <v>27.632136944163182</v>
      </c>
      <c r="AA9" s="30">
        <f t="shared" ref="AA9:AD9" si="40">Z9+(($AE9-$Z9)/5)</f>
        <v>27.788748807288794</v>
      </c>
      <c r="AB9" s="30">
        <f t="shared" si="40"/>
        <v>27.945360670414406</v>
      </c>
      <c r="AC9" s="30">
        <f t="shared" si="40"/>
        <v>28.101972533540017</v>
      </c>
      <c r="AD9" s="30">
        <f t="shared" si="40"/>
        <v>28.258584396665629</v>
      </c>
      <c r="AE9" s="30">
        <v>28.415196259791234</v>
      </c>
      <c r="AF9" s="30">
        <f t="shared" ref="AF9:AI9" si="41">AE9+(($AJ9-$AE9)/5)</f>
        <v>28.571953731636647</v>
      </c>
      <c r="AG9" s="30">
        <f t="shared" si="41"/>
        <v>28.72871120348206</v>
      </c>
      <c r="AH9" s="30">
        <f t="shared" si="41"/>
        <v>28.885468675327473</v>
      </c>
      <c r="AI9" s="30">
        <f t="shared" si="41"/>
        <v>29.042226147172887</v>
      </c>
      <c r="AJ9" s="30">
        <v>29.198983619018303</v>
      </c>
      <c r="AK9" s="31">
        <v>2.047574713008915</v>
      </c>
      <c r="AL9" s="31">
        <v>0.68166887775207297</v>
      </c>
    </row>
    <row r="10" spans="1:38" x14ac:dyDescent="0.3">
      <c r="A10" t="str">
        <f>VLOOKUP(B10,'Country codes'!$A$1:$B$28,2,FALSE)</f>
        <v>EE</v>
      </c>
      <c r="B10" s="23" t="s">
        <v>97</v>
      </c>
      <c r="C10" s="24" t="s">
        <v>121</v>
      </c>
      <c r="D10" s="28" t="s">
        <v>125</v>
      </c>
      <c r="E10" s="29" t="s">
        <v>240</v>
      </c>
      <c r="F10" s="30">
        <v>2.9266824936389901</v>
      </c>
      <c r="G10" s="30">
        <f t="shared" ref="G10:J10" si="42">F10+(($K10-$F10)/5)</f>
        <v>3.0372593727303703</v>
      </c>
      <c r="H10" s="30">
        <f t="shared" si="42"/>
        <v>3.1478362518217504</v>
      </c>
      <c r="I10" s="30">
        <f t="shared" si="42"/>
        <v>3.2584131309131306</v>
      </c>
      <c r="J10" s="30">
        <f t="shared" si="42"/>
        <v>3.3689900100045107</v>
      </c>
      <c r="K10" s="30">
        <v>3.47956688909589</v>
      </c>
      <c r="L10" s="30">
        <f t="shared" ref="L10:O10" si="43">K10+(($P10-$K10)/5)</f>
        <v>3.5814165943150114</v>
      </c>
      <c r="M10" s="30">
        <f t="shared" si="43"/>
        <v>3.6832662995341328</v>
      </c>
      <c r="N10" s="30">
        <f t="shared" si="43"/>
        <v>3.7851160047532542</v>
      </c>
      <c r="O10" s="30">
        <f t="shared" si="43"/>
        <v>3.8869657099723756</v>
      </c>
      <c r="P10" s="30">
        <v>3.988815415191497</v>
      </c>
      <c r="Q10" s="30">
        <f t="shared" ref="Q10:T10" si="44">P10+(($U10-$P10)/5)</f>
        <v>4.0562579201714533</v>
      </c>
      <c r="R10" s="30">
        <f t="shared" si="44"/>
        <v>4.1237004251514096</v>
      </c>
      <c r="S10" s="30">
        <f t="shared" si="44"/>
        <v>4.1911429301313659</v>
      </c>
      <c r="T10" s="30">
        <f t="shared" si="44"/>
        <v>4.2585854351113221</v>
      </c>
      <c r="U10" s="30">
        <v>4.3260279400912776</v>
      </c>
      <c r="V10" s="30">
        <f t="shared" ref="V10:Y10" si="45">U10+(($Z10-$U10)/5)</f>
        <v>4.3889735237900425</v>
      </c>
      <c r="W10" s="30">
        <f t="shared" si="45"/>
        <v>4.4519191074888074</v>
      </c>
      <c r="X10" s="30">
        <f t="shared" si="45"/>
        <v>4.5148646911875723</v>
      </c>
      <c r="Y10" s="30">
        <f t="shared" si="45"/>
        <v>4.5778102748863372</v>
      </c>
      <c r="Z10" s="30">
        <v>4.640755858585103</v>
      </c>
      <c r="AA10" s="30">
        <f t="shared" ref="AA10:AD10" si="46">Z10+(($AE10-$Z10)/5)</f>
        <v>4.6700283479748643</v>
      </c>
      <c r="AB10" s="30">
        <f t="shared" si="46"/>
        <v>4.6993008373646257</v>
      </c>
      <c r="AC10" s="30">
        <f t="shared" si="46"/>
        <v>4.728573326754387</v>
      </c>
      <c r="AD10" s="30">
        <f t="shared" si="46"/>
        <v>4.7578458161441484</v>
      </c>
      <c r="AE10" s="30">
        <v>4.7871183055339106</v>
      </c>
      <c r="AF10" s="30">
        <f t="shared" ref="AF10:AI10" si="47">AE10+(($AJ10-$AE10)/5)</f>
        <v>4.8190582311182544</v>
      </c>
      <c r="AG10" s="30">
        <f t="shared" si="47"/>
        <v>4.8509981567025982</v>
      </c>
      <c r="AH10" s="30">
        <f t="shared" si="47"/>
        <v>4.8829380822869419</v>
      </c>
      <c r="AI10" s="30">
        <f t="shared" si="47"/>
        <v>4.9148780078712857</v>
      </c>
      <c r="AJ10" s="30">
        <v>4.9468179334556304</v>
      </c>
      <c r="AK10" s="31">
        <v>3.1446800345577453</v>
      </c>
      <c r="AL10" s="31">
        <v>1.0820635647484256</v>
      </c>
    </row>
    <row r="11" spans="1:38" x14ac:dyDescent="0.3">
      <c r="A11" t="str">
        <f>VLOOKUP(B11,'Country codes'!$A$1:$B$28,2,FALSE)</f>
        <v>ES</v>
      </c>
      <c r="B11" s="23" t="s">
        <v>98</v>
      </c>
      <c r="C11" s="24" t="s">
        <v>121</v>
      </c>
      <c r="D11" s="28" t="s">
        <v>125</v>
      </c>
      <c r="E11" s="29" t="s">
        <v>240</v>
      </c>
      <c r="F11" s="30">
        <v>197.52574339799418</v>
      </c>
      <c r="G11" s="30">
        <f t="shared" ref="G11:J11" si="48">F11+(($K11-$F11)/5)</f>
        <v>202.34392391979338</v>
      </c>
      <c r="H11" s="30">
        <f t="shared" si="48"/>
        <v>207.16210444159259</v>
      </c>
      <c r="I11" s="30">
        <f t="shared" si="48"/>
        <v>211.9802849633918</v>
      </c>
      <c r="J11" s="30">
        <f t="shared" si="48"/>
        <v>216.798465485191</v>
      </c>
      <c r="K11" s="30">
        <v>221.61664600699027</v>
      </c>
      <c r="L11" s="30">
        <f t="shared" ref="L11:O11" si="49">K11+(($P11-$K11)/5)</f>
        <v>223.83576014428081</v>
      </c>
      <c r="M11" s="30">
        <f t="shared" si="49"/>
        <v>226.05487428157136</v>
      </c>
      <c r="N11" s="30">
        <f t="shared" si="49"/>
        <v>228.2739884188619</v>
      </c>
      <c r="O11" s="30">
        <f t="shared" si="49"/>
        <v>230.49310255615245</v>
      </c>
      <c r="P11" s="30">
        <v>232.71221669344294</v>
      </c>
      <c r="Q11" s="30">
        <f t="shared" ref="Q11:T11" si="50">P11+(($U11-$P11)/5)</f>
        <v>234.85461627780342</v>
      </c>
      <c r="R11" s="30">
        <f t="shared" si="50"/>
        <v>236.99701586216389</v>
      </c>
      <c r="S11" s="30">
        <f t="shared" si="50"/>
        <v>239.13941544652437</v>
      </c>
      <c r="T11" s="30">
        <f t="shared" si="50"/>
        <v>241.28181503088484</v>
      </c>
      <c r="U11" s="30">
        <v>243.42421461524529</v>
      </c>
      <c r="V11" s="30">
        <f t="shared" ref="V11:Y11" si="51">U11+(($Z11-$U11)/5)</f>
        <v>245.7224209157169</v>
      </c>
      <c r="W11" s="30">
        <f t="shared" si="51"/>
        <v>248.0206272161885</v>
      </c>
      <c r="X11" s="30">
        <f t="shared" si="51"/>
        <v>250.31883351666011</v>
      </c>
      <c r="Y11" s="30">
        <f t="shared" si="51"/>
        <v>252.61703981713171</v>
      </c>
      <c r="Z11" s="30">
        <v>254.91524611760326</v>
      </c>
      <c r="AA11" s="30">
        <f t="shared" ref="AA11:AD11" si="52">Z11+(($AE11-$Z11)/5)</f>
        <v>257.10898639496429</v>
      </c>
      <c r="AB11" s="30">
        <f t="shared" si="52"/>
        <v>259.30272667232532</v>
      </c>
      <c r="AC11" s="30">
        <f t="shared" si="52"/>
        <v>261.49646694968635</v>
      </c>
      <c r="AD11" s="30">
        <f t="shared" si="52"/>
        <v>263.69020722704738</v>
      </c>
      <c r="AE11" s="30">
        <v>265.88394750440841</v>
      </c>
      <c r="AF11" s="30">
        <f t="shared" ref="AF11:AI11" si="53">AE11+(($AJ11-$AE11)/5)</f>
        <v>268.10370766007856</v>
      </c>
      <c r="AG11" s="30">
        <f t="shared" si="53"/>
        <v>270.3234678157487</v>
      </c>
      <c r="AH11" s="30">
        <f t="shared" si="53"/>
        <v>272.54322797141884</v>
      </c>
      <c r="AI11" s="30">
        <f t="shared" si="53"/>
        <v>274.76298812708899</v>
      </c>
      <c r="AJ11" s="30">
        <v>276.98274828275902</v>
      </c>
      <c r="AK11" s="31">
        <v>1.6528473138979427</v>
      </c>
      <c r="AL11" s="31">
        <v>0.87456544632817934</v>
      </c>
    </row>
    <row r="12" spans="1:38" x14ac:dyDescent="0.3">
      <c r="A12" t="str">
        <f>VLOOKUP(B12,'Country codes'!$A$1:$B$28,2,FALSE)</f>
        <v>FI</v>
      </c>
      <c r="B12" s="23" t="s">
        <v>99</v>
      </c>
      <c r="C12" s="24" t="s">
        <v>121</v>
      </c>
      <c r="D12" s="28" t="s">
        <v>125</v>
      </c>
      <c r="E12" s="29" t="s">
        <v>240</v>
      </c>
      <c r="F12" s="30">
        <v>27.143516987583372</v>
      </c>
      <c r="G12" s="30">
        <f t="shared" ref="G12:J12" si="54">F12+(($K12-$F12)/5)</f>
        <v>27.905689904335166</v>
      </c>
      <c r="H12" s="30">
        <f t="shared" si="54"/>
        <v>28.66786282108696</v>
      </c>
      <c r="I12" s="30">
        <f t="shared" si="54"/>
        <v>29.430035737838754</v>
      </c>
      <c r="J12" s="30">
        <f t="shared" si="54"/>
        <v>30.192208654590548</v>
      </c>
      <c r="K12" s="30">
        <v>30.954381571342349</v>
      </c>
      <c r="L12" s="30">
        <f t="shared" ref="L12:O12" si="55">K12+(($P12-$K12)/5)</f>
        <v>31.428929791114822</v>
      </c>
      <c r="M12" s="30">
        <f t="shared" si="55"/>
        <v>31.903478010887294</v>
      </c>
      <c r="N12" s="30">
        <f t="shared" si="55"/>
        <v>32.378026230659763</v>
      </c>
      <c r="O12" s="30">
        <f t="shared" si="55"/>
        <v>32.852574450432236</v>
      </c>
      <c r="P12" s="30">
        <v>33.327122670204709</v>
      </c>
      <c r="Q12" s="30">
        <f t="shared" ref="Q12:T12" si="56">P12+(($U12-$P12)/5)</f>
        <v>33.544842030317881</v>
      </c>
      <c r="R12" s="30">
        <f t="shared" si="56"/>
        <v>33.762561390431053</v>
      </c>
      <c r="S12" s="30">
        <f t="shared" si="56"/>
        <v>33.980280750544225</v>
      </c>
      <c r="T12" s="30">
        <f t="shared" si="56"/>
        <v>34.198000110657397</v>
      </c>
      <c r="U12" s="30">
        <v>34.415719470770568</v>
      </c>
      <c r="V12" s="30">
        <f t="shared" ref="V12:Y12" si="57">U12+(($Z12-$U12)/5)</f>
        <v>34.515823040175825</v>
      </c>
      <c r="W12" s="30">
        <f t="shared" si="57"/>
        <v>34.615926609581081</v>
      </c>
      <c r="X12" s="30">
        <f t="shared" si="57"/>
        <v>34.716030178986337</v>
      </c>
      <c r="Y12" s="30">
        <f t="shared" si="57"/>
        <v>34.816133748391593</v>
      </c>
      <c r="Z12" s="30">
        <v>34.916237317796856</v>
      </c>
      <c r="AA12" s="30">
        <f t="shared" ref="AA12:AD12" si="58">Z12+(($AE12-$Z12)/5)</f>
        <v>34.956334398699063</v>
      </c>
      <c r="AB12" s="30">
        <f t="shared" si="58"/>
        <v>34.99643147960127</v>
      </c>
      <c r="AC12" s="30">
        <f t="shared" si="58"/>
        <v>35.036528560503477</v>
      </c>
      <c r="AD12" s="30">
        <f t="shared" si="58"/>
        <v>35.076625641405684</v>
      </c>
      <c r="AE12" s="30">
        <v>35.116722722307884</v>
      </c>
      <c r="AF12" s="30">
        <f t="shared" ref="AF12:AI12" si="59">AE12+(($AJ12-$AE12)/5)</f>
        <v>35.187504288317662</v>
      </c>
      <c r="AG12" s="30">
        <f t="shared" si="59"/>
        <v>35.25828585432744</v>
      </c>
      <c r="AH12" s="30">
        <f t="shared" si="59"/>
        <v>35.329067420337218</v>
      </c>
      <c r="AI12" s="30">
        <f t="shared" si="59"/>
        <v>35.399848986346996</v>
      </c>
      <c r="AJ12" s="30">
        <v>35.470630552356781</v>
      </c>
      <c r="AK12" s="31">
        <v>2.07353844970255</v>
      </c>
      <c r="AL12" s="31">
        <v>0.31215361600491764</v>
      </c>
    </row>
    <row r="13" spans="1:38" x14ac:dyDescent="0.3">
      <c r="A13" t="str">
        <f>VLOOKUP(B13,'Country codes'!$A$1:$B$28,2,FALSE)</f>
        <v>FR</v>
      </c>
      <c r="B13" s="23" t="s">
        <v>100</v>
      </c>
      <c r="C13" s="24" t="s">
        <v>121</v>
      </c>
      <c r="D13" s="28" t="s">
        <v>125</v>
      </c>
      <c r="E13" s="29" t="s">
        <v>240</v>
      </c>
      <c r="F13" s="30">
        <v>282.88420821199128</v>
      </c>
      <c r="G13" s="30">
        <f t="shared" ref="G13:J13" si="60">F13+(($K13-$F13)/5)</f>
        <v>286.90430876204249</v>
      </c>
      <c r="H13" s="30">
        <f t="shared" si="60"/>
        <v>290.9244093120937</v>
      </c>
      <c r="I13" s="30">
        <f t="shared" si="60"/>
        <v>294.94450986214491</v>
      </c>
      <c r="J13" s="30">
        <f t="shared" si="60"/>
        <v>298.96461041219612</v>
      </c>
      <c r="K13" s="30">
        <v>302.98471096224733</v>
      </c>
      <c r="L13" s="30">
        <f t="shared" ref="L13:O13" si="61">K13+(($P13-$K13)/5)</f>
        <v>306.58002585022678</v>
      </c>
      <c r="M13" s="30">
        <f t="shared" si="61"/>
        <v>310.17534073820622</v>
      </c>
      <c r="N13" s="30">
        <f t="shared" si="61"/>
        <v>313.77065562618566</v>
      </c>
      <c r="O13" s="30">
        <f t="shared" si="61"/>
        <v>317.3659705141651</v>
      </c>
      <c r="P13" s="30">
        <v>320.96128540214448</v>
      </c>
      <c r="Q13" s="30">
        <f t="shared" ref="Q13:T13" si="62">P13+(($U13-$P13)/5)</f>
        <v>322.81492063082084</v>
      </c>
      <c r="R13" s="30">
        <f t="shared" si="62"/>
        <v>324.66855585949719</v>
      </c>
      <c r="S13" s="30">
        <f t="shared" si="62"/>
        <v>326.52219108817354</v>
      </c>
      <c r="T13" s="30">
        <f t="shared" si="62"/>
        <v>328.3758263168499</v>
      </c>
      <c r="U13" s="30">
        <v>330.22946154552614</v>
      </c>
      <c r="V13" s="30">
        <f t="shared" ref="V13:Y13" si="63">U13+(($Z13-$U13)/5)</f>
        <v>332.87028277888476</v>
      </c>
      <c r="W13" s="30">
        <f t="shared" si="63"/>
        <v>335.51110401224338</v>
      </c>
      <c r="X13" s="30">
        <f t="shared" si="63"/>
        <v>338.151925245602</v>
      </c>
      <c r="Y13" s="30">
        <f t="shared" si="63"/>
        <v>340.79274647896062</v>
      </c>
      <c r="Z13" s="30">
        <v>343.4335677123193</v>
      </c>
      <c r="AA13" s="30">
        <f t="shared" ref="AA13:AD13" si="64">Z13+(($AE13-$Z13)/5)</f>
        <v>345.57095870108355</v>
      </c>
      <c r="AB13" s="30">
        <f t="shared" si="64"/>
        <v>347.70834968984781</v>
      </c>
      <c r="AC13" s="30">
        <f t="shared" si="64"/>
        <v>349.84574067861206</v>
      </c>
      <c r="AD13" s="30">
        <f t="shared" si="64"/>
        <v>351.98313166737631</v>
      </c>
      <c r="AE13" s="30">
        <v>354.12052265614062</v>
      </c>
      <c r="AF13" s="30">
        <f t="shared" ref="AF13:AI13" si="65">AE13+(($AJ13-$AE13)/5)</f>
        <v>356.12699769617768</v>
      </c>
      <c r="AG13" s="30">
        <f t="shared" si="65"/>
        <v>358.13347273621474</v>
      </c>
      <c r="AH13" s="30">
        <f t="shared" si="65"/>
        <v>360.1399477762518</v>
      </c>
      <c r="AI13" s="30">
        <f t="shared" si="65"/>
        <v>362.14642281628886</v>
      </c>
      <c r="AJ13" s="30">
        <v>364.15289785632592</v>
      </c>
      <c r="AK13" s="31">
        <v>1.2708358902626893</v>
      </c>
      <c r="AL13" s="31">
        <v>0.63326328114681196</v>
      </c>
    </row>
    <row r="14" spans="1:38" x14ac:dyDescent="0.3">
      <c r="A14" t="str">
        <f>VLOOKUP(B14,'Country codes'!$A$1:$B$28,2,FALSE)</f>
        <v>GR</v>
      </c>
      <c r="B14" s="23" t="s">
        <v>101</v>
      </c>
      <c r="C14" s="24" t="s">
        <v>121</v>
      </c>
      <c r="D14" s="28" t="s">
        <v>125</v>
      </c>
      <c r="E14" s="29" t="s">
        <v>240</v>
      </c>
      <c r="F14" s="30">
        <v>20.869395086579484</v>
      </c>
      <c r="G14" s="30">
        <f t="shared" ref="G14:J14" si="66">F14+(($K14-$F14)/5)</f>
        <v>21.488630127653543</v>
      </c>
      <c r="H14" s="30">
        <f t="shared" si="66"/>
        <v>22.107865168727603</v>
      </c>
      <c r="I14" s="30">
        <f t="shared" si="66"/>
        <v>22.727100209801662</v>
      </c>
      <c r="J14" s="30">
        <f t="shared" si="66"/>
        <v>23.346335250875722</v>
      </c>
      <c r="K14" s="30">
        <v>23.965570291949778</v>
      </c>
      <c r="L14" s="30">
        <f t="shared" ref="L14:O14" si="67">K14+(($P14-$K14)/5)</f>
        <v>24.119543341096534</v>
      </c>
      <c r="M14" s="30">
        <f t="shared" si="67"/>
        <v>24.273516390243291</v>
      </c>
      <c r="N14" s="30">
        <f t="shared" si="67"/>
        <v>24.427489439390047</v>
      </c>
      <c r="O14" s="30">
        <f t="shared" si="67"/>
        <v>24.581462488536804</v>
      </c>
      <c r="P14" s="30">
        <v>24.735435537683561</v>
      </c>
      <c r="Q14" s="30">
        <f t="shared" ref="Q14:T14" si="68">P14+(($U14-$P14)/5)</f>
        <v>24.940137493645832</v>
      </c>
      <c r="R14" s="30">
        <f t="shared" si="68"/>
        <v>25.144839449608103</v>
      </c>
      <c r="S14" s="30">
        <f t="shared" si="68"/>
        <v>25.349541405570374</v>
      </c>
      <c r="T14" s="30">
        <f t="shared" si="68"/>
        <v>25.554243361532645</v>
      </c>
      <c r="U14" s="30">
        <v>25.758945317494909</v>
      </c>
      <c r="V14" s="30">
        <f t="shared" ref="V14:Y14" si="69">U14+(($Z14-$U14)/5)</f>
        <v>25.915470533812744</v>
      </c>
      <c r="W14" s="30">
        <f t="shared" si="69"/>
        <v>26.071995750130579</v>
      </c>
      <c r="X14" s="30">
        <f t="shared" si="69"/>
        <v>26.228520966448414</v>
      </c>
      <c r="Y14" s="30">
        <f t="shared" si="69"/>
        <v>26.385046182766249</v>
      </c>
      <c r="Z14" s="30">
        <v>26.541571399084081</v>
      </c>
      <c r="AA14" s="30">
        <f t="shared" ref="AA14:AD14" si="70">Z14+(($AE14-$Z14)/5)</f>
        <v>26.708320693408702</v>
      </c>
      <c r="AB14" s="30">
        <f t="shared" si="70"/>
        <v>26.875069987733323</v>
      </c>
      <c r="AC14" s="30">
        <f t="shared" si="70"/>
        <v>27.041819282057943</v>
      </c>
      <c r="AD14" s="30">
        <f t="shared" si="70"/>
        <v>27.208568576382564</v>
      </c>
      <c r="AE14" s="30">
        <v>27.375317870707192</v>
      </c>
      <c r="AF14" s="30">
        <f t="shared" ref="AF14:AI14" si="71">AE14+(($AJ14-$AE14)/5)</f>
        <v>27.541820555234079</v>
      </c>
      <c r="AG14" s="30">
        <f t="shared" si="71"/>
        <v>27.708323239760965</v>
      </c>
      <c r="AH14" s="30">
        <f t="shared" si="71"/>
        <v>27.874825924287851</v>
      </c>
      <c r="AI14" s="30">
        <f t="shared" si="71"/>
        <v>28.041328608814737</v>
      </c>
      <c r="AJ14" s="30">
        <v>28.207831293341624</v>
      </c>
      <c r="AK14" s="31">
        <v>1.7140553637757128</v>
      </c>
      <c r="AL14" s="31">
        <v>0.65897571395383547</v>
      </c>
    </row>
    <row r="15" spans="1:38" x14ac:dyDescent="0.3">
      <c r="A15" t="str">
        <f>VLOOKUP(B15,'Country codes'!$A$1:$B$28,2,FALSE)</f>
        <v>HR</v>
      </c>
      <c r="B15" s="23" t="s">
        <v>102</v>
      </c>
      <c r="C15" s="24" t="s">
        <v>121</v>
      </c>
      <c r="D15" s="28" t="s">
        <v>125</v>
      </c>
      <c r="E15" s="29" t="s">
        <v>240</v>
      </c>
      <c r="F15" s="30">
        <v>9.6146904729028329</v>
      </c>
      <c r="G15" s="30">
        <f t="shared" ref="G15:J15" si="72">F15+(($K15-$F15)/5)</f>
        <v>10.058688039449949</v>
      </c>
      <c r="H15" s="30">
        <f t="shared" si="72"/>
        <v>10.502685605997065</v>
      </c>
      <c r="I15" s="30">
        <f t="shared" si="72"/>
        <v>10.946683172544182</v>
      </c>
      <c r="J15" s="30">
        <f t="shared" si="72"/>
        <v>11.390680739091298</v>
      </c>
      <c r="K15" s="30">
        <v>11.834678305638418</v>
      </c>
      <c r="L15" s="30">
        <f t="shared" ref="L15:O15" si="73">K15+(($P15-$K15)/5)</f>
        <v>12.300813865502905</v>
      </c>
      <c r="M15" s="30">
        <f t="shared" si="73"/>
        <v>12.766949425367391</v>
      </c>
      <c r="N15" s="30">
        <f t="shared" si="73"/>
        <v>13.233084985231878</v>
      </c>
      <c r="O15" s="30">
        <f t="shared" si="73"/>
        <v>13.699220545096365</v>
      </c>
      <c r="P15" s="30">
        <v>14.165356104960855</v>
      </c>
      <c r="Q15" s="30">
        <f t="shared" ref="Q15:T15" si="74">P15+(($U15-$P15)/5)</f>
        <v>14.357599305881203</v>
      </c>
      <c r="R15" s="30">
        <f t="shared" si="74"/>
        <v>14.549842506801552</v>
      </c>
      <c r="S15" s="30">
        <f t="shared" si="74"/>
        <v>14.7420857077219</v>
      </c>
      <c r="T15" s="30">
        <f t="shared" si="74"/>
        <v>14.934328908642248</v>
      </c>
      <c r="U15" s="30">
        <v>15.126572109562593</v>
      </c>
      <c r="V15" s="30">
        <f t="shared" ref="V15:Y15" si="75">U15+(($Z15-$U15)/5)</f>
        <v>15.29674894239557</v>
      </c>
      <c r="W15" s="30">
        <f t="shared" si="75"/>
        <v>15.466925775228548</v>
      </c>
      <c r="X15" s="30">
        <f t="shared" si="75"/>
        <v>15.637102608061525</v>
      </c>
      <c r="Y15" s="30">
        <f t="shared" si="75"/>
        <v>15.807279440894503</v>
      </c>
      <c r="Z15" s="30">
        <v>15.97745627372748</v>
      </c>
      <c r="AA15" s="30">
        <f t="shared" ref="AA15:AD15" si="76">Z15+(($AE15-$Z15)/5)</f>
        <v>16.082534668088336</v>
      </c>
      <c r="AB15" s="30">
        <f t="shared" si="76"/>
        <v>16.187613062449191</v>
      </c>
      <c r="AC15" s="30">
        <f t="shared" si="76"/>
        <v>16.292691456810047</v>
      </c>
      <c r="AD15" s="30">
        <f t="shared" si="76"/>
        <v>16.397769851170903</v>
      </c>
      <c r="AE15" s="30">
        <v>16.502848245531762</v>
      </c>
      <c r="AF15" s="30">
        <f t="shared" ref="AF15:AI15" si="77">AE15+(($AJ15-$AE15)/5)</f>
        <v>16.621850050375407</v>
      </c>
      <c r="AG15" s="30">
        <f t="shared" si="77"/>
        <v>16.740851855219052</v>
      </c>
      <c r="AH15" s="30">
        <f t="shared" si="77"/>
        <v>16.859853660062697</v>
      </c>
      <c r="AI15" s="30">
        <f t="shared" si="77"/>
        <v>16.978855464906342</v>
      </c>
      <c r="AJ15" s="30">
        <v>17.097857269749991</v>
      </c>
      <c r="AK15" s="31">
        <v>3.9511310150924128</v>
      </c>
      <c r="AL15" s="31">
        <v>0.94520853021506923</v>
      </c>
    </row>
    <row r="16" spans="1:38" x14ac:dyDescent="0.3">
      <c r="A16" t="str">
        <f>VLOOKUP(B16,'Country codes'!$A$1:$B$28,2,FALSE)</f>
        <v>HU</v>
      </c>
      <c r="B16" s="23" t="s">
        <v>103</v>
      </c>
      <c r="C16" s="24" t="s">
        <v>121</v>
      </c>
      <c r="D16" s="28" t="s">
        <v>125</v>
      </c>
      <c r="E16" s="29" t="s">
        <v>240</v>
      </c>
      <c r="F16" s="30">
        <v>26.628789723120093</v>
      </c>
      <c r="G16" s="30">
        <f t="shared" ref="G16:J16" si="78">F16+(($K16-$F16)/5)</f>
        <v>27.555025517238594</v>
      </c>
      <c r="H16" s="30">
        <f t="shared" si="78"/>
        <v>28.481261311357095</v>
      </c>
      <c r="I16" s="30">
        <f t="shared" si="78"/>
        <v>29.407497105475596</v>
      </c>
      <c r="J16" s="30">
        <f t="shared" si="78"/>
        <v>30.333732899594096</v>
      </c>
      <c r="K16" s="30">
        <v>31.259968693712594</v>
      </c>
      <c r="L16" s="30">
        <f t="shared" ref="L16:O16" si="79">K16+(($P16-$K16)/5)</f>
        <v>32.010283436984963</v>
      </c>
      <c r="M16" s="30">
        <f t="shared" si="79"/>
        <v>32.760598180257333</v>
      </c>
      <c r="N16" s="30">
        <f t="shared" si="79"/>
        <v>33.510912923529702</v>
      </c>
      <c r="O16" s="30">
        <f t="shared" si="79"/>
        <v>34.261227666802071</v>
      </c>
      <c r="P16" s="30">
        <v>35.011542410074455</v>
      </c>
      <c r="Q16" s="30">
        <f t="shared" ref="Q16:T16" si="80">P16+(($U16-$P16)/5)</f>
        <v>35.426089856476267</v>
      </c>
      <c r="R16" s="30">
        <f t="shared" si="80"/>
        <v>35.840637302878079</v>
      </c>
      <c r="S16" s="30">
        <f t="shared" si="80"/>
        <v>36.255184749279891</v>
      </c>
      <c r="T16" s="30">
        <f t="shared" si="80"/>
        <v>36.669732195681704</v>
      </c>
      <c r="U16" s="30">
        <v>37.084279642083509</v>
      </c>
      <c r="V16" s="30">
        <f t="shared" ref="V16:Y16" si="81">U16+(($Z16-$U16)/5)</f>
        <v>37.535341065945637</v>
      </c>
      <c r="W16" s="30">
        <f t="shared" si="81"/>
        <v>37.986402489807766</v>
      </c>
      <c r="X16" s="30">
        <f t="shared" si="81"/>
        <v>38.437463913669895</v>
      </c>
      <c r="Y16" s="30">
        <f t="shared" si="81"/>
        <v>38.888525337532023</v>
      </c>
      <c r="Z16" s="30">
        <v>39.339586761394145</v>
      </c>
      <c r="AA16" s="30">
        <f t="shared" ref="AA16:AD16" si="82">Z16+(($AE16-$Z16)/5)</f>
        <v>39.678842688178641</v>
      </c>
      <c r="AB16" s="30">
        <f t="shared" si="82"/>
        <v>40.018098614963137</v>
      </c>
      <c r="AC16" s="30">
        <f t="shared" si="82"/>
        <v>40.357354541747632</v>
      </c>
      <c r="AD16" s="30">
        <f t="shared" si="82"/>
        <v>40.696610468532128</v>
      </c>
      <c r="AE16" s="30">
        <v>41.035866395316638</v>
      </c>
      <c r="AF16" s="30">
        <f t="shared" ref="AF16:AI16" si="83">AE16+(($AJ16-$AE16)/5)</f>
        <v>41.352031785127117</v>
      </c>
      <c r="AG16" s="30">
        <f t="shared" si="83"/>
        <v>41.668197174937596</v>
      </c>
      <c r="AH16" s="30">
        <f t="shared" si="83"/>
        <v>41.984362564748075</v>
      </c>
      <c r="AI16" s="30">
        <f t="shared" si="83"/>
        <v>42.300527954558554</v>
      </c>
      <c r="AJ16" s="30">
        <v>42.616693344369047</v>
      </c>
      <c r="AK16" s="31">
        <v>2.7746441050784831</v>
      </c>
      <c r="AL16" s="31">
        <v>0.98768699084237355</v>
      </c>
    </row>
    <row r="17" spans="1:38" x14ac:dyDescent="0.3">
      <c r="A17" t="str">
        <f>VLOOKUP(B17,'Country codes'!$A$1:$B$28,2,FALSE)</f>
        <v>IE</v>
      </c>
      <c r="B17" s="23" t="s">
        <v>104</v>
      </c>
      <c r="C17" s="24" t="s">
        <v>121</v>
      </c>
      <c r="D17" s="28" t="s">
        <v>125</v>
      </c>
      <c r="E17" s="29" t="s">
        <v>240</v>
      </c>
      <c r="F17" s="30">
        <v>10.957248036955141</v>
      </c>
      <c r="G17" s="30">
        <f t="shared" ref="G17:J17" si="84">F17+(($K17-$F17)/5)</f>
        <v>11.384109676085259</v>
      </c>
      <c r="H17" s="30">
        <f t="shared" si="84"/>
        <v>11.810971315215378</v>
      </c>
      <c r="I17" s="30">
        <f t="shared" si="84"/>
        <v>12.237832954345496</v>
      </c>
      <c r="J17" s="30">
        <f t="shared" si="84"/>
        <v>12.664694593475614</v>
      </c>
      <c r="K17" s="30">
        <v>13.091556232605733</v>
      </c>
      <c r="L17" s="30">
        <f t="shared" ref="L17:O17" si="85">K17+(($P17-$K17)/5)</f>
        <v>13.603681397709762</v>
      </c>
      <c r="M17" s="30">
        <f t="shared" si="85"/>
        <v>14.115806562813791</v>
      </c>
      <c r="N17" s="30">
        <f t="shared" si="85"/>
        <v>14.62793172791782</v>
      </c>
      <c r="O17" s="30">
        <f t="shared" si="85"/>
        <v>15.14005689302185</v>
      </c>
      <c r="P17" s="30">
        <v>15.652182058125881</v>
      </c>
      <c r="Q17" s="30">
        <f t="shared" ref="Q17:T17" si="86">P17+(($U17-$P17)/5)</f>
        <v>15.854746957713312</v>
      </c>
      <c r="R17" s="30">
        <f t="shared" si="86"/>
        <v>16.057311857300743</v>
      </c>
      <c r="S17" s="30">
        <f t="shared" si="86"/>
        <v>16.259876756888172</v>
      </c>
      <c r="T17" s="30">
        <f t="shared" si="86"/>
        <v>16.462441656475601</v>
      </c>
      <c r="U17" s="30">
        <v>16.665006556063034</v>
      </c>
      <c r="V17" s="30">
        <f t="shared" ref="V17:Y17" si="87">U17+(($Z17-$U17)/5)</f>
        <v>16.915709938217706</v>
      </c>
      <c r="W17" s="30">
        <f t="shared" si="87"/>
        <v>17.166413320372378</v>
      </c>
      <c r="X17" s="30">
        <f t="shared" si="87"/>
        <v>17.41711670252705</v>
      </c>
      <c r="Y17" s="30">
        <f t="shared" si="87"/>
        <v>17.667820084681722</v>
      </c>
      <c r="Z17" s="30">
        <v>17.918523466836398</v>
      </c>
      <c r="AA17" s="30">
        <f t="shared" ref="AA17:AD17" si="88">Z17+(($AE17-$Z17)/5)</f>
        <v>18.088086502465924</v>
      </c>
      <c r="AB17" s="30">
        <f t="shared" si="88"/>
        <v>18.25764953809545</v>
      </c>
      <c r="AC17" s="30">
        <f t="shared" si="88"/>
        <v>18.427212573724976</v>
      </c>
      <c r="AD17" s="30">
        <f t="shared" si="88"/>
        <v>18.596775609354502</v>
      </c>
      <c r="AE17" s="30">
        <v>18.766338644984035</v>
      </c>
      <c r="AF17" s="30">
        <f t="shared" ref="AF17:AI17" si="89">AE17+(($AJ17-$AE17)/5)</f>
        <v>19.099992927130955</v>
      </c>
      <c r="AG17" s="30">
        <f t="shared" si="89"/>
        <v>19.433647209277876</v>
      </c>
      <c r="AH17" s="30">
        <f t="shared" si="89"/>
        <v>19.767301491424796</v>
      </c>
      <c r="AI17" s="30">
        <f t="shared" si="89"/>
        <v>20.100955773571716</v>
      </c>
      <c r="AJ17" s="30">
        <v>20.43461005571864</v>
      </c>
      <c r="AK17" s="31">
        <v>3.6304394475568325</v>
      </c>
      <c r="AL17" s="31">
        <v>1.3420238690001973</v>
      </c>
    </row>
    <row r="18" spans="1:38" x14ac:dyDescent="0.3">
      <c r="A18" t="str">
        <f>VLOOKUP(B18,'Country codes'!$A$1:$B$28,2,FALSE)</f>
        <v>IT</v>
      </c>
      <c r="B18" s="23" t="s">
        <v>105</v>
      </c>
      <c r="C18" s="24" t="s">
        <v>121</v>
      </c>
      <c r="D18" s="28" t="s">
        <v>125</v>
      </c>
      <c r="E18" s="29" t="s">
        <v>240</v>
      </c>
      <c r="F18" s="30">
        <v>149.07716583053241</v>
      </c>
      <c r="G18" s="30">
        <f t="shared" ref="G18:J18" si="90">F18+(($K18-$F18)/5)</f>
        <v>152.51375921940223</v>
      </c>
      <c r="H18" s="30">
        <f t="shared" si="90"/>
        <v>155.95035260827206</v>
      </c>
      <c r="I18" s="30">
        <f t="shared" si="90"/>
        <v>159.38694599714188</v>
      </c>
      <c r="J18" s="30">
        <f t="shared" si="90"/>
        <v>162.8235393860117</v>
      </c>
      <c r="K18" s="30">
        <v>166.26013277488153</v>
      </c>
      <c r="L18" s="30">
        <f t="shared" ref="L18:O18" si="91">K18+(($P18-$K18)/5)</f>
        <v>170.10180015502925</v>
      </c>
      <c r="M18" s="30">
        <f t="shared" si="91"/>
        <v>173.94346753517698</v>
      </c>
      <c r="N18" s="30">
        <f t="shared" si="91"/>
        <v>177.7851349153247</v>
      </c>
      <c r="O18" s="30">
        <f t="shared" si="91"/>
        <v>181.62680229547243</v>
      </c>
      <c r="P18" s="30">
        <v>185.46846967562013</v>
      </c>
      <c r="Q18" s="30">
        <f t="shared" ref="Q18:T18" si="92">P18+(($U18-$P18)/5)</f>
        <v>188.60272164432013</v>
      </c>
      <c r="R18" s="30">
        <f t="shared" si="92"/>
        <v>191.73697361302013</v>
      </c>
      <c r="S18" s="30">
        <f t="shared" si="92"/>
        <v>194.87122558172013</v>
      </c>
      <c r="T18" s="30">
        <f t="shared" si="92"/>
        <v>198.00547755042012</v>
      </c>
      <c r="U18" s="30">
        <v>201.13972951912007</v>
      </c>
      <c r="V18" s="30">
        <f t="shared" ref="V18:Y18" si="93">U18+(($Z18-$U18)/5)</f>
        <v>203.44096327558884</v>
      </c>
      <c r="W18" s="30">
        <f t="shared" si="93"/>
        <v>205.74219703205762</v>
      </c>
      <c r="X18" s="30">
        <f t="shared" si="93"/>
        <v>208.04343078852639</v>
      </c>
      <c r="Y18" s="30">
        <f t="shared" si="93"/>
        <v>210.34466454499517</v>
      </c>
      <c r="Z18" s="30">
        <v>212.645898301464</v>
      </c>
      <c r="AA18" s="30">
        <f t="shared" ref="AA18:AD18" si="94">Z18+(($AE18-$Z18)/5)</f>
        <v>214.36379850871307</v>
      </c>
      <c r="AB18" s="30">
        <f t="shared" si="94"/>
        <v>216.08169871596215</v>
      </c>
      <c r="AC18" s="30">
        <f t="shared" si="94"/>
        <v>217.79959892321122</v>
      </c>
      <c r="AD18" s="30">
        <f t="shared" si="94"/>
        <v>219.51749913046029</v>
      </c>
      <c r="AE18" s="30">
        <v>221.23539933770934</v>
      </c>
      <c r="AF18" s="30">
        <f t="shared" ref="AF18:AI18" si="95">AE18+(($AJ18-$AE18)/5)</f>
        <v>222.94345899989241</v>
      </c>
      <c r="AG18" s="30">
        <f t="shared" si="95"/>
        <v>224.65151866207549</v>
      </c>
      <c r="AH18" s="30">
        <f t="shared" si="95"/>
        <v>226.35957832425856</v>
      </c>
      <c r="AI18" s="30">
        <f t="shared" si="95"/>
        <v>228.06763798644164</v>
      </c>
      <c r="AJ18" s="30">
        <v>229.77569764862471</v>
      </c>
      <c r="AK18" s="31">
        <v>2.2082367487022747</v>
      </c>
      <c r="AL18" s="31">
        <v>1.0768503054080281</v>
      </c>
    </row>
    <row r="19" spans="1:38" x14ac:dyDescent="0.3">
      <c r="A19" t="str">
        <f>VLOOKUP(B19,'Country codes'!$A$1:$B$28,2,FALSE)</f>
        <v>LT</v>
      </c>
      <c r="B19" s="23" t="s">
        <v>106</v>
      </c>
      <c r="C19" s="24" t="s">
        <v>121</v>
      </c>
      <c r="D19" s="28" t="s">
        <v>125</v>
      </c>
      <c r="E19" s="29" t="s">
        <v>240</v>
      </c>
      <c r="F19" s="30">
        <v>7.7131209660480229</v>
      </c>
      <c r="G19" s="30">
        <f t="shared" ref="G19:J19" si="96">F19+(($K19-$F19)/5)</f>
        <v>7.9370120743286812</v>
      </c>
      <c r="H19" s="30">
        <f t="shared" si="96"/>
        <v>8.1609031826093403</v>
      </c>
      <c r="I19" s="30">
        <f t="shared" si="96"/>
        <v>8.3847942908899995</v>
      </c>
      <c r="J19" s="30">
        <f t="shared" si="96"/>
        <v>8.6086853991706587</v>
      </c>
      <c r="K19" s="30">
        <v>8.8325765074513161</v>
      </c>
      <c r="L19" s="30">
        <f t="shared" ref="L19:O19" si="97">K19+(($P19-$K19)/5)</f>
        <v>8.9410767829996143</v>
      </c>
      <c r="M19" s="30">
        <f t="shared" si="97"/>
        <v>9.0495770585479125</v>
      </c>
      <c r="N19" s="30">
        <f t="shared" si="97"/>
        <v>9.1580773340962107</v>
      </c>
      <c r="O19" s="30">
        <f t="shared" si="97"/>
        <v>9.2665776096445089</v>
      </c>
      <c r="P19" s="30">
        <v>9.3750778851928072</v>
      </c>
      <c r="Q19" s="30">
        <f t="shared" ref="Q19:T19" si="98">P19+(($U19-$P19)/5)</f>
        <v>9.4471494115130188</v>
      </c>
      <c r="R19" s="30">
        <f t="shared" si="98"/>
        <v>9.5192209378332304</v>
      </c>
      <c r="S19" s="30">
        <f t="shared" si="98"/>
        <v>9.5912924641534421</v>
      </c>
      <c r="T19" s="30">
        <f t="shared" si="98"/>
        <v>9.6633639904736537</v>
      </c>
      <c r="U19" s="30">
        <v>9.7354355167938653</v>
      </c>
      <c r="V19" s="30">
        <f t="shared" ref="V19:Y19" si="99">U19+(($Z19-$U19)/5)</f>
        <v>9.8334935051621013</v>
      </c>
      <c r="W19" s="30">
        <f t="shared" si="99"/>
        <v>9.9315514935303373</v>
      </c>
      <c r="X19" s="30">
        <f t="shared" si="99"/>
        <v>10.029609481898573</v>
      </c>
      <c r="Y19" s="30">
        <f t="shared" si="99"/>
        <v>10.127667470266809</v>
      </c>
      <c r="Z19" s="30">
        <v>10.225725458635043</v>
      </c>
      <c r="AA19" s="30">
        <f t="shared" ref="AA19:AD19" si="100">Z19+(($AE19-$Z19)/5)</f>
        <v>10.271066120819908</v>
      </c>
      <c r="AB19" s="30">
        <f t="shared" si="100"/>
        <v>10.316406783004773</v>
      </c>
      <c r="AC19" s="30">
        <f t="shared" si="100"/>
        <v>10.361747445189637</v>
      </c>
      <c r="AD19" s="30">
        <f t="shared" si="100"/>
        <v>10.407088107374502</v>
      </c>
      <c r="AE19" s="30">
        <v>10.452428769559365</v>
      </c>
      <c r="AF19" s="30">
        <f t="shared" ref="AF19:AI19" si="101">AE19+(($AJ19-$AE19)/5)</f>
        <v>10.494329825129897</v>
      </c>
      <c r="AG19" s="30">
        <f t="shared" si="101"/>
        <v>10.53623088070043</v>
      </c>
      <c r="AH19" s="30">
        <f t="shared" si="101"/>
        <v>10.578131936270962</v>
      </c>
      <c r="AI19" s="30">
        <f t="shared" si="101"/>
        <v>10.620032991841494</v>
      </c>
      <c r="AJ19" s="30">
        <v>10.661934047412023</v>
      </c>
      <c r="AK19" s="31">
        <v>1.9704824769752882</v>
      </c>
      <c r="AL19" s="31">
        <v>0.64519725305112186</v>
      </c>
    </row>
    <row r="20" spans="1:38" x14ac:dyDescent="0.3">
      <c r="A20" t="str">
        <f>VLOOKUP(B20,'Country codes'!$A$1:$B$28,2,FALSE)</f>
        <v>LU</v>
      </c>
      <c r="B20" s="23" t="s">
        <v>107</v>
      </c>
      <c r="C20" s="24" t="s">
        <v>121</v>
      </c>
      <c r="D20" s="28" t="s">
        <v>125</v>
      </c>
      <c r="E20" s="29" t="s">
        <v>240</v>
      </c>
      <c r="F20" s="30">
        <v>3.0948648428547068</v>
      </c>
      <c r="G20" s="30">
        <f t="shared" ref="G20:J20" si="102">F20+(($K20-$F20)/5)</f>
        <v>3.2683471348239985</v>
      </c>
      <c r="H20" s="30">
        <f t="shared" si="102"/>
        <v>3.4418294267932903</v>
      </c>
      <c r="I20" s="30">
        <f t="shared" si="102"/>
        <v>3.6153117187625821</v>
      </c>
      <c r="J20" s="30">
        <f t="shared" si="102"/>
        <v>3.7887940107318738</v>
      </c>
      <c r="K20" s="30">
        <v>3.962276302701166</v>
      </c>
      <c r="L20" s="30">
        <f t="shared" ref="L20:O20" si="103">K20+(($P20-$K20)/5)</f>
        <v>4.0837908500539157</v>
      </c>
      <c r="M20" s="30">
        <f t="shared" si="103"/>
        <v>4.2053053974066659</v>
      </c>
      <c r="N20" s="30">
        <f t="shared" si="103"/>
        <v>4.326819944759416</v>
      </c>
      <c r="O20" s="30">
        <f t="shared" si="103"/>
        <v>4.4483344921121661</v>
      </c>
      <c r="P20" s="30">
        <v>4.5698490394649163</v>
      </c>
      <c r="Q20" s="30">
        <f t="shared" ref="Q20:T20" si="104">P20+(($U20-$P20)/5)</f>
        <v>4.617922991272092</v>
      </c>
      <c r="R20" s="30">
        <f t="shared" si="104"/>
        <v>4.6659969430792678</v>
      </c>
      <c r="S20" s="30">
        <f t="shared" si="104"/>
        <v>4.7140708948864436</v>
      </c>
      <c r="T20" s="30">
        <f t="shared" si="104"/>
        <v>4.7621448466936194</v>
      </c>
      <c r="U20" s="30">
        <v>4.8102187985007969</v>
      </c>
      <c r="V20" s="30">
        <f t="shared" ref="V20:Y20" si="105">U20+(($Z20-$U20)/5)</f>
        <v>4.8581614148628205</v>
      </c>
      <c r="W20" s="30">
        <f t="shared" si="105"/>
        <v>4.9061040312248441</v>
      </c>
      <c r="X20" s="30">
        <f t="shared" si="105"/>
        <v>4.9540466475868676</v>
      </c>
      <c r="Y20" s="30">
        <f t="shared" si="105"/>
        <v>5.0019892639488912</v>
      </c>
      <c r="Z20" s="30">
        <v>5.0499318803109166</v>
      </c>
      <c r="AA20" s="30">
        <f t="shared" ref="AA20:AD20" si="106">Z20+(($AE20-$Z20)/5)</f>
        <v>5.0897765267051769</v>
      </c>
      <c r="AB20" s="30">
        <f t="shared" si="106"/>
        <v>5.1296211730994372</v>
      </c>
      <c r="AC20" s="30">
        <f t="shared" si="106"/>
        <v>5.1694658194936975</v>
      </c>
      <c r="AD20" s="30">
        <f t="shared" si="106"/>
        <v>5.2093104658879579</v>
      </c>
      <c r="AE20" s="30">
        <v>5.2491551122822164</v>
      </c>
      <c r="AF20" s="30">
        <f t="shared" ref="AF20:AI20" si="107">AE20+(($AJ20-$AE20)/5)</f>
        <v>5.2915434649689006</v>
      </c>
      <c r="AG20" s="30">
        <f t="shared" si="107"/>
        <v>5.3339318176555848</v>
      </c>
      <c r="AH20" s="30">
        <f t="shared" si="107"/>
        <v>5.3763201703422689</v>
      </c>
      <c r="AI20" s="30">
        <f t="shared" si="107"/>
        <v>5.4187085230289531</v>
      </c>
      <c r="AJ20" s="30">
        <v>5.4610968757156391</v>
      </c>
      <c r="AK20" s="31">
        <v>3.9743027391530239</v>
      </c>
      <c r="AL20" s="31">
        <v>0.89482731105523516</v>
      </c>
    </row>
    <row r="21" spans="1:38" x14ac:dyDescent="0.3">
      <c r="A21" t="str">
        <f>VLOOKUP(B21,'Country codes'!$A$1:$B$28,2,FALSE)</f>
        <v>LV</v>
      </c>
      <c r="B21" s="23" t="s">
        <v>108</v>
      </c>
      <c r="C21" s="24" t="s">
        <v>121</v>
      </c>
      <c r="D21" s="28" t="s">
        <v>125</v>
      </c>
      <c r="E21" s="29" t="s">
        <v>240</v>
      </c>
      <c r="F21" s="30">
        <v>5.1857661226357177</v>
      </c>
      <c r="G21" s="30">
        <f t="shared" ref="G21:J21" si="108">F21+(($K21-$F21)/5)</f>
        <v>5.3334312099750623</v>
      </c>
      <c r="H21" s="30">
        <f t="shared" si="108"/>
        <v>5.4810962973144068</v>
      </c>
      <c r="I21" s="30">
        <f t="shared" si="108"/>
        <v>5.6287613846537514</v>
      </c>
      <c r="J21" s="30">
        <f t="shared" si="108"/>
        <v>5.776426471993096</v>
      </c>
      <c r="K21" s="30">
        <v>5.9240915593324424</v>
      </c>
      <c r="L21" s="30">
        <f t="shared" ref="L21:O21" si="109">K21+(($P21-$K21)/5)</f>
        <v>6.0022885557789127</v>
      </c>
      <c r="M21" s="30">
        <f t="shared" si="109"/>
        <v>6.0804855522253831</v>
      </c>
      <c r="N21" s="30">
        <f t="shared" si="109"/>
        <v>6.1586825486718535</v>
      </c>
      <c r="O21" s="30">
        <f t="shared" si="109"/>
        <v>6.2368795451183239</v>
      </c>
      <c r="P21" s="30">
        <v>6.3150765415647925</v>
      </c>
      <c r="Q21" s="30">
        <f t="shared" ref="Q21:T21" si="110">P21+(($U21-$P21)/5)</f>
        <v>6.3877550210956278</v>
      </c>
      <c r="R21" s="30">
        <f t="shared" si="110"/>
        <v>6.460433500626463</v>
      </c>
      <c r="S21" s="30">
        <f t="shared" si="110"/>
        <v>6.5331119801572983</v>
      </c>
      <c r="T21" s="30">
        <f t="shared" si="110"/>
        <v>6.6057904596881336</v>
      </c>
      <c r="U21" s="30">
        <v>6.678468939218968</v>
      </c>
      <c r="V21" s="30">
        <f t="shared" ref="V21:Y21" si="111">U21+(($Z21-$U21)/5)</f>
        <v>6.7503456185135278</v>
      </c>
      <c r="W21" s="30">
        <f t="shared" si="111"/>
        <v>6.8222222978080875</v>
      </c>
      <c r="X21" s="30">
        <f t="shared" si="111"/>
        <v>6.8940989771026473</v>
      </c>
      <c r="Y21" s="30">
        <f t="shared" si="111"/>
        <v>6.9659756563972071</v>
      </c>
      <c r="Z21" s="30">
        <v>7.0378523356917668</v>
      </c>
      <c r="AA21" s="30">
        <f t="shared" ref="AA21:AD21" si="112">Z21+(($AE21-$Z21)/5)</f>
        <v>7.0475424441764378</v>
      </c>
      <c r="AB21" s="30">
        <f t="shared" si="112"/>
        <v>7.0572325526611088</v>
      </c>
      <c r="AC21" s="30">
        <f t="shared" si="112"/>
        <v>7.0669226611457798</v>
      </c>
      <c r="AD21" s="30">
        <f t="shared" si="112"/>
        <v>7.0766127696304508</v>
      </c>
      <c r="AE21" s="30">
        <v>7.0863028781151218</v>
      </c>
      <c r="AF21" s="30">
        <f t="shared" ref="AF21:AI21" si="113">AE21+(($AJ21-$AE21)/5)</f>
        <v>7.0917451218236858</v>
      </c>
      <c r="AG21" s="30">
        <f t="shared" si="113"/>
        <v>7.0971873655322497</v>
      </c>
      <c r="AH21" s="30">
        <f t="shared" si="113"/>
        <v>7.1026296092408137</v>
      </c>
      <c r="AI21" s="30">
        <f t="shared" si="113"/>
        <v>7.1080718529493776</v>
      </c>
      <c r="AJ21" s="30">
        <v>7.1135140966579424</v>
      </c>
      <c r="AK21" s="31">
        <v>1.9897598680478357</v>
      </c>
      <c r="AL21" s="31">
        <v>0.5970577893319895</v>
      </c>
    </row>
    <row r="22" spans="1:38" x14ac:dyDescent="0.3">
      <c r="A22" t="str">
        <f>VLOOKUP(B22,'Country codes'!$A$1:$B$28,2,FALSE)</f>
        <v>MT</v>
      </c>
      <c r="B22" s="23" t="s">
        <v>109</v>
      </c>
      <c r="C22" s="24" t="s">
        <v>121</v>
      </c>
      <c r="D22" s="28" t="s">
        <v>125</v>
      </c>
      <c r="E22" s="29" t="s">
        <v>240</v>
      </c>
      <c r="F22" s="30">
        <v>0.26252492611632422</v>
      </c>
      <c r="G22" s="30">
        <f t="shared" ref="G22:J22" si="114">F22+(($K22-$F22)/5)</f>
        <v>0.27321906415887526</v>
      </c>
      <c r="H22" s="30">
        <f t="shared" si="114"/>
        <v>0.2839132022014263</v>
      </c>
      <c r="I22" s="30">
        <f t="shared" si="114"/>
        <v>0.29460734024397733</v>
      </c>
      <c r="J22" s="30">
        <f t="shared" si="114"/>
        <v>0.30530147828652837</v>
      </c>
      <c r="K22" s="30">
        <v>0.31599561632907935</v>
      </c>
      <c r="L22" s="30">
        <f t="shared" ref="L22:O22" si="115">K22+(($P22-$K22)/5)</f>
        <v>0.32806145399794978</v>
      </c>
      <c r="M22" s="30">
        <f t="shared" si="115"/>
        <v>0.34012729166682021</v>
      </c>
      <c r="N22" s="30">
        <f t="shared" si="115"/>
        <v>0.35219312933569064</v>
      </c>
      <c r="O22" s="30">
        <f t="shared" si="115"/>
        <v>0.36425896700456106</v>
      </c>
      <c r="P22" s="30">
        <v>0.3763248046734316</v>
      </c>
      <c r="Q22" s="30">
        <f t="shared" ref="Q22:T22" si="116">P22+(($U22-$P22)/5)</f>
        <v>0.38375244838703532</v>
      </c>
      <c r="R22" s="30">
        <f t="shared" si="116"/>
        <v>0.39118009210063903</v>
      </c>
      <c r="S22" s="30">
        <f t="shared" si="116"/>
        <v>0.39860773581424275</v>
      </c>
      <c r="T22" s="30">
        <f t="shared" si="116"/>
        <v>0.40603537952784646</v>
      </c>
      <c r="U22" s="30">
        <v>0.41346302324145018</v>
      </c>
      <c r="V22" s="30">
        <f t="shared" ref="V22:Y22" si="117">U22+(($Z22-$U22)/5)</f>
        <v>0.42022488602742331</v>
      </c>
      <c r="W22" s="30">
        <f t="shared" si="117"/>
        <v>0.42698674881339643</v>
      </c>
      <c r="X22" s="30">
        <f t="shared" si="117"/>
        <v>0.43374861159936956</v>
      </c>
      <c r="Y22" s="30">
        <f t="shared" si="117"/>
        <v>0.44051047438534269</v>
      </c>
      <c r="Z22" s="30">
        <v>0.44727233717131593</v>
      </c>
      <c r="AA22" s="30">
        <f t="shared" ref="AA22:AD22" si="118">Z22+(($AE22-$Z22)/5)</f>
        <v>0.45199046758081685</v>
      </c>
      <c r="AB22" s="30">
        <f t="shared" si="118"/>
        <v>0.45670859799031777</v>
      </c>
      <c r="AC22" s="30">
        <f t="shared" si="118"/>
        <v>0.46142672839981869</v>
      </c>
      <c r="AD22" s="30">
        <f t="shared" si="118"/>
        <v>0.46614485880931961</v>
      </c>
      <c r="AE22" s="30">
        <v>0.47086298921882042</v>
      </c>
      <c r="AF22" s="30">
        <f t="shared" ref="AF22:AI22" si="119">AE22+(($AJ22-$AE22)/5)</f>
        <v>0.47555513764522689</v>
      </c>
      <c r="AG22" s="30">
        <f t="shared" si="119"/>
        <v>0.48024728607163336</v>
      </c>
      <c r="AH22" s="30">
        <f t="shared" si="119"/>
        <v>0.48493943449803983</v>
      </c>
      <c r="AI22" s="30">
        <f t="shared" si="119"/>
        <v>0.48963158292444631</v>
      </c>
      <c r="AJ22" s="30">
        <v>0.49432373135085289</v>
      </c>
      <c r="AK22" s="31">
        <v>3.6666895077737571</v>
      </c>
      <c r="AL22" s="31">
        <v>1.3730307464794977</v>
      </c>
    </row>
    <row r="23" spans="1:38" x14ac:dyDescent="0.3">
      <c r="A23" t="str">
        <f>VLOOKUP(B23,'Country codes'!$A$1:$B$28,2,FALSE)</f>
        <v>NL</v>
      </c>
      <c r="B23" s="23" t="s">
        <v>110</v>
      </c>
      <c r="C23" s="24" t="s">
        <v>121</v>
      </c>
      <c r="D23" s="28" t="s">
        <v>125</v>
      </c>
      <c r="E23" s="29" t="s">
        <v>240</v>
      </c>
      <c r="F23" s="30">
        <v>53.750807693535208</v>
      </c>
      <c r="G23" s="30">
        <f t="shared" ref="G23:J23" si="120">F23+(($K23-$F23)/5)</f>
        <v>55.069344354222643</v>
      </c>
      <c r="H23" s="30">
        <f t="shared" si="120"/>
        <v>56.387881014910079</v>
      </c>
      <c r="I23" s="30">
        <f t="shared" si="120"/>
        <v>57.706417675597514</v>
      </c>
      <c r="J23" s="30">
        <f t="shared" si="120"/>
        <v>59.024954336284949</v>
      </c>
      <c r="K23" s="30">
        <v>60.343490996972392</v>
      </c>
      <c r="L23" s="30">
        <f t="shared" ref="L23:O23" si="121">K23+(($P23-$K23)/5)</f>
        <v>61.268807268507523</v>
      </c>
      <c r="M23" s="30">
        <f t="shared" si="121"/>
        <v>62.194123540042654</v>
      </c>
      <c r="N23" s="30">
        <f t="shared" si="121"/>
        <v>63.119439811577784</v>
      </c>
      <c r="O23" s="30">
        <f t="shared" si="121"/>
        <v>64.044756083112915</v>
      </c>
      <c r="P23" s="30">
        <v>64.970072354648039</v>
      </c>
      <c r="Q23" s="30">
        <f t="shared" ref="Q23:T23" si="122">P23+(($U23-$P23)/5)</f>
        <v>65.289384392422463</v>
      </c>
      <c r="R23" s="30">
        <f t="shared" si="122"/>
        <v>65.608696430196886</v>
      </c>
      <c r="S23" s="30">
        <f t="shared" si="122"/>
        <v>65.92800846797131</v>
      </c>
      <c r="T23" s="30">
        <f t="shared" si="122"/>
        <v>66.247320505745733</v>
      </c>
      <c r="U23" s="30">
        <v>66.566632543520129</v>
      </c>
      <c r="V23" s="30">
        <f t="shared" ref="V23:Y23" si="123">U23+(($Z23-$U23)/5)</f>
        <v>66.928326324615057</v>
      </c>
      <c r="W23" s="30">
        <f t="shared" si="123"/>
        <v>67.290020105709985</v>
      </c>
      <c r="X23" s="30">
        <f t="shared" si="123"/>
        <v>67.651713886804913</v>
      </c>
      <c r="Y23" s="30">
        <f t="shared" si="123"/>
        <v>68.013407667899841</v>
      </c>
      <c r="Z23" s="30">
        <v>68.375101448994741</v>
      </c>
      <c r="AA23" s="30">
        <f t="shared" ref="AA23:AD23" si="124">Z23+(($AE23-$Z23)/5)</f>
        <v>68.797492445519111</v>
      </c>
      <c r="AB23" s="30">
        <f t="shared" si="124"/>
        <v>69.219883442043482</v>
      </c>
      <c r="AC23" s="30">
        <f t="shared" si="124"/>
        <v>69.642274438567853</v>
      </c>
      <c r="AD23" s="30">
        <f t="shared" si="124"/>
        <v>70.064665435092223</v>
      </c>
      <c r="AE23" s="30">
        <v>70.487056431616566</v>
      </c>
      <c r="AF23" s="30">
        <f t="shared" ref="AF23:AI23" si="125">AE23+(($AJ23-$AE23)/5)</f>
        <v>70.889714498910948</v>
      </c>
      <c r="AG23" s="30">
        <f t="shared" si="125"/>
        <v>71.29237256620533</v>
      </c>
      <c r="AH23" s="30">
        <f t="shared" si="125"/>
        <v>71.695030633499712</v>
      </c>
      <c r="AI23" s="30">
        <f t="shared" si="125"/>
        <v>72.097688700794095</v>
      </c>
      <c r="AJ23" s="30">
        <v>72.500346768088477</v>
      </c>
      <c r="AK23" s="31">
        <v>1.9137625487225973</v>
      </c>
      <c r="AL23" s="31">
        <v>0.54982907365013212</v>
      </c>
    </row>
    <row r="24" spans="1:38" x14ac:dyDescent="0.3">
      <c r="A24" t="str">
        <f>VLOOKUP(B24,'Country codes'!$A$1:$B$28,2,FALSE)</f>
        <v>PL</v>
      </c>
      <c r="B24" s="23" t="s">
        <v>111</v>
      </c>
      <c r="C24" s="24" t="s">
        <v>121</v>
      </c>
      <c r="D24" s="28" t="s">
        <v>125</v>
      </c>
      <c r="E24" s="29" t="s">
        <v>240</v>
      </c>
      <c r="F24" s="30">
        <v>178.8259750109566</v>
      </c>
      <c r="G24" s="30">
        <f t="shared" ref="G24:J24" si="126">F24+(($K24-$F24)/5)</f>
        <v>186.15384609063315</v>
      </c>
      <c r="H24" s="30">
        <f t="shared" si="126"/>
        <v>193.48171717030971</v>
      </c>
      <c r="I24" s="30">
        <f t="shared" si="126"/>
        <v>200.80958824998626</v>
      </c>
      <c r="J24" s="30">
        <f t="shared" si="126"/>
        <v>208.13745932966282</v>
      </c>
      <c r="K24" s="30">
        <v>215.46533040933937</v>
      </c>
      <c r="L24" s="30">
        <f t="shared" ref="L24:O24" si="127">K24+(($P24-$K24)/5)</f>
        <v>221.86205335422844</v>
      </c>
      <c r="M24" s="30">
        <f t="shared" si="127"/>
        <v>228.2587762991175</v>
      </c>
      <c r="N24" s="30">
        <f t="shared" si="127"/>
        <v>234.65549924400656</v>
      </c>
      <c r="O24" s="30">
        <f t="shared" si="127"/>
        <v>241.05222218889563</v>
      </c>
      <c r="P24" s="30">
        <v>247.44894513378475</v>
      </c>
      <c r="Q24" s="30">
        <f t="shared" ref="Q24:T24" si="128">P24+(($U24-$P24)/5)</f>
        <v>251.88449402646327</v>
      </c>
      <c r="R24" s="30">
        <f t="shared" si="128"/>
        <v>256.32004291914177</v>
      </c>
      <c r="S24" s="30">
        <f t="shared" si="128"/>
        <v>260.7555918118203</v>
      </c>
      <c r="T24" s="30">
        <f t="shared" si="128"/>
        <v>265.19114070449882</v>
      </c>
      <c r="U24" s="30">
        <v>269.62668959717735</v>
      </c>
      <c r="V24" s="30">
        <f t="shared" ref="V24:Y24" si="129">U24+(($Z24-$U24)/5)</f>
        <v>274.151980465701</v>
      </c>
      <c r="W24" s="30">
        <f t="shared" si="129"/>
        <v>278.67727133422466</v>
      </c>
      <c r="X24" s="30">
        <f t="shared" si="129"/>
        <v>283.20256220274831</v>
      </c>
      <c r="Y24" s="30">
        <f t="shared" si="129"/>
        <v>287.72785307127197</v>
      </c>
      <c r="Z24" s="30">
        <v>292.25314393979551</v>
      </c>
      <c r="AA24" s="30">
        <f t="shared" ref="AA24:AD24" si="130">Z24+(($AE24-$Z24)/5)</f>
        <v>293.86822672264753</v>
      </c>
      <c r="AB24" s="30">
        <f t="shared" si="130"/>
        <v>295.48330950549956</v>
      </c>
      <c r="AC24" s="30">
        <f t="shared" si="130"/>
        <v>297.09839228835159</v>
      </c>
      <c r="AD24" s="30">
        <f t="shared" si="130"/>
        <v>298.71347507120362</v>
      </c>
      <c r="AE24" s="30">
        <v>300.32855785405565</v>
      </c>
      <c r="AF24" s="30">
        <f t="shared" ref="AF24:AI24" si="131">AE24+(($AJ24-$AE24)/5)</f>
        <v>301.95991384846104</v>
      </c>
      <c r="AG24" s="30">
        <f t="shared" si="131"/>
        <v>303.59126984286644</v>
      </c>
      <c r="AH24" s="30">
        <f t="shared" si="131"/>
        <v>305.22262583727183</v>
      </c>
      <c r="AI24" s="30">
        <f t="shared" si="131"/>
        <v>306.85398183167723</v>
      </c>
      <c r="AJ24" s="30">
        <v>308.48533782608263</v>
      </c>
      <c r="AK24" s="31">
        <v>3.3012318677808183</v>
      </c>
      <c r="AL24" s="31">
        <v>1.1084484494491953</v>
      </c>
    </row>
    <row r="25" spans="1:38" x14ac:dyDescent="0.3">
      <c r="A25" t="str">
        <f>VLOOKUP(B25,'Country codes'!$A$1:$B$28,2,FALSE)</f>
        <v>PT</v>
      </c>
      <c r="B25" s="23" t="s">
        <v>112</v>
      </c>
      <c r="C25" s="24" t="s">
        <v>121</v>
      </c>
      <c r="D25" s="28" t="s">
        <v>125</v>
      </c>
      <c r="E25" s="29" t="s">
        <v>240</v>
      </c>
      <c r="F25" s="30">
        <v>16.661560703638408</v>
      </c>
      <c r="G25" s="30">
        <f t="shared" ref="G25:J25" si="132">F25+(($K25-$F25)/5)</f>
        <v>17.109035706706546</v>
      </c>
      <c r="H25" s="30">
        <f t="shared" si="132"/>
        <v>17.556510709774685</v>
      </c>
      <c r="I25" s="30">
        <f t="shared" si="132"/>
        <v>18.003985712842823</v>
      </c>
      <c r="J25" s="30">
        <f t="shared" si="132"/>
        <v>18.451460715910962</v>
      </c>
      <c r="K25" s="30">
        <v>18.898935718979097</v>
      </c>
      <c r="L25" s="30">
        <f t="shared" ref="L25:O25" si="133">K25+(($P25-$K25)/5)</f>
        <v>19.101358532243459</v>
      </c>
      <c r="M25" s="30">
        <f t="shared" si="133"/>
        <v>19.303781345507822</v>
      </c>
      <c r="N25" s="30">
        <f t="shared" si="133"/>
        <v>19.506204158772185</v>
      </c>
      <c r="O25" s="30">
        <f t="shared" si="133"/>
        <v>19.708626972036548</v>
      </c>
      <c r="P25" s="30">
        <v>19.911049785300907</v>
      </c>
      <c r="Q25" s="30">
        <f t="shared" ref="Q25:T25" si="134">P25+(($U25-$P25)/5)</f>
        <v>20.068101517437846</v>
      </c>
      <c r="R25" s="30">
        <f t="shared" si="134"/>
        <v>20.225153249574785</v>
      </c>
      <c r="S25" s="30">
        <f t="shared" si="134"/>
        <v>20.382204981711723</v>
      </c>
      <c r="T25" s="30">
        <f t="shared" si="134"/>
        <v>20.539256713848662</v>
      </c>
      <c r="U25" s="30">
        <v>20.696308445985601</v>
      </c>
      <c r="V25" s="30">
        <f t="shared" ref="V25:Y25" si="135">U25+(($Z25-$U25)/5)</f>
        <v>20.842266025412808</v>
      </c>
      <c r="W25" s="30">
        <f t="shared" si="135"/>
        <v>20.988223604840016</v>
      </c>
      <c r="X25" s="30">
        <f t="shared" si="135"/>
        <v>21.134181184267224</v>
      </c>
      <c r="Y25" s="30">
        <f t="shared" si="135"/>
        <v>21.280138763694431</v>
      </c>
      <c r="Z25" s="30">
        <v>21.426096343121635</v>
      </c>
      <c r="AA25" s="30">
        <f t="shared" ref="AA25:AD25" si="136">Z25+(($AE25-$Z25)/5)</f>
        <v>21.571526648112147</v>
      </c>
      <c r="AB25" s="30">
        <f t="shared" si="136"/>
        <v>21.71695695310266</v>
      </c>
      <c r="AC25" s="30">
        <f t="shared" si="136"/>
        <v>21.862387258093172</v>
      </c>
      <c r="AD25" s="30">
        <f t="shared" si="136"/>
        <v>22.007817563083684</v>
      </c>
      <c r="AE25" s="30">
        <v>22.153247868074196</v>
      </c>
      <c r="AF25" s="30">
        <f t="shared" ref="AF25:AI25" si="137">AE25+(($AJ25-$AE25)/5)</f>
        <v>22.318573562493846</v>
      </c>
      <c r="AG25" s="30">
        <f t="shared" si="137"/>
        <v>22.483899256913496</v>
      </c>
      <c r="AH25" s="30">
        <f t="shared" si="137"/>
        <v>22.649224951333146</v>
      </c>
      <c r="AI25" s="30">
        <f t="shared" si="137"/>
        <v>22.814550645752796</v>
      </c>
      <c r="AJ25" s="30">
        <v>22.979876340172446</v>
      </c>
      <c r="AK25" s="31">
        <v>1.7976723685524609</v>
      </c>
      <c r="AL25" s="31">
        <v>0.71929482665784583</v>
      </c>
    </row>
    <row r="26" spans="1:38" x14ac:dyDescent="0.3">
      <c r="A26" t="str">
        <f>VLOOKUP(B26,'Country codes'!$A$1:$B$28,2,FALSE)</f>
        <v>RO</v>
      </c>
      <c r="B26" s="23" t="s">
        <v>113</v>
      </c>
      <c r="C26" s="24" t="s">
        <v>121</v>
      </c>
      <c r="D26" s="28" t="s">
        <v>125</v>
      </c>
      <c r="E26" s="29" t="s">
        <v>240</v>
      </c>
      <c r="F26" s="30">
        <v>20.04580520522029</v>
      </c>
      <c r="G26" s="30">
        <f t="shared" ref="G26:J26" si="138">F26+(($K26-$F26)/5)</f>
        <v>21.376772530198657</v>
      </c>
      <c r="H26" s="30">
        <f t="shared" si="138"/>
        <v>22.707739855177024</v>
      </c>
      <c r="I26" s="30">
        <f t="shared" si="138"/>
        <v>24.038707180155392</v>
      </c>
      <c r="J26" s="30">
        <f t="shared" si="138"/>
        <v>25.369674505133759</v>
      </c>
      <c r="K26" s="30">
        <v>26.700641830112122</v>
      </c>
      <c r="L26" s="30">
        <f t="shared" ref="L26:O26" si="139">K26+(($P26-$K26)/5)</f>
        <v>27.962399939111599</v>
      </c>
      <c r="M26" s="30">
        <f t="shared" si="139"/>
        <v>29.224158048111075</v>
      </c>
      <c r="N26" s="30">
        <f t="shared" si="139"/>
        <v>30.485916157110552</v>
      </c>
      <c r="O26" s="30">
        <f t="shared" si="139"/>
        <v>31.747674266110028</v>
      </c>
      <c r="P26" s="30">
        <v>33.009432375109512</v>
      </c>
      <c r="Q26" s="30">
        <f t="shared" ref="Q26:T26" si="140">P26+(($U26-$P26)/5)</f>
        <v>33.56581641545668</v>
      </c>
      <c r="R26" s="30">
        <f t="shared" si="140"/>
        <v>34.122200455803849</v>
      </c>
      <c r="S26" s="30">
        <f t="shared" si="140"/>
        <v>34.678584496151018</v>
      </c>
      <c r="T26" s="30">
        <f t="shared" si="140"/>
        <v>35.234968536498187</v>
      </c>
      <c r="U26" s="30">
        <v>35.791352576845348</v>
      </c>
      <c r="V26" s="30">
        <f t="shared" ref="V26:Y26" si="141">U26+(($Z26-$U26)/5)</f>
        <v>36.369967505350239</v>
      </c>
      <c r="W26" s="30">
        <f t="shared" si="141"/>
        <v>36.94858243385513</v>
      </c>
      <c r="X26" s="30">
        <f t="shared" si="141"/>
        <v>37.52719736236002</v>
      </c>
      <c r="Y26" s="30">
        <f t="shared" si="141"/>
        <v>38.105812290864911</v>
      </c>
      <c r="Z26" s="30">
        <v>38.684427219369788</v>
      </c>
      <c r="AA26" s="30">
        <f t="shared" ref="AA26:AD26" si="142">Z26+(($AE26-$Z26)/5)</f>
        <v>39.068719084903456</v>
      </c>
      <c r="AB26" s="30">
        <f t="shared" si="142"/>
        <v>39.453010950437125</v>
      </c>
      <c r="AC26" s="30">
        <f t="shared" si="142"/>
        <v>39.837302815970794</v>
      </c>
      <c r="AD26" s="30">
        <f t="shared" si="142"/>
        <v>40.221594681504463</v>
      </c>
      <c r="AE26" s="30">
        <v>40.605886547038146</v>
      </c>
      <c r="AF26" s="30">
        <f t="shared" ref="AF26:AI26" si="143">AE26+(($AJ26-$AE26)/5)</f>
        <v>40.97336319194023</v>
      </c>
      <c r="AG26" s="30">
        <f t="shared" si="143"/>
        <v>41.340839836842314</v>
      </c>
      <c r="AH26" s="30">
        <f t="shared" si="143"/>
        <v>41.708316481744397</v>
      </c>
      <c r="AI26" s="30">
        <f t="shared" si="143"/>
        <v>42.075793126646481</v>
      </c>
      <c r="AJ26" s="30">
        <v>42.44326977154855</v>
      </c>
      <c r="AK26" s="31">
        <v>5.1142159051220881</v>
      </c>
      <c r="AL26" s="31">
        <v>1.2648068964221437</v>
      </c>
    </row>
    <row r="27" spans="1:38" x14ac:dyDescent="0.3">
      <c r="A27" t="str">
        <f>VLOOKUP(B27,'Country codes'!$A$1:$B$28,2,FALSE)</f>
        <v>SE</v>
      </c>
      <c r="B27" s="23" t="s">
        <v>114</v>
      </c>
      <c r="C27" s="24" t="s">
        <v>121</v>
      </c>
      <c r="D27" s="28" t="s">
        <v>125</v>
      </c>
      <c r="E27" s="29" t="s">
        <v>240</v>
      </c>
      <c r="F27" s="30">
        <v>51.192304035303287</v>
      </c>
      <c r="G27" s="30">
        <f t="shared" ref="G27:J27" si="144">F27+(($K27-$F27)/5)</f>
        <v>52.31815036446541</v>
      </c>
      <c r="H27" s="30">
        <f t="shared" si="144"/>
        <v>53.443996693627533</v>
      </c>
      <c r="I27" s="30">
        <f t="shared" si="144"/>
        <v>54.569843022789655</v>
      </c>
      <c r="J27" s="30">
        <f t="shared" si="144"/>
        <v>55.695689351951778</v>
      </c>
      <c r="K27" s="30">
        <v>56.821535681113893</v>
      </c>
      <c r="L27" s="30">
        <f t="shared" ref="L27:O27" si="145">K27+(($P27-$K27)/5)</f>
        <v>57.468307736762689</v>
      </c>
      <c r="M27" s="30">
        <f t="shared" si="145"/>
        <v>58.115079792411485</v>
      </c>
      <c r="N27" s="30">
        <f t="shared" si="145"/>
        <v>58.761851848060282</v>
      </c>
      <c r="O27" s="30">
        <f t="shared" si="145"/>
        <v>59.408623903709078</v>
      </c>
      <c r="P27" s="30">
        <v>60.055395959357881</v>
      </c>
      <c r="Q27" s="30">
        <f t="shared" ref="Q27:T27" si="146">P27+(($U27-$P27)/5)</f>
        <v>60.374856796221486</v>
      </c>
      <c r="R27" s="30">
        <f t="shared" si="146"/>
        <v>60.694317633085092</v>
      </c>
      <c r="S27" s="30">
        <f t="shared" si="146"/>
        <v>61.013778469948697</v>
      </c>
      <c r="T27" s="30">
        <f t="shared" si="146"/>
        <v>61.333239306812303</v>
      </c>
      <c r="U27" s="30">
        <v>61.652700143675915</v>
      </c>
      <c r="V27" s="30">
        <f t="shared" ref="V27:Y27" si="147">U27+(($Z27-$U27)/5)</f>
        <v>62.071650209730805</v>
      </c>
      <c r="W27" s="30">
        <f t="shared" si="147"/>
        <v>62.490600275785695</v>
      </c>
      <c r="X27" s="30">
        <f t="shared" si="147"/>
        <v>62.909550341840585</v>
      </c>
      <c r="Y27" s="30">
        <f t="shared" si="147"/>
        <v>63.328500407895476</v>
      </c>
      <c r="Z27" s="30">
        <v>63.747450473950352</v>
      </c>
      <c r="AA27" s="30">
        <f t="shared" ref="AA27:AD27" si="148">Z27+(($AE27-$Z27)/5)</f>
        <v>64.091358295115768</v>
      </c>
      <c r="AB27" s="30">
        <f t="shared" si="148"/>
        <v>64.435266116281184</v>
      </c>
      <c r="AC27" s="30">
        <f t="shared" si="148"/>
        <v>64.7791739374466</v>
      </c>
      <c r="AD27" s="30">
        <f t="shared" si="148"/>
        <v>65.123081758612017</v>
      </c>
      <c r="AE27" s="30">
        <v>65.466989579777419</v>
      </c>
      <c r="AF27" s="30">
        <f t="shared" ref="AF27:AI27" si="149">AE27+(($AJ27-$AE27)/5)</f>
        <v>65.780735898731734</v>
      </c>
      <c r="AG27" s="30">
        <f t="shared" si="149"/>
        <v>66.09448221768605</v>
      </c>
      <c r="AH27" s="30">
        <f t="shared" si="149"/>
        <v>66.408228536640365</v>
      </c>
      <c r="AI27" s="30">
        <f t="shared" si="149"/>
        <v>66.721974855594681</v>
      </c>
      <c r="AJ27" s="30">
        <v>67.03572117454901</v>
      </c>
      <c r="AK27" s="31">
        <v>1.6095986233026771</v>
      </c>
      <c r="AL27" s="31">
        <v>0.55130525958533294</v>
      </c>
    </row>
    <row r="28" spans="1:38" x14ac:dyDescent="0.3">
      <c r="A28" t="str">
        <f>VLOOKUP(B28,'Country codes'!$A$1:$B$28,2,FALSE)</f>
        <v>SI</v>
      </c>
      <c r="B28" s="23" t="s">
        <v>115</v>
      </c>
      <c r="C28" s="24" t="s">
        <v>121</v>
      </c>
      <c r="D28" s="28" t="s">
        <v>125</v>
      </c>
      <c r="E28" s="29" t="s">
        <v>240</v>
      </c>
      <c r="F28" s="30">
        <v>9.557683873808891</v>
      </c>
      <c r="G28" s="30">
        <f t="shared" ref="G28:J28" si="150">F28+(($K28-$F28)/5)</f>
        <v>10.094880229912929</v>
      </c>
      <c r="H28" s="30">
        <f t="shared" si="150"/>
        <v>10.632076586016968</v>
      </c>
      <c r="I28" s="30">
        <f t="shared" si="150"/>
        <v>11.169272942121006</v>
      </c>
      <c r="J28" s="30">
        <f t="shared" si="150"/>
        <v>11.706469298225045</v>
      </c>
      <c r="K28" s="30">
        <v>12.24366565432908</v>
      </c>
      <c r="L28" s="30">
        <f t="shared" ref="L28:O28" si="151">K28+(($P28-$K28)/5)</f>
        <v>12.659572384950462</v>
      </c>
      <c r="M28" s="30">
        <f t="shared" si="151"/>
        <v>13.075479115571843</v>
      </c>
      <c r="N28" s="30">
        <f t="shared" si="151"/>
        <v>13.491385846193225</v>
      </c>
      <c r="O28" s="30">
        <f t="shared" si="151"/>
        <v>13.907292576814607</v>
      </c>
      <c r="P28" s="30">
        <v>14.32319930743599</v>
      </c>
      <c r="Q28" s="30">
        <f t="shared" ref="Q28:T28" si="152">P28+(($U28-$P28)/5)</f>
        <v>14.506360962754407</v>
      </c>
      <c r="R28" s="30">
        <f t="shared" si="152"/>
        <v>14.689522618072823</v>
      </c>
      <c r="S28" s="30">
        <f t="shared" si="152"/>
        <v>14.87268427339124</v>
      </c>
      <c r="T28" s="30">
        <f t="shared" si="152"/>
        <v>15.055845928709656</v>
      </c>
      <c r="U28" s="30">
        <v>15.239007584028075</v>
      </c>
      <c r="V28" s="30">
        <f t="shared" ref="V28:Y28" si="153">U28+(($Z28-$U28)/5)</f>
        <v>15.443390674790395</v>
      </c>
      <c r="W28" s="30">
        <f t="shared" si="153"/>
        <v>15.647773765552715</v>
      </c>
      <c r="X28" s="30">
        <f t="shared" si="153"/>
        <v>15.852156856315036</v>
      </c>
      <c r="Y28" s="30">
        <f t="shared" si="153"/>
        <v>16.056539947077358</v>
      </c>
      <c r="Z28" s="30">
        <v>16.260923037839678</v>
      </c>
      <c r="AA28" s="30">
        <f t="shared" ref="AA28:AD28" si="154">Z28+(($AE28-$Z28)/5)</f>
        <v>16.434734440600113</v>
      </c>
      <c r="AB28" s="30">
        <f t="shared" si="154"/>
        <v>16.608545843360549</v>
      </c>
      <c r="AC28" s="30">
        <f t="shared" si="154"/>
        <v>16.782357246120984</v>
      </c>
      <c r="AD28" s="30">
        <f t="shared" si="154"/>
        <v>16.95616864888142</v>
      </c>
      <c r="AE28" s="30">
        <v>17.129980051641859</v>
      </c>
      <c r="AF28" s="30">
        <f t="shared" ref="AF28:AI28" si="155">AE28+(($AJ28-$AE28)/5)</f>
        <v>17.251577891177785</v>
      </c>
      <c r="AG28" s="30">
        <f t="shared" si="155"/>
        <v>17.373175730713712</v>
      </c>
      <c r="AH28" s="30">
        <f t="shared" si="155"/>
        <v>17.494773570249638</v>
      </c>
      <c r="AI28" s="30">
        <f t="shared" si="155"/>
        <v>17.616371409785565</v>
      </c>
      <c r="AJ28" s="30">
        <v>17.737969249321488</v>
      </c>
      <c r="AK28" s="31">
        <v>4.1282902126534182</v>
      </c>
      <c r="AL28" s="31">
        <v>1.0748703949992944</v>
      </c>
    </row>
    <row r="29" spans="1:38" x14ac:dyDescent="0.3">
      <c r="A29" t="str">
        <f>VLOOKUP(B29,'Country codes'!$A$1:$B$28,2,FALSE)</f>
        <v>SK</v>
      </c>
      <c r="B29" s="23" t="s">
        <v>116</v>
      </c>
      <c r="C29" s="24" t="s">
        <v>121</v>
      </c>
      <c r="D29" s="28" t="s">
        <v>125</v>
      </c>
      <c r="E29" s="29" t="s">
        <v>240</v>
      </c>
      <c r="F29" s="30">
        <v>16.812718338685439</v>
      </c>
      <c r="G29" s="30">
        <f t="shared" ref="G29:J29" si="156">F29+(($K29-$F29)/5)</f>
        <v>17.199873560624482</v>
      </c>
      <c r="H29" s="30">
        <f t="shared" si="156"/>
        <v>17.587028782563525</v>
      </c>
      <c r="I29" s="30">
        <f t="shared" si="156"/>
        <v>17.974184004502568</v>
      </c>
      <c r="J29" s="30">
        <f t="shared" si="156"/>
        <v>18.361339226441611</v>
      </c>
      <c r="K29" s="30">
        <v>18.748494448380661</v>
      </c>
      <c r="L29" s="30">
        <f t="shared" ref="L29:O29" si="157">K29+(($P29-$K29)/5)</f>
        <v>19.229020046594385</v>
      </c>
      <c r="M29" s="30">
        <f t="shared" si="157"/>
        <v>19.709545644808109</v>
      </c>
      <c r="N29" s="30">
        <f t="shared" si="157"/>
        <v>20.190071243021833</v>
      </c>
      <c r="O29" s="30">
        <f t="shared" si="157"/>
        <v>20.670596841235557</v>
      </c>
      <c r="P29" s="30">
        <v>21.151122439449281</v>
      </c>
      <c r="Q29" s="30">
        <f t="shared" ref="Q29:T29" si="158">P29+(($U29-$P29)/5)</f>
        <v>21.308522305468692</v>
      </c>
      <c r="R29" s="30">
        <f t="shared" si="158"/>
        <v>21.465922171488103</v>
      </c>
      <c r="S29" s="30">
        <f t="shared" si="158"/>
        <v>21.623322037507513</v>
      </c>
      <c r="T29" s="30">
        <f t="shared" si="158"/>
        <v>21.780721903526924</v>
      </c>
      <c r="U29" s="30">
        <v>21.938121769546328</v>
      </c>
      <c r="V29" s="30">
        <f t="shared" ref="V29:Y29" si="159">U29+(($Z29-$U29)/5)</f>
        <v>22.143610901428477</v>
      </c>
      <c r="W29" s="30">
        <f t="shared" si="159"/>
        <v>22.349100033310627</v>
      </c>
      <c r="X29" s="30">
        <f t="shared" si="159"/>
        <v>22.554589165192777</v>
      </c>
      <c r="Y29" s="30">
        <f t="shared" si="159"/>
        <v>22.760078297074926</v>
      </c>
      <c r="Z29" s="30">
        <v>22.965567428957083</v>
      </c>
      <c r="AA29" s="30">
        <f t="shared" ref="AA29:AD29" si="160">Z29+(($AE29-$Z29)/5)</f>
        <v>23.059274516924155</v>
      </c>
      <c r="AB29" s="30">
        <f t="shared" si="160"/>
        <v>23.152981604891227</v>
      </c>
      <c r="AC29" s="30">
        <f t="shared" si="160"/>
        <v>23.246688692858299</v>
      </c>
      <c r="AD29" s="30">
        <f t="shared" si="160"/>
        <v>23.340395780825371</v>
      </c>
      <c r="AE29" s="30">
        <v>23.434102868792451</v>
      </c>
      <c r="AF29" s="30">
        <f t="shared" ref="AF29:AI29" si="161">AE29+(($AJ29-$AE29)/5)</f>
        <v>23.524937662614761</v>
      </c>
      <c r="AG29" s="30">
        <f t="shared" si="161"/>
        <v>23.615772456437071</v>
      </c>
      <c r="AH29" s="30">
        <f t="shared" si="161"/>
        <v>23.706607250259381</v>
      </c>
      <c r="AI29" s="30">
        <f t="shared" si="161"/>
        <v>23.797442044081691</v>
      </c>
      <c r="AJ29" s="30">
        <v>23.888276837903994</v>
      </c>
      <c r="AK29" s="31">
        <v>2.3221243665324076</v>
      </c>
      <c r="AL29" s="31">
        <v>0.61032924122879084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4B373-F379-4F14-9BD3-F0C3009999B5}">
  <dimension ref="A1:BB142"/>
  <sheetViews>
    <sheetView topLeftCell="A121" workbookViewId="0">
      <selection activeCell="A141" sqref="A141"/>
    </sheetView>
  </sheetViews>
  <sheetFormatPr defaultRowHeight="14.4" x14ac:dyDescent="0.3"/>
  <cols>
    <col min="2" max="2" width="14.77734375" bestFit="1" customWidth="1"/>
    <col min="3" max="5" width="11.5546875" bestFit="1" customWidth="1"/>
    <col min="6" max="54" width="10.5546875" bestFit="1" customWidth="1"/>
  </cols>
  <sheetData>
    <row r="1" spans="1:6" x14ac:dyDescent="0.3">
      <c r="A1" s="1" t="s">
        <v>513</v>
      </c>
    </row>
    <row r="2" spans="1:6" x14ac:dyDescent="0.3">
      <c r="A2" s="1" t="s">
        <v>515</v>
      </c>
    </row>
    <row r="3" spans="1:6" x14ac:dyDescent="0.3">
      <c r="A3" s="1" t="s">
        <v>1</v>
      </c>
      <c r="B3" s="11" t="s">
        <v>0</v>
      </c>
      <c r="C3" s="11">
        <v>2018</v>
      </c>
      <c r="D3" s="11">
        <v>2019</v>
      </c>
      <c r="E3" s="11">
        <v>2020</v>
      </c>
      <c r="F3" s="11">
        <v>2021</v>
      </c>
    </row>
    <row r="4" spans="1:6" x14ac:dyDescent="0.3">
      <c r="A4" t="str">
        <f>LEFT(B4,2)</f>
        <v>AT</v>
      </c>
      <c r="B4" t="s">
        <v>734</v>
      </c>
      <c r="C4">
        <v>0.51227979499999998</v>
      </c>
      <c r="D4">
        <v>0.49765350000000003</v>
      </c>
      <c r="E4">
        <v>0.49218876900000003</v>
      </c>
      <c r="F4">
        <v>0.493876971</v>
      </c>
    </row>
    <row r="5" spans="1:6" x14ac:dyDescent="0.3">
      <c r="A5" t="str">
        <f t="shared" ref="A5:A68" si="0">LEFT(B5,2)</f>
        <v>AT</v>
      </c>
      <c r="B5" t="s">
        <v>735</v>
      </c>
      <c r="C5">
        <v>2.3128850999999999E-2</v>
      </c>
      <c r="D5">
        <v>2.7212244E-2</v>
      </c>
      <c r="E5">
        <v>3.1127051999999999E-2</v>
      </c>
      <c r="F5">
        <v>2.9470323E-2</v>
      </c>
    </row>
    <row r="6" spans="1:6" x14ac:dyDescent="0.3">
      <c r="A6" t="str">
        <f t="shared" si="0"/>
        <v>AT</v>
      </c>
      <c r="B6" t="s">
        <v>242</v>
      </c>
      <c r="C6">
        <v>6.3137449999999999E-3</v>
      </c>
      <c r="D6">
        <v>6.593865E-3</v>
      </c>
      <c r="E6">
        <v>7.0116880000000003E-3</v>
      </c>
      <c r="F6">
        <v>7.1260689999999996E-3</v>
      </c>
    </row>
    <row r="7" spans="1:6" x14ac:dyDescent="0.3">
      <c r="A7" t="str">
        <f t="shared" si="0"/>
        <v>AT</v>
      </c>
      <c r="B7" t="s">
        <v>736</v>
      </c>
      <c r="C7">
        <v>0</v>
      </c>
      <c r="D7">
        <v>0</v>
      </c>
      <c r="E7">
        <v>0</v>
      </c>
      <c r="F7">
        <v>0</v>
      </c>
    </row>
    <row r="8" spans="1:6" x14ac:dyDescent="0.3">
      <c r="A8" t="str">
        <f t="shared" si="0"/>
        <v>BG</v>
      </c>
      <c r="B8" t="s">
        <v>737</v>
      </c>
      <c r="C8">
        <v>0.34783841300000001</v>
      </c>
      <c r="D8">
        <v>0.3753783</v>
      </c>
      <c r="E8">
        <v>0.36996799699999999</v>
      </c>
      <c r="F8">
        <v>0.36091177800000002</v>
      </c>
    </row>
    <row r="9" spans="1:6" x14ac:dyDescent="0.3">
      <c r="A9" t="str">
        <f t="shared" si="0"/>
        <v>BG</v>
      </c>
      <c r="B9" t="s">
        <v>738</v>
      </c>
      <c r="C9">
        <v>5.9563039999999998E-2</v>
      </c>
      <c r="D9">
        <v>7.3603093999999994E-2</v>
      </c>
      <c r="E9">
        <v>7.6506662000000003E-2</v>
      </c>
      <c r="F9">
        <v>8.3180566999999997E-2</v>
      </c>
    </row>
    <row r="10" spans="1:6" x14ac:dyDescent="0.3">
      <c r="A10" t="str">
        <f t="shared" si="0"/>
        <v>BG</v>
      </c>
      <c r="B10" t="s">
        <v>252</v>
      </c>
      <c r="C10">
        <v>2.0198548E-2</v>
      </c>
      <c r="D10">
        <v>2.0095551999999999E-2</v>
      </c>
      <c r="E10">
        <v>1.9023020000000002E-2</v>
      </c>
      <c r="F10">
        <v>2.1324236E-2</v>
      </c>
    </row>
    <row r="11" spans="1:6" x14ac:dyDescent="0.3">
      <c r="A11" t="str">
        <f t="shared" si="0"/>
        <v>BG</v>
      </c>
      <c r="B11" t="s">
        <v>739</v>
      </c>
      <c r="C11">
        <v>0</v>
      </c>
      <c r="D11">
        <v>0</v>
      </c>
      <c r="E11">
        <v>0</v>
      </c>
      <c r="F11">
        <v>0</v>
      </c>
    </row>
    <row r="12" spans="1:6" x14ac:dyDescent="0.3">
      <c r="A12" t="str">
        <f t="shared" si="0"/>
        <v>BE</v>
      </c>
      <c r="B12" t="s">
        <v>740</v>
      </c>
      <c r="C12">
        <v>0.62088967100000003</v>
      </c>
      <c r="D12">
        <v>0.62654122099999998</v>
      </c>
      <c r="E12">
        <v>0.62292579400000003</v>
      </c>
      <c r="F12">
        <v>0.61830939699999998</v>
      </c>
    </row>
    <row r="13" spans="1:6" x14ac:dyDescent="0.3">
      <c r="A13" t="str">
        <f t="shared" si="0"/>
        <v>BE</v>
      </c>
      <c r="B13" t="s">
        <v>741</v>
      </c>
      <c r="C13">
        <v>2.0518700000000001E-4</v>
      </c>
      <c r="D13">
        <v>4.1511800000000002E-4</v>
      </c>
      <c r="E13">
        <v>8.1135400000000002E-4</v>
      </c>
      <c r="F13">
        <v>4.9916240000000001E-3</v>
      </c>
    </row>
    <row r="14" spans="1:6" x14ac:dyDescent="0.3">
      <c r="A14" t="str">
        <f t="shared" si="0"/>
        <v>BE</v>
      </c>
      <c r="B14" t="s">
        <v>262</v>
      </c>
      <c r="C14">
        <v>8.6326899999999995E-4</v>
      </c>
      <c r="D14">
        <v>2.425183E-3</v>
      </c>
      <c r="E14">
        <v>2.959021E-3</v>
      </c>
      <c r="F14">
        <v>3.6988500000000001E-3</v>
      </c>
    </row>
    <row r="15" spans="1:6" x14ac:dyDescent="0.3">
      <c r="A15" t="str">
        <f t="shared" si="0"/>
        <v>BE</v>
      </c>
      <c r="B15" t="s">
        <v>742</v>
      </c>
      <c r="C15">
        <v>0</v>
      </c>
      <c r="D15">
        <v>0</v>
      </c>
      <c r="E15">
        <v>0</v>
      </c>
      <c r="F15">
        <v>0</v>
      </c>
    </row>
    <row r="16" spans="1:6" x14ac:dyDescent="0.3">
      <c r="A16" t="str">
        <f t="shared" si="0"/>
        <v>CZ</v>
      </c>
      <c r="B16" t="s">
        <v>743</v>
      </c>
      <c r="C16">
        <v>0.74856409400000001</v>
      </c>
      <c r="D16">
        <v>0.73013527600000006</v>
      </c>
      <c r="E16">
        <v>0.52045384900000002</v>
      </c>
      <c r="F16">
        <v>0.49521762200000002</v>
      </c>
    </row>
    <row r="17" spans="1:6" x14ac:dyDescent="0.3">
      <c r="A17" t="str">
        <f t="shared" si="0"/>
        <v>CZ</v>
      </c>
      <c r="B17" t="s">
        <v>744</v>
      </c>
      <c r="C17">
        <v>4.387274E-2</v>
      </c>
      <c r="D17">
        <v>5.5688360999999999E-2</v>
      </c>
      <c r="E17">
        <v>5.0029783000000001E-2</v>
      </c>
      <c r="F17">
        <v>4.6177928E-2</v>
      </c>
    </row>
    <row r="18" spans="1:6" x14ac:dyDescent="0.3">
      <c r="A18" t="str">
        <f t="shared" si="0"/>
        <v>CZ</v>
      </c>
      <c r="B18" t="s">
        <v>272</v>
      </c>
      <c r="C18">
        <v>4.6925430000000004E-3</v>
      </c>
      <c r="D18">
        <v>3.9734169999999999E-3</v>
      </c>
      <c r="E18">
        <v>3.6065210000000001E-3</v>
      </c>
      <c r="F18">
        <v>4.2279780000000003E-3</v>
      </c>
    </row>
    <row r="19" spans="1:6" x14ac:dyDescent="0.3">
      <c r="A19" t="str">
        <f t="shared" si="0"/>
        <v>CZ</v>
      </c>
      <c r="B19" t="s">
        <v>745</v>
      </c>
      <c r="C19">
        <v>0</v>
      </c>
      <c r="D19">
        <v>0</v>
      </c>
      <c r="E19">
        <v>0</v>
      </c>
      <c r="F19">
        <v>0</v>
      </c>
    </row>
    <row r="20" spans="1:6" x14ac:dyDescent="0.3">
      <c r="A20" t="str">
        <f t="shared" si="0"/>
        <v>DK</v>
      </c>
      <c r="B20" t="s">
        <v>746</v>
      </c>
      <c r="C20">
        <v>0.62993102499999998</v>
      </c>
      <c r="D20">
        <v>0.60831887799999995</v>
      </c>
      <c r="E20">
        <v>0.60449426399999995</v>
      </c>
      <c r="F20">
        <v>0.59447939999999999</v>
      </c>
    </row>
    <row r="21" spans="1:6" x14ac:dyDescent="0.3">
      <c r="A21" t="str">
        <f t="shared" si="0"/>
        <v>DK</v>
      </c>
      <c r="B21" t="s">
        <v>747</v>
      </c>
      <c r="C21">
        <v>1.0426443000000001E-2</v>
      </c>
      <c r="D21">
        <v>1.0257169999999999E-2</v>
      </c>
      <c r="E21">
        <v>1.1857604000000001E-2</v>
      </c>
      <c r="F21">
        <v>1.2314337999999999E-2</v>
      </c>
    </row>
    <row r="22" spans="1:6" x14ac:dyDescent="0.3">
      <c r="A22" t="str">
        <f t="shared" si="0"/>
        <v>DK</v>
      </c>
      <c r="B22" t="s">
        <v>282</v>
      </c>
      <c r="C22">
        <v>4.5420500000000001E-4</v>
      </c>
      <c r="D22">
        <v>4.9922050000000004E-3</v>
      </c>
      <c r="E22">
        <v>4.9339350000000004E-3</v>
      </c>
      <c r="F22">
        <v>1.5230876000000001E-2</v>
      </c>
    </row>
    <row r="23" spans="1:6" x14ac:dyDescent="0.3">
      <c r="A23" t="str">
        <f t="shared" si="0"/>
        <v>DK</v>
      </c>
      <c r="B23" t="s">
        <v>748</v>
      </c>
      <c r="C23">
        <v>0</v>
      </c>
      <c r="D23">
        <v>0</v>
      </c>
      <c r="E23">
        <v>0</v>
      </c>
      <c r="F23">
        <v>0</v>
      </c>
    </row>
    <row r="24" spans="1:6" x14ac:dyDescent="0.3">
      <c r="A24" t="str">
        <f t="shared" si="0"/>
        <v>DE</v>
      </c>
      <c r="B24" t="s">
        <v>749</v>
      </c>
      <c r="C24">
        <v>4.4041940960000003</v>
      </c>
      <c r="D24">
        <v>4.453808843</v>
      </c>
      <c r="E24">
        <v>4.0697830179999999</v>
      </c>
      <c r="F24">
        <v>3.921721775</v>
      </c>
    </row>
    <row r="25" spans="1:6" x14ac:dyDescent="0.3">
      <c r="A25" t="str">
        <f t="shared" si="0"/>
        <v>DE</v>
      </c>
      <c r="B25" t="s">
        <v>750</v>
      </c>
      <c r="C25">
        <v>7.3627066000000005E-2</v>
      </c>
      <c r="D25">
        <v>7.1988437000000002E-2</v>
      </c>
      <c r="E25">
        <v>6.6784791999999996E-2</v>
      </c>
      <c r="F25">
        <v>5.8424555000000003E-2</v>
      </c>
    </row>
    <row r="26" spans="1:6" x14ac:dyDescent="0.3">
      <c r="A26" t="str">
        <f t="shared" si="0"/>
        <v>DE</v>
      </c>
      <c r="B26" t="s">
        <v>292</v>
      </c>
      <c r="C26">
        <v>8.8053660000000002E-3</v>
      </c>
      <c r="D26">
        <v>1.4867507E-2</v>
      </c>
      <c r="E26">
        <v>2.8000891E-2</v>
      </c>
      <c r="F26">
        <v>4.9436434000000001E-2</v>
      </c>
    </row>
    <row r="27" spans="1:6" x14ac:dyDescent="0.3">
      <c r="A27" t="str">
        <f t="shared" si="0"/>
        <v>DE</v>
      </c>
      <c r="B27" t="s">
        <v>751</v>
      </c>
      <c r="C27">
        <v>0</v>
      </c>
      <c r="D27">
        <v>0</v>
      </c>
      <c r="E27">
        <v>0</v>
      </c>
      <c r="F27">
        <v>0</v>
      </c>
    </row>
    <row r="28" spans="1:6" x14ac:dyDescent="0.3">
      <c r="A28" t="str">
        <f t="shared" si="0"/>
        <v>EE</v>
      </c>
      <c r="B28" t="s">
        <v>752</v>
      </c>
      <c r="C28">
        <v>0.203597266</v>
      </c>
      <c r="D28">
        <v>0.19029881900000001</v>
      </c>
      <c r="E28">
        <v>0.18134465899999999</v>
      </c>
      <c r="F28">
        <v>0.18759706200000001</v>
      </c>
    </row>
    <row r="29" spans="1:6" x14ac:dyDescent="0.3">
      <c r="A29" t="str">
        <f t="shared" si="0"/>
        <v>EE</v>
      </c>
      <c r="B29" t="s">
        <v>753</v>
      </c>
      <c r="C29">
        <v>8.0452639999999999E-3</v>
      </c>
      <c r="D29">
        <v>9.3382900000000008E-3</v>
      </c>
      <c r="E29">
        <v>1.3888875E-2</v>
      </c>
      <c r="F29">
        <v>2.1651521E-2</v>
      </c>
    </row>
    <row r="30" spans="1:6" x14ac:dyDescent="0.3">
      <c r="A30" t="str">
        <f t="shared" si="0"/>
        <v>EE</v>
      </c>
      <c r="B30" t="s">
        <v>302</v>
      </c>
      <c r="C30">
        <v>3.9508030000000001E-3</v>
      </c>
      <c r="D30">
        <v>3.6144020000000001E-3</v>
      </c>
      <c r="E30">
        <v>3.1619959999999998E-3</v>
      </c>
      <c r="F30">
        <v>2.925951E-3</v>
      </c>
    </row>
    <row r="31" spans="1:6" x14ac:dyDescent="0.3">
      <c r="A31" t="str">
        <f t="shared" si="0"/>
        <v>EE</v>
      </c>
      <c r="B31" t="s">
        <v>754</v>
      </c>
      <c r="C31">
        <v>0</v>
      </c>
      <c r="D31">
        <v>0</v>
      </c>
      <c r="E31">
        <v>0</v>
      </c>
      <c r="F31">
        <v>0</v>
      </c>
    </row>
    <row r="32" spans="1:6" x14ac:dyDescent="0.3">
      <c r="A32" t="str">
        <f t="shared" si="0"/>
        <v>IE</v>
      </c>
      <c r="B32" t="s">
        <v>755</v>
      </c>
      <c r="C32">
        <v>0.38595432899999998</v>
      </c>
      <c r="D32">
        <v>0.391944238</v>
      </c>
      <c r="E32">
        <v>0.32502808</v>
      </c>
      <c r="F32">
        <v>0.32473122399999998</v>
      </c>
    </row>
    <row r="33" spans="1:6" x14ac:dyDescent="0.3">
      <c r="A33" t="str">
        <f t="shared" si="0"/>
        <v>IE</v>
      </c>
      <c r="B33" t="s">
        <v>756</v>
      </c>
      <c r="C33">
        <v>0</v>
      </c>
      <c r="D33">
        <v>0</v>
      </c>
      <c r="E33">
        <v>0</v>
      </c>
      <c r="F33">
        <v>0</v>
      </c>
    </row>
    <row r="34" spans="1:6" x14ac:dyDescent="0.3">
      <c r="A34" t="str">
        <f t="shared" si="0"/>
        <v>IE</v>
      </c>
      <c r="B34" t="s">
        <v>312</v>
      </c>
      <c r="C34">
        <v>4.1100000000000003E-5</v>
      </c>
      <c r="D34">
        <v>4.1E-5</v>
      </c>
      <c r="E34">
        <v>1.5194000000000001E-4</v>
      </c>
      <c r="F34">
        <v>2.4419699999999998E-4</v>
      </c>
    </row>
    <row r="35" spans="1:6" x14ac:dyDescent="0.3">
      <c r="A35" t="str">
        <f t="shared" si="0"/>
        <v>IE</v>
      </c>
      <c r="B35" t="s">
        <v>757</v>
      </c>
      <c r="C35">
        <v>0</v>
      </c>
      <c r="D35">
        <v>0</v>
      </c>
      <c r="E35">
        <v>0</v>
      </c>
      <c r="F35">
        <v>0</v>
      </c>
    </row>
    <row r="36" spans="1:6" x14ac:dyDescent="0.3">
      <c r="A36" t="str">
        <f t="shared" si="0"/>
        <v>GR</v>
      </c>
      <c r="B36" t="s">
        <v>758</v>
      </c>
      <c r="C36">
        <v>0.76217406600000004</v>
      </c>
      <c r="D36">
        <v>0.75136303199999999</v>
      </c>
      <c r="E36">
        <v>0.74469932100000003</v>
      </c>
      <c r="F36">
        <v>0.74106308200000004</v>
      </c>
    </row>
    <row r="37" spans="1:6" x14ac:dyDescent="0.3">
      <c r="A37" t="str">
        <f t="shared" si="0"/>
        <v>GR</v>
      </c>
      <c r="B37" t="s">
        <v>759</v>
      </c>
      <c r="C37">
        <v>2.7139979000000002E-2</v>
      </c>
      <c r="D37">
        <v>2.9632090999999999E-2</v>
      </c>
      <c r="E37">
        <v>3.2994226000000001E-2</v>
      </c>
      <c r="F37">
        <v>3.6892497000000003E-2</v>
      </c>
    </row>
    <row r="38" spans="1:6" x14ac:dyDescent="0.3">
      <c r="A38" t="str">
        <f t="shared" si="0"/>
        <v>GR</v>
      </c>
      <c r="B38" t="s">
        <v>322</v>
      </c>
      <c r="C38">
        <v>0</v>
      </c>
      <c r="D38">
        <v>4.6199999999999998E-5</v>
      </c>
      <c r="E38">
        <v>4.5899999999999998E-5</v>
      </c>
      <c r="F38">
        <v>4.6199999999999998E-5</v>
      </c>
    </row>
    <row r="39" spans="1:6" x14ac:dyDescent="0.3">
      <c r="A39" t="str">
        <f t="shared" si="0"/>
        <v>GR</v>
      </c>
      <c r="B39" t="s">
        <v>760</v>
      </c>
      <c r="C39">
        <v>0</v>
      </c>
      <c r="D39">
        <v>0</v>
      </c>
      <c r="E39">
        <v>0</v>
      </c>
      <c r="F39">
        <v>0</v>
      </c>
    </row>
    <row r="40" spans="1:6" x14ac:dyDescent="0.3">
      <c r="A40" t="str">
        <f t="shared" si="0"/>
        <v>ES</v>
      </c>
      <c r="B40" t="s">
        <v>761</v>
      </c>
      <c r="C40">
        <v>1.157053712</v>
      </c>
      <c r="D40">
        <v>1.1366542850000001</v>
      </c>
      <c r="E40">
        <v>0.71861784299999998</v>
      </c>
      <c r="F40">
        <v>0.91109523199999998</v>
      </c>
    </row>
    <row r="41" spans="1:6" x14ac:dyDescent="0.3">
      <c r="A41" t="str">
        <f t="shared" si="0"/>
        <v>ES</v>
      </c>
      <c r="B41" t="s">
        <v>762</v>
      </c>
      <c r="C41">
        <v>0.17101313800000001</v>
      </c>
      <c r="D41">
        <v>0.21786957500000001</v>
      </c>
      <c r="E41">
        <v>0.16912883200000001</v>
      </c>
      <c r="F41">
        <v>0.222702278</v>
      </c>
    </row>
    <row r="42" spans="1:6" x14ac:dyDescent="0.3">
      <c r="A42" t="str">
        <f t="shared" si="0"/>
        <v>ES</v>
      </c>
      <c r="B42" t="s">
        <v>332</v>
      </c>
      <c r="C42">
        <v>1.251735E-2</v>
      </c>
      <c r="D42">
        <v>2.0514269000000002E-2</v>
      </c>
      <c r="E42">
        <v>1.8795591E-2</v>
      </c>
      <c r="F42">
        <v>2.8525028000000001E-2</v>
      </c>
    </row>
    <row r="43" spans="1:6" x14ac:dyDescent="0.3">
      <c r="A43" t="str">
        <f t="shared" si="0"/>
        <v>ES</v>
      </c>
      <c r="B43" t="s">
        <v>763</v>
      </c>
      <c r="C43">
        <v>0</v>
      </c>
      <c r="D43">
        <v>0</v>
      </c>
      <c r="E43">
        <v>0</v>
      </c>
      <c r="F43">
        <v>0</v>
      </c>
    </row>
    <row r="44" spans="1:6" x14ac:dyDescent="0.3">
      <c r="A44" t="str">
        <f t="shared" si="0"/>
        <v>FR</v>
      </c>
      <c r="B44" t="s">
        <v>764</v>
      </c>
      <c r="C44">
        <v>2.7780842620000001</v>
      </c>
      <c r="D44">
        <v>2.7106399109999999</v>
      </c>
      <c r="E44">
        <v>2.0286475930000001</v>
      </c>
      <c r="F44">
        <v>2.0871621089999999</v>
      </c>
    </row>
    <row r="45" spans="1:6" x14ac:dyDescent="0.3">
      <c r="A45" t="str">
        <f t="shared" si="0"/>
        <v>FR</v>
      </c>
      <c r="B45" t="s">
        <v>765</v>
      </c>
      <c r="C45">
        <v>0.23987274</v>
      </c>
      <c r="D45">
        <v>0.29564194500000002</v>
      </c>
      <c r="E45">
        <v>0.32102626099999998</v>
      </c>
      <c r="F45">
        <v>0.45968588799999999</v>
      </c>
    </row>
    <row r="46" spans="1:6" x14ac:dyDescent="0.3">
      <c r="A46" t="str">
        <f t="shared" si="0"/>
        <v>FR</v>
      </c>
      <c r="B46" t="s">
        <v>342</v>
      </c>
      <c r="C46">
        <v>1.8611411000000001E-2</v>
      </c>
      <c r="D46">
        <v>2.9277622999999999E-2</v>
      </c>
      <c r="E46">
        <v>2.8177331E-2</v>
      </c>
      <c r="F46">
        <v>6.1402371999999997E-2</v>
      </c>
    </row>
    <row r="47" spans="1:6" x14ac:dyDescent="0.3">
      <c r="A47" t="str">
        <f t="shared" si="0"/>
        <v>FR</v>
      </c>
      <c r="B47" t="s">
        <v>766</v>
      </c>
      <c r="C47">
        <v>0</v>
      </c>
      <c r="D47">
        <v>0</v>
      </c>
      <c r="E47">
        <v>0</v>
      </c>
      <c r="F47">
        <v>0</v>
      </c>
    </row>
    <row r="48" spans="1:6" x14ac:dyDescent="0.3">
      <c r="A48" t="str">
        <f t="shared" si="0"/>
        <v>HR</v>
      </c>
      <c r="B48" t="s">
        <v>767</v>
      </c>
      <c r="C48">
        <v>0.34295492100000002</v>
      </c>
      <c r="D48">
        <v>0.26932879599999998</v>
      </c>
      <c r="E48">
        <v>0.19213155200000001</v>
      </c>
      <c r="F48">
        <v>0.21833741200000001</v>
      </c>
    </row>
    <row r="49" spans="1:6" x14ac:dyDescent="0.3">
      <c r="A49" t="str">
        <f t="shared" si="0"/>
        <v>HR</v>
      </c>
      <c r="B49" t="s">
        <v>768</v>
      </c>
      <c r="C49">
        <v>8.5133870000000007E-3</v>
      </c>
      <c r="D49">
        <v>8.0031019999999998E-3</v>
      </c>
      <c r="E49">
        <v>6.1245459999999998E-3</v>
      </c>
      <c r="F49">
        <v>8.0701279999999993E-3</v>
      </c>
    </row>
    <row r="50" spans="1:6" x14ac:dyDescent="0.3">
      <c r="A50" t="str">
        <f t="shared" si="0"/>
        <v>HR</v>
      </c>
      <c r="B50" t="s">
        <v>352</v>
      </c>
      <c r="C50">
        <v>1.3042699999999999E-4</v>
      </c>
      <c r="D50">
        <v>1.2878999999999999E-4</v>
      </c>
      <c r="E50">
        <v>1.02451E-4</v>
      </c>
      <c r="F50">
        <v>2.5507999999999998E-4</v>
      </c>
    </row>
    <row r="51" spans="1:6" x14ac:dyDescent="0.3">
      <c r="A51" t="str">
        <f t="shared" si="0"/>
        <v>HR</v>
      </c>
      <c r="B51" t="s">
        <v>769</v>
      </c>
      <c r="C51">
        <v>0</v>
      </c>
      <c r="D51">
        <v>0</v>
      </c>
      <c r="E51">
        <v>0</v>
      </c>
      <c r="F51">
        <v>0</v>
      </c>
    </row>
    <row r="52" spans="1:6" x14ac:dyDescent="0.3">
      <c r="A52" t="str">
        <f t="shared" si="0"/>
        <v>IT</v>
      </c>
      <c r="B52" t="s">
        <v>770</v>
      </c>
      <c r="C52">
        <v>4.1176643659999996</v>
      </c>
      <c r="D52">
        <v>4.1679612629999996</v>
      </c>
      <c r="E52">
        <v>4.1363051180000001</v>
      </c>
      <c r="F52">
        <v>4.1097342330000002</v>
      </c>
    </row>
    <row r="53" spans="1:6" x14ac:dyDescent="0.3">
      <c r="A53" t="str">
        <f t="shared" si="0"/>
        <v>IT</v>
      </c>
      <c r="B53" t="s">
        <v>771</v>
      </c>
      <c r="C53">
        <v>0.22122978900000001</v>
      </c>
      <c r="D53">
        <v>0.241800717</v>
      </c>
      <c r="E53">
        <v>0.245206803</v>
      </c>
      <c r="F53">
        <v>0.27727819999999997</v>
      </c>
    </row>
    <row r="54" spans="1:6" x14ac:dyDescent="0.3">
      <c r="A54" t="str">
        <f t="shared" si="0"/>
        <v>IT</v>
      </c>
      <c r="B54" t="s">
        <v>362</v>
      </c>
      <c r="C54">
        <v>2.2171969E-2</v>
      </c>
      <c r="D54">
        <v>2.4484108000000001E-2</v>
      </c>
      <c r="E54">
        <v>2.6653209000000001E-2</v>
      </c>
      <c r="F54">
        <v>3.3916837999999998E-2</v>
      </c>
    </row>
    <row r="55" spans="1:6" x14ac:dyDescent="0.3">
      <c r="A55" t="str">
        <f t="shared" si="0"/>
        <v>IT</v>
      </c>
      <c r="B55" t="s">
        <v>772</v>
      </c>
      <c r="C55">
        <v>0</v>
      </c>
      <c r="D55">
        <v>0</v>
      </c>
      <c r="E55">
        <v>0</v>
      </c>
      <c r="F55">
        <v>0</v>
      </c>
    </row>
    <row r="56" spans="1:6" x14ac:dyDescent="0.3">
      <c r="A56" t="str">
        <f t="shared" si="0"/>
        <v>CY</v>
      </c>
      <c r="B56" t="s">
        <v>773</v>
      </c>
      <c r="C56">
        <v>0.175786093</v>
      </c>
      <c r="D56">
        <v>0.17718697799999999</v>
      </c>
      <c r="E56">
        <v>0.13973872900000001</v>
      </c>
      <c r="F56">
        <v>0.14781593000000001</v>
      </c>
    </row>
    <row r="57" spans="1:6" x14ac:dyDescent="0.3">
      <c r="A57" t="str">
        <f t="shared" si="0"/>
        <v>CY</v>
      </c>
      <c r="B57" t="s">
        <v>774</v>
      </c>
      <c r="C57">
        <v>0</v>
      </c>
      <c r="D57">
        <v>0</v>
      </c>
      <c r="E57">
        <v>0</v>
      </c>
      <c r="F57">
        <v>0</v>
      </c>
    </row>
    <row r="58" spans="1:6" x14ac:dyDescent="0.3">
      <c r="A58" t="str">
        <f t="shared" si="0"/>
        <v>CY</v>
      </c>
      <c r="B58" t="s">
        <v>372</v>
      </c>
      <c r="C58">
        <v>3.7499999999999997E-5</v>
      </c>
      <c r="D58">
        <v>3.7499999999999997E-5</v>
      </c>
      <c r="E58">
        <v>3.7200000000000003E-5</v>
      </c>
      <c r="F58">
        <v>3.7499999999999997E-5</v>
      </c>
    </row>
    <row r="59" spans="1:6" x14ac:dyDescent="0.3">
      <c r="A59" t="str">
        <f t="shared" si="0"/>
        <v>CY</v>
      </c>
      <c r="B59" t="s">
        <v>775</v>
      </c>
      <c r="C59">
        <v>0</v>
      </c>
      <c r="D59">
        <v>0</v>
      </c>
      <c r="E59">
        <v>0</v>
      </c>
      <c r="F59">
        <v>0</v>
      </c>
    </row>
    <row r="60" spans="1:6" x14ac:dyDescent="0.3">
      <c r="A60" t="str">
        <f t="shared" si="0"/>
        <v>LV</v>
      </c>
      <c r="B60" t="s">
        <v>776</v>
      </c>
      <c r="C60">
        <v>0.117022881</v>
      </c>
      <c r="D60">
        <v>0.11080907</v>
      </c>
      <c r="E60">
        <v>8.8559362000000003E-2</v>
      </c>
      <c r="F60">
        <v>7.4953322000000003E-2</v>
      </c>
    </row>
    <row r="61" spans="1:6" x14ac:dyDescent="0.3">
      <c r="A61" t="str">
        <f t="shared" si="0"/>
        <v>LV</v>
      </c>
      <c r="B61" t="s">
        <v>777</v>
      </c>
      <c r="C61">
        <v>0</v>
      </c>
      <c r="D61">
        <v>2.24651E-4</v>
      </c>
      <c r="E61">
        <v>9.2293599999999996E-4</v>
      </c>
      <c r="F61">
        <v>2.2450629999999998E-3</v>
      </c>
    </row>
    <row r="62" spans="1:6" x14ac:dyDescent="0.3">
      <c r="A62" t="str">
        <f t="shared" si="0"/>
        <v>LV</v>
      </c>
      <c r="B62" t="s">
        <v>382</v>
      </c>
      <c r="C62">
        <v>1.0980416999999999E-2</v>
      </c>
      <c r="D62">
        <v>1.1344586E-2</v>
      </c>
      <c r="E62">
        <v>1.101447E-2</v>
      </c>
      <c r="F62">
        <v>1.3387078E-2</v>
      </c>
    </row>
    <row r="63" spans="1:6" x14ac:dyDescent="0.3">
      <c r="A63" t="str">
        <f t="shared" si="0"/>
        <v>LV</v>
      </c>
      <c r="B63" t="s">
        <v>778</v>
      </c>
      <c r="C63">
        <v>0</v>
      </c>
      <c r="D63">
        <v>0</v>
      </c>
      <c r="E63">
        <v>0</v>
      </c>
      <c r="F63">
        <v>0</v>
      </c>
    </row>
    <row r="64" spans="1:6" x14ac:dyDescent="0.3">
      <c r="A64" t="str">
        <f t="shared" si="0"/>
        <v>LT</v>
      </c>
      <c r="B64" t="s">
        <v>779</v>
      </c>
      <c r="C64">
        <v>7.9207073000000003E-2</v>
      </c>
      <c r="D64">
        <v>9.0774530000000006E-2</v>
      </c>
      <c r="E64">
        <v>6.3093585999999993E-2</v>
      </c>
      <c r="F64">
        <v>5.5430748000000002E-2</v>
      </c>
    </row>
    <row r="65" spans="1:6" x14ac:dyDescent="0.3">
      <c r="A65" t="str">
        <f t="shared" si="0"/>
        <v>LT</v>
      </c>
      <c r="B65" t="s">
        <v>780</v>
      </c>
      <c r="C65">
        <v>2.1467746999999999E-2</v>
      </c>
      <c r="D65">
        <v>2.0526151999999999E-2</v>
      </c>
      <c r="E65">
        <v>2.3531712999999999E-2</v>
      </c>
      <c r="F65">
        <v>2.7563994000000001E-2</v>
      </c>
    </row>
    <row r="66" spans="1:6" x14ac:dyDescent="0.3">
      <c r="A66" t="str">
        <f t="shared" si="0"/>
        <v>LT</v>
      </c>
      <c r="B66" t="s">
        <v>392</v>
      </c>
      <c r="C66">
        <v>2.0910650999999999E-2</v>
      </c>
      <c r="D66">
        <v>2.4728795000000001E-2</v>
      </c>
      <c r="E66">
        <v>1.7504883999999998E-2</v>
      </c>
      <c r="F66">
        <v>2.0281075999999999E-2</v>
      </c>
    </row>
    <row r="67" spans="1:6" x14ac:dyDescent="0.3">
      <c r="A67" t="str">
        <f t="shared" si="0"/>
        <v>LT</v>
      </c>
      <c r="B67" t="s">
        <v>781</v>
      </c>
      <c r="C67">
        <v>0</v>
      </c>
      <c r="D67">
        <v>0</v>
      </c>
      <c r="E67">
        <v>0</v>
      </c>
      <c r="F67">
        <v>0</v>
      </c>
    </row>
    <row r="68" spans="1:6" x14ac:dyDescent="0.3">
      <c r="A68" t="str">
        <f t="shared" si="0"/>
        <v>LU</v>
      </c>
      <c r="B68" t="s">
        <v>782</v>
      </c>
      <c r="C68">
        <v>6.2677777000000004E-2</v>
      </c>
      <c r="D68">
        <v>6.2192946999999998E-2</v>
      </c>
      <c r="E68">
        <v>6.0086568999999999E-2</v>
      </c>
      <c r="F68">
        <v>5.8800131999999998E-2</v>
      </c>
    </row>
    <row r="69" spans="1:6" x14ac:dyDescent="0.3">
      <c r="A69" t="str">
        <f t="shared" ref="A69:A111" si="1">LEFT(B69,2)</f>
        <v>LU</v>
      </c>
      <c r="B69" t="s">
        <v>783</v>
      </c>
      <c r="C69">
        <v>0</v>
      </c>
      <c r="D69">
        <v>0</v>
      </c>
      <c r="E69">
        <v>0</v>
      </c>
      <c r="F69">
        <v>0</v>
      </c>
    </row>
    <row r="70" spans="1:6" x14ac:dyDescent="0.3">
      <c r="A70" t="str">
        <f t="shared" si="1"/>
        <v>LU</v>
      </c>
      <c r="B70" t="s">
        <v>402</v>
      </c>
      <c r="C70">
        <v>1.1849779999999999E-3</v>
      </c>
      <c r="D70">
        <v>4.3961909999999998E-3</v>
      </c>
      <c r="E70">
        <v>6.2469680000000003E-3</v>
      </c>
      <c r="F70">
        <v>7.5807649999999997E-3</v>
      </c>
    </row>
    <row r="71" spans="1:6" x14ac:dyDescent="0.3">
      <c r="A71" t="str">
        <f t="shared" si="1"/>
        <v>LU</v>
      </c>
      <c r="B71" t="s">
        <v>784</v>
      </c>
      <c r="C71">
        <v>0</v>
      </c>
      <c r="D71">
        <v>0</v>
      </c>
      <c r="E71">
        <v>0</v>
      </c>
      <c r="F71">
        <v>0</v>
      </c>
    </row>
    <row r="72" spans="1:6" x14ac:dyDescent="0.3">
      <c r="A72" t="str">
        <f t="shared" si="1"/>
        <v>HU</v>
      </c>
      <c r="B72" t="s">
        <v>785</v>
      </c>
      <c r="C72">
        <v>0.71571188200000002</v>
      </c>
      <c r="D72">
        <v>0.72041907599999999</v>
      </c>
      <c r="E72">
        <v>0.61938345299999997</v>
      </c>
      <c r="F72">
        <v>0.65052576900000003</v>
      </c>
    </row>
    <row r="73" spans="1:6" x14ac:dyDescent="0.3">
      <c r="A73" t="str">
        <f t="shared" si="1"/>
        <v>HU</v>
      </c>
      <c r="B73" t="s">
        <v>786</v>
      </c>
      <c r="C73">
        <v>1.5529954E-2</v>
      </c>
      <c r="D73">
        <v>1.4623544E-2</v>
      </c>
      <c r="E73">
        <v>1.3226738E-2</v>
      </c>
      <c r="F73">
        <v>1.1859097000000001E-2</v>
      </c>
    </row>
    <row r="74" spans="1:6" x14ac:dyDescent="0.3">
      <c r="A74" t="str">
        <f t="shared" si="1"/>
        <v>HU</v>
      </c>
      <c r="B74" t="s">
        <v>412</v>
      </c>
      <c r="C74">
        <v>1.4891699999999999E-3</v>
      </c>
      <c r="D74">
        <v>1.488376E-3</v>
      </c>
      <c r="E74">
        <v>2.4089250000000001E-3</v>
      </c>
      <c r="F74">
        <v>4.5081610000000001E-3</v>
      </c>
    </row>
    <row r="75" spans="1:6" x14ac:dyDescent="0.3">
      <c r="A75" t="str">
        <f t="shared" si="1"/>
        <v>HU</v>
      </c>
      <c r="B75" t="s">
        <v>787</v>
      </c>
      <c r="C75">
        <v>0</v>
      </c>
      <c r="D75">
        <v>0</v>
      </c>
      <c r="E75">
        <v>0</v>
      </c>
      <c r="F75">
        <v>0</v>
      </c>
    </row>
    <row r="76" spans="1:6" x14ac:dyDescent="0.3">
      <c r="A76" t="str">
        <f t="shared" si="1"/>
        <v>MT</v>
      </c>
      <c r="B76" t="s">
        <v>788</v>
      </c>
      <c r="C76">
        <v>8.1850618999999999E-2</v>
      </c>
      <c r="D76">
        <v>8.1310133000000007E-2</v>
      </c>
      <c r="E76">
        <v>6.4116297000000003E-2</v>
      </c>
      <c r="F76">
        <v>5.9148183E-2</v>
      </c>
    </row>
    <row r="77" spans="1:6" x14ac:dyDescent="0.3">
      <c r="A77" t="str">
        <f t="shared" si="1"/>
        <v>MT</v>
      </c>
      <c r="B77" t="s">
        <v>789</v>
      </c>
      <c r="C77">
        <v>0</v>
      </c>
      <c r="D77">
        <v>0</v>
      </c>
      <c r="E77">
        <v>0</v>
      </c>
      <c r="F77">
        <v>0</v>
      </c>
    </row>
    <row r="78" spans="1:6" x14ac:dyDescent="0.3">
      <c r="A78" t="str">
        <f t="shared" si="1"/>
        <v>MT</v>
      </c>
      <c r="B78" t="s">
        <v>422</v>
      </c>
      <c r="C78">
        <v>3.1315800000000001E-4</v>
      </c>
      <c r="D78">
        <v>3.8987800000000002E-4</v>
      </c>
      <c r="E78">
        <v>3.6561999999999999E-4</v>
      </c>
      <c r="F78">
        <v>4.6004100000000001E-4</v>
      </c>
    </row>
    <row r="79" spans="1:6" x14ac:dyDescent="0.3">
      <c r="A79" t="str">
        <f t="shared" si="1"/>
        <v>MT</v>
      </c>
      <c r="B79" t="s">
        <v>790</v>
      </c>
      <c r="C79">
        <v>0</v>
      </c>
      <c r="D79">
        <v>0</v>
      </c>
      <c r="E79">
        <v>0</v>
      </c>
      <c r="F79">
        <v>0</v>
      </c>
    </row>
    <row r="80" spans="1:6" x14ac:dyDescent="0.3">
      <c r="A80" t="str">
        <f t="shared" si="1"/>
        <v>NL</v>
      </c>
      <c r="B80" t="s">
        <v>791</v>
      </c>
      <c r="C80">
        <v>0.50646867900000003</v>
      </c>
      <c r="D80">
        <v>0.46354639600000003</v>
      </c>
      <c r="E80">
        <v>0.34641846700000001</v>
      </c>
      <c r="F80">
        <v>0.29864179499999999</v>
      </c>
    </row>
    <row r="81" spans="1:6" x14ac:dyDescent="0.3">
      <c r="A81" t="str">
        <f t="shared" si="1"/>
        <v>NL</v>
      </c>
      <c r="B81" t="s">
        <v>792</v>
      </c>
      <c r="C81">
        <v>8.7611544999999999E-2</v>
      </c>
      <c r="D81">
        <v>9.2814081000000007E-2</v>
      </c>
      <c r="E81">
        <v>9.5189669000000005E-2</v>
      </c>
      <c r="F81">
        <v>0.106677856</v>
      </c>
    </row>
    <row r="82" spans="1:6" x14ac:dyDescent="0.3">
      <c r="A82" t="str">
        <f t="shared" si="1"/>
        <v>NL</v>
      </c>
      <c r="B82" t="s">
        <v>432</v>
      </c>
      <c r="C82">
        <v>2.2087979000000001E-2</v>
      </c>
      <c r="D82">
        <v>4.2564659999999997E-2</v>
      </c>
      <c r="E82">
        <v>5.8554012000000003E-2</v>
      </c>
      <c r="F82">
        <v>7.3563140999999999E-2</v>
      </c>
    </row>
    <row r="83" spans="1:6" x14ac:dyDescent="0.3">
      <c r="A83" t="str">
        <f t="shared" si="1"/>
        <v>NL</v>
      </c>
      <c r="B83" t="s">
        <v>793</v>
      </c>
      <c r="C83">
        <v>0</v>
      </c>
      <c r="D83">
        <v>0</v>
      </c>
      <c r="E83">
        <v>0</v>
      </c>
      <c r="F83">
        <v>0</v>
      </c>
    </row>
    <row r="84" spans="1:6" x14ac:dyDescent="0.3">
      <c r="A84" t="str">
        <f t="shared" si="1"/>
        <v>PL</v>
      </c>
      <c r="B84" t="s">
        <v>794</v>
      </c>
      <c r="C84">
        <v>1.672539733</v>
      </c>
      <c r="D84">
        <v>1.7524655570000001</v>
      </c>
      <c r="E84">
        <v>1.7215115860000001</v>
      </c>
      <c r="F84">
        <v>1.701058561</v>
      </c>
    </row>
    <row r="85" spans="1:6" x14ac:dyDescent="0.3">
      <c r="A85" t="str">
        <f t="shared" si="1"/>
        <v>PL</v>
      </c>
      <c r="B85" t="s">
        <v>795</v>
      </c>
      <c r="C85">
        <v>1.5989759999999999E-2</v>
      </c>
      <c r="D85">
        <v>2.7310788999999999E-2</v>
      </c>
      <c r="E85">
        <v>3.8895022000000001E-2</v>
      </c>
      <c r="F85">
        <v>5.1537561000000003E-2</v>
      </c>
    </row>
    <row r="86" spans="1:6" x14ac:dyDescent="0.3">
      <c r="A86" t="str">
        <f t="shared" si="1"/>
        <v>PL</v>
      </c>
      <c r="B86" t="s">
        <v>442</v>
      </c>
      <c r="C86">
        <v>2.0820315999999998E-2</v>
      </c>
      <c r="D86">
        <v>1.3865255999999999E-2</v>
      </c>
      <c r="E86">
        <v>2.1734258999999999E-2</v>
      </c>
      <c r="F86">
        <v>3.1049489999999999E-2</v>
      </c>
    </row>
    <row r="87" spans="1:6" x14ac:dyDescent="0.3">
      <c r="A87" t="str">
        <f t="shared" si="1"/>
        <v>PL</v>
      </c>
      <c r="B87" t="s">
        <v>796</v>
      </c>
      <c r="C87">
        <v>0</v>
      </c>
      <c r="D87">
        <v>0</v>
      </c>
      <c r="E87">
        <v>0</v>
      </c>
      <c r="F87">
        <v>0</v>
      </c>
    </row>
    <row r="88" spans="1:6" x14ac:dyDescent="0.3">
      <c r="A88" t="str">
        <f t="shared" si="1"/>
        <v>PT</v>
      </c>
      <c r="B88" t="s">
        <v>797</v>
      </c>
      <c r="C88">
        <v>0.41294698899999999</v>
      </c>
      <c r="D88">
        <v>0.37654209700000002</v>
      </c>
      <c r="E88">
        <v>0.27801493300000002</v>
      </c>
      <c r="F88">
        <v>0.35358612</v>
      </c>
    </row>
    <row r="89" spans="1:6" x14ac:dyDescent="0.3">
      <c r="A89" t="str">
        <f t="shared" si="1"/>
        <v>PT</v>
      </c>
      <c r="B89" t="s">
        <v>798</v>
      </c>
      <c r="C89">
        <v>2.4290445000000001E-2</v>
      </c>
      <c r="D89">
        <v>1.5517702E-2</v>
      </c>
      <c r="E89">
        <v>1.6709607000000001E-2</v>
      </c>
      <c r="F89">
        <v>2.9360534000000001E-2</v>
      </c>
    </row>
    <row r="90" spans="1:6" x14ac:dyDescent="0.3">
      <c r="A90" t="str">
        <f t="shared" si="1"/>
        <v>PT</v>
      </c>
      <c r="B90" t="s">
        <v>452</v>
      </c>
      <c r="C90">
        <v>3.9405539999999998E-3</v>
      </c>
      <c r="D90">
        <v>4.5028689999999996E-3</v>
      </c>
      <c r="E90">
        <v>4.4774760000000002E-3</v>
      </c>
      <c r="F90">
        <v>5.1213350000000003E-3</v>
      </c>
    </row>
    <row r="91" spans="1:6" x14ac:dyDescent="0.3">
      <c r="A91" t="str">
        <f t="shared" si="1"/>
        <v>PT</v>
      </c>
      <c r="B91" t="s">
        <v>799</v>
      </c>
      <c r="C91">
        <v>0</v>
      </c>
      <c r="D91">
        <v>0</v>
      </c>
      <c r="E91">
        <v>0</v>
      </c>
      <c r="F91">
        <v>0</v>
      </c>
    </row>
    <row r="92" spans="1:6" x14ac:dyDescent="0.3">
      <c r="A92" t="str">
        <f t="shared" si="1"/>
        <v>RO</v>
      </c>
      <c r="B92" t="s">
        <v>800</v>
      </c>
      <c r="C92">
        <v>2.2383571519999999</v>
      </c>
      <c r="D92">
        <v>2.2937207439999998</v>
      </c>
      <c r="E92">
        <v>2.3468511150000002</v>
      </c>
      <c r="F92">
        <v>2.4122272840000001</v>
      </c>
    </row>
    <row r="93" spans="1:6" x14ac:dyDescent="0.3">
      <c r="A93" t="str">
        <f t="shared" si="1"/>
        <v>RO</v>
      </c>
      <c r="B93" t="s">
        <v>801</v>
      </c>
      <c r="C93">
        <v>0</v>
      </c>
      <c r="D93">
        <v>0</v>
      </c>
      <c r="E93">
        <v>0</v>
      </c>
      <c r="F93">
        <v>0</v>
      </c>
    </row>
    <row r="94" spans="1:6" x14ac:dyDescent="0.3">
      <c r="A94" t="str">
        <f t="shared" si="1"/>
        <v>RO</v>
      </c>
      <c r="B94" t="s">
        <v>462</v>
      </c>
      <c r="C94">
        <v>1.2007140000000001E-3</v>
      </c>
      <c r="D94">
        <v>3.3120039999999999E-3</v>
      </c>
      <c r="E94">
        <v>1.150558E-2</v>
      </c>
      <c r="F94">
        <v>1.216562E-2</v>
      </c>
    </row>
    <row r="95" spans="1:6" x14ac:dyDescent="0.3">
      <c r="A95" t="str">
        <f t="shared" si="1"/>
        <v>RO</v>
      </c>
      <c r="B95" t="s">
        <v>802</v>
      </c>
      <c r="C95">
        <v>0</v>
      </c>
      <c r="D95">
        <v>0</v>
      </c>
      <c r="E95">
        <v>0</v>
      </c>
      <c r="F95">
        <v>0</v>
      </c>
    </row>
    <row r="96" spans="1:6" x14ac:dyDescent="0.3">
      <c r="A96" t="str">
        <f t="shared" si="1"/>
        <v>SI</v>
      </c>
      <c r="B96" t="s">
        <v>803</v>
      </c>
      <c r="C96">
        <v>0.133113222</v>
      </c>
      <c r="D96">
        <v>0.13323164200000001</v>
      </c>
      <c r="E96">
        <v>8.0764523000000005E-2</v>
      </c>
      <c r="F96">
        <v>9.4637615999999994E-2</v>
      </c>
    </row>
    <row r="97" spans="1:6" x14ac:dyDescent="0.3">
      <c r="A97" t="str">
        <f t="shared" si="1"/>
        <v>SI</v>
      </c>
      <c r="B97" t="s">
        <v>804</v>
      </c>
      <c r="C97">
        <v>5.764145E-3</v>
      </c>
      <c r="D97">
        <v>7.5493779999999998E-3</v>
      </c>
      <c r="E97">
        <v>5.0522609999999997E-3</v>
      </c>
      <c r="F97">
        <v>5.1366700000000003E-3</v>
      </c>
    </row>
    <row r="98" spans="1:6" x14ac:dyDescent="0.3">
      <c r="A98" t="str">
        <f t="shared" si="1"/>
        <v>SI</v>
      </c>
      <c r="B98" t="s">
        <v>472</v>
      </c>
      <c r="C98">
        <v>1.97028E-4</v>
      </c>
      <c r="D98">
        <v>2.9545299999999999E-4</v>
      </c>
      <c r="E98">
        <v>2.4692200000000001E-4</v>
      </c>
      <c r="F98">
        <v>2.9203900000000001E-4</v>
      </c>
    </row>
    <row r="99" spans="1:6" x14ac:dyDescent="0.3">
      <c r="A99" t="str">
        <f t="shared" si="1"/>
        <v>SI</v>
      </c>
      <c r="B99" t="s">
        <v>805</v>
      </c>
      <c r="C99">
        <v>0</v>
      </c>
      <c r="D99">
        <v>0</v>
      </c>
      <c r="E99">
        <v>0</v>
      </c>
      <c r="F99">
        <v>0</v>
      </c>
    </row>
    <row r="100" spans="1:6" x14ac:dyDescent="0.3">
      <c r="A100" t="str">
        <f t="shared" si="1"/>
        <v>SK</v>
      </c>
      <c r="B100" t="s">
        <v>806</v>
      </c>
      <c r="C100">
        <v>0.28606224699999999</v>
      </c>
      <c r="D100">
        <v>0.28802312600000002</v>
      </c>
      <c r="E100">
        <v>0.24293448400000001</v>
      </c>
      <c r="F100">
        <v>0.24225932999999999</v>
      </c>
    </row>
    <row r="101" spans="1:6" x14ac:dyDescent="0.3">
      <c r="A101" t="str">
        <f t="shared" si="1"/>
        <v>SK</v>
      </c>
      <c r="B101" t="s">
        <v>807</v>
      </c>
      <c r="C101">
        <v>5.1472209999999996E-3</v>
      </c>
      <c r="D101">
        <v>5.199904E-3</v>
      </c>
      <c r="E101">
        <v>5.0686350000000002E-3</v>
      </c>
      <c r="F101">
        <v>5.0308000000000002E-3</v>
      </c>
    </row>
    <row r="102" spans="1:6" x14ac:dyDescent="0.3">
      <c r="A102" t="str">
        <f t="shared" si="1"/>
        <v>SK</v>
      </c>
      <c r="B102" t="s">
        <v>482</v>
      </c>
      <c r="C102">
        <v>2.8790532000000001E-2</v>
      </c>
      <c r="D102">
        <v>3.0576971000000001E-2</v>
      </c>
      <c r="E102">
        <v>3.0996881E-2</v>
      </c>
      <c r="F102">
        <v>3.1409869999999999E-2</v>
      </c>
    </row>
    <row r="103" spans="1:6" x14ac:dyDescent="0.3">
      <c r="A103" t="str">
        <f t="shared" si="1"/>
        <v>SK</v>
      </c>
      <c r="B103" t="s">
        <v>808</v>
      </c>
      <c r="C103">
        <v>0</v>
      </c>
      <c r="D103">
        <v>0</v>
      </c>
      <c r="E103">
        <v>0</v>
      </c>
      <c r="F103">
        <v>0</v>
      </c>
    </row>
    <row r="104" spans="1:6" x14ac:dyDescent="0.3">
      <c r="A104" t="str">
        <f t="shared" si="1"/>
        <v>FI</v>
      </c>
      <c r="B104" t="s">
        <v>809</v>
      </c>
      <c r="C104">
        <v>0.60969040200000002</v>
      </c>
      <c r="D104">
        <v>0.59553690699999995</v>
      </c>
      <c r="E104">
        <v>0.51736695799999999</v>
      </c>
      <c r="F104">
        <v>0.449490952</v>
      </c>
    </row>
    <row r="105" spans="1:6" x14ac:dyDescent="0.3">
      <c r="A105" t="str">
        <f t="shared" si="1"/>
        <v>FI</v>
      </c>
      <c r="B105" t="s">
        <v>810</v>
      </c>
      <c r="C105">
        <v>3.9081059999999997E-3</v>
      </c>
      <c r="D105">
        <v>3.4735259999999998E-3</v>
      </c>
      <c r="E105">
        <v>2.9229770000000002E-3</v>
      </c>
      <c r="F105">
        <v>2.4385090000000002E-3</v>
      </c>
    </row>
    <row r="106" spans="1:6" x14ac:dyDescent="0.3">
      <c r="A106" t="str">
        <f t="shared" si="1"/>
        <v>FI</v>
      </c>
      <c r="B106" t="s">
        <v>492</v>
      </c>
      <c r="C106">
        <v>9.5918299999999995E-4</v>
      </c>
      <c r="D106">
        <v>2.528298E-3</v>
      </c>
      <c r="E106">
        <v>3.1711589999999998E-3</v>
      </c>
      <c r="F106">
        <v>9.4773510000000002E-3</v>
      </c>
    </row>
    <row r="107" spans="1:6" x14ac:dyDescent="0.3">
      <c r="A107" t="str">
        <f t="shared" si="1"/>
        <v>FI</v>
      </c>
      <c r="B107" t="s">
        <v>811</v>
      </c>
      <c r="C107">
        <v>0</v>
      </c>
      <c r="D107">
        <v>0</v>
      </c>
      <c r="E107">
        <v>0</v>
      </c>
      <c r="F107">
        <v>0</v>
      </c>
    </row>
    <row r="108" spans="1:6" x14ac:dyDescent="0.3">
      <c r="A108" t="str">
        <f t="shared" si="1"/>
        <v>SE</v>
      </c>
      <c r="B108" t="s">
        <v>812</v>
      </c>
      <c r="C108">
        <v>0.80860795299999999</v>
      </c>
      <c r="D108">
        <v>0.80422693000000001</v>
      </c>
      <c r="E108">
        <v>0.70206729999999995</v>
      </c>
      <c r="F108">
        <v>0.68611139600000004</v>
      </c>
    </row>
    <row r="109" spans="1:6" x14ac:dyDescent="0.3">
      <c r="A109" t="str">
        <f t="shared" si="1"/>
        <v>SE</v>
      </c>
      <c r="B109" t="s">
        <v>813</v>
      </c>
      <c r="C109">
        <v>0.18209732100000001</v>
      </c>
      <c r="D109">
        <v>0.175326384</v>
      </c>
      <c r="E109">
        <v>0.18475238699999999</v>
      </c>
      <c r="F109">
        <v>0.16953689199999999</v>
      </c>
    </row>
    <row r="110" spans="1:6" x14ac:dyDescent="0.3">
      <c r="A110" t="str">
        <f t="shared" si="1"/>
        <v>SE</v>
      </c>
      <c r="B110" t="s">
        <v>502</v>
      </c>
      <c r="C110">
        <v>4.8660650000000001E-3</v>
      </c>
      <c r="D110">
        <v>1.2938118E-2</v>
      </c>
      <c r="E110">
        <v>2.2566137999999999E-2</v>
      </c>
      <c r="F110">
        <v>3.1837091999999997E-2</v>
      </c>
    </row>
    <row r="111" spans="1:6" x14ac:dyDescent="0.3">
      <c r="A111" t="str">
        <f t="shared" si="1"/>
        <v>SE</v>
      </c>
      <c r="B111" t="s">
        <v>814</v>
      </c>
      <c r="C111">
        <v>0</v>
      </c>
      <c r="D111">
        <v>0</v>
      </c>
      <c r="E111">
        <v>0</v>
      </c>
      <c r="F111">
        <v>0</v>
      </c>
    </row>
    <row r="113" spans="1:54" s="3" customFormat="1" x14ac:dyDescent="0.3">
      <c r="A113" s="2" t="s">
        <v>732</v>
      </c>
    </row>
    <row r="114" spans="1:54" x14ac:dyDescent="0.3">
      <c r="A114" s="1" t="s">
        <v>1</v>
      </c>
      <c r="B114" s="1">
        <v>2018</v>
      </c>
      <c r="C114" s="1">
        <v>2019</v>
      </c>
      <c r="D114" s="1">
        <v>2020</v>
      </c>
      <c r="E114" s="1">
        <v>2021</v>
      </c>
      <c r="F114" s="1">
        <v>2022</v>
      </c>
      <c r="G114" s="1">
        <v>2023</v>
      </c>
      <c r="H114" s="1">
        <v>2024</v>
      </c>
      <c r="I114" s="1">
        <v>2025</v>
      </c>
      <c r="J114" s="1">
        <v>2026</v>
      </c>
      <c r="K114" s="1">
        <v>2027</v>
      </c>
      <c r="L114" s="1">
        <v>2028</v>
      </c>
      <c r="M114" s="1">
        <v>2029</v>
      </c>
      <c r="N114" s="1">
        <v>2030</v>
      </c>
      <c r="O114" s="1">
        <v>2031</v>
      </c>
      <c r="P114" s="1">
        <v>2032</v>
      </c>
      <c r="Q114" s="1">
        <v>2033</v>
      </c>
      <c r="R114" s="1">
        <v>2034</v>
      </c>
      <c r="S114" s="1">
        <v>2035</v>
      </c>
      <c r="T114" s="1">
        <v>2036</v>
      </c>
      <c r="U114" s="1">
        <v>2037</v>
      </c>
      <c r="V114" s="1">
        <v>2038</v>
      </c>
      <c r="W114" s="1">
        <v>2039</v>
      </c>
      <c r="X114" s="1">
        <v>2040</v>
      </c>
      <c r="Y114" s="1">
        <v>2041</v>
      </c>
      <c r="Z114" s="1">
        <v>2042</v>
      </c>
      <c r="AA114" s="1">
        <v>2043</v>
      </c>
      <c r="AB114" s="1">
        <v>2044</v>
      </c>
      <c r="AC114" s="1">
        <v>2045</v>
      </c>
      <c r="AD114" s="1">
        <v>2046</v>
      </c>
      <c r="AE114" s="1">
        <v>2047</v>
      </c>
      <c r="AF114" s="1">
        <v>2048</v>
      </c>
      <c r="AG114" s="1">
        <v>2049</v>
      </c>
      <c r="AH114" s="1">
        <v>2050</v>
      </c>
      <c r="AI114" s="1">
        <v>2051</v>
      </c>
      <c r="AJ114" s="1">
        <v>2052</v>
      </c>
      <c r="AK114" s="1">
        <v>2053</v>
      </c>
      <c r="AL114" s="1">
        <v>2054</v>
      </c>
      <c r="AM114" s="1">
        <v>2055</v>
      </c>
      <c r="AN114" s="1">
        <v>2056</v>
      </c>
      <c r="AO114" s="1">
        <v>2057</v>
      </c>
      <c r="AP114" s="1">
        <v>2058</v>
      </c>
      <c r="AQ114" s="1">
        <v>2059</v>
      </c>
      <c r="AR114" s="1">
        <v>2060</v>
      </c>
      <c r="AS114" s="1">
        <v>2061</v>
      </c>
      <c r="AT114" s="1">
        <v>2062</v>
      </c>
      <c r="AU114" s="1">
        <v>2063</v>
      </c>
      <c r="AV114" s="1">
        <v>2064</v>
      </c>
      <c r="AW114" s="1">
        <v>2065</v>
      </c>
      <c r="AX114" s="1">
        <v>2066</v>
      </c>
      <c r="AY114" s="1">
        <v>2067</v>
      </c>
      <c r="AZ114" s="1">
        <v>2068</v>
      </c>
      <c r="BA114" s="1">
        <v>2069</v>
      </c>
      <c r="BB114" s="1">
        <v>2070</v>
      </c>
    </row>
    <row r="115" spans="1:54" x14ac:dyDescent="0.3">
      <c r="A115" t="s">
        <v>2</v>
      </c>
      <c r="B115" s="4">
        <v>0.54172239099999997</v>
      </c>
      <c r="C115" s="4">
        <v>0.53145960900000011</v>
      </c>
      <c r="D115" s="4">
        <v>0.53032750900000003</v>
      </c>
      <c r="E115" s="4">
        <v>0.53047336300000003</v>
      </c>
      <c r="F115" s="6">
        <f>E115*('Buses EU Ref'!H3/'Buses EU Ref'!G3)</f>
        <v>0.57387464622525952</v>
      </c>
      <c r="G115" s="6">
        <f>F115*('Buses EU Ref'!I3/'Buses EU Ref'!H3)</f>
        <v>0.61727592945051901</v>
      </c>
      <c r="H115" s="6">
        <f>G115*('Buses EU Ref'!J3/'Buses EU Ref'!I3)</f>
        <v>0.6606772126757785</v>
      </c>
      <c r="I115" s="6">
        <f>H115*('Buses EU Ref'!K3/'Buses EU Ref'!J3)</f>
        <v>0.7040784959010381</v>
      </c>
      <c r="J115" s="6">
        <f>I115*('Buses EU Ref'!L3/'Buses EU Ref'!K3)</f>
        <v>0.70587997166693484</v>
      </c>
      <c r="K115" s="6">
        <f>J115*('Buses EU Ref'!M3/'Buses EU Ref'!L3)</f>
        <v>0.70768144743283146</v>
      </c>
      <c r="L115" s="6">
        <f>K115*('Buses EU Ref'!N3/'Buses EU Ref'!M3)</f>
        <v>0.70948292319872808</v>
      </c>
      <c r="M115" s="6">
        <f>L115*('Buses EU Ref'!O3/'Buses EU Ref'!N3)</f>
        <v>0.7112843989646247</v>
      </c>
      <c r="N115" s="6">
        <f>M115*('Buses EU Ref'!P3/'Buses EU Ref'!O3)</f>
        <v>0.71308587473052121</v>
      </c>
      <c r="O115" s="6">
        <f>N115*('Buses EU Ref'!Q3/'Buses EU Ref'!P3)</f>
        <v>0.71816911775007086</v>
      </c>
      <c r="P115" s="6">
        <f>O115*('Buses EU Ref'!R3/'Buses EU Ref'!Q3)</f>
        <v>0.72325236076962041</v>
      </c>
      <c r="Q115" s="6">
        <f>P115*('Buses EU Ref'!S3/'Buses EU Ref'!R3)</f>
        <v>0.72833560378916995</v>
      </c>
      <c r="R115" s="6">
        <f>Q115*('Buses EU Ref'!T3/'Buses EU Ref'!S3)</f>
        <v>0.7334188468087196</v>
      </c>
      <c r="S115" s="6">
        <f>R115*('Buses EU Ref'!U3/'Buses EU Ref'!T3)</f>
        <v>0.73850208982826948</v>
      </c>
      <c r="T115" s="6">
        <f>S115*('Buses EU Ref'!V3/'Buses EU Ref'!U3)</f>
        <v>0.74505894741187872</v>
      </c>
      <c r="U115" s="6">
        <f>T115*('Buses EU Ref'!W3/'Buses EU Ref'!V3)</f>
        <v>0.75161580499548797</v>
      </c>
      <c r="V115" s="6">
        <f>U115*('Buses EU Ref'!X3/'Buses EU Ref'!W3)</f>
        <v>0.75817266257909732</v>
      </c>
      <c r="W115" s="6">
        <f>V115*('Buses EU Ref'!Y3/'Buses EU Ref'!X3)</f>
        <v>0.76472952016270668</v>
      </c>
      <c r="X115" s="6">
        <f>W115*('Buses EU Ref'!Z3/'Buses EU Ref'!Y3)</f>
        <v>0.77128637774631592</v>
      </c>
      <c r="Y115" s="6">
        <f>X115*('Buses EU Ref'!AA3/'Buses EU Ref'!Z3)</f>
        <v>0.7762777653612456</v>
      </c>
      <c r="Z115" s="6">
        <f>Y115*('Buses EU Ref'!AB3/'Buses EU Ref'!AA3)</f>
        <v>0.78126915297617527</v>
      </c>
      <c r="AA115" s="6">
        <f>Z115*('Buses EU Ref'!AC3/'Buses EU Ref'!AB3)</f>
        <v>0.78626054059110495</v>
      </c>
      <c r="AB115" s="6">
        <f>AA115*('Buses EU Ref'!AD3/'Buses EU Ref'!AC3)</f>
        <v>0.79125192820603463</v>
      </c>
      <c r="AC115" s="6">
        <f>AB115*('Buses EU Ref'!AE3/'Buses EU Ref'!AD3)</f>
        <v>0.79624331582096441</v>
      </c>
      <c r="AD115" s="6">
        <f>AC115*('Buses EU Ref'!AF3/'Buses EU Ref'!AE3)</f>
        <v>0.80071920987881429</v>
      </c>
      <c r="AE115" s="6">
        <f>AD115*('Buses EU Ref'!AG3/'Buses EU Ref'!AF3)</f>
        <v>0.80519510393666405</v>
      </c>
      <c r="AF115" s="6">
        <f>AE115*('Buses EU Ref'!AH3/'Buses EU Ref'!AG3)</f>
        <v>0.80967099799451392</v>
      </c>
      <c r="AG115" s="6">
        <f>AF115*('Buses EU Ref'!AI3/'Buses EU Ref'!AH3)</f>
        <v>0.81414689205236368</v>
      </c>
      <c r="AH115" s="6">
        <f>AG115*('Buses EU Ref'!AJ3/'Buses EU Ref'!AI3)</f>
        <v>0.81862278611021366</v>
      </c>
      <c r="AI115" s="17">
        <f>AH115</f>
        <v>0.81862278611021366</v>
      </c>
      <c r="AJ115" s="17">
        <f t="shared" ref="AJ115:BB115" si="2">AI115</f>
        <v>0.81862278611021366</v>
      </c>
      <c r="AK115" s="17">
        <f t="shared" si="2"/>
        <v>0.81862278611021366</v>
      </c>
      <c r="AL115" s="17">
        <f t="shared" si="2"/>
        <v>0.81862278611021366</v>
      </c>
      <c r="AM115" s="17">
        <f t="shared" si="2"/>
        <v>0.81862278611021366</v>
      </c>
      <c r="AN115" s="17">
        <f t="shared" si="2"/>
        <v>0.81862278611021366</v>
      </c>
      <c r="AO115" s="17">
        <f t="shared" si="2"/>
        <v>0.81862278611021366</v>
      </c>
      <c r="AP115" s="17">
        <f t="shared" si="2"/>
        <v>0.81862278611021366</v>
      </c>
      <c r="AQ115" s="17">
        <f t="shared" si="2"/>
        <v>0.81862278611021366</v>
      </c>
      <c r="AR115" s="17">
        <f t="shared" si="2"/>
        <v>0.81862278611021366</v>
      </c>
      <c r="AS115" s="17">
        <f t="shared" si="2"/>
        <v>0.81862278611021366</v>
      </c>
      <c r="AT115" s="17">
        <f t="shared" si="2"/>
        <v>0.81862278611021366</v>
      </c>
      <c r="AU115" s="17">
        <f t="shared" si="2"/>
        <v>0.81862278611021366</v>
      </c>
      <c r="AV115" s="17">
        <f t="shared" si="2"/>
        <v>0.81862278611021366</v>
      </c>
      <c r="AW115" s="17">
        <f t="shared" si="2"/>
        <v>0.81862278611021366</v>
      </c>
      <c r="AX115" s="17">
        <f t="shared" si="2"/>
        <v>0.81862278611021366</v>
      </c>
      <c r="AY115" s="17">
        <f t="shared" si="2"/>
        <v>0.81862278611021366</v>
      </c>
      <c r="AZ115" s="17">
        <f t="shared" si="2"/>
        <v>0.81862278611021366</v>
      </c>
      <c r="BA115" s="17">
        <f t="shared" si="2"/>
        <v>0.81862278611021366</v>
      </c>
      <c r="BB115" s="17">
        <f t="shared" si="2"/>
        <v>0.81862278611021366</v>
      </c>
    </row>
    <row r="116" spans="1:54" x14ac:dyDescent="0.3">
      <c r="A116" t="s">
        <v>4</v>
      </c>
      <c r="B116" s="4">
        <v>0.62195812700000008</v>
      </c>
      <c r="C116" s="4">
        <v>0.62938152200000008</v>
      </c>
      <c r="D116" s="4">
        <v>0.62669616900000003</v>
      </c>
      <c r="E116" s="4">
        <v>0.62699987099999999</v>
      </c>
      <c r="F116" s="6">
        <f>E116*('Buses EU Ref'!H4/'Buses EU Ref'!G4)</f>
        <v>0.69325477689539239</v>
      </c>
      <c r="G116" s="6">
        <f>F116*('Buses EU Ref'!I4/'Buses EU Ref'!H4)</f>
        <v>0.75950968279078479</v>
      </c>
      <c r="H116" s="6">
        <f>G116*('Buses EU Ref'!J4/'Buses EU Ref'!I4)</f>
        <v>0.82576458868617708</v>
      </c>
      <c r="I116" s="6">
        <f>H116*('Buses EU Ref'!K4/'Buses EU Ref'!J4)</f>
        <v>0.89201949458156937</v>
      </c>
      <c r="J116" s="6">
        <f>I116*('Buses EU Ref'!L4/'Buses EU Ref'!K4)</f>
        <v>0.89326696375493631</v>
      </c>
      <c r="K116" s="6">
        <f>J116*('Buses EU Ref'!M4/'Buses EU Ref'!L4)</f>
        <v>0.89451443292830335</v>
      </c>
      <c r="L116" s="6">
        <f>K116*('Buses EU Ref'!N4/'Buses EU Ref'!M4)</f>
        <v>0.89576190210167039</v>
      </c>
      <c r="M116" s="6">
        <f>L116*('Buses EU Ref'!O4/'Buses EU Ref'!N4)</f>
        <v>0.89700937127503744</v>
      </c>
      <c r="N116" s="6">
        <f>M116*('Buses EU Ref'!P4/'Buses EU Ref'!O4)</f>
        <v>0.89825684044840437</v>
      </c>
      <c r="O116" s="6">
        <f>N116*('Buses EU Ref'!Q4/'Buses EU Ref'!P4)</f>
        <v>0.89672789341216397</v>
      </c>
      <c r="P116" s="6">
        <f>O116*('Buses EU Ref'!R4/'Buses EU Ref'!Q4)</f>
        <v>0.89519894637592357</v>
      </c>
      <c r="Q116" s="6">
        <f>P116*('Buses EU Ref'!S4/'Buses EU Ref'!R4)</f>
        <v>0.89366999933968316</v>
      </c>
      <c r="R116" s="6">
        <f>Q116*('Buses EU Ref'!T4/'Buses EU Ref'!S4)</f>
        <v>0.89214105230344276</v>
      </c>
      <c r="S116" s="6">
        <f>R116*('Buses EU Ref'!U4/'Buses EU Ref'!T4)</f>
        <v>0.89061210526720236</v>
      </c>
      <c r="T116" s="6">
        <f>S116*('Buses EU Ref'!V4/'Buses EU Ref'!U4)</f>
        <v>0.8920887114196322</v>
      </c>
      <c r="U116" s="6">
        <f>T116*('Buses EU Ref'!W4/'Buses EU Ref'!V4)</f>
        <v>0.89356531757206203</v>
      </c>
      <c r="V116" s="6">
        <f>U116*('Buses EU Ref'!X4/'Buses EU Ref'!W4)</f>
        <v>0.89504192372449187</v>
      </c>
      <c r="W116" s="6">
        <f>V116*('Buses EU Ref'!Y4/'Buses EU Ref'!X4)</f>
        <v>0.89651852987692171</v>
      </c>
      <c r="X116" s="6">
        <f>W116*('Buses EU Ref'!Z4/'Buses EU Ref'!Y4)</f>
        <v>0.89799513602935166</v>
      </c>
      <c r="Y116" s="6">
        <f>X116*('Buses EU Ref'!AA4/'Buses EU Ref'!Z4)</f>
        <v>0.89899470773718115</v>
      </c>
      <c r="Z116" s="6">
        <f>Y116*('Buses EU Ref'!AB4/'Buses EU Ref'!AA4)</f>
        <v>0.89999427944501065</v>
      </c>
      <c r="AA116" s="6">
        <f>Z116*('Buses EU Ref'!AC4/'Buses EU Ref'!AB4)</f>
        <v>0.90099385115284014</v>
      </c>
      <c r="AB116" s="6">
        <f>AA116*('Buses EU Ref'!AD4/'Buses EU Ref'!AC4)</f>
        <v>0.90199342286066975</v>
      </c>
      <c r="AC116" s="6">
        <f>AB116*('Buses EU Ref'!AE4/'Buses EU Ref'!AD4)</f>
        <v>0.90299299456849946</v>
      </c>
      <c r="AD116" s="6">
        <f>AC116*('Buses EU Ref'!AF4/'Buses EU Ref'!AE4)</f>
        <v>0.90364295278658968</v>
      </c>
      <c r="AE116" s="6">
        <f>AD116*('Buses EU Ref'!AG4/'Buses EU Ref'!AF4)</f>
        <v>0.90429291100468012</v>
      </c>
      <c r="AF116" s="6">
        <f>AE116*('Buses EU Ref'!AH4/'Buses EU Ref'!AG4)</f>
        <v>0.90494286922277045</v>
      </c>
      <c r="AG116" s="6">
        <f>AF116*('Buses EU Ref'!AI4/'Buses EU Ref'!AH4)</f>
        <v>0.90559282744086067</v>
      </c>
      <c r="AH116" s="6">
        <f>AG116*('Buses EU Ref'!AJ4/'Buses EU Ref'!AI4)</f>
        <v>0.90624278565895078</v>
      </c>
      <c r="AI116" s="17">
        <f t="shared" ref="AI116:BB116" si="3">AH116</f>
        <v>0.90624278565895078</v>
      </c>
      <c r="AJ116" s="17">
        <f t="shared" si="3"/>
        <v>0.90624278565895078</v>
      </c>
      <c r="AK116" s="17">
        <f t="shared" si="3"/>
        <v>0.90624278565895078</v>
      </c>
      <c r="AL116" s="17">
        <f t="shared" si="3"/>
        <v>0.90624278565895078</v>
      </c>
      <c r="AM116" s="17">
        <f t="shared" si="3"/>
        <v>0.90624278565895078</v>
      </c>
      <c r="AN116" s="17">
        <f t="shared" si="3"/>
        <v>0.90624278565895078</v>
      </c>
      <c r="AO116" s="17">
        <f t="shared" si="3"/>
        <v>0.90624278565895078</v>
      </c>
      <c r="AP116" s="17">
        <f t="shared" si="3"/>
        <v>0.90624278565895078</v>
      </c>
      <c r="AQ116" s="17">
        <f t="shared" si="3"/>
        <v>0.90624278565895078</v>
      </c>
      <c r="AR116" s="17">
        <f t="shared" si="3"/>
        <v>0.90624278565895078</v>
      </c>
      <c r="AS116" s="17">
        <f t="shared" si="3"/>
        <v>0.90624278565895078</v>
      </c>
      <c r="AT116" s="17">
        <f t="shared" si="3"/>
        <v>0.90624278565895078</v>
      </c>
      <c r="AU116" s="17">
        <f t="shared" si="3"/>
        <v>0.90624278565895078</v>
      </c>
      <c r="AV116" s="17">
        <f t="shared" si="3"/>
        <v>0.90624278565895078</v>
      </c>
      <c r="AW116" s="17">
        <f t="shared" si="3"/>
        <v>0.90624278565895078</v>
      </c>
      <c r="AX116" s="17">
        <f t="shared" si="3"/>
        <v>0.90624278565895078</v>
      </c>
      <c r="AY116" s="17">
        <f t="shared" si="3"/>
        <v>0.90624278565895078</v>
      </c>
      <c r="AZ116" s="17">
        <f t="shared" si="3"/>
        <v>0.90624278565895078</v>
      </c>
      <c r="BA116" s="17">
        <f t="shared" si="3"/>
        <v>0.90624278565895078</v>
      </c>
      <c r="BB116" s="17">
        <f t="shared" si="3"/>
        <v>0.90624278565895078</v>
      </c>
    </row>
    <row r="117" spans="1:54" x14ac:dyDescent="0.3">
      <c r="A117" t="s">
        <v>3</v>
      </c>
      <c r="B117" s="4">
        <v>0.42760000100000001</v>
      </c>
      <c r="C117" s="4">
        <v>0.46907694599999999</v>
      </c>
      <c r="D117" s="4">
        <v>0.465497679</v>
      </c>
      <c r="E117" s="4">
        <v>0.465416581</v>
      </c>
      <c r="F117" s="6">
        <f>E117*('Buses EU Ref'!H5/'Buses EU Ref'!G5)</f>
        <v>0.49155168760575457</v>
      </c>
      <c r="G117" s="6">
        <f>F117*('Buses EU Ref'!I5/'Buses EU Ref'!H5)</f>
        <v>0.5176867942115092</v>
      </c>
      <c r="H117" s="6">
        <f>G117*('Buses EU Ref'!J5/'Buses EU Ref'!I5)</f>
        <v>0.54382190081726367</v>
      </c>
      <c r="I117" s="6">
        <f>H117*('Buses EU Ref'!K5/'Buses EU Ref'!J5)</f>
        <v>0.56995700742301814</v>
      </c>
      <c r="J117" s="6">
        <f>I117*('Buses EU Ref'!L5/'Buses EU Ref'!K5)</f>
        <v>0.57057863954113675</v>
      </c>
      <c r="K117" s="6">
        <f>J117*('Buses EU Ref'!M5/'Buses EU Ref'!L5)</f>
        <v>0.57120027165925535</v>
      </c>
      <c r="L117" s="6">
        <f>K117*('Buses EU Ref'!N5/'Buses EU Ref'!M5)</f>
        <v>0.57182190377737385</v>
      </c>
      <c r="M117" s="6">
        <f>L117*('Buses EU Ref'!O5/'Buses EU Ref'!N5)</f>
        <v>0.57244353589549246</v>
      </c>
      <c r="N117" s="6">
        <f>M117*('Buses EU Ref'!P5/'Buses EU Ref'!O5)</f>
        <v>0.57306516801361085</v>
      </c>
      <c r="O117" s="6">
        <f>N117*('Buses EU Ref'!Q5/'Buses EU Ref'!P5)</f>
        <v>0.57470417631340276</v>
      </c>
      <c r="P117" s="6">
        <f>O117*('Buses EU Ref'!R5/'Buses EU Ref'!Q5)</f>
        <v>0.57634318461319478</v>
      </c>
      <c r="Q117" s="6">
        <f>P117*('Buses EU Ref'!S5/'Buses EU Ref'!R5)</f>
        <v>0.5779821929129868</v>
      </c>
      <c r="R117" s="6">
        <f>Q117*('Buses EU Ref'!T5/'Buses EU Ref'!S5)</f>
        <v>0.57962120121277871</v>
      </c>
      <c r="S117" s="6">
        <f>R117*('Buses EU Ref'!U5/'Buses EU Ref'!T5)</f>
        <v>0.58126020951257062</v>
      </c>
      <c r="T117" s="6">
        <f>S117*('Buses EU Ref'!V5/'Buses EU Ref'!U5)</f>
        <v>0.58541168089383477</v>
      </c>
      <c r="U117" s="6">
        <f>T117*('Buses EU Ref'!W5/'Buses EU Ref'!V5)</f>
        <v>0.58956315227509892</v>
      </c>
      <c r="V117" s="6">
        <f>U117*('Buses EU Ref'!X5/'Buses EU Ref'!W5)</f>
        <v>0.59371462365636307</v>
      </c>
      <c r="W117" s="6">
        <f>V117*('Buses EU Ref'!Y5/'Buses EU Ref'!X5)</f>
        <v>0.59786609503762711</v>
      </c>
      <c r="X117" s="6">
        <f>W117*('Buses EU Ref'!Z5/'Buses EU Ref'!Y5)</f>
        <v>0.60201756641889104</v>
      </c>
      <c r="Y117" s="6">
        <f>X117*('Buses EU Ref'!AA5/'Buses EU Ref'!Z5)</f>
        <v>0.60395497171183821</v>
      </c>
      <c r="Z117" s="6">
        <f>Y117*('Buses EU Ref'!AB5/'Buses EU Ref'!AA5)</f>
        <v>0.60589237700478538</v>
      </c>
      <c r="AA117" s="6">
        <f>Z117*('Buses EU Ref'!AC5/'Buses EU Ref'!AB5)</f>
        <v>0.60782978229773266</v>
      </c>
      <c r="AB117" s="6">
        <f>AA117*('Buses EU Ref'!AD5/'Buses EU Ref'!AC5)</f>
        <v>0.60976718759067994</v>
      </c>
      <c r="AC117" s="6">
        <f>AB117*('Buses EU Ref'!AE5/'Buses EU Ref'!AD5)</f>
        <v>0.61170459288362722</v>
      </c>
      <c r="AD117" s="6">
        <f>AC117*('Buses EU Ref'!AF5/'Buses EU Ref'!AE5)</f>
        <v>0.61293776616891593</v>
      </c>
      <c r="AE117" s="6">
        <f>AD117*('Buses EU Ref'!AG5/'Buses EU Ref'!AF5)</f>
        <v>0.61417093945420465</v>
      </c>
      <c r="AF117" s="6">
        <f>AE117*('Buses EU Ref'!AH5/'Buses EU Ref'!AG5)</f>
        <v>0.61540411273949336</v>
      </c>
      <c r="AG117" s="6">
        <f>AF117*('Buses EU Ref'!AI5/'Buses EU Ref'!AH5)</f>
        <v>0.61663728602478207</v>
      </c>
      <c r="AH117" s="6">
        <f>AG117*('Buses EU Ref'!AJ5/'Buses EU Ref'!AI5)</f>
        <v>0.61787045931007079</v>
      </c>
      <c r="AI117" s="17">
        <f t="shared" ref="AI117:BB117" si="4">AH117</f>
        <v>0.61787045931007079</v>
      </c>
      <c r="AJ117" s="17">
        <f t="shared" si="4"/>
        <v>0.61787045931007079</v>
      </c>
      <c r="AK117" s="17">
        <f t="shared" si="4"/>
        <v>0.61787045931007079</v>
      </c>
      <c r="AL117" s="17">
        <f t="shared" si="4"/>
        <v>0.61787045931007079</v>
      </c>
      <c r="AM117" s="17">
        <f t="shared" si="4"/>
        <v>0.61787045931007079</v>
      </c>
      <c r="AN117" s="17">
        <f t="shared" si="4"/>
        <v>0.61787045931007079</v>
      </c>
      <c r="AO117" s="17">
        <f t="shared" si="4"/>
        <v>0.61787045931007079</v>
      </c>
      <c r="AP117" s="17">
        <f t="shared" si="4"/>
        <v>0.61787045931007079</v>
      </c>
      <c r="AQ117" s="17">
        <f t="shared" si="4"/>
        <v>0.61787045931007079</v>
      </c>
      <c r="AR117" s="17">
        <f t="shared" si="4"/>
        <v>0.61787045931007079</v>
      </c>
      <c r="AS117" s="17">
        <f t="shared" si="4"/>
        <v>0.61787045931007079</v>
      </c>
      <c r="AT117" s="17">
        <f t="shared" si="4"/>
        <v>0.61787045931007079</v>
      </c>
      <c r="AU117" s="17">
        <f t="shared" si="4"/>
        <v>0.61787045931007079</v>
      </c>
      <c r="AV117" s="17">
        <f t="shared" si="4"/>
        <v>0.61787045931007079</v>
      </c>
      <c r="AW117" s="17">
        <f t="shared" si="4"/>
        <v>0.61787045931007079</v>
      </c>
      <c r="AX117" s="17">
        <f t="shared" si="4"/>
        <v>0.61787045931007079</v>
      </c>
      <c r="AY117" s="17">
        <f t="shared" si="4"/>
        <v>0.61787045931007079</v>
      </c>
      <c r="AZ117" s="17">
        <f t="shared" si="4"/>
        <v>0.61787045931007079</v>
      </c>
      <c r="BA117" s="17">
        <f t="shared" si="4"/>
        <v>0.61787045931007079</v>
      </c>
      <c r="BB117" s="17">
        <f t="shared" si="4"/>
        <v>0.61787045931007079</v>
      </c>
    </row>
    <row r="118" spans="1:54" x14ac:dyDescent="0.3">
      <c r="A118" t="s">
        <v>15</v>
      </c>
      <c r="B118" s="4">
        <v>0.175823593</v>
      </c>
      <c r="C118" s="4">
        <v>0.17722447799999999</v>
      </c>
      <c r="D118" s="4">
        <v>0.13977592899999999</v>
      </c>
      <c r="E118" s="4">
        <v>0.14785343000000001</v>
      </c>
      <c r="F118" s="6">
        <f>E118*('Buses EU Ref'!H6/'Buses EU Ref'!G6)</f>
        <v>0.15993009105638498</v>
      </c>
      <c r="G118" s="6">
        <f>F118*('Buses EU Ref'!I6/'Buses EU Ref'!H6)</f>
        <v>0.17200675211276995</v>
      </c>
      <c r="H118" s="6">
        <f>G118*('Buses EU Ref'!J6/'Buses EU Ref'!I6)</f>
        <v>0.18408341316915489</v>
      </c>
      <c r="I118" s="6">
        <f>H118*('Buses EU Ref'!K6/'Buses EU Ref'!J6)</f>
        <v>0.19616007422553983</v>
      </c>
      <c r="J118" s="6">
        <f>I118*('Buses EU Ref'!L6/'Buses EU Ref'!K6)</f>
        <v>0.1974560737452114</v>
      </c>
      <c r="K118" s="6">
        <f>J118*('Buses EU Ref'!M6/'Buses EU Ref'!L6)</f>
        <v>0.19875207326488298</v>
      </c>
      <c r="L118" s="6">
        <f>K118*('Buses EU Ref'!N6/'Buses EU Ref'!M6)</f>
        <v>0.20004807278455455</v>
      </c>
      <c r="M118" s="6">
        <f>L118*('Buses EU Ref'!O6/'Buses EU Ref'!N6)</f>
        <v>0.20134407230422613</v>
      </c>
      <c r="N118" s="6">
        <f>M118*('Buses EU Ref'!P6/'Buses EU Ref'!O6)</f>
        <v>0.20264007182389762</v>
      </c>
      <c r="O118" s="6">
        <f>N118*('Buses EU Ref'!Q6/'Buses EU Ref'!P6)</f>
        <v>0.20429242775070491</v>
      </c>
      <c r="P118" s="6">
        <f>O118*('Buses EU Ref'!R6/'Buses EU Ref'!Q6)</f>
        <v>0.20594478367751218</v>
      </c>
      <c r="Q118" s="6">
        <f>P118*('Buses EU Ref'!S6/'Buses EU Ref'!R6)</f>
        <v>0.20759713960431947</v>
      </c>
      <c r="R118" s="6">
        <f>Q118*('Buses EU Ref'!T6/'Buses EU Ref'!S6)</f>
        <v>0.20924949553112676</v>
      </c>
      <c r="S118" s="6">
        <f>R118*('Buses EU Ref'!U6/'Buses EU Ref'!T6)</f>
        <v>0.210901851457934</v>
      </c>
      <c r="T118" s="6">
        <f>S118*('Buses EU Ref'!V6/'Buses EU Ref'!U6)</f>
        <v>0.21186792110803163</v>
      </c>
      <c r="U118" s="6">
        <f>T118*('Buses EU Ref'!W6/'Buses EU Ref'!V6)</f>
        <v>0.21283399075812928</v>
      </c>
      <c r="V118" s="6">
        <f>U118*('Buses EU Ref'!X6/'Buses EU Ref'!W6)</f>
        <v>0.21380006040822691</v>
      </c>
      <c r="W118" s="6">
        <f>V118*('Buses EU Ref'!Y6/'Buses EU Ref'!X6)</f>
        <v>0.21476613005832454</v>
      </c>
      <c r="X118" s="6">
        <f>W118*('Buses EU Ref'!Z6/'Buses EU Ref'!Y6)</f>
        <v>0.2157321997084222</v>
      </c>
      <c r="Y118" s="6">
        <f>X118*('Buses EU Ref'!AA6/'Buses EU Ref'!Z6)</f>
        <v>0.2176184076716727</v>
      </c>
      <c r="Z118" s="6">
        <f>Y118*('Buses EU Ref'!AB6/'Buses EU Ref'!AA6)</f>
        <v>0.21950461563492318</v>
      </c>
      <c r="AA118" s="6">
        <f>Z118*('Buses EU Ref'!AC6/'Buses EU Ref'!AB6)</f>
        <v>0.22139082359817364</v>
      </c>
      <c r="AB118" s="6">
        <f>AA118*('Buses EU Ref'!AD6/'Buses EU Ref'!AC6)</f>
        <v>0.22327703156142412</v>
      </c>
      <c r="AC118" s="6">
        <f>AB118*('Buses EU Ref'!AE6/'Buses EU Ref'!AD6)</f>
        <v>0.22516323952467451</v>
      </c>
      <c r="AD118" s="6">
        <f>AC118*('Buses EU Ref'!AF6/'Buses EU Ref'!AE6)</f>
        <v>0.22698180177555607</v>
      </c>
      <c r="AE118" s="6">
        <f>AD118*('Buses EU Ref'!AG6/'Buses EU Ref'!AF6)</f>
        <v>0.22880036402643766</v>
      </c>
      <c r="AF118" s="6">
        <f>AE118*('Buses EU Ref'!AH6/'Buses EU Ref'!AG6)</f>
        <v>0.23061892627731925</v>
      </c>
      <c r="AG118" s="6">
        <f>AF118*('Buses EU Ref'!AI6/'Buses EU Ref'!AH6)</f>
        <v>0.23243748852820084</v>
      </c>
      <c r="AH118" s="6">
        <f>AG118*('Buses EU Ref'!AJ6/'Buses EU Ref'!AI6)</f>
        <v>0.23425605077908235</v>
      </c>
      <c r="AI118" s="17">
        <f t="shared" ref="AI118:BB118" si="5">AH118</f>
        <v>0.23425605077908235</v>
      </c>
      <c r="AJ118" s="17">
        <f t="shared" si="5"/>
        <v>0.23425605077908235</v>
      </c>
      <c r="AK118" s="17">
        <f t="shared" si="5"/>
        <v>0.23425605077908235</v>
      </c>
      <c r="AL118" s="17">
        <f t="shared" si="5"/>
        <v>0.23425605077908235</v>
      </c>
      <c r="AM118" s="17">
        <f t="shared" si="5"/>
        <v>0.23425605077908235</v>
      </c>
      <c r="AN118" s="17">
        <f t="shared" si="5"/>
        <v>0.23425605077908235</v>
      </c>
      <c r="AO118" s="17">
        <f t="shared" si="5"/>
        <v>0.23425605077908235</v>
      </c>
      <c r="AP118" s="17">
        <f t="shared" si="5"/>
        <v>0.23425605077908235</v>
      </c>
      <c r="AQ118" s="17">
        <f t="shared" si="5"/>
        <v>0.23425605077908235</v>
      </c>
      <c r="AR118" s="17">
        <f t="shared" si="5"/>
        <v>0.23425605077908235</v>
      </c>
      <c r="AS118" s="17">
        <f t="shared" si="5"/>
        <v>0.23425605077908235</v>
      </c>
      <c r="AT118" s="17">
        <f t="shared" si="5"/>
        <v>0.23425605077908235</v>
      </c>
      <c r="AU118" s="17">
        <f t="shared" si="5"/>
        <v>0.23425605077908235</v>
      </c>
      <c r="AV118" s="17">
        <f t="shared" si="5"/>
        <v>0.23425605077908235</v>
      </c>
      <c r="AW118" s="17">
        <f t="shared" si="5"/>
        <v>0.23425605077908235</v>
      </c>
      <c r="AX118" s="17">
        <f t="shared" si="5"/>
        <v>0.23425605077908235</v>
      </c>
      <c r="AY118" s="17">
        <f t="shared" si="5"/>
        <v>0.23425605077908235</v>
      </c>
      <c r="AZ118" s="17">
        <f t="shared" si="5"/>
        <v>0.23425605077908235</v>
      </c>
      <c r="BA118" s="17">
        <f t="shared" si="5"/>
        <v>0.23425605077908235</v>
      </c>
      <c r="BB118" s="17">
        <f t="shared" si="5"/>
        <v>0.23425605077908235</v>
      </c>
    </row>
    <row r="119" spans="1:54" x14ac:dyDescent="0.3">
      <c r="A119" t="s">
        <v>5</v>
      </c>
      <c r="B119" s="4">
        <v>0.79712937699999997</v>
      </c>
      <c r="C119" s="4">
        <v>0.789797054</v>
      </c>
      <c r="D119" s="4">
        <v>0.5740901530000001</v>
      </c>
      <c r="E119" s="4">
        <v>0.54562352800000002</v>
      </c>
      <c r="F119" s="6">
        <f>E119*('Buses EU Ref'!H7/'Buses EU Ref'!G7)</f>
        <v>0.57961135431358479</v>
      </c>
      <c r="G119" s="6">
        <f>F119*('Buses EU Ref'!I7/'Buses EU Ref'!H7)</f>
        <v>0.61359918062716967</v>
      </c>
      <c r="H119" s="6">
        <f>G119*('Buses EU Ref'!J7/'Buses EU Ref'!I7)</f>
        <v>0.64758700694075455</v>
      </c>
      <c r="I119" s="6">
        <f>H119*('Buses EU Ref'!K7/'Buses EU Ref'!J7)</f>
        <v>0.68157483325433932</v>
      </c>
      <c r="J119" s="6">
        <f>I119*('Buses EU Ref'!L7/'Buses EU Ref'!K7)</f>
        <v>0.70244991806806689</v>
      </c>
      <c r="K119" s="6">
        <f>J119*('Buses EU Ref'!M7/'Buses EU Ref'!L7)</f>
        <v>0.72332500288179447</v>
      </c>
      <c r="L119" s="6">
        <f>K119*('Buses EU Ref'!N7/'Buses EU Ref'!M7)</f>
        <v>0.74420008769552193</v>
      </c>
      <c r="M119" s="6">
        <f>L119*('Buses EU Ref'!O7/'Buses EU Ref'!N7)</f>
        <v>0.7650751725092495</v>
      </c>
      <c r="N119" s="6">
        <f>M119*('Buses EU Ref'!P7/'Buses EU Ref'!O7)</f>
        <v>0.78595025732297696</v>
      </c>
      <c r="O119" s="6">
        <f>N119*('Buses EU Ref'!Q7/'Buses EU Ref'!P7)</f>
        <v>0.78952142618573351</v>
      </c>
      <c r="P119" s="6">
        <f>O119*('Buses EU Ref'!R7/'Buses EU Ref'!Q7)</f>
        <v>0.79309259504848995</v>
      </c>
      <c r="Q119" s="6">
        <f>P119*('Buses EU Ref'!S7/'Buses EU Ref'!R7)</f>
        <v>0.7966637639112466</v>
      </c>
      <c r="R119" s="6">
        <f>Q119*('Buses EU Ref'!T7/'Buses EU Ref'!S7)</f>
        <v>0.80023493277400315</v>
      </c>
      <c r="S119" s="6">
        <f>R119*('Buses EU Ref'!U7/'Buses EU Ref'!T7)</f>
        <v>0.80380610163675958</v>
      </c>
      <c r="T119" s="6">
        <f>S119*('Buses EU Ref'!V7/'Buses EU Ref'!U7)</f>
        <v>0.8110187826217744</v>
      </c>
      <c r="U119" s="6">
        <f>T119*('Buses EU Ref'!W7/'Buses EU Ref'!V7)</f>
        <v>0.81823146360678922</v>
      </c>
      <c r="V119" s="6">
        <f>U119*('Buses EU Ref'!X7/'Buses EU Ref'!W7)</f>
        <v>0.82544414459180382</v>
      </c>
      <c r="W119" s="6">
        <f>V119*('Buses EU Ref'!Y7/'Buses EU Ref'!X7)</f>
        <v>0.83265682557681853</v>
      </c>
      <c r="X119" s="6">
        <f>W119*('Buses EU Ref'!Z7/'Buses EU Ref'!Y7)</f>
        <v>0.8398695065618329</v>
      </c>
      <c r="Y119" s="6">
        <f>X119*('Buses EU Ref'!AA7/'Buses EU Ref'!Z7)</f>
        <v>0.84615952132006944</v>
      </c>
      <c r="Z119" s="6">
        <f>Y119*('Buses EU Ref'!AB7/'Buses EU Ref'!AA7)</f>
        <v>0.85244953607830598</v>
      </c>
      <c r="AA119" s="6">
        <f>Z119*('Buses EU Ref'!AC7/'Buses EU Ref'!AB7)</f>
        <v>0.85873955083654252</v>
      </c>
      <c r="AB119" s="6">
        <f>AA119*('Buses EU Ref'!AD7/'Buses EU Ref'!AC7)</f>
        <v>0.86502956559477906</v>
      </c>
      <c r="AC119" s="6">
        <f>AB119*('Buses EU Ref'!AE7/'Buses EU Ref'!AD7)</f>
        <v>0.8713195803530156</v>
      </c>
      <c r="AD119" s="6">
        <f>AC119*('Buses EU Ref'!AF7/'Buses EU Ref'!AE7)</f>
        <v>0.87648406732109796</v>
      </c>
      <c r="AE119" s="6">
        <f>AD119*('Buses EU Ref'!AG7/'Buses EU Ref'!AF7)</f>
        <v>0.88164855428918021</v>
      </c>
      <c r="AF119" s="6">
        <f>AE119*('Buses EU Ref'!AH7/'Buses EU Ref'!AG7)</f>
        <v>0.88681304125726257</v>
      </c>
      <c r="AG119" s="6">
        <f>AF119*('Buses EU Ref'!AI7/'Buses EU Ref'!AH7)</f>
        <v>0.89197752822534482</v>
      </c>
      <c r="AH119" s="6">
        <f>AG119*('Buses EU Ref'!AJ7/'Buses EU Ref'!AI7)</f>
        <v>0.8971420151934274</v>
      </c>
      <c r="AI119" s="17">
        <f t="shared" ref="AI119:BB119" si="6">AH119</f>
        <v>0.8971420151934274</v>
      </c>
      <c r="AJ119" s="17">
        <f t="shared" si="6"/>
        <v>0.8971420151934274</v>
      </c>
      <c r="AK119" s="17">
        <f t="shared" si="6"/>
        <v>0.8971420151934274</v>
      </c>
      <c r="AL119" s="17">
        <f t="shared" si="6"/>
        <v>0.8971420151934274</v>
      </c>
      <c r="AM119" s="17">
        <f t="shared" si="6"/>
        <v>0.8971420151934274</v>
      </c>
      <c r="AN119" s="17">
        <f t="shared" si="6"/>
        <v>0.8971420151934274</v>
      </c>
      <c r="AO119" s="17">
        <f t="shared" si="6"/>
        <v>0.8971420151934274</v>
      </c>
      <c r="AP119" s="17">
        <f t="shared" si="6"/>
        <v>0.8971420151934274</v>
      </c>
      <c r="AQ119" s="17">
        <f t="shared" si="6"/>
        <v>0.8971420151934274</v>
      </c>
      <c r="AR119" s="17">
        <f t="shared" si="6"/>
        <v>0.8971420151934274</v>
      </c>
      <c r="AS119" s="17">
        <f t="shared" si="6"/>
        <v>0.8971420151934274</v>
      </c>
      <c r="AT119" s="17">
        <f t="shared" si="6"/>
        <v>0.8971420151934274</v>
      </c>
      <c r="AU119" s="17">
        <f t="shared" si="6"/>
        <v>0.8971420151934274</v>
      </c>
      <c r="AV119" s="17">
        <f t="shared" si="6"/>
        <v>0.8971420151934274</v>
      </c>
      <c r="AW119" s="17">
        <f t="shared" si="6"/>
        <v>0.8971420151934274</v>
      </c>
      <c r="AX119" s="17">
        <f t="shared" si="6"/>
        <v>0.8971420151934274</v>
      </c>
      <c r="AY119" s="17">
        <f t="shared" si="6"/>
        <v>0.8971420151934274</v>
      </c>
      <c r="AZ119" s="17">
        <f t="shared" si="6"/>
        <v>0.8971420151934274</v>
      </c>
      <c r="BA119" s="17">
        <f t="shared" si="6"/>
        <v>0.8971420151934274</v>
      </c>
      <c r="BB119" s="17">
        <f t="shared" si="6"/>
        <v>0.8971420151934274</v>
      </c>
    </row>
    <row r="120" spans="1:54" x14ac:dyDescent="0.3">
      <c r="A120" t="s">
        <v>7</v>
      </c>
      <c r="B120" s="4">
        <v>4.4866265280000004</v>
      </c>
      <c r="C120" s="4">
        <v>4.5406647869999999</v>
      </c>
      <c r="D120" s="4">
        <v>4.1645687009999994</v>
      </c>
      <c r="E120" s="4">
        <v>4.0295827640000006</v>
      </c>
      <c r="F120" s="6">
        <f>E120*('Buses EU Ref'!H8/'Buses EU Ref'!G8)</f>
        <v>4.2133885891871268</v>
      </c>
      <c r="G120" s="6">
        <f>F120*('Buses EU Ref'!I8/'Buses EU Ref'!H8)</f>
        <v>4.3971944143742521</v>
      </c>
      <c r="H120" s="6">
        <f>G120*('Buses EU Ref'!J8/'Buses EU Ref'!I8)</f>
        <v>4.5810002395613774</v>
      </c>
      <c r="I120" s="6">
        <f>H120*('Buses EU Ref'!K8/'Buses EU Ref'!J8)</f>
        <v>4.7648060647485035</v>
      </c>
      <c r="J120" s="6">
        <f>I120*('Buses EU Ref'!L8/'Buses EU Ref'!K8)</f>
        <v>4.8348932924315635</v>
      </c>
      <c r="K120" s="6">
        <f>J120*('Buses EU Ref'!M8/'Buses EU Ref'!L8)</f>
        <v>4.9049805201146235</v>
      </c>
      <c r="L120" s="6">
        <f>K120*('Buses EU Ref'!N8/'Buses EU Ref'!M8)</f>
        <v>4.9750677477976835</v>
      </c>
      <c r="M120" s="6">
        <f>L120*('Buses EU Ref'!O8/'Buses EU Ref'!N8)</f>
        <v>5.0451549754807425</v>
      </c>
      <c r="N120" s="6">
        <f>M120*('Buses EU Ref'!P8/'Buses EU Ref'!O8)</f>
        <v>5.1152422031638007</v>
      </c>
      <c r="O120" s="6">
        <f>N120*('Buses EU Ref'!Q8/'Buses EU Ref'!P8)</f>
        <v>5.1142378751908604</v>
      </c>
      <c r="P120" s="6">
        <f>O120*('Buses EU Ref'!R8/'Buses EU Ref'!Q8)</f>
        <v>5.11323354721792</v>
      </c>
      <c r="Q120" s="6">
        <f>P120*('Buses EU Ref'!S8/'Buses EU Ref'!R8)</f>
        <v>5.1122292192449796</v>
      </c>
      <c r="R120" s="6">
        <f>Q120*('Buses EU Ref'!T8/'Buses EU Ref'!S8)</f>
        <v>5.1112248912720393</v>
      </c>
      <c r="S120" s="6">
        <f>R120*('Buses EU Ref'!U8/'Buses EU Ref'!T8)</f>
        <v>5.1102205632991016</v>
      </c>
      <c r="T120" s="6">
        <f>S120*('Buses EU Ref'!V8/'Buses EU Ref'!U8)</f>
        <v>5.1431962158295494</v>
      </c>
      <c r="U120" s="6">
        <f>T120*('Buses EU Ref'!W8/'Buses EU Ref'!V8)</f>
        <v>5.1761718683599973</v>
      </c>
      <c r="V120" s="6">
        <f>U120*('Buses EU Ref'!X8/'Buses EU Ref'!W8)</f>
        <v>5.2091475208904452</v>
      </c>
      <c r="W120" s="6">
        <f>V120*('Buses EU Ref'!Y8/'Buses EU Ref'!X8)</f>
        <v>5.2421231734208931</v>
      </c>
      <c r="X120" s="6">
        <f>W120*('Buses EU Ref'!Z8/'Buses EU Ref'!Y8)</f>
        <v>5.2750988259513436</v>
      </c>
      <c r="Y120" s="6">
        <f>X120*('Buses EU Ref'!AA8/'Buses EU Ref'!Z8)</f>
        <v>5.2975114402167698</v>
      </c>
      <c r="Z120" s="6">
        <f>Y120*('Buses EU Ref'!AB8/'Buses EU Ref'!AA8)</f>
        <v>5.319924054482196</v>
      </c>
      <c r="AA120" s="6">
        <f>Z120*('Buses EU Ref'!AC8/'Buses EU Ref'!AB8)</f>
        <v>5.3423366687476221</v>
      </c>
      <c r="AB120" s="6">
        <f>AA120*('Buses EU Ref'!AD8/'Buses EU Ref'!AC8)</f>
        <v>5.3647492830130492</v>
      </c>
      <c r="AC120" s="6">
        <f>AB120*('Buses EU Ref'!AE8/'Buses EU Ref'!AD8)</f>
        <v>5.3871618972784772</v>
      </c>
      <c r="AD120" s="6">
        <f>AC120*('Buses EU Ref'!AF8/'Buses EU Ref'!AE8)</f>
        <v>5.3922791196160551</v>
      </c>
      <c r="AE120" s="6">
        <f>AD120*('Buses EU Ref'!AG8/'Buses EU Ref'!AF8)</f>
        <v>5.397396341953633</v>
      </c>
      <c r="AF120" s="6">
        <f>AE120*('Buses EU Ref'!AH8/'Buses EU Ref'!AG8)</f>
        <v>5.4025135642912119</v>
      </c>
      <c r="AG120" s="6">
        <f>AF120*('Buses EU Ref'!AI8/'Buses EU Ref'!AH8)</f>
        <v>5.4076307866287889</v>
      </c>
      <c r="AH120" s="6">
        <f>AG120*('Buses EU Ref'!AJ8/'Buses EU Ref'!AI8)</f>
        <v>5.4127480089663651</v>
      </c>
      <c r="AI120" s="17">
        <f t="shared" ref="AI120:BB120" si="7">AH120</f>
        <v>5.4127480089663651</v>
      </c>
      <c r="AJ120" s="17">
        <f t="shared" si="7"/>
        <v>5.4127480089663651</v>
      </c>
      <c r="AK120" s="17">
        <f t="shared" si="7"/>
        <v>5.4127480089663651</v>
      </c>
      <c r="AL120" s="17">
        <f t="shared" si="7"/>
        <v>5.4127480089663651</v>
      </c>
      <c r="AM120" s="17">
        <f t="shared" si="7"/>
        <v>5.4127480089663651</v>
      </c>
      <c r="AN120" s="17">
        <f t="shared" si="7"/>
        <v>5.4127480089663651</v>
      </c>
      <c r="AO120" s="17">
        <f t="shared" si="7"/>
        <v>5.4127480089663651</v>
      </c>
      <c r="AP120" s="17">
        <f t="shared" si="7"/>
        <v>5.4127480089663651</v>
      </c>
      <c r="AQ120" s="17">
        <f t="shared" si="7"/>
        <v>5.4127480089663651</v>
      </c>
      <c r="AR120" s="17">
        <f t="shared" si="7"/>
        <v>5.4127480089663651</v>
      </c>
      <c r="AS120" s="17">
        <f t="shared" si="7"/>
        <v>5.4127480089663651</v>
      </c>
      <c r="AT120" s="17">
        <f t="shared" si="7"/>
        <v>5.4127480089663651</v>
      </c>
      <c r="AU120" s="17">
        <f t="shared" si="7"/>
        <v>5.4127480089663651</v>
      </c>
      <c r="AV120" s="17">
        <f t="shared" si="7"/>
        <v>5.4127480089663651</v>
      </c>
      <c r="AW120" s="17">
        <f t="shared" si="7"/>
        <v>5.4127480089663651</v>
      </c>
      <c r="AX120" s="17">
        <f t="shared" si="7"/>
        <v>5.4127480089663651</v>
      </c>
      <c r="AY120" s="17">
        <f t="shared" si="7"/>
        <v>5.4127480089663651</v>
      </c>
      <c r="AZ120" s="17">
        <f t="shared" si="7"/>
        <v>5.4127480089663651</v>
      </c>
      <c r="BA120" s="17">
        <f t="shared" si="7"/>
        <v>5.4127480089663651</v>
      </c>
      <c r="BB120" s="17">
        <f t="shared" si="7"/>
        <v>5.4127480089663651</v>
      </c>
    </row>
    <row r="121" spans="1:54" x14ac:dyDescent="0.3">
      <c r="A121" t="s">
        <v>6</v>
      </c>
      <c r="B121" s="4">
        <v>0.64081167299999997</v>
      </c>
      <c r="C121" s="4">
        <v>0.62356825299999996</v>
      </c>
      <c r="D121" s="4">
        <v>0.62128580299999991</v>
      </c>
      <c r="E121" s="4">
        <v>0.62202461399999998</v>
      </c>
      <c r="F121" s="6">
        <f>E121*('Buses EU Ref'!H9/'Buses EU Ref'!G9)</f>
        <v>0.63702842652403502</v>
      </c>
      <c r="G121" s="6">
        <f>F121*('Buses EU Ref'!I9/'Buses EU Ref'!H9)</f>
        <v>0.65203223904806995</v>
      </c>
      <c r="H121" s="6">
        <f>G121*('Buses EU Ref'!J9/'Buses EU Ref'!I9)</f>
        <v>0.66703605157210499</v>
      </c>
      <c r="I121" s="6">
        <f>H121*('Buses EU Ref'!K9/'Buses EU Ref'!J9)</f>
        <v>0.68203986409614004</v>
      </c>
      <c r="J121" s="6">
        <f>I121*('Buses EU Ref'!L9/'Buses EU Ref'!K9)</f>
        <v>0.6906836535185078</v>
      </c>
      <c r="K121" s="6">
        <f>J121*('Buses EU Ref'!M9/'Buses EU Ref'!L9)</f>
        <v>0.69932744294087534</v>
      </c>
      <c r="L121" s="6">
        <f>K121*('Buses EU Ref'!N9/'Buses EU Ref'!M9)</f>
        <v>0.707971232363243</v>
      </c>
      <c r="M121" s="6">
        <f>L121*('Buses EU Ref'!O9/'Buses EU Ref'!N9)</f>
        <v>0.71661502178561065</v>
      </c>
      <c r="N121" s="6">
        <f>M121*('Buses EU Ref'!P9/'Buses EU Ref'!O9)</f>
        <v>0.72525881120797842</v>
      </c>
      <c r="O121" s="6">
        <f>N121*('Buses EU Ref'!Q9/'Buses EU Ref'!P9)</f>
        <v>0.72810431150704746</v>
      </c>
      <c r="P121" s="6">
        <f>O121*('Buses EU Ref'!R9/'Buses EU Ref'!Q9)</f>
        <v>0.73094981180611662</v>
      </c>
      <c r="Q121" s="6">
        <f>P121*('Buses EU Ref'!S9/'Buses EU Ref'!R9)</f>
        <v>0.73379531210518567</v>
      </c>
      <c r="R121" s="6">
        <f>Q121*('Buses EU Ref'!T9/'Buses EU Ref'!S9)</f>
        <v>0.73664081240425483</v>
      </c>
      <c r="S121" s="6">
        <f>R121*('Buses EU Ref'!U9/'Buses EU Ref'!T9)</f>
        <v>0.73948631270332399</v>
      </c>
      <c r="T121" s="6">
        <f>S121*('Buses EU Ref'!V9/'Buses EU Ref'!U9)</f>
        <v>0.7417755738168037</v>
      </c>
      <c r="U121" s="6">
        <f>T121*('Buses EU Ref'!W9/'Buses EU Ref'!V9)</f>
        <v>0.74406483493028341</v>
      </c>
      <c r="V121" s="6">
        <f>U121*('Buses EU Ref'!X9/'Buses EU Ref'!W9)</f>
        <v>0.74635409604376313</v>
      </c>
      <c r="W121" s="6">
        <f>V121*('Buses EU Ref'!Y9/'Buses EU Ref'!X9)</f>
        <v>0.74864335715724284</v>
      </c>
      <c r="X121" s="6">
        <f>W121*('Buses EU Ref'!Z9/'Buses EU Ref'!Y9)</f>
        <v>0.75093261827072222</v>
      </c>
      <c r="Y121" s="6">
        <f>X121*('Buses EU Ref'!AA9/'Buses EU Ref'!Z9)</f>
        <v>0.7531647048383997</v>
      </c>
      <c r="Z121" s="6">
        <f>Y121*('Buses EU Ref'!AB9/'Buses EU Ref'!AA9)</f>
        <v>0.75539679140607718</v>
      </c>
      <c r="AA121" s="6">
        <f>Z121*('Buses EU Ref'!AC9/'Buses EU Ref'!AB9)</f>
        <v>0.75762887797375467</v>
      </c>
      <c r="AB121" s="6">
        <f>AA121*('Buses EU Ref'!AD9/'Buses EU Ref'!AC9)</f>
        <v>0.75986096454143204</v>
      </c>
      <c r="AC121" s="6">
        <f>AB121*('Buses EU Ref'!AE9/'Buses EU Ref'!AD9)</f>
        <v>0.7620930511091093</v>
      </c>
      <c r="AD121" s="6">
        <f>AC121*('Buses EU Ref'!AF9/'Buses EU Ref'!AE9)</f>
        <v>0.76419636275234937</v>
      </c>
      <c r="AE121" s="6">
        <f>AD121*('Buses EU Ref'!AG9/'Buses EU Ref'!AF9)</f>
        <v>0.76629967439558944</v>
      </c>
      <c r="AF121" s="6">
        <f>AE121*('Buses EU Ref'!AH9/'Buses EU Ref'!AG9)</f>
        <v>0.76840298603882962</v>
      </c>
      <c r="AG121" s="6">
        <f>AF121*('Buses EU Ref'!AI9/'Buses EU Ref'!AH9)</f>
        <v>0.77050629768206969</v>
      </c>
      <c r="AH121" s="6">
        <f>AG121*('Buses EU Ref'!AJ9/'Buses EU Ref'!AI9)</f>
        <v>0.77260960932531009</v>
      </c>
      <c r="AI121" s="17">
        <f t="shared" ref="AI121:BB121" si="8">AH121</f>
        <v>0.77260960932531009</v>
      </c>
      <c r="AJ121" s="17">
        <f t="shared" si="8"/>
        <v>0.77260960932531009</v>
      </c>
      <c r="AK121" s="17">
        <f t="shared" si="8"/>
        <v>0.77260960932531009</v>
      </c>
      <c r="AL121" s="17">
        <f t="shared" si="8"/>
        <v>0.77260960932531009</v>
      </c>
      <c r="AM121" s="17">
        <f t="shared" si="8"/>
        <v>0.77260960932531009</v>
      </c>
      <c r="AN121" s="17">
        <f t="shared" si="8"/>
        <v>0.77260960932531009</v>
      </c>
      <c r="AO121" s="17">
        <f t="shared" si="8"/>
        <v>0.77260960932531009</v>
      </c>
      <c r="AP121" s="17">
        <f t="shared" si="8"/>
        <v>0.77260960932531009</v>
      </c>
      <c r="AQ121" s="17">
        <f t="shared" si="8"/>
        <v>0.77260960932531009</v>
      </c>
      <c r="AR121" s="17">
        <f t="shared" si="8"/>
        <v>0.77260960932531009</v>
      </c>
      <c r="AS121" s="17">
        <f t="shared" si="8"/>
        <v>0.77260960932531009</v>
      </c>
      <c r="AT121" s="17">
        <f t="shared" si="8"/>
        <v>0.77260960932531009</v>
      </c>
      <c r="AU121" s="17">
        <f t="shared" si="8"/>
        <v>0.77260960932531009</v>
      </c>
      <c r="AV121" s="17">
        <f t="shared" si="8"/>
        <v>0.77260960932531009</v>
      </c>
      <c r="AW121" s="17">
        <f t="shared" si="8"/>
        <v>0.77260960932531009</v>
      </c>
      <c r="AX121" s="17">
        <f t="shared" si="8"/>
        <v>0.77260960932531009</v>
      </c>
      <c r="AY121" s="17">
        <f t="shared" si="8"/>
        <v>0.77260960932531009</v>
      </c>
      <c r="AZ121" s="17">
        <f t="shared" si="8"/>
        <v>0.77260960932531009</v>
      </c>
      <c r="BA121" s="17">
        <f t="shared" si="8"/>
        <v>0.77260960932531009</v>
      </c>
      <c r="BB121" s="17">
        <f t="shared" si="8"/>
        <v>0.77260960932531009</v>
      </c>
    </row>
    <row r="122" spans="1:54" x14ac:dyDescent="0.3">
      <c r="A122" t="s">
        <v>8</v>
      </c>
      <c r="B122" s="4">
        <v>0.215593333</v>
      </c>
      <c r="C122" s="4">
        <v>0.203251511</v>
      </c>
      <c r="D122" s="4">
        <v>0.19839552999999999</v>
      </c>
      <c r="E122" s="4">
        <v>0.21217453400000003</v>
      </c>
      <c r="F122" s="6">
        <f>E122*('Buses EU Ref'!H10/'Buses EU Ref'!G10)</f>
        <v>0.22018026758021869</v>
      </c>
      <c r="G122" s="6">
        <f>F122*('Buses EU Ref'!I10/'Buses EU Ref'!H10)</f>
        <v>0.22818600116043733</v>
      </c>
      <c r="H122" s="6">
        <f>G122*('Buses EU Ref'!J10/'Buses EU Ref'!I10)</f>
        <v>0.23619173474065597</v>
      </c>
      <c r="I122" s="6">
        <f>H122*('Buses EU Ref'!K10/'Buses EU Ref'!J10)</f>
        <v>0.24419746832087466</v>
      </c>
      <c r="J122" s="6">
        <f>I122*('Buses EU Ref'!L10/'Buses EU Ref'!K10)</f>
        <v>0.24959929379644474</v>
      </c>
      <c r="K122" s="6">
        <f>J122*('Buses EU Ref'!M10/'Buses EU Ref'!L10)</f>
        <v>0.25500111927201485</v>
      </c>
      <c r="L122" s="6">
        <f>K122*('Buses EU Ref'!N10/'Buses EU Ref'!M10)</f>
        <v>0.26040294474758496</v>
      </c>
      <c r="M122" s="6">
        <f>L122*('Buses EU Ref'!O10/'Buses EU Ref'!N10)</f>
        <v>0.26580477022315507</v>
      </c>
      <c r="N122" s="6">
        <f>M122*('Buses EU Ref'!P10/'Buses EU Ref'!O10)</f>
        <v>0.27120659569872513</v>
      </c>
      <c r="O122" s="6">
        <f>N122*('Buses EU Ref'!Q10/'Buses EU Ref'!P10)</f>
        <v>0.27432705457894352</v>
      </c>
      <c r="P122" s="6">
        <f>O122*('Buses EU Ref'!R10/'Buses EU Ref'!Q10)</f>
        <v>0.27744751345916197</v>
      </c>
      <c r="Q122" s="6">
        <f>P122*('Buses EU Ref'!S10/'Buses EU Ref'!R10)</f>
        <v>0.28056797233938036</v>
      </c>
      <c r="R122" s="6">
        <f>Q122*('Buses EU Ref'!T10/'Buses EU Ref'!S10)</f>
        <v>0.28368843121959875</v>
      </c>
      <c r="S122" s="6">
        <f>R122*('Buses EU Ref'!U10/'Buses EU Ref'!T10)</f>
        <v>0.28680889009981714</v>
      </c>
      <c r="T122" s="6">
        <f>S122*('Buses EU Ref'!V10/'Buses EU Ref'!U10)</f>
        <v>0.28902462044550281</v>
      </c>
      <c r="U122" s="6">
        <f>T122*('Buses EU Ref'!W10/'Buses EU Ref'!V10)</f>
        <v>0.29124035079118854</v>
      </c>
      <c r="V122" s="6">
        <f>U122*('Buses EU Ref'!X10/'Buses EU Ref'!W10)</f>
        <v>0.29345608113687421</v>
      </c>
      <c r="W122" s="6">
        <f>V122*('Buses EU Ref'!Y10/'Buses EU Ref'!X10)</f>
        <v>0.29567181148255989</v>
      </c>
      <c r="X122" s="6">
        <f>W122*('Buses EU Ref'!Z10/'Buses EU Ref'!Y10)</f>
        <v>0.29788754182824556</v>
      </c>
      <c r="Y122" s="6">
        <f>X122*('Buses EU Ref'!AA10/'Buses EU Ref'!Z10)</f>
        <v>0.29924128177218362</v>
      </c>
      <c r="Z122" s="6">
        <f>Y122*('Buses EU Ref'!AB10/'Buses EU Ref'!AA10)</f>
        <v>0.30059502171612174</v>
      </c>
      <c r="AA122" s="6">
        <f>Z122*('Buses EU Ref'!AC10/'Buses EU Ref'!AB10)</f>
        <v>0.30194876166005979</v>
      </c>
      <c r="AB122" s="6">
        <f>AA122*('Buses EU Ref'!AD10/'Buses EU Ref'!AC10)</f>
        <v>0.30330250160399785</v>
      </c>
      <c r="AC122" s="6">
        <f>AB122*('Buses EU Ref'!AE10/'Buses EU Ref'!AD10)</f>
        <v>0.30465624154793597</v>
      </c>
      <c r="AD122" s="6">
        <f>AC122*('Buses EU Ref'!AF10/'Buses EU Ref'!AE10)</f>
        <v>0.30581588163467344</v>
      </c>
      <c r="AE122" s="6">
        <f>AD122*('Buses EU Ref'!AG10/'Buses EU Ref'!AF10)</f>
        <v>0.3069755217214109</v>
      </c>
      <c r="AF122" s="6">
        <f>AE122*('Buses EU Ref'!AH10/'Buses EU Ref'!AG10)</f>
        <v>0.30813516180814843</v>
      </c>
      <c r="AG122" s="6">
        <f>AF122*('Buses EU Ref'!AI10/'Buses EU Ref'!AH10)</f>
        <v>0.3092948018948859</v>
      </c>
      <c r="AH122" s="6">
        <f>AG122*('Buses EU Ref'!AJ10/'Buses EU Ref'!AI10)</f>
        <v>0.31045444198162331</v>
      </c>
      <c r="AI122" s="17">
        <f t="shared" ref="AI122:BB122" si="9">AH122</f>
        <v>0.31045444198162331</v>
      </c>
      <c r="AJ122" s="17">
        <f t="shared" si="9"/>
        <v>0.31045444198162331</v>
      </c>
      <c r="AK122" s="17">
        <f t="shared" si="9"/>
        <v>0.31045444198162331</v>
      </c>
      <c r="AL122" s="17">
        <f t="shared" si="9"/>
        <v>0.31045444198162331</v>
      </c>
      <c r="AM122" s="17">
        <f t="shared" si="9"/>
        <v>0.31045444198162331</v>
      </c>
      <c r="AN122" s="17">
        <f t="shared" si="9"/>
        <v>0.31045444198162331</v>
      </c>
      <c r="AO122" s="17">
        <f t="shared" si="9"/>
        <v>0.31045444198162331</v>
      </c>
      <c r="AP122" s="17">
        <f t="shared" si="9"/>
        <v>0.31045444198162331</v>
      </c>
      <c r="AQ122" s="17">
        <f t="shared" si="9"/>
        <v>0.31045444198162331</v>
      </c>
      <c r="AR122" s="17">
        <f t="shared" si="9"/>
        <v>0.31045444198162331</v>
      </c>
      <c r="AS122" s="17">
        <f t="shared" si="9"/>
        <v>0.31045444198162331</v>
      </c>
      <c r="AT122" s="17">
        <f t="shared" si="9"/>
        <v>0.31045444198162331</v>
      </c>
      <c r="AU122" s="17">
        <f t="shared" si="9"/>
        <v>0.31045444198162331</v>
      </c>
      <c r="AV122" s="17">
        <f t="shared" si="9"/>
        <v>0.31045444198162331</v>
      </c>
      <c r="AW122" s="17">
        <f t="shared" si="9"/>
        <v>0.31045444198162331</v>
      </c>
      <c r="AX122" s="17">
        <f t="shared" si="9"/>
        <v>0.31045444198162331</v>
      </c>
      <c r="AY122" s="17">
        <f t="shared" si="9"/>
        <v>0.31045444198162331</v>
      </c>
      <c r="AZ122" s="17">
        <f t="shared" si="9"/>
        <v>0.31045444198162331</v>
      </c>
      <c r="BA122" s="17">
        <f t="shared" si="9"/>
        <v>0.31045444198162331</v>
      </c>
      <c r="BB122" s="17">
        <f t="shared" si="9"/>
        <v>0.31045444198162331</v>
      </c>
    </row>
    <row r="123" spans="1:54" x14ac:dyDescent="0.3">
      <c r="A123" t="s">
        <v>11</v>
      </c>
      <c r="B123" s="4">
        <v>1.3405841999999999</v>
      </c>
      <c r="C123" s="4">
        <v>1.375038129</v>
      </c>
      <c r="D123" s="4">
        <v>0.90654226599999999</v>
      </c>
      <c r="E123" s="4">
        <v>1.162322538</v>
      </c>
      <c r="F123" s="6">
        <f>E123*('Buses EU Ref'!H11/'Buses EU Ref'!G11)</f>
        <v>1.4194913015475197</v>
      </c>
      <c r="G123" s="6">
        <f>F123*('Buses EU Ref'!I11/'Buses EU Ref'!H11)</f>
        <v>1.6766600650950394</v>
      </c>
      <c r="H123" s="6">
        <f>G123*('Buses EU Ref'!J11/'Buses EU Ref'!I11)</f>
        <v>1.9338288286425593</v>
      </c>
      <c r="I123" s="6">
        <f>H123*('Buses EU Ref'!K11/'Buses EU Ref'!J11)</f>
        <v>2.1909975921900791</v>
      </c>
      <c r="J123" s="6">
        <f>I123*('Buses EU Ref'!L11/'Buses EU Ref'!K11)</f>
        <v>2.208173945002756</v>
      </c>
      <c r="K123" s="6">
        <f>J123*('Buses EU Ref'!M11/'Buses EU Ref'!L11)</f>
        <v>2.2253502978154329</v>
      </c>
      <c r="L123" s="6">
        <f>K123*('Buses EU Ref'!N11/'Buses EU Ref'!M11)</f>
        <v>2.2425266506281099</v>
      </c>
      <c r="M123" s="6">
        <f>L123*('Buses EU Ref'!O11/'Buses EU Ref'!N11)</f>
        <v>2.2597030034407868</v>
      </c>
      <c r="N123" s="6">
        <f>M123*('Buses EU Ref'!P11/'Buses EU Ref'!O11)</f>
        <v>2.2768793562534637</v>
      </c>
      <c r="O123" s="6">
        <f>N123*('Buses EU Ref'!Q11/'Buses EU Ref'!P11)</f>
        <v>2.2938417607764805</v>
      </c>
      <c r="P123" s="6">
        <f>O123*('Buses EU Ref'!R11/'Buses EU Ref'!Q11)</f>
        <v>2.3108041652994973</v>
      </c>
      <c r="Q123" s="6">
        <f>P123*('Buses EU Ref'!S11/'Buses EU Ref'!R11)</f>
        <v>2.3277665698225141</v>
      </c>
      <c r="R123" s="6">
        <f>Q123*('Buses EU Ref'!T11/'Buses EU Ref'!S11)</f>
        <v>2.3447289743455308</v>
      </c>
      <c r="S123" s="6">
        <f>R123*('Buses EU Ref'!U11/'Buses EU Ref'!T11)</f>
        <v>2.3616913788685485</v>
      </c>
      <c r="T123" s="6">
        <f>S123*('Buses EU Ref'!V11/'Buses EU Ref'!U11)</f>
        <v>2.3869295181620727</v>
      </c>
      <c r="U123" s="6">
        <f>T123*('Buses EU Ref'!W11/'Buses EU Ref'!V11)</f>
        <v>2.4121676574555972</v>
      </c>
      <c r="V123" s="6">
        <f>U123*('Buses EU Ref'!X11/'Buses EU Ref'!W11)</f>
        <v>2.4374057967491218</v>
      </c>
      <c r="W123" s="6">
        <f>V123*('Buses EU Ref'!Y11/'Buses EU Ref'!X11)</f>
        <v>2.462643936042646</v>
      </c>
      <c r="X123" s="6">
        <f>W123*('Buses EU Ref'!Z11/'Buses EU Ref'!Y11)</f>
        <v>2.4878820753361701</v>
      </c>
      <c r="Y123" s="6">
        <f>X123*('Buses EU Ref'!AA11/'Buses EU Ref'!Z11)</f>
        <v>2.5124269827656542</v>
      </c>
      <c r="Z123" s="6">
        <f>Y123*('Buses EU Ref'!AB11/'Buses EU Ref'!AA11)</f>
        <v>2.5369718901951379</v>
      </c>
      <c r="AA123" s="6">
        <f>Z123*('Buses EU Ref'!AC11/'Buses EU Ref'!AB11)</f>
        <v>2.561516797624622</v>
      </c>
      <c r="AB123" s="6">
        <f>AA123*('Buses EU Ref'!AD11/'Buses EU Ref'!AC11)</f>
        <v>2.5860617050541057</v>
      </c>
      <c r="AC123" s="6">
        <f>AB123*('Buses EU Ref'!AE11/'Buses EU Ref'!AD11)</f>
        <v>2.6106066124835894</v>
      </c>
      <c r="AD123" s="6">
        <f>AC123*('Buses EU Ref'!AF11/'Buses EU Ref'!AE11)</f>
        <v>2.6340062405687861</v>
      </c>
      <c r="AE123" s="6">
        <f>AD123*('Buses EU Ref'!AG11/'Buses EU Ref'!AF11)</f>
        <v>2.6574058686539828</v>
      </c>
      <c r="AF123" s="6">
        <f>AE123*('Buses EU Ref'!AH11/'Buses EU Ref'!AG11)</f>
        <v>2.680805496739179</v>
      </c>
      <c r="AG123" s="6">
        <f>AF123*('Buses EU Ref'!AI11/'Buses EU Ref'!AH11)</f>
        <v>2.7042051248243753</v>
      </c>
      <c r="AH123" s="6">
        <f>AG123*('Buses EU Ref'!AJ11/'Buses EU Ref'!AI11)</f>
        <v>2.7276047529095728</v>
      </c>
      <c r="AI123" s="17">
        <f t="shared" ref="AI123:BB123" si="10">AH123</f>
        <v>2.7276047529095728</v>
      </c>
      <c r="AJ123" s="17">
        <f t="shared" si="10"/>
        <v>2.7276047529095728</v>
      </c>
      <c r="AK123" s="17">
        <f t="shared" si="10"/>
        <v>2.7276047529095728</v>
      </c>
      <c r="AL123" s="17">
        <f t="shared" si="10"/>
        <v>2.7276047529095728</v>
      </c>
      <c r="AM123" s="17">
        <f t="shared" si="10"/>
        <v>2.7276047529095728</v>
      </c>
      <c r="AN123" s="17">
        <f t="shared" si="10"/>
        <v>2.7276047529095728</v>
      </c>
      <c r="AO123" s="17">
        <f t="shared" si="10"/>
        <v>2.7276047529095728</v>
      </c>
      <c r="AP123" s="17">
        <f t="shared" si="10"/>
        <v>2.7276047529095728</v>
      </c>
      <c r="AQ123" s="17">
        <f t="shared" si="10"/>
        <v>2.7276047529095728</v>
      </c>
      <c r="AR123" s="17">
        <f t="shared" si="10"/>
        <v>2.7276047529095728</v>
      </c>
      <c r="AS123" s="17">
        <f t="shared" si="10"/>
        <v>2.7276047529095728</v>
      </c>
      <c r="AT123" s="17">
        <f t="shared" si="10"/>
        <v>2.7276047529095728</v>
      </c>
      <c r="AU123" s="17">
        <f t="shared" si="10"/>
        <v>2.7276047529095728</v>
      </c>
      <c r="AV123" s="17">
        <f t="shared" si="10"/>
        <v>2.7276047529095728</v>
      </c>
      <c r="AW123" s="17">
        <f t="shared" si="10"/>
        <v>2.7276047529095728</v>
      </c>
      <c r="AX123" s="17">
        <f t="shared" si="10"/>
        <v>2.7276047529095728</v>
      </c>
      <c r="AY123" s="17">
        <f t="shared" si="10"/>
        <v>2.7276047529095728</v>
      </c>
      <c r="AZ123" s="17">
        <f t="shared" si="10"/>
        <v>2.7276047529095728</v>
      </c>
      <c r="BA123" s="17">
        <f t="shared" si="10"/>
        <v>2.7276047529095728</v>
      </c>
      <c r="BB123" s="17">
        <f t="shared" si="10"/>
        <v>2.7276047529095728</v>
      </c>
    </row>
    <row r="124" spans="1:54" x14ac:dyDescent="0.3">
      <c r="A124" t="s">
        <v>27</v>
      </c>
      <c r="B124" s="4">
        <v>0.61455769100000002</v>
      </c>
      <c r="C124" s="4">
        <v>0.60153873099999988</v>
      </c>
      <c r="D124" s="4">
        <v>0.52346109399999996</v>
      </c>
      <c r="E124" s="4">
        <v>0.461406812</v>
      </c>
      <c r="F124" s="6">
        <f>E124*('Buses EU Ref'!H12/'Buses EU Ref'!G12)</f>
        <v>0.47609448856416364</v>
      </c>
      <c r="G124" s="6">
        <f>F124*('Buses EU Ref'!I12/'Buses EU Ref'!H12)</f>
        <v>0.49078216512832734</v>
      </c>
      <c r="H124" s="6">
        <f>G124*('Buses EU Ref'!J12/'Buses EU Ref'!I12)</f>
        <v>0.50546984169249098</v>
      </c>
      <c r="I124" s="6">
        <f>H124*('Buses EU Ref'!K12/'Buses EU Ref'!J12)</f>
        <v>0.52015751825665479</v>
      </c>
      <c r="J124" s="6">
        <f>I124*('Buses EU Ref'!L12/'Buses EU Ref'!K12)</f>
        <v>0.52538696111172301</v>
      </c>
      <c r="K124" s="6">
        <f>J124*('Buses EU Ref'!M12/'Buses EU Ref'!L12)</f>
        <v>0.53061640396679122</v>
      </c>
      <c r="L124" s="6">
        <f>K124*('Buses EU Ref'!N12/'Buses EU Ref'!M12)</f>
        <v>0.53584584682185943</v>
      </c>
      <c r="M124" s="6">
        <f>L124*('Buses EU Ref'!O12/'Buses EU Ref'!N12)</f>
        <v>0.54107528967692753</v>
      </c>
      <c r="N124" s="6">
        <f>M124*('Buses EU Ref'!P12/'Buses EU Ref'!O12)</f>
        <v>0.54630473253199574</v>
      </c>
      <c r="O124" s="6">
        <f>N124*('Buses EU Ref'!Q12/'Buses EU Ref'!P12)</f>
        <v>0.54801223874136407</v>
      </c>
      <c r="P124" s="6">
        <f>O124*('Buses EU Ref'!R12/'Buses EU Ref'!Q12)</f>
        <v>0.54971974495073228</v>
      </c>
      <c r="Q124" s="6">
        <f>P124*('Buses EU Ref'!S12/'Buses EU Ref'!R12)</f>
        <v>0.55142725116010061</v>
      </c>
      <c r="R124" s="6">
        <f>Q124*('Buses EU Ref'!T12/'Buses EU Ref'!S12)</f>
        <v>0.55313475736946882</v>
      </c>
      <c r="S124" s="6">
        <f>R124*('Buses EU Ref'!U12/'Buses EU Ref'!T12)</f>
        <v>0.55484226357883715</v>
      </c>
      <c r="T124" s="6">
        <f>S124*('Buses EU Ref'!V12/'Buses EU Ref'!U12)</f>
        <v>0.55714121639138148</v>
      </c>
      <c r="U124" s="6">
        <f>T124*('Buses EU Ref'!W12/'Buses EU Ref'!V12)</f>
        <v>0.5594401692039257</v>
      </c>
      <c r="V124" s="6">
        <f>U124*('Buses EU Ref'!X12/'Buses EU Ref'!W12)</f>
        <v>0.56173912201646992</v>
      </c>
      <c r="W124" s="6">
        <f>V124*('Buses EU Ref'!Y12/'Buses EU Ref'!X12)</f>
        <v>0.56403807482901414</v>
      </c>
      <c r="X124" s="6">
        <f>W124*('Buses EU Ref'!Z12/'Buses EU Ref'!Y12)</f>
        <v>0.56633702764155824</v>
      </c>
      <c r="Y124" s="6">
        <f>X124*('Buses EU Ref'!AA12/'Buses EU Ref'!Z12)</f>
        <v>0.5671491901254575</v>
      </c>
      <c r="Z124" s="6">
        <f>Y124*('Buses EU Ref'!AB12/'Buses EU Ref'!AA12)</f>
        <v>0.56796135260935665</v>
      </c>
      <c r="AA124" s="6">
        <f>Z124*('Buses EU Ref'!AC12/'Buses EU Ref'!AB12)</f>
        <v>0.56877351509325591</v>
      </c>
      <c r="AB124" s="6">
        <f>AA124*('Buses EU Ref'!AD12/'Buses EU Ref'!AC12)</f>
        <v>0.56958567757715506</v>
      </c>
      <c r="AC124" s="6">
        <f>AB124*('Buses EU Ref'!AE12/'Buses EU Ref'!AD12)</f>
        <v>0.57039784006105432</v>
      </c>
      <c r="AD124" s="6">
        <f>AC124*('Buses EU Ref'!AF12/'Buses EU Ref'!AE12)</f>
        <v>0.57107900475137352</v>
      </c>
      <c r="AE124" s="6">
        <f>AD124*('Buses EU Ref'!AG12/'Buses EU Ref'!AF12)</f>
        <v>0.57176016944169272</v>
      </c>
      <c r="AF124" s="6">
        <f>AE124*('Buses EU Ref'!AH12/'Buses EU Ref'!AG12)</f>
        <v>0.57244133413201193</v>
      </c>
      <c r="AG124" s="6">
        <f>AF124*('Buses EU Ref'!AI12/'Buses EU Ref'!AH12)</f>
        <v>0.57312249882233113</v>
      </c>
      <c r="AH124" s="6">
        <f>AG124*('Buses EU Ref'!AJ12/'Buses EU Ref'!AI12)</f>
        <v>0.57380366351265055</v>
      </c>
      <c r="AI124" s="17">
        <f t="shared" ref="AI124:BB124" si="11">AH124</f>
        <v>0.57380366351265055</v>
      </c>
      <c r="AJ124" s="17">
        <f t="shared" si="11"/>
        <v>0.57380366351265055</v>
      </c>
      <c r="AK124" s="17">
        <f t="shared" si="11"/>
        <v>0.57380366351265055</v>
      </c>
      <c r="AL124" s="17">
        <f t="shared" si="11"/>
        <v>0.57380366351265055</v>
      </c>
      <c r="AM124" s="17">
        <f t="shared" si="11"/>
        <v>0.57380366351265055</v>
      </c>
      <c r="AN124" s="17">
        <f t="shared" si="11"/>
        <v>0.57380366351265055</v>
      </c>
      <c r="AO124" s="17">
        <f t="shared" si="11"/>
        <v>0.57380366351265055</v>
      </c>
      <c r="AP124" s="17">
        <f t="shared" si="11"/>
        <v>0.57380366351265055</v>
      </c>
      <c r="AQ124" s="17">
        <f t="shared" si="11"/>
        <v>0.57380366351265055</v>
      </c>
      <c r="AR124" s="17">
        <f t="shared" si="11"/>
        <v>0.57380366351265055</v>
      </c>
      <c r="AS124" s="17">
        <f t="shared" si="11"/>
        <v>0.57380366351265055</v>
      </c>
      <c r="AT124" s="17">
        <f t="shared" si="11"/>
        <v>0.57380366351265055</v>
      </c>
      <c r="AU124" s="17">
        <f t="shared" si="11"/>
        <v>0.57380366351265055</v>
      </c>
      <c r="AV124" s="17">
        <f t="shared" si="11"/>
        <v>0.57380366351265055</v>
      </c>
      <c r="AW124" s="17">
        <f t="shared" si="11"/>
        <v>0.57380366351265055</v>
      </c>
      <c r="AX124" s="17">
        <f t="shared" si="11"/>
        <v>0.57380366351265055</v>
      </c>
      <c r="AY124" s="17">
        <f t="shared" si="11"/>
        <v>0.57380366351265055</v>
      </c>
      <c r="AZ124" s="17">
        <f t="shared" si="11"/>
        <v>0.57380366351265055</v>
      </c>
      <c r="BA124" s="17">
        <f t="shared" si="11"/>
        <v>0.57380366351265055</v>
      </c>
      <c r="BB124" s="17">
        <f t="shared" si="11"/>
        <v>0.57380366351265055</v>
      </c>
    </row>
    <row r="125" spans="1:54" x14ac:dyDescent="0.3">
      <c r="A125" t="s">
        <v>12</v>
      </c>
      <c r="B125" s="4">
        <v>3.0365684130000004</v>
      </c>
      <c r="C125" s="4">
        <v>3.0355594789999998</v>
      </c>
      <c r="D125" s="4">
        <v>2.3778511850000004</v>
      </c>
      <c r="E125" s="4">
        <v>2.6082503689999998</v>
      </c>
      <c r="F125" s="6">
        <f>E125*('Buses EU Ref'!H13/'Buses EU Ref'!G13)</f>
        <v>2.9950428849281971</v>
      </c>
      <c r="G125" s="6">
        <f>F125*('Buses EU Ref'!I13/'Buses EU Ref'!H13)</f>
        <v>3.3818354008563944</v>
      </c>
      <c r="H125" s="6">
        <f>G125*('Buses EU Ref'!J13/'Buses EU Ref'!I13)</f>
        <v>3.7686279167845917</v>
      </c>
      <c r="I125" s="6">
        <f>H125*('Buses EU Ref'!K13/'Buses EU Ref'!J13)</f>
        <v>4.1554204327127886</v>
      </c>
      <c r="J125" s="6">
        <f>I125*('Buses EU Ref'!L13/'Buses EU Ref'!K13)</f>
        <v>4.1749597928723006</v>
      </c>
      <c r="K125" s="6">
        <f>J125*('Buses EU Ref'!M13/'Buses EU Ref'!L13)</f>
        <v>4.1944991530318125</v>
      </c>
      <c r="L125" s="6">
        <f>K125*('Buses EU Ref'!N13/'Buses EU Ref'!M13)</f>
        <v>4.2140385131913236</v>
      </c>
      <c r="M125" s="6">
        <f>L125*('Buses EU Ref'!O13/'Buses EU Ref'!N13)</f>
        <v>4.2335778733508356</v>
      </c>
      <c r="N125" s="6">
        <f>M125*('Buses EU Ref'!P13/'Buses EU Ref'!O13)</f>
        <v>4.2531172335103484</v>
      </c>
      <c r="O125" s="6">
        <f>N125*('Buses EU Ref'!Q13/'Buses EU Ref'!P13)</f>
        <v>4.2519491354775516</v>
      </c>
      <c r="P125" s="6">
        <f>O125*('Buses EU Ref'!R13/'Buses EU Ref'!Q13)</f>
        <v>4.2507810374447548</v>
      </c>
      <c r="Q125" s="6">
        <f>P125*('Buses EU Ref'!S13/'Buses EU Ref'!R13)</f>
        <v>4.2496129394119579</v>
      </c>
      <c r="R125" s="6">
        <f>Q125*('Buses EU Ref'!T13/'Buses EU Ref'!S13)</f>
        <v>4.2484448413791611</v>
      </c>
      <c r="S125" s="6">
        <f>R125*('Buses EU Ref'!U13/'Buses EU Ref'!T13)</f>
        <v>4.2472767433463634</v>
      </c>
      <c r="T125" s="6">
        <f>S125*('Buses EU Ref'!V13/'Buses EU Ref'!U13)</f>
        <v>4.2615542832919191</v>
      </c>
      <c r="U125" s="6">
        <f>T125*('Buses EU Ref'!W13/'Buses EU Ref'!V13)</f>
        <v>4.2758318232374739</v>
      </c>
      <c r="V125" s="6">
        <f>U125*('Buses EU Ref'!X13/'Buses EU Ref'!W13)</f>
        <v>4.2901093631830296</v>
      </c>
      <c r="W125" s="6">
        <f>V125*('Buses EU Ref'!Y13/'Buses EU Ref'!X13)</f>
        <v>4.3043869031285844</v>
      </c>
      <c r="X125" s="6">
        <f>W125*('Buses EU Ref'!Z13/'Buses EU Ref'!Y13)</f>
        <v>4.3186644430741383</v>
      </c>
      <c r="Y125" s="6">
        <f>X125*('Buses EU Ref'!AA13/'Buses EU Ref'!Z13)</f>
        <v>4.3377253537316456</v>
      </c>
      <c r="Z125" s="6">
        <f>Y125*('Buses EU Ref'!AB13/'Buses EU Ref'!AA13)</f>
        <v>4.3567862643891537</v>
      </c>
      <c r="AA125" s="6">
        <f>Z125*('Buses EU Ref'!AC13/'Buses EU Ref'!AB13)</f>
        <v>4.3758471750466619</v>
      </c>
      <c r="AB125" s="6">
        <f>AA125*('Buses EU Ref'!AD13/'Buses EU Ref'!AC13)</f>
        <v>4.3949080857041691</v>
      </c>
      <c r="AC125" s="6">
        <f>AB125*('Buses EU Ref'!AE13/'Buses EU Ref'!AD13)</f>
        <v>4.4139689963616764</v>
      </c>
      <c r="AD125" s="6">
        <f>AC125*('Buses EU Ref'!AF13/'Buses EU Ref'!AE13)</f>
        <v>4.4278326224253179</v>
      </c>
      <c r="AE125" s="6">
        <f>AD125*('Buses EU Ref'!AG13/'Buses EU Ref'!AF13)</f>
        <v>4.4416962484889595</v>
      </c>
      <c r="AF125" s="6">
        <f>AE125*('Buses EU Ref'!AH13/'Buses EU Ref'!AG13)</f>
        <v>4.4555598745526002</v>
      </c>
      <c r="AG125" s="6">
        <f>AF125*('Buses EU Ref'!AI13/'Buses EU Ref'!AH13)</f>
        <v>4.4694235006162408</v>
      </c>
      <c r="AH125" s="6">
        <f>AG125*('Buses EU Ref'!AJ13/'Buses EU Ref'!AI13)</f>
        <v>4.4832871266798824</v>
      </c>
      <c r="AI125" s="17">
        <f t="shared" ref="AI125:BB125" si="12">AH125</f>
        <v>4.4832871266798824</v>
      </c>
      <c r="AJ125" s="17">
        <f t="shared" si="12"/>
        <v>4.4832871266798824</v>
      </c>
      <c r="AK125" s="17">
        <f t="shared" si="12"/>
        <v>4.4832871266798824</v>
      </c>
      <c r="AL125" s="17">
        <f t="shared" si="12"/>
        <v>4.4832871266798824</v>
      </c>
      <c r="AM125" s="17">
        <f t="shared" si="12"/>
        <v>4.4832871266798824</v>
      </c>
      <c r="AN125" s="17">
        <f t="shared" si="12"/>
        <v>4.4832871266798824</v>
      </c>
      <c r="AO125" s="17">
        <f t="shared" si="12"/>
        <v>4.4832871266798824</v>
      </c>
      <c r="AP125" s="17">
        <f t="shared" si="12"/>
        <v>4.4832871266798824</v>
      </c>
      <c r="AQ125" s="17">
        <f t="shared" si="12"/>
        <v>4.4832871266798824</v>
      </c>
      <c r="AR125" s="17">
        <f t="shared" si="12"/>
        <v>4.4832871266798824</v>
      </c>
      <c r="AS125" s="17">
        <f t="shared" si="12"/>
        <v>4.4832871266798824</v>
      </c>
      <c r="AT125" s="17">
        <f t="shared" si="12"/>
        <v>4.4832871266798824</v>
      </c>
      <c r="AU125" s="17">
        <f t="shared" si="12"/>
        <v>4.4832871266798824</v>
      </c>
      <c r="AV125" s="17">
        <f t="shared" si="12"/>
        <v>4.4832871266798824</v>
      </c>
      <c r="AW125" s="17">
        <f t="shared" si="12"/>
        <v>4.4832871266798824</v>
      </c>
      <c r="AX125" s="17">
        <f t="shared" si="12"/>
        <v>4.4832871266798824</v>
      </c>
      <c r="AY125" s="17">
        <f t="shared" si="12"/>
        <v>4.4832871266798824</v>
      </c>
      <c r="AZ125" s="17">
        <f t="shared" si="12"/>
        <v>4.4832871266798824</v>
      </c>
      <c r="BA125" s="17">
        <f t="shared" si="12"/>
        <v>4.4832871266798824</v>
      </c>
      <c r="BB125" s="17">
        <f t="shared" si="12"/>
        <v>4.4832871266798824</v>
      </c>
    </row>
    <row r="126" spans="1:54" x14ac:dyDescent="0.3">
      <c r="A126" t="s">
        <v>10</v>
      </c>
      <c r="B126" s="4">
        <v>0.78931404500000002</v>
      </c>
      <c r="C126" s="4">
        <v>0.78104132299999995</v>
      </c>
      <c r="D126" s="4">
        <v>0.77773944700000008</v>
      </c>
      <c r="E126" s="4">
        <v>0.778001779</v>
      </c>
      <c r="F126" s="6">
        <f>E126*('Buses EU Ref'!H14/'Buses EU Ref'!G14)</f>
        <v>0.82529707177160017</v>
      </c>
      <c r="G126" s="6">
        <f>F126*('Buses EU Ref'!I14/'Buses EU Ref'!H14)</f>
        <v>0.87259236454320033</v>
      </c>
      <c r="H126" s="6">
        <f>G126*('Buses EU Ref'!J14/'Buses EU Ref'!I14)</f>
        <v>0.91988765731480038</v>
      </c>
      <c r="I126" s="6">
        <f>H126*('Buses EU Ref'!K14/'Buses EU Ref'!J14)</f>
        <v>0.96718295008640043</v>
      </c>
      <c r="J126" s="6">
        <f>I126*('Buses EU Ref'!L14/'Buses EU Ref'!K14)</f>
        <v>0.97721535740973997</v>
      </c>
      <c r="K126" s="6">
        <f>J126*('Buses EU Ref'!M14/'Buses EU Ref'!L14)</f>
        <v>0.98724776473307962</v>
      </c>
      <c r="L126" s="6">
        <f>K126*('Buses EU Ref'!N14/'Buses EU Ref'!M14)</f>
        <v>0.99728017205641917</v>
      </c>
      <c r="M126" s="6">
        <f>L126*('Buses EU Ref'!O14/'Buses EU Ref'!N14)</f>
        <v>1.0073125793797586</v>
      </c>
      <c r="N126" s="6">
        <f>M126*('Buses EU Ref'!P14/'Buses EU Ref'!O14)</f>
        <v>1.0173449867030977</v>
      </c>
      <c r="O126" s="6">
        <f>N126*('Buses EU Ref'!Q14/'Buses EU Ref'!P14)</f>
        <v>1.021834090925311</v>
      </c>
      <c r="P126" s="6">
        <f>O126*('Buses EU Ref'!R14/'Buses EU Ref'!Q14)</f>
        <v>1.0263231951475242</v>
      </c>
      <c r="Q126" s="6">
        <f>P126*('Buses EU Ref'!S14/'Buses EU Ref'!R14)</f>
        <v>1.0308122993697375</v>
      </c>
      <c r="R126" s="6">
        <f>Q126*('Buses EU Ref'!T14/'Buses EU Ref'!S14)</f>
        <v>1.0353014035919508</v>
      </c>
      <c r="S126" s="6">
        <f>R126*('Buses EU Ref'!U14/'Buses EU Ref'!T14)</f>
        <v>1.0397905078141636</v>
      </c>
      <c r="T126" s="6">
        <f>S126*('Buses EU Ref'!V14/'Buses EU Ref'!U14)</f>
        <v>1.0521128479873845</v>
      </c>
      <c r="U126" s="6">
        <f>T126*('Buses EU Ref'!W14/'Buses EU Ref'!V14)</f>
        <v>1.0644351881606051</v>
      </c>
      <c r="V126" s="6">
        <f>U126*('Buses EU Ref'!X14/'Buses EU Ref'!W14)</f>
        <v>1.076757528333826</v>
      </c>
      <c r="W126" s="6">
        <f>V126*('Buses EU Ref'!Y14/'Buses EU Ref'!X14)</f>
        <v>1.0890798685070466</v>
      </c>
      <c r="X126" s="6">
        <f>W126*('Buses EU Ref'!Z14/'Buses EU Ref'!Y14)</f>
        <v>1.1014022086802673</v>
      </c>
      <c r="Y126" s="6">
        <f>X126*('Buses EU Ref'!AA14/'Buses EU Ref'!Z14)</f>
        <v>1.1058823875017867</v>
      </c>
      <c r="Z126" s="6">
        <f>Y126*('Buses EU Ref'!AB14/'Buses EU Ref'!AA14)</f>
        <v>1.1103625663233063</v>
      </c>
      <c r="AA126" s="6">
        <f>Z126*('Buses EU Ref'!AC14/'Buses EU Ref'!AB14)</f>
        <v>1.114842745144826</v>
      </c>
      <c r="AB126" s="6">
        <f>AA126*('Buses EU Ref'!AD14/'Buses EU Ref'!AC14)</f>
        <v>1.1193229239663454</v>
      </c>
      <c r="AC126" s="6">
        <f>AB126*('Buses EU Ref'!AE14/'Buses EU Ref'!AD14)</f>
        <v>1.1238031027878648</v>
      </c>
      <c r="AD126" s="6">
        <f>AC126*('Buses EU Ref'!AF14/'Buses EU Ref'!AE14)</f>
        <v>1.1252848004630658</v>
      </c>
      <c r="AE126" s="6">
        <f>AD126*('Buses EU Ref'!AG14/'Buses EU Ref'!AF14)</f>
        <v>1.126766498138267</v>
      </c>
      <c r="AF126" s="6">
        <f>AE126*('Buses EU Ref'!AH14/'Buses EU Ref'!AG14)</f>
        <v>1.1282481958134682</v>
      </c>
      <c r="AG126" s="6">
        <f>AF126*('Buses EU Ref'!AI14/'Buses EU Ref'!AH14)</f>
        <v>1.1297298934886693</v>
      </c>
      <c r="AH126" s="6">
        <f>AG126*('Buses EU Ref'!AJ14/'Buses EU Ref'!AI14)</f>
        <v>1.1312115911638703</v>
      </c>
      <c r="AI126" s="17">
        <f t="shared" ref="AI126:BB126" si="13">AH126</f>
        <v>1.1312115911638703</v>
      </c>
      <c r="AJ126" s="17">
        <f t="shared" si="13"/>
        <v>1.1312115911638703</v>
      </c>
      <c r="AK126" s="17">
        <f t="shared" si="13"/>
        <v>1.1312115911638703</v>
      </c>
      <c r="AL126" s="17">
        <f t="shared" si="13"/>
        <v>1.1312115911638703</v>
      </c>
      <c r="AM126" s="17">
        <f t="shared" si="13"/>
        <v>1.1312115911638703</v>
      </c>
      <c r="AN126" s="17">
        <f t="shared" si="13"/>
        <v>1.1312115911638703</v>
      </c>
      <c r="AO126" s="17">
        <f t="shared" si="13"/>
        <v>1.1312115911638703</v>
      </c>
      <c r="AP126" s="17">
        <f t="shared" si="13"/>
        <v>1.1312115911638703</v>
      </c>
      <c r="AQ126" s="17">
        <f t="shared" si="13"/>
        <v>1.1312115911638703</v>
      </c>
      <c r="AR126" s="17">
        <f t="shared" si="13"/>
        <v>1.1312115911638703</v>
      </c>
      <c r="AS126" s="17">
        <f t="shared" si="13"/>
        <v>1.1312115911638703</v>
      </c>
      <c r="AT126" s="17">
        <f t="shared" si="13"/>
        <v>1.1312115911638703</v>
      </c>
      <c r="AU126" s="17">
        <f t="shared" si="13"/>
        <v>1.1312115911638703</v>
      </c>
      <c r="AV126" s="17">
        <f t="shared" si="13"/>
        <v>1.1312115911638703</v>
      </c>
      <c r="AW126" s="17">
        <f t="shared" si="13"/>
        <v>1.1312115911638703</v>
      </c>
      <c r="AX126" s="17">
        <f t="shared" si="13"/>
        <v>1.1312115911638703</v>
      </c>
      <c r="AY126" s="17">
        <f t="shared" si="13"/>
        <v>1.1312115911638703</v>
      </c>
      <c r="AZ126" s="17">
        <f t="shared" si="13"/>
        <v>1.1312115911638703</v>
      </c>
      <c r="BA126" s="17">
        <f t="shared" si="13"/>
        <v>1.1312115911638703</v>
      </c>
      <c r="BB126" s="17">
        <f t="shared" si="13"/>
        <v>1.1312115911638703</v>
      </c>
    </row>
    <row r="127" spans="1:54" x14ac:dyDescent="0.3">
      <c r="A127" t="s">
        <v>13</v>
      </c>
      <c r="B127" s="4">
        <v>0.351598735</v>
      </c>
      <c r="C127" s="4">
        <v>0.27746068799999996</v>
      </c>
      <c r="D127" s="4">
        <v>0.19835854900000002</v>
      </c>
      <c r="E127" s="4">
        <v>0.22666262000000001</v>
      </c>
      <c r="F127" s="6">
        <f>E127*('Buses EU Ref'!H15/'Buses EU Ref'!G15)</f>
        <v>0.24203437372470704</v>
      </c>
      <c r="G127" s="6">
        <f>F127*('Buses EU Ref'!I15/'Buses EU Ref'!H15)</f>
        <v>0.25740612744941405</v>
      </c>
      <c r="H127" s="6">
        <f>G127*('Buses EU Ref'!J15/'Buses EU Ref'!I15)</f>
        <v>0.27277788117412105</v>
      </c>
      <c r="I127" s="6">
        <f>H127*('Buses EU Ref'!K15/'Buses EU Ref'!J15)</f>
        <v>0.28814963489882817</v>
      </c>
      <c r="J127" s="6">
        <f>I127*('Buses EU Ref'!L15/'Buses EU Ref'!K15)</f>
        <v>0.29145741116664636</v>
      </c>
      <c r="K127" s="6">
        <f>J127*('Buses EU Ref'!M15/'Buses EU Ref'!L15)</f>
        <v>0.29476518743446456</v>
      </c>
      <c r="L127" s="6">
        <f>K127*('Buses EU Ref'!N15/'Buses EU Ref'!M15)</f>
        <v>0.29807296370228281</v>
      </c>
      <c r="M127" s="6">
        <f>L127*('Buses EU Ref'!O15/'Buses EU Ref'!N15)</f>
        <v>0.30138073997010106</v>
      </c>
      <c r="N127" s="6">
        <f>M127*('Buses EU Ref'!P15/'Buses EU Ref'!O15)</f>
        <v>0.30468851623791926</v>
      </c>
      <c r="O127" s="6">
        <f>N127*('Buses EU Ref'!Q15/'Buses EU Ref'!P15)</f>
        <v>0.30560329051964086</v>
      </c>
      <c r="P127" s="6">
        <f>O127*('Buses EU Ref'!R15/'Buses EU Ref'!Q15)</f>
        <v>0.30651806480136251</v>
      </c>
      <c r="Q127" s="6">
        <f>P127*('Buses EU Ref'!S15/'Buses EU Ref'!R15)</f>
        <v>0.30743283908308416</v>
      </c>
      <c r="R127" s="6">
        <f>Q127*('Buses EU Ref'!T15/'Buses EU Ref'!S15)</f>
        <v>0.30834761336480582</v>
      </c>
      <c r="S127" s="6">
        <f>R127*('Buses EU Ref'!U15/'Buses EU Ref'!T15)</f>
        <v>0.30926238764652747</v>
      </c>
      <c r="T127" s="6">
        <f>S127*('Buses EU Ref'!V15/'Buses EU Ref'!U15)</f>
        <v>0.31079658932495097</v>
      </c>
      <c r="U127" s="6">
        <f>T127*('Buses EU Ref'!W15/'Buses EU Ref'!V15)</f>
        <v>0.31233079100337446</v>
      </c>
      <c r="V127" s="6">
        <f>U127*('Buses EU Ref'!X15/'Buses EU Ref'!W15)</f>
        <v>0.31386499268179791</v>
      </c>
      <c r="W127" s="6">
        <f>V127*('Buses EU Ref'!Y15/'Buses EU Ref'!X15)</f>
        <v>0.31539919436022135</v>
      </c>
      <c r="X127" s="6">
        <f>W127*('Buses EU Ref'!Z15/'Buses EU Ref'!Y15)</f>
        <v>0.31693339603864473</v>
      </c>
      <c r="Y127" s="6">
        <f>X127*('Buses EU Ref'!AA15/'Buses EU Ref'!Z15)</f>
        <v>0.31740298567768616</v>
      </c>
      <c r="Z127" s="6">
        <f>Y127*('Buses EU Ref'!AB15/'Buses EU Ref'!AA15)</f>
        <v>0.31787257531672752</v>
      </c>
      <c r="AA127" s="6">
        <f>Z127*('Buses EU Ref'!AC15/'Buses EU Ref'!AB15)</f>
        <v>0.31834216495576889</v>
      </c>
      <c r="AB127" s="6">
        <f>AA127*('Buses EU Ref'!AD15/'Buses EU Ref'!AC15)</f>
        <v>0.31881175459481026</v>
      </c>
      <c r="AC127" s="6">
        <f>AB127*('Buses EU Ref'!AE15/'Buses EU Ref'!AD15)</f>
        <v>0.31928134423385174</v>
      </c>
      <c r="AD127" s="6">
        <f>AC127*('Buses EU Ref'!AF15/'Buses EU Ref'!AE15)</f>
        <v>0.3195427982547927</v>
      </c>
      <c r="AE127" s="6">
        <f>AD127*('Buses EU Ref'!AG15/'Buses EU Ref'!AF15)</f>
        <v>0.31980425227573367</v>
      </c>
      <c r="AF127" s="6">
        <f>AE127*('Buses EU Ref'!AH15/'Buses EU Ref'!AG15)</f>
        <v>0.32006570629667463</v>
      </c>
      <c r="AG127" s="6">
        <f>AF127*('Buses EU Ref'!AI15/'Buses EU Ref'!AH15)</f>
        <v>0.32032716031761566</v>
      </c>
      <c r="AH127" s="6">
        <f>AG127*('Buses EU Ref'!AJ15/'Buses EU Ref'!AI15)</f>
        <v>0.32058861433855651</v>
      </c>
      <c r="AI127" s="17">
        <f t="shared" ref="AI127:BB127" si="14">AH127</f>
        <v>0.32058861433855651</v>
      </c>
      <c r="AJ127" s="17">
        <f t="shared" si="14"/>
        <v>0.32058861433855651</v>
      </c>
      <c r="AK127" s="17">
        <f t="shared" si="14"/>
        <v>0.32058861433855651</v>
      </c>
      <c r="AL127" s="17">
        <f t="shared" si="14"/>
        <v>0.32058861433855651</v>
      </c>
      <c r="AM127" s="17">
        <f t="shared" si="14"/>
        <v>0.32058861433855651</v>
      </c>
      <c r="AN127" s="17">
        <f t="shared" si="14"/>
        <v>0.32058861433855651</v>
      </c>
      <c r="AO127" s="17">
        <f t="shared" si="14"/>
        <v>0.32058861433855651</v>
      </c>
      <c r="AP127" s="17">
        <f t="shared" si="14"/>
        <v>0.32058861433855651</v>
      </c>
      <c r="AQ127" s="17">
        <f t="shared" si="14"/>
        <v>0.32058861433855651</v>
      </c>
      <c r="AR127" s="17">
        <f t="shared" si="14"/>
        <v>0.32058861433855651</v>
      </c>
      <c r="AS127" s="17">
        <f t="shared" si="14"/>
        <v>0.32058861433855651</v>
      </c>
      <c r="AT127" s="17">
        <f t="shared" si="14"/>
        <v>0.32058861433855651</v>
      </c>
      <c r="AU127" s="17">
        <f t="shared" si="14"/>
        <v>0.32058861433855651</v>
      </c>
      <c r="AV127" s="17">
        <f t="shared" si="14"/>
        <v>0.32058861433855651</v>
      </c>
      <c r="AW127" s="17">
        <f t="shared" si="14"/>
        <v>0.32058861433855651</v>
      </c>
      <c r="AX127" s="17">
        <f t="shared" si="14"/>
        <v>0.32058861433855651</v>
      </c>
      <c r="AY127" s="17">
        <f t="shared" si="14"/>
        <v>0.32058861433855651</v>
      </c>
      <c r="AZ127" s="17">
        <f t="shared" si="14"/>
        <v>0.32058861433855651</v>
      </c>
      <c r="BA127" s="17">
        <f t="shared" si="14"/>
        <v>0.32058861433855651</v>
      </c>
      <c r="BB127" s="17">
        <f t="shared" si="14"/>
        <v>0.32058861433855651</v>
      </c>
    </row>
    <row r="128" spans="1:54" x14ac:dyDescent="0.3">
      <c r="A128" t="s">
        <v>19</v>
      </c>
      <c r="B128" s="4">
        <v>0.73273100600000007</v>
      </c>
      <c r="C128" s="4">
        <v>0.73653099599999994</v>
      </c>
      <c r="D128" s="4">
        <v>0.63501911599999994</v>
      </c>
      <c r="E128" s="4">
        <v>0.66689302699999997</v>
      </c>
      <c r="F128" s="6">
        <f>E128*('Buses EU Ref'!H16/'Buses EU Ref'!G16)</f>
        <v>0.70944009262717544</v>
      </c>
      <c r="G128" s="6">
        <f>F128*('Buses EU Ref'!I16/'Buses EU Ref'!H16)</f>
        <v>0.7519871582543507</v>
      </c>
      <c r="H128" s="6">
        <f>G128*('Buses EU Ref'!J16/'Buses EU Ref'!I16)</f>
        <v>0.79453422388152595</v>
      </c>
      <c r="I128" s="6">
        <f>H128*('Buses EU Ref'!K16/'Buses EU Ref'!J16)</f>
        <v>0.83708128950870153</v>
      </c>
      <c r="J128" s="6">
        <f>I128*('Buses EU Ref'!L16/'Buses EU Ref'!K16)</f>
        <v>0.85500715518606185</v>
      </c>
      <c r="K128" s="6">
        <f>J128*('Buses EU Ref'!M16/'Buses EU Ref'!L16)</f>
        <v>0.87293302086342217</v>
      </c>
      <c r="L128" s="6">
        <f>K128*('Buses EU Ref'!N16/'Buses EU Ref'!M16)</f>
        <v>0.89085888654078249</v>
      </c>
      <c r="M128" s="6">
        <f>L128*('Buses EU Ref'!O16/'Buses EU Ref'!N16)</f>
        <v>0.90878475221814281</v>
      </c>
      <c r="N128" s="6">
        <f>M128*('Buses EU Ref'!P16/'Buses EU Ref'!O16)</f>
        <v>0.92671061789550335</v>
      </c>
      <c r="O128" s="6">
        <f>N128*('Buses EU Ref'!Q16/'Buses EU Ref'!P16)</f>
        <v>0.93079515671347635</v>
      </c>
      <c r="P128" s="6">
        <f>O128*('Buses EU Ref'!R16/'Buses EU Ref'!Q16)</f>
        <v>0.93487969553144945</v>
      </c>
      <c r="Q128" s="6">
        <f>P128*('Buses EU Ref'!S16/'Buses EU Ref'!R16)</f>
        <v>0.93896423434942244</v>
      </c>
      <c r="R128" s="6">
        <f>Q128*('Buses EU Ref'!T16/'Buses EU Ref'!S16)</f>
        <v>0.94304877316739555</v>
      </c>
      <c r="S128" s="6">
        <f>R128*('Buses EU Ref'!U16/'Buses EU Ref'!T16)</f>
        <v>0.94713331198536821</v>
      </c>
      <c r="T128" s="6">
        <f>S128*('Buses EU Ref'!V16/'Buses EU Ref'!U16)</f>
        <v>0.95546647790167238</v>
      </c>
      <c r="U128" s="6">
        <f>T128*('Buses EU Ref'!W16/'Buses EU Ref'!V16)</f>
        <v>0.96379964381797656</v>
      </c>
      <c r="V128" s="6">
        <f>U128*('Buses EU Ref'!X16/'Buses EU Ref'!W16)</f>
        <v>0.97213280973428062</v>
      </c>
      <c r="W128" s="6">
        <f>V128*('Buses EU Ref'!Y16/'Buses EU Ref'!X16)</f>
        <v>0.9804659756505848</v>
      </c>
      <c r="X128" s="6">
        <f>W128*('Buses EU Ref'!Z16/'Buses EU Ref'!Y16)</f>
        <v>0.98879914156688919</v>
      </c>
      <c r="Y128" s="6">
        <f>X128*('Buses EU Ref'!AA16/'Buses EU Ref'!Z16)</f>
        <v>0.99242607662951987</v>
      </c>
      <c r="Z128" s="6">
        <f>Y128*('Buses EU Ref'!AB16/'Buses EU Ref'!AA16)</f>
        <v>0.99605301169215066</v>
      </c>
      <c r="AA128" s="6">
        <f>Z128*('Buses EU Ref'!AC16/'Buses EU Ref'!AB16)</f>
        <v>0.99967994675478133</v>
      </c>
      <c r="AB128" s="6">
        <f>AA128*('Buses EU Ref'!AD16/'Buses EU Ref'!AC16)</f>
        <v>1.003306881817412</v>
      </c>
      <c r="AC128" s="6">
        <f>AB128*('Buses EU Ref'!AE16/'Buses EU Ref'!AD16)</f>
        <v>1.0069338168800426</v>
      </c>
      <c r="AD128" s="6">
        <f>AC128*('Buses EU Ref'!AF16/'Buses EU Ref'!AE16)</f>
        <v>1.0096157983596659</v>
      </c>
      <c r="AE128" s="6">
        <f>AD128*('Buses EU Ref'!AG16/'Buses EU Ref'!AF16)</f>
        <v>1.0122977798392894</v>
      </c>
      <c r="AF128" s="6">
        <f>AE128*('Buses EU Ref'!AH16/'Buses EU Ref'!AG16)</f>
        <v>1.0149797613189127</v>
      </c>
      <c r="AG128" s="6">
        <f>AF128*('Buses EU Ref'!AI16/'Buses EU Ref'!AH16)</f>
        <v>1.0176617427985359</v>
      </c>
      <c r="AH128" s="6">
        <f>AG128*('Buses EU Ref'!AJ16/'Buses EU Ref'!AI16)</f>
        <v>1.0203437242781594</v>
      </c>
      <c r="AI128" s="17">
        <f t="shared" ref="AI128:BB128" si="15">AH128</f>
        <v>1.0203437242781594</v>
      </c>
      <c r="AJ128" s="17">
        <f t="shared" si="15"/>
        <v>1.0203437242781594</v>
      </c>
      <c r="AK128" s="17">
        <f t="shared" si="15"/>
        <v>1.0203437242781594</v>
      </c>
      <c r="AL128" s="17">
        <f t="shared" si="15"/>
        <v>1.0203437242781594</v>
      </c>
      <c r="AM128" s="17">
        <f t="shared" si="15"/>
        <v>1.0203437242781594</v>
      </c>
      <c r="AN128" s="17">
        <f t="shared" si="15"/>
        <v>1.0203437242781594</v>
      </c>
      <c r="AO128" s="17">
        <f t="shared" si="15"/>
        <v>1.0203437242781594</v>
      </c>
      <c r="AP128" s="17">
        <f t="shared" si="15"/>
        <v>1.0203437242781594</v>
      </c>
      <c r="AQ128" s="17">
        <f t="shared" si="15"/>
        <v>1.0203437242781594</v>
      </c>
      <c r="AR128" s="17">
        <f t="shared" si="15"/>
        <v>1.0203437242781594</v>
      </c>
      <c r="AS128" s="17">
        <f t="shared" si="15"/>
        <v>1.0203437242781594</v>
      </c>
      <c r="AT128" s="17">
        <f t="shared" si="15"/>
        <v>1.0203437242781594</v>
      </c>
      <c r="AU128" s="17">
        <f t="shared" si="15"/>
        <v>1.0203437242781594</v>
      </c>
      <c r="AV128" s="17">
        <f t="shared" si="15"/>
        <v>1.0203437242781594</v>
      </c>
      <c r="AW128" s="17">
        <f t="shared" si="15"/>
        <v>1.0203437242781594</v>
      </c>
      <c r="AX128" s="17">
        <f t="shared" si="15"/>
        <v>1.0203437242781594</v>
      </c>
      <c r="AY128" s="17">
        <f t="shared" si="15"/>
        <v>1.0203437242781594</v>
      </c>
      <c r="AZ128" s="17">
        <f t="shared" si="15"/>
        <v>1.0203437242781594</v>
      </c>
      <c r="BA128" s="17">
        <f t="shared" si="15"/>
        <v>1.0203437242781594</v>
      </c>
      <c r="BB128" s="17">
        <f t="shared" si="15"/>
        <v>1.0203437242781594</v>
      </c>
    </row>
    <row r="129" spans="1:54" x14ac:dyDescent="0.3">
      <c r="A129" t="s">
        <v>9</v>
      </c>
      <c r="B129" s="4">
        <v>0.385995429</v>
      </c>
      <c r="C129" s="4">
        <v>0.39198523800000001</v>
      </c>
      <c r="D129" s="4">
        <v>0.32518002000000001</v>
      </c>
      <c r="E129" s="4">
        <v>0.32497542099999999</v>
      </c>
      <c r="F129" s="6">
        <f>E129*('Buses EU Ref'!H17/'Buses EU Ref'!G17)</f>
        <v>0.37471005870642971</v>
      </c>
      <c r="G129" s="6">
        <f>F129*('Buses EU Ref'!I17/'Buses EU Ref'!H17)</f>
        <v>0.42444469641285948</v>
      </c>
      <c r="H129" s="6">
        <f>G129*('Buses EU Ref'!J17/'Buses EU Ref'!I17)</f>
        <v>0.4741793341192892</v>
      </c>
      <c r="I129" s="6">
        <f>H129*('Buses EU Ref'!K17/'Buses EU Ref'!J17)</f>
        <v>0.52391397182571875</v>
      </c>
      <c r="J129" s="6">
        <f>I129*('Buses EU Ref'!L17/'Buses EU Ref'!K17)</f>
        <v>0.53115323425757366</v>
      </c>
      <c r="K129" s="6">
        <f>J129*('Buses EU Ref'!M17/'Buses EU Ref'!L17)</f>
        <v>0.53839249668942857</v>
      </c>
      <c r="L129" s="6">
        <f>K129*('Buses EU Ref'!N17/'Buses EU Ref'!M17)</f>
        <v>0.54563175912128337</v>
      </c>
      <c r="M129" s="6">
        <f>L129*('Buses EU Ref'!O17/'Buses EU Ref'!N17)</f>
        <v>0.55287102155313816</v>
      </c>
      <c r="N129" s="6">
        <f>M129*('Buses EU Ref'!P17/'Buses EU Ref'!O17)</f>
        <v>0.56011028398499296</v>
      </c>
      <c r="O129" s="6">
        <f>N129*('Buses EU Ref'!Q17/'Buses EU Ref'!P17)</f>
        <v>0.56378738014060559</v>
      </c>
      <c r="P129" s="6">
        <f>O129*('Buses EU Ref'!R17/'Buses EU Ref'!Q17)</f>
        <v>0.5674644762962181</v>
      </c>
      <c r="Q129" s="6">
        <f>P129*('Buses EU Ref'!S17/'Buses EU Ref'!R17)</f>
        <v>0.57114157245183061</v>
      </c>
      <c r="R129" s="6">
        <f>Q129*('Buses EU Ref'!T17/'Buses EU Ref'!S17)</f>
        <v>0.57481866860744313</v>
      </c>
      <c r="S129" s="6">
        <f>R129*('Buses EU Ref'!U17/'Buses EU Ref'!T17)</f>
        <v>0.57849576476305553</v>
      </c>
      <c r="T129" s="6">
        <f>S129*('Buses EU Ref'!V17/'Buses EU Ref'!U17)</f>
        <v>0.58434348737273889</v>
      </c>
      <c r="U129" s="6">
        <f>T129*('Buses EU Ref'!W17/'Buses EU Ref'!V17)</f>
        <v>0.59019120998242225</v>
      </c>
      <c r="V129" s="6">
        <f>U129*('Buses EU Ref'!X17/'Buses EU Ref'!W17)</f>
        <v>0.59603893259210561</v>
      </c>
      <c r="W129" s="6">
        <f>V129*('Buses EU Ref'!Y17/'Buses EU Ref'!X17)</f>
        <v>0.60188665520178908</v>
      </c>
      <c r="X129" s="6">
        <f>W129*('Buses EU Ref'!Z17/'Buses EU Ref'!Y17)</f>
        <v>0.60773437781147233</v>
      </c>
      <c r="Y129" s="6">
        <f>X129*('Buses EU Ref'!AA17/'Buses EU Ref'!Z17)</f>
        <v>0.61070815695532277</v>
      </c>
      <c r="Z129" s="6">
        <f>Y129*('Buses EU Ref'!AB17/'Buses EU Ref'!AA17)</f>
        <v>0.61368193609917321</v>
      </c>
      <c r="AA129" s="6">
        <f>Z129*('Buses EU Ref'!AC17/'Buses EU Ref'!AB17)</f>
        <v>0.61665571524302365</v>
      </c>
      <c r="AB129" s="6">
        <f>AA129*('Buses EU Ref'!AD17/'Buses EU Ref'!AC17)</f>
        <v>0.61962949438687409</v>
      </c>
      <c r="AC129" s="6">
        <f>AB129*('Buses EU Ref'!AE17/'Buses EU Ref'!AD17)</f>
        <v>0.6226032735307242</v>
      </c>
      <c r="AD129" s="6">
        <f>AC129*('Buses EU Ref'!AF17/'Buses EU Ref'!AE17)</f>
        <v>0.62574268674849809</v>
      </c>
      <c r="AE129" s="6">
        <f>AD129*('Buses EU Ref'!AG17/'Buses EU Ref'!AF17)</f>
        <v>0.62888209996627198</v>
      </c>
      <c r="AF129" s="6">
        <f>AE129*('Buses EU Ref'!AH17/'Buses EU Ref'!AG17)</f>
        <v>0.63202151318404598</v>
      </c>
      <c r="AG129" s="6">
        <f>AF129*('Buses EU Ref'!AI17/'Buses EU Ref'!AH17)</f>
        <v>0.63516092640181987</v>
      </c>
      <c r="AH129" s="6">
        <f>AG129*('Buses EU Ref'!AJ17/'Buses EU Ref'!AI17)</f>
        <v>0.63830033961959376</v>
      </c>
      <c r="AI129" s="17">
        <f t="shared" ref="AI129:BB129" si="16">AH129</f>
        <v>0.63830033961959376</v>
      </c>
      <c r="AJ129" s="17">
        <f t="shared" si="16"/>
        <v>0.63830033961959376</v>
      </c>
      <c r="AK129" s="17">
        <f t="shared" si="16"/>
        <v>0.63830033961959376</v>
      </c>
      <c r="AL129" s="17">
        <f t="shared" si="16"/>
        <v>0.63830033961959376</v>
      </c>
      <c r="AM129" s="17">
        <f t="shared" si="16"/>
        <v>0.63830033961959376</v>
      </c>
      <c r="AN129" s="17">
        <f t="shared" si="16"/>
        <v>0.63830033961959376</v>
      </c>
      <c r="AO129" s="17">
        <f t="shared" si="16"/>
        <v>0.63830033961959376</v>
      </c>
      <c r="AP129" s="17">
        <f t="shared" si="16"/>
        <v>0.63830033961959376</v>
      </c>
      <c r="AQ129" s="17">
        <f t="shared" si="16"/>
        <v>0.63830033961959376</v>
      </c>
      <c r="AR129" s="17">
        <f t="shared" si="16"/>
        <v>0.63830033961959376</v>
      </c>
      <c r="AS129" s="17">
        <f t="shared" si="16"/>
        <v>0.63830033961959376</v>
      </c>
      <c r="AT129" s="17">
        <f t="shared" si="16"/>
        <v>0.63830033961959376</v>
      </c>
      <c r="AU129" s="17">
        <f t="shared" si="16"/>
        <v>0.63830033961959376</v>
      </c>
      <c r="AV129" s="17">
        <f t="shared" si="16"/>
        <v>0.63830033961959376</v>
      </c>
      <c r="AW129" s="17">
        <f t="shared" si="16"/>
        <v>0.63830033961959376</v>
      </c>
      <c r="AX129" s="17">
        <f t="shared" si="16"/>
        <v>0.63830033961959376</v>
      </c>
      <c r="AY129" s="17">
        <f t="shared" si="16"/>
        <v>0.63830033961959376</v>
      </c>
      <c r="AZ129" s="17">
        <f t="shared" si="16"/>
        <v>0.63830033961959376</v>
      </c>
      <c r="BA129" s="17">
        <f t="shared" si="16"/>
        <v>0.63830033961959376</v>
      </c>
      <c r="BB129" s="17">
        <f t="shared" si="16"/>
        <v>0.63830033961959376</v>
      </c>
    </row>
    <row r="130" spans="1:54" x14ac:dyDescent="0.3">
      <c r="A130" t="s">
        <v>14</v>
      </c>
      <c r="B130" s="4">
        <v>4.3610661239999997</v>
      </c>
      <c r="C130" s="4">
        <v>4.4342460880000001</v>
      </c>
      <c r="D130" s="4">
        <v>4.4081651300000004</v>
      </c>
      <c r="E130" s="4">
        <v>4.4209292709999994</v>
      </c>
      <c r="F130" s="6">
        <f>E130*('Buses EU Ref'!H18/'Buses EU Ref'!G18)</f>
        <v>4.9255198973310987</v>
      </c>
      <c r="G130" s="6">
        <f>F130*('Buses EU Ref'!I18/'Buses EU Ref'!H18)</f>
        <v>5.4301105236621972</v>
      </c>
      <c r="H130" s="6">
        <f>G130*('Buses EU Ref'!J18/'Buses EU Ref'!I18)</f>
        <v>5.9347011499932965</v>
      </c>
      <c r="I130" s="6">
        <f>H130*('Buses EU Ref'!K18/'Buses EU Ref'!J18)</f>
        <v>6.4392917763243958</v>
      </c>
      <c r="J130" s="6">
        <f>I130*('Buses EU Ref'!L18/'Buses EU Ref'!K18)</f>
        <v>6.4719597733764136</v>
      </c>
      <c r="K130" s="6">
        <f>J130*('Buses EU Ref'!M18/'Buses EU Ref'!L18)</f>
        <v>6.5046277704284323</v>
      </c>
      <c r="L130" s="6">
        <f>K130*('Buses EU Ref'!N18/'Buses EU Ref'!M18)</f>
        <v>6.5372957674804502</v>
      </c>
      <c r="M130" s="6">
        <f>L130*('Buses EU Ref'!O18/'Buses EU Ref'!N18)</f>
        <v>6.5699637645324689</v>
      </c>
      <c r="N130" s="6">
        <f>M130*('Buses EU Ref'!P18/'Buses EU Ref'!O18)</f>
        <v>6.6026317615844867</v>
      </c>
      <c r="O130" s="6">
        <f>N130*('Buses EU Ref'!Q18/'Buses EU Ref'!P18)</f>
        <v>6.6235901673217477</v>
      </c>
      <c r="P130" s="6">
        <f>O130*('Buses EU Ref'!R18/'Buses EU Ref'!Q18)</f>
        <v>6.6445485730590095</v>
      </c>
      <c r="Q130" s="6">
        <f>P130*('Buses EU Ref'!S18/'Buses EU Ref'!R18)</f>
        <v>6.6655069787962713</v>
      </c>
      <c r="R130" s="6">
        <f>Q130*('Buses EU Ref'!T18/'Buses EU Ref'!S18)</f>
        <v>6.6864653845335322</v>
      </c>
      <c r="S130" s="6">
        <f>R130*('Buses EU Ref'!U18/'Buses EU Ref'!T18)</f>
        <v>6.7074237902707958</v>
      </c>
      <c r="T130" s="6">
        <f>S130*('Buses EU Ref'!V18/'Buses EU Ref'!U18)</f>
        <v>6.7321834399919345</v>
      </c>
      <c r="U130" s="6">
        <f>T130*('Buses EU Ref'!W18/'Buses EU Ref'!V18)</f>
        <v>6.7569430897130722</v>
      </c>
      <c r="V130" s="6">
        <f>U130*('Buses EU Ref'!X18/'Buses EU Ref'!W18)</f>
        <v>6.78170273943421</v>
      </c>
      <c r="W130" s="6">
        <f>V130*('Buses EU Ref'!Y18/'Buses EU Ref'!X18)</f>
        <v>6.8064623891553477</v>
      </c>
      <c r="X130" s="6">
        <f>W130*('Buses EU Ref'!Z18/'Buses EU Ref'!Y18)</f>
        <v>6.8312220388764837</v>
      </c>
      <c r="Y130" s="6">
        <f>X130*('Buses EU Ref'!AA18/'Buses EU Ref'!Z18)</f>
        <v>6.8429620182460118</v>
      </c>
      <c r="Z130" s="6">
        <f>Y130*('Buses EU Ref'!AB18/'Buses EU Ref'!AA18)</f>
        <v>6.8547019976155399</v>
      </c>
      <c r="AA130" s="6">
        <f>Z130*('Buses EU Ref'!AC18/'Buses EU Ref'!AB18)</f>
        <v>6.866441976985068</v>
      </c>
      <c r="AB130" s="6">
        <f>AA130*('Buses EU Ref'!AD18/'Buses EU Ref'!AC18)</f>
        <v>6.8781819563545952</v>
      </c>
      <c r="AC130" s="6">
        <f>AB130*('Buses EU Ref'!AE18/'Buses EU Ref'!AD18)</f>
        <v>6.8899219357241233</v>
      </c>
      <c r="AD130" s="6">
        <f>AC130*('Buses EU Ref'!AF18/'Buses EU Ref'!AE18)</f>
        <v>6.8917078710493724</v>
      </c>
      <c r="AE130" s="6">
        <f>AD130*('Buses EU Ref'!AG18/'Buses EU Ref'!AF18)</f>
        <v>6.8934938063746207</v>
      </c>
      <c r="AF130" s="6">
        <f>AE130*('Buses EU Ref'!AH18/'Buses EU Ref'!AG18)</f>
        <v>6.895279741699869</v>
      </c>
      <c r="AG130" s="6">
        <f>AF130*('Buses EU Ref'!AI18/'Buses EU Ref'!AH18)</f>
        <v>6.8970656770251173</v>
      </c>
      <c r="AH130" s="6">
        <f>AG130*('Buses EU Ref'!AJ18/'Buses EU Ref'!AI18)</f>
        <v>6.8988516123503683</v>
      </c>
      <c r="AI130" s="17">
        <f t="shared" ref="AI130:BB130" si="17">AH130</f>
        <v>6.8988516123503683</v>
      </c>
      <c r="AJ130" s="17">
        <f t="shared" si="17"/>
        <v>6.8988516123503683</v>
      </c>
      <c r="AK130" s="17">
        <f t="shared" si="17"/>
        <v>6.8988516123503683</v>
      </c>
      <c r="AL130" s="17">
        <f t="shared" si="17"/>
        <v>6.8988516123503683</v>
      </c>
      <c r="AM130" s="17">
        <f t="shared" si="17"/>
        <v>6.8988516123503683</v>
      </c>
      <c r="AN130" s="17">
        <f t="shared" si="17"/>
        <v>6.8988516123503683</v>
      </c>
      <c r="AO130" s="17">
        <f t="shared" si="17"/>
        <v>6.8988516123503683</v>
      </c>
      <c r="AP130" s="17">
        <f t="shared" si="17"/>
        <v>6.8988516123503683</v>
      </c>
      <c r="AQ130" s="17">
        <f t="shared" si="17"/>
        <v>6.8988516123503683</v>
      </c>
      <c r="AR130" s="17">
        <f t="shared" si="17"/>
        <v>6.8988516123503683</v>
      </c>
      <c r="AS130" s="17">
        <f t="shared" si="17"/>
        <v>6.8988516123503683</v>
      </c>
      <c r="AT130" s="17">
        <f t="shared" si="17"/>
        <v>6.8988516123503683</v>
      </c>
      <c r="AU130" s="17">
        <f t="shared" si="17"/>
        <v>6.8988516123503683</v>
      </c>
      <c r="AV130" s="17">
        <f t="shared" si="17"/>
        <v>6.8988516123503683</v>
      </c>
      <c r="AW130" s="17">
        <f t="shared" si="17"/>
        <v>6.8988516123503683</v>
      </c>
      <c r="AX130" s="17">
        <f t="shared" si="17"/>
        <v>6.8988516123503683</v>
      </c>
      <c r="AY130" s="17">
        <f t="shared" si="17"/>
        <v>6.8988516123503683</v>
      </c>
      <c r="AZ130" s="17">
        <f t="shared" si="17"/>
        <v>6.8988516123503683</v>
      </c>
      <c r="BA130" s="17">
        <f t="shared" si="17"/>
        <v>6.8988516123503683</v>
      </c>
      <c r="BB130" s="17">
        <f t="shared" si="17"/>
        <v>6.8988516123503683</v>
      </c>
    </row>
    <row r="131" spans="1:54" x14ac:dyDescent="0.3">
      <c r="A131" t="s">
        <v>17</v>
      </c>
      <c r="B131" s="4">
        <v>0.121585471</v>
      </c>
      <c r="C131" s="4">
        <v>0.13602947700000001</v>
      </c>
      <c r="D131" s="4">
        <v>0.10413018299999999</v>
      </c>
      <c r="E131" s="4">
        <v>0.10327581800000001</v>
      </c>
      <c r="F131" s="6">
        <f>E131*('Buses EU Ref'!H19/'Buses EU Ref'!G19)</f>
        <v>0.10781550493989911</v>
      </c>
      <c r="G131" s="6">
        <f>F131*('Buses EU Ref'!I19/'Buses EU Ref'!H19)</f>
        <v>0.11235519187979823</v>
      </c>
      <c r="H131" s="6">
        <f>G131*('Buses EU Ref'!J19/'Buses EU Ref'!I19)</f>
        <v>0.11689487881969736</v>
      </c>
      <c r="I131" s="6">
        <f>H131*('Buses EU Ref'!K19/'Buses EU Ref'!J19)</f>
        <v>0.12143456575959646</v>
      </c>
      <c r="J131" s="6">
        <f>I131*('Buses EU Ref'!L19/'Buses EU Ref'!K19)</f>
        <v>0.12441292835952414</v>
      </c>
      <c r="K131" s="6">
        <f>J131*('Buses EU Ref'!M19/'Buses EU Ref'!L19)</f>
        <v>0.12739129095945181</v>
      </c>
      <c r="L131" s="6">
        <f>K131*('Buses EU Ref'!N19/'Buses EU Ref'!M19)</f>
        <v>0.13036965355937946</v>
      </c>
      <c r="M131" s="6">
        <f>L131*('Buses EU Ref'!O19/'Buses EU Ref'!N19)</f>
        <v>0.13334801615930711</v>
      </c>
      <c r="N131" s="6">
        <f>M131*('Buses EU Ref'!P19/'Buses EU Ref'!O19)</f>
        <v>0.13632637875923473</v>
      </c>
      <c r="O131" s="6">
        <f>N131*('Buses EU Ref'!Q19/'Buses EU Ref'!P19)</f>
        <v>0.13675555087370594</v>
      </c>
      <c r="P131" s="6">
        <f>O131*('Buses EU Ref'!R19/'Buses EU Ref'!Q19)</f>
        <v>0.13718472298817719</v>
      </c>
      <c r="Q131" s="6">
        <f>P131*('Buses EU Ref'!S19/'Buses EU Ref'!R19)</f>
        <v>0.1376138951026484</v>
      </c>
      <c r="R131" s="6">
        <f>Q131*('Buses EU Ref'!T19/'Buses EU Ref'!S19)</f>
        <v>0.13804306721711962</v>
      </c>
      <c r="S131" s="6">
        <f>R131*('Buses EU Ref'!U19/'Buses EU Ref'!T19)</f>
        <v>0.13847223933159089</v>
      </c>
      <c r="T131" s="6">
        <f>S131*('Buses EU Ref'!V19/'Buses EU Ref'!U19)</f>
        <v>0.13936557874464983</v>
      </c>
      <c r="U131" s="6">
        <f>T131*('Buses EU Ref'!W19/'Buses EU Ref'!V19)</f>
        <v>0.14025891815770877</v>
      </c>
      <c r="V131" s="6">
        <f>U131*('Buses EU Ref'!X19/'Buses EU Ref'!W19)</f>
        <v>0.14115225757076771</v>
      </c>
      <c r="W131" s="6">
        <f>V131*('Buses EU Ref'!Y19/'Buses EU Ref'!X19)</f>
        <v>0.14204559698382663</v>
      </c>
      <c r="X131" s="6">
        <f>W131*('Buses EU Ref'!Z19/'Buses EU Ref'!Y19)</f>
        <v>0.1429389363968856</v>
      </c>
      <c r="Y131" s="6">
        <f>X131*('Buses EU Ref'!AA19/'Buses EU Ref'!Z19)</f>
        <v>0.14332257736186643</v>
      </c>
      <c r="Z131" s="6">
        <f>Y131*('Buses EU Ref'!AB19/'Buses EU Ref'!AA19)</f>
        <v>0.14370621832684727</v>
      </c>
      <c r="AA131" s="6">
        <f>Z131*('Buses EU Ref'!AC19/'Buses EU Ref'!AB19)</f>
        <v>0.1440898592918281</v>
      </c>
      <c r="AB131" s="6">
        <f>AA131*('Buses EU Ref'!AD19/'Buses EU Ref'!AC19)</f>
        <v>0.14447350025680897</v>
      </c>
      <c r="AC131" s="6">
        <f>AB131*('Buses EU Ref'!AE19/'Buses EU Ref'!AD19)</f>
        <v>0.14485714122178983</v>
      </c>
      <c r="AD131" s="6">
        <f>AC131*('Buses EU Ref'!AF19/'Buses EU Ref'!AE19)</f>
        <v>0.14513291723884345</v>
      </c>
      <c r="AE131" s="6">
        <f>AD131*('Buses EU Ref'!AG19/'Buses EU Ref'!AF19)</f>
        <v>0.14540869325589709</v>
      </c>
      <c r="AF131" s="6">
        <f>AE131*('Buses EU Ref'!AH19/'Buses EU Ref'!AG19)</f>
        <v>0.14568446927295073</v>
      </c>
      <c r="AG131" s="6">
        <f>AF131*('Buses EU Ref'!AI19/'Buses EU Ref'!AH19)</f>
        <v>0.14596024529000434</v>
      </c>
      <c r="AH131" s="6">
        <f>AG131*('Buses EU Ref'!AJ19/'Buses EU Ref'!AI19)</f>
        <v>0.14623602130705798</v>
      </c>
      <c r="AI131" s="17">
        <f t="shared" ref="AI131:BB131" si="18">AH131</f>
        <v>0.14623602130705798</v>
      </c>
      <c r="AJ131" s="17">
        <f t="shared" si="18"/>
        <v>0.14623602130705798</v>
      </c>
      <c r="AK131" s="17">
        <f t="shared" si="18"/>
        <v>0.14623602130705798</v>
      </c>
      <c r="AL131" s="17">
        <f t="shared" si="18"/>
        <v>0.14623602130705798</v>
      </c>
      <c r="AM131" s="17">
        <f t="shared" si="18"/>
        <v>0.14623602130705798</v>
      </c>
      <c r="AN131" s="17">
        <f t="shared" si="18"/>
        <v>0.14623602130705798</v>
      </c>
      <c r="AO131" s="17">
        <f t="shared" si="18"/>
        <v>0.14623602130705798</v>
      </c>
      <c r="AP131" s="17">
        <f t="shared" si="18"/>
        <v>0.14623602130705798</v>
      </c>
      <c r="AQ131" s="17">
        <f t="shared" si="18"/>
        <v>0.14623602130705798</v>
      </c>
      <c r="AR131" s="17">
        <f t="shared" si="18"/>
        <v>0.14623602130705798</v>
      </c>
      <c r="AS131" s="17">
        <f t="shared" si="18"/>
        <v>0.14623602130705798</v>
      </c>
      <c r="AT131" s="17">
        <f t="shared" si="18"/>
        <v>0.14623602130705798</v>
      </c>
      <c r="AU131" s="17">
        <f t="shared" si="18"/>
        <v>0.14623602130705798</v>
      </c>
      <c r="AV131" s="17">
        <f t="shared" si="18"/>
        <v>0.14623602130705798</v>
      </c>
      <c r="AW131" s="17">
        <f t="shared" si="18"/>
        <v>0.14623602130705798</v>
      </c>
      <c r="AX131" s="17">
        <f t="shared" si="18"/>
        <v>0.14623602130705798</v>
      </c>
      <c r="AY131" s="17">
        <f t="shared" si="18"/>
        <v>0.14623602130705798</v>
      </c>
      <c r="AZ131" s="17">
        <f t="shared" si="18"/>
        <v>0.14623602130705798</v>
      </c>
      <c r="BA131" s="17">
        <f t="shared" si="18"/>
        <v>0.14623602130705798</v>
      </c>
      <c r="BB131" s="17">
        <f t="shared" si="18"/>
        <v>0.14623602130705798</v>
      </c>
    </row>
    <row r="132" spans="1:54" x14ac:dyDescent="0.3">
      <c r="A132" t="s">
        <v>18</v>
      </c>
      <c r="B132" s="4">
        <v>6.3862755000000007E-2</v>
      </c>
      <c r="C132" s="4">
        <v>6.6589137999999992E-2</v>
      </c>
      <c r="D132" s="4">
        <v>6.6333536999999998E-2</v>
      </c>
      <c r="E132" s="4">
        <v>6.6380896999999994E-2</v>
      </c>
      <c r="F132" s="6">
        <f>E132*('Buses EU Ref'!H20/'Buses EU Ref'!G20)</f>
        <v>7.5026158454219796E-2</v>
      </c>
      <c r="G132" s="6">
        <f>F132*('Buses EU Ref'!I20/'Buses EU Ref'!H20)</f>
        <v>8.3671419908439612E-2</v>
      </c>
      <c r="H132" s="6">
        <f>G132*('Buses EU Ref'!J20/'Buses EU Ref'!I20)</f>
        <v>9.2316681362659428E-2</v>
      </c>
      <c r="I132" s="6">
        <f>H132*('Buses EU Ref'!K20/'Buses EU Ref'!J20)</f>
        <v>0.10096194281687923</v>
      </c>
      <c r="J132" s="6">
        <f>I132*('Buses EU Ref'!L20/'Buses EU Ref'!K20)</f>
        <v>0.10326028877465672</v>
      </c>
      <c r="K132" s="6">
        <f>J132*('Buses EU Ref'!M20/'Buses EU Ref'!L20)</f>
        <v>0.10555863473243421</v>
      </c>
      <c r="L132" s="6">
        <f>K132*('Buses EU Ref'!N20/'Buses EU Ref'!M20)</f>
        <v>0.10785698069021168</v>
      </c>
      <c r="M132" s="6">
        <f>L132*('Buses EU Ref'!O20/'Buses EU Ref'!N20)</f>
        <v>0.11015532664798916</v>
      </c>
      <c r="N132" s="6">
        <f>M132*('Buses EU Ref'!P20/'Buses EU Ref'!O20)</f>
        <v>0.11245367260576666</v>
      </c>
      <c r="O132" s="6">
        <f>N132*('Buses EU Ref'!Q20/'Buses EU Ref'!P20)</f>
        <v>0.11337164683517741</v>
      </c>
      <c r="P132" s="6">
        <f>O132*('Buses EU Ref'!R20/'Buses EU Ref'!Q20)</f>
        <v>0.11428962106458816</v>
      </c>
      <c r="Q132" s="6">
        <f>P132*('Buses EU Ref'!S20/'Buses EU Ref'!R20)</f>
        <v>0.11520759529399892</v>
      </c>
      <c r="R132" s="6">
        <f>Q132*('Buses EU Ref'!T20/'Buses EU Ref'!S20)</f>
        <v>0.11612556952340966</v>
      </c>
      <c r="S132" s="6">
        <f>R132*('Buses EU Ref'!U20/'Buses EU Ref'!T20)</f>
        <v>0.1170435437528204</v>
      </c>
      <c r="T132" s="6">
        <f>S132*('Buses EU Ref'!V20/'Buses EU Ref'!U20)</f>
        <v>0.11815127803871749</v>
      </c>
      <c r="U132" s="6">
        <f>T132*('Buses EU Ref'!W20/'Buses EU Ref'!V20)</f>
        <v>0.11925901232461457</v>
      </c>
      <c r="V132" s="6">
        <f>U132*('Buses EU Ref'!X20/'Buses EU Ref'!W20)</f>
        <v>0.12036674661051165</v>
      </c>
      <c r="W132" s="6">
        <f>V132*('Buses EU Ref'!Y20/'Buses EU Ref'!X20)</f>
        <v>0.12147448089640873</v>
      </c>
      <c r="X132" s="6">
        <f>W132*('Buses EU Ref'!Z20/'Buses EU Ref'!Y20)</f>
        <v>0.12258221518230579</v>
      </c>
      <c r="Y132" s="6">
        <f>X132*('Buses EU Ref'!AA20/'Buses EU Ref'!Z20)</f>
        <v>0.12368994447760676</v>
      </c>
      <c r="Z132" s="6">
        <f>Y132*('Buses EU Ref'!AB20/'Buses EU Ref'!AA20)</f>
        <v>0.12479767377290772</v>
      </c>
      <c r="AA132" s="6">
        <f>Z132*('Buses EU Ref'!AC20/'Buses EU Ref'!AB20)</f>
        <v>0.12590540306820872</v>
      </c>
      <c r="AB132" s="6">
        <f>AA132*('Buses EU Ref'!AD20/'Buses EU Ref'!AC20)</f>
        <v>0.1270131323635097</v>
      </c>
      <c r="AC132" s="6">
        <f>AB132*('Buses EU Ref'!AE20/'Buses EU Ref'!AD20)</f>
        <v>0.12812086165881073</v>
      </c>
      <c r="AD132" s="6">
        <f>AC132*('Buses EU Ref'!AF20/'Buses EU Ref'!AE20)</f>
        <v>0.12914901582088587</v>
      </c>
      <c r="AE132" s="6">
        <f>AD132*('Buses EU Ref'!AG20/'Buses EU Ref'!AF20)</f>
        <v>0.130177169982961</v>
      </c>
      <c r="AF132" s="6">
        <f>AE132*('Buses EU Ref'!AH20/'Buses EU Ref'!AG20)</f>
        <v>0.13120532414503613</v>
      </c>
      <c r="AG132" s="6">
        <f>AF132*('Buses EU Ref'!AI20/'Buses EU Ref'!AH20)</f>
        <v>0.13223347830711127</v>
      </c>
      <c r="AH132" s="6">
        <f>AG132*('Buses EU Ref'!AJ20/'Buses EU Ref'!AI20)</f>
        <v>0.13326163246918638</v>
      </c>
      <c r="AI132" s="17">
        <f t="shared" ref="AI132:BB132" si="19">AH132</f>
        <v>0.13326163246918638</v>
      </c>
      <c r="AJ132" s="17">
        <f t="shared" si="19"/>
        <v>0.13326163246918638</v>
      </c>
      <c r="AK132" s="17">
        <f t="shared" si="19"/>
        <v>0.13326163246918638</v>
      </c>
      <c r="AL132" s="17">
        <f t="shared" si="19"/>
        <v>0.13326163246918638</v>
      </c>
      <c r="AM132" s="17">
        <f t="shared" si="19"/>
        <v>0.13326163246918638</v>
      </c>
      <c r="AN132" s="17">
        <f t="shared" si="19"/>
        <v>0.13326163246918638</v>
      </c>
      <c r="AO132" s="17">
        <f t="shared" si="19"/>
        <v>0.13326163246918638</v>
      </c>
      <c r="AP132" s="17">
        <f t="shared" si="19"/>
        <v>0.13326163246918638</v>
      </c>
      <c r="AQ132" s="17">
        <f t="shared" si="19"/>
        <v>0.13326163246918638</v>
      </c>
      <c r="AR132" s="17">
        <f t="shared" si="19"/>
        <v>0.13326163246918638</v>
      </c>
      <c r="AS132" s="17">
        <f t="shared" si="19"/>
        <v>0.13326163246918638</v>
      </c>
      <c r="AT132" s="17">
        <f t="shared" si="19"/>
        <v>0.13326163246918638</v>
      </c>
      <c r="AU132" s="17">
        <f t="shared" si="19"/>
        <v>0.13326163246918638</v>
      </c>
      <c r="AV132" s="17">
        <f t="shared" si="19"/>
        <v>0.13326163246918638</v>
      </c>
      <c r="AW132" s="17">
        <f t="shared" si="19"/>
        <v>0.13326163246918638</v>
      </c>
      <c r="AX132" s="17">
        <f t="shared" si="19"/>
        <v>0.13326163246918638</v>
      </c>
      <c r="AY132" s="17">
        <f t="shared" si="19"/>
        <v>0.13326163246918638</v>
      </c>
      <c r="AZ132" s="17">
        <f t="shared" si="19"/>
        <v>0.13326163246918638</v>
      </c>
      <c r="BA132" s="17">
        <f t="shared" si="19"/>
        <v>0.13326163246918638</v>
      </c>
      <c r="BB132" s="17">
        <f t="shared" si="19"/>
        <v>0.13326163246918638</v>
      </c>
    </row>
    <row r="133" spans="1:54" x14ac:dyDescent="0.3">
      <c r="A133" t="s">
        <v>16</v>
      </c>
      <c r="B133" s="4">
        <v>0.12800329799999999</v>
      </c>
      <c r="C133" s="4">
        <v>0.12237830700000001</v>
      </c>
      <c r="D133" s="4">
        <v>0.100496768</v>
      </c>
      <c r="E133" s="4">
        <v>9.0585463000000005E-2</v>
      </c>
      <c r="F133" s="6">
        <f>E133*('Buses EU Ref'!H21/'Buses EU Ref'!G21)</f>
        <v>9.3554067009311334E-2</v>
      </c>
      <c r="G133" s="6">
        <f>F133*('Buses EU Ref'!I21/'Buses EU Ref'!H21)</f>
        <v>9.6522671018622677E-2</v>
      </c>
      <c r="H133" s="6">
        <f>G133*('Buses EU Ref'!J21/'Buses EU Ref'!I21)</f>
        <v>9.949127502793402E-2</v>
      </c>
      <c r="I133" s="6">
        <f>H133*('Buses EU Ref'!K21/'Buses EU Ref'!J21)</f>
        <v>0.10245987903724536</v>
      </c>
      <c r="J133" s="6">
        <f>I133*('Buses EU Ref'!L21/'Buses EU Ref'!K21)</f>
        <v>0.10356682125383412</v>
      </c>
      <c r="K133" s="6">
        <f>J133*('Buses EU Ref'!M21/'Buses EU Ref'!L21)</f>
        <v>0.1046737634704229</v>
      </c>
      <c r="L133" s="6">
        <f>K133*('Buses EU Ref'!N21/'Buses EU Ref'!M21)</f>
        <v>0.10578070568701167</v>
      </c>
      <c r="M133" s="6">
        <f>L133*('Buses EU Ref'!O21/'Buses EU Ref'!N21)</f>
        <v>0.10688764790360043</v>
      </c>
      <c r="N133" s="6">
        <f>M133*('Buses EU Ref'!P21/'Buses EU Ref'!O21)</f>
        <v>0.10799459012018917</v>
      </c>
      <c r="O133" s="6">
        <f>N133*('Buses EU Ref'!Q21/'Buses EU Ref'!P21)</f>
        <v>0.10816498713464555</v>
      </c>
      <c r="P133" s="6">
        <f>O133*('Buses EU Ref'!R21/'Buses EU Ref'!Q21)</f>
        <v>0.10833538414910195</v>
      </c>
      <c r="Q133" s="6">
        <f>P133*('Buses EU Ref'!S21/'Buses EU Ref'!R21)</f>
        <v>0.10850578116355834</v>
      </c>
      <c r="R133" s="6">
        <f>Q133*('Buses EU Ref'!T21/'Buses EU Ref'!S21)</f>
        <v>0.10867617817801474</v>
      </c>
      <c r="S133" s="6">
        <f>R133*('Buses EU Ref'!U21/'Buses EU Ref'!T21)</f>
        <v>0.10884657519247115</v>
      </c>
      <c r="T133" s="6">
        <f>S133*('Buses EU Ref'!V21/'Buses EU Ref'!U21)</f>
        <v>0.10932157111122215</v>
      </c>
      <c r="U133" s="6">
        <f>T133*('Buses EU Ref'!W21/'Buses EU Ref'!V21)</f>
        <v>0.10979656702997315</v>
      </c>
      <c r="V133" s="6">
        <f>U133*('Buses EU Ref'!X21/'Buses EU Ref'!W21)</f>
        <v>0.11027156294872414</v>
      </c>
      <c r="W133" s="6">
        <f>V133*('Buses EU Ref'!Y21/'Buses EU Ref'!X21)</f>
        <v>0.11074655886747513</v>
      </c>
      <c r="X133" s="6">
        <f>W133*('Buses EU Ref'!Z21/'Buses EU Ref'!Y21)</f>
        <v>0.11122155478622611</v>
      </c>
      <c r="Y133" s="6">
        <f>X133*('Buses EU Ref'!AA21/'Buses EU Ref'!Z21)</f>
        <v>0.11137574396084164</v>
      </c>
      <c r="Z133" s="6">
        <f>Y133*('Buses EU Ref'!AB21/'Buses EU Ref'!AA21)</f>
        <v>0.11152993313545717</v>
      </c>
      <c r="AA133" s="6">
        <f>Z133*('Buses EU Ref'!AC21/'Buses EU Ref'!AB21)</f>
        <v>0.11168412231007269</v>
      </c>
      <c r="AB133" s="6">
        <f>AA133*('Buses EU Ref'!AD21/'Buses EU Ref'!AC21)</f>
        <v>0.1118383114846882</v>
      </c>
      <c r="AC133" s="6">
        <f>AB133*('Buses EU Ref'!AE21/'Buses EU Ref'!AD21)</f>
        <v>0.11199250065930377</v>
      </c>
      <c r="AD133" s="6">
        <f>AC133*('Buses EU Ref'!AF21/'Buses EU Ref'!AE21)</f>
        <v>0.11213643038957598</v>
      </c>
      <c r="AE133" s="6">
        <f>AD133*('Buses EU Ref'!AG21/'Buses EU Ref'!AF21)</f>
        <v>0.11228036011984818</v>
      </c>
      <c r="AF133" s="6">
        <f>AE133*('Buses EU Ref'!AH21/'Buses EU Ref'!AG21)</f>
        <v>0.11242428985012037</v>
      </c>
      <c r="AG133" s="6">
        <f>AF133*('Buses EU Ref'!AI21/'Buses EU Ref'!AH21)</f>
        <v>0.11256821958039258</v>
      </c>
      <c r="AH133" s="6">
        <f>AG133*('Buses EU Ref'!AJ21/'Buses EU Ref'!AI21)</f>
        <v>0.11271214931066478</v>
      </c>
      <c r="AI133" s="17">
        <f t="shared" ref="AI133:BB133" si="20">AH133</f>
        <v>0.11271214931066478</v>
      </c>
      <c r="AJ133" s="17">
        <f t="shared" si="20"/>
        <v>0.11271214931066478</v>
      </c>
      <c r="AK133" s="17">
        <f t="shared" si="20"/>
        <v>0.11271214931066478</v>
      </c>
      <c r="AL133" s="17">
        <f t="shared" si="20"/>
        <v>0.11271214931066478</v>
      </c>
      <c r="AM133" s="17">
        <f t="shared" si="20"/>
        <v>0.11271214931066478</v>
      </c>
      <c r="AN133" s="17">
        <f t="shared" si="20"/>
        <v>0.11271214931066478</v>
      </c>
      <c r="AO133" s="17">
        <f t="shared" si="20"/>
        <v>0.11271214931066478</v>
      </c>
      <c r="AP133" s="17">
        <f t="shared" si="20"/>
        <v>0.11271214931066478</v>
      </c>
      <c r="AQ133" s="17">
        <f t="shared" si="20"/>
        <v>0.11271214931066478</v>
      </c>
      <c r="AR133" s="17">
        <f t="shared" si="20"/>
        <v>0.11271214931066478</v>
      </c>
      <c r="AS133" s="17">
        <f t="shared" si="20"/>
        <v>0.11271214931066478</v>
      </c>
      <c r="AT133" s="17">
        <f t="shared" si="20"/>
        <v>0.11271214931066478</v>
      </c>
      <c r="AU133" s="17">
        <f t="shared" si="20"/>
        <v>0.11271214931066478</v>
      </c>
      <c r="AV133" s="17">
        <f t="shared" si="20"/>
        <v>0.11271214931066478</v>
      </c>
      <c r="AW133" s="17">
        <f t="shared" si="20"/>
        <v>0.11271214931066478</v>
      </c>
      <c r="AX133" s="17">
        <f t="shared" si="20"/>
        <v>0.11271214931066478</v>
      </c>
      <c r="AY133" s="17">
        <f t="shared" si="20"/>
        <v>0.11271214931066478</v>
      </c>
      <c r="AZ133" s="17">
        <f t="shared" si="20"/>
        <v>0.11271214931066478</v>
      </c>
      <c r="BA133" s="17">
        <f t="shared" si="20"/>
        <v>0.11271214931066478</v>
      </c>
      <c r="BB133" s="17">
        <f t="shared" si="20"/>
        <v>0.11271214931066478</v>
      </c>
    </row>
    <row r="134" spans="1:54" x14ac:dyDescent="0.3">
      <c r="A134" t="s">
        <v>20</v>
      </c>
      <c r="B134" s="4">
        <v>8.2163776999999993E-2</v>
      </c>
      <c r="C134" s="4">
        <v>8.1700011000000003E-2</v>
      </c>
      <c r="D134" s="4">
        <v>6.4481917E-2</v>
      </c>
      <c r="E134" s="4">
        <v>5.9608224000000001E-2</v>
      </c>
      <c r="F134" s="6">
        <f>E134*('Buses EU Ref'!H22/'Buses EU Ref'!G22)</f>
        <v>6.6029304940953909E-2</v>
      </c>
      <c r="G134" s="6">
        <f>F134*('Buses EU Ref'!I22/'Buses EU Ref'!H22)</f>
        <v>7.2450385881907831E-2</v>
      </c>
      <c r="H134" s="6">
        <f>G134*('Buses EU Ref'!J22/'Buses EU Ref'!I22)</f>
        <v>7.8871466822861752E-2</v>
      </c>
      <c r="I134" s="6">
        <f>H134*('Buses EU Ref'!K22/'Buses EU Ref'!J22)</f>
        <v>8.529254776381566E-2</v>
      </c>
      <c r="J134" s="6">
        <f>I134*('Buses EU Ref'!L22/'Buses EU Ref'!K22)</f>
        <v>8.8022770095033134E-2</v>
      </c>
      <c r="K134" s="6">
        <f>J134*('Buses EU Ref'!M22/'Buses EU Ref'!L22)</f>
        <v>9.0752992426250623E-2</v>
      </c>
      <c r="L134" s="6">
        <f>K134*('Buses EU Ref'!N22/'Buses EU Ref'!M22)</f>
        <v>9.3483214757468111E-2</v>
      </c>
      <c r="M134" s="6">
        <f>L134*('Buses EU Ref'!O22/'Buses EU Ref'!N22)</f>
        <v>9.6213437088685586E-2</v>
      </c>
      <c r="N134" s="6">
        <f>M134*('Buses EU Ref'!P22/'Buses EU Ref'!O22)</f>
        <v>9.8943659419903046E-2</v>
      </c>
      <c r="O134" s="6">
        <f>N134*('Buses EU Ref'!Q22/'Buses EU Ref'!P22)</f>
        <v>9.9607805866026869E-2</v>
      </c>
      <c r="P134" s="6">
        <f>O134*('Buses EU Ref'!R22/'Buses EU Ref'!Q22)</f>
        <v>0.10027195231215069</v>
      </c>
      <c r="Q134" s="6">
        <f>P134*('Buses EU Ref'!S22/'Buses EU Ref'!R22)</f>
        <v>0.10093609875827451</v>
      </c>
      <c r="R134" s="6">
        <f>Q134*('Buses EU Ref'!T22/'Buses EU Ref'!S22)</f>
        <v>0.10160024520439835</v>
      </c>
      <c r="S134" s="6">
        <f>R134*('Buses EU Ref'!U22/'Buses EU Ref'!T22)</f>
        <v>0.10226439165052217</v>
      </c>
      <c r="T134" s="6">
        <f>S134*('Buses EU Ref'!V22/'Buses EU Ref'!U22)</f>
        <v>0.10268671898929271</v>
      </c>
      <c r="U134" s="6">
        <f>T134*('Buses EU Ref'!W22/'Buses EU Ref'!V22)</f>
        <v>0.10310904632806327</v>
      </c>
      <c r="V134" s="6">
        <f>U134*('Buses EU Ref'!X22/'Buses EU Ref'!W22)</f>
        <v>0.10353137366683382</v>
      </c>
      <c r="W134" s="6">
        <f>V134*('Buses EU Ref'!Y22/'Buses EU Ref'!X22)</f>
        <v>0.10395370100560437</v>
      </c>
      <c r="X134" s="6">
        <f>W134*('Buses EU Ref'!Z22/'Buses EU Ref'!Y22)</f>
        <v>0.10437602834437495</v>
      </c>
      <c r="Y134" s="6">
        <f>X134*('Buses EU Ref'!AA22/'Buses EU Ref'!Z22)</f>
        <v>0.10448793275851105</v>
      </c>
      <c r="Z134" s="6">
        <f>Y134*('Buses EU Ref'!AB22/'Buses EU Ref'!AA22)</f>
        <v>0.10459983717264713</v>
      </c>
      <c r="AA134" s="6">
        <f>Z134*('Buses EU Ref'!AC22/'Buses EU Ref'!AB22)</f>
        <v>0.10471174158678322</v>
      </c>
      <c r="AB134" s="6">
        <f>AA134*('Buses EU Ref'!AD22/'Buses EU Ref'!AC22)</f>
        <v>0.10482364600091931</v>
      </c>
      <c r="AC134" s="6">
        <f>AB134*('Buses EU Ref'!AE22/'Buses EU Ref'!AD22)</f>
        <v>0.1049355504150554</v>
      </c>
      <c r="AD134" s="6">
        <f>AC134*('Buses EU Ref'!AF22/'Buses EU Ref'!AE22)</f>
        <v>0.10496782934323753</v>
      </c>
      <c r="AE134" s="6">
        <f>AD134*('Buses EU Ref'!AG22/'Buses EU Ref'!AF22)</f>
        <v>0.10500010827141969</v>
      </c>
      <c r="AF134" s="6">
        <f>AE134*('Buses EU Ref'!AH22/'Buses EU Ref'!AG22)</f>
        <v>0.10503238719960183</v>
      </c>
      <c r="AG134" s="6">
        <f>AF134*('Buses EU Ref'!AI22/'Buses EU Ref'!AH22)</f>
        <v>0.10506466612778396</v>
      </c>
      <c r="AH134" s="6">
        <f>AG134*('Buses EU Ref'!AJ22/'Buses EU Ref'!AI22)</f>
        <v>0.10509694505596616</v>
      </c>
      <c r="AI134" s="17">
        <f t="shared" ref="AI134:BB134" si="21">AH134</f>
        <v>0.10509694505596616</v>
      </c>
      <c r="AJ134" s="17">
        <f t="shared" si="21"/>
        <v>0.10509694505596616</v>
      </c>
      <c r="AK134" s="17">
        <f t="shared" si="21"/>
        <v>0.10509694505596616</v>
      </c>
      <c r="AL134" s="17">
        <f t="shared" si="21"/>
        <v>0.10509694505596616</v>
      </c>
      <c r="AM134" s="17">
        <f t="shared" si="21"/>
        <v>0.10509694505596616</v>
      </c>
      <c r="AN134" s="17">
        <f t="shared" si="21"/>
        <v>0.10509694505596616</v>
      </c>
      <c r="AO134" s="17">
        <f t="shared" si="21"/>
        <v>0.10509694505596616</v>
      </c>
      <c r="AP134" s="17">
        <f t="shared" si="21"/>
        <v>0.10509694505596616</v>
      </c>
      <c r="AQ134" s="17">
        <f t="shared" si="21"/>
        <v>0.10509694505596616</v>
      </c>
      <c r="AR134" s="17">
        <f t="shared" si="21"/>
        <v>0.10509694505596616</v>
      </c>
      <c r="AS134" s="17">
        <f t="shared" si="21"/>
        <v>0.10509694505596616</v>
      </c>
      <c r="AT134" s="17">
        <f t="shared" si="21"/>
        <v>0.10509694505596616</v>
      </c>
      <c r="AU134" s="17">
        <f t="shared" si="21"/>
        <v>0.10509694505596616</v>
      </c>
      <c r="AV134" s="17">
        <f t="shared" si="21"/>
        <v>0.10509694505596616</v>
      </c>
      <c r="AW134" s="17">
        <f t="shared" si="21"/>
        <v>0.10509694505596616</v>
      </c>
      <c r="AX134" s="17">
        <f t="shared" si="21"/>
        <v>0.10509694505596616</v>
      </c>
      <c r="AY134" s="17">
        <f t="shared" si="21"/>
        <v>0.10509694505596616</v>
      </c>
      <c r="AZ134" s="17">
        <f t="shared" si="21"/>
        <v>0.10509694505596616</v>
      </c>
      <c r="BA134" s="17">
        <f t="shared" si="21"/>
        <v>0.10509694505596616</v>
      </c>
      <c r="BB134" s="17">
        <f t="shared" si="21"/>
        <v>0.10509694505596616</v>
      </c>
    </row>
    <row r="135" spans="1:54" x14ac:dyDescent="0.3">
      <c r="A135" t="s">
        <v>21</v>
      </c>
      <c r="B135" s="4">
        <v>0.61616820300000008</v>
      </c>
      <c r="C135" s="4">
        <v>0.59892513700000005</v>
      </c>
      <c r="D135" s="4">
        <v>0.50016214800000003</v>
      </c>
      <c r="E135" s="4">
        <v>0.478882792</v>
      </c>
      <c r="F135" s="6">
        <f>E135*('Buses EU Ref'!H23/'Buses EU Ref'!G23)</f>
        <v>0.50412142339317956</v>
      </c>
      <c r="G135" s="6">
        <f>F135*('Buses EU Ref'!I23/'Buses EU Ref'!H23)</f>
        <v>0.52936005478635906</v>
      </c>
      <c r="H135" s="6">
        <f>G135*('Buses EU Ref'!J23/'Buses EU Ref'!I23)</f>
        <v>0.55459868617953867</v>
      </c>
      <c r="I135" s="6">
        <f>H135*('Buses EU Ref'!K23/'Buses EU Ref'!J23)</f>
        <v>0.57983731757271839</v>
      </c>
      <c r="J135" s="6">
        <f>I135*('Buses EU Ref'!L23/'Buses EU Ref'!K23)</f>
        <v>0.58353810817021301</v>
      </c>
      <c r="K135" s="6">
        <f>J135*('Buses EU Ref'!M23/'Buses EU Ref'!L23)</f>
        <v>0.58723889876770763</v>
      </c>
      <c r="L135" s="6">
        <f>K135*('Buses EU Ref'!N23/'Buses EU Ref'!M23)</f>
        <v>0.59093968936520225</v>
      </c>
      <c r="M135" s="6">
        <f>L135*('Buses EU Ref'!O23/'Buses EU Ref'!N23)</f>
        <v>0.59464047996269687</v>
      </c>
      <c r="N135" s="6">
        <f>M135*('Buses EU Ref'!P23/'Buses EU Ref'!O23)</f>
        <v>0.5983412705601916</v>
      </c>
      <c r="O135" s="6">
        <f>N135*('Buses EU Ref'!Q23/'Buses EU Ref'!P23)</f>
        <v>0.60185516998547717</v>
      </c>
      <c r="P135" s="6">
        <f>O135*('Buses EU Ref'!R23/'Buses EU Ref'!Q23)</f>
        <v>0.60536906941076263</v>
      </c>
      <c r="Q135" s="6">
        <f>P135*('Buses EU Ref'!S23/'Buses EU Ref'!R23)</f>
        <v>0.6088829688360482</v>
      </c>
      <c r="R135" s="6">
        <f>Q135*('Buses EU Ref'!T23/'Buses EU Ref'!S23)</f>
        <v>0.61239686826133377</v>
      </c>
      <c r="S135" s="6">
        <f>R135*('Buses EU Ref'!U23/'Buses EU Ref'!T23)</f>
        <v>0.61591076768661934</v>
      </c>
      <c r="T135" s="6">
        <f>S135*('Buses EU Ref'!V23/'Buses EU Ref'!U23)</f>
        <v>0.62131181092867216</v>
      </c>
      <c r="U135" s="6">
        <f>T135*('Buses EU Ref'!W23/'Buses EU Ref'!V23)</f>
        <v>0.62671285417072498</v>
      </c>
      <c r="V135" s="6">
        <f>U135*('Buses EU Ref'!X23/'Buses EU Ref'!W23)</f>
        <v>0.63211389741277768</v>
      </c>
      <c r="W135" s="6">
        <f>V135*('Buses EU Ref'!Y23/'Buses EU Ref'!X23)</f>
        <v>0.6375149406548305</v>
      </c>
      <c r="X135" s="6">
        <f>W135*('Buses EU Ref'!Z23/'Buses EU Ref'!Y23)</f>
        <v>0.6429159838968832</v>
      </c>
      <c r="Y135" s="6">
        <f>X135*('Buses EU Ref'!AA23/'Buses EU Ref'!Z23)</f>
        <v>0.64441750266084863</v>
      </c>
      <c r="Z135" s="6">
        <f>Y135*('Buses EU Ref'!AB23/'Buses EU Ref'!AA23)</f>
        <v>0.64591902142481417</v>
      </c>
      <c r="AA135" s="6">
        <f>Z135*('Buses EU Ref'!AC23/'Buses EU Ref'!AB23)</f>
        <v>0.64742054018877959</v>
      </c>
      <c r="AB135" s="6">
        <f>AA135*('Buses EU Ref'!AD23/'Buses EU Ref'!AC23)</f>
        <v>0.64892205895274513</v>
      </c>
      <c r="AC135" s="6">
        <f>AB135*('Buses EU Ref'!AE23/'Buses EU Ref'!AD23)</f>
        <v>0.65042357771671089</v>
      </c>
      <c r="AD135" s="6">
        <f>AC135*('Buses EU Ref'!AF23/'Buses EU Ref'!AE23)</f>
        <v>0.65253531386546848</v>
      </c>
      <c r="AE135" s="6">
        <f>AD135*('Buses EU Ref'!AG23/'Buses EU Ref'!AF23)</f>
        <v>0.65464705001422618</v>
      </c>
      <c r="AF135" s="6">
        <f>AE135*('Buses EU Ref'!AH23/'Buses EU Ref'!AG23)</f>
        <v>0.65675878616298389</v>
      </c>
      <c r="AG135" s="6">
        <f>AF135*('Buses EU Ref'!AI23/'Buses EU Ref'!AH23)</f>
        <v>0.65887052231174159</v>
      </c>
      <c r="AH135" s="6">
        <f>AG135*('Buses EU Ref'!AJ23/'Buses EU Ref'!AI23)</f>
        <v>0.66098225846049929</v>
      </c>
      <c r="AI135" s="17">
        <f t="shared" ref="AI135:BB135" si="22">AH135</f>
        <v>0.66098225846049929</v>
      </c>
      <c r="AJ135" s="17">
        <f t="shared" si="22"/>
        <v>0.66098225846049929</v>
      </c>
      <c r="AK135" s="17">
        <f t="shared" si="22"/>
        <v>0.66098225846049929</v>
      </c>
      <c r="AL135" s="17">
        <f t="shared" si="22"/>
        <v>0.66098225846049929</v>
      </c>
      <c r="AM135" s="17">
        <f t="shared" si="22"/>
        <v>0.66098225846049929</v>
      </c>
      <c r="AN135" s="17">
        <f t="shared" si="22"/>
        <v>0.66098225846049929</v>
      </c>
      <c r="AO135" s="17">
        <f t="shared" si="22"/>
        <v>0.66098225846049929</v>
      </c>
      <c r="AP135" s="17">
        <f t="shared" si="22"/>
        <v>0.66098225846049929</v>
      </c>
      <c r="AQ135" s="17">
        <f t="shared" si="22"/>
        <v>0.66098225846049929</v>
      </c>
      <c r="AR135" s="17">
        <f t="shared" si="22"/>
        <v>0.66098225846049929</v>
      </c>
      <c r="AS135" s="17">
        <f t="shared" si="22"/>
        <v>0.66098225846049929</v>
      </c>
      <c r="AT135" s="17">
        <f t="shared" si="22"/>
        <v>0.66098225846049929</v>
      </c>
      <c r="AU135" s="17">
        <f t="shared" si="22"/>
        <v>0.66098225846049929</v>
      </c>
      <c r="AV135" s="17">
        <f t="shared" si="22"/>
        <v>0.66098225846049929</v>
      </c>
      <c r="AW135" s="17">
        <f t="shared" si="22"/>
        <v>0.66098225846049929</v>
      </c>
      <c r="AX135" s="17">
        <f t="shared" si="22"/>
        <v>0.66098225846049929</v>
      </c>
      <c r="AY135" s="17">
        <f t="shared" si="22"/>
        <v>0.66098225846049929</v>
      </c>
      <c r="AZ135" s="17">
        <f t="shared" si="22"/>
        <v>0.66098225846049929</v>
      </c>
      <c r="BA135" s="17">
        <f t="shared" si="22"/>
        <v>0.66098225846049929</v>
      </c>
      <c r="BB135" s="17">
        <f t="shared" si="22"/>
        <v>0.66098225846049929</v>
      </c>
    </row>
    <row r="136" spans="1:54" x14ac:dyDescent="0.3">
      <c r="A136" t="s">
        <v>22</v>
      </c>
      <c r="B136" s="4">
        <v>1.7093498090000001</v>
      </c>
      <c r="C136" s="4">
        <v>1.7936416020000001</v>
      </c>
      <c r="D136" s="4">
        <v>1.7821408670000001</v>
      </c>
      <c r="E136" s="4">
        <v>1.7836456119999999</v>
      </c>
      <c r="F136" s="6">
        <f>E136*('Buses EU Ref'!H24/'Buses EU Ref'!G24)</f>
        <v>1.9068537081026304</v>
      </c>
      <c r="G136" s="6">
        <f>F136*('Buses EU Ref'!I24/'Buses EU Ref'!H24)</f>
        <v>2.0300618042052609</v>
      </c>
      <c r="H136" s="6">
        <f>G136*('Buses EU Ref'!J24/'Buses EU Ref'!I24)</f>
        <v>2.1532699003078917</v>
      </c>
      <c r="I136" s="6">
        <f>H136*('Buses EU Ref'!K24/'Buses EU Ref'!J24)</f>
        <v>2.2764779964105228</v>
      </c>
      <c r="J136" s="6">
        <f>I136*('Buses EU Ref'!L24/'Buses EU Ref'!K24)</f>
        <v>2.3116103231768395</v>
      </c>
      <c r="K136" s="6">
        <f>J136*('Buses EU Ref'!M24/'Buses EU Ref'!L24)</f>
        <v>2.3467426499431561</v>
      </c>
      <c r="L136" s="6">
        <f>K136*('Buses EU Ref'!N24/'Buses EU Ref'!M24)</f>
        <v>2.3818749767094727</v>
      </c>
      <c r="M136" s="6">
        <f>L136*('Buses EU Ref'!O24/'Buses EU Ref'!N24)</f>
        <v>2.4170073034757893</v>
      </c>
      <c r="N136" s="6">
        <f>M136*('Buses EU Ref'!P24/'Buses EU Ref'!O24)</f>
        <v>2.4521396302421072</v>
      </c>
      <c r="O136" s="6">
        <f>N136*('Buses EU Ref'!Q24/'Buses EU Ref'!P24)</f>
        <v>2.4585763570675438</v>
      </c>
      <c r="P136" s="6">
        <f>O136*('Buses EU Ref'!R24/'Buses EU Ref'!Q24)</f>
        <v>2.4650130838929809</v>
      </c>
      <c r="Q136" s="6">
        <f>P136*('Buses EU Ref'!S24/'Buses EU Ref'!R24)</f>
        <v>2.4714498107184175</v>
      </c>
      <c r="R136" s="6">
        <f>Q136*('Buses EU Ref'!T24/'Buses EU Ref'!S24)</f>
        <v>2.4778865375438541</v>
      </c>
      <c r="S136" s="6">
        <f>R136*('Buses EU Ref'!U24/'Buses EU Ref'!T24)</f>
        <v>2.4843232643692899</v>
      </c>
      <c r="T136" s="6">
        <f>S136*('Buses EU Ref'!V24/'Buses EU Ref'!U24)</f>
        <v>2.4971109125017943</v>
      </c>
      <c r="U136" s="6">
        <f>T136*('Buses EU Ref'!W24/'Buses EU Ref'!V24)</f>
        <v>2.5098985606342987</v>
      </c>
      <c r="V136" s="6">
        <f>U136*('Buses EU Ref'!X24/'Buses EU Ref'!W24)</f>
        <v>2.5226862087668036</v>
      </c>
      <c r="W136" s="6">
        <f>V136*('Buses EU Ref'!Y24/'Buses EU Ref'!X24)</f>
        <v>2.5354738568993085</v>
      </c>
      <c r="X136" s="6">
        <f>W136*('Buses EU Ref'!Z24/'Buses EU Ref'!Y24)</f>
        <v>2.5482615050318129</v>
      </c>
      <c r="Y136" s="6">
        <f>X136*('Buses EU Ref'!AA24/'Buses EU Ref'!Z24)</f>
        <v>2.5530952663698225</v>
      </c>
      <c r="Z136" s="6">
        <f>Y136*('Buses EU Ref'!AB24/'Buses EU Ref'!AA24)</f>
        <v>2.5579290277078321</v>
      </c>
      <c r="AA136" s="6">
        <f>Z136*('Buses EU Ref'!AC24/'Buses EU Ref'!AB24)</f>
        <v>2.5627627890458413</v>
      </c>
      <c r="AB136" s="6">
        <f>AA136*('Buses EU Ref'!AD24/'Buses EU Ref'!AC24)</f>
        <v>2.5675965503838505</v>
      </c>
      <c r="AC136" s="6">
        <f>AB136*('Buses EU Ref'!AE24/'Buses EU Ref'!AD24)</f>
        <v>2.5724303117218601</v>
      </c>
      <c r="AD136" s="6">
        <f>AC136*('Buses EU Ref'!AF24/'Buses EU Ref'!AE24)</f>
        <v>2.5720267947987026</v>
      </c>
      <c r="AE136" s="6">
        <f>AD136*('Buses EU Ref'!AG24/'Buses EU Ref'!AF24)</f>
        <v>2.5716232778755446</v>
      </c>
      <c r="AF136" s="6">
        <f>AE136*('Buses EU Ref'!AH24/'Buses EU Ref'!AG24)</f>
        <v>2.571219760952387</v>
      </c>
      <c r="AG136" s="6">
        <f>AF136*('Buses EU Ref'!AI24/'Buses EU Ref'!AH24)</f>
        <v>2.570816244029229</v>
      </c>
      <c r="AH136" s="6">
        <f>AG136*('Buses EU Ref'!AJ24/'Buses EU Ref'!AI24)</f>
        <v>2.570412727106071</v>
      </c>
      <c r="AI136" s="17">
        <f t="shared" ref="AI136:BB136" si="23">AH136</f>
        <v>2.570412727106071</v>
      </c>
      <c r="AJ136" s="17">
        <f t="shared" si="23"/>
        <v>2.570412727106071</v>
      </c>
      <c r="AK136" s="17">
        <f t="shared" si="23"/>
        <v>2.570412727106071</v>
      </c>
      <c r="AL136" s="17">
        <f t="shared" si="23"/>
        <v>2.570412727106071</v>
      </c>
      <c r="AM136" s="17">
        <f t="shared" si="23"/>
        <v>2.570412727106071</v>
      </c>
      <c r="AN136" s="17">
        <f t="shared" si="23"/>
        <v>2.570412727106071</v>
      </c>
      <c r="AO136" s="17">
        <f t="shared" si="23"/>
        <v>2.570412727106071</v>
      </c>
      <c r="AP136" s="17">
        <f t="shared" si="23"/>
        <v>2.570412727106071</v>
      </c>
      <c r="AQ136" s="17">
        <f t="shared" si="23"/>
        <v>2.570412727106071</v>
      </c>
      <c r="AR136" s="17">
        <f t="shared" si="23"/>
        <v>2.570412727106071</v>
      </c>
      <c r="AS136" s="17">
        <f t="shared" si="23"/>
        <v>2.570412727106071</v>
      </c>
      <c r="AT136" s="17">
        <f t="shared" si="23"/>
        <v>2.570412727106071</v>
      </c>
      <c r="AU136" s="17">
        <f t="shared" si="23"/>
        <v>2.570412727106071</v>
      </c>
      <c r="AV136" s="17">
        <f t="shared" si="23"/>
        <v>2.570412727106071</v>
      </c>
      <c r="AW136" s="17">
        <f t="shared" si="23"/>
        <v>2.570412727106071</v>
      </c>
      <c r="AX136" s="17">
        <f t="shared" si="23"/>
        <v>2.570412727106071</v>
      </c>
      <c r="AY136" s="17">
        <f t="shared" si="23"/>
        <v>2.570412727106071</v>
      </c>
      <c r="AZ136" s="17">
        <f t="shared" si="23"/>
        <v>2.570412727106071</v>
      </c>
      <c r="BA136" s="17">
        <f t="shared" si="23"/>
        <v>2.570412727106071</v>
      </c>
      <c r="BB136" s="17">
        <f t="shared" si="23"/>
        <v>2.570412727106071</v>
      </c>
    </row>
    <row r="137" spans="1:54" x14ac:dyDescent="0.3">
      <c r="A137" t="s">
        <v>23</v>
      </c>
      <c r="B137" s="4">
        <v>0.44117798799999997</v>
      </c>
      <c r="C137" s="4">
        <v>0.39656266800000006</v>
      </c>
      <c r="D137" s="4">
        <v>0.29920201600000002</v>
      </c>
      <c r="E137" s="4">
        <v>0.388067989</v>
      </c>
      <c r="F137" s="6">
        <f>E137*('Buses EU Ref'!H25/'Buses EU Ref'!G25)</f>
        <v>0.44404943528837715</v>
      </c>
      <c r="G137" s="6">
        <f>F137*('Buses EU Ref'!I25/'Buses EU Ref'!H25)</f>
        <v>0.50003088157675424</v>
      </c>
      <c r="H137" s="6">
        <f>G137*('Buses EU Ref'!J25/'Buses EU Ref'!I25)</f>
        <v>0.55601232786513144</v>
      </c>
      <c r="I137" s="6">
        <f>H137*('Buses EU Ref'!K25/'Buses EU Ref'!J25)</f>
        <v>0.61199377415350875</v>
      </c>
      <c r="J137" s="6">
        <f>I137*('Buses EU Ref'!L25/'Buses EU Ref'!K25)</f>
        <v>0.62018728317670102</v>
      </c>
      <c r="K137" s="6">
        <f>J137*('Buses EU Ref'!M25/'Buses EU Ref'!L25)</f>
        <v>0.62838079219989318</v>
      </c>
      <c r="L137" s="6">
        <f>K137*('Buses EU Ref'!N25/'Buses EU Ref'!M25)</f>
        <v>0.63657430122308534</v>
      </c>
      <c r="M137" s="6">
        <f>L137*('Buses EU Ref'!O25/'Buses EU Ref'!N25)</f>
        <v>0.6447678102462775</v>
      </c>
      <c r="N137" s="6">
        <f>M137*('Buses EU Ref'!P25/'Buses EU Ref'!O25)</f>
        <v>0.65296131926946976</v>
      </c>
      <c r="O137" s="6">
        <f>N137*('Buses EU Ref'!Q25/'Buses EU Ref'!P25)</f>
        <v>0.65473830646029219</v>
      </c>
      <c r="P137" s="6">
        <f>O137*('Buses EU Ref'!R25/'Buses EU Ref'!Q25)</f>
        <v>0.65651529365111461</v>
      </c>
      <c r="Q137" s="6">
        <f>P137*('Buses EU Ref'!S25/'Buses EU Ref'!R25)</f>
        <v>0.65829228084193692</v>
      </c>
      <c r="R137" s="6">
        <f>Q137*('Buses EU Ref'!T25/'Buses EU Ref'!S25)</f>
        <v>0.66006926803275923</v>
      </c>
      <c r="S137" s="6">
        <f>R137*('Buses EU Ref'!U25/'Buses EU Ref'!T25)</f>
        <v>0.66184625522358165</v>
      </c>
      <c r="T137" s="6">
        <f>S137*('Buses EU Ref'!V25/'Buses EU Ref'!U25)</f>
        <v>0.66613457832998357</v>
      </c>
      <c r="U137" s="6">
        <f>T137*('Buses EU Ref'!W25/'Buses EU Ref'!V25)</f>
        <v>0.67042290143638561</v>
      </c>
      <c r="V137" s="6">
        <f>U137*('Buses EU Ref'!X25/'Buses EU Ref'!W25)</f>
        <v>0.67471122454278754</v>
      </c>
      <c r="W137" s="6">
        <f>V137*('Buses EU Ref'!Y25/'Buses EU Ref'!X25)</f>
        <v>0.67899954764918946</v>
      </c>
      <c r="X137" s="6">
        <f>W137*('Buses EU Ref'!Z25/'Buses EU Ref'!Y25)</f>
        <v>0.68328787075559139</v>
      </c>
      <c r="Y137" s="6">
        <f>X137*('Buses EU Ref'!AA25/'Buses EU Ref'!Z25)</f>
        <v>0.68832232807158178</v>
      </c>
      <c r="Z137" s="6">
        <f>Y137*('Buses EU Ref'!AB25/'Buses EU Ref'!AA25)</f>
        <v>0.69335678538757206</v>
      </c>
      <c r="AA137" s="6">
        <f>Z137*('Buses EU Ref'!AC25/'Buses EU Ref'!AB25)</f>
        <v>0.69839124270356234</v>
      </c>
      <c r="AB137" s="6">
        <f>AA137*('Buses EU Ref'!AD25/'Buses EU Ref'!AC25)</f>
        <v>0.70342570001955262</v>
      </c>
      <c r="AC137" s="6">
        <f>AB137*('Buses EU Ref'!AE25/'Buses EU Ref'!AD25)</f>
        <v>0.70846015733554302</v>
      </c>
      <c r="AD137" s="6">
        <f>AC137*('Buses EU Ref'!AF25/'Buses EU Ref'!AE25)</f>
        <v>0.71209511167575712</v>
      </c>
      <c r="AE137" s="6">
        <f>AD137*('Buses EU Ref'!AG25/'Buses EU Ref'!AF25)</f>
        <v>0.71573006601597133</v>
      </c>
      <c r="AF137" s="6">
        <f>AE137*('Buses EU Ref'!AH25/'Buses EU Ref'!AG25)</f>
        <v>0.71936502035618555</v>
      </c>
      <c r="AG137" s="6">
        <f>AF137*('Buses EU Ref'!AI25/'Buses EU Ref'!AH25)</f>
        <v>0.72299997469639976</v>
      </c>
      <c r="AH137" s="6">
        <f>AG137*('Buses EU Ref'!AJ25/'Buses EU Ref'!AI25)</f>
        <v>0.72663492903661364</v>
      </c>
      <c r="AI137" s="17">
        <f t="shared" ref="AI137:BB137" si="24">AH137</f>
        <v>0.72663492903661364</v>
      </c>
      <c r="AJ137" s="17">
        <f t="shared" si="24"/>
        <v>0.72663492903661364</v>
      </c>
      <c r="AK137" s="17">
        <f t="shared" si="24"/>
        <v>0.72663492903661364</v>
      </c>
      <c r="AL137" s="17">
        <f t="shared" si="24"/>
        <v>0.72663492903661364</v>
      </c>
      <c r="AM137" s="17">
        <f t="shared" si="24"/>
        <v>0.72663492903661364</v>
      </c>
      <c r="AN137" s="17">
        <f t="shared" si="24"/>
        <v>0.72663492903661364</v>
      </c>
      <c r="AO137" s="17">
        <f t="shared" si="24"/>
        <v>0.72663492903661364</v>
      </c>
      <c r="AP137" s="17">
        <f t="shared" si="24"/>
        <v>0.72663492903661364</v>
      </c>
      <c r="AQ137" s="17">
        <f t="shared" si="24"/>
        <v>0.72663492903661364</v>
      </c>
      <c r="AR137" s="17">
        <f t="shared" si="24"/>
        <v>0.72663492903661364</v>
      </c>
      <c r="AS137" s="17">
        <f t="shared" si="24"/>
        <v>0.72663492903661364</v>
      </c>
      <c r="AT137" s="17">
        <f t="shared" si="24"/>
        <v>0.72663492903661364</v>
      </c>
      <c r="AU137" s="17">
        <f t="shared" si="24"/>
        <v>0.72663492903661364</v>
      </c>
      <c r="AV137" s="17">
        <f t="shared" si="24"/>
        <v>0.72663492903661364</v>
      </c>
      <c r="AW137" s="17">
        <f t="shared" si="24"/>
        <v>0.72663492903661364</v>
      </c>
      <c r="AX137" s="17">
        <f t="shared" si="24"/>
        <v>0.72663492903661364</v>
      </c>
      <c r="AY137" s="17">
        <f t="shared" si="24"/>
        <v>0.72663492903661364</v>
      </c>
      <c r="AZ137" s="17">
        <f t="shared" si="24"/>
        <v>0.72663492903661364</v>
      </c>
      <c r="BA137" s="17">
        <f t="shared" si="24"/>
        <v>0.72663492903661364</v>
      </c>
      <c r="BB137" s="17">
        <f t="shared" si="24"/>
        <v>0.72663492903661364</v>
      </c>
    </row>
    <row r="138" spans="1:54" x14ac:dyDescent="0.3">
      <c r="A138" t="s">
        <v>24</v>
      </c>
      <c r="B138" s="4">
        <v>2.2395578659999997</v>
      </c>
      <c r="C138" s="4">
        <v>2.2970327479999999</v>
      </c>
      <c r="D138" s="4">
        <v>2.3583566950000003</v>
      </c>
      <c r="E138" s="4">
        <v>2.4243929040000003</v>
      </c>
      <c r="F138" s="6">
        <f>E138*('Buses EU Ref'!H26/'Buses EU Ref'!G26)</f>
        <v>2.7170073112090787</v>
      </c>
      <c r="G138" s="6">
        <f>F138*('Buses EU Ref'!I26/'Buses EU Ref'!H26)</f>
        <v>3.0096217184181571</v>
      </c>
      <c r="H138" s="6">
        <f>G138*('Buses EU Ref'!J26/'Buses EU Ref'!I26)</f>
        <v>3.3022361256272355</v>
      </c>
      <c r="I138" s="6">
        <f>H138*('Buses EU Ref'!K26/'Buses EU Ref'!J26)</f>
        <v>3.5948505328363147</v>
      </c>
      <c r="J138" s="6">
        <f>I138*('Buses EU Ref'!L26/'Buses EU Ref'!K26)</f>
        <v>3.6704654806262687</v>
      </c>
      <c r="K138" s="6">
        <f>J138*('Buses EU Ref'!M26/'Buses EU Ref'!L26)</f>
        <v>3.746080428416223</v>
      </c>
      <c r="L138" s="6">
        <f>K138*('Buses EU Ref'!N26/'Buses EU Ref'!M26)</f>
        <v>3.8216953762061769</v>
      </c>
      <c r="M138" s="6">
        <f>L138*('Buses EU Ref'!O26/'Buses EU Ref'!N26)</f>
        <v>3.8973103239961309</v>
      </c>
      <c r="N138" s="6">
        <f>M138*('Buses EU Ref'!P26/'Buses EU Ref'!O26)</f>
        <v>3.9729252717860839</v>
      </c>
      <c r="O138" s="6">
        <f>N138*('Buses EU Ref'!Q26/'Buses EU Ref'!P26)</f>
        <v>3.9897046572981028</v>
      </c>
      <c r="P138" s="6">
        <f>O138*('Buses EU Ref'!R26/'Buses EU Ref'!Q26)</f>
        <v>4.006484042810122</v>
      </c>
      <c r="Q138" s="6">
        <f>P138*('Buses EU Ref'!S26/'Buses EU Ref'!R26)</f>
        <v>4.0232634283221413</v>
      </c>
      <c r="R138" s="6">
        <f>Q138*('Buses EU Ref'!T26/'Buses EU Ref'!S26)</f>
        <v>4.0400428138341606</v>
      </c>
      <c r="S138" s="6">
        <f>R138*('Buses EU Ref'!U26/'Buses EU Ref'!T26)</f>
        <v>4.0568221993461799</v>
      </c>
      <c r="T138" s="6">
        <f>S138*('Buses EU Ref'!V26/'Buses EU Ref'!U26)</f>
        <v>4.0997544385692439</v>
      </c>
      <c r="U138" s="6">
        <f>T138*('Buses EU Ref'!W26/'Buses EU Ref'!V26)</f>
        <v>4.1426866777923079</v>
      </c>
      <c r="V138" s="6">
        <f>U138*('Buses EU Ref'!X26/'Buses EU Ref'!W26)</f>
        <v>4.1856189170153719</v>
      </c>
      <c r="W138" s="6">
        <f>V138*('Buses EU Ref'!Y26/'Buses EU Ref'!X26)</f>
        <v>4.2285511562384359</v>
      </c>
      <c r="X138" s="6">
        <f>W138*('Buses EU Ref'!Z26/'Buses EU Ref'!Y26)</f>
        <v>4.271483395461499</v>
      </c>
      <c r="Y138" s="6">
        <f>X138*('Buses EU Ref'!AA26/'Buses EU Ref'!Z26)</f>
        <v>4.280722224302246</v>
      </c>
      <c r="Z138" s="6">
        <f>Y138*('Buses EU Ref'!AB26/'Buses EU Ref'!AA26)</f>
        <v>4.289961053142993</v>
      </c>
      <c r="AA138" s="6">
        <f>Z138*('Buses EU Ref'!AC26/'Buses EU Ref'!AB26)</f>
        <v>4.29919988198374</v>
      </c>
      <c r="AB138" s="6">
        <f>AA138*('Buses EU Ref'!AD26/'Buses EU Ref'!AC26)</f>
        <v>4.308438710824487</v>
      </c>
      <c r="AC138" s="6">
        <f>AB138*('Buses EU Ref'!AE26/'Buses EU Ref'!AD26)</f>
        <v>4.317677539665234</v>
      </c>
      <c r="AD138" s="6">
        <f>AC138*('Buses EU Ref'!AF26/'Buses EU Ref'!AE26)</f>
        <v>4.3188638148506246</v>
      </c>
      <c r="AE138" s="6">
        <f>AD138*('Buses EU Ref'!AG26/'Buses EU Ref'!AF26)</f>
        <v>4.3200500900360144</v>
      </c>
      <c r="AF138" s="6">
        <f>AE138*('Buses EU Ref'!AH26/'Buses EU Ref'!AG26)</f>
        <v>4.3212363652214041</v>
      </c>
      <c r="AG138" s="6">
        <f>AF138*('Buses EU Ref'!AI26/'Buses EU Ref'!AH26)</f>
        <v>4.3224226404067947</v>
      </c>
      <c r="AH138" s="6">
        <f>AG138*('Buses EU Ref'!AJ26/'Buses EU Ref'!AI26)</f>
        <v>4.3236089155921844</v>
      </c>
      <c r="AI138" s="17">
        <f t="shared" ref="AI138:BB138" si="25">AH138</f>
        <v>4.3236089155921844</v>
      </c>
      <c r="AJ138" s="17">
        <f t="shared" si="25"/>
        <v>4.3236089155921844</v>
      </c>
      <c r="AK138" s="17">
        <f t="shared" si="25"/>
        <v>4.3236089155921844</v>
      </c>
      <c r="AL138" s="17">
        <f t="shared" si="25"/>
        <v>4.3236089155921844</v>
      </c>
      <c r="AM138" s="17">
        <f t="shared" si="25"/>
        <v>4.3236089155921844</v>
      </c>
      <c r="AN138" s="17">
        <f t="shared" si="25"/>
        <v>4.3236089155921844</v>
      </c>
      <c r="AO138" s="17">
        <f t="shared" si="25"/>
        <v>4.3236089155921844</v>
      </c>
      <c r="AP138" s="17">
        <f t="shared" si="25"/>
        <v>4.3236089155921844</v>
      </c>
      <c r="AQ138" s="17">
        <f t="shared" si="25"/>
        <v>4.3236089155921844</v>
      </c>
      <c r="AR138" s="17">
        <f t="shared" si="25"/>
        <v>4.3236089155921844</v>
      </c>
      <c r="AS138" s="17">
        <f t="shared" si="25"/>
        <v>4.3236089155921844</v>
      </c>
      <c r="AT138" s="17">
        <f t="shared" si="25"/>
        <v>4.3236089155921844</v>
      </c>
      <c r="AU138" s="17">
        <f t="shared" si="25"/>
        <v>4.3236089155921844</v>
      </c>
      <c r="AV138" s="17">
        <f t="shared" si="25"/>
        <v>4.3236089155921844</v>
      </c>
      <c r="AW138" s="17">
        <f t="shared" si="25"/>
        <v>4.3236089155921844</v>
      </c>
      <c r="AX138" s="17">
        <f t="shared" si="25"/>
        <v>4.3236089155921844</v>
      </c>
      <c r="AY138" s="17">
        <f t="shared" si="25"/>
        <v>4.3236089155921844</v>
      </c>
      <c r="AZ138" s="17">
        <f t="shared" si="25"/>
        <v>4.3236089155921844</v>
      </c>
      <c r="BA138" s="17">
        <f t="shared" si="25"/>
        <v>4.3236089155921844</v>
      </c>
      <c r="BB138" s="17">
        <f t="shared" si="25"/>
        <v>4.3236089155921844</v>
      </c>
    </row>
    <row r="139" spans="1:54" x14ac:dyDescent="0.3">
      <c r="A139" t="s">
        <v>28</v>
      </c>
      <c r="B139" s="4">
        <v>0.99557133899999994</v>
      </c>
      <c r="C139" s="4">
        <v>0.99249143200000001</v>
      </c>
      <c r="D139" s="4">
        <v>0.90938582499999987</v>
      </c>
      <c r="E139" s="4">
        <v>0.88748537999999999</v>
      </c>
      <c r="F139" s="6">
        <f>E139*('Buses EU Ref'!H27/'Buses EU Ref'!G27)</f>
        <v>0.90166673495813454</v>
      </c>
      <c r="G139" s="6">
        <f>F139*('Buses EU Ref'!I27/'Buses EU Ref'!H27)</f>
        <v>0.91584808991626898</v>
      </c>
      <c r="H139" s="6">
        <f>G139*('Buses EU Ref'!J27/'Buses EU Ref'!I27)</f>
        <v>0.93002944487440342</v>
      </c>
      <c r="I139" s="6">
        <f>H139*('Buses EU Ref'!K27/'Buses EU Ref'!J27)</f>
        <v>0.94421079983253819</v>
      </c>
      <c r="J139" s="6">
        <f>I139*('Buses EU Ref'!L27/'Buses EU Ref'!K27)</f>
        <v>0.95499273788455674</v>
      </c>
      <c r="K139" s="6">
        <f>J139*('Buses EU Ref'!M27/'Buses EU Ref'!L27)</f>
        <v>0.9657746759365754</v>
      </c>
      <c r="L139" s="6">
        <f>K139*('Buses EU Ref'!N27/'Buses EU Ref'!M27)</f>
        <v>0.97655661398859395</v>
      </c>
      <c r="M139" s="6">
        <f>L139*('Buses EU Ref'!O27/'Buses EU Ref'!N27)</f>
        <v>0.9873385520406126</v>
      </c>
      <c r="N139" s="6">
        <f>M139*('Buses EU Ref'!P27/'Buses EU Ref'!O27)</f>
        <v>0.9981204900926316</v>
      </c>
      <c r="O139" s="6">
        <f>N139*('Buses EU Ref'!Q27/'Buses EU Ref'!P27)</f>
        <v>1.0004029368905156</v>
      </c>
      <c r="P139" s="6">
        <f>O139*('Buses EU Ref'!R27/'Buses EU Ref'!Q27)</f>
        <v>1.0026853836883995</v>
      </c>
      <c r="Q139" s="6">
        <f>P139*('Buses EU Ref'!S27/'Buses EU Ref'!R27)</f>
        <v>1.0049678304862835</v>
      </c>
      <c r="R139" s="6">
        <f>Q139*('Buses EU Ref'!T27/'Buses EU Ref'!S27)</f>
        <v>1.0072502772841674</v>
      </c>
      <c r="S139" s="6">
        <f>R139*('Buses EU Ref'!U27/'Buses EU Ref'!T27)</f>
        <v>1.0095327240820517</v>
      </c>
      <c r="T139" s="6">
        <f>S139*('Buses EU Ref'!V27/'Buses EU Ref'!U27)</f>
        <v>1.0129232914170567</v>
      </c>
      <c r="U139" s="6">
        <f>T139*('Buses EU Ref'!W27/'Buses EU Ref'!V27)</f>
        <v>1.0163138587520617</v>
      </c>
      <c r="V139" s="6">
        <f>U139*('Buses EU Ref'!X27/'Buses EU Ref'!W27)</f>
        <v>1.0197044260870667</v>
      </c>
      <c r="W139" s="6">
        <f>V139*('Buses EU Ref'!Y27/'Buses EU Ref'!X27)</f>
        <v>1.0230949934220717</v>
      </c>
      <c r="X139" s="6">
        <f>W139*('Buses EU Ref'!Z27/'Buses EU Ref'!Y27)</f>
        <v>1.0264855607570766</v>
      </c>
      <c r="Y139" s="6">
        <f>X139*('Buses EU Ref'!AA27/'Buses EU Ref'!Z27)</f>
        <v>1.0342858249093485</v>
      </c>
      <c r="Z139" s="6">
        <f>Y139*('Buses EU Ref'!AB27/'Buses EU Ref'!AA27)</f>
        <v>1.0420860890616204</v>
      </c>
      <c r="AA139" s="6">
        <f>Z139*('Buses EU Ref'!AC27/'Buses EU Ref'!AB27)</f>
        <v>1.0498863532138925</v>
      </c>
      <c r="AB139" s="6">
        <f>AA139*('Buses EU Ref'!AD27/'Buses EU Ref'!AC27)</f>
        <v>1.0576866173661645</v>
      </c>
      <c r="AC139" s="6">
        <f>AB139*('Buses EU Ref'!AE27/'Buses EU Ref'!AD27)</f>
        <v>1.0654868815184364</v>
      </c>
      <c r="AD139" s="6">
        <f>AC139*('Buses EU Ref'!AF27/'Buses EU Ref'!AE27)</f>
        <v>1.0694629034986285</v>
      </c>
      <c r="AE139" s="6">
        <f>AD139*('Buses EU Ref'!AG27/'Buses EU Ref'!AF27)</f>
        <v>1.0734389254788208</v>
      </c>
      <c r="AF139" s="6">
        <f>AE139*('Buses EU Ref'!AH27/'Buses EU Ref'!AG27)</f>
        <v>1.0774149474590129</v>
      </c>
      <c r="AG139" s="6">
        <f>AF139*('Buses EU Ref'!AI27/'Buses EU Ref'!AH27)</f>
        <v>1.0813909694392052</v>
      </c>
      <c r="AH139" s="6">
        <f>AG139*('Buses EU Ref'!AJ27/'Buses EU Ref'!AI27)</f>
        <v>1.0853669914193975</v>
      </c>
      <c r="AI139" s="17">
        <f t="shared" ref="AI139:BB139" si="26">AH139</f>
        <v>1.0853669914193975</v>
      </c>
      <c r="AJ139" s="17">
        <f t="shared" si="26"/>
        <v>1.0853669914193975</v>
      </c>
      <c r="AK139" s="17">
        <f t="shared" si="26"/>
        <v>1.0853669914193975</v>
      </c>
      <c r="AL139" s="17">
        <f t="shared" si="26"/>
        <v>1.0853669914193975</v>
      </c>
      <c r="AM139" s="17">
        <f t="shared" si="26"/>
        <v>1.0853669914193975</v>
      </c>
      <c r="AN139" s="17">
        <f t="shared" si="26"/>
        <v>1.0853669914193975</v>
      </c>
      <c r="AO139" s="17">
        <f t="shared" si="26"/>
        <v>1.0853669914193975</v>
      </c>
      <c r="AP139" s="17">
        <f t="shared" si="26"/>
        <v>1.0853669914193975</v>
      </c>
      <c r="AQ139" s="17">
        <f t="shared" si="26"/>
        <v>1.0853669914193975</v>
      </c>
      <c r="AR139" s="17">
        <f t="shared" si="26"/>
        <v>1.0853669914193975</v>
      </c>
      <c r="AS139" s="17">
        <f t="shared" si="26"/>
        <v>1.0853669914193975</v>
      </c>
      <c r="AT139" s="17">
        <f t="shared" si="26"/>
        <v>1.0853669914193975</v>
      </c>
      <c r="AU139" s="17">
        <f t="shared" si="26"/>
        <v>1.0853669914193975</v>
      </c>
      <c r="AV139" s="17">
        <f t="shared" si="26"/>
        <v>1.0853669914193975</v>
      </c>
      <c r="AW139" s="17">
        <f t="shared" si="26"/>
        <v>1.0853669914193975</v>
      </c>
      <c r="AX139" s="17">
        <f t="shared" si="26"/>
        <v>1.0853669914193975</v>
      </c>
      <c r="AY139" s="17">
        <f t="shared" si="26"/>
        <v>1.0853669914193975</v>
      </c>
      <c r="AZ139" s="17">
        <f t="shared" si="26"/>
        <v>1.0853669914193975</v>
      </c>
      <c r="BA139" s="17">
        <f t="shared" si="26"/>
        <v>1.0853669914193975</v>
      </c>
      <c r="BB139" s="17">
        <f t="shared" si="26"/>
        <v>1.0853669914193975</v>
      </c>
    </row>
    <row r="140" spans="1:54" x14ac:dyDescent="0.3">
      <c r="A140" t="s">
        <v>25</v>
      </c>
      <c r="B140" s="4">
        <v>0.13907439499999999</v>
      </c>
      <c r="C140" s="4">
        <v>0.14107647300000001</v>
      </c>
      <c r="D140" s="4">
        <v>8.6063706000000004E-2</v>
      </c>
      <c r="E140" s="4">
        <v>0.10006632499999998</v>
      </c>
      <c r="F140" s="6">
        <f>E140*('Buses EU Ref'!H28/'Buses EU Ref'!G28)</f>
        <v>0.10873159195128881</v>
      </c>
      <c r="G140" s="6">
        <f>F140*('Buses EU Ref'!I28/'Buses EU Ref'!H28)</f>
        <v>0.11739685890257763</v>
      </c>
      <c r="H140" s="6">
        <f>G140*('Buses EU Ref'!J28/'Buses EU Ref'!I28)</f>
        <v>0.12606212585386647</v>
      </c>
      <c r="I140" s="6">
        <f>H140*('Buses EU Ref'!K28/'Buses EU Ref'!J28)</f>
        <v>0.13472739280515533</v>
      </c>
      <c r="J140" s="6">
        <f>I140*('Buses EU Ref'!L28/'Buses EU Ref'!K28)</f>
        <v>0.14043453868419989</v>
      </c>
      <c r="K140" s="6">
        <f>J140*('Buses EU Ref'!M28/'Buses EU Ref'!L28)</f>
        <v>0.14614168456324445</v>
      </c>
      <c r="L140" s="6">
        <f>K140*('Buses EU Ref'!N28/'Buses EU Ref'!M28)</f>
        <v>0.15184883044228903</v>
      </c>
      <c r="M140" s="6">
        <f>L140*('Buses EU Ref'!O28/'Buses EU Ref'!N28)</f>
        <v>0.15755597632133359</v>
      </c>
      <c r="N140" s="6">
        <f>M140*('Buses EU Ref'!P28/'Buses EU Ref'!O28)</f>
        <v>0.16326312220037811</v>
      </c>
      <c r="O140" s="6">
        <f>N140*('Buses EU Ref'!Q28/'Buses EU Ref'!P28)</f>
        <v>0.16374823752431536</v>
      </c>
      <c r="P140" s="6">
        <f>O140*('Buses EU Ref'!R28/'Buses EU Ref'!Q28)</f>
        <v>0.16423335284825261</v>
      </c>
      <c r="Q140" s="6">
        <f>P140*('Buses EU Ref'!S28/'Buses EU Ref'!R28)</f>
        <v>0.16471846817218985</v>
      </c>
      <c r="R140" s="6">
        <f>Q140*('Buses EU Ref'!T28/'Buses EU Ref'!S28)</f>
        <v>0.16520358349612707</v>
      </c>
      <c r="S140" s="6">
        <f>R140*('Buses EU Ref'!U28/'Buses EU Ref'!T28)</f>
        <v>0.16568869882006429</v>
      </c>
      <c r="T140" s="6">
        <f>S140*('Buses EU Ref'!V28/'Buses EU Ref'!U28)</f>
        <v>0.1667891599556684</v>
      </c>
      <c r="U140" s="6">
        <f>T140*('Buses EU Ref'!W28/'Buses EU Ref'!V28)</f>
        <v>0.16788962109127248</v>
      </c>
      <c r="V140" s="6">
        <f>U140*('Buses EU Ref'!X28/'Buses EU Ref'!W28)</f>
        <v>0.16899008222687656</v>
      </c>
      <c r="W140" s="6">
        <f>V140*('Buses EU Ref'!Y28/'Buses EU Ref'!X28)</f>
        <v>0.17009054336248067</v>
      </c>
      <c r="X140" s="6">
        <f>W140*('Buses EU Ref'!Z28/'Buses EU Ref'!Y28)</f>
        <v>0.17119100449808472</v>
      </c>
      <c r="Y140" s="6">
        <f>X140*('Buses EU Ref'!AA28/'Buses EU Ref'!Z28)</f>
        <v>0.17137473853400778</v>
      </c>
      <c r="Z140" s="6">
        <f>Y140*('Buses EU Ref'!AB28/'Buses EU Ref'!AA28)</f>
        <v>0.17155847256993087</v>
      </c>
      <c r="AA140" s="6">
        <f>Z140*('Buses EU Ref'!AC28/'Buses EU Ref'!AB28)</f>
        <v>0.17174220660585396</v>
      </c>
      <c r="AB140" s="6">
        <f>AA140*('Buses EU Ref'!AD28/'Buses EU Ref'!AC28)</f>
        <v>0.17192594064177702</v>
      </c>
      <c r="AC140" s="6">
        <f>AB140*('Buses EU Ref'!AE28/'Buses EU Ref'!AD28)</f>
        <v>0.17210967467770011</v>
      </c>
      <c r="AD140" s="6">
        <f>AC140*('Buses EU Ref'!AF28/'Buses EU Ref'!AE28)</f>
        <v>0.17216398033197491</v>
      </c>
      <c r="AE140" s="6">
        <f>AD140*('Buses EU Ref'!AG28/'Buses EU Ref'!AF28)</f>
        <v>0.17221828598624969</v>
      </c>
      <c r="AF140" s="6">
        <f>AE140*('Buses EU Ref'!AH28/'Buses EU Ref'!AG28)</f>
        <v>0.17227259164052447</v>
      </c>
      <c r="AG140" s="6">
        <f>AF140*('Buses EU Ref'!AI28/'Buses EU Ref'!AH28)</f>
        <v>0.17232689729479925</v>
      </c>
      <c r="AH140" s="6">
        <f>AG140*('Buses EU Ref'!AJ28/'Buses EU Ref'!AI28)</f>
        <v>0.17238120294907397</v>
      </c>
      <c r="AI140" s="17">
        <f t="shared" ref="AI140:BB140" si="27">AH140</f>
        <v>0.17238120294907397</v>
      </c>
      <c r="AJ140" s="17">
        <f t="shared" si="27"/>
        <v>0.17238120294907397</v>
      </c>
      <c r="AK140" s="17">
        <f t="shared" si="27"/>
        <v>0.17238120294907397</v>
      </c>
      <c r="AL140" s="17">
        <f t="shared" si="27"/>
        <v>0.17238120294907397</v>
      </c>
      <c r="AM140" s="17">
        <f t="shared" si="27"/>
        <v>0.17238120294907397</v>
      </c>
      <c r="AN140" s="17">
        <f t="shared" si="27"/>
        <v>0.17238120294907397</v>
      </c>
      <c r="AO140" s="17">
        <f t="shared" si="27"/>
        <v>0.17238120294907397</v>
      </c>
      <c r="AP140" s="17">
        <f t="shared" si="27"/>
        <v>0.17238120294907397</v>
      </c>
      <c r="AQ140" s="17">
        <f t="shared" si="27"/>
        <v>0.17238120294907397</v>
      </c>
      <c r="AR140" s="17">
        <f t="shared" si="27"/>
        <v>0.17238120294907397</v>
      </c>
      <c r="AS140" s="17">
        <f t="shared" si="27"/>
        <v>0.17238120294907397</v>
      </c>
      <c r="AT140" s="17">
        <f t="shared" si="27"/>
        <v>0.17238120294907397</v>
      </c>
      <c r="AU140" s="17">
        <f t="shared" si="27"/>
        <v>0.17238120294907397</v>
      </c>
      <c r="AV140" s="17">
        <f t="shared" si="27"/>
        <v>0.17238120294907397</v>
      </c>
      <c r="AW140" s="17">
        <f t="shared" si="27"/>
        <v>0.17238120294907397</v>
      </c>
      <c r="AX140" s="17">
        <f t="shared" si="27"/>
        <v>0.17238120294907397</v>
      </c>
      <c r="AY140" s="17">
        <f t="shared" si="27"/>
        <v>0.17238120294907397</v>
      </c>
      <c r="AZ140" s="17">
        <f t="shared" si="27"/>
        <v>0.17238120294907397</v>
      </c>
      <c r="BA140" s="17">
        <f t="shared" si="27"/>
        <v>0.17238120294907397</v>
      </c>
      <c r="BB140" s="17">
        <f t="shared" si="27"/>
        <v>0.17238120294907397</v>
      </c>
    </row>
    <row r="141" spans="1:54" x14ac:dyDescent="0.3">
      <c r="A141" t="s">
        <v>26</v>
      </c>
      <c r="B141" s="4">
        <v>0.31999999999999995</v>
      </c>
      <c r="C141" s="4">
        <v>0.323800001</v>
      </c>
      <c r="D141" s="4">
        <v>0.27899999999999997</v>
      </c>
      <c r="E141" s="4">
        <v>0.2787</v>
      </c>
      <c r="F141" s="6">
        <f>E141*('Buses EU Ref'!H29/'Buses EU Ref'!G29)</f>
        <v>0.29702109258099224</v>
      </c>
      <c r="G141" s="6">
        <f>F141*('Buses EU Ref'!I29/'Buses EU Ref'!H29)</f>
        <v>0.31534218516198448</v>
      </c>
      <c r="H141" s="6">
        <f>G141*('Buses EU Ref'!J29/'Buses EU Ref'!I29)</f>
        <v>0.33366327774297672</v>
      </c>
      <c r="I141" s="6">
        <f>H141*('Buses EU Ref'!K29/'Buses EU Ref'!J29)</f>
        <v>0.35198437032396901</v>
      </c>
      <c r="J141" s="6">
        <f>I141*('Buses EU Ref'!L29/'Buses EU Ref'!K29)</f>
        <v>0.35944121676508806</v>
      </c>
      <c r="K141" s="6">
        <f>J141*('Buses EU Ref'!M29/'Buses EU Ref'!L29)</f>
        <v>0.36689806320620716</v>
      </c>
      <c r="L141" s="6">
        <f>K141*('Buses EU Ref'!N29/'Buses EU Ref'!M29)</f>
        <v>0.37435490964732626</v>
      </c>
      <c r="M141" s="6">
        <f>L141*('Buses EU Ref'!O29/'Buses EU Ref'!N29)</f>
        <v>0.38181175608844536</v>
      </c>
      <c r="N141" s="6">
        <f>M141*('Buses EU Ref'!P29/'Buses EU Ref'!O29)</f>
        <v>0.3892686025295643</v>
      </c>
      <c r="O141" s="6">
        <f>N141*('Buses EU Ref'!Q29/'Buses EU Ref'!P29)</f>
        <v>0.39207991685482912</v>
      </c>
      <c r="P141" s="6">
        <f>O141*('Buses EU Ref'!R29/'Buses EU Ref'!Q29)</f>
        <v>0.39489123118009395</v>
      </c>
      <c r="Q141" s="6">
        <f>P141*('Buses EU Ref'!S29/'Buses EU Ref'!R29)</f>
        <v>0.39770254550535877</v>
      </c>
      <c r="R141" s="6">
        <f>Q141*('Buses EU Ref'!T29/'Buses EU Ref'!S29)</f>
        <v>0.4005138598306236</v>
      </c>
      <c r="S141" s="6">
        <f>R141*('Buses EU Ref'!U29/'Buses EU Ref'!T29)</f>
        <v>0.40332517415588853</v>
      </c>
      <c r="T141" s="6">
        <f>S141*('Buses EU Ref'!V29/'Buses EU Ref'!U29)</f>
        <v>0.40826099270339866</v>
      </c>
      <c r="U141" s="6">
        <f>T141*('Buses EU Ref'!W29/'Buses EU Ref'!V29)</f>
        <v>0.41319681125090885</v>
      </c>
      <c r="V141" s="6">
        <f>U141*('Buses EU Ref'!X29/'Buses EU Ref'!W29)</f>
        <v>0.41813262979841903</v>
      </c>
      <c r="W141" s="6">
        <f>V141*('Buses EU Ref'!Y29/'Buses EU Ref'!X29)</f>
        <v>0.42306844834592916</v>
      </c>
      <c r="X141" s="6">
        <f>W141*('Buses EU Ref'!Z29/'Buses EU Ref'!Y29)</f>
        <v>0.42800426689343923</v>
      </c>
      <c r="Y141" s="6">
        <f>X141*('Buses EU Ref'!AA29/'Buses EU Ref'!Z29)</f>
        <v>0.42994752008123327</v>
      </c>
      <c r="Z141" s="6">
        <f>Y141*('Buses EU Ref'!AB29/'Buses EU Ref'!AA29)</f>
        <v>0.43189077326902725</v>
      </c>
      <c r="AA141" s="6">
        <f>Z141*('Buses EU Ref'!AC29/'Buses EU Ref'!AB29)</f>
        <v>0.43383402645682129</v>
      </c>
      <c r="AB141" s="6">
        <f>AA141*('Buses EU Ref'!AD29/'Buses EU Ref'!AC29)</f>
        <v>0.43577727964461527</v>
      </c>
      <c r="AC141" s="6">
        <f>AB141*('Buses EU Ref'!AE29/'Buses EU Ref'!AD29)</f>
        <v>0.43772053283240936</v>
      </c>
      <c r="AD141" s="6">
        <f>AC141*('Buses EU Ref'!AF29/'Buses EU Ref'!AE29)</f>
        <v>0.43890181091255215</v>
      </c>
      <c r="AE141" s="6">
        <f>AD141*('Buses EU Ref'!AG29/'Buses EU Ref'!AF29)</f>
        <v>0.44008308899269499</v>
      </c>
      <c r="AF141" s="6">
        <f>AE141*('Buses EU Ref'!AH29/'Buses EU Ref'!AG29)</f>
        <v>0.44126436707283784</v>
      </c>
      <c r="AG141" s="6">
        <f>AF141*('Buses EU Ref'!AI29/'Buses EU Ref'!AH29)</f>
        <v>0.44244564515298063</v>
      </c>
      <c r="AH141" s="6">
        <f>AG141*('Buses EU Ref'!AJ29/'Buses EU Ref'!AI29)</f>
        <v>0.44362692323312342</v>
      </c>
      <c r="AI141" s="17">
        <f t="shared" ref="AI141:BB141" si="28">AH141</f>
        <v>0.44362692323312342</v>
      </c>
      <c r="AJ141" s="17">
        <f t="shared" si="28"/>
        <v>0.44362692323312342</v>
      </c>
      <c r="AK141" s="17">
        <f t="shared" si="28"/>
        <v>0.44362692323312342</v>
      </c>
      <c r="AL141" s="17">
        <f t="shared" si="28"/>
        <v>0.44362692323312342</v>
      </c>
      <c r="AM141" s="17">
        <f t="shared" si="28"/>
        <v>0.44362692323312342</v>
      </c>
      <c r="AN141" s="17">
        <f t="shared" si="28"/>
        <v>0.44362692323312342</v>
      </c>
      <c r="AO141" s="17">
        <f t="shared" si="28"/>
        <v>0.44362692323312342</v>
      </c>
      <c r="AP141" s="17">
        <f t="shared" si="28"/>
        <v>0.44362692323312342</v>
      </c>
      <c r="AQ141" s="17">
        <f t="shared" si="28"/>
        <v>0.44362692323312342</v>
      </c>
      <c r="AR141" s="17">
        <f t="shared" si="28"/>
        <v>0.44362692323312342</v>
      </c>
      <c r="AS141" s="17">
        <f t="shared" si="28"/>
        <v>0.44362692323312342</v>
      </c>
      <c r="AT141" s="17">
        <f t="shared" si="28"/>
        <v>0.44362692323312342</v>
      </c>
      <c r="AU141" s="17">
        <f t="shared" si="28"/>
        <v>0.44362692323312342</v>
      </c>
      <c r="AV141" s="17">
        <f t="shared" si="28"/>
        <v>0.44362692323312342</v>
      </c>
      <c r="AW141" s="17">
        <f t="shared" si="28"/>
        <v>0.44362692323312342</v>
      </c>
      <c r="AX141" s="17">
        <f t="shared" si="28"/>
        <v>0.44362692323312342</v>
      </c>
      <c r="AY141" s="17">
        <f t="shared" si="28"/>
        <v>0.44362692323312342</v>
      </c>
      <c r="AZ141" s="17">
        <f t="shared" si="28"/>
        <v>0.44362692323312342</v>
      </c>
      <c r="BA141" s="17">
        <f t="shared" si="28"/>
        <v>0.44362692323312342</v>
      </c>
      <c r="BB141" s="17">
        <f t="shared" si="28"/>
        <v>0.44362692323312342</v>
      </c>
    </row>
    <row r="142" spans="1:54" x14ac:dyDescent="0.3">
      <c r="A142" s="1" t="s">
        <v>88</v>
      </c>
      <c r="B142" s="20">
        <v>26.376195567</v>
      </c>
      <c r="C142" s="20">
        <v>26.548051826000002</v>
      </c>
      <c r="D142" s="20">
        <v>24.022707942</v>
      </c>
      <c r="E142" s="20">
        <v>24.490681926000004</v>
      </c>
      <c r="F142" s="21">
        <f>SUM(F115:F141)</f>
        <v>26.758326341416719</v>
      </c>
      <c r="G142" s="21">
        <f t="shared" ref="G142:AH142" si="29">SUM(G115:G141)</f>
        <v>29.025970756833427</v>
      </c>
      <c r="H142" s="21">
        <f t="shared" si="29"/>
        <v>31.293615172250139</v>
      </c>
      <c r="I142" s="21">
        <f t="shared" si="29"/>
        <v>33.561259587666854</v>
      </c>
      <c r="J142" s="21">
        <f t="shared" si="29"/>
        <v>33.940053933872939</v>
      </c>
      <c r="K142" s="21">
        <f t="shared" si="29"/>
        <v>34.31884828007901</v>
      </c>
      <c r="L142" s="21">
        <f t="shared" si="29"/>
        <v>34.697642626285088</v>
      </c>
      <c r="M142" s="21">
        <f t="shared" si="29"/>
        <v>35.076436972491166</v>
      </c>
      <c r="N142" s="21">
        <f t="shared" si="29"/>
        <v>35.455231318697237</v>
      </c>
      <c r="O142" s="21">
        <f t="shared" si="29"/>
        <v>35.558503076095732</v>
      </c>
      <c r="P142" s="21">
        <f t="shared" si="29"/>
        <v>35.661774833494228</v>
      </c>
      <c r="Q142" s="21">
        <f t="shared" si="29"/>
        <v>35.765046590892737</v>
      </c>
      <c r="R142" s="21">
        <f t="shared" si="29"/>
        <v>35.868318348291218</v>
      </c>
      <c r="S142" s="21">
        <f t="shared" si="29"/>
        <v>35.971590105689714</v>
      </c>
      <c r="T142" s="21">
        <f t="shared" si="29"/>
        <v>36.201780645260769</v>
      </c>
      <c r="U142" s="21">
        <f t="shared" si="29"/>
        <v>36.431971184831802</v>
      </c>
      <c r="V142" s="21">
        <f t="shared" si="29"/>
        <v>36.662161724402843</v>
      </c>
      <c r="W142" s="21">
        <f t="shared" si="29"/>
        <v>36.892352263973898</v>
      </c>
      <c r="X142" s="21">
        <f t="shared" si="29"/>
        <v>37.122542803544924</v>
      </c>
      <c r="Y142" s="21">
        <f t="shared" si="29"/>
        <v>37.264647555750358</v>
      </c>
      <c r="Z142" s="21">
        <f t="shared" si="29"/>
        <v>37.406752307955792</v>
      </c>
      <c r="AA142" s="21">
        <f t="shared" si="29"/>
        <v>37.548857060161225</v>
      </c>
      <c r="AB142" s="21">
        <f t="shared" si="29"/>
        <v>37.690961812366659</v>
      </c>
      <c r="AC142" s="21">
        <f t="shared" si="29"/>
        <v>37.833066564572093</v>
      </c>
      <c r="AD142" s="21">
        <f t="shared" si="29"/>
        <v>37.915304907281183</v>
      </c>
      <c r="AE142" s="21">
        <f t="shared" si="29"/>
        <v>37.997543249990265</v>
      </c>
      <c r="AF142" s="21">
        <f t="shared" si="29"/>
        <v>38.079781592699355</v>
      </c>
      <c r="AG142" s="21">
        <f t="shared" si="29"/>
        <v>38.162019935408445</v>
      </c>
      <c r="AH142" s="21">
        <f t="shared" si="29"/>
        <v>38.244258278117535</v>
      </c>
      <c r="AI142" s="22">
        <f t="shared" ref="AI142:BB142" si="30">AH142</f>
        <v>38.244258278117535</v>
      </c>
      <c r="AJ142" s="22">
        <f t="shared" si="30"/>
        <v>38.244258278117535</v>
      </c>
      <c r="AK142" s="22">
        <f t="shared" si="30"/>
        <v>38.244258278117535</v>
      </c>
      <c r="AL142" s="22">
        <f t="shared" si="30"/>
        <v>38.244258278117535</v>
      </c>
      <c r="AM142" s="22">
        <f t="shared" si="30"/>
        <v>38.244258278117535</v>
      </c>
      <c r="AN142" s="22">
        <f t="shared" si="30"/>
        <v>38.244258278117535</v>
      </c>
      <c r="AO142" s="22">
        <f t="shared" si="30"/>
        <v>38.244258278117535</v>
      </c>
      <c r="AP142" s="22">
        <f t="shared" si="30"/>
        <v>38.244258278117535</v>
      </c>
      <c r="AQ142" s="22">
        <f t="shared" si="30"/>
        <v>38.244258278117535</v>
      </c>
      <c r="AR142" s="22">
        <f t="shared" si="30"/>
        <v>38.244258278117535</v>
      </c>
      <c r="AS142" s="22">
        <f t="shared" si="30"/>
        <v>38.244258278117535</v>
      </c>
      <c r="AT142" s="22">
        <f t="shared" si="30"/>
        <v>38.244258278117535</v>
      </c>
      <c r="AU142" s="22">
        <f t="shared" si="30"/>
        <v>38.244258278117535</v>
      </c>
      <c r="AV142" s="22">
        <f t="shared" si="30"/>
        <v>38.244258278117535</v>
      </c>
      <c r="AW142" s="22">
        <f t="shared" si="30"/>
        <v>38.244258278117535</v>
      </c>
      <c r="AX142" s="22">
        <f t="shared" si="30"/>
        <v>38.244258278117535</v>
      </c>
      <c r="AY142" s="22">
        <f t="shared" si="30"/>
        <v>38.244258278117535</v>
      </c>
      <c r="AZ142" s="22">
        <f t="shared" si="30"/>
        <v>38.244258278117535</v>
      </c>
      <c r="BA142" s="22">
        <f t="shared" si="30"/>
        <v>38.244258278117535</v>
      </c>
      <c r="BB142" s="22">
        <f t="shared" si="30"/>
        <v>38.244258278117535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7C631-9E4B-4F48-B8E8-51C6BC2DF3FA}">
  <dimension ref="A1:AL29"/>
  <sheetViews>
    <sheetView workbookViewId="0"/>
  </sheetViews>
  <sheetFormatPr defaultRowHeight="14.4" x14ac:dyDescent="0.3"/>
  <cols>
    <col min="2" max="2" width="10.6640625" bestFit="1" customWidth="1"/>
    <col min="3" max="3" width="28.109375" bestFit="1" customWidth="1"/>
    <col min="4" max="4" width="26.109375" bestFit="1" customWidth="1"/>
    <col min="5" max="5" width="16.33203125" bestFit="1" customWidth="1"/>
  </cols>
  <sheetData>
    <row r="1" spans="1:38" x14ac:dyDescent="0.3">
      <c r="A1" t="s">
        <v>815</v>
      </c>
    </row>
    <row r="2" spans="1:38" x14ac:dyDescent="0.3">
      <c r="A2" s="1" t="s">
        <v>512</v>
      </c>
      <c r="B2" s="25" t="s">
        <v>118</v>
      </c>
      <c r="C2" s="26"/>
      <c r="D2" s="26"/>
      <c r="E2" s="26"/>
      <c r="F2" s="27">
        <v>2020</v>
      </c>
      <c r="G2" s="27">
        <v>2021</v>
      </c>
      <c r="H2" s="27">
        <v>2022</v>
      </c>
      <c r="I2" s="27">
        <v>2023</v>
      </c>
      <c r="J2" s="27">
        <v>2024</v>
      </c>
      <c r="K2" s="27">
        <v>2025</v>
      </c>
      <c r="L2" s="27">
        <v>2026</v>
      </c>
      <c r="M2" s="27">
        <v>2027</v>
      </c>
      <c r="N2" s="27">
        <v>2028</v>
      </c>
      <c r="O2" s="27">
        <v>2029</v>
      </c>
      <c r="P2" s="27">
        <v>2030</v>
      </c>
      <c r="Q2" s="27">
        <v>2031</v>
      </c>
      <c r="R2" s="27">
        <v>2032</v>
      </c>
      <c r="S2" s="27">
        <v>2033</v>
      </c>
      <c r="T2" s="27">
        <v>2034</v>
      </c>
      <c r="U2" s="27">
        <v>2035</v>
      </c>
      <c r="V2" s="27">
        <v>2036</v>
      </c>
      <c r="W2" s="27">
        <v>2037</v>
      </c>
      <c r="X2" s="27">
        <v>2038</v>
      </c>
      <c r="Y2" s="27">
        <v>2039</v>
      </c>
      <c r="Z2" s="27">
        <v>2040</v>
      </c>
      <c r="AA2" s="27">
        <v>2041</v>
      </c>
      <c r="AB2" s="27">
        <v>2042</v>
      </c>
      <c r="AC2" s="27">
        <v>2043</v>
      </c>
      <c r="AD2" s="27">
        <v>2044</v>
      </c>
      <c r="AE2" s="27">
        <v>2045</v>
      </c>
      <c r="AF2" s="27">
        <v>2046</v>
      </c>
      <c r="AG2" s="27">
        <v>2047</v>
      </c>
      <c r="AH2" s="27">
        <v>2048</v>
      </c>
      <c r="AI2" s="27">
        <v>2049</v>
      </c>
      <c r="AJ2" s="27">
        <v>2050</v>
      </c>
      <c r="AK2" s="27" t="s">
        <v>119</v>
      </c>
      <c r="AL2" s="27" t="s">
        <v>120</v>
      </c>
    </row>
    <row r="3" spans="1:38" x14ac:dyDescent="0.3">
      <c r="A3" t="str">
        <f>VLOOKUP(B3,'Country codes'!$A$1:$B$28,2,FALSE)</f>
        <v>AT</v>
      </c>
      <c r="B3" s="23" t="s">
        <v>90</v>
      </c>
      <c r="C3" s="24" t="s">
        <v>121</v>
      </c>
      <c r="D3" s="28" t="s">
        <v>122</v>
      </c>
      <c r="E3" s="29" t="s">
        <v>733</v>
      </c>
      <c r="F3" s="30">
        <v>7.3283918328876752</v>
      </c>
      <c r="G3" s="30">
        <f>F3+(($K3-$F3)/5)</f>
        <v>7.9813991037456828</v>
      </c>
      <c r="H3" s="30">
        <f t="shared" ref="H3:J3" si="0">G3+(($K3-$F3)/5)</f>
        <v>8.6344063746036905</v>
      </c>
      <c r="I3" s="30">
        <f t="shared" si="0"/>
        <v>9.2874136454616973</v>
      </c>
      <c r="J3" s="30">
        <f t="shared" si="0"/>
        <v>9.9404209163197041</v>
      </c>
      <c r="K3" s="30">
        <v>10.593428187177713</v>
      </c>
      <c r="L3" s="30">
        <f>K3+(($P3-$K3)/5)</f>
        <v>10.620532841371908</v>
      </c>
      <c r="M3" s="30">
        <f t="shared" ref="M3:O3" si="1">L3+(($P3-$K3)/5)</f>
        <v>10.647637495566103</v>
      </c>
      <c r="N3" s="30">
        <f t="shared" si="1"/>
        <v>10.674742149760299</v>
      </c>
      <c r="O3" s="30">
        <f t="shared" si="1"/>
        <v>10.701846803954494</v>
      </c>
      <c r="P3" s="30">
        <v>10.728951458148687</v>
      </c>
      <c r="Q3" s="30">
        <f>P3+(($U3-$P3)/5)</f>
        <v>10.805432944515713</v>
      </c>
      <c r="R3" s="30">
        <f t="shared" ref="R3:T3" si="2">Q3+(($U3-$P3)/5)</f>
        <v>10.881914430882739</v>
      </c>
      <c r="S3" s="30">
        <f t="shared" si="2"/>
        <v>10.958395917249765</v>
      </c>
      <c r="T3" s="30">
        <f t="shared" si="2"/>
        <v>11.034877403616791</v>
      </c>
      <c r="U3" s="30">
        <v>11.111358889983821</v>
      </c>
      <c r="V3" s="30">
        <f>U3+(($Z3-$U3)/5)</f>
        <v>11.210012094633434</v>
      </c>
      <c r="W3" s="30">
        <f t="shared" ref="W3:Y3" si="3">V3+(($Z3-$U3)/5)</f>
        <v>11.308665299283048</v>
      </c>
      <c r="X3" s="30">
        <f t="shared" si="3"/>
        <v>11.407318503932661</v>
      </c>
      <c r="Y3" s="30">
        <f t="shared" si="3"/>
        <v>11.505971708582274</v>
      </c>
      <c r="Z3" s="30">
        <v>11.604624913231886</v>
      </c>
      <c r="AA3" s="30">
        <f>Z3+(($AE3-$Z3)/5)</f>
        <v>11.679724361036294</v>
      </c>
      <c r="AB3" s="30">
        <f t="shared" ref="AB3:AD3" si="4">AA3+(($AE3-$Z3)/5)</f>
        <v>11.754823808840703</v>
      </c>
      <c r="AC3" s="30">
        <f t="shared" si="4"/>
        <v>11.829923256645111</v>
      </c>
      <c r="AD3" s="30">
        <f t="shared" si="4"/>
        <v>11.90502270444952</v>
      </c>
      <c r="AE3" s="30">
        <v>11.980122152253928</v>
      </c>
      <c r="AF3" s="30">
        <f>AE3+(($AJ3-$AE3)/5)</f>
        <v>12.047465584202618</v>
      </c>
      <c r="AG3" s="30">
        <f t="shared" ref="AG3:AI3" si="5">AF3+(($AJ3-$AE3)/5)</f>
        <v>12.114809016151307</v>
      </c>
      <c r="AH3" s="30">
        <f t="shared" si="5"/>
        <v>12.182152448099997</v>
      </c>
      <c r="AI3" s="30">
        <f t="shared" si="5"/>
        <v>12.249495880048686</v>
      </c>
      <c r="AJ3" s="30">
        <v>12.316839311997379</v>
      </c>
      <c r="AK3" s="31">
        <v>3.885482168916643</v>
      </c>
      <c r="AL3" s="31">
        <v>0.69249445329879755</v>
      </c>
    </row>
    <row r="4" spans="1:38" x14ac:dyDescent="0.3">
      <c r="A4" t="str">
        <f>VLOOKUP(B4,'Country codes'!$A$1:$B$28,2,FALSE)</f>
        <v>BE</v>
      </c>
      <c r="B4" s="23" t="s">
        <v>91</v>
      </c>
      <c r="C4" s="24" t="s">
        <v>121</v>
      </c>
      <c r="D4" s="28" t="s">
        <v>122</v>
      </c>
      <c r="E4" s="29" t="s">
        <v>733</v>
      </c>
      <c r="F4" s="30">
        <v>8.4557702018460219</v>
      </c>
      <c r="G4" s="30">
        <f t="shared" ref="G4:J4" si="6">F4+(($K4-$F4)/5)</f>
        <v>9.4548630049206928</v>
      </c>
      <c r="H4" s="30">
        <f t="shared" si="6"/>
        <v>10.453955807995364</v>
      </c>
      <c r="I4" s="30">
        <f t="shared" si="6"/>
        <v>11.453048611070034</v>
      </c>
      <c r="J4" s="30">
        <f t="shared" si="6"/>
        <v>12.452141414144705</v>
      </c>
      <c r="K4" s="30">
        <v>13.451234217219376</v>
      </c>
      <c r="L4" s="30">
        <f t="shared" ref="L4:O4" si="7">K4+(($P4-$K4)/5)</f>
        <v>13.470045465327347</v>
      </c>
      <c r="M4" s="30">
        <f t="shared" si="7"/>
        <v>13.488856713435318</v>
      </c>
      <c r="N4" s="30">
        <f t="shared" si="7"/>
        <v>13.507667961543289</v>
      </c>
      <c r="O4" s="30">
        <f t="shared" si="7"/>
        <v>13.52647920965126</v>
      </c>
      <c r="P4" s="30">
        <v>13.545290457759229</v>
      </c>
      <c r="Q4" s="30">
        <f t="shared" ref="Q4:T4" si="8">P4+(($U4-$P4)/5)</f>
        <v>13.522234655935257</v>
      </c>
      <c r="R4" s="30">
        <f t="shared" si="8"/>
        <v>13.499178854111285</v>
      </c>
      <c r="S4" s="30">
        <f t="shared" si="8"/>
        <v>13.476123052287313</v>
      </c>
      <c r="T4" s="30">
        <f t="shared" si="8"/>
        <v>13.453067250463342</v>
      </c>
      <c r="U4" s="30">
        <v>13.430011448639368</v>
      </c>
      <c r="V4" s="30">
        <f t="shared" ref="V4:Y4" si="9">U4+(($Z4-$U4)/5)</f>
        <v>13.45227797456573</v>
      </c>
      <c r="W4" s="30">
        <f t="shared" si="9"/>
        <v>13.474544500492092</v>
      </c>
      <c r="X4" s="30">
        <f t="shared" si="9"/>
        <v>13.496811026418454</v>
      </c>
      <c r="Y4" s="30">
        <f t="shared" si="9"/>
        <v>13.519077552344816</v>
      </c>
      <c r="Z4" s="30">
        <v>13.54134407827118</v>
      </c>
      <c r="AA4" s="30">
        <f t="shared" ref="AA4:AD4" si="10">Z4+(($AE4-$Z4)/5)</f>
        <v>13.556417149252917</v>
      </c>
      <c r="AB4" s="30">
        <f t="shared" si="10"/>
        <v>13.571490220234654</v>
      </c>
      <c r="AC4" s="30">
        <f t="shared" si="10"/>
        <v>13.586563291216391</v>
      </c>
      <c r="AD4" s="30">
        <f t="shared" si="10"/>
        <v>13.601636362198128</v>
      </c>
      <c r="AE4" s="30">
        <v>13.616709433179867</v>
      </c>
      <c r="AF4" s="30">
        <f t="shared" ref="AF4:AI4" si="11">AE4+(($AJ4-$AE4)/5)</f>
        <v>13.626510497255312</v>
      </c>
      <c r="AG4" s="30">
        <f t="shared" si="11"/>
        <v>13.636311561330757</v>
      </c>
      <c r="AH4" s="30">
        <f t="shared" si="11"/>
        <v>13.646112625406202</v>
      </c>
      <c r="AI4" s="30">
        <f t="shared" si="11"/>
        <v>13.655913689481647</v>
      </c>
      <c r="AJ4" s="30">
        <v>13.665714753557088</v>
      </c>
      <c r="AK4" s="31">
        <v>4.8246726957948738</v>
      </c>
      <c r="AL4" s="31">
        <v>4.4265815494881622E-2</v>
      </c>
    </row>
    <row r="5" spans="1:38" x14ac:dyDescent="0.3">
      <c r="A5" t="str">
        <f>VLOOKUP(B5,'Country codes'!$A$1:$B$28,2,FALSE)</f>
        <v>BG</v>
      </c>
      <c r="B5" s="23" t="s">
        <v>92</v>
      </c>
      <c r="C5" s="24" t="s">
        <v>121</v>
      </c>
      <c r="D5" s="28" t="s">
        <v>122</v>
      </c>
      <c r="E5" s="29" t="s">
        <v>733</v>
      </c>
      <c r="F5" s="30">
        <v>8.7748493895006696</v>
      </c>
      <c r="G5" s="30">
        <f t="shared" ref="G5:J5" si="12">F5+(($K5-$F5)/5)</f>
        <v>9.2969101583056393</v>
      </c>
      <c r="H5" s="30">
        <f t="shared" si="12"/>
        <v>9.8189709271106089</v>
      </c>
      <c r="I5" s="30">
        <f t="shared" si="12"/>
        <v>10.341031695915579</v>
      </c>
      <c r="J5" s="30">
        <f t="shared" si="12"/>
        <v>10.863092464720548</v>
      </c>
      <c r="K5" s="30">
        <v>11.385153233525516</v>
      </c>
      <c r="L5" s="30">
        <f t="shared" ref="L5:O5" si="13">K5+(($P5-$K5)/5)</f>
        <v>11.397570620850326</v>
      </c>
      <c r="M5" s="30">
        <f t="shared" si="13"/>
        <v>11.409988008175135</v>
      </c>
      <c r="N5" s="30">
        <f t="shared" si="13"/>
        <v>11.422405395499945</v>
      </c>
      <c r="O5" s="30">
        <f t="shared" si="13"/>
        <v>11.434822782824755</v>
      </c>
      <c r="P5" s="30">
        <v>11.447240170149561</v>
      </c>
      <c r="Q5" s="30">
        <f t="shared" ref="Q5:T5" si="14">P5+(($U5-$P5)/5)</f>
        <v>11.479980114392939</v>
      </c>
      <c r="R5" s="30">
        <f t="shared" si="14"/>
        <v>11.512720058636317</v>
      </c>
      <c r="S5" s="30">
        <f t="shared" si="14"/>
        <v>11.545460002879695</v>
      </c>
      <c r="T5" s="30">
        <f t="shared" si="14"/>
        <v>11.578199947123073</v>
      </c>
      <c r="U5" s="30">
        <v>11.610939891366451</v>
      </c>
      <c r="V5" s="30">
        <f t="shared" ref="V5:Y5" si="15">U5+(($Z5-$U5)/5)</f>
        <v>11.693867440645985</v>
      </c>
      <c r="W5" s="30">
        <f t="shared" si="15"/>
        <v>11.776794989925518</v>
      </c>
      <c r="X5" s="30">
        <f t="shared" si="15"/>
        <v>11.859722539205052</v>
      </c>
      <c r="Y5" s="30">
        <f t="shared" si="15"/>
        <v>11.942650088484585</v>
      </c>
      <c r="Z5" s="30">
        <v>12.025577637764115</v>
      </c>
      <c r="AA5" s="30">
        <f t="shared" ref="AA5:AD5" si="16">Z5+(($AE5-$Z5)/5)</f>
        <v>12.064278199119398</v>
      </c>
      <c r="AB5" s="30">
        <f t="shared" si="16"/>
        <v>12.102978760474681</v>
      </c>
      <c r="AC5" s="30">
        <f t="shared" si="16"/>
        <v>12.141679321829963</v>
      </c>
      <c r="AD5" s="30">
        <f t="shared" si="16"/>
        <v>12.180379883185246</v>
      </c>
      <c r="AE5" s="30">
        <v>12.219080444540531</v>
      </c>
      <c r="AF5" s="30">
        <f t="shared" ref="AF5:AI5" si="17">AE5+(($AJ5-$AE5)/5)</f>
        <v>12.243713647806127</v>
      </c>
      <c r="AG5" s="30">
        <f t="shared" si="17"/>
        <v>12.268346851071723</v>
      </c>
      <c r="AH5" s="30">
        <f t="shared" si="17"/>
        <v>12.292980054337319</v>
      </c>
      <c r="AI5" s="30">
        <f t="shared" si="17"/>
        <v>12.317613257602915</v>
      </c>
      <c r="AJ5" s="30">
        <v>12.342246460868511</v>
      </c>
      <c r="AK5" s="31">
        <v>2.6942464213319806</v>
      </c>
      <c r="AL5" s="31">
        <v>0.37710616879778058</v>
      </c>
    </row>
    <row r="6" spans="1:38" x14ac:dyDescent="0.3">
      <c r="A6" t="str">
        <f>VLOOKUP(B6,'Country codes'!$A$1:$B$28,2,FALSE)</f>
        <v>CY</v>
      </c>
      <c r="B6" s="23" t="s">
        <v>93</v>
      </c>
      <c r="C6" s="24" t="s">
        <v>121</v>
      </c>
      <c r="D6" s="28" t="s">
        <v>122</v>
      </c>
      <c r="E6" s="29" t="s">
        <v>733</v>
      </c>
      <c r="F6" s="30">
        <v>0.99815304027719365</v>
      </c>
      <c r="G6" s="30">
        <f t="shared" ref="G6:J6" si="18">F6+(($K6-$F6)/5)</f>
        <v>1.0869337355582378</v>
      </c>
      <c r="H6" s="30">
        <f t="shared" si="18"/>
        <v>1.175714430839282</v>
      </c>
      <c r="I6" s="30">
        <f t="shared" si="18"/>
        <v>1.2644951261203261</v>
      </c>
      <c r="J6" s="30">
        <f t="shared" si="18"/>
        <v>1.3532758214013703</v>
      </c>
      <c r="K6" s="30">
        <v>1.4420565166824144</v>
      </c>
      <c r="L6" s="30">
        <f t="shared" ref="L6:O6" si="19">K6+(($P6-$K6)/5)</f>
        <v>1.4515839628782741</v>
      </c>
      <c r="M6" s="30">
        <f t="shared" si="19"/>
        <v>1.4611114090741337</v>
      </c>
      <c r="N6" s="30">
        <f t="shared" si="19"/>
        <v>1.4706388552699934</v>
      </c>
      <c r="O6" s="30">
        <f t="shared" si="19"/>
        <v>1.480166301465853</v>
      </c>
      <c r="P6" s="30">
        <v>1.4896937476617123</v>
      </c>
      <c r="Q6" s="30">
        <f t="shared" ref="Q6:T6" si="20">P6+(($U6-$P6)/5)</f>
        <v>1.5018409220627149</v>
      </c>
      <c r="R6" s="30">
        <f t="shared" si="20"/>
        <v>1.5139880964637176</v>
      </c>
      <c r="S6" s="30">
        <f t="shared" si="20"/>
        <v>1.5261352708647202</v>
      </c>
      <c r="T6" s="30">
        <f t="shared" si="20"/>
        <v>1.5382824452657229</v>
      </c>
      <c r="U6" s="30">
        <v>1.5504296196667253</v>
      </c>
      <c r="V6" s="30">
        <f t="shared" ref="V6:Y6" si="21">U6+(($Z6-$U6)/5)</f>
        <v>1.5575316104260204</v>
      </c>
      <c r="W6" s="30">
        <f t="shared" si="21"/>
        <v>1.5646336011853155</v>
      </c>
      <c r="X6" s="30">
        <f t="shared" si="21"/>
        <v>1.5717355919446105</v>
      </c>
      <c r="Y6" s="30">
        <f t="shared" si="21"/>
        <v>1.5788375827039056</v>
      </c>
      <c r="Z6" s="30">
        <v>1.5859395734632007</v>
      </c>
      <c r="AA6" s="30">
        <f t="shared" ref="AA6:AD6" si="22">Z6+(($AE6-$Z6)/5)</f>
        <v>1.5998058940993574</v>
      </c>
      <c r="AB6" s="30">
        <f t="shared" si="22"/>
        <v>1.613672214735514</v>
      </c>
      <c r="AC6" s="30">
        <f t="shared" si="22"/>
        <v>1.6275385353716707</v>
      </c>
      <c r="AD6" s="30">
        <f t="shared" si="22"/>
        <v>1.6414048560078274</v>
      </c>
      <c r="AE6" s="30">
        <v>1.6552711766439836</v>
      </c>
      <c r="AF6" s="30">
        <f t="shared" ref="AF6:AI6" si="23">AE6+(($AJ6-$AE6)/5)</f>
        <v>1.6686402047463138</v>
      </c>
      <c r="AG6" s="30">
        <f t="shared" si="23"/>
        <v>1.682009232848644</v>
      </c>
      <c r="AH6" s="30">
        <f t="shared" si="23"/>
        <v>1.6953782609509742</v>
      </c>
      <c r="AI6" s="30">
        <f t="shared" si="23"/>
        <v>1.7087472890533044</v>
      </c>
      <c r="AJ6" s="30">
        <v>1.7221163171556342</v>
      </c>
      <c r="AK6" s="31">
        <v>4.0854408788688401</v>
      </c>
      <c r="AL6" s="31">
        <v>0.72755083902604767</v>
      </c>
    </row>
    <row r="7" spans="1:38" x14ac:dyDescent="0.3">
      <c r="A7" t="str">
        <f>VLOOKUP(B7,'Country codes'!$A$1:$B$28,2,FALSE)</f>
        <v>CZ</v>
      </c>
      <c r="B7" s="23" t="s">
        <v>94</v>
      </c>
      <c r="C7" s="24" t="s">
        <v>121</v>
      </c>
      <c r="D7" s="28" t="s">
        <v>122</v>
      </c>
      <c r="E7" s="29" t="s">
        <v>733</v>
      </c>
      <c r="F7" s="30">
        <v>14.134838668773931</v>
      </c>
      <c r="G7" s="30">
        <f t="shared" ref="G7:J7" si="24">F7+(($K7-$F7)/5)</f>
        <v>15.073812317527002</v>
      </c>
      <c r="H7" s="30">
        <f t="shared" si="24"/>
        <v>16.012785966280074</v>
      </c>
      <c r="I7" s="30">
        <f t="shared" si="24"/>
        <v>16.951759615033147</v>
      </c>
      <c r="J7" s="30">
        <f t="shared" si="24"/>
        <v>17.89073326378622</v>
      </c>
      <c r="K7" s="30">
        <v>18.82970691253929</v>
      </c>
      <c r="L7" s="30">
        <f t="shared" ref="L7:O7" si="25">K7+(($P7-$K7)/5)</f>
        <v>19.406417949447849</v>
      </c>
      <c r="M7" s="30">
        <f t="shared" si="25"/>
        <v>19.983128986356409</v>
      </c>
      <c r="N7" s="30">
        <f t="shared" si="25"/>
        <v>20.559840023264968</v>
      </c>
      <c r="O7" s="30">
        <f t="shared" si="25"/>
        <v>21.136551060173527</v>
      </c>
      <c r="P7" s="30">
        <v>21.713262097082087</v>
      </c>
      <c r="Q7" s="30">
        <f t="shared" ref="Q7:T7" si="26">P7+(($U7-$P7)/5)</f>
        <v>21.811921935650098</v>
      </c>
      <c r="R7" s="30">
        <f t="shared" si="26"/>
        <v>21.910581774218109</v>
      </c>
      <c r="S7" s="30">
        <f t="shared" si="26"/>
        <v>22.00924161278612</v>
      </c>
      <c r="T7" s="30">
        <f t="shared" si="26"/>
        <v>22.107901451354131</v>
      </c>
      <c r="U7" s="30">
        <v>22.206561289922139</v>
      </c>
      <c r="V7" s="30">
        <f t="shared" ref="V7:Y7" si="27">U7+(($Z7-$U7)/5)</f>
        <v>22.405824323671496</v>
      </c>
      <c r="W7" s="30">
        <f t="shared" si="27"/>
        <v>22.605087357420853</v>
      </c>
      <c r="X7" s="30">
        <f t="shared" si="27"/>
        <v>22.80435039117021</v>
      </c>
      <c r="Y7" s="30">
        <f t="shared" si="27"/>
        <v>23.003613424919568</v>
      </c>
      <c r="Z7" s="30">
        <v>23.202876458668918</v>
      </c>
      <c r="AA7" s="30">
        <f t="shared" ref="AA7:AD7" si="28">Z7+(($AE7-$Z7)/5)</f>
        <v>23.376649210528935</v>
      </c>
      <c r="AB7" s="30">
        <f t="shared" si="28"/>
        <v>23.550421962388953</v>
      </c>
      <c r="AC7" s="30">
        <f t="shared" si="28"/>
        <v>23.72419471424897</v>
      </c>
      <c r="AD7" s="30">
        <f t="shared" si="28"/>
        <v>23.897967466108987</v>
      </c>
      <c r="AE7" s="30">
        <v>24.071740217969008</v>
      </c>
      <c r="AF7" s="30">
        <f t="shared" ref="AF7:AI7" si="29">AE7+(($AJ7-$AE7)/5)</f>
        <v>24.2144182794495</v>
      </c>
      <c r="AG7" s="30">
        <f t="shared" si="29"/>
        <v>24.357096340929992</v>
      </c>
      <c r="AH7" s="30">
        <f t="shared" si="29"/>
        <v>24.499774402410484</v>
      </c>
      <c r="AI7" s="30">
        <f t="shared" si="29"/>
        <v>24.642452463890976</v>
      </c>
      <c r="AJ7" s="30">
        <v>24.785130525371475</v>
      </c>
      <c r="AK7" s="31">
        <v>4.3862802185224092</v>
      </c>
      <c r="AL7" s="31">
        <v>0.66379676622481121</v>
      </c>
    </row>
    <row r="8" spans="1:38" x14ac:dyDescent="0.3">
      <c r="A8" t="str">
        <f>VLOOKUP(B8,'Country codes'!$A$1:$B$28,2,FALSE)</f>
        <v>DE</v>
      </c>
      <c r="B8" s="23" t="s">
        <v>95</v>
      </c>
      <c r="C8" s="24" t="s">
        <v>121</v>
      </c>
      <c r="D8" s="28" t="s">
        <v>122</v>
      </c>
      <c r="E8" s="29" t="s">
        <v>733</v>
      </c>
      <c r="F8" s="30">
        <v>51.469980693450779</v>
      </c>
      <c r="G8" s="30">
        <f t="shared" ref="G8:J8" si="30">F8+(($K8-$F8)/5)</f>
        <v>53.929947151267605</v>
      </c>
      <c r="H8" s="30">
        <f t="shared" si="30"/>
        <v>56.389913609084431</v>
      </c>
      <c r="I8" s="30">
        <f t="shared" si="30"/>
        <v>58.849880066901257</v>
      </c>
      <c r="J8" s="30">
        <f t="shared" si="30"/>
        <v>61.309846524718083</v>
      </c>
      <c r="K8" s="30">
        <v>63.769812982534916</v>
      </c>
      <c r="L8" s="30">
        <f t="shared" ref="L8:O8" si="31">K8+(($P8-$K8)/5)</f>
        <v>64.707825850441424</v>
      </c>
      <c r="M8" s="30">
        <f t="shared" si="31"/>
        <v>65.645838718347932</v>
      </c>
      <c r="N8" s="30">
        <f t="shared" si="31"/>
        <v>66.58385158625444</v>
      </c>
      <c r="O8" s="30">
        <f t="shared" si="31"/>
        <v>67.521864454160948</v>
      </c>
      <c r="P8" s="30">
        <v>68.459877322067427</v>
      </c>
      <c r="Q8" s="30">
        <f t="shared" ref="Q8:T8" si="32">P8+(($U8-$P8)/5)</f>
        <v>68.446435892104233</v>
      </c>
      <c r="R8" s="30">
        <f t="shared" si="32"/>
        <v>68.432994462141039</v>
      </c>
      <c r="S8" s="30">
        <f t="shared" si="32"/>
        <v>68.419553032177845</v>
      </c>
      <c r="T8" s="30">
        <f t="shared" si="32"/>
        <v>68.406111602214651</v>
      </c>
      <c r="U8" s="30">
        <v>68.392670172251485</v>
      </c>
      <c r="V8" s="30">
        <f t="shared" ref="V8:Y8" si="33">U8+(($Z8-$U8)/5)</f>
        <v>68.834000032537148</v>
      </c>
      <c r="W8" s="30">
        <f t="shared" si="33"/>
        <v>69.275329892822811</v>
      </c>
      <c r="X8" s="30">
        <f t="shared" si="33"/>
        <v>69.716659753108473</v>
      </c>
      <c r="Y8" s="30">
        <f t="shared" si="33"/>
        <v>70.157989613394136</v>
      </c>
      <c r="Z8" s="30">
        <v>70.599319473679827</v>
      </c>
      <c r="AA8" s="30">
        <f t="shared" ref="AA8:AD8" si="34">Z8+(($AE8-$Z8)/5)</f>
        <v>70.89927884258887</v>
      </c>
      <c r="AB8" s="30">
        <f t="shared" si="34"/>
        <v>71.199238211497914</v>
      </c>
      <c r="AC8" s="30">
        <f t="shared" si="34"/>
        <v>71.499197580406957</v>
      </c>
      <c r="AD8" s="30">
        <f t="shared" si="34"/>
        <v>71.799156949316</v>
      </c>
      <c r="AE8" s="30">
        <v>72.099116318225057</v>
      </c>
      <c r="AF8" s="30">
        <f t="shared" ref="AF8:AI8" si="35">AE8+(($AJ8-$AE8)/5)</f>
        <v>72.167602696688945</v>
      </c>
      <c r="AG8" s="30">
        <f t="shared" si="35"/>
        <v>72.236089075152833</v>
      </c>
      <c r="AH8" s="30">
        <f t="shared" si="35"/>
        <v>72.304575453616721</v>
      </c>
      <c r="AI8" s="30">
        <f t="shared" si="35"/>
        <v>72.373061832080609</v>
      </c>
      <c r="AJ8" s="30">
        <v>72.441548210544468</v>
      </c>
      <c r="AK8" s="31">
        <v>2.8935641566934178</v>
      </c>
      <c r="AL8" s="31">
        <v>0.28306068219376979</v>
      </c>
    </row>
    <row r="9" spans="1:38" x14ac:dyDescent="0.3">
      <c r="A9" t="str">
        <f>VLOOKUP(B9,'Country codes'!$A$1:$B$28,2,FALSE)</f>
        <v>DK</v>
      </c>
      <c r="B9" s="23" t="s">
        <v>96</v>
      </c>
      <c r="C9" s="24" t="s">
        <v>121</v>
      </c>
      <c r="D9" s="28" t="s">
        <v>122</v>
      </c>
      <c r="E9" s="29" t="s">
        <v>733</v>
      </c>
      <c r="F9" s="30">
        <v>6.9601549391960233</v>
      </c>
      <c r="G9" s="30">
        <f t="shared" ref="G9:J9" si="36">F9+(($K9-$F9)/5)</f>
        <v>7.1321899989370001</v>
      </c>
      <c r="H9" s="30">
        <f t="shared" si="36"/>
        <v>7.3042250586779769</v>
      </c>
      <c r="I9" s="30">
        <f t="shared" si="36"/>
        <v>7.4762601184189537</v>
      </c>
      <c r="J9" s="30">
        <f t="shared" si="36"/>
        <v>7.6482951781599304</v>
      </c>
      <c r="K9" s="30">
        <v>7.8203302379009072</v>
      </c>
      <c r="L9" s="30">
        <f t="shared" ref="L9:O9" si="37">K9+(($P9-$K9)/5)</f>
        <v>7.9194407024767166</v>
      </c>
      <c r="M9" s="30">
        <f t="shared" si="37"/>
        <v>8.0185511670525251</v>
      </c>
      <c r="N9" s="30">
        <f t="shared" si="37"/>
        <v>8.1176616316283337</v>
      </c>
      <c r="O9" s="30">
        <f t="shared" si="37"/>
        <v>8.2167720962041422</v>
      </c>
      <c r="P9" s="30">
        <v>8.3158825607799525</v>
      </c>
      <c r="Q9" s="30">
        <f t="shared" ref="Q9:T9" si="38">P9+(($U9-$P9)/5)</f>
        <v>8.3485093223553282</v>
      </c>
      <c r="R9" s="30">
        <f t="shared" si="38"/>
        <v>8.3811360839307039</v>
      </c>
      <c r="S9" s="30">
        <f t="shared" si="38"/>
        <v>8.4137628455060796</v>
      </c>
      <c r="T9" s="30">
        <f t="shared" si="38"/>
        <v>8.4463896070814553</v>
      </c>
      <c r="U9" s="30">
        <v>8.4790163686568309</v>
      </c>
      <c r="V9" s="30">
        <f t="shared" ref="V9:Y9" si="39">U9+(($Z9-$U9)/5)</f>
        <v>8.505265241854179</v>
      </c>
      <c r="W9" s="30">
        <f t="shared" si="39"/>
        <v>8.531514115051527</v>
      </c>
      <c r="X9" s="30">
        <f t="shared" si="39"/>
        <v>8.557762988248875</v>
      </c>
      <c r="Y9" s="30">
        <f t="shared" si="39"/>
        <v>8.5840118614462231</v>
      </c>
      <c r="Z9" s="30">
        <v>8.6102607346435676</v>
      </c>
      <c r="AA9" s="30">
        <f t="shared" ref="AA9:AD9" si="40">Z9+(($AE9-$Z9)/5)</f>
        <v>8.6358540393721022</v>
      </c>
      <c r="AB9" s="30">
        <f t="shared" si="40"/>
        <v>8.6614473441006368</v>
      </c>
      <c r="AC9" s="30">
        <f t="shared" si="40"/>
        <v>8.6870406488291714</v>
      </c>
      <c r="AD9" s="30">
        <f t="shared" si="40"/>
        <v>8.712633953557706</v>
      </c>
      <c r="AE9" s="30">
        <v>8.7382272582862388</v>
      </c>
      <c r="AF9" s="30">
        <f t="shared" ref="AF9:AI9" si="41">AE9+(($AJ9-$AE9)/5)</f>
        <v>8.7623440181843684</v>
      </c>
      <c r="AG9" s="30">
        <f t="shared" si="41"/>
        <v>8.7864607780824979</v>
      </c>
      <c r="AH9" s="30">
        <f t="shared" si="41"/>
        <v>8.8105775379806275</v>
      </c>
      <c r="AI9" s="30">
        <f t="shared" si="41"/>
        <v>8.834694297878757</v>
      </c>
      <c r="AJ9" s="30">
        <v>8.8588110577768902</v>
      </c>
      <c r="AK9" s="31">
        <v>1.7955853458667237</v>
      </c>
      <c r="AL9" s="31">
        <v>0.31672710206256394</v>
      </c>
    </row>
    <row r="10" spans="1:38" x14ac:dyDescent="0.3">
      <c r="A10" t="str">
        <f>VLOOKUP(B10,'Country codes'!$A$1:$B$28,2,FALSE)</f>
        <v>EE</v>
      </c>
      <c r="B10" s="23" t="s">
        <v>97</v>
      </c>
      <c r="C10" s="24" t="s">
        <v>121</v>
      </c>
      <c r="D10" s="28" t="s">
        <v>122</v>
      </c>
      <c r="E10" s="29" t="s">
        <v>733</v>
      </c>
      <c r="F10" s="30">
        <v>2.657900411174658</v>
      </c>
      <c r="G10" s="30">
        <f t="shared" ref="G10:J10" si="42">F10+(($K10-$F10)/5)</f>
        <v>2.7621202651918653</v>
      </c>
      <c r="H10" s="30">
        <f t="shared" si="42"/>
        <v>2.8663401192090725</v>
      </c>
      <c r="I10" s="30">
        <f t="shared" si="42"/>
        <v>2.9705599732262797</v>
      </c>
      <c r="J10" s="30">
        <f t="shared" si="42"/>
        <v>3.074779827243487</v>
      </c>
      <c r="K10" s="30">
        <v>3.1789996812606947</v>
      </c>
      <c r="L10" s="30">
        <f t="shared" ref="L10:O10" si="43">K10+(($P10-$K10)/5)</f>
        <v>3.2493214646237343</v>
      </c>
      <c r="M10" s="30">
        <f t="shared" si="43"/>
        <v>3.3196432479867739</v>
      </c>
      <c r="N10" s="30">
        <f t="shared" si="43"/>
        <v>3.3899650313498135</v>
      </c>
      <c r="O10" s="30">
        <f t="shared" si="43"/>
        <v>3.4602868147128532</v>
      </c>
      <c r="P10" s="30">
        <v>3.5306085980758923</v>
      </c>
      <c r="Q10" s="30">
        <f t="shared" ref="Q10:T10" si="44">P10+(($U10-$P10)/5)</f>
        <v>3.5712312050742856</v>
      </c>
      <c r="R10" s="30">
        <f t="shared" si="44"/>
        <v>3.6118538120726789</v>
      </c>
      <c r="S10" s="30">
        <f t="shared" si="44"/>
        <v>3.6524764190710721</v>
      </c>
      <c r="T10" s="30">
        <f t="shared" si="44"/>
        <v>3.6930990260694654</v>
      </c>
      <c r="U10" s="30">
        <v>3.7337216330678586</v>
      </c>
      <c r="V10" s="30">
        <f t="shared" ref="V10:Y10" si="45">U10+(($Z10-$U10)/5)</f>
        <v>3.7625663467789727</v>
      </c>
      <c r="W10" s="30">
        <f t="shared" si="45"/>
        <v>3.7914110604900868</v>
      </c>
      <c r="X10" s="30">
        <f t="shared" si="45"/>
        <v>3.8202557742012009</v>
      </c>
      <c r="Y10" s="30">
        <f t="shared" si="45"/>
        <v>3.849100487912315</v>
      </c>
      <c r="Z10" s="30">
        <v>3.877945201623429</v>
      </c>
      <c r="AA10" s="30">
        <f t="shared" ref="AA10:AD10" si="46">Z10+(($AE10-$Z10)/5)</f>
        <v>3.8955683935421681</v>
      </c>
      <c r="AB10" s="30">
        <f t="shared" si="46"/>
        <v>3.9131915854609072</v>
      </c>
      <c r="AC10" s="30">
        <f t="shared" si="46"/>
        <v>3.9308147773796462</v>
      </c>
      <c r="AD10" s="30">
        <f t="shared" si="46"/>
        <v>3.9484379692983853</v>
      </c>
      <c r="AE10" s="30">
        <v>3.9660611612171248</v>
      </c>
      <c r="AF10" s="30">
        <f t="shared" ref="AF10:AI10" si="47">AE10+(($AJ10-$AE10)/5)</f>
        <v>3.9811575317547239</v>
      </c>
      <c r="AG10" s="30">
        <f t="shared" si="47"/>
        <v>3.9962539022923229</v>
      </c>
      <c r="AH10" s="30">
        <f t="shared" si="47"/>
        <v>4.0113502728299224</v>
      </c>
      <c r="AI10" s="30">
        <f t="shared" si="47"/>
        <v>4.0264466433675219</v>
      </c>
      <c r="AJ10" s="30">
        <v>4.0415430139051205</v>
      </c>
      <c r="AK10" s="31">
        <v>2.8800311361174558</v>
      </c>
      <c r="AL10" s="31">
        <v>0.67807000372726023</v>
      </c>
    </row>
    <row r="11" spans="1:38" x14ac:dyDescent="0.3">
      <c r="A11" t="str">
        <f>VLOOKUP(B11,'Country codes'!$A$1:$B$28,2,FALSE)</f>
        <v>ES</v>
      </c>
      <c r="B11" s="23" t="s">
        <v>98</v>
      </c>
      <c r="C11" s="24" t="s">
        <v>121</v>
      </c>
      <c r="D11" s="28" t="s">
        <v>122</v>
      </c>
      <c r="E11" s="29" t="s">
        <v>733</v>
      </c>
      <c r="F11" s="30">
        <v>17.726382861290094</v>
      </c>
      <c r="G11" s="30">
        <f t="shared" ref="G11:J11" si="48">F11+(($K11-$F11)/5)</f>
        <v>22.762733690590256</v>
      </c>
      <c r="H11" s="30">
        <f t="shared" si="48"/>
        <v>27.799084519890418</v>
      </c>
      <c r="I11" s="30">
        <f t="shared" si="48"/>
        <v>32.835435349190575</v>
      </c>
      <c r="J11" s="30">
        <f t="shared" si="48"/>
        <v>37.871786178490737</v>
      </c>
      <c r="K11" s="30">
        <v>42.908137007790899</v>
      </c>
      <c r="L11" s="30">
        <f t="shared" ref="L11:O11" si="49">K11+(($P11-$K11)/5)</f>
        <v>43.244515880322567</v>
      </c>
      <c r="M11" s="30">
        <f t="shared" si="49"/>
        <v>43.580894752854235</v>
      </c>
      <c r="N11" s="30">
        <f t="shared" si="49"/>
        <v>43.917273625385903</v>
      </c>
      <c r="O11" s="30">
        <f t="shared" si="49"/>
        <v>44.253652497917571</v>
      </c>
      <c r="P11" s="30">
        <v>44.590031370449246</v>
      </c>
      <c r="Q11" s="30">
        <f t="shared" ref="Q11:T11" si="50">P11+(($U11-$P11)/5)</f>
        <v>44.922220314813927</v>
      </c>
      <c r="R11" s="30">
        <f t="shared" si="50"/>
        <v>45.254409259178608</v>
      </c>
      <c r="S11" s="30">
        <f t="shared" si="50"/>
        <v>45.586598203543289</v>
      </c>
      <c r="T11" s="30">
        <f t="shared" si="50"/>
        <v>45.91878714790797</v>
      </c>
      <c r="U11" s="30">
        <v>46.250976092272666</v>
      </c>
      <c r="V11" s="30">
        <f t="shared" ref="V11:Y11" si="51">U11+(($Z11-$U11)/5)</f>
        <v>46.745235667220804</v>
      </c>
      <c r="W11" s="30">
        <f t="shared" si="51"/>
        <v>47.239495242168942</v>
      </c>
      <c r="X11" s="30">
        <f t="shared" si="51"/>
        <v>47.733754817117081</v>
      </c>
      <c r="Y11" s="30">
        <f t="shared" si="51"/>
        <v>48.228014392065219</v>
      </c>
      <c r="Z11" s="30">
        <v>48.722273967013344</v>
      </c>
      <c r="AA11" s="30">
        <f t="shared" ref="AA11:AD11" si="52">Z11+(($AE11-$Z11)/5)</f>
        <v>49.202957402988787</v>
      </c>
      <c r="AB11" s="30">
        <f t="shared" si="52"/>
        <v>49.68364083896423</v>
      </c>
      <c r="AC11" s="30">
        <f t="shared" si="52"/>
        <v>50.164324274939673</v>
      </c>
      <c r="AD11" s="30">
        <f t="shared" si="52"/>
        <v>50.645007710915117</v>
      </c>
      <c r="AE11" s="30">
        <v>51.125691146890546</v>
      </c>
      <c r="AF11" s="30">
        <f t="shared" ref="AF11:AI11" si="53">AE11+(($AJ11-$AE11)/5)</f>
        <v>51.58394562028198</v>
      </c>
      <c r="AG11" s="30">
        <f t="shared" si="53"/>
        <v>52.042200093673415</v>
      </c>
      <c r="AH11" s="30">
        <f t="shared" si="53"/>
        <v>52.50045456706485</v>
      </c>
      <c r="AI11" s="30">
        <f t="shared" si="53"/>
        <v>52.958709040456284</v>
      </c>
      <c r="AJ11" s="30">
        <v>53.416963513847733</v>
      </c>
      <c r="AK11" s="31">
        <v>9.6634148146292667</v>
      </c>
      <c r="AL11" s="31">
        <v>0.90718037373529459</v>
      </c>
    </row>
    <row r="12" spans="1:38" x14ac:dyDescent="0.3">
      <c r="A12" t="str">
        <f>VLOOKUP(B12,'Country codes'!$A$1:$B$28,2,FALSE)</f>
        <v>FI</v>
      </c>
      <c r="B12" s="23" t="s">
        <v>99</v>
      </c>
      <c r="C12" s="24" t="s">
        <v>121</v>
      </c>
      <c r="D12" s="28" t="s">
        <v>122</v>
      </c>
      <c r="E12" s="29" t="s">
        <v>733</v>
      </c>
      <c r="F12" s="30">
        <v>6.9603372000455694</v>
      </c>
      <c r="G12" s="30">
        <f t="shared" ref="G12:J12" si="54">F12+(($K12-$F12)/5)</f>
        <v>7.1891860974003805</v>
      </c>
      <c r="H12" s="30">
        <f t="shared" si="54"/>
        <v>7.4180349947551916</v>
      </c>
      <c r="I12" s="30">
        <f t="shared" si="54"/>
        <v>7.6468838921100026</v>
      </c>
      <c r="J12" s="30">
        <f t="shared" si="54"/>
        <v>7.8757327894648137</v>
      </c>
      <c r="K12" s="30">
        <v>8.1045816868196265</v>
      </c>
      <c r="L12" s="30">
        <f t="shared" ref="L12:O12" si="55">K12+(($P12-$K12)/5)</f>
        <v>8.1860617102892537</v>
      </c>
      <c r="M12" s="30">
        <f t="shared" si="55"/>
        <v>8.2675417337588808</v>
      </c>
      <c r="N12" s="30">
        <f t="shared" si="55"/>
        <v>8.3490217572285079</v>
      </c>
      <c r="O12" s="30">
        <f t="shared" si="55"/>
        <v>8.4305017806981351</v>
      </c>
      <c r="P12" s="30">
        <v>8.5119818041677622</v>
      </c>
      <c r="Q12" s="30">
        <f t="shared" ref="Q12:T12" si="56">P12+(($U12-$P12)/5)</f>
        <v>8.5385864826908335</v>
      </c>
      <c r="R12" s="30">
        <f t="shared" si="56"/>
        <v>8.5651911612139049</v>
      </c>
      <c r="S12" s="30">
        <f t="shared" si="56"/>
        <v>8.5917958397369762</v>
      </c>
      <c r="T12" s="30">
        <f t="shared" si="56"/>
        <v>8.6184005182600476</v>
      </c>
      <c r="U12" s="30">
        <v>8.645005196783119</v>
      </c>
      <c r="V12" s="30">
        <f t="shared" ref="V12:Y12" si="57">U12+(($Z12-$U12)/5)</f>
        <v>8.6808252132386254</v>
      </c>
      <c r="W12" s="30">
        <f t="shared" si="57"/>
        <v>8.7166452296941319</v>
      </c>
      <c r="X12" s="30">
        <f t="shared" si="57"/>
        <v>8.7524652461496384</v>
      </c>
      <c r="Y12" s="30">
        <f t="shared" si="57"/>
        <v>8.7882852626051449</v>
      </c>
      <c r="Z12" s="30">
        <v>8.8241052790606478</v>
      </c>
      <c r="AA12" s="30">
        <f t="shared" ref="AA12:AD12" si="58">Z12+(($AE12-$Z12)/5)</f>
        <v>8.8367595942684574</v>
      </c>
      <c r="AB12" s="30">
        <f t="shared" si="58"/>
        <v>8.8494139094762669</v>
      </c>
      <c r="AC12" s="30">
        <f t="shared" si="58"/>
        <v>8.8620682246840765</v>
      </c>
      <c r="AD12" s="30">
        <f t="shared" si="58"/>
        <v>8.8747225398918861</v>
      </c>
      <c r="AE12" s="30">
        <v>8.8873768550996974</v>
      </c>
      <c r="AF12" s="30">
        <f t="shared" ref="AF12:AI12" si="59">AE12+(($AJ12-$AE12)/5)</f>
        <v>8.8979900918233952</v>
      </c>
      <c r="AG12" s="30">
        <f t="shared" si="59"/>
        <v>8.9086033285470929</v>
      </c>
      <c r="AH12" s="30">
        <f t="shared" si="59"/>
        <v>8.9192165652707907</v>
      </c>
      <c r="AI12" s="30">
        <f t="shared" si="59"/>
        <v>8.9298298019944884</v>
      </c>
      <c r="AJ12" s="30">
        <v>8.9404430387181897</v>
      </c>
      <c r="AK12" s="31">
        <v>2.0328554156446632</v>
      </c>
      <c r="AL12" s="31">
        <v>0.24585347488401688</v>
      </c>
    </row>
    <row r="13" spans="1:38" x14ac:dyDescent="0.3">
      <c r="A13" t="str">
        <f>VLOOKUP(B13,'Country codes'!$A$1:$B$28,2,FALSE)</f>
        <v>FR</v>
      </c>
      <c r="B13" s="23" t="s">
        <v>100</v>
      </c>
      <c r="C13" s="24" t="s">
        <v>121</v>
      </c>
      <c r="D13" s="28" t="s">
        <v>122</v>
      </c>
      <c r="E13" s="29" t="s">
        <v>733</v>
      </c>
      <c r="F13" s="30">
        <v>27.118644002942389</v>
      </c>
      <c r="G13" s="30">
        <f t="shared" ref="G13:J13" si="60">F13+(($K13-$F13)/5)</f>
        <v>31.840447987634136</v>
      </c>
      <c r="H13" s="30">
        <f t="shared" si="60"/>
        <v>36.562251972325882</v>
      </c>
      <c r="I13" s="30">
        <f t="shared" si="60"/>
        <v>41.284055957017628</v>
      </c>
      <c r="J13" s="30">
        <f t="shared" si="60"/>
        <v>46.005859941709375</v>
      </c>
      <c r="K13" s="30">
        <v>50.727663926401114</v>
      </c>
      <c r="L13" s="30">
        <f t="shared" ref="L13:O13" si="61">K13+(($P13-$K13)/5)</f>
        <v>50.96619240060933</v>
      </c>
      <c r="M13" s="30">
        <f t="shared" si="61"/>
        <v>51.204720874817546</v>
      </c>
      <c r="N13" s="30">
        <f t="shared" si="61"/>
        <v>51.443249349025763</v>
      </c>
      <c r="O13" s="30">
        <f t="shared" si="61"/>
        <v>51.681777823233979</v>
      </c>
      <c r="P13" s="30">
        <v>51.92030629744221</v>
      </c>
      <c r="Q13" s="30">
        <f t="shared" ref="Q13:T13" si="62">P13+(($U13-$P13)/5)</f>
        <v>51.906046636981777</v>
      </c>
      <c r="R13" s="30">
        <f t="shared" si="62"/>
        <v>51.891786976521345</v>
      </c>
      <c r="S13" s="30">
        <f t="shared" si="62"/>
        <v>51.877527316060913</v>
      </c>
      <c r="T13" s="30">
        <f t="shared" si="62"/>
        <v>51.863267655600481</v>
      </c>
      <c r="U13" s="30">
        <v>51.849007995140042</v>
      </c>
      <c r="V13" s="30">
        <f t="shared" ref="V13:Y13" si="63">U13+(($Z13-$U13)/5)</f>
        <v>52.023302331845962</v>
      </c>
      <c r="W13" s="30">
        <f t="shared" si="63"/>
        <v>52.197596668551881</v>
      </c>
      <c r="X13" s="30">
        <f t="shared" si="63"/>
        <v>52.371891005257801</v>
      </c>
      <c r="Y13" s="30">
        <f t="shared" si="63"/>
        <v>52.546185341963721</v>
      </c>
      <c r="Z13" s="30">
        <v>52.720479678669626</v>
      </c>
      <c r="AA13" s="30">
        <f t="shared" ref="AA13:AD13" si="64">Z13+(($AE13-$Z13)/5)</f>
        <v>52.953167438096649</v>
      </c>
      <c r="AB13" s="30">
        <f t="shared" si="64"/>
        <v>53.185855197523672</v>
      </c>
      <c r="AC13" s="30">
        <f t="shared" si="64"/>
        <v>53.418542956950695</v>
      </c>
      <c r="AD13" s="30">
        <f t="shared" si="64"/>
        <v>53.651230716377718</v>
      </c>
      <c r="AE13" s="30">
        <v>53.883918475804741</v>
      </c>
      <c r="AF13" s="30">
        <f t="shared" ref="AF13:AI13" si="65">AE13+(($AJ13-$AE13)/5)</f>
        <v>54.053159922042362</v>
      </c>
      <c r="AG13" s="30">
        <f t="shared" si="65"/>
        <v>54.222401368279982</v>
      </c>
      <c r="AH13" s="30">
        <f t="shared" si="65"/>
        <v>54.391642814517603</v>
      </c>
      <c r="AI13" s="30">
        <f t="shared" si="65"/>
        <v>54.560884260755223</v>
      </c>
      <c r="AJ13" s="30">
        <v>54.730125706992851</v>
      </c>
      <c r="AK13" s="31">
        <v>6.7104441648169866</v>
      </c>
      <c r="AL13" s="31">
        <v>0.26386917460490267</v>
      </c>
    </row>
    <row r="14" spans="1:38" x14ac:dyDescent="0.3">
      <c r="A14" t="str">
        <f>VLOOKUP(B14,'Country codes'!$A$1:$B$28,2,FALSE)</f>
        <v>GR</v>
      </c>
      <c r="B14" s="23" t="s">
        <v>101</v>
      </c>
      <c r="C14" s="24" t="s">
        <v>121</v>
      </c>
      <c r="D14" s="28" t="s">
        <v>122</v>
      </c>
      <c r="E14" s="29" t="s">
        <v>733</v>
      </c>
      <c r="F14" s="30">
        <v>15.610713548382407</v>
      </c>
      <c r="G14" s="30">
        <f t="shared" ref="G14:J14" si="66">F14+(($K14-$F14)/5)</f>
        <v>16.621123722042139</v>
      </c>
      <c r="H14" s="30">
        <f t="shared" si="66"/>
        <v>17.631533895701871</v>
      </c>
      <c r="I14" s="30">
        <f t="shared" si="66"/>
        <v>18.641944069361603</v>
      </c>
      <c r="J14" s="30">
        <f t="shared" si="66"/>
        <v>19.652354243021335</v>
      </c>
      <c r="K14" s="30">
        <v>20.662764416681068</v>
      </c>
      <c r="L14" s="30">
        <f t="shared" ref="L14:O14" si="67">K14+(($P14-$K14)/5)</f>
        <v>20.877095396187926</v>
      </c>
      <c r="M14" s="30">
        <f t="shared" si="67"/>
        <v>21.091426375694784</v>
      </c>
      <c r="N14" s="30">
        <f t="shared" si="67"/>
        <v>21.305757355201642</v>
      </c>
      <c r="O14" s="30">
        <f t="shared" si="67"/>
        <v>21.5200883347085</v>
      </c>
      <c r="P14" s="30">
        <v>21.734419314215351</v>
      </c>
      <c r="Q14" s="30">
        <f t="shared" ref="Q14:T14" si="68">P14+(($U14-$P14)/5)</f>
        <v>21.830323923552431</v>
      </c>
      <c r="R14" s="30">
        <f t="shared" si="68"/>
        <v>21.92622853288951</v>
      </c>
      <c r="S14" s="30">
        <f t="shared" si="68"/>
        <v>22.02213314222659</v>
      </c>
      <c r="T14" s="30">
        <f t="shared" si="68"/>
        <v>22.118037751563669</v>
      </c>
      <c r="U14" s="30">
        <v>22.213942360900742</v>
      </c>
      <c r="V14" s="30">
        <f t="shared" ref="V14:Y14" si="69">U14+(($Z14-$U14)/5)</f>
        <v>22.47719515297976</v>
      </c>
      <c r="W14" s="30">
        <f t="shared" si="69"/>
        <v>22.740447945058779</v>
      </c>
      <c r="X14" s="30">
        <f t="shared" si="69"/>
        <v>23.003700737137798</v>
      </c>
      <c r="Y14" s="30">
        <f t="shared" si="69"/>
        <v>23.266953529216817</v>
      </c>
      <c r="Z14" s="30">
        <v>23.530206321295832</v>
      </c>
      <c r="AA14" s="30">
        <f t="shared" ref="AA14:AD14" si="70">Z14+(($AE14-$Z14)/5)</f>
        <v>23.625920249591811</v>
      </c>
      <c r="AB14" s="30">
        <f t="shared" si="70"/>
        <v>23.72163417788779</v>
      </c>
      <c r="AC14" s="30">
        <f t="shared" si="70"/>
        <v>23.817348106183768</v>
      </c>
      <c r="AD14" s="30">
        <f t="shared" si="70"/>
        <v>23.913062034479747</v>
      </c>
      <c r="AE14" s="30">
        <v>24.008775962775722</v>
      </c>
      <c r="AF14" s="30">
        <f t="shared" ref="AF14:AI14" si="71">AE14+(($AJ14-$AE14)/5)</f>
        <v>24.040430749490781</v>
      </c>
      <c r="AG14" s="30">
        <f t="shared" si="71"/>
        <v>24.07208553620584</v>
      </c>
      <c r="AH14" s="30">
        <f t="shared" si="71"/>
        <v>24.103740322920899</v>
      </c>
      <c r="AI14" s="30">
        <f t="shared" si="71"/>
        <v>24.135395109635958</v>
      </c>
      <c r="AJ14" s="30">
        <v>24.16704989635101</v>
      </c>
      <c r="AK14" s="31">
        <v>3.3647666859023984</v>
      </c>
      <c r="AL14" s="31">
        <v>0.53187437318811259</v>
      </c>
    </row>
    <row r="15" spans="1:38" x14ac:dyDescent="0.3">
      <c r="A15" t="str">
        <f>VLOOKUP(B15,'Country codes'!$A$1:$B$28,2,FALSE)</f>
        <v>HR</v>
      </c>
      <c r="B15" s="23" t="s">
        <v>102</v>
      </c>
      <c r="C15" s="24" t="s">
        <v>121</v>
      </c>
      <c r="D15" s="28" t="s">
        <v>122</v>
      </c>
      <c r="E15" s="29" t="s">
        <v>733</v>
      </c>
      <c r="F15" s="30">
        <v>2.8954157993477376</v>
      </c>
      <c r="G15" s="30">
        <f t="shared" ref="G15:J15" si="72">F15+(($K15-$F15)/5)</f>
        <v>3.1060620018211078</v>
      </c>
      <c r="H15" s="30">
        <f t="shared" si="72"/>
        <v>3.316708204294478</v>
      </c>
      <c r="I15" s="30">
        <f t="shared" si="72"/>
        <v>3.5273544067678482</v>
      </c>
      <c r="J15" s="30">
        <f t="shared" si="72"/>
        <v>3.7380006092412184</v>
      </c>
      <c r="K15" s="30">
        <v>3.9486468117145894</v>
      </c>
      <c r="L15" s="30">
        <f t="shared" ref="L15:O15" si="73">K15+(($P15-$K15)/5)</f>
        <v>3.9939747893758191</v>
      </c>
      <c r="M15" s="30">
        <f t="shared" si="73"/>
        <v>4.0393027670370483</v>
      </c>
      <c r="N15" s="30">
        <f t="shared" si="73"/>
        <v>4.0846307446982779</v>
      </c>
      <c r="O15" s="30">
        <f t="shared" si="73"/>
        <v>4.1299587223595076</v>
      </c>
      <c r="P15" s="30">
        <v>4.1752867000207372</v>
      </c>
      <c r="Q15" s="30">
        <f t="shared" ref="Q15:T15" si="74">P15+(($U15-$P15)/5)</f>
        <v>4.1878222722147704</v>
      </c>
      <c r="R15" s="30">
        <f t="shared" si="74"/>
        <v>4.2003578444088037</v>
      </c>
      <c r="S15" s="30">
        <f t="shared" si="74"/>
        <v>4.2128934166028369</v>
      </c>
      <c r="T15" s="30">
        <f t="shared" si="74"/>
        <v>4.2254289887968701</v>
      </c>
      <c r="U15" s="30">
        <v>4.2379645609909042</v>
      </c>
      <c r="V15" s="30">
        <f t="shared" ref="V15:Y15" si="75">U15+(($Z15-$U15)/5)</f>
        <v>4.2589884313427131</v>
      </c>
      <c r="W15" s="30">
        <f t="shared" si="75"/>
        <v>4.280012301694522</v>
      </c>
      <c r="X15" s="30">
        <f t="shared" si="75"/>
        <v>4.3010361720463308</v>
      </c>
      <c r="Y15" s="30">
        <f t="shared" si="75"/>
        <v>4.3220600423981397</v>
      </c>
      <c r="Z15" s="30">
        <v>4.3430839127499468</v>
      </c>
      <c r="AA15" s="30">
        <f t="shared" ref="AA15:AD15" si="76">Z15+(($AE15-$Z15)/5)</f>
        <v>4.3495189152848832</v>
      </c>
      <c r="AB15" s="30">
        <f t="shared" si="76"/>
        <v>4.3559539178198197</v>
      </c>
      <c r="AC15" s="30">
        <f t="shared" si="76"/>
        <v>4.3623889203547561</v>
      </c>
      <c r="AD15" s="30">
        <f t="shared" si="76"/>
        <v>4.3688239228896926</v>
      </c>
      <c r="AE15" s="30">
        <v>4.3752589254246308</v>
      </c>
      <c r="AF15" s="30">
        <f t="shared" ref="AF15:AI15" si="77">AE15+(($AJ15-$AE15)/5)</f>
        <v>4.3788417499753578</v>
      </c>
      <c r="AG15" s="30">
        <f t="shared" si="77"/>
        <v>4.3824245745260848</v>
      </c>
      <c r="AH15" s="30">
        <f t="shared" si="77"/>
        <v>4.3860073990768118</v>
      </c>
      <c r="AI15" s="30">
        <f t="shared" si="77"/>
        <v>4.3895902236275388</v>
      </c>
      <c r="AJ15" s="30">
        <v>4.393173048178264</v>
      </c>
      <c r="AK15" s="31">
        <v>3.7283658984055057</v>
      </c>
      <c r="AL15" s="31">
        <v>0.25466737490247304</v>
      </c>
    </row>
    <row r="16" spans="1:38" x14ac:dyDescent="0.3">
      <c r="A16" t="str">
        <f>VLOOKUP(B16,'Country codes'!$A$1:$B$28,2,FALSE)</f>
        <v>HU</v>
      </c>
      <c r="B16" s="23" t="s">
        <v>103</v>
      </c>
      <c r="C16" s="24" t="s">
        <v>121</v>
      </c>
      <c r="D16" s="28" t="s">
        <v>122</v>
      </c>
      <c r="E16" s="29" t="s">
        <v>733</v>
      </c>
      <c r="F16" s="30">
        <v>13.592218360298741</v>
      </c>
      <c r="G16" s="30">
        <f t="shared" ref="G16:J16" si="78">F16+(($K16-$F16)/5)</f>
        <v>14.518482070442603</v>
      </c>
      <c r="H16" s="30">
        <f t="shared" si="78"/>
        <v>15.444745780586466</v>
      </c>
      <c r="I16" s="30">
        <f t="shared" si="78"/>
        <v>16.371009490730327</v>
      </c>
      <c r="J16" s="30">
        <f t="shared" si="78"/>
        <v>17.297273200874187</v>
      </c>
      <c r="K16" s="30">
        <v>18.223536911018051</v>
      </c>
      <c r="L16" s="30">
        <f t="shared" ref="L16:O16" si="79">K16+(($P16-$K16)/5)</f>
        <v>18.613788943798593</v>
      </c>
      <c r="M16" s="30">
        <f t="shared" si="79"/>
        <v>19.004040976579134</v>
      </c>
      <c r="N16" s="30">
        <f t="shared" si="79"/>
        <v>19.394293009359675</v>
      </c>
      <c r="O16" s="30">
        <f t="shared" si="79"/>
        <v>19.784545042140216</v>
      </c>
      <c r="P16" s="30">
        <v>20.174797074920761</v>
      </c>
      <c r="Q16" s="30">
        <f t="shared" ref="Q16:T16" si="80">P16+(($U16-$P16)/5)</f>
        <v>20.263718837773094</v>
      </c>
      <c r="R16" s="30">
        <f t="shared" si="80"/>
        <v>20.352640600625428</v>
      </c>
      <c r="S16" s="30">
        <f t="shared" si="80"/>
        <v>20.441562363477761</v>
      </c>
      <c r="T16" s="30">
        <f t="shared" si="80"/>
        <v>20.530484126330094</v>
      </c>
      <c r="U16" s="30">
        <v>20.619405889182421</v>
      </c>
      <c r="V16" s="30">
        <f t="shared" ref="V16:Y16" si="81">U16+(($Z16-$U16)/5)</f>
        <v>20.800821671095949</v>
      </c>
      <c r="W16" s="30">
        <f t="shared" si="81"/>
        <v>20.982237453009478</v>
      </c>
      <c r="X16" s="30">
        <f t="shared" si="81"/>
        <v>21.163653234923007</v>
      </c>
      <c r="Y16" s="30">
        <f t="shared" si="81"/>
        <v>21.345069016836536</v>
      </c>
      <c r="Z16" s="30">
        <v>21.526484798750072</v>
      </c>
      <c r="AA16" s="30">
        <f t="shared" ref="AA16:AD16" si="82">Z16+(($AE16-$Z16)/5)</f>
        <v>21.605444376291828</v>
      </c>
      <c r="AB16" s="30">
        <f t="shared" si="82"/>
        <v>21.684403953833584</v>
      </c>
      <c r="AC16" s="30">
        <f t="shared" si="82"/>
        <v>21.76336353137534</v>
      </c>
      <c r="AD16" s="30">
        <f t="shared" si="82"/>
        <v>21.842323108917096</v>
      </c>
      <c r="AE16" s="30">
        <v>21.921282686458852</v>
      </c>
      <c r="AF16" s="30">
        <f t="shared" ref="AF16:AI16" si="83">AE16+(($AJ16-$AE16)/5)</f>
        <v>21.979670311533198</v>
      </c>
      <c r="AG16" s="30">
        <f t="shared" si="83"/>
        <v>22.038057936607544</v>
      </c>
      <c r="AH16" s="30">
        <f t="shared" si="83"/>
        <v>22.09644556168189</v>
      </c>
      <c r="AI16" s="30">
        <f t="shared" si="83"/>
        <v>22.154833186756235</v>
      </c>
      <c r="AJ16" s="30">
        <v>22.213220811830585</v>
      </c>
      <c r="AK16" s="31">
        <v>4.0283914518782549</v>
      </c>
      <c r="AL16" s="31">
        <v>0.48242739093029563</v>
      </c>
    </row>
    <row r="17" spans="1:38" x14ac:dyDescent="0.3">
      <c r="A17" t="str">
        <f>VLOOKUP(B17,'Country codes'!$A$1:$B$28,2,FALSE)</f>
        <v>IE</v>
      </c>
      <c r="B17" s="23" t="s">
        <v>104</v>
      </c>
      <c r="C17" s="24" t="s">
        <v>121</v>
      </c>
      <c r="D17" s="28" t="s">
        <v>122</v>
      </c>
      <c r="E17" s="29" t="s">
        <v>733</v>
      </c>
      <c r="F17" s="30">
        <v>5.1213719399403725</v>
      </c>
      <c r="G17" s="30">
        <f t="shared" ref="G17:J17" si="84">F17+(($K17-$F17)/5)</f>
        <v>6.0467783239250377</v>
      </c>
      <c r="H17" s="30">
        <f t="shared" si="84"/>
        <v>6.9721847079097028</v>
      </c>
      <c r="I17" s="30">
        <f t="shared" si="84"/>
        <v>7.8975910918943679</v>
      </c>
      <c r="J17" s="30">
        <f t="shared" si="84"/>
        <v>8.822997475879033</v>
      </c>
      <c r="K17" s="30">
        <v>9.7484038598636964</v>
      </c>
      <c r="L17" s="30">
        <f t="shared" ref="L17:O17" si="85">K17+(($P17-$K17)/5)</f>
        <v>9.8831039397018721</v>
      </c>
      <c r="M17" s="30">
        <f t="shared" si="85"/>
        <v>10.017804019540048</v>
      </c>
      <c r="N17" s="30">
        <f t="shared" si="85"/>
        <v>10.152504099378223</v>
      </c>
      <c r="O17" s="30">
        <f t="shared" si="85"/>
        <v>10.287204179216399</v>
      </c>
      <c r="P17" s="30">
        <v>10.421904259054573</v>
      </c>
      <c r="Q17" s="30">
        <f t="shared" ref="Q17:T17" si="86">P17+(($U17-$P17)/5)</f>
        <v>10.490323542150897</v>
      </c>
      <c r="R17" s="30">
        <f t="shared" si="86"/>
        <v>10.55874282524722</v>
      </c>
      <c r="S17" s="30">
        <f t="shared" si="86"/>
        <v>10.627162108343544</v>
      </c>
      <c r="T17" s="30">
        <f t="shared" si="86"/>
        <v>10.695581391439868</v>
      </c>
      <c r="U17" s="30">
        <v>10.76400067453619</v>
      </c>
      <c r="V17" s="30">
        <f t="shared" ref="V17:Y17" si="87">U17+(($Z17-$U17)/5)</f>
        <v>10.872808541333475</v>
      </c>
      <c r="W17" s="30">
        <f t="shared" si="87"/>
        <v>10.98161640813076</v>
      </c>
      <c r="X17" s="30">
        <f t="shared" si="87"/>
        <v>11.090424274928045</v>
      </c>
      <c r="Y17" s="30">
        <f t="shared" si="87"/>
        <v>11.19923214172533</v>
      </c>
      <c r="Z17" s="30">
        <v>11.308040008522614</v>
      </c>
      <c r="AA17" s="30">
        <f t="shared" ref="AA17:AD17" si="88">Z17+(($AE17-$Z17)/5)</f>
        <v>11.363372757109698</v>
      </c>
      <c r="AB17" s="30">
        <f t="shared" si="88"/>
        <v>11.418705505696781</v>
      </c>
      <c r="AC17" s="30">
        <f t="shared" si="88"/>
        <v>11.474038254283865</v>
      </c>
      <c r="AD17" s="30">
        <f t="shared" si="88"/>
        <v>11.529371002870949</v>
      </c>
      <c r="AE17" s="30">
        <v>11.584703751458029</v>
      </c>
      <c r="AF17" s="30">
        <f t="shared" ref="AF17:AI17" si="89">AE17+(($AJ17-$AE17)/5)</f>
        <v>11.643118433210466</v>
      </c>
      <c r="AG17" s="30">
        <f t="shared" si="89"/>
        <v>11.701533114962903</v>
      </c>
      <c r="AH17" s="30">
        <f t="shared" si="89"/>
        <v>11.759947796715339</v>
      </c>
      <c r="AI17" s="30">
        <f t="shared" si="89"/>
        <v>11.818362478467776</v>
      </c>
      <c r="AJ17" s="30">
        <v>11.876777160220213</v>
      </c>
      <c r="AK17" s="31">
        <v>7.3633554549036306</v>
      </c>
      <c r="AL17" s="31">
        <v>0.65551527967624423</v>
      </c>
    </row>
    <row r="18" spans="1:38" x14ac:dyDescent="0.3">
      <c r="A18" t="str">
        <f>VLOOKUP(B18,'Country codes'!$A$1:$B$28,2,FALSE)</f>
        <v>IT</v>
      </c>
      <c r="B18" s="23" t="s">
        <v>105</v>
      </c>
      <c r="C18" s="24" t="s">
        <v>121</v>
      </c>
      <c r="D18" s="28" t="s">
        <v>122</v>
      </c>
      <c r="E18" s="29" t="s">
        <v>733</v>
      </c>
      <c r="F18" s="30">
        <v>55.934305169648944</v>
      </c>
      <c r="G18" s="30">
        <f t="shared" ref="G18:J18" si="90">F18+(($K18-$F18)/5)</f>
        <v>63.14101752006524</v>
      </c>
      <c r="H18" s="30">
        <f t="shared" si="90"/>
        <v>70.347729870481544</v>
      </c>
      <c r="I18" s="30">
        <f t="shared" si="90"/>
        <v>77.55444222089784</v>
      </c>
      <c r="J18" s="30">
        <f t="shared" si="90"/>
        <v>84.761154571314137</v>
      </c>
      <c r="K18" s="30">
        <v>91.967866921730433</v>
      </c>
      <c r="L18" s="30">
        <f t="shared" ref="L18:O18" si="91">K18+(($P18-$K18)/5)</f>
        <v>92.434440903752176</v>
      </c>
      <c r="M18" s="30">
        <f t="shared" si="91"/>
        <v>92.901014885773918</v>
      </c>
      <c r="N18" s="30">
        <f t="shared" si="91"/>
        <v>93.367588867795661</v>
      </c>
      <c r="O18" s="30">
        <f t="shared" si="91"/>
        <v>93.834162849817403</v>
      </c>
      <c r="P18" s="30">
        <v>94.300736831839131</v>
      </c>
      <c r="Q18" s="30">
        <f t="shared" ref="Q18:T18" si="92">P18+(($U18-$P18)/5)</f>
        <v>94.600070972407664</v>
      </c>
      <c r="R18" s="30">
        <f t="shared" si="92"/>
        <v>94.899405112976197</v>
      </c>
      <c r="S18" s="30">
        <f t="shared" si="92"/>
        <v>95.19873925354473</v>
      </c>
      <c r="T18" s="30">
        <f t="shared" si="92"/>
        <v>95.498073394113263</v>
      </c>
      <c r="U18" s="30">
        <v>95.797407534681824</v>
      </c>
      <c r="V18" s="30">
        <f t="shared" ref="V18:Y18" si="93">U18+(($Z18-$U18)/5)</f>
        <v>96.151032164482658</v>
      </c>
      <c r="W18" s="30">
        <f t="shared" si="93"/>
        <v>96.504656794283491</v>
      </c>
      <c r="X18" s="30">
        <f t="shared" si="93"/>
        <v>96.858281424084325</v>
      </c>
      <c r="Y18" s="30">
        <f t="shared" si="93"/>
        <v>97.211906053885158</v>
      </c>
      <c r="Z18" s="30">
        <v>97.565530683685964</v>
      </c>
      <c r="AA18" s="30">
        <f t="shared" ref="AA18:AD18" si="94">Z18+(($AE18-$Z18)/5)</f>
        <v>97.733204536312172</v>
      </c>
      <c r="AB18" s="30">
        <f t="shared" si="94"/>
        <v>97.900878388938381</v>
      </c>
      <c r="AC18" s="30">
        <f t="shared" si="94"/>
        <v>98.068552241564589</v>
      </c>
      <c r="AD18" s="30">
        <f t="shared" si="94"/>
        <v>98.236226094190798</v>
      </c>
      <c r="AE18" s="30">
        <v>98.40389994681702</v>
      </c>
      <c r="AF18" s="30">
        <f t="shared" ref="AF18:AI18" si="95">AE18+(($AJ18-$AE18)/5)</f>
        <v>98.429407202588095</v>
      </c>
      <c r="AG18" s="30">
        <f t="shared" si="95"/>
        <v>98.45491445835917</v>
      </c>
      <c r="AH18" s="30">
        <f t="shared" si="95"/>
        <v>98.480421714130244</v>
      </c>
      <c r="AI18" s="30">
        <f t="shared" si="95"/>
        <v>98.505928969901319</v>
      </c>
      <c r="AJ18" s="30">
        <v>98.531436225672422</v>
      </c>
      <c r="AK18" s="31">
        <v>5.3619218758064857</v>
      </c>
      <c r="AL18" s="31">
        <v>0.21967414813817143</v>
      </c>
    </row>
    <row r="19" spans="1:38" x14ac:dyDescent="0.3">
      <c r="A19" t="str">
        <f>VLOOKUP(B19,'Country codes'!$A$1:$B$28,2,FALSE)</f>
        <v>LT</v>
      </c>
      <c r="B19" s="23" t="s">
        <v>106</v>
      </c>
      <c r="C19" s="24" t="s">
        <v>121</v>
      </c>
      <c r="D19" s="28" t="s">
        <v>122</v>
      </c>
      <c r="E19" s="29" t="s">
        <v>733</v>
      </c>
      <c r="F19" s="30">
        <v>2.3136582513683837</v>
      </c>
      <c r="G19" s="30">
        <f t="shared" ref="G19:J19" si="96">F19+(($K19-$F19)/5)</f>
        <v>2.4200355626358618</v>
      </c>
      <c r="H19" s="30">
        <f t="shared" si="96"/>
        <v>2.52641287390334</v>
      </c>
      <c r="I19" s="30">
        <f t="shared" si="96"/>
        <v>2.6327901851708182</v>
      </c>
      <c r="J19" s="30">
        <f t="shared" si="96"/>
        <v>2.7391674964382964</v>
      </c>
      <c r="K19" s="30">
        <v>2.8455448077057746</v>
      </c>
      <c r="L19" s="30">
        <f t="shared" ref="L19:O19" si="97">K19+(($P19-$K19)/5)</f>
        <v>2.915336009071515</v>
      </c>
      <c r="M19" s="30">
        <f t="shared" si="97"/>
        <v>2.9851272104372555</v>
      </c>
      <c r="N19" s="30">
        <f t="shared" si="97"/>
        <v>3.0549184118029959</v>
      </c>
      <c r="O19" s="30">
        <f t="shared" si="97"/>
        <v>3.1247096131687364</v>
      </c>
      <c r="P19" s="30">
        <v>3.194500814534476</v>
      </c>
      <c r="Q19" s="30">
        <f t="shared" ref="Q19:T19" si="98">P19+(($U19-$P19)/5)</f>
        <v>3.204557493819379</v>
      </c>
      <c r="R19" s="30">
        <f t="shared" si="98"/>
        <v>3.2146141731042821</v>
      </c>
      <c r="S19" s="30">
        <f t="shared" si="98"/>
        <v>3.2246708523891852</v>
      </c>
      <c r="T19" s="30">
        <f t="shared" si="98"/>
        <v>3.2347275316740882</v>
      </c>
      <c r="U19" s="30">
        <v>3.2447842109589922</v>
      </c>
      <c r="V19" s="30">
        <f t="shared" ref="V19:Y19" si="99">U19+(($Z19-$U19)/5)</f>
        <v>3.2657176026374475</v>
      </c>
      <c r="W19" s="30">
        <f t="shared" si="99"/>
        <v>3.2866509943159028</v>
      </c>
      <c r="X19" s="30">
        <f t="shared" si="99"/>
        <v>3.3075843859943581</v>
      </c>
      <c r="Y19" s="30">
        <f t="shared" si="99"/>
        <v>3.3285177776728134</v>
      </c>
      <c r="Z19" s="30">
        <v>3.3494511693512696</v>
      </c>
      <c r="AA19" s="30">
        <f t="shared" ref="AA19:AD19" si="100">Z19+(($AE19-$Z19)/5)</f>
        <v>3.3584409289728065</v>
      </c>
      <c r="AB19" s="30">
        <f t="shared" si="100"/>
        <v>3.3674306885943435</v>
      </c>
      <c r="AC19" s="30">
        <f t="shared" si="100"/>
        <v>3.3764204482158804</v>
      </c>
      <c r="AD19" s="30">
        <f t="shared" si="100"/>
        <v>3.3854102078374173</v>
      </c>
      <c r="AE19" s="30">
        <v>3.3943999674589542</v>
      </c>
      <c r="AF19" s="30">
        <f t="shared" ref="AF19:AI19" si="101">AE19+(($AJ19-$AE19)/5)</f>
        <v>3.400862155621839</v>
      </c>
      <c r="AG19" s="30">
        <f t="shared" si="101"/>
        <v>3.4073243437847238</v>
      </c>
      <c r="AH19" s="30">
        <f t="shared" si="101"/>
        <v>3.4137865319476086</v>
      </c>
      <c r="AI19" s="30">
        <f t="shared" si="101"/>
        <v>3.4202487201104934</v>
      </c>
      <c r="AJ19" s="30">
        <v>3.4267109082733787</v>
      </c>
      <c r="AK19" s="31">
        <v>3.2786088284691317</v>
      </c>
      <c r="AL19" s="31">
        <v>0.35146643090753216</v>
      </c>
    </row>
    <row r="20" spans="1:38" x14ac:dyDescent="0.3">
      <c r="A20" t="str">
        <f>VLOOKUP(B20,'Country codes'!$A$1:$B$28,2,FALSE)</f>
        <v>LU</v>
      </c>
      <c r="B20" s="23" t="s">
        <v>107</v>
      </c>
      <c r="C20" s="24" t="s">
        <v>121</v>
      </c>
      <c r="D20" s="28" t="s">
        <v>122</v>
      </c>
      <c r="E20" s="29" t="s">
        <v>733</v>
      </c>
      <c r="F20" s="30">
        <v>0.64307432900284167</v>
      </c>
      <c r="G20" s="30">
        <f t="shared" ref="G20:J20" si="102">F20+(($K20-$F20)/5)</f>
        <v>0.73936747025211769</v>
      </c>
      <c r="H20" s="30">
        <f t="shared" si="102"/>
        <v>0.8356606115013937</v>
      </c>
      <c r="I20" s="30">
        <f t="shared" si="102"/>
        <v>0.93195375275066972</v>
      </c>
      <c r="J20" s="30">
        <f t="shared" si="102"/>
        <v>1.0282468939999458</v>
      </c>
      <c r="K20" s="30">
        <v>1.1245400352492219</v>
      </c>
      <c r="L20" s="30">
        <f t="shared" ref="L20:O20" si="103">K20+(($P20-$K20)/5)</f>
        <v>1.1501396024946919</v>
      </c>
      <c r="M20" s="30">
        <f t="shared" si="103"/>
        <v>1.175739169740162</v>
      </c>
      <c r="N20" s="30">
        <f t="shared" si="103"/>
        <v>1.2013387369856321</v>
      </c>
      <c r="O20" s="30">
        <f t="shared" si="103"/>
        <v>1.2269383042311022</v>
      </c>
      <c r="P20" s="30">
        <v>1.2525378714765725</v>
      </c>
      <c r="Q20" s="30">
        <f t="shared" ref="Q20:T20" si="104">P20+(($U20-$P20)/5)</f>
        <v>1.2627625040806794</v>
      </c>
      <c r="R20" s="30">
        <f t="shared" si="104"/>
        <v>1.2729871366847862</v>
      </c>
      <c r="S20" s="30">
        <f t="shared" si="104"/>
        <v>1.2832117692888931</v>
      </c>
      <c r="T20" s="30">
        <f t="shared" si="104"/>
        <v>1.293436401893</v>
      </c>
      <c r="U20" s="30">
        <v>1.3036610344971069</v>
      </c>
      <c r="V20" s="30">
        <f t="shared" ref="V20:Y20" si="105">U20+(($Z20-$U20)/5)</f>
        <v>1.3159992633203068</v>
      </c>
      <c r="W20" s="30">
        <f t="shared" si="105"/>
        <v>1.3283374921435067</v>
      </c>
      <c r="X20" s="30">
        <f t="shared" si="105"/>
        <v>1.3406757209667066</v>
      </c>
      <c r="Y20" s="30">
        <f t="shared" si="105"/>
        <v>1.3530139497899065</v>
      </c>
      <c r="Z20" s="30">
        <v>1.365352178613106</v>
      </c>
      <c r="AA20" s="30">
        <f t="shared" ref="AA20:AD20" si="106">Z20+(($AE20-$Z20)/5)</f>
        <v>1.3776903518497654</v>
      </c>
      <c r="AB20" s="30">
        <f t="shared" si="106"/>
        <v>1.3900285250864248</v>
      </c>
      <c r="AC20" s="30">
        <f t="shared" si="106"/>
        <v>1.4023666983230842</v>
      </c>
      <c r="AD20" s="30">
        <f t="shared" si="106"/>
        <v>1.4147048715597437</v>
      </c>
      <c r="AE20" s="30">
        <v>1.4270430447964035</v>
      </c>
      <c r="AF20" s="30">
        <f t="shared" ref="AF20:AI20" si="107">AE20+(($AJ20-$AE20)/5)</f>
        <v>1.4384948897728682</v>
      </c>
      <c r="AG20" s="30">
        <f t="shared" si="107"/>
        <v>1.4499467347493329</v>
      </c>
      <c r="AH20" s="30">
        <f t="shared" si="107"/>
        <v>1.4613985797257976</v>
      </c>
      <c r="AI20" s="30">
        <f t="shared" si="107"/>
        <v>1.4728504247022622</v>
      </c>
      <c r="AJ20" s="30">
        <v>1.4843022696787267</v>
      </c>
      <c r="AK20" s="31">
        <v>6.8939115130528084</v>
      </c>
      <c r="AL20" s="31">
        <v>0.85247817363371947</v>
      </c>
    </row>
    <row r="21" spans="1:38" x14ac:dyDescent="0.3">
      <c r="A21" t="str">
        <f>VLOOKUP(B21,'Country codes'!$A$1:$B$28,2,FALSE)</f>
        <v>LV</v>
      </c>
      <c r="B21" s="23" t="s">
        <v>108</v>
      </c>
      <c r="C21" s="24" t="s">
        <v>121</v>
      </c>
      <c r="D21" s="28" t="s">
        <v>122</v>
      </c>
      <c r="E21" s="29" t="s">
        <v>733</v>
      </c>
      <c r="F21" s="30">
        <v>1.8608148274787955</v>
      </c>
      <c r="G21" s="30">
        <f t="shared" ref="G21:J21" si="108">F21+(($K21-$F21)/5)</f>
        <v>1.9238623096765606</v>
      </c>
      <c r="H21" s="30">
        <f t="shared" si="108"/>
        <v>1.9869097918743257</v>
      </c>
      <c r="I21" s="30">
        <f t="shared" si="108"/>
        <v>2.0499572740720908</v>
      </c>
      <c r="J21" s="30">
        <f t="shared" si="108"/>
        <v>2.1130047562698562</v>
      </c>
      <c r="K21" s="30">
        <v>2.1760522384676215</v>
      </c>
      <c r="L21" s="30">
        <f t="shared" ref="L21:O21" si="109">K21+(($P21-$K21)/5)</f>
        <v>2.1995615780344453</v>
      </c>
      <c r="M21" s="30">
        <f t="shared" si="109"/>
        <v>2.2230709176012691</v>
      </c>
      <c r="N21" s="30">
        <f t="shared" si="109"/>
        <v>2.2465802571680928</v>
      </c>
      <c r="O21" s="30">
        <f t="shared" si="109"/>
        <v>2.2700895967349166</v>
      </c>
      <c r="P21" s="30">
        <v>2.2935989363017395</v>
      </c>
      <c r="Q21" s="30">
        <f t="shared" ref="Q21:T21" si="110">P21+(($U21-$P21)/5)</f>
        <v>2.2972178436069224</v>
      </c>
      <c r="R21" s="30">
        <f t="shared" si="110"/>
        <v>2.3008367509121053</v>
      </c>
      <c r="S21" s="30">
        <f t="shared" si="110"/>
        <v>2.3044556582172881</v>
      </c>
      <c r="T21" s="30">
        <f t="shared" si="110"/>
        <v>2.308074565522471</v>
      </c>
      <c r="U21" s="30">
        <v>2.3116934728276539</v>
      </c>
      <c r="V21" s="30">
        <f t="shared" ref="V21:Y21" si="111">U21+(($Z21-$U21)/5)</f>
        <v>2.3217814793915239</v>
      </c>
      <c r="W21" s="30">
        <f t="shared" si="111"/>
        <v>2.3318694859553939</v>
      </c>
      <c r="X21" s="30">
        <f t="shared" si="111"/>
        <v>2.3419574925192639</v>
      </c>
      <c r="Y21" s="30">
        <f t="shared" si="111"/>
        <v>2.3520454990831339</v>
      </c>
      <c r="Z21" s="30">
        <v>2.3621335056470039</v>
      </c>
      <c r="AA21" s="30">
        <f t="shared" ref="AA21:AD21" si="112">Z21+(($AE21-$Z21)/5)</f>
        <v>2.3654081893741594</v>
      </c>
      <c r="AB21" s="30">
        <f t="shared" si="112"/>
        <v>2.368682873101315</v>
      </c>
      <c r="AC21" s="30">
        <f t="shared" si="112"/>
        <v>2.3719575568284705</v>
      </c>
      <c r="AD21" s="30">
        <f t="shared" si="112"/>
        <v>2.3752322405556261</v>
      </c>
      <c r="AE21" s="30">
        <v>2.3785069242827825</v>
      </c>
      <c r="AF21" s="30">
        <f t="shared" ref="AF21:AI21" si="113">AE21+(($AJ21-$AE21)/5)</f>
        <v>2.3815637169970021</v>
      </c>
      <c r="AG21" s="30">
        <f t="shared" si="113"/>
        <v>2.3846205097112216</v>
      </c>
      <c r="AH21" s="30">
        <f t="shared" si="113"/>
        <v>2.3876773024254412</v>
      </c>
      <c r="AI21" s="30">
        <f t="shared" si="113"/>
        <v>2.3907340951396607</v>
      </c>
      <c r="AJ21" s="30">
        <v>2.3937908878538803</v>
      </c>
      <c r="AK21" s="31">
        <v>2.1130932134055813</v>
      </c>
      <c r="AL21" s="31">
        <v>0.21400908860276235</v>
      </c>
    </row>
    <row r="22" spans="1:38" x14ac:dyDescent="0.3">
      <c r="A22" t="str">
        <f>VLOOKUP(B22,'Country codes'!$A$1:$B$28,2,FALSE)</f>
        <v>MT</v>
      </c>
      <c r="B22" s="23" t="s">
        <v>109</v>
      </c>
      <c r="C22" s="24" t="s">
        <v>121</v>
      </c>
      <c r="D22" s="28" t="s">
        <v>122</v>
      </c>
      <c r="E22" s="29" t="s">
        <v>733</v>
      </c>
      <c r="F22" s="30">
        <v>0.3640462633800331</v>
      </c>
      <c r="G22" s="30">
        <f t="shared" ref="G22:J22" si="114">F22+(($K22-$F22)/5)</f>
        <v>0.40799618038948682</v>
      </c>
      <c r="H22" s="30">
        <f t="shared" si="114"/>
        <v>0.45194609739894054</v>
      </c>
      <c r="I22" s="30">
        <f t="shared" si="114"/>
        <v>0.49589601440839426</v>
      </c>
      <c r="J22" s="30">
        <f t="shared" si="114"/>
        <v>0.53984593141784798</v>
      </c>
      <c r="K22" s="30">
        <v>0.5837958484273017</v>
      </c>
      <c r="L22" s="30">
        <f t="shared" ref="L22:O22" si="115">K22+(($P22-$K22)/5)</f>
        <v>0.60248320745264039</v>
      </c>
      <c r="M22" s="30">
        <f t="shared" si="115"/>
        <v>0.62117056647797908</v>
      </c>
      <c r="N22" s="30">
        <f t="shared" si="115"/>
        <v>0.63985792550331777</v>
      </c>
      <c r="O22" s="30">
        <f t="shared" si="115"/>
        <v>0.65854528452865646</v>
      </c>
      <c r="P22" s="30">
        <v>0.67723264355399515</v>
      </c>
      <c r="Q22" s="30">
        <f t="shared" ref="Q22:T22" si="116">P22+(($U22-$P22)/5)</f>
        <v>0.68177847959899751</v>
      </c>
      <c r="R22" s="30">
        <f t="shared" si="116"/>
        <v>0.68632431564399987</v>
      </c>
      <c r="S22" s="30">
        <f t="shared" si="116"/>
        <v>0.69087015168900223</v>
      </c>
      <c r="T22" s="30">
        <f t="shared" si="116"/>
        <v>0.69541598773400459</v>
      </c>
      <c r="U22" s="30">
        <v>0.69996182377900684</v>
      </c>
      <c r="V22" s="30">
        <f t="shared" ref="V22:Y22" si="117">U22+(($Z22-$U22)/5)</f>
        <v>0.70285249774192249</v>
      </c>
      <c r="W22" s="30">
        <f t="shared" si="117"/>
        <v>0.70574317170483813</v>
      </c>
      <c r="X22" s="30">
        <f t="shared" si="117"/>
        <v>0.70863384566775378</v>
      </c>
      <c r="Y22" s="30">
        <f t="shared" si="117"/>
        <v>0.71152451963066943</v>
      </c>
      <c r="Z22" s="30">
        <v>0.71441519359358518</v>
      </c>
      <c r="AA22" s="30">
        <f t="shared" ref="AA22:AD22" si="118">Z22+(($AE22-$Z22)/5)</f>
        <v>0.71518113779511427</v>
      </c>
      <c r="AB22" s="30">
        <f t="shared" si="118"/>
        <v>0.71594708199664336</v>
      </c>
      <c r="AC22" s="30">
        <f t="shared" si="118"/>
        <v>0.71671302619817245</v>
      </c>
      <c r="AD22" s="30">
        <f t="shared" si="118"/>
        <v>0.71747897039970154</v>
      </c>
      <c r="AE22" s="30">
        <v>0.71824491460123052</v>
      </c>
      <c r="AF22" s="30">
        <f t="shared" ref="AF22:AI22" si="119">AE22+(($AJ22-$AE22)/5)</f>
        <v>0.71846585189010836</v>
      </c>
      <c r="AG22" s="30">
        <f t="shared" si="119"/>
        <v>0.71868678917898621</v>
      </c>
      <c r="AH22" s="30">
        <f t="shared" si="119"/>
        <v>0.71890772646786405</v>
      </c>
      <c r="AI22" s="30">
        <f t="shared" si="119"/>
        <v>0.71912866375674189</v>
      </c>
      <c r="AJ22" s="30">
        <v>0.71934960104561996</v>
      </c>
      <c r="AK22" s="31">
        <v>6.4040431369702722</v>
      </c>
      <c r="AL22" s="31">
        <v>0.30211855633293094</v>
      </c>
    </row>
    <row r="23" spans="1:38" x14ac:dyDescent="0.3">
      <c r="A23" t="str">
        <f>VLOOKUP(B23,'Country codes'!$A$1:$B$28,2,FALSE)</f>
        <v>NL</v>
      </c>
      <c r="B23" s="23" t="s">
        <v>110</v>
      </c>
      <c r="C23" s="24" t="s">
        <v>121</v>
      </c>
      <c r="D23" s="28" t="s">
        <v>122</v>
      </c>
      <c r="E23" s="29" t="s">
        <v>733</v>
      </c>
      <c r="F23" s="30">
        <v>3.725408219793882</v>
      </c>
      <c r="G23" s="30">
        <f t="shared" ref="G23:J23" si="120">F23+(($K23-$F23)/5)</f>
        <v>3.9326724436355978</v>
      </c>
      <c r="H23" s="30">
        <f t="shared" si="120"/>
        <v>4.139936667477313</v>
      </c>
      <c r="I23" s="30">
        <f t="shared" si="120"/>
        <v>4.3472008913190283</v>
      </c>
      <c r="J23" s="30">
        <f t="shared" si="120"/>
        <v>4.5544651151607436</v>
      </c>
      <c r="K23" s="30">
        <v>4.7617293390024606</v>
      </c>
      <c r="L23" s="30">
        <f t="shared" ref="L23:O23" si="121">K23+(($P23-$K23)/5)</f>
        <v>4.7921209033801437</v>
      </c>
      <c r="M23" s="30">
        <f t="shared" si="121"/>
        <v>4.8225124677578268</v>
      </c>
      <c r="N23" s="30">
        <f t="shared" si="121"/>
        <v>4.8529040321355099</v>
      </c>
      <c r="O23" s="30">
        <f t="shared" si="121"/>
        <v>4.883295596513193</v>
      </c>
      <c r="P23" s="30">
        <v>4.913687160890877</v>
      </c>
      <c r="Q23" s="30">
        <f t="shared" ref="Q23:T23" si="122">P23+(($U23-$P23)/5)</f>
        <v>4.9425439410266048</v>
      </c>
      <c r="R23" s="30">
        <f t="shared" si="122"/>
        <v>4.9714007211623326</v>
      </c>
      <c r="S23" s="30">
        <f t="shared" si="122"/>
        <v>5.0002575012980603</v>
      </c>
      <c r="T23" s="30">
        <f t="shared" si="122"/>
        <v>5.0291142814337881</v>
      </c>
      <c r="U23" s="30">
        <v>5.0579710615695159</v>
      </c>
      <c r="V23" s="30">
        <f t="shared" ref="V23:Y23" si="123">U23+(($Z23-$U23)/5)</f>
        <v>5.102325409396876</v>
      </c>
      <c r="W23" s="30">
        <f t="shared" si="123"/>
        <v>5.146679757224236</v>
      </c>
      <c r="X23" s="30">
        <f t="shared" si="123"/>
        <v>5.191034105051596</v>
      </c>
      <c r="Y23" s="30">
        <f t="shared" si="123"/>
        <v>5.235388452878956</v>
      </c>
      <c r="Z23" s="30">
        <v>5.2797428007063152</v>
      </c>
      <c r="AA23" s="30">
        <f t="shared" ref="AA23:AD23" si="124">Z23+(($AE23-$Z23)/5)</f>
        <v>5.2920735454423857</v>
      </c>
      <c r="AB23" s="30">
        <f t="shared" si="124"/>
        <v>5.3044042901784563</v>
      </c>
      <c r="AC23" s="30">
        <f t="shared" si="124"/>
        <v>5.3167350349145268</v>
      </c>
      <c r="AD23" s="30">
        <f t="shared" si="124"/>
        <v>5.3290657796505974</v>
      </c>
      <c r="AE23" s="30">
        <v>5.3413965243866697</v>
      </c>
      <c r="AF23" s="30">
        <f t="shared" ref="AF23:AI23" si="125">AE23+(($AJ23-$AE23)/5)</f>
        <v>5.358738485090174</v>
      </c>
      <c r="AG23" s="30">
        <f t="shared" si="125"/>
        <v>5.3760804457936784</v>
      </c>
      <c r="AH23" s="30">
        <f t="shared" si="125"/>
        <v>5.3934224064971827</v>
      </c>
      <c r="AI23" s="30">
        <f t="shared" si="125"/>
        <v>5.4107643672006871</v>
      </c>
      <c r="AJ23" s="30">
        <v>5.4281063279041923</v>
      </c>
      <c r="AK23" s="31">
        <v>2.8071603093130282</v>
      </c>
      <c r="AL23" s="31">
        <v>0.49906983203733546</v>
      </c>
    </row>
    <row r="24" spans="1:38" x14ac:dyDescent="0.3">
      <c r="A24" t="str">
        <f>VLOOKUP(B24,'Country codes'!$A$1:$B$28,2,FALSE)</f>
        <v>PL</v>
      </c>
      <c r="B24" s="23" t="s">
        <v>111</v>
      </c>
      <c r="C24" s="24" t="s">
        <v>121</v>
      </c>
      <c r="D24" s="28" t="s">
        <v>122</v>
      </c>
      <c r="E24" s="29" t="s">
        <v>733</v>
      </c>
      <c r="F24" s="30">
        <v>26.449907241997579</v>
      </c>
      <c r="G24" s="30">
        <f t="shared" ref="G24:J24" si="126">F24+(($K24-$F24)/5)</f>
        <v>28.412548221966336</v>
      </c>
      <c r="H24" s="30">
        <f t="shared" si="126"/>
        <v>30.375189201935093</v>
      </c>
      <c r="I24" s="30">
        <f t="shared" si="126"/>
        <v>32.337830181903847</v>
      </c>
      <c r="J24" s="30">
        <f t="shared" si="126"/>
        <v>34.300471161872601</v>
      </c>
      <c r="K24" s="30">
        <v>36.263112141841361</v>
      </c>
      <c r="L24" s="30">
        <f t="shared" ref="L24:O24" si="127">K24+(($P24-$K24)/5)</f>
        <v>36.82275186045036</v>
      </c>
      <c r="M24" s="30">
        <f t="shared" si="127"/>
        <v>37.382391579059359</v>
      </c>
      <c r="N24" s="30">
        <f t="shared" si="127"/>
        <v>37.942031297668358</v>
      </c>
      <c r="O24" s="30">
        <f t="shared" si="127"/>
        <v>38.501671016277356</v>
      </c>
      <c r="P24" s="30">
        <v>39.061310734886369</v>
      </c>
      <c r="Q24" s="30">
        <f t="shared" ref="Q24:T24" si="128">P24+(($U24-$P24)/5)</f>
        <v>39.163844450154102</v>
      </c>
      <c r="R24" s="30">
        <f t="shared" si="128"/>
        <v>39.266378165421834</v>
      </c>
      <c r="S24" s="30">
        <f t="shared" si="128"/>
        <v>39.368911880689566</v>
      </c>
      <c r="T24" s="30">
        <f t="shared" si="128"/>
        <v>39.471445595957299</v>
      </c>
      <c r="U24" s="30">
        <v>39.573979311225017</v>
      </c>
      <c r="V24" s="30">
        <f t="shared" ref="V24:Y24" si="129">U24+(($Z24-$U24)/5)</f>
        <v>39.777679904417923</v>
      </c>
      <c r="W24" s="30">
        <f t="shared" si="129"/>
        <v>39.981380497610829</v>
      </c>
      <c r="X24" s="30">
        <f t="shared" si="129"/>
        <v>40.185081090803735</v>
      </c>
      <c r="Y24" s="30">
        <f t="shared" si="129"/>
        <v>40.38878168399664</v>
      </c>
      <c r="Z24" s="30">
        <v>40.592482277189546</v>
      </c>
      <c r="AA24" s="30">
        <f t="shared" ref="AA24:AD24" si="130">Z24+(($AE24-$Z24)/5)</f>
        <v>40.66948158477939</v>
      </c>
      <c r="AB24" s="30">
        <f t="shared" si="130"/>
        <v>40.746480892369235</v>
      </c>
      <c r="AC24" s="30">
        <f t="shared" si="130"/>
        <v>40.823480199959079</v>
      </c>
      <c r="AD24" s="30">
        <f t="shared" si="130"/>
        <v>40.900479507548923</v>
      </c>
      <c r="AE24" s="30">
        <v>40.977478815138774</v>
      </c>
      <c r="AF24" s="30">
        <f t="shared" ref="AF24:AI24" si="131">AE24+(($AJ24-$AE24)/5)</f>
        <v>40.971051000128625</v>
      </c>
      <c r="AG24" s="30">
        <f t="shared" si="131"/>
        <v>40.964623185118477</v>
      </c>
      <c r="AH24" s="30">
        <f t="shared" si="131"/>
        <v>40.958195370108328</v>
      </c>
      <c r="AI24" s="30">
        <f t="shared" si="131"/>
        <v>40.951767555098179</v>
      </c>
      <c r="AJ24" s="30">
        <v>40.945339740088023</v>
      </c>
      <c r="AK24" s="31">
        <v>3.9757988851876869</v>
      </c>
      <c r="AL24" s="31">
        <v>0.23580517569750103</v>
      </c>
    </row>
    <row r="25" spans="1:38" x14ac:dyDescent="0.3">
      <c r="A25" t="str">
        <f>VLOOKUP(B25,'Country codes'!$A$1:$B$28,2,FALSE)</f>
        <v>PT</v>
      </c>
      <c r="B25" s="23" t="s">
        <v>112</v>
      </c>
      <c r="C25" s="24" t="s">
        <v>121</v>
      </c>
      <c r="D25" s="28" t="s">
        <v>122</v>
      </c>
      <c r="E25" s="29" t="s">
        <v>733</v>
      </c>
      <c r="F25" s="30">
        <v>3.9909590627234879</v>
      </c>
      <c r="G25" s="30">
        <f t="shared" ref="G25:J25" si="132">F25+(($K25-$F25)/5)</f>
        <v>4.6637344741709192</v>
      </c>
      <c r="H25" s="30">
        <f t="shared" si="132"/>
        <v>5.3365098856183506</v>
      </c>
      <c r="I25" s="30">
        <f t="shared" si="132"/>
        <v>6.009285297065782</v>
      </c>
      <c r="J25" s="30">
        <f t="shared" si="132"/>
        <v>6.6820607085132133</v>
      </c>
      <c r="K25" s="30">
        <v>7.3548361199606465</v>
      </c>
      <c r="L25" s="30">
        <f t="shared" ref="L25:O25" si="133">K25+(($P25-$K25)/5)</f>
        <v>7.4533043048639165</v>
      </c>
      <c r="M25" s="30">
        <f t="shared" si="133"/>
        <v>7.5517724897671865</v>
      </c>
      <c r="N25" s="30">
        <f t="shared" si="133"/>
        <v>7.6502406746704565</v>
      </c>
      <c r="O25" s="30">
        <f t="shared" si="133"/>
        <v>7.7487088595737266</v>
      </c>
      <c r="P25" s="30">
        <v>7.8471770444769966</v>
      </c>
      <c r="Q25" s="30">
        <f t="shared" ref="Q25:T25" si="134">P25+(($U25-$P25)/5)</f>
        <v>7.8685325714900696</v>
      </c>
      <c r="R25" s="30">
        <f t="shared" si="134"/>
        <v>7.8898880985031425</v>
      </c>
      <c r="S25" s="30">
        <f t="shared" si="134"/>
        <v>7.9112436255162155</v>
      </c>
      <c r="T25" s="30">
        <f t="shared" si="134"/>
        <v>7.9325991525292885</v>
      </c>
      <c r="U25" s="30">
        <v>7.9539546795423632</v>
      </c>
      <c r="V25" s="30">
        <f t="shared" ref="V25:Y25" si="135">U25+(($Z25-$U25)/5)</f>
        <v>8.0054910104807817</v>
      </c>
      <c r="W25" s="30">
        <f t="shared" si="135"/>
        <v>8.0570273414192002</v>
      </c>
      <c r="X25" s="30">
        <f t="shared" si="135"/>
        <v>8.1085636723576187</v>
      </c>
      <c r="Y25" s="30">
        <f t="shared" si="135"/>
        <v>8.1601000032960371</v>
      </c>
      <c r="Z25" s="30">
        <v>8.2116363342344556</v>
      </c>
      <c r="AA25" s="30">
        <f t="shared" ref="AA25:AD25" si="136">Z25+(($AE25-$Z25)/5)</f>
        <v>8.2721395780186935</v>
      </c>
      <c r="AB25" s="30">
        <f t="shared" si="136"/>
        <v>8.3326428218029314</v>
      </c>
      <c r="AC25" s="30">
        <f t="shared" si="136"/>
        <v>8.3931460655871692</v>
      </c>
      <c r="AD25" s="30">
        <f t="shared" si="136"/>
        <v>8.4536493093714071</v>
      </c>
      <c r="AE25" s="30">
        <v>8.5141525531556468</v>
      </c>
      <c r="AF25" s="30">
        <f t="shared" ref="AF25:AI25" si="137">AE25+(($AJ25-$AE25)/5)</f>
        <v>8.5578368104224687</v>
      </c>
      <c r="AG25" s="30">
        <f t="shared" si="137"/>
        <v>8.6015210676892906</v>
      </c>
      <c r="AH25" s="30">
        <f t="shared" si="137"/>
        <v>8.6452053249561125</v>
      </c>
      <c r="AI25" s="30">
        <f t="shared" si="137"/>
        <v>8.6888895822229344</v>
      </c>
      <c r="AJ25" s="30">
        <v>8.7325738394897527</v>
      </c>
      <c r="AK25" s="31">
        <v>6.9950331923568365</v>
      </c>
      <c r="AL25" s="31">
        <v>0.53596266057707176</v>
      </c>
    </row>
    <row r="26" spans="1:38" x14ac:dyDescent="0.3">
      <c r="A26" t="str">
        <f>VLOOKUP(B26,'Country codes'!$A$1:$B$28,2,FALSE)</f>
        <v>RO</v>
      </c>
      <c r="B26" s="23" t="s">
        <v>113</v>
      </c>
      <c r="C26" s="24" t="s">
        <v>121</v>
      </c>
      <c r="D26" s="28" t="s">
        <v>122</v>
      </c>
      <c r="E26" s="29" t="s">
        <v>733</v>
      </c>
      <c r="F26" s="30">
        <v>10.992240733141742</v>
      </c>
      <c r="G26" s="30">
        <f t="shared" ref="G26:J26" si="138">F26+(($K26-$F26)/5)</f>
        <v>12.501069164833734</v>
      </c>
      <c r="H26" s="30">
        <f t="shared" si="138"/>
        <v>14.009897596525725</v>
      </c>
      <c r="I26" s="30">
        <f t="shared" si="138"/>
        <v>15.518726028217717</v>
      </c>
      <c r="J26" s="30">
        <f t="shared" si="138"/>
        <v>17.027554459909709</v>
      </c>
      <c r="K26" s="30">
        <v>18.536382891601704</v>
      </c>
      <c r="L26" s="30">
        <f t="shared" ref="L26:O26" si="139">K26+(($P26-$K26)/5)</f>
        <v>18.926281612497114</v>
      </c>
      <c r="M26" s="30">
        <f t="shared" si="139"/>
        <v>19.316180333392523</v>
      </c>
      <c r="N26" s="30">
        <f t="shared" si="139"/>
        <v>19.706079054287933</v>
      </c>
      <c r="O26" s="30">
        <f t="shared" si="139"/>
        <v>20.095977775183343</v>
      </c>
      <c r="P26" s="30">
        <v>20.485876496078749</v>
      </c>
      <c r="Q26" s="30">
        <f t="shared" ref="Q26:T26" si="140">P26+(($U26-$P26)/5)</f>
        <v>20.572397232252772</v>
      </c>
      <c r="R26" s="30">
        <f t="shared" si="140"/>
        <v>20.658917968426795</v>
      </c>
      <c r="S26" s="30">
        <f t="shared" si="140"/>
        <v>20.745438704600819</v>
      </c>
      <c r="T26" s="30">
        <f t="shared" si="140"/>
        <v>20.831959440774842</v>
      </c>
      <c r="U26" s="30">
        <v>20.918480176948869</v>
      </c>
      <c r="V26" s="30">
        <f t="shared" ref="V26:Y26" si="141">U26+(($Z26-$U26)/5)</f>
        <v>21.139854728509061</v>
      </c>
      <c r="W26" s="30">
        <f t="shared" si="141"/>
        <v>21.361229280069253</v>
      </c>
      <c r="X26" s="30">
        <f t="shared" si="141"/>
        <v>21.582603831629445</v>
      </c>
      <c r="Y26" s="30">
        <f t="shared" si="141"/>
        <v>21.803978383189637</v>
      </c>
      <c r="Z26" s="30">
        <v>22.025352934749826</v>
      </c>
      <c r="AA26" s="30">
        <f t="shared" ref="AA26:AD26" si="142">Z26+(($AE26-$Z26)/5)</f>
        <v>22.072991763484922</v>
      </c>
      <c r="AB26" s="30">
        <f t="shared" si="142"/>
        <v>22.120630592220017</v>
      </c>
      <c r="AC26" s="30">
        <f t="shared" si="142"/>
        <v>22.168269420955113</v>
      </c>
      <c r="AD26" s="30">
        <f t="shared" si="142"/>
        <v>22.215908249690209</v>
      </c>
      <c r="AE26" s="30">
        <v>22.263547078425304</v>
      </c>
      <c r="AF26" s="30">
        <f t="shared" ref="AF26:AI26" si="143">AE26+(($AJ26-$AE26)/5)</f>
        <v>22.26966395334134</v>
      </c>
      <c r="AG26" s="30">
        <f t="shared" si="143"/>
        <v>22.275780828257375</v>
      </c>
      <c r="AH26" s="30">
        <f t="shared" si="143"/>
        <v>22.28189770317341</v>
      </c>
      <c r="AI26" s="30">
        <f t="shared" si="143"/>
        <v>22.288014578089445</v>
      </c>
      <c r="AJ26" s="30">
        <v>22.294131453005473</v>
      </c>
      <c r="AK26" s="31">
        <v>6.423327055114636</v>
      </c>
      <c r="AL26" s="31">
        <v>0.42383456382948381</v>
      </c>
    </row>
    <row r="27" spans="1:38" x14ac:dyDescent="0.3">
      <c r="A27" t="str">
        <f>VLOOKUP(B27,'Country codes'!$A$1:$B$28,2,FALSE)</f>
        <v>SE</v>
      </c>
      <c r="B27" s="23" t="s">
        <v>114</v>
      </c>
      <c r="C27" s="24" t="s">
        <v>121</v>
      </c>
      <c r="D27" s="28" t="s">
        <v>122</v>
      </c>
      <c r="E27" s="29" t="s">
        <v>733</v>
      </c>
      <c r="F27" s="30">
        <v>9.3881319383439692</v>
      </c>
      <c r="G27" s="30">
        <f t="shared" ref="G27:J27" si="144">F27+(($K27-$F27)/5)</f>
        <v>9.5405833499873225</v>
      </c>
      <c r="H27" s="30">
        <f t="shared" si="144"/>
        <v>9.6930347616306758</v>
      </c>
      <c r="I27" s="30">
        <f t="shared" si="144"/>
        <v>9.8454861732740291</v>
      </c>
      <c r="J27" s="30">
        <f t="shared" si="144"/>
        <v>9.9979375849173824</v>
      </c>
      <c r="K27" s="30">
        <v>10.150388996560739</v>
      </c>
      <c r="L27" s="30">
        <f t="shared" ref="L27:O27" si="145">K27+(($P27-$K27)/5)</f>
        <v>10.266296233995662</v>
      </c>
      <c r="M27" s="30">
        <f t="shared" si="145"/>
        <v>10.382203471430586</v>
      </c>
      <c r="N27" s="30">
        <f t="shared" si="145"/>
        <v>10.498110708865509</v>
      </c>
      <c r="O27" s="30">
        <f t="shared" si="145"/>
        <v>10.614017946300432</v>
      </c>
      <c r="P27" s="30">
        <v>10.729925183735359</v>
      </c>
      <c r="Q27" s="30">
        <f t="shared" ref="Q27:T27" si="146">P27+(($U27-$P27)/5)</f>
        <v>10.754461783895605</v>
      </c>
      <c r="R27" s="30">
        <f t="shared" si="146"/>
        <v>10.778998384055852</v>
      </c>
      <c r="S27" s="30">
        <f t="shared" si="146"/>
        <v>10.803534984216098</v>
      </c>
      <c r="T27" s="30">
        <f t="shared" si="146"/>
        <v>10.828071584376344</v>
      </c>
      <c r="U27" s="30">
        <v>10.852608184536594</v>
      </c>
      <c r="V27" s="30">
        <f t="shared" ref="V27:Y27" si="147">U27+(($Z27-$U27)/5)</f>
        <v>10.889057224703723</v>
      </c>
      <c r="W27" s="30">
        <f t="shared" si="147"/>
        <v>10.925506264870853</v>
      </c>
      <c r="X27" s="30">
        <f t="shared" si="147"/>
        <v>10.961955305037982</v>
      </c>
      <c r="Y27" s="30">
        <f t="shared" si="147"/>
        <v>10.998404345205111</v>
      </c>
      <c r="Z27" s="30">
        <v>11.034853385372241</v>
      </c>
      <c r="AA27" s="30">
        <f t="shared" ref="AA27:AD27" si="148">Z27+(($AE27-$Z27)/5)</f>
        <v>11.118707240290583</v>
      </c>
      <c r="AB27" s="30">
        <f t="shared" si="148"/>
        <v>11.202561095208925</v>
      </c>
      <c r="AC27" s="30">
        <f t="shared" si="148"/>
        <v>11.286414950127266</v>
      </c>
      <c r="AD27" s="30">
        <f t="shared" si="148"/>
        <v>11.370268805045608</v>
      </c>
      <c r="AE27" s="30">
        <v>11.454122659963948</v>
      </c>
      <c r="AF27" s="30">
        <f t="shared" ref="AF27:AI27" si="149">AE27+(($AJ27-$AE27)/5)</f>
        <v>11.496865413769543</v>
      </c>
      <c r="AG27" s="30">
        <f t="shared" si="149"/>
        <v>11.539608167575137</v>
      </c>
      <c r="AH27" s="30">
        <f t="shared" si="149"/>
        <v>11.582350921380732</v>
      </c>
      <c r="AI27" s="30">
        <f t="shared" si="149"/>
        <v>11.625093675186326</v>
      </c>
      <c r="AJ27" s="30">
        <v>11.667836428991924</v>
      </c>
      <c r="AK27" s="31">
        <v>1.3448655674651144</v>
      </c>
      <c r="AL27" s="31">
        <v>0.41987626644062193</v>
      </c>
    </row>
    <row r="28" spans="1:38" x14ac:dyDescent="0.3">
      <c r="A28" t="str">
        <f>VLOOKUP(B28,'Country codes'!$A$1:$B$28,2,FALSE)</f>
        <v>SI</v>
      </c>
      <c r="B28" s="23" t="s">
        <v>115</v>
      </c>
      <c r="C28" s="24" t="s">
        <v>121</v>
      </c>
      <c r="D28" s="28" t="s">
        <v>122</v>
      </c>
      <c r="E28" s="29" t="s">
        <v>733</v>
      </c>
      <c r="F28" s="30">
        <v>2.6876241884029826</v>
      </c>
      <c r="G28" s="30">
        <f t="shared" ref="G28:J28" si="150">F28+(($K28-$F28)/5)</f>
        <v>2.9424240950390876</v>
      </c>
      <c r="H28" s="30">
        <f t="shared" si="150"/>
        <v>3.1972240016751927</v>
      </c>
      <c r="I28" s="30">
        <f t="shared" si="150"/>
        <v>3.4520239083112978</v>
      </c>
      <c r="J28" s="30">
        <f t="shared" si="150"/>
        <v>3.7068238149474029</v>
      </c>
      <c r="K28" s="30">
        <v>3.9616237215835088</v>
      </c>
      <c r="L28" s="30">
        <f t="shared" ref="L28:O28" si="151">K28+(($P28-$K28)/5)</f>
        <v>4.1294408523555619</v>
      </c>
      <c r="M28" s="30">
        <f t="shared" si="151"/>
        <v>4.297257983127615</v>
      </c>
      <c r="N28" s="30">
        <f t="shared" si="151"/>
        <v>4.465075113899668</v>
      </c>
      <c r="O28" s="30">
        <f t="shared" si="151"/>
        <v>4.6328922446717211</v>
      </c>
      <c r="P28" s="30">
        <v>4.8007093754437733</v>
      </c>
      <c r="Q28" s="30">
        <f t="shared" ref="Q28:T28" si="152">P28+(($U28-$P28)/5)</f>
        <v>4.8149740645689674</v>
      </c>
      <c r="R28" s="30">
        <f t="shared" si="152"/>
        <v>4.8292387536941614</v>
      </c>
      <c r="S28" s="30">
        <f t="shared" si="152"/>
        <v>4.8435034428193555</v>
      </c>
      <c r="T28" s="30">
        <f t="shared" si="152"/>
        <v>4.8577681319445496</v>
      </c>
      <c r="U28" s="30">
        <v>4.8720328210697428</v>
      </c>
      <c r="V28" s="30">
        <f t="shared" ref="V28:Y28" si="153">U28+(($Z28-$U28)/5)</f>
        <v>4.9043915927249984</v>
      </c>
      <c r="W28" s="30">
        <f t="shared" si="153"/>
        <v>4.9367503643802539</v>
      </c>
      <c r="X28" s="30">
        <f t="shared" si="153"/>
        <v>4.9691091360355095</v>
      </c>
      <c r="Y28" s="30">
        <f t="shared" si="153"/>
        <v>5.0014679076907651</v>
      </c>
      <c r="Z28" s="30">
        <v>5.0338266793460189</v>
      </c>
      <c r="AA28" s="30">
        <f t="shared" ref="AA28:AD28" si="154">Z28+(($AE28-$Z28)/5)</f>
        <v>5.0392293305813753</v>
      </c>
      <c r="AB28" s="30">
        <f t="shared" si="154"/>
        <v>5.0446319818167318</v>
      </c>
      <c r="AC28" s="30">
        <f t="shared" si="154"/>
        <v>5.0500346330520882</v>
      </c>
      <c r="AD28" s="30">
        <f t="shared" si="154"/>
        <v>5.0554372842874447</v>
      </c>
      <c r="AE28" s="30">
        <v>5.0608399355228011</v>
      </c>
      <c r="AF28" s="30">
        <f t="shared" ref="AF28:AI28" si="155">AE28+(($AJ28-$AE28)/5)</f>
        <v>5.0624367790726668</v>
      </c>
      <c r="AG28" s="30">
        <f t="shared" si="155"/>
        <v>5.0640336226225324</v>
      </c>
      <c r="AH28" s="30">
        <f t="shared" si="155"/>
        <v>5.0656304661723981</v>
      </c>
      <c r="AI28" s="30">
        <f t="shared" si="155"/>
        <v>5.0672273097222638</v>
      </c>
      <c r="AJ28" s="30">
        <v>5.0688241532721277</v>
      </c>
      <c r="AK28" s="31">
        <v>5.9726238447477042</v>
      </c>
      <c r="AL28" s="31">
        <v>0.27209538300099201</v>
      </c>
    </row>
    <row r="29" spans="1:38" x14ac:dyDescent="0.3">
      <c r="A29" t="str">
        <f>VLOOKUP(B29,'Country codes'!$A$1:$B$28,2,FALSE)</f>
        <v>SK</v>
      </c>
      <c r="B29" s="23" t="s">
        <v>116</v>
      </c>
      <c r="C29" s="24" t="s">
        <v>121</v>
      </c>
      <c r="D29" s="28" t="s">
        <v>122</v>
      </c>
      <c r="E29" s="29" t="s">
        <v>733</v>
      </c>
      <c r="F29" s="30">
        <v>4.5222415486210421</v>
      </c>
      <c r="G29" s="30">
        <f t="shared" ref="G29:J29" si="156">F29+(($K29-$F29)/5)</f>
        <v>4.8404409254721319</v>
      </c>
      <c r="H29" s="30">
        <f t="shared" si="156"/>
        <v>5.1586403023232217</v>
      </c>
      <c r="I29" s="30">
        <f t="shared" si="156"/>
        <v>5.4768396791743115</v>
      </c>
      <c r="J29" s="30">
        <f t="shared" si="156"/>
        <v>5.7950390560254013</v>
      </c>
      <c r="K29" s="30">
        <v>6.1132384328764928</v>
      </c>
      <c r="L29" s="30">
        <f t="shared" ref="L29:O29" si="157">K29+(($P29-$K29)/5)</f>
        <v>6.2427483887019468</v>
      </c>
      <c r="M29" s="30">
        <f t="shared" si="157"/>
        <v>6.3722583445274008</v>
      </c>
      <c r="N29" s="30">
        <f t="shared" si="157"/>
        <v>6.5017683003528548</v>
      </c>
      <c r="O29" s="30">
        <f t="shared" si="157"/>
        <v>6.6312782561783088</v>
      </c>
      <c r="P29" s="30">
        <v>6.760788212003761</v>
      </c>
      <c r="Q29" s="30">
        <f t="shared" ref="Q29:T29" si="158">P29+(($U29-$P29)/5)</f>
        <v>6.8096149106559967</v>
      </c>
      <c r="R29" s="30">
        <f t="shared" si="158"/>
        <v>6.8584416093082323</v>
      </c>
      <c r="S29" s="30">
        <f t="shared" si="158"/>
        <v>6.907268307960468</v>
      </c>
      <c r="T29" s="30">
        <f t="shared" si="158"/>
        <v>6.9560950066127036</v>
      </c>
      <c r="U29" s="30">
        <v>7.0049217052649411</v>
      </c>
      <c r="V29" s="30">
        <f t="shared" ref="V29:Y29" si="159">U29+(($Z29-$U29)/5)</f>
        <v>7.0906466356491267</v>
      </c>
      <c r="W29" s="30">
        <f t="shared" si="159"/>
        <v>7.1763715660333123</v>
      </c>
      <c r="X29" s="30">
        <f t="shared" si="159"/>
        <v>7.2620964964174979</v>
      </c>
      <c r="Y29" s="30">
        <f t="shared" si="159"/>
        <v>7.3478214268016835</v>
      </c>
      <c r="Z29" s="30">
        <v>7.4335463571858682</v>
      </c>
      <c r="AA29" s="30">
        <f t="shared" ref="AA29:AD29" si="160">Z29+(($AE29-$Z29)/5)</f>
        <v>7.4672966343970355</v>
      </c>
      <c r="AB29" s="30">
        <f t="shared" si="160"/>
        <v>7.5010469116082028</v>
      </c>
      <c r="AC29" s="30">
        <f t="shared" si="160"/>
        <v>7.5347971888193701</v>
      </c>
      <c r="AD29" s="30">
        <f t="shared" si="160"/>
        <v>7.5685474660305374</v>
      </c>
      <c r="AE29" s="30">
        <v>7.6022977432417065</v>
      </c>
      <c r="AF29" s="30">
        <f t="shared" ref="AF29:AI29" si="161">AE29+(($AJ29-$AE29)/5)</f>
        <v>7.6228140933080377</v>
      </c>
      <c r="AG29" s="30">
        <f t="shared" si="161"/>
        <v>7.643330443374369</v>
      </c>
      <c r="AH29" s="30">
        <f t="shared" si="161"/>
        <v>7.6638467934407002</v>
      </c>
      <c r="AI29" s="30">
        <f t="shared" si="161"/>
        <v>7.6843631435070314</v>
      </c>
      <c r="AJ29" s="30">
        <v>7.7048794935733627</v>
      </c>
      <c r="AK29" s="31">
        <v>4.1032666841048115</v>
      </c>
      <c r="AL29" s="31">
        <v>0.65571217036295426</v>
      </c>
    </row>
  </sheetData>
  <autoFilter ref="A2:AL29" xr:uid="{CB17C631-9E4B-4F48-B8E8-51C6BC2DF3FA}">
    <sortState xmlns:xlrd2="http://schemas.microsoft.com/office/spreadsheetml/2017/richdata2" ref="A3:AL29">
      <sortCondition ref="A2:A29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874F6-CA1C-4F08-A9D2-B5FB311A1D48}">
  <dimension ref="A1:BB277"/>
  <sheetViews>
    <sheetView workbookViewId="0">
      <selection activeCell="A276" sqref="A276"/>
    </sheetView>
  </sheetViews>
  <sheetFormatPr defaultRowHeight="14.4" x14ac:dyDescent="0.3"/>
  <cols>
    <col min="2" max="2" width="14.44140625" bestFit="1" customWidth="1"/>
    <col min="3" max="5" width="12.5546875" bestFit="1" customWidth="1"/>
    <col min="6" max="54" width="11.5546875" bestFit="1" customWidth="1"/>
  </cols>
  <sheetData>
    <row r="1" spans="1:6" x14ac:dyDescent="0.3">
      <c r="A1" s="1" t="s">
        <v>513</v>
      </c>
    </row>
    <row r="2" spans="1:6" x14ac:dyDescent="0.3">
      <c r="A2" s="1" t="s">
        <v>515</v>
      </c>
    </row>
    <row r="3" spans="1:6" x14ac:dyDescent="0.3">
      <c r="A3" s="1" t="s">
        <v>1</v>
      </c>
      <c r="B3" s="11" t="s">
        <v>0</v>
      </c>
      <c r="C3" s="11">
        <v>2018</v>
      </c>
      <c r="D3" s="11">
        <v>2019</v>
      </c>
      <c r="E3" s="11">
        <v>2020</v>
      </c>
      <c r="F3" s="11">
        <v>2021</v>
      </c>
    </row>
    <row r="4" spans="1:6" x14ac:dyDescent="0.3">
      <c r="A4" t="str">
        <f>LEFT(B4,2)</f>
        <v>AT</v>
      </c>
      <c r="B4" t="s">
        <v>516</v>
      </c>
      <c r="C4" s="18">
        <v>20.588355110865798</v>
      </c>
      <c r="D4" s="18">
        <v>20.393509904745802</v>
      </c>
      <c r="E4" s="18">
        <v>18.398723037279201</v>
      </c>
      <c r="F4" s="18">
        <v>19.384640815228401</v>
      </c>
    </row>
    <row r="5" spans="1:6" x14ac:dyDescent="0.3">
      <c r="A5" t="str">
        <f t="shared" ref="A5:A68" si="0">LEFT(B5,2)</f>
        <v>AT</v>
      </c>
      <c r="B5" t="s">
        <v>517</v>
      </c>
      <c r="C5" s="18">
        <v>43.845246375712101</v>
      </c>
      <c r="D5" s="18">
        <v>41.948176622198503</v>
      </c>
      <c r="E5" s="18">
        <v>37.593802465027203</v>
      </c>
      <c r="F5" s="18">
        <v>38.268939407593301</v>
      </c>
    </row>
    <row r="6" spans="1:6" x14ac:dyDescent="0.3">
      <c r="A6" t="str">
        <f t="shared" si="0"/>
        <v>AT</v>
      </c>
      <c r="B6" t="s">
        <v>518</v>
      </c>
      <c r="C6" s="18">
        <v>7.2901037165873303E-2</v>
      </c>
      <c r="D6" s="18">
        <v>7.1712921373401101E-2</v>
      </c>
      <c r="E6" s="18">
        <v>6.3128694526293605E-2</v>
      </c>
      <c r="F6" s="18">
        <v>6.2015322122284201E-2</v>
      </c>
    </row>
    <row r="7" spans="1:6" x14ac:dyDescent="0.3">
      <c r="A7" t="str">
        <f t="shared" si="0"/>
        <v>AT</v>
      </c>
      <c r="B7" t="s">
        <v>519</v>
      </c>
      <c r="C7" s="18">
        <v>7.3632820219148104E-2</v>
      </c>
      <c r="D7" s="18">
        <v>5.3981466349962502E-2</v>
      </c>
      <c r="E7" s="18">
        <v>3.3488921561949998E-2</v>
      </c>
      <c r="F7" s="18">
        <v>3.3846471110303103E-2</v>
      </c>
    </row>
    <row r="8" spans="1:6" x14ac:dyDescent="0.3">
      <c r="A8" t="str">
        <f t="shared" si="0"/>
        <v>AT</v>
      </c>
      <c r="B8" t="s">
        <v>520</v>
      </c>
      <c r="C8" s="18">
        <v>3.5139727194744799E-2</v>
      </c>
      <c r="D8" s="18">
        <v>8.9080543860923997E-2</v>
      </c>
      <c r="E8" s="18">
        <v>0.186046742818234</v>
      </c>
      <c r="F8" s="18">
        <v>0.369499333725399</v>
      </c>
    </row>
    <row r="9" spans="1:6" x14ac:dyDescent="0.3">
      <c r="A9" t="str">
        <f t="shared" si="0"/>
        <v>AT</v>
      </c>
      <c r="B9" t="s">
        <v>521</v>
      </c>
      <c r="C9" s="18">
        <v>0.275628722378505</v>
      </c>
      <c r="D9" s="18">
        <v>0.354790629017187</v>
      </c>
      <c r="E9" s="18">
        <v>0.45654058525165703</v>
      </c>
      <c r="F9" s="18">
        <v>0.72152407449151401</v>
      </c>
    </row>
    <row r="10" spans="1:6" x14ac:dyDescent="0.3">
      <c r="A10" t="str">
        <f t="shared" si="0"/>
        <v>AT</v>
      </c>
      <c r="B10" t="s">
        <v>522</v>
      </c>
      <c r="C10" s="18">
        <v>6.4415996386906094E-2</v>
      </c>
      <c r="D10" s="18">
        <v>8.7381030873969395E-2</v>
      </c>
      <c r="E10" s="18">
        <v>0.14833650312688701</v>
      </c>
      <c r="F10" s="18">
        <v>0.29600541680346998</v>
      </c>
    </row>
    <row r="11" spans="1:6" x14ac:dyDescent="0.3">
      <c r="A11" t="str">
        <f t="shared" si="0"/>
        <v>AT</v>
      </c>
      <c r="B11" t="s">
        <v>241</v>
      </c>
      <c r="C11" s="18">
        <v>0.31194983399154402</v>
      </c>
      <c r="D11" s="18">
        <v>0.44189341851075098</v>
      </c>
      <c r="E11" s="18">
        <v>0.57826771903644703</v>
      </c>
      <c r="F11" s="18">
        <v>1.13800436636205</v>
      </c>
    </row>
    <row r="12" spans="1:6" x14ac:dyDescent="0.3">
      <c r="A12" t="str">
        <f t="shared" si="0"/>
        <v>AT</v>
      </c>
      <c r="B12" t="s">
        <v>523</v>
      </c>
      <c r="C12" s="4">
        <v>0</v>
      </c>
      <c r="D12" s="4">
        <v>0</v>
      </c>
      <c r="E12" s="4">
        <v>0</v>
      </c>
      <c r="F12" s="4">
        <v>0</v>
      </c>
    </row>
    <row r="13" spans="1:6" x14ac:dyDescent="0.3">
      <c r="A13" t="str">
        <f t="shared" si="0"/>
        <v>BG</v>
      </c>
      <c r="B13" t="s">
        <v>524</v>
      </c>
      <c r="C13" s="18">
        <v>6.2594925379999999</v>
      </c>
      <c r="D13" s="18">
        <v>6.3171361929999996</v>
      </c>
      <c r="E13" s="18">
        <v>6.1412190620000002</v>
      </c>
      <c r="F13" s="18">
        <v>6.7090342969999996</v>
      </c>
    </row>
    <row r="14" spans="1:6" x14ac:dyDescent="0.3">
      <c r="A14" t="str">
        <f t="shared" si="0"/>
        <v>BG</v>
      </c>
      <c r="B14" t="s">
        <v>525</v>
      </c>
      <c r="C14" s="18">
        <v>18.14039666</v>
      </c>
      <c r="D14" s="18">
        <v>19.318801100000002</v>
      </c>
      <c r="E14" s="18">
        <v>18.976008849999999</v>
      </c>
      <c r="F14" s="18">
        <v>21.53224672</v>
      </c>
    </row>
    <row r="15" spans="1:6" x14ac:dyDescent="0.3">
      <c r="A15" t="str">
        <f t="shared" si="0"/>
        <v>BG</v>
      </c>
      <c r="B15" t="s">
        <v>526</v>
      </c>
      <c r="C15" s="18">
        <v>0.76490588100000001</v>
      </c>
      <c r="D15" s="18">
        <v>0.81575758499999995</v>
      </c>
      <c r="E15" s="18">
        <v>0.834640143</v>
      </c>
      <c r="F15" s="18">
        <v>0.81640378300000005</v>
      </c>
    </row>
    <row r="16" spans="1:6" x14ac:dyDescent="0.3">
      <c r="A16" t="str">
        <f t="shared" si="0"/>
        <v>BG</v>
      </c>
      <c r="B16" t="s">
        <v>527</v>
      </c>
      <c r="C16" s="18">
        <v>6.3559755759999996</v>
      </c>
      <c r="D16" s="18">
        <v>6.1586548499999996</v>
      </c>
      <c r="E16" s="18">
        <v>5.5832255169999998</v>
      </c>
      <c r="F16" s="18">
        <v>5.7343379580000002</v>
      </c>
    </row>
    <row r="17" spans="1:6" x14ac:dyDescent="0.3">
      <c r="A17" t="str">
        <f t="shared" si="0"/>
        <v>BG</v>
      </c>
      <c r="B17" t="s">
        <v>528</v>
      </c>
      <c r="C17" s="18">
        <v>0</v>
      </c>
      <c r="D17" s="18">
        <v>0</v>
      </c>
      <c r="E17" s="18">
        <v>1.997297E-2</v>
      </c>
      <c r="F17" s="18">
        <v>4.6647686000000001E-2</v>
      </c>
    </row>
    <row r="18" spans="1:6" x14ac:dyDescent="0.3">
      <c r="A18" t="str">
        <f t="shared" si="0"/>
        <v>BG</v>
      </c>
      <c r="B18" t="s">
        <v>529</v>
      </c>
      <c r="C18" s="18">
        <v>0</v>
      </c>
      <c r="D18" s="18">
        <v>0</v>
      </c>
      <c r="E18" s="18">
        <v>4.9797477E-2</v>
      </c>
      <c r="F18" s="18">
        <v>8.9025592000000001E-2</v>
      </c>
    </row>
    <row r="19" spans="1:6" x14ac:dyDescent="0.3">
      <c r="A19" t="str">
        <f t="shared" si="0"/>
        <v>BG</v>
      </c>
      <c r="B19" t="s">
        <v>530</v>
      </c>
      <c r="C19" s="18">
        <v>2.7865630000000001E-3</v>
      </c>
      <c r="D19" s="18">
        <v>7.6489180000000002E-3</v>
      </c>
      <c r="E19" s="18">
        <v>1.0623199999999999E-2</v>
      </c>
      <c r="F19" s="18">
        <v>1.6064386E-2</v>
      </c>
    </row>
    <row r="20" spans="1:6" x14ac:dyDescent="0.3">
      <c r="A20" t="str">
        <f t="shared" si="0"/>
        <v>BG</v>
      </c>
      <c r="B20" t="s">
        <v>251</v>
      </c>
      <c r="C20" s="18">
        <v>4.7891449999999999E-3</v>
      </c>
      <c r="D20" s="18">
        <v>8.025931E-3</v>
      </c>
      <c r="E20" s="18">
        <v>1.4031658000000001E-2</v>
      </c>
      <c r="F20" s="18">
        <v>1.9675587000000001E-2</v>
      </c>
    </row>
    <row r="21" spans="1:6" x14ac:dyDescent="0.3">
      <c r="A21" t="str">
        <f t="shared" si="0"/>
        <v>BG</v>
      </c>
      <c r="B21" t="s">
        <v>531</v>
      </c>
      <c r="C21" s="4">
        <v>0</v>
      </c>
      <c r="D21" s="4">
        <v>0</v>
      </c>
      <c r="E21" s="4">
        <v>0</v>
      </c>
      <c r="F21" s="4">
        <v>0</v>
      </c>
    </row>
    <row r="22" spans="1:6" x14ac:dyDescent="0.3">
      <c r="A22" t="str">
        <f t="shared" si="0"/>
        <v>BE</v>
      </c>
      <c r="B22" t="s">
        <v>532</v>
      </c>
      <c r="C22" s="18">
        <v>27.056839440000001</v>
      </c>
      <c r="D22" s="18">
        <v>30.534242190000001</v>
      </c>
      <c r="E22" s="18">
        <v>26.356474460000001</v>
      </c>
      <c r="F22" s="18">
        <v>30.000222780000001</v>
      </c>
    </row>
    <row r="23" spans="1:6" x14ac:dyDescent="0.3">
      <c r="A23" t="str">
        <f t="shared" si="0"/>
        <v>BE</v>
      </c>
      <c r="B23" t="s">
        <v>533</v>
      </c>
      <c r="C23" s="18">
        <v>58.331400690000002</v>
      </c>
      <c r="D23" s="18">
        <v>53.414441650000001</v>
      </c>
      <c r="E23" s="18">
        <v>44.674390289999998</v>
      </c>
      <c r="F23" s="18">
        <v>42.305149640000003</v>
      </c>
    </row>
    <row r="24" spans="1:6" x14ac:dyDescent="0.3">
      <c r="A24" t="str">
        <f t="shared" si="0"/>
        <v>BE</v>
      </c>
      <c r="B24" t="s">
        <v>534</v>
      </c>
      <c r="C24" s="18">
        <v>0.184453269</v>
      </c>
      <c r="D24" s="18">
        <v>0.27235376300000003</v>
      </c>
      <c r="E24" s="18">
        <v>0.29708980800000001</v>
      </c>
      <c r="F24" s="18">
        <v>0.30222780999999999</v>
      </c>
    </row>
    <row r="25" spans="1:6" x14ac:dyDescent="0.3">
      <c r="A25" t="str">
        <f t="shared" si="0"/>
        <v>BE</v>
      </c>
      <c r="B25" t="s">
        <v>535</v>
      </c>
      <c r="C25" s="18">
        <v>0.63424507299999999</v>
      </c>
      <c r="D25" s="18">
        <v>0.61952517600000001</v>
      </c>
      <c r="E25" s="18">
        <v>0.56563860399999999</v>
      </c>
      <c r="F25" s="18">
        <v>0.55477973999999997</v>
      </c>
    </row>
    <row r="26" spans="1:6" x14ac:dyDescent="0.3">
      <c r="A26" t="str">
        <f t="shared" si="0"/>
        <v>BE</v>
      </c>
      <c r="B26" t="s">
        <v>536</v>
      </c>
      <c r="C26" s="18">
        <v>0.108986773</v>
      </c>
      <c r="D26" s="18">
        <v>0.153447423</v>
      </c>
      <c r="E26" s="18">
        <v>0.29083783800000002</v>
      </c>
      <c r="F26" s="18">
        <v>0.67686736000000003</v>
      </c>
    </row>
    <row r="27" spans="1:6" x14ac:dyDescent="0.3">
      <c r="A27" t="str">
        <f t="shared" si="0"/>
        <v>BE</v>
      </c>
      <c r="B27" t="s">
        <v>537</v>
      </c>
      <c r="C27" s="18">
        <v>0.87742304100000001</v>
      </c>
      <c r="D27" s="18">
        <v>1.165218305</v>
      </c>
      <c r="E27" s="18">
        <v>1.2872246270000001</v>
      </c>
      <c r="F27" s="18">
        <v>2.2715363289999999</v>
      </c>
    </row>
    <row r="28" spans="1:6" x14ac:dyDescent="0.3">
      <c r="A28" t="str">
        <f t="shared" si="0"/>
        <v>BE</v>
      </c>
      <c r="B28" t="s">
        <v>538</v>
      </c>
      <c r="C28" s="18">
        <v>0.36843226000000001</v>
      </c>
      <c r="D28" s="18">
        <v>0.49057484499999998</v>
      </c>
      <c r="E28" s="18">
        <v>0.724593347</v>
      </c>
      <c r="F28" s="18">
        <v>1.3200615899999999</v>
      </c>
    </row>
    <row r="29" spans="1:6" x14ac:dyDescent="0.3">
      <c r="A29" t="str">
        <f t="shared" si="0"/>
        <v>BE</v>
      </c>
      <c r="B29" t="s">
        <v>261</v>
      </c>
      <c r="C29" s="18">
        <v>0.166092353</v>
      </c>
      <c r="D29" s="18">
        <v>0.28331404500000001</v>
      </c>
      <c r="E29" s="18">
        <v>0.44265627499999999</v>
      </c>
      <c r="F29" s="18">
        <v>0.83211318099999998</v>
      </c>
    </row>
    <row r="30" spans="1:6" x14ac:dyDescent="0.3">
      <c r="A30" t="str">
        <f t="shared" si="0"/>
        <v>BE</v>
      </c>
      <c r="B30" t="s">
        <v>539</v>
      </c>
      <c r="C30" s="4">
        <v>0</v>
      </c>
      <c r="D30" s="4">
        <v>0</v>
      </c>
      <c r="E30" s="4">
        <v>0</v>
      </c>
      <c r="F30" s="4">
        <v>0</v>
      </c>
    </row>
    <row r="31" spans="1:6" x14ac:dyDescent="0.3">
      <c r="A31" t="str">
        <f t="shared" si="0"/>
        <v>CZ</v>
      </c>
      <c r="B31" t="s">
        <v>540</v>
      </c>
      <c r="C31" s="18">
        <v>24.755291249999999</v>
      </c>
      <c r="D31" s="18">
        <v>25.34764672</v>
      </c>
      <c r="E31" s="18">
        <v>23.22384727</v>
      </c>
      <c r="F31" s="18">
        <v>24.422581640000001</v>
      </c>
    </row>
    <row r="32" spans="1:6" x14ac:dyDescent="0.3">
      <c r="A32" t="str">
        <f t="shared" si="0"/>
        <v>CZ</v>
      </c>
      <c r="B32" t="s">
        <v>541</v>
      </c>
      <c r="C32" s="18">
        <v>31.260596209999999</v>
      </c>
      <c r="D32" s="18">
        <v>32.888139590000002</v>
      </c>
      <c r="E32" s="18">
        <v>33.323774489999998</v>
      </c>
      <c r="F32" s="18">
        <v>38.003670280000001</v>
      </c>
    </row>
    <row r="33" spans="1:6" x14ac:dyDescent="0.3">
      <c r="A33" t="str">
        <f t="shared" si="0"/>
        <v>CZ</v>
      </c>
      <c r="B33" t="s">
        <v>542</v>
      </c>
      <c r="C33" s="18">
        <v>0.220236707</v>
      </c>
      <c r="D33" s="18">
        <v>0.24607570200000001</v>
      </c>
      <c r="E33" s="18">
        <v>0.24443219199999999</v>
      </c>
      <c r="F33" s="18">
        <v>0.27128416799999999</v>
      </c>
    </row>
    <row r="34" spans="1:6" x14ac:dyDescent="0.3">
      <c r="A34" t="str">
        <f t="shared" si="0"/>
        <v>CZ</v>
      </c>
      <c r="B34" t="s">
        <v>543</v>
      </c>
      <c r="C34" s="18">
        <v>0.99291249000000004</v>
      </c>
      <c r="D34" s="18">
        <v>0.95832888000000005</v>
      </c>
      <c r="E34" s="18">
        <v>0.82825967899999997</v>
      </c>
      <c r="F34" s="18">
        <v>0.84290411899999995</v>
      </c>
    </row>
    <row r="35" spans="1:6" x14ac:dyDescent="0.3">
      <c r="A35" t="str">
        <f t="shared" si="0"/>
        <v>CZ</v>
      </c>
      <c r="B35" t="s">
        <v>544</v>
      </c>
      <c r="C35" s="18">
        <v>0</v>
      </c>
      <c r="D35" s="18">
        <v>0</v>
      </c>
      <c r="E35" s="18">
        <v>0</v>
      </c>
      <c r="F35" s="18">
        <v>0</v>
      </c>
    </row>
    <row r="36" spans="1:6" x14ac:dyDescent="0.3">
      <c r="A36" t="str">
        <f t="shared" si="0"/>
        <v>CZ</v>
      </c>
      <c r="B36" t="s">
        <v>545</v>
      </c>
      <c r="C36" s="18">
        <v>0</v>
      </c>
      <c r="D36" s="18">
        <v>0</v>
      </c>
      <c r="E36" s="18">
        <v>0</v>
      </c>
      <c r="F36" s="18">
        <v>0</v>
      </c>
    </row>
    <row r="37" spans="1:6" x14ac:dyDescent="0.3">
      <c r="A37" t="str">
        <f t="shared" si="0"/>
        <v>CZ</v>
      </c>
      <c r="B37" t="s">
        <v>546</v>
      </c>
      <c r="C37" s="18">
        <v>6.7829229999999997E-3</v>
      </c>
      <c r="D37" s="18">
        <v>1.0102584E-2</v>
      </c>
      <c r="E37" s="18">
        <v>1.8934520999999999E-2</v>
      </c>
      <c r="F37" s="18">
        <v>3.7805023E-2</v>
      </c>
    </row>
    <row r="38" spans="1:6" x14ac:dyDescent="0.3">
      <c r="A38" t="str">
        <f t="shared" si="0"/>
        <v>CZ</v>
      </c>
      <c r="B38" t="s">
        <v>271</v>
      </c>
      <c r="C38" s="18">
        <v>3.1388486E-2</v>
      </c>
      <c r="D38" s="18">
        <v>4.0144239999999998E-2</v>
      </c>
      <c r="E38" s="18">
        <v>6.7930099999999993E-2</v>
      </c>
      <c r="F38" s="18">
        <v>0.102416243</v>
      </c>
    </row>
    <row r="39" spans="1:6" x14ac:dyDescent="0.3">
      <c r="A39" t="str">
        <f t="shared" si="0"/>
        <v>CZ</v>
      </c>
      <c r="B39" t="s">
        <v>547</v>
      </c>
      <c r="C39" s="4">
        <v>0</v>
      </c>
      <c r="D39" s="4">
        <v>0</v>
      </c>
      <c r="E39" s="4">
        <v>0</v>
      </c>
      <c r="F39" s="4">
        <v>0</v>
      </c>
    </row>
    <row r="40" spans="1:6" x14ac:dyDescent="0.3">
      <c r="A40" t="str">
        <f t="shared" si="0"/>
        <v>DK</v>
      </c>
      <c r="B40" t="s">
        <v>548</v>
      </c>
      <c r="C40" s="18">
        <v>22.183642200000001</v>
      </c>
      <c r="D40" s="18">
        <v>22.775407319999999</v>
      </c>
      <c r="E40" s="18">
        <v>21.55275052</v>
      </c>
      <c r="F40" s="18">
        <v>22.563703520000001</v>
      </c>
    </row>
    <row r="41" spans="1:6" x14ac:dyDescent="0.3">
      <c r="A41" t="str">
        <f t="shared" si="0"/>
        <v>DK</v>
      </c>
      <c r="B41" t="s">
        <v>549</v>
      </c>
      <c r="C41" s="18">
        <v>16.765715759999999</v>
      </c>
      <c r="D41" s="18">
        <v>16.74547072</v>
      </c>
      <c r="E41" s="18">
        <v>15.117071640000001</v>
      </c>
      <c r="F41" s="18">
        <v>14.78849003</v>
      </c>
    </row>
    <row r="42" spans="1:6" x14ac:dyDescent="0.3">
      <c r="A42" t="str">
        <f t="shared" si="0"/>
        <v>DK</v>
      </c>
      <c r="B42" t="s">
        <v>550</v>
      </c>
      <c r="C42" s="18">
        <v>6.3491420000000003E-3</v>
      </c>
      <c r="D42" s="18">
        <v>8.9517480000000007E-3</v>
      </c>
      <c r="E42" s="18">
        <v>1.0326323E-2</v>
      </c>
      <c r="F42" s="18">
        <v>1.3055143E-2</v>
      </c>
    </row>
    <row r="43" spans="1:6" x14ac:dyDescent="0.3">
      <c r="A43" t="str">
        <f t="shared" si="0"/>
        <v>DK</v>
      </c>
      <c r="B43" t="s">
        <v>551</v>
      </c>
      <c r="C43" s="18">
        <v>0</v>
      </c>
      <c r="D43" s="18">
        <v>0</v>
      </c>
      <c r="E43" s="18">
        <v>0</v>
      </c>
      <c r="F43" s="18">
        <v>0</v>
      </c>
    </row>
    <row r="44" spans="1:6" x14ac:dyDescent="0.3">
      <c r="A44" t="str">
        <f t="shared" si="0"/>
        <v>DK</v>
      </c>
      <c r="B44" t="s">
        <v>552</v>
      </c>
      <c r="C44" s="18">
        <v>0</v>
      </c>
      <c r="D44" s="18">
        <v>0</v>
      </c>
      <c r="E44" s="18">
        <v>0</v>
      </c>
      <c r="F44" s="18">
        <v>0</v>
      </c>
    </row>
    <row r="45" spans="1:6" x14ac:dyDescent="0.3">
      <c r="A45" t="str">
        <f t="shared" si="0"/>
        <v>DK</v>
      </c>
      <c r="B45" t="s">
        <v>553</v>
      </c>
      <c r="C45" s="18">
        <v>0</v>
      </c>
      <c r="D45" s="18">
        <v>0</v>
      </c>
      <c r="E45" s="18">
        <v>0</v>
      </c>
      <c r="F45" s="18">
        <v>0</v>
      </c>
    </row>
    <row r="46" spans="1:6" x14ac:dyDescent="0.3">
      <c r="A46" t="str">
        <f t="shared" si="0"/>
        <v>DK</v>
      </c>
      <c r="B46" t="s">
        <v>554</v>
      </c>
      <c r="C46" s="18">
        <v>5.8737301999999998E-2</v>
      </c>
      <c r="D46" s="18">
        <v>0.10917555600000001</v>
      </c>
      <c r="E46" s="18">
        <v>0.31709778999999999</v>
      </c>
      <c r="F46" s="18">
        <v>0.86031373899999997</v>
      </c>
    </row>
    <row r="47" spans="1:6" x14ac:dyDescent="0.3">
      <c r="A47" t="str">
        <f t="shared" si="0"/>
        <v>DK</v>
      </c>
      <c r="B47" t="s">
        <v>281</v>
      </c>
      <c r="C47" s="18">
        <v>0.15446734500000001</v>
      </c>
      <c r="D47" s="18">
        <v>0.23144432600000001</v>
      </c>
      <c r="E47" s="18">
        <v>0.40479958900000002</v>
      </c>
      <c r="F47" s="18">
        <v>0.89278016699999996</v>
      </c>
    </row>
    <row r="48" spans="1:6" x14ac:dyDescent="0.3">
      <c r="A48" t="str">
        <f t="shared" si="0"/>
        <v>DK</v>
      </c>
      <c r="B48" t="s">
        <v>555</v>
      </c>
      <c r="C48" s="4">
        <v>0</v>
      </c>
      <c r="D48" s="4">
        <v>0</v>
      </c>
      <c r="E48" s="4">
        <v>0</v>
      </c>
      <c r="F48" s="4">
        <v>0</v>
      </c>
    </row>
    <row r="49" spans="1:6" x14ac:dyDescent="0.3">
      <c r="A49" t="str">
        <f t="shared" si="0"/>
        <v>DE</v>
      </c>
      <c r="B49" t="s">
        <v>556</v>
      </c>
      <c r="C49" s="18">
        <v>254.3305866</v>
      </c>
      <c r="D49" s="18">
        <v>258.00948119999998</v>
      </c>
      <c r="E49" s="18">
        <v>233.8377188</v>
      </c>
      <c r="F49" s="18">
        <v>232.71423340000001</v>
      </c>
    </row>
    <row r="50" spans="1:6" x14ac:dyDescent="0.3">
      <c r="A50" t="str">
        <f t="shared" si="0"/>
        <v>DE</v>
      </c>
      <c r="B50" t="s">
        <v>557</v>
      </c>
      <c r="C50" s="18">
        <v>267.4610715</v>
      </c>
      <c r="D50" s="18">
        <v>266.65673759999999</v>
      </c>
      <c r="E50" s="18">
        <v>228.20928499999999</v>
      </c>
      <c r="F50" s="18">
        <v>220.0970059</v>
      </c>
    </row>
    <row r="51" spans="1:6" x14ac:dyDescent="0.3">
      <c r="A51" t="str">
        <f t="shared" si="0"/>
        <v>DE</v>
      </c>
      <c r="B51" t="s">
        <v>558</v>
      </c>
      <c r="C51" s="18">
        <v>1.468616336</v>
      </c>
      <c r="D51" s="18">
        <v>1.548818494</v>
      </c>
      <c r="E51" s="18">
        <v>1.3773586120000001</v>
      </c>
      <c r="F51" s="18">
        <v>1.35172932</v>
      </c>
    </row>
    <row r="52" spans="1:6" x14ac:dyDescent="0.3">
      <c r="A52" t="str">
        <f t="shared" si="0"/>
        <v>DE</v>
      </c>
      <c r="B52" t="s">
        <v>559</v>
      </c>
      <c r="C52" s="18">
        <v>5.4485039970000004</v>
      </c>
      <c r="D52" s="18">
        <v>5.1041300420000004</v>
      </c>
      <c r="E52" s="18">
        <v>4.3372487230000001</v>
      </c>
      <c r="F52" s="18">
        <v>4.1653323139999996</v>
      </c>
    </row>
    <row r="53" spans="1:6" x14ac:dyDescent="0.3">
      <c r="A53" t="str">
        <f t="shared" si="0"/>
        <v>DE</v>
      </c>
      <c r="B53" t="s">
        <v>560</v>
      </c>
      <c r="C53" s="18">
        <v>0.43236290300000002</v>
      </c>
      <c r="D53" s="18">
        <v>1.442039563</v>
      </c>
      <c r="E53" s="18">
        <v>2.73007219</v>
      </c>
      <c r="F53" s="18">
        <v>4.539242454</v>
      </c>
    </row>
    <row r="54" spans="1:6" x14ac:dyDescent="0.3">
      <c r="A54" t="str">
        <f t="shared" si="0"/>
        <v>DE</v>
      </c>
      <c r="B54" t="s">
        <v>561</v>
      </c>
      <c r="C54" s="18">
        <v>2.0473205860000001</v>
      </c>
      <c r="D54" s="18">
        <v>2.9977781069999998</v>
      </c>
      <c r="E54" s="18">
        <v>4.0485383370000001</v>
      </c>
      <c r="F54" s="18">
        <v>6.0016474889999998</v>
      </c>
    </row>
    <row r="55" spans="1:6" x14ac:dyDescent="0.3">
      <c r="A55" t="str">
        <f t="shared" si="0"/>
        <v>DE</v>
      </c>
      <c r="B55" t="s">
        <v>562</v>
      </c>
      <c r="C55" s="18">
        <v>0.578282835</v>
      </c>
      <c r="D55" s="18">
        <v>0.96499418999999997</v>
      </c>
      <c r="E55" s="18">
        <v>2.2494195989999999</v>
      </c>
      <c r="F55" s="18">
        <v>4.8480108059999996</v>
      </c>
    </row>
    <row r="56" spans="1:6" x14ac:dyDescent="0.3">
      <c r="A56" t="str">
        <f t="shared" si="0"/>
        <v>DE</v>
      </c>
      <c r="B56" t="s">
        <v>291</v>
      </c>
      <c r="C56" s="18">
        <v>1.3783168349999999</v>
      </c>
      <c r="D56" s="18">
        <v>2.2183533679999998</v>
      </c>
      <c r="E56" s="18">
        <v>4.7591047870000001</v>
      </c>
      <c r="F56" s="18">
        <v>10.87684307</v>
      </c>
    </row>
    <row r="57" spans="1:6" x14ac:dyDescent="0.3">
      <c r="A57" t="str">
        <f t="shared" si="0"/>
        <v>DE</v>
      </c>
      <c r="B57" t="s">
        <v>563</v>
      </c>
      <c r="C57" s="4">
        <v>0</v>
      </c>
      <c r="D57" s="4">
        <v>0</v>
      </c>
      <c r="E57" s="4">
        <v>0</v>
      </c>
      <c r="F57" s="4">
        <v>0</v>
      </c>
    </row>
    <row r="58" spans="1:6" x14ac:dyDescent="0.3">
      <c r="A58" t="str">
        <f t="shared" si="0"/>
        <v>EE</v>
      </c>
      <c r="B58" t="s">
        <v>564</v>
      </c>
      <c r="C58" s="18">
        <v>3.643744957</v>
      </c>
      <c r="D58" s="18">
        <v>3.7515875310000002</v>
      </c>
      <c r="E58" s="18">
        <v>2.9872885089999999</v>
      </c>
      <c r="F58" s="18">
        <v>2.8075247569999999</v>
      </c>
    </row>
    <row r="59" spans="1:6" x14ac:dyDescent="0.3">
      <c r="A59" t="str">
        <f t="shared" si="0"/>
        <v>EE</v>
      </c>
      <c r="B59" t="s">
        <v>565</v>
      </c>
      <c r="C59" s="18">
        <v>3.9292768260000002</v>
      </c>
      <c r="D59" s="18">
        <v>3.9253201610000001</v>
      </c>
      <c r="E59" s="18">
        <v>4.3401400429999999</v>
      </c>
      <c r="F59" s="18">
        <v>4.6047235840000003</v>
      </c>
    </row>
    <row r="60" spans="1:6" x14ac:dyDescent="0.3">
      <c r="A60" t="str">
        <f t="shared" si="0"/>
        <v>EE</v>
      </c>
      <c r="B60" t="s">
        <v>566</v>
      </c>
      <c r="C60" s="18">
        <v>4.7118496000000003E-2</v>
      </c>
      <c r="D60" s="18">
        <v>0.15126825299999999</v>
      </c>
      <c r="E60" s="18">
        <v>0.25684252800000001</v>
      </c>
      <c r="F60" s="18">
        <v>0.34550800799999998</v>
      </c>
    </row>
    <row r="61" spans="1:6" x14ac:dyDescent="0.3">
      <c r="A61" t="str">
        <f t="shared" si="0"/>
        <v>EE</v>
      </c>
      <c r="B61" t="s">
        <v>567</v>
      </c>
      <c r="C61" s="18">
        <v>0.104147661</v>
      </c>
      <c r="D61" s="18">
        <v>0.12368195899999999</v>
      </c>
      <c r="E61" s="18">
        <v>0.12927877600000001</v>
      </c>
      <c r="F61" s="18">
        <v>0.13309077599999999</v>
      </c>
    </row>
    <row r="62" spans="1:6" x14ac:dyDescent="0.3">
      <c r="A62" t="str">
        <f t="shared" si="0"/>
        <v>EE</v>
      </c>
      <c r="B62" t="s">
        <v>568</v>
      </c>
      <c r="C62" s="18">
        <v>1.9784529999999998E-3</v>
      </c>
      <c r="D62" s="18">
        <v>5.6615260000000001E-3</v>
      </c>
      <c r="E62" s="18">
        <v>1.3282387999999999E-2</v>
      </c>
      <c r="F62" s="18">
        <v>3.3531447999999998E-2</v>
      </c>
    </row>
    <row r="63" spans="1:6" x14ac:dyDescent="0.3">
      <c r="A63" t="str">
        <f t="shared" si="0"/>
        <v>EE</v>
      </c>
      <c r="B63" t="s">
        <v>569</v>
      </c>
      <c r="C63" s="18">
        <v>5.1164693999999997E-2</v>
      </c>
      <c r="D63" s="18">
        <v>7.3106101000000007E-2</v>
      </c>
      <c r="E63" s="18">
        <v>7.7002240999999999E-2</v>
      </c>
      <c r="F63" s="18">
        <v>0.103658818</v>
      </c>
    </row>
    <row r="64" spans="1:6" x14ac:dyDescent="0.3">
      <c r="A64" t="str">
        <f t="shared" si="0"/>
        <v>EE</v>
      </c>
      <c r="B64" t="s">
        <v>570</v>
      </c>
      <c r="C64" s="18">
        <v>1.084783E-3</v>
      </c>
      <c r="D64" s="18">
        <v>1.2740799999999999E-3</v>
      </c>
      <c r="E64" s="18">
        <v>2.0697689999999999E-3</v>
      </c>
      <c r="F64" s="18">
        <v>5.9965369999999997E-3</v>
      </c>
    </row>
    <row r="65" spans="1:6" x14ac:dyDescent="0.3">
      <c r="A65" t="str">
        <f t="shared" si="0"/>
        <v>EE</v>
      </c>
      <c r="B65" t="s">
        <v>301</v>
      </c>
      <c r="C65" s="18">
        <v>1.8557892999999999E-2</v>
      </c>
      <c r="D65" s="18">
        <v>2.1616148000000002E-2</v>
      </c>
      <c r="E65" s="18">
        <v>2.325522E-2</v>
      </c>
      <c r="F65" s="18">
        <v>3.2911106000000002E-2</v>
      </c>
    </row>
    <row r="66" spans="1:6" x14ac:dyDescent="0.3">
      <c r="A66" t="str">
        <f t="shared" si="0"/>
        <v>EE</v>
      </c>
      <c r="B66" t="s">
        <v>571</v>
      </c>
      <c r="C66" s="4">
        <v>0</v>
      </c>
      <c r="D66" s="4">
        <v>0</v>
      </c>
      <c r="E66" s="4">
        <v>0</v>
      </c>
      <c r="F66" s="4">
        <v>0</v>
      </c>
    </row>
    <row r="67" spans="1:6" x14ac:dyDescent="0.3">
      <c r="A67" t="str">
        <f t="shared" si="0"/>
        <v>IE</v>
      </c>
      <c r="B67" t="s">
        <v>572</v>
      </c>
      <c r="C67" s="18">
        <v>13.23839167</v>
      </c>
      <c r="D67" s="18">
        <v>12.571448549999999</v>
      </c>
      <c r="E67" s="18">
        <v>9.7657384490000005</v>
      </c>
      <c r="F67" s="18">
        <v>9.6445653060000005</v>
      </c>
    </row>
    <row r="68" spans="1:6" x14ac:dyDescent="0.3">
      <c r="A68" t="str">
        <f t="shared" si="0"/>
        <v>IE</v>
      </c>
      <c r="B68" t="s">
        <v>573</v>
      </c>
      <c r="C68" s="18">
        <v>21.632318130000002</v>
      </c>
      <c r="D68" s="18">
        <v>22.34259462</v>
      </c>
      <c r="E68" s="18">
        <v>20.214006019999999</v>
      </c>
      <c r="F68" s="18">
        <v>20.98677829</v>
      </c>
    </row>
    <row r="69" spans="1:6" x14ac:dyDescent="0.3">
      <c r="A69" t="str">
        <f t="shared" ref="A69:A132" si="1">LEFT(B69,2)</f>
        <v>IE</v>
      </c>
      <c r="B69" t="s">
        <v>574</v>
      </c>
      <c r="C69" s="18">
        <v>0</v>
      </c>
      <c r="D69" s="18">
        <v>0</v>
      </c>
      <c r="E69" s="18">
        <v>0</v>
      </c>
      <c r="F69" s="18">
        <v>0</v>
      </c>
    </row>
    <row r="70" spans="1:6" x14ac:dyDescent="0.3">
      <c r="A70" t="str">
        <f t="shared" si="1"/>
        <v>IE</v>
      </c>
      <c r="B70" t="s">
        <v>575</v>
      </c>
      <c r="C70" s="18">
        <v>2.7578889999999998E-2</v>
      </c>
      <c r="D70" s="18">
        <v>2.4307374999999999E-2</v>
      </c>
      <c r="E70" s="18">
        <v>2.1044521E-2</v>
      </c>
      <c r="F70" s="18">
        <v>2.0739996E-2</v>
      </c>
    </row>
    <row r="71" spans="1:6" x14ac:dyDescent="0.3">
      <c r="A71" t="str">
        <f t="shared" si="1"/>
        <v>IE</v>
      </c>
      <c r="B71" t="s">
        <v>576</v>
      </c>
      <c r="C71" s="18">
        <v>1.4341868000000001E-2</v>
      </c>
      <c r="D71" s="18">
        <v>1.8917518000000001E-2</v>
      </c>
      <c r="E71" s="18">
        <v>2.4278599000000001E-2</v>
      </c>
      <c r="F71" s="18">
        <v>5.8826407999999997E-2</v>
      </c>
    </row>
    <row r="72" spans="1:6" x14ac:dyDescent="0.3">
      <c r="A72" t="str">
        <f t="shared" si="1"/>
        <v>IE</v>
      </c>
      <c r="B72" t="s">
        <v>577</v>
      </c>
      <c r="C72" s="18">
        <v>0.50298005000000001</v>
      </c>
      <c r="D72" s="18">
        <v>0.77424968900000002</v>
      </c>
      <c r="E72" s="18">
        <v>0.86828515900000003</v>
      </c>
      <c r="F72" s="18">
        <v>1.317040507</v>
      </c>
    </row>
    <row r="73" spans="1:6" x14ac:dyDescent="0.3">
      <c r="A73" t="str">
        <f t="shared" si="1"/>
        <v>IE</v>
      </c>
      <c r="B73" t="s">
        <v>578</v>
      </c>
      <c r="C73" s="18">
        <v>2.3826981000000001E-2</v>
      </c>
      <c r="D73" s="18">
        <v>4.2956922000000002E-2</v>
      </c>
      <c r="E73" s="18">
        <v>6.7395909000000004E-2</v>
      </c>
      <c r="F73" s="18">
        <v>0.219590751</v>
      </c>
    </row>
    <row r="74" spans="1:6" x14ac:dyDescent="0.3">
      <c r="A74" t="str">
        <f t="shared" si="1"/>
        <v>IE</v>
      </c>
      <c r="B74" t="s">
        <v>311</v>
      </c>
      <c r="C74" s="18">
        <v>6.3992119E-2</v>
      </c>
      <c r="D74" s="18">
        <v>0.127697167</v>
      </c>
      <c r="E74" s="18">
        <v>0.17030947299999999</v>
      </c>
      <c r="F74" s="18">
        <v>0.34844764900000003</v>
      </c>
    </row>
    <row r="75" spans="1:6" x14ac:dyDescent="0.3">
      <c r="A75" t="str">
        <f t="shared" si="1"/>
        <v>IE</v>
      </c>
      <c r="B75" t="s">
        <v>579</v>
      </c>
      <c r="C75" s="4">
        <v>0</v>
      </c>
      <c r="D75" s="4">
        <v>0</v>
      </c>
      <c r="E75" s="4">
        <v>0</v>
      </c>
      <c r="F75" s="4">
        <v>0</v>
      </c>
    </row>
    <row r="76" spans="1:6" x14ac:dyDescent="0.3">
      <c r="A76" t="str">
        <f t="shared" si="1"/>
        <v>GR</v>
      </c>
      <c r="B76" t="s">
        <v>580</v>
      </c>
      <c r="C76" s="18">
        <v>33.016519930000001</v>
      </c>
      <c r="D76" s="18">
        <v>32.272960980000001</v>
      </c>
      <c r="E76" s="18">
        <v>28.556240290000002</v>
      </c>
      <c r="F76" s="18">
        <v>29.48970821</v>
      </c>
    </row>
    <row r="77" spans="1:6" x14ac:dyDescent="0.3">
      <c r="A77" t="str">
        <f t="shared" si="1"/>
        <v>GR</v>
      </c>
      <c r="B77" t="s">
        <v>581</v>
      </c>
      <c r="C77" s="18">
        <v>5.8185479219999996</v>
      </c>
      <c r="D77" s="18">
        <v>7.36879712</v>
      </c>
      <c r="E77" s="18">
        <v>8.6270741730000005</v>
      </c>
      <c r="F77" s="18">
        <v>8.6407679240000004</v>
      </c>
    </row>
    <row r="78" spans="1:6" x14ac:dyDescent="0.3">
      <c r="A78" t="str">
        <f t="shared" si="1"/>
        <v>GR</v>
      </c>
      <c r="B78" t="s">
        <v>582</v>
      </c>
      <c r="C78" s="18">
        <v>4.1295046000000002E-2</v>
      </c>
      <c r="D78" s="18">
        <v>4.5096729000000002E-2</v>
      </c>
      <c r="E78" s="18">
        <v>6.0146145999999998E-2</v>
      </c>
      <c r="F78" s="18">
        <v>6.9196861999999998E-2</v>
      </c>
    </row>
    <row r="79" spans="1:6" x14ac:dyDescent="0.3">
      <c r="A79" t="str">
        <f t="shared" si="1"/>
        <v>GR</v>
      </c>
      <c r="B79" t="s">
        <v>583</v>
      </c>
      <c r="C79" s="18">
        <v>3.2279929169999999</v>
      </c>
      <c r="D79" s="18">
        <v>3.2693329090000001</v>
      </c>
      <c r="E79" s="18">
        <v>2.6789393170000002</v>
      </c>
      <c r="F79" s="18">
        <v>2.608433325</v>
      </c>
    </row>
    <row r="80" spans="1:6" x14ac:dyDescent="0.3">
      <c r="A80" t="str">
        <f t="shared" si="1"/>
        <v>GR</v>
      </c>
      <c r="B80" t="s">
        <v>584</v>
      </c>
      <c r="C80" s="18">
        <v>0</v>
      </c>
      <c r="D80" s="18">
        <v>0</v>
      </c>
      <c r="E80" s="18">
        <v>0</v>
      </c>
      <c r="F80" s="18">
        <v>0</v>
      </c>
    </row>
    <row r="81" spans="1:6" x14ac:dyDescent="0.3">
      <c r="A81" t="str">
        <f t="shared" si="1"/>
        <v>GR</v>
      </c>
      <c r="B81" t="s">
        <v>585</v>
      </c>
      <c r="C81" s="18">
        <v>0</v>
      </c>
      <c r="D81" s="18">
        <v>0</v>
      </c>
      <c r="E81" s="18">
        <v>0</v>
      </c>
      <c r="F81" s="18">
        <v>0</v>
      </c>
    </row>
    <row r="82" spans="1:6" x14ac:dyDescent="0.3">
      <c r="A82" t="str">
        <f t="shared" si="1"/>
        <v>GR</v>
      </c>
      <c r="B82" t="s">
        <v>586</v>
      </c>
      <c r="C82" s="18">
        <v>3.1186289999999999E-3</v>
      </c>
      <c r="D82" s="18">
        <v>4.8413900000000001E-3</v>
      </c>
      <c r="E82" s="18">
        <v>1.6741966E-2</v>
      </c>
      <c r="F82" s="18">
        <v>5.6849041000000003E-2</v>
      </c>
    </row>
    <row r="83" spans="1:6" x14ac:dyDescent="0.3">
      <c r="A83" t="str">
        <f t="shared" si="1"/>
        <v>GR</v>
      </c>
      <c r="B83" t="s">
        <v>321</v>
      </c>
      <c r="C83" s="18">
        <v>2.8888199999999998E-3</v>
      </c>
      <c r="D83" s="18">
        <v>5.7201680000000003E-3</v>
      </c>
      <c r="E83" s="18">
        <v>1.3027584E-2</v>
      </c>
      <c r="F83" s="18">
        <v>4.3776691E-2</v>
      </c>
    </row>
    <row r="84" spans="1:6" x14ac:dyDescent="0.3">
      <c r="A84" t="str">
        <f t="shared" si="1"/>
        <v>GR</v>
      </c>
      <c r="B84" t="s">
        <v>587</v>
      </c>
      <c r="C84" s="4">
        <v>0</v>
      </c>
      <c r="D84" s="4">
        <v>0</v>
      </c>
      <c r="E84" s="4">
        <v>0</v>
      </c>
      <c r="F84" s="4">
        <v>0</v>
      </c>
    </row>
    <row r="85" spans="1:6" x14ac:dyDescent="0.3">
      <c r="A85" t="str">
        <f t="shared" si="1"/>
        <v>ES</v>
      </c>
      <c r="B85" t="s">
        <v>588</v>
      </c>
      <c r="C85" s="18">
        <v>57.41396245</v>
      </c>
      <c r="D85" s="18">
        <v>63.278022069999999</v>
      </c>
      <c r="E85" s="18">
        <v>44.7038595</v>
      </c>
      <c r="F85" s="18">
        <v>53.983252350000001</v>
      </c>
    </row>
    <row r="86" spans="1:6" x14ac:dyDescent="0.3">
      <c r="A86" t="str">
        <f t="shared" si="1"/>
        <v>ES</v>
      </c>
      <c r="B86" t="s">
        <v>589</v>
      </c>
      <c r="C86" s="18">
        <v>194.69150189999999</v>
      </c>
      <c r="D86" s="18">
        <v>207.735096</v>
      </c>
      <c r="E86" s="18">
        <v>174.93755730000001</v>
      </c>
      <c r="F86" s="18">
        <v>172.39039020000001</v>
      </c>
    </row>
    <row r="87" spans="1:6" x14ac:dyDescent="0.3">
      <c r="A87" t="str">
        <f t="shared" si="1"/>
        <v>ES</v>
      </c>
      <c r="B87" t="s">
        <v>590</v>
      </c>
      <c r="C87" s="18">
        <v>0.20214083499999999</v>
      </c>
      <c r="D87" s="18">
        <v>0.223168748</v>
      </c>
      <c r="E87" s="18">
        <v>0.15813120999999999</v>
      </c>
      <c r="F87" s="18">
        <v>0.19601142299999999</v>
      </c>
    </row>
    <row r="88" spans="1:6" x14ac:dyDescent="0.3">
      <c r="A88" t="str">
        <f t="shared" si="1"/>
        <v>ES</v>
      </c>
      <c r="B88" t="s">
        <v>591</v>
      </c>
      <c r="C88" s="18">
        <v>0.75304757200000005</v>
      </c>
      <c r="D88" s="18">
        <v>1.03376822</v>
      </c>
      <c r="E88" s="18">
        <v>0.762961165</v>
      </c>
      <c r="F88" s="18">
        <v>0.94684764200000004</v>
      </c>
    </row>
    <row r="89" spans="1:6" x14ac:dyDescent="0.3">
      <c r="A89" t="str">
        <f t="shared" si="1"/>
        <v>ES</v>
      </c>
      <c r="B89" t="s">
        <v>592</v>
      </c>
      <c r="C89" s="18">
        <v>3.7136427999999999E-2</v>
      </c>
      <c r="D89" s="18">
        <v>0.26843304499999998</v>
      </c>
      <c r="E89" s="18">
        <v>0.55877799500000003</v>
      </c>
      <c r="F89" s="18">
        <v>1.0315938469999999</v>
      </c>
    </row>
    <row r="90" spans="1:6" x14ac:dyDescent="0.3">
      <c r="A90" t="str">
        <f t="shared" si="1"/>
        <v>ES</v>
      </c>
      <c r="B90" t="s">
        <v>593</v>
      </c>
      <c r="C90" s="18">
        <v>1.2944991530000001</v>
      </c>
      <c r="D90" s="18">
        <v>1.912290375</v>
      </c>
      <c r="E90" s="18">
        <v>1.7942845119999999</v>
      </c>
      <c r="F90" s="18">
        <v>3.0199725669999999</v>
      </c>
    </row>
    <row r="91" spans="1:6" x14ac:dyDescent="0.3">
      <c r="A91" t="str">
        <f t="shared" si="1"/>
        <v>ES</v>
      </c>
      <c r="B91" t="s">
        <v>594</v>
      </c>
      <c r="C91" s="18">
        <v>9.7703092000000005E-2</v>
      </c>
      <c r="D91" s="18">
        <v>0.16713956199999999</v>
      </c>
      <c r="E91" s="18">
        <v>0.25882013300000001</v>
      </c>
      <c r="F91" s="18">
        <v>0.61849112299999998</v>
      </c>
    </row>
    <row r="92" spans="1:6" x14ac:dyDescent="0.3">
      <c r="A92" t="str">
        <f t="shared" si="1"/>
        <v>ES</v>
      </c>
      <c r="B92" t="s">
        <v>331</v>
      </c>
      <c r="C92" s="18">
        <v>0.182557687</v>
      </c>
      <c r="D92" s="18">
        <v>0.288745531</v>
      </c>
      <c r="E92" s="18">
        <v>0.372465993</v>
      </c>
      <c r="F92" s="18">
        <v>0.71988414700000003</v>
      </c>
    </row>
    <row r="93" spans="1:6" x14ac:dyDescent="0.3">
      <c r="A93" t="str">
        <f t="shared" si="1"/>
        <v>ES</v>
      </c>
      <c r="B93" t="s">
        <v>595</v>
      </c>
      <c r="C93" s="4">
        <v>0</v>
      </c>
      <c r="D93" s="4">
        <v>0</v>
      </c>
      <c r="E93" s="4">
        <v>0</v>
      </c>
      <c r="F93" s="4">
        <v>0</v>
      </c>
    </row>
    <row r="94" spans="1:6" x14ac:dyDescent="0.3">
      <c r="A94" t="str">
        <f t="shared" si="1"/>
        <v>FR</v>
      </c>
      <c r="B94" t="s">
        <v>596</v>
      </c>
      <c r="C94" s="18">
        <v>118.03604350000001</v>
      </c>
      <c r="D94" s="18">
        <v>129.584486</v>
      </c>
      <c r="E94" s="18">
        <v>111.848558</v>
      </c>
      <c r="F94" s="18">
        <v>134.37271709999999</v>
      </c>
    </row>
    <row r="95" spans="1:6" x14ac:dyDescent="0.3">
      <c r="A95" t="str">
        <f t="shared" si="1"/>
        <v>FR</v>
      </c>
      <c r="B95" t="s">
        <v>597</v>
      </c>
      <c r="C95" s="18">
        <v>292.35999570000001</v>
      </c>
      <c r="D95" s="18">
        <v>288.3035888</v>
      </c>
      <c r="E95" s="18">
        <v>235.3429658</v>
      </c>
      <c r="F95" s="18">
        <v>256.48210540000002</v>
      </c>
    </row>
    <row r="96" spans="1:6" x14ac:dyDescent="0.3">
      <c r="A96" t="str">
        <f t="shared" si="1"/>
        <v>FR</v>
      </c>
      <c r="B96" t="s">
        <v>598</v>
      </c>
      <c r="C96" s="18">
        <v>3.3901913999999998E-2</v>
      </c>
      <c r="D96" s="18">
        <v>3.6590314999999998E-2</v>
      </c>
      <c r="E96" s="18">
        <v>3.3349485999999998E-2</v>
      </c>
      <c r="F96" s="18">
        <v>3.9170469999999999E-2</v>
      </c>
    </row>
    <row r="97" spans="1:6" x14ac:dyDescent="0.3">
      <c r="A97" t="str">
        <f t="shared" si="1"/>
        <v>FR</v>
      </c>
      <c r="B97" t="s">
        <v>599</v>
      </c>
      <c r="C97" s="18">
        <v>0.79342143600000004</v>
      </c>
      <c r="D97" s="18">
        <v>0.76757561100000005</v>
      </c>
      <c r="E97" s="18">
        <v>0.60262285500000001</v>
      </c>
      <c r="F97" s="18">
        <v>0.72862815999999997</v>
      </c>
    </row>
    <row r="98" spans="1:6" x14ac:dyDescent="0.3">
      <c r="A98" t="str">
        <f t="shared" si="1"/>
        <v>FR</v>
      </c>
      <c r="B98" t="s">
        <v>600</v>
      </c>
      <c r="C98" s="18">
        <v>0.70587241499999998</v>
      </c>
      <c r="D98" s="18">
        <v>0.83368861000000005</v>
      </c>
      <c r="E98" s="18">
        <v>0.93600251400000001</v>
      </c>
      <c r="F98" s="18">
        <v>1.4908926520000001</v>
      </c>
    </row>
    <row r="99" spans="1:6" x14ac:dyDescent="0.3">
      <c r="A99" t="str">
        <f t="shared" si="1"/>
        <v>FR</v>
      </c>
      <c r="B99" t="s">
        <v>601</v>
      </c>
      <c r="C99" s="18">
        <v>2.6635354329999998</v>
      </c>
      <c r="D99" s="18">
        <v>3.588316947</v>
      </c>
      <c r="E99" s="18">
        <v>4.0989675869999997</v>
      </c>
      <c r="F99" s="18">
        <v>7.1336612319999997</v>
      </c>
    </row>
    <row r="100" spans="1:6" x14ac:dyDescent="0.3">
      <c r="A100" t="str">
        <f t="shared" si="1"/>
        <v>FR</v>
      </c>
      <c r="B100" t="s">
        <v>602</v>
      </c>
      <c r="C100" s="18">
        <v>0.32729142900000002</v>
      </c>
      <c r="D100" s="18">
        <v>0.508194323</v>
      </c>
      <c r="E100" s="18">
        <v>0.99568977999999997</v>
      </c>
      <c r="F100" s="18">
        <v>2.4222007749999999</v>
      </c>
    </row>
    <row r="101" spans="1:6" x14ac:dyDescent="0.3">
      <c r="A101" t="str">
        <f t="shared" si="1"/>
        <v>FR</v>
      </c>
      <c r="B101" t="s">
        <v>341</v>
      </c>
      <c r="C101" s="18">
        <v>1.6700268279999999</v>
      </c>
      <c r="D101" s="18">
        <v>2.2461956500000002</v>
      </c>
      <c r="E101" s="18">
        <v>3.3136040019999999</v>
      </c>
      <c r="F101" s="18">
        <v>5.9800823349999996</v>
      </c>
    </row>
    <row r="102" spans="1:6" x14ac:dyDescent="0.3">
      <c r="A102" t="str">
        <f t="shared" si="1"/>
        <v>FR</v>
      </c>
      <c r="B102" t="s">
        <v>603</v>
      </c>
      <c r="C102" s="4">
        <v>0</v>
      </c>
      <c r="D102" s="4">
        <v>0</v>
      </c>
      <c r="E102" s="4">
        <v>0</v>
      </c>
      <c r="F102" s="4">
        <v>0</v>
      </c>
    </row>
    <row r="103" spans="1:6" x14ac:dyDescent="0.3">
      <c r="A103" t="str">
        <f t="shared" si="1"/>
        <v>HR</v>
      </c>
      <c r="B103" t="s">
        <v>604</v>
      </c>
      <c r="C103" s="18">
        <v>9.0952801609999998</v>
      </c>
      <c r="D103" s="18">
        <v>8.3048692640000006</v>
      </c>
      <c r="E103" s="18">
        <v>6.5292400500000003</v>
      </c>
      <c r="F103" s="18">
        <v>7.5392602049999997</v>
      </c>
    </row>
    <row r="104" spans="1:6" x14ac:dyDescent="0.3">
      <c r="A104" t="str">
        <f t="shared" si="1"/>
        <v>HR</v>
      </c>
      <c r="B104" t="s">
        <v>605</v>
      </c>
      <c r="C104" s="18">
        <v>13.33751665</v>
      </c>
      <c r="D104" s="18">
        <v>13.34970743</v>
      </c>
      <c r="E104" s="18">
        <v>11.22486035</v>
      </c>
      <c r="F104" s="18">
        <v>13.16760466</v>
      </c>
    </row>
    <row r="105" spans="1:6" x14ac:dyDescent="0.3">
      <c r="A105" t="str">
        <f t="shared" si="1"/>
        <v>HR</v>
      </c>
      <c r="B105" t="s">
        <v>606</v>
      </c>
      <c r="C105" s="18">
        <v>2.454796E-3</v>
      </c>
      <c r="D105" s="18">
        <v>2.3173429999999999E-3</v>
      </c>
      <c r="E105" s="18">
        <v>1.861981E-3</v>
      </c>
      <c r="F105" s="18">
        <v>2.1882759999999998E-3</v>
      </c>
    </row>
    <row r="106" spans="1:6" x14ac:dyDescent="0.3">
      <c r="A106" t="str">
        <f t="shared" si="1"/>
        <v>HR</v>
      </c>
      <c r="B106" t="s">
        <v>607</v>
      </c>
      <c r="C106" s="18">
        <v>1.3791928790000001</v>
      </c>
      <c r="D106" s="18">
        <v>1.293911265</v>
      </c>
      <c r="E106" s="18">
        <v>1.035292611</v>
      </c>
      <c r="F106" s="18">
        <v>1.110493661</v>
      </c>
    </row>
    <row r="107" spans="1:6" x14ac:dyDescent="0.3">
      <c r="A107" t="str">
        <f t="shared" si="1"/>
        <v>HR</v>
      </c>
      <c r="B107" t="s">
        <v>608</v>
      </c>
      <c r="C107" s="18">
        <v>0</v>
      </c>
      <c r="D107" s="18">
        <v>0</v>
      </c>
      <c r="E107" s="18">
        <v>0</v>
      </c>
      <c r="F107" s="18">
        <v>0</v>
      </c>
    </row>
    <row r="108" spans="1:6" x14ac:dyDescent="0.3">
      <c r="A108" t="str">
        <f t="shared" si="1"/>
        <v>HR</v>
      </c>
      <c r="B108" t="s">
        <v>609</v>
      </c>
      <c r="C108" s="18">
        <v>0</v>
      </c>
      <c r="D108" s="18">
        <v>0</v>
      </c>
      <c r="E108" s="18">
        <v>0</v>
      </c>
      <c r="F108" s="18">
        <v>0</v>
      </c>
    </row>
    <row r="109" spans="1:6" x14ac:dyDescent="0.3">
      <c r="A109" t="str">
        <f t="shared" si="1"/>
        <v>HR</v>
      </c>
      <c r="B109" t="s">
        <v>610</v>
      </c>
      <c r="C109" s="18">
        <v>1.2323239999999999E-3</v>
      </c>
      <c r="D109" s="18">
        <v>2.26465E-3</v>
      </c>
      <c r="E109" s="18">
        <v>5.4233409999999999E-3</v>
      </c>
      <c r="F109" s="18">
        <v>1.1014299E-2</v>
      </c>
    </row>
    <row r="110" spans="1:6" x14ac:dyDescent="0.3">
      <c r="A110" t="str">
        <f t="shared" si="1"/>
        <v>HR</v>
      </c>
      <c r="B110" t="s">
        <v>351</v>
      </c>
      <c r="C110" s="18">
        <v>6.3231900000000002E-3</v>
      </c>
      <c r="D110" s="18">
        <v>9.930052E-3</v>
      </c>
      <c r="E110" s="18">
        <v>1.5847103000000001E-2</v>
      </c>
      <c r="F110" s="18">
        <v>4.0750803000000002E-2</v>
      </c>
    </row>
    <row r="111" spans="1:6" x14ac:dyDescent="0.3">
      <c r="A111" t="str">
        <f t="shared" si="1"/>
        <v>HR</v>
      </c>
      <c r="B111" t="s">
        <v>611</v>
      </c>
      <c r="C111" s="4">
        <v>0</v>
      </c>
      <c r="D111" s="4">
        <v>0</v>
      </c>
      <c r="E111" s="4">
        <v>0</v>
      </c>
      <c r="F111" s="4">
        <v>0</v>
      </c>
    </row>
    <row r="112" spans="1:6" x14ac:dyDescent="0.3">
      <c r="A112" t="str">
        <f t="shared" si="1"/>
        <v>IT</v>
      </c>
      <c r="B112" t="s">
        <v>612</v>
      </c>
      <c r="C112" s="18">
        <v>107.82227260000001</v>
      </c>
      <c r="D112" s="18">
        <v>108.73436479999999</v>
      </c>
      <c r="E112" s="18">
        <v>83.466974519999994</v>
      </c>
      <c r="F112" s="18">
        <v>83.272969130000007</v>
      </c>
    </row>
    <row r="113" spans="1:6" x14ac:dyDescent="0.3">
      <c r="A113" t="str">
        <f t="shared" si="1"/>
        <v>IT</v>
      </c>
      <c r="B113" t="s">
        <v>613</v>
      </c>
      <c r="C113" s="18">
        <v>226.9942317</v>
      </c>
      <c r="D113" s="18">
        <v>225.02668729999999</v>
      </c>
      <c r="E113" s="18">
        <v>177.86260899999999</v>
      </c>
      <c r="F113" s="18">
        <v>175.8857299</v>
      </c>
    </row>
    <row r="114" spans="1:6" x14ac:dyDescent="0.3">
      <c r="A114" t="str">
        <f t="shared" si="1"/>
        <v>IT</v>
      </c>
      <c r="B114" t="s">
        <v>614</v>
      </c>
      <c r="C114" s="18">
        <v>11.42774107</v>
      </c>
      <c r="D114" s="18">
        <v>11.67954041</v>
      </c>
      <c r="E114" s="18">
        <v>9.5529861409999999</v>
      </c>
      <c r="F114" s="18">
        <v>9.2241270550000003</v>
      </c>
    </row>
    <row r="115" spans="1:6" x14ac:dyDescent="0.3">
      <c r="A115" t="str">
        <f t="shared" si="1"/>
        <v>IT</v>
      </c>
      <c r="B115" t="s">
        <v>615</v>
      </c>
      <c r="C115" s="18">
        <v>30.690697279999998</v>
      </c>
      <c r="D115" s="18">
        <v>31.936012309999999</v>
      </c>
      <c r="E115" s="18">
        <v>25.368908810000001</v>
      </c>
      <c r="F115" s="18">
        <v>26.26497792</v>
      </c>
    </row>
    <row r="116" spans="1:6" x14ac:dyDescent="0.3">
      <c r="A116" t="str">
        <f t="shared" si="1"/>
        <v>IT</v>
      </c>
      <c r="B116" t="s">
        <v>616</v>
      </c>
      <c r="C116" s="18">
        <v>6.1764019000000003E-2</v>
      </c>
      <c r="D116" s="18">
        <v>0.23643155099999999</v>
      </c>
      <c r="E116" s="18">
        <v>0.41490870499999999</v>
      </c>
      <c r="F116" s="18">
        <v>1.0544969040000001</v>
      </c>
    </row>
    <row r="117" spans="1:6" x14ac:dyDescent="0.3">
      <c r="A117" t="str">
        <f t="shared" si="1"/>
        <v>IT</v>
      </c>
      <c r="B117" t="s">
        <v>617</v>
      </c>
      <c r="C117" s="18">
        <v>1.431130086</v>
      </c>
      <c r="D117" s="18">
        <v>1.89019249</v>
      </c>
      <c r="E117" s="18">
        <v>2.3182638999999998</v>
      </c>
      <c r="F117" s="18">
        <v>4.3809646349999998</v>
      </c>
    </row>
    <row r="118" spans="1:6" x14ac:dyDescent="0.3">
      <c r="A118" t="str">
        <f t="shared" si="1"/>
        <v>IT</v>
      </c>
      <c r="B118" t="s">
        <v>618</v>
      </c>
      <c r="C118" s="18">
        <v>0.37765611100000002</v>
      </c>
      <c r="D118" s="18">
        <v>0.42563585999999998</v>
      </c>
      <c r="E118" s="18">
        <v>0.53843454099999999</v>
      </c>
      <c r="F118" s="18">
        <v>0.95066003499999996</v>
      </c>
    </row>
    <row r="119" spans="1:6" x14ac:dyDescent="0.3">
      <c r="A119" t="str">
        <f t="shared" si="1"/>
        <v>IT</v>
      </c>
      <c r="B119" t="s">
        <v>361</v>
      </c>
      <c r="C119" s="18">
        <v>0.280117106</v>
      </c>
      <c r="D119" s="18">
        <v>0.42361096300000001</v>
      </c>
      <c r="E119" s="18">
        <v>0.72011538799999997</v>
      </c>
      <c r="F119" s="18">
        <v>1.7335116610000001</v>
      </c>
    </row>
    <row r="120" spans="1:6" x14ac:dyDescent="0.3">
      <c r="A120" t="str">
        <f t="shared" si="1"/>
        <v>IT</v>
      </c>
      <c r="B120" t="s">
        <v>619</v>
      </c>
      <c r="C120" s="4">
        <v>0</v>
      </c>
      <c r="D120" s="4">
        <v>0</v>
      </c>
      <c r="E120" s="4">
        <v>0</v>
      </c>
      <c r="F120" s="4">
        <v>0</v>
      </c>
    </row>
    <row r="121" spans="1:6" x14ac:dyDescent="0.3">
      <c r="A121" t="str">
        <f t="shared" si="1"/>
        <v>CY</v>
      </c>
      <c r="B121" t="s">
        <v>620</v>
      </c>
      <c r="C121" s="18">
        <v>5.0243118789999999</v>
      </c>
      <c r="D121" s="18">
        <v>5.0567687450000003</v>
      </c>
      <c r="E121" s="18">
        <v>4.5512166000000001</v>
      </c>
      <c r="F121" s="18">
        <v>4.6019754429999997</v>
      </c>
    </row>
    <row r="122" spans="1:6" x14ac:dyDescent="0.3">
      <c r="A122" t="str">
        <f t="shared" si="1"/>
        <v>CY</v>
      </c>
      <c r="B122" t="s">
        <v>621</v>
      </c>
      <c r="C122" s="18">
        <v>1.082092958</v>
      </c>
      <c r="D122" s="18">
        <v>1.263300756</v>
      </c>
      <c r="E122" s="18">
        <v>1.2693463810000001</v>
      </c>
      <c r="F122" s="18">
        <v>1.332986987</v>
      </c>
    </row>
    <row r="123" spans="1:6" x14ac:dyDescent="0.3">
      <c r="A123" t="str">
        <f t="shared" si="1"/>
        <v>CY</v>
      </c>
      <c r="B123" t="s">
        <v>622</v>
      </c>
      <c r="C123" s="18">
        <v>0</v>
      </c>
      <c r="D123" s="18">
        <v>0</v>
      </c>
      <c r="E123" s="18">
        <v>0</v>
      </c>
      <c r="F123" s="18">
        <v>0</v>
      </c>
    </row>
    <row r="124" spans="1:6" x14ac:dyDescent="0.3">
      <c r="A124" t="str">
        <f t="shared" si="1"/>
        <v>CY</v>
      </c>
      <c r="B124" t="s">
        <v>623</v>
      </c>
      <c r="C124" s="18">
        <v>1.0054232E-2</v>
      </c>
      <c r="D124" s="18">
        <v>9.7998949999999994E-3</v>
      </c>
      <c r="E124" s="18">
        <v>8.4441169999999992E-3</v>
      </c>
      <c r="F124" s="18">
        <v>8.6106069999999993E-3</v>
      </c>
    </row>
    <row r="125" spans="1:6" x14ac:dyDescent="0.3">
      <c r="A125" t="str">
        <f t="shared" si="1"/>
        <v>CY</v>
      </c>
      <c r="B125" t="s">
        <v>624</v>
      </c>
      <c r="C125" s="18">
        <v>0</v>
      </c>
      <c r="D125" s="18">
        <v>0</v>
      </c>
      <c r="E125" s="18">
        <v>0</v>
      </c>
      <c r="F125" s="18">
        <v>0</v>
      </c>
    </row>
    <row r="126" spans="1:6" x14ac:dyDescent="0.3">
      <c r="A126" t="str">
        <f t="shared" si="1"/>
        <v>CY</v>
      </c>
      <c r="B126" t="s">
        <v>625</v>
      </c>
      <c r="C126" s="18">
        <v>6.8261513999999995E-2</v>
      </c>
      <c r="D126" s="18">
        <v>8.8101639999999995E-2</v>
      </c>
      <c r="E126" s="18">
        <v>0.102484042</v>
      </c>
      <c r="F126" s="18">
        <v>0.14860288399999999</v>
      </c>
    </row>
    <row r="127" spans="1:6" x14ac:dyDescent="0.3">
      <c r="A127" t="str">
        <f t="shared" si="1"/>
        <v>CY</v>
      </c>
      <c r="B127" t="s">
        <v>626</v>
      </c>
      <c r="C127" s="18">
        <v>1.6753709999999999E-3</v>
      </c>
      <c r="D127" s="18">
        <v>2.5538929999999998E-3</v>
      </c>
      <c r="E127" s="18">
        <v>3.0869880000000001E-3</v>
      </c>
      <c r="F127" s="18">
        <v>4.520151E-3</v>
      </c>
    </row>
    <row r="128" spans="1:6" x14ac:dyDescent="0.3">
      <c r="A128" t="str">
        <f t="shared" si="1"/>
        <v>CY</v>
      </c>
      <c r="B128" t="s">
        <v>371</v>
      </c>
      <c r="C128" s="18">
        <v>1.539264E-3</v>
      </c>
      <c r="D128" s="18">
        <v>2.238397E-3</v>
      </c>
      <c r="E128" s="18">
        <v>2.5208679999999999E-3</v>
      </c>
      <c r="F128" s="18">
        <v>3.589175E-3</v>
      </c>
    </row>
    <row r="129" spans="1:6" x14ac:dyDescent="0.3">
      <c r="A129" t="str">
        <f t="shared" si="1"/>
        <v>CY</v>
      </c>
      <c r="B129" t="s">
        <v>627</v>
      </c>
      <c r="C129" s="4">
        <v>0</v>
      </c>
      <c r="D129" s="4">
        <v>0</v>
      </c>
      <c r="E129" s="4">
        <v>0</v>
      </c>
      <c r="F129" s="4">
        <v>0</v>
      </c>
    </row>
    <row r="130" spans="1:6" x14ac:dyDescent="0.3">
      <c r="A130" t="str">
        <f t="shared" si="1"/>
        <v>LV</v>
      </c>
      <c r="B130" t="s">
        <v>628</v>
      </c>
      <c r="C130" s="18">
        <v>2.5228484820000001</v>
      </c>
      <c r="D130" s="18">
        <v>2.4686982400000002</v>
      </c>
      <c r="E130" s="18">
        <v>2.3848908199999999</v>
      </c>
      <c r="F130" s="18">
        <v>2.4976048749999999</v>
      </c>
    </row>
    <row r="131" spans="1:6" x14ac:dyDescent="0.3">
      <c r="A131" t="str">
        <f t="shared" si="1"/>
        <v>LV</v>
      </c>
      <c r="B131" t="s">
        <v>629</v>
      </c>
      <c r="C131" s="18">
        <v>6.304958193</v>
      </c>
      <c r="D131" s="18">
        <v>7.0482143510000004</v>
      </c>
      <c r="E131" s="18">
        <v>6.9817271659999998</v>
      </c>
      <c r="F131" s="18">
        <v>7.4165833750000001</v>
      </c>
    </row>
    <row r="132" spans="1:6" x14ac:dyDescent="0.3">
      <c r="A132" t="str">
        <f t="shared" si="1"/>
        <v>LV</v>
      </c>
      <c r="B132" t="s">
        <v>630</v>
      </c>
      <c r="C132" s="18">
        <v>1.4370240000000001E-3</v>
      </c>
      <c r="D132" s="18">
        <v>1.63681E-3</v>
      </c>
      <c r="E132" s="18">
        <v>1.852703E-3</v>
      </c>
      <c r="F132" s="18">
        <v>2.0788260000000002E-3</v>
      </c>
    </row>
    <row r="133" spans="1:6" x14ac:dyDescent="0.3">
      <c r="A133" t="str">
        <f t="shared" ref="A133:A196" si="2">LEFT(B133,2)</f>
        <v>LV</v>
      </c>
      <c r="B133" t="s">
        <v>631</v>
      </c>
      <c r="C133" s="18">
        <v>0.70475920400000003</v>
      </c>
      <c r="D133" s="18">
        <v>0.64548494499999998</v>
      </c>
      <c r="E133" s="18">
        <v>0.55710151399999996</v>
      </c>
      <c r="F133" s="18">
        <v>0.50973264699999998</v>
      </c>
    </row>
    <row r="134" spans="1:6" x14ac:dyDescent="0.3">
      <c r="A134" t="str">
        <f t="shared" si="2"/>
        <v>LV</v>
      </c>
      <c r="B134" t="s">
        <v>632</v>
      </c>
      <c r="C134" s="18">
        <v>9.0500000000000004E-5</v>
      </c>
      <c r="D134" s="18">
        <v>3.62918E-4</v>
      </c>
      <c r="E134" s="18">
        <v>7.4868799999999996E-4</v>
      </c>
      <c r="F134" s="18">
        <v>1.4432169999999999E-3</v>
      </c>
    </row>
    <row r="135" spans="1:6" x14ac:dyDescent="0.3">
      <c r="A135" t="str">
        <f t="shared" si="2"/>
        <v>LV</v>
      </c>
      <c r="B135" t="s">
        <v>633</v>
      </c>
      <c r="C135" s="18">
        <v>8.7880900000000004E-4</v>
      </c>
      <c r="D135" s="18">
        <v>1.1904470000000001E-3</v>
      </c>
      <c r="E135" s="18">
        <v>2.0731399999999998E-3</v>
      </c>
      <c r="F135" s="18">
        <v>4.4966609999999999E-3</v>
      </c>
    </row>
    <row r="136" spans="1:6" x14ac:dyDescent="0.3">
      <c r="A136" t="str">
        <f t="shared" si="2"/>
        <v>LV</v>
      </c>
      <c r="B136" t="s">
        <v>634</v>
      </c>
      <c r="C136" s="18">
        <v>9.5065700000000004E-4</v>
      </c>
      <c r="D136" s="18">
        <v>1.3466800000000001E-3</v>
      </c>
      <c r="E136" s="18">
        <v>2.1209890000000002E-3</v>
      </c>
      <c r="F136" s="18">
        <v>3.896414E-3</v>
      </c>
    </row>
    <row r="137" spans="1:6" x14ac:dyDescent="0.3">
      <c r="A137" t="str">
        <f t="shared" si="2"/>
        <v>LV</v>
      </c>
      <c r="B137" t="s">
        <v>381</v>
      </c>
      <c r="C137" s="18">
        <v>5.5961689999999998E-3</v>
      </c>
      <c r="D137" s="18">
        <v>8.325608E-3</v>
      </c>
      <c r="E137" s="18">
        <v>1.5205714E-2</v>
      </c>
      <c r="F137" s="18">
        <v>2.6567648999999999E-2</v>
      </c>
    </row>
    <row r="138" spans="1:6" x14ac:dyDescent="0.3">
      <c r="A138" t="str">
        <f t="shared" si="2"/>
        <v>LV</v>
      </c>
      <c r="B138" t="s">
        <v>635</v>
      </c>
      <c r="C138" s="4">
        <v>0</v>
      </c>
      <c r="D138" s="4">
        <v>0</v>
      </c>
      <c r="E138" s="4">
        <v>0</v>
      </c>
      <c r="F138" s="4">
        <v>0</v>
      </c>
    </row>
    <row r="139" spans="1:6" x14ac:dyDescent="0.3">
      <c r="A139" t="str">
        <f t="shared" si="2"/>
        <v>LT</v>
      </c>
      <c r="B139" t="s">
        <v>636</v>
      </c>
      <c r="C139" s="18">
        <v>3.1275573959999998</v>
      </c>
      <c r="D139" s="18">
        <v>3.3733837389999999</v>
      </c>
      <c r="E139" s="18">
        <v>3.4191444679999998</v>
      </c>
      <c r="F139" s="18">
        <v>3.4718411109999998</v>
      </c>
    </row>
    <row r="140" spans="1:6" x14ac:dyDescent="0.3">
      <c r="A140" t="str">
        <f t="shared" si="2"/>
        <v>LT</v>
      </c>
      <c r="B140" t="s">
        <v>637</v>
      </c>
      <c r="C140" s="18">
        <v>17.575220349999999</v>
      </c>
      <c r="D140" s="18">
        <v>18.22359797</v>
      </c>
      <c r="E140" s="18">
        <v>17.649132720000001</v>
      </c>
      <c r="F140" s="18">
        <v>17.719842480000001</v>
      </c>
    </row>
    <row r="141" spans="1:6" x14ac:dyDescent="0.3">
      <c r="A141" t="str">
        <f t="shared" si="2"/>
        <v>LT</v>
      </c>
      <c r="B141" t="s">
        <v>638</v>
      </c>
      <c r="C141" s="18">
        <v>8.7366400000000002E-4</v>
      </c>
      <c r="D141" s="18">
        <v>8.5895299999999997E-4</v>
      </c>
      <c r="E141" s="18">
        <v>1.435427E-3</v>
      </c>
      <c r="F141" s="18">
        <v>1.9785829999999999E-3</v>
      </c>
    </row>
    <row r="142" spans="1:6" x14ac:dyDescent="0.3">
      <c r="A142" t="str">
        <f t="shared" si="2"/>
        <v>LT</v>
      </c>
      <c r="B142" t="s">
        <v>639</v>
      </c>
      <c r="C142" s="18">
        <v>1.7553364250000001</v>
      </c>
      <c r="D142" s="18">
        <v>1.6720905239999999</v>
      </c>
      <c r="E142" s="18">
        <v>1.5000119139999999</v>
      </c>
      <c r="F142" s="18">
        <v>1.3670343920000001</v>
      </c>
    </row>
    <row r="143" spans="1:6" x14ac:dyDescent="0.3">
      <c r="A143" t="str">
        <f t="shared" si="2"/>
        <v>LT</v>
      </c>
      <c r="B143" t="s">
        <v>640</v>
      </c>
      <c r="C143" s="18">
        <v>0</v>
      </c>
      <c r="D143" s="18">
        <v>1.59751E-4</v>
      </c>
      <c r="E143" s="18">
        <v>7.4499999999999995E-5</v>
      </c>
      <c r="F143" s="18">
        <v>3.7779377000000003E-2</v>
      </c>
    </row>
    <row r="144" spans="1:6" x14ac:dyDescent="0.3">
      <c r="A144" t="str">
        <f t="shared" si="2"/>
        <v>LT</v>
      </c>
      <c r="B144" t="s">
        <v>641</v>
      </c>
      <c r="C144" s="18">
        <v>0.13094371499999999</v>
      </c>
      <c r="D144" s="18">
        <v>0.20077123099999999</v>
      </c>
      <c r="E144" s="18">
        <v>0.271086298</v>
      </c>
      <c r="F144" s="18">
        <v>0.338336523</v>
      </c>
    </row>
    <row r="145" spans="1:6" x14ac:dyDescent="0.3">
      <c r="A145" t="str">
        <f t="shared" si="2"/>
        <v>LT</v>
      </c>
      <c r="B145" t="s">
        <v>642</v>
      </c>
      <c r="C145" s="18">
        <v>0.184128668</v>
      </c>
      <c r="D145" s="18">
        <v>0.269053019</v>
      </c>
      <c r="E145" s="18">
        <v>0.34558154099999999</v>
      </c>
      <c r="F145" s="18">
        <v>0.30147371699999997</v>
      </c>
    </row>
    <row r="146" spans="1:6" x14ac:dyDescent="0.3">
      <c r="A146" t="str">
        <f t="shared" si="2"/>
        <v>LT</v>
      </c>
      <c r="B146" t="s">
        <v>391</v>
      </c>
      <c r="C146" s="18">
        <v>1.0782332E-2</v>
      </c>
      <c r="D146" s="18">
        <v>1.5559145E-2</v>
      </c>
      <c r="E146" s="18">
        <v>2.1758874000000001E-2</v>
      </c>
      <c r="F146" s="18">
        <v>5.5296205000000001E-2</v>
      </c>
    </row>
    <row r="147" spans="1:6" x14ac:dyDescent="0.3">
      <c r="A147" t="str">
        <f t="shared" si="2"/>
        <v>LT</v>
      </c>
      <c r="B147" t="s">
        <v>643</v>
      </c>
      <c r="C147" s="4">
        <v>0</v>
      </c>
      <c r="D147" s="4">
        <v>0</v>
      </c>
      <c r="E147" s="4">
        <v>0</v>
      </c>
      <c r="F147" s="4">
        <v>0</v>
      </c>
    </row>
    <row r="148" spans="1:6" x14ac:dyDescent="0.3">
      <c r="A148" t="str">
        <f t="shared" si="2"/>
        <v>LU</v>
      </c>
      <c r="B148" t="s">
        <v>644</v>
      </c>
      <c r="C148" s="18">
        <v>2.398607851</v>
      </c>
      <c r="D148" s="18">
        <v>2.6287030549999999</v>
      </c>
      <c r="E148" s="18">
        <v>2.5629489969999999</v>
      </c>
      <c r="F148" s="18">
        <v>2.6496305769999999</v>
      </c>
    </row>
    <row r="149" spans="1:6" x14ac:dyDescent="0.3">
      <c r="A149" t="str">
        <f t="shared" si="2"/>
        <v>LU</v>
      </c>
      <c r="B149" t="s">
        <v>645</v>
      </c>
      <c r="C149" s="18">
        <v>3.790404138</v>
      </c>
      <c r="D149" s="18">
        <v>3.708747303</v>
      </c>
      <c r="E149" s="18">
        <v>3.3318250659999999</v>
      </c>
      <c r="F149" s="18">
        <v>3.2138849</v>
      </c>
    </row>
    <row r="150" spans="1:6" x14ac:dyDescent="0.3">
      <c r="A150" t="str">
        <f t="shared" si="2"/>
        <v>LU</v>
      </c>
      <c r="B150" t="s">
        <v>646</v>
      </c>
      <c r="C150" s="18">
        <v>0</v>
      </c>
      <c r="D150" s="18">
        <v>0</v>
      </c>
      <c r="E150" s="18">
        <v>0</v>
      </c>
      <c r="F150" s="18">
        <v>0</v>
      </c>
    </row>
    <row r="151" spans="1:6" x14ac:dyDescent="0.3">
      <c r="A151" t="str">
        <f t="shared" si="2"/>
        <v>LU</v>
      </c>
      <c r="B151" t="s">
        <v>647</v>
      </c>
      <c r="C151" s="18">
        <v>3.8715830000000001E-3</v>
      </c>
      <c r="D151" s="18">
        <v>2.3511690000000002E-3</v>
      </c>
      <c r="E151" s="18">
        <v>4.3199370000000003E-3</v>
      </c>
      <c r="F151" s="18">
        <v>3.1764720000000001E-3</v>
      </c>
    </row>
    <row r="152" spans="1:6" x14ac:dyDescent="0.3">
      <c r="A152" t="str">
        <f t="shared" si="2"/>
        <v>LU</v>
      </c>
      <c r="B152" t="s">
        <v>648</v>
      </c>
      <c r="C152" s="18">
        <v>5.2690940000000002E-3</v>
      </c>
      <c r="D152" s="18">
        <v>1.8096333999999999E-2</v>
      </c>
      <c r="E152" s="18">
        <v>3.3104742E-2</v>
      </c>
      <c r="F152" s="18">
        <v>7.4817367999999995E-2</v>
      </c>
    </row>
    <row r="153" spans="1:6" x14ac:dyDescent="0.3">
      <c r="A153" t="str">
        <f t="shared" si="2"/>
        <v>LU</v>
      </c>
      <c r="B153" t="s">
        <v>649</v>
      </c>
      <c r="C153" s="18">
        <v>5.6333279E-2</v>
      </c>
      <c r="D153" s="18">
        <v>7.4242724999999996E-2</v>
      </c>
      <c r="E153" s="18">
        <v>0.100611692</v>
      </c>
      <c r="F153" s="18">
        <v>0.16227134600000001</v>
      </c>
    </row>
    <row r="154" spans="1:6" x14ac:dyDescent="0.3">
      <c r="A154" t="str">
        <f t="shared" si="2"/>
        <v>LU</v>
      </c>
      <c r="B154" t="s">
        <v>650</v>
      </c>
      <c r="C154" s="18">
        <v>2.2953303000000001E-2</v>
      </c>
      <c r="D154" s="18">
        <v>3.558219E-2</v>
      </c>
      <c r="E154" s="18">
        <v>5.9203511E-2</v>
      </c>
      <c r="F154" s="18">
        <v>0.12356900799999999</v>
      </c>
    </row>
    <row r="155" spans="1:6" x14ac:dyDescent="0.3">
      <c r="A155" t="str">
        <f t="shared" si="2"/>
        <v>LU</v>
      </c>
      <c r="B155" t="s">
        <v>401</v>
      </c>
      <c r="C155" s="18">
        <v>2.2192660999999999E-2</v>
      </c>
      <c r="D155" s="18">
        <v>3.6453655000000001E-2</v>
      </c>
      <c r="E155" s="18">
        <v>5.4507535000000003E-2</v>
      </c>
      <c r="F155" s="18">
        <v>0.12222915199999999</v>
      </c>
    </row>
    <row r="156" spans="1:6" x14ac:dyDescent="0.3">
      <c r="A156" t="str">
        <f t="shared" si="2"/>
        <v>LU</v>
      </c>
      <c r="B156" t="s">
        <v>651</v>
      </c>
      <c r="C156" s="4">
        <v>0</v>
      </c>
      <c r="D156" s="4">
        <v>0</v>
      </c>
      <c r="E156" s="4">
        <v>0</v>
      </c>
      <c r="F156" s="4">
        <v>0</v>
      </c>
    </row>
    <row r="157" spans="1:6" x14ac:dyDescent="0.3">
      <c r="A157" t="str">
        <f t="shared" si="2"/>
        <v>HU</v>
      </c>
      <c r="B157" t="s">
        <v>652</v>
      </c>
      <c r="C157" s="18">
        <v>19.979809299999999</v>
      </c>
      <c r="D157" s="18">
        <v>22.002134649999999</v>
      </c>
      <c r="E157" s="18">
        <v>21.036611130000001</v>
      </c>
      <c r="F157" s="18">
        <v>21.651517399999999</v>
      </c>
    </row>
    <row r="158" spans="1:6" x14ac:dyDescent="0.3">
      <c r="A158" t="str">
        <f t="shared" si="2"/>
        <v>HU</v>
      </c>
      <c r="B158" t="s">
        <v>653</v>
      </c>
      <c r="C158" s="18">
        <v>15.62940833</v>
      </c>
      <c r="D158" s="18">
        <v>18.159757410000001</v>
      </c>
      <c r="E158" s="18">
        <v>17.35986394</v>
      </c>
      <c r="F158" s="18">
        <v>18.583887059999999</v>
      </c>
    </row>
    <row r="159" spans="1:6" x14ac:dyDescent="0.3">
      <c r="A159" t="str">
        <f t="shared" si="2"/>
        <v>HU</v>
      </c>
      <c r="B159" t="s">
        <v>654</v>
      </c>
      <c r="C159" s="18">
        <v>1.9046943E-2</v>
      </c>
      <c r="D159" s="18">
        <v>2.0496324E-2</v>
      </c>
      <c r="E159" s="18">
        <v>1.8494533E-2</v>
      </c>
      <c r="F159" s="18">
        <v>1.8858080999999999E-2</v>
      </c>
    </row>
    <row r="160" spans="1:6" x14ac:dyDescent="0.3">
      <c r="A160" t="str">
        <f t="shared" si="2"/>
        <v>HU</v>
      </c>
      <c r="B160" t="s">
        <v>655</v>
      </c>
      <c r="C160" s="18">
        <v>0.43382139400000003</v>
      </c>
      <c r="D160" s="18">
        <v>0.40517193499999998</v>
      </c>
      <c r="E160" s="18">
        <v>0.29432451100000001</v>
      </c>
      <c r="F160" s="18">
        <v>0.212721245</v>
      </c>
    </row>
    <row r="161" spans="1:6" x14ac:dyDescent="0.3">
      <c r="A161" t="str">
        <f t="shared" si="2"/>
        <v>HU</v>
      </c>
      <c r="B161" t="s">
        <v>656</v>
      </c>
      <c r="C161" s="18">
        <v>0</v>
      </c>
      <c r="D161" s="18">
        <v>0</v>
      </c>
      <c r="E161" s="18">
        <v>0</v>
      </c>
      <c r="F161" s="18">
        <v>0</v>
      </c>
    </row>
    <row r="162" spans="1:6" x14ac:dyDescent="0.3">
      <c r="A162" t="str">
        <f t="shared" si="2"/>
        <v>HU</v>
      </c>
      <c r="B162" t="s">
        <v>657</v>
      </c>
      <c r="C162" s="18">
        <v>0</v>
      </c>
      <c r="D162" s="18">
        <v>0</v>
      </c>
      <c r="E162" s="18">
        <v>0</v>
      </c>
      <c r="F162" s="18">
        <v>0</v>
      </c>
    </row>
    <row r="163" spans="1:6" x14ac:dyDescent="0.3">
      <c r="A163" t="str">
        <f t="shared" si="2"/>
        <v>HU</v>
      </c>
      <c r="B163" t="s">
        <v>658</v>
      </c>
      <c r="C163" s="18">
        <v>1.0959162999999999E-2</v>
      </c>
      <c r="D163" s="18">
        <v>1.9088386999999998E-2</v>
      </c>
      <c r="E163" s="18">
        <v>3.8927455E-2</v>
      </c>
      <c r="F163" s="18">
        <v>8.0657576999999994E-2</v>
      </c>
    </row>
    <row r="164" spans="1:6" x14ac:dyDescent="0.3">
      <c r="A164" t="str">
        <f t="shared" si="2"/>
        <v>HU</v>
      </c>
      <c r="B164" t="s">
        <v>411</v>
      </c>
      <c r="C164" s="18">
        <v>3.0340164999999999E-2</v>
      </c>
      <c r="D164" s="18">
        <v>5.1975748000000002E-2</v>
      </c>
      <c r="E164" s="18">
        <v>8.2384168999999993E-2</v>
      </c>
      <c r="F164" s="18">
        <v>0.14787709900000001</v>
      </c>
    </row>
    <row r="165" spans="1:6" x14ac:dyDescent="0.3">
      <c r="A165" t="str">
        <f t="shared" si="2"/>
        <v>HU</v>
      </c>
      <c r="B165" t="s">
        <v>659</v>
      </c>
      <c r="C165" s="4">
        <v>0</v>
      </c>
      <c r="D165" s="4">
        <v>0</v>
      </c>
      <c r="E165" s="4">
        <v>0</v>
      </c>
      <c r="F165" s="4">
        <v>0</v>
      </c>
    </row>
    <row r="166" spans="1:6" x14ac:dyDescent="0.3">
      <c r="A166" t="str">
        <f t="shared" si="2"/>
        <v>MT</v>
      </c>
      <c r="B166" t="s">
        <v>660</v>
      </c>
      <c r="C166" s="18">
        <v>1.369527631</v>
      </c>
      <c r="D166" s="18">
        <v>1.3648355860000001</v>
      </c>
      <c r="E166" s="18">
        <v>1.1976160890000001</v>
      </c>
      <c r="F166" s="18">
        <v>1.256193881</v>
      </c>
    </row>
    <row r="167" spans="1:6" x14ac:dyDescent="0.3">
      <c r="A167" t="str">
        <f t="shared" si="2"/>
        <v>MT</v>
      </c>
      <c r="B167" t="s">
        <v>661</v>
      </c>
      <c r="C167" s="18">
        <v>0.99027258799999995</v>
      </c>
      <c r="D167" s="18">
        <v>0.98927447400000001</v>
      </c>
      <c r="E167" s="18">
        <v>0.89809819300000004</v>
      </c>
      <c r="F167" s="18">
        <v>0.95350751700000003</v>
      </c>
    </row>
    <row r="168" spans="1:6" x14ac:dyDescent="0.3">
      <c r="A168" t="str">
        <f t="shared" si="2"/>
        <v>MT</v>
      </c>
      <c r="B168" t="s">
        <v>662</v>
      </c>
      <c r="C168" s="18">
        <v>0</v>
      </c>
      <c r="D168" s="18">
        <v>0</v>
      </c>
      <c r="E168" s="18">
        <v>0</v>
      </c>
      <c r="F168" s="18">
        <v>0</v>
      </c>
    </row>
    <row r="169" spans="1:6" x14ac:dyDescent="0.3">
      <c r="A169" t="str">
        <f t="shared" si="2"/>
        <v>MT</v>
      </c>
      <c r="B169" t="s">
        <v>663</v>
      </c>
      <c r="C169" s="18">
        <v>1.0330183999999999E-2</v>
      </c>
      <c r="D169" s="18">
        <v>1.4492689E-2</v>
      </c>
      <c r="E169" s="18">
        <v>1.1711134E-2</v>
      </c>
      <c r="F169" s="18">
        <v>1.1673367E-2</v>
      </c>
    </row>
    <row r="170" spans="1:6" x14ac:dyDescent="0.3">
      <c r="A170" t="str">
        <f t="shared" si="2"/>
        <v>MT</v>
      </c>
      <c r="B170" t="s">
        <v>664</v>
      </c>
      <c r="C170" s="18">
        <v>3.0311699999999999E-4</v>
      </c>
      <c r="D170" s="18">
        <v>5.5119000000000001E-4</v>
      </c>
      <c r="E170" s="18">
        <v>8.2141199999999999E-4</v>
      </c>
      <c r="F170" s="18">
        <v>1.5495039999999999E-3</v>
      </c>
    </row>
    <row r="171" spans="1:6" x14ac:dyDescent="0.3">
      <c r="A171" t="str">
        <f t="shared" si="2"/>
        <v>MT</v>
      </c>
      <c r="B171" t="s">
        <v>665</v>
      </c>
      <c r="C171" s="18">
        <v>9.5598209999999996E-3</v>
      </c>
      <c r="D171" s="18">
        <v>1.432218E-2</v>
      </c>
      <c r="E171" s="18">
        <v>1.9954880000000001E-2</v>
      </c>
      <c r="F171" s="18">
        <v>2.3278109000000002E-2</v>
      </c>
    </row>
    <row r="172" spans="1:6" x14ac:dyDescent="0.3">
      <c r="A172" t="str">
        <f t="shared" si="2"/>
        <v>MT</v>
      </c>
      <c r="B172" t="s">
        <v>666</v>
      </c>
      <c r="C172" s="18">
        <v>1.279072E-2</v>
      </c>
      <c r="D172" s="18">
        <v>1.3622713E-2</v>
      </c>
      <c r="E172" s="18">
        <v>1.472469E-2</v>
      </c>
      <c r="F172" s="18">
        <v>2.3700226000000001E-2</v>
      </c>
    </row>
    <row r="173" spans="1:6" x14ac:dyDescent="0.3">
      <c r="A173" t="str">
        <f t="shared" si="2"/>
        <v>MT</v>
      </c>
      <c r="B173" t="s">
        <v>421</v>
      </c>
      <c r="C173" s="18">
        <v>3.165939E-3</v>
      </c>
      <c r="D173" s="18">
        <v>1.1291168000000001E-2</v>
      </c>
      <c r="E173" s="18">
        <v>1.8393264999999999E-2</v>
      </c>
      <c r="F173" s="18">
        <v>2.0407397000000001E-2</v>
      </c>
    </row>
    <row r="174" spans="1:6" x14ac:dyDescent="0.3">
      <c r="A174" t="str">
        <f t="shared" si="2"/>
        <v>MT</v>
      </c>
      <c r="B174" t="s">
        <v>667</v>
      </c>
      <c r="C174" s="4">
        <v>0</v>
      </c>
      <c r="D174" s="4">
        <v>0</v>
      </c>
      <c r="E174" s="4">
        <v>0</v>
      </c>
      <c r="F174" s="4">
        <v>0</v>
      </c>
    </row>
    <row r="175" spans="1:6" x14ac:dyDescent="0.3">
      <c r="A175" t="str">
        <f t="shared" si="2"/>
        <v>NL</v>
      </c>
      <c r="B175" t="s">
        <v>668</v>
      </c>
      <c r="C175" s="18">
        <v>70.347245479999998</v>
      </c>
      <c r="D175" s="18">
        <v>72.17610784</v>
      </c>
      <c r="E175" s="18">
        <v>62.330418600000002</v>
      </c>
      <c r="F175" s="18">
        <v>59.592366929999997</v>
      </c>
    </row>
    <row r="176" spans="1:6" x14ac:dyDescent="0.3">
      <c r="A176" t="str">
        <f t="shared" si="2"/>
        <v>NL</v>
      </c>
      <c r="B176" t="s">
        <v>669</v>
      </c>
      <c r="C176" s="18">
        <v>27.846473469999999</v>
      </c>
      <c r="D176" s="18">
        <v>25.398258500000001</v>
      </c>
      <c r="E176" s="18">
        <v>17.314168590000001</v>
      </c>
      <c r="F176" s="18">
        <v>20.891620929999998</v>
      </c>
    </row>
    <row r="177" spans="1:6" x14ac:dyDescent="0.3">
      <c r="A177" t="str">
        <f t="shared" si="2"/>
        <v>NL</v>
      </c>
      <c r="B177" t="s">
        <v>670</v>
      </c>
      <c r="C177" s="18">
        <v>0.187019726</v>
      </c>
      <c r="D177" s="18">
        <v>0.18470166099999999</v>
      </c>
      <c r="E177" s="18">
        <v>0.145951357</v>
      </c>
      <c r="F177" s="18">
        <v>0.131130258</v>
      </c>
    </row>
    <row r="178" spans="1:6" x14ac:dyDescent="0.3">
      <c r="A178" t="str">
        <f t="shared" si="2"/>
        <v>NL</v>
      </c>
      <c r="B178" t="s">
        <v>671</v>
      </c>
      <c r="C178" s="18">
        <v>1.6538315589999999</v>
      </c>
      <c r="D178" s="18">
        <v>1.78816274</v>
      </c>
      <c r="E178" s="18">
        <v>1.386442685</v>
      </c>
      <c r="F178" s="18">
        <v>1.2740107469999999</v>
      </c>
    </row>
    <row r="179" spans="1:6" x14ac:dyDescent="0.3">
      <c r="A179" t="str">
        <f t="shared" si="2"/>
        <v>NL</v>
      </c>
      <c r="B179" t="s">
        <v>672</v>
      </c>
      <c r="C179" s="18">
        <v>0.14395913799999999</v>
      </c>
      <c r="D179" s="18">
        <v>0.13422805900000001</v>
      </c>
      <c r="E179" s="18">
        <v>0.104098582</v>
      </c>
      <c r="F179" s="18">
        <v>0.14489154300000001</v>
      </c>
    </row>
    <row r="180" spans="1:6" x14ac:dyDescent="0.3">
      <c r="A180" t="str">
        <f t="shared" si="2"/>
        <v>NL</v>
      </c>
      <c r="B180" t="s">
        <v>673</v>
      </c>
      <c r="C180" s="18">
        <v>1.7718248080000001</v>
      </c>
      <c r="D180" s="18">
        <v>2.0666629460000001</v>
      </c>
      <c r="E180" s="18">
        <v>2.187599262</v>
      </c>
      <c r="F180" s="18">
        <v>2.8028748160000001</v>
      </c>
    </row>
    <row r="181" spans="1:6" x14ac:dyDescent="0.3">
      <c r="A181" t="str">
        <f t="shared" si="2"/>
        <v>NL</v>
      </c>
      <c r="B181" t="s">
        <v>674</v>
      </c>
      <c r="C181" s="18">
        <v>0.93300568699999997</v>
      </c>
      <c r="D181" s="18">
        <v>0.91212464800000004</v>
      </c>
      <c r="E181" s="18">
        <v>0.83580715999999999</v>
      </c>
      <c r="F181" s="18">
        <v>1.2096111599999999</v>
      </c>
    </row>
    <row r="182" spans="1:6" x14ac:dyDescent="0.3">
      <c r="A182" t="str">
        <f t="shared" si="2"/>
        <v>NL</v>
      </c>
      <c r="B182" t="s">
        <v>431</v>
      </c>
      <c r="C182" s="18">
        <v>0.70578928399999996</v>
      </c>
      <c r="D182" s="18">
        <v>1.697607074</v>
      </c>
      <c r="E182" s="18">
        <v>2.2931122529999999</v>
      </c>
      <c r="F182" s="18">
        <v>3.885013555</v>
      </c>
    </row>
    <row r="183" spans="1:6" x14ac:dyDescent="0.3">
      <c r="A183" t="str">
        <f t="shared" si="2"/>
        <v>NL</v>
      </c>
      <c r="B183" t="s">
        <v>675</v>
      </c>
      <c r="C183" s="4">
        <v>0</v>
      </c>
      <c r="D183" s="4">
        <v>0</v>
      </c>
      <c r="E183" s="4">
        <v>0</v>
      </c>
      <c r="F183" s="4">
        <v>0</v>
      </c>
    </row>
    <row r="184" spans="1:6" x14ac:dyDescent="0.3">
      <c r="A184" t="str">
        <f t="shared" si="2"/>
        <v>PL</v>
      </c>
      <c r="B184" t="s">
        <v>676</v>
      </c>
      <c r="C184" s="18">
        <v>59.126049799999997</v>
      </c>
      <c r="D184" s="18">
        <v>62.310648559999997</v>
      </c>
      <c r="E184" s="18">
        <v>62.044383719999999</v>
      </c>
      <c r="F184" s="18">
        <v>68.908581299999994</v>
      </c>
    </row>
    <row r="185" spans="1:6" x14ac:dyDescent="0.3">
      <c r="A185" t="str">
        <f t="shared" si="2"/>
        <v>PL</v>
      </c>
      <c r="B185" t="s">
        <v>677</v>
      </c>
      <c r="C185" s="18">
        <v>82.468022349999998</v>
      </c>
      <c r="D185" s="18">
        <v>84.9398056</v>
      </c>
      <c r="E185" s="18">
        <v>88.835502899999994</v>
      </c>
      <c r="F185" s="18">
        <v>81.079536090000005</v>
      </c>
    </row>
    <row r="186" spans="1:6" x14ac:dyDescent="0.3">
      <c r="A186" t="str">
        <f t="shared" si="2"/>
        <v>PL</v>
      </c>
      <c r="B186" t="s">
        <v>678</v>
      </c>
      <c r="C186" s="18">
        <v>7.0361742000000005E-2</v>
      </c>
      <c r="D186" s="18">
        <v>7.2081849000000003E-2</v>
      </c>
      <c r="E186" s="18">
        <v>6.9044075999999996E-2</v>
      </c>
      <c r="F186" s="18">
        <v>6.7889988999999998E-2</v>
      </c>
    </row>
    <row r="187" spans="1:6" x14ac:dyDescent="0.3">
      <c r="A187" t="str">
        <f t="shared" si="2"/>
        <v>PL</v>
      </c>
      <c r="B187" t="s">
        <v>679</v>
      </c>
      <c r="C187" s="18">
        <v>29.047602990000001</v>
      </c>
      <c r="D187" s="18">
        <v>29.204418480000001</v>
      </c>
      <c r="E187" s="18">
        <v>28.373739090000001</v>
      </c>
      <c r="F187" s="18">
        <v>27.86353441</v>
      </c>
    </row>
    <row r="188" spans="1:6" x14ac:dyDescent="0.3">
      <c r="A188" t="str">
        <f t="shared" si="2"/>
        <v>PL</v>
      </c>
      <c r="B188" t="s">
        <v>680</v>
      </c>
      <c r="C188" s="18">
        <v>2.5269692E-2</v>
      </c>
      <c r="D188" s="18">
        <v>2.9132697999999999E-2</v>
      </c>
      <c r="E188" s="18">
        <v>3.5638083000000001E-2</v>
      </c>
      <c r="F188" s="18">
        <v>4.3130396000000001E-2</v>
      </c>
    </row>
    <row r="189" spans="1:6" x14ac:dyDescent="0.3">
      <c r="A189" t="str">
        <f t="shared" si="2"/>
        <v>PL</v>
      </c>
      <c r="B189" t="s">
        <v>681</v>
      </c>
      <c r="C189" s="18">
        <v>0.19771076100000001</v>
      </c>
      <c r="D189" s="18">
        <v>0.107862863</v>
      </c>
      <c r="E189" s="18">
        <v>0.106079468</v>
      </c>
      <c r="F189" s="18">
        <v>0.13951242899999999</v>
      </c>
    </row>
    <row r="190" spans="1:6" x14ac:dyDescent="0.3">
      <c r="A190" t="str">
        <f t="shared" si="2"/>
        <v>PL</v>
      </c>
      <c r="B190" t="s">
        <v>682</v>
      </c>
      <c r="C190" s="18">
        <v>1.6235618E-2</v>
      </c>
      <c r="D190" s="18">
        <v>2.3834834999999999E-2</v>
      </c>
      <c r="E190" s="18">
        <v>5.6824995000000003E-2</v>
      </c>
      <c r="F190" s="18">
        <v>0.14407845</v>
      </c>
    </row>
    <row r="191" spans="1:6" x14ac:dyDescent="0.3">
      <c r="A191" t="str">
        <f t="shared" si="2"/>
        <v>PL</v>
      </c>
      <c r="B191" t="s">
        <v>441</v>
      </c>
      <c r="C191" s="18">
        <v>3.8471718000000002E-2</v>
      </c>
      <c r="D191" s="18">
        <v>5.3490389999999999E-2</v>
      </c>
      <c r="E191" s="18">
        <v>8.6944433000000002E-2</v>
      </c>
      <c r="F191" s="18">
        <v>0.111187223</v>
      </c>
    </row>
    <row r="192" spans="1:6" x14ac:dyDescent="0.3">
      <c r="A192" t="str">
        <f t="shared" si="2"/>
        <v>PL</v>
      </c>
      <c r="B192" t="s">
        <v>683</v>
      </c>
      <c r="C192" s="4">
        <v>0</v>
      </c>
      <c r="D192" s="4">
        <v>0</v>
      </c>
      <c r="E192" s="4">
        <v>0</v>
      </c>
      <c r="F192" s="4">
        <v>0</v>
      </c>
    </row>
    <row r="193" spans="1:6" x14ac:dyDescent="0.3">
      <c r="A193" t="str">
        <f t="shared" si="2"/>
        <v>PT</v>
      </c>
      <c r="B193" t="s">
        <v>684</v>
      </c>
      <c r="C193" s="18">
        <v>16.36549393</v>
      </c>
      <c r="D193" s="18">
        <v>16.872799990000001</v>
      </c>
      <c r="E193" s="18">
        <v>13.977576279999999</v>
      </c>
      <c r="F193" s="18">
        <v>15.325461000000001</v>
      </c>
    </row>
    <row r="194" spans="1:6" x14ac:dyDescent="0.3">
      <c r="A194" t="str">
        <f t="shared" si="2"/>
        <v>PT</v>
      </c>
      <c r="B194" t="s">
        <v>685</v>
      </c>
      <c r="C194" s="18">
        <v>47.142174789999999</v>
      </c>
      <c r="D194" s="18">
        <v>47.956006420000001</v>
      </c>
      <c r="E194" s="18">
        <v>42.626594570000002</v>
      </c>
      <c r="F194" s="18">
        <v>43.688667670000001</v>
      </c>
    </row>
    <row r="195" spans="1:6" x14ac:dyDescent="0.3">
      <c r="A195" t="str">
        <f t="shared" si="2"/>
        <v>PT</v>
      </c>
      <c r="B195" t="s">
        <v>686</v>
      </c>
      <c r="C195" s="18">
        <v>5.9287999999999995E-4</v>
      </c>
      <c r="D195" s="18">
        <v>1.096051E-3</v>
      </c>
      <c r="E195" s="18">
        <v>1.1738429999999999E-3</v>
      </c>
      <c r="F195" s="18">
        <v>1.489649E-3</v>
      </c>
    </row>
    <row r="196" spans="1:6" x14ac:dyDescent="0.3">
      <c r="A196" t="str">
        <f t="shared" si="2"/>
        <v>PT</v>
      </c>
      <c r="B196" t="s">
        <v>687</v>
      </c>
      <c r="C196" s="18">
        <v>0.73953152099999997</v>
      </c>
      <c r="D196" s="18">
        <v>0.75318228899999995</v>
      </c>
      <c r="E196" s="18">
        <v>0.63725790400000004</v>
      </c>
      <c r="F196" s="18">
        <v>0.71757151699999999</v>
      </c>
    </row>
    <row r="197" spans="1:6" x14ac:dyDescent="0.3">
      <c r="A197" t="str">
        <f t="shared" ref="A197:A246" si="3">LEFT(B197,2)</f>
        <v>PT</v>
      </c>
      <c r="B197" t="s">
        <v>688</v>
      </c>
      <c r="C197" s="18">
        <v>0.16251413200000001</v>
      </c>
      <c r="D197" s="18">
        <v>0.20555871100000001</v>
      </c>
      <c r="E197" s="18">
        <v>0.21279557399999999</v>
      </c>
      <c r="F197" s="18">
        <v>0.27675824199999999</v>
      </c>
    </row>
    <row r="198" spans="1:6" x14ac:dyDescent="0.3">
      <c r="A198" t="str">
        <f t="shared" si="3"/>
        <v>PT</v>
      </c>
      <c r="B198" t="s">
        <v>689</v>
      </c>
      <c r="C198" s="18">
        <v>0.19802866199999999</v>
      </c>
      <c r="D198" s="18">
        <v>0.26206878700000003</v>
      </c>
      <c r="E198" s="18">
        <v>0.28503397699999999</v>
      </c>
      <c r="F198" s="18">
        <v>0.42027712499999997</v>
      </c>
    </row>
    <row r="199" spans="1:6" x14ac:dyDescent="0.3">
      <c r="A199" t="str">
        <f t="shared" si="3"/>
        <v>PT</v>
      </c>
      <c r="B199" t="s">
        <v>690</v>
      </c>
      <c r="C199" s="18">
        <v>8.6047699000000005E-2</v>
      </c>
      <c r="D199" s="18">
        <v>0.154996304</v>
      </c>
      <c r="E199" s="18">
        <v>0.202805755</v>
      </c>
      <c r="F199" s="18">
        <v>0.34140279200000001</v>
      </c>
    </row>
    <row r="200" spans="1:6" x14ac:dyDescent="0.3">
      <c r="A200" t="str">
        <f t="shared" si="3"/>
        <v>PT</v>
      </c>
      <c r="B200" t="s">
        <v>451</v>
      </c>
      <c r="C200" s="18">
        <v>0.210184918</v>
      </c>
      <c r="D200" s="18">
        <v>0.36364332300000002</v>
      </c>
      <c r="E200" s="18">
        <v>0.40989801100000001</v>
      </c>
      <c r="F200" s="18">
        <v>0.62615758200000005</v>
      </c>
    </row>
    <row r="201" spans="1:6" x14ac:dyDescent="0.3">
      <c r="A201" t="str">
        <f t="shared" si="3"/>
        <v>PT</v>
      </c>
      <c r="B201" t="s">
        <v>691</v>
      </c>
      <c r="C201" s="4">
        <v>0</v>
      </c>
      <c r="D201" s="4">
        <v>0</v>
      </c>
      <c r="E201" s="4">
        <v>0</v>
      </c>
      <c r="F201" s="4">
        <v>0</v>
      </c>
    </row>
    <row r="202" spans="1:6" x14ac:dyDescent="0.3">
      <c r="A202" t="str">
        <f t="shared" si="3"/>
        <v>RO</v>
      </c>
      <c r="B202" t="s">
        <v>692</v>
      </c>
      <c r="C202" s="18">
        <v>18.62147285</v>
      </c>
      <c r="D202" s="18">
        <v>19.150849350000001</v>
      </c>
      <c r="E202" s="18">
        <v>18.103847609999999</v>
      </c>
      <c r="F202" s="18">
        <v>20.038431670000001</v>
      </c>
    </row>
    <row r="203" spans="1:6" x14ac:dyDescent="0.3">
      <c r="A203" t="str">
        <f t="shared" si="3"/>
        <v>RO</v>
      </c>
      <c r="B203" t="s">
        <v>693</v>
      </c>
      <c r="C203" s="18">
        <v>32.439888680000003</v>
      </c>
      <c r="D203" s="18">
        <v>35.614042849999997</v>
      </c>
      <c r="E203" s="18">
        <v>31.46070941</v>
      </c>
      <c r="F203" s="18">
        <v>33.959905069999998</v>
      </c>
    </row>
    <row r="204" spans="1:6" x14ac:dyDescent="0.3">
      <c r="A204" t="str">
        <f t="shared" si="3"/>
        <v>RO</v>
      </c>
      <c r="B204" t="s">
        <v>694</v>
      </c>
      <c r="C204" s="18">
        <v>0</v>
      </c>
      <c r="D204" s="18">
        <v>0</v>
      </c>
      <c r="E204" s="18">
        <v>0</v>
      </c>
      <c r="F204" s="18">
        <v>0</v>
      </c>
    </row>
    <row r="205" spans="1:6" x14ac:dyDescent="0.3">
      <c r="A205" t="str">
        <f t="shared" si="3"/>
        <v>RO</v>
      </c>
      <c r="B205" t="s">
        <v>695</v>
      </c>
      <c r="C205" s="18">
        <v>1.244018834</v>
      </c>
      <c r="D205" s="18">
        <v>1.379475239</v>
      </c>
      <c r="E205" s="18">
        <v>1.5573587289999999</v>
      </c>
      <c r="F205" s="18">
        <v>2.0747863670000002</v>
      </c>
    </row>
    <row r="206" spans="1:6" x14ac:dyDescent="0.3">
      <c r="A206" t="str">
        <f t="shared" si="3"/>
        <v>RO</v>
      </c>
      <c r="B206" t="s">
        <v>696</v>
      </c>
      <c r="C206" s="18">
        <v>2.0377052E-2</v>
      </c>
      <c r="D206" s="18">
        <v>3.7449200000000002E-2</v>
      </c>
      <c r="E206" s="18">
        <v>5.0197567999999998E-2</v>
      </c>
      <c r="F206" s="18">
        <v>0.102161054</v>
      </c>
    </row>
    <row r="207" spans="1:6" x14ac:dyDescent="0.3">
      <c r="A207" t="str">
        <f t="shared" si="3"/>
        <v>RO</v>
      </c>
      <c r="B207" t="s">
        <v>697</v>
      </c>
      <c r="C207" s="18">
        <v>7.3265574999999999E-2</v>
      </c>
      <c r="D207" s="18">
        <v>0.124500481</v>
      </c>
      <c r="E207" s="18">
        <v>0.19836758600000001</v>
      </c>
      <c r="F207" s="18">
        <v>0.40129313999999999</v>
      </c>
    </row>
    <row r="208" spans="1:6" x14ac:dyDescent="0.3">
      <c r="A208" t="str">
        <f t="shared" si="3"/>
        <v>RO</v>
      </c>
      <c r="B208" t="s">
        <v>698</v>
      </c>
      <c r="C208" s="18">
        <v>4.3581399999999999E-3</v>
      </c>
      <c r="D208" s="18">
        <v>6.610505E-3</v>
      </c>
      <c r="E208" s="18">
        <v>1.5016404000000001E-2</v>
      </c>
      <c r="F208" s="18">
        <v>4.1816178000000002E-2</v>
      </c>
    </row>
    <row r="209" spans="1:6" x14ac:dyDescent="0.3">
      <c r="A209" t="str">
        <f t="shared" si="3"/>
        <v>RO</v>
      </c>
      <c r="B209" t="s">
        <v>461</v>
      </c>
      <c r="C209" s="18">
        <v>2.6582805000000001E-2</v>
      </c>
      <c r="D209" s="18">
        <v>4.1854376999999998E-2</v>
      </c>
      <c r="E209" s="18">
        <v>5.9418278999999997E-2</v>
      </c>
      <c r="F209" s="18">
        <v>0.1335692</v>
      </c>
    </row>
    <row r="210" spans="1:6" x14ac:dyDescent="0.3">
      <c r="A210" t="str">
        <f t="shared" si="3"/>
        <v>RO</v>
      </c>
      <c r="B210" t="s">
        <v>699</v>
      </c>
      <c r="C210" s="4">
        <v>0</v>
      </c>
      <c r="D210" s="4">
        <v>0</v>
      </c>
      <c r="E210" s="4">
        <v>0</v>
      </c>
      <c r="F210" s="4">
        <v>0</v>
      </c>
    </row>
    <row r="211" spans="1:6" x14ac:dyDescent="0.3">
      <c r="A211" t="str">
        <f t="shared" si="3"/>
        <v>SI</v>
      </c>
      <c r="B211" t="s">
        <v>700</v>
      </c>
      <c r="C211" s="18">
        <v>5.915992052</v>
      </c>
      <c r="D211" s="18">
        <v>5.9472337150000003</v>
      </c>
      <c r="E211" s="18">
        <v>4.8048772900000003</v>
      </c>
      <c r="F211" s="18">
        <v>5.1709220780000003</v>
      </c>
    </row>
    <row r="212" spans="1:6" x14ac:dyDescent="0.3">
      <c r="A212" t="str">
        <f t="shared" si="3"/>
        <v>SI</v>
      </c>
      <c r="B212" t="s">
        <v>701</v>
      </c>
      <c r="C212" s="18">
        <v>11.035810290000001</v>
      </c>
      <c r="D212" s="18">
        <v>11.56286313</v>
      </c>
      <c r="E212" s="18">
        <v>10.63889397</v>
      </c>
      <c r="F212" s="18">
        <v>10.94119418</v>
      </c>
    </row>
    <row r="213" spans="1:6" x14ac:dyDescent="0.3">
      <c r="A213" t="str">
        <f t="shared" si="3"/>
        <v>SI</v>
      </c>
      <c r="B213" t="s">
        <v>702</v>
      </c>
      <c r="C213" s="18">
        <v>4.2085910000000002E-3</v>
      </c>
      <c r="D213" s="18">
        <v>3.9963359999999996E-3</v>
      </c>
      <c r="E213" s="18">
        <v>3.272666E-3</v>
      </c>
      <c r="F213" s="18">
        <v>3.5017709999999999E-3</v>
      </c>
    </row>
    <row r="214" spans="1:6" x14ac:dyDescent="0.3">
      <c r="A214" t="str">
        <f t="shared" si="3"/>
        <v>SI</v>
      </c>
      <c r="B214" t="s">
        <v>703</v>
      </c>
      <c r="C214" s="18">
        <v>0.197567147</v>
      </c>
      <c r="D214" s="18">
        <v>0.20395622399999999</v>
      </c>
      <c r="E214" s="18">
        <v>0.168393346</v>
      </c>
      <c r="F214" s="18">
        <v>0.184903237</v>
      </c>
    </row>
    <row r="215" spans="1:6" x14ac:dyDescent="0.3">
      <c r="A215" t="str">
        <f t="shared" si="3"/>
        <v>SI</v>
      </c>
      <c r="B215" t="s">
        <v>704</v>
      </c>
      <c r="C215" s="18">
        <v>0</v>
      </c>
      <c r="D215" s="18">
        <v>0</v>
      </c>
      <c r="E215" s="18">
        <v>0</v>
      </c>
      <c r="F215" s="18">
        <v>0</v>
      </c>
    </row>
    <row r="216" spans="1:6" x14ac:dyDescent="0.3">
      <c r="A216" t="str">
        <f t="shared" si="3"/>
        <v>SI</v>
      </c>
      <c r="B216" t="s">
        <v>705</v>
      </c>
      <c r="C216" s="18">
        <v>0</v>
      </c>
      <c r="D216" s="18">
        <v>0</v>
      </c>
      <c r="E216" s="18">
        <v>0</v>
      </c>
      <c r="F216" s="18">
        <v>0</v>
      </c>
    </row>
    <row r="217" spans="1:6" x14ac:dyDescent="0.3">
      <c r="A217" t="str">
        <f t="shared" si="3"/>
        <v>SI</v>
      </c>
      <c r="B217" t="s">
        <v>706</v>
      </c>
      <c r="C217" s="18">
        <v>5.9632970000000002E-3</v>
      </c>
      <c r="D217" s="18">
        <v>6.8254479999999996E-3</v>
      </c>
      <c r="E217" s="18">
        <v>6.7175459999999996E-3</v>
      </c>
      <c r="F217" s="18">
        <v>9.8741650000000007E-3</v>
      </c>
    </row>
    <row r="218" spans="1:6" x14ac:dyDescent="0.3">
      <c r="A218" t="str">
        <f t="shared" si="3"/>
        <v>SI</v>
      </c>
      <c r="B218" t="s">
        <v>471</v>
      </c>
      <c r="C218" s="18">
        <v>8.3392190000000001E-3</v>
      </c>
      <c r="D218" s="18">
        <v>1.4126926E-2</v>
      </c>
      <c r="E218" s="18">
        <v>2.2307758E-2</v>
      </c>
      <c r="F218" s="18">
        <v>3.7536167000000002E-2</v>
      </c>
    </row>
    <row r="219" spans="1:6" x14ac:dyDescent="0.3">
      <c r="A219" t="str">
        <f t="shared" si="3"/>
        <v>SI</v>
      </c>
      <c r="B219" t="s">
        <v>707</v>
      </c>
      <c r="C219" s="4">
        <v>0</v>
      </c>
      <c r="D219" s="4">
        <v>0</v>
      </c>
      <c r="E219" s="4">
        <v>0</v>
      </c>
      <c r="F219" s="4">
        <v>0</v>
      </c>
    </row>
    <row r="220" spans="1:6" x14ac:dyDescent="0.3">
      <c r="A220" t="str">
        <f t="shared" si="3"/>
        <v>SK</v>
      </c>
      <c r="B220" t="s">
        <v>708</v>
      </c>
      <c r="C220" s="18">
        <v>10.13798603</v>
      </c>
      <c r="D220" s="18">
        <v>10.12854767</v>
      </c>
      <c r="E220" s="18">
        <v>9.2784004370000002</v>
      </c>
      <c r="F220" s="18">
        <v>9.4027035859999994</v>
      </c>
    </row>
    <row r="221" spans="1:6" x14ac:dyDescent="0.3">
      <c r="A221" t="str">
        <f t="shared" si="3"/>
        <v>SK</v>
      </c>
      <c r="B221" t="s">
        <v>709</v>
      </c>
      <c r="C221" s="18">
        <v>4.9160189350000003</v>
      </c>
      <c r="D221" s="18">
        <v>4.9843129099999999</v>
      </c>
      <c r="E221" s="18">
        <v>4.7171471699999996</v>
      </c>
      <c r="F221" s="18">
        <v>4.9253115129999996</v>
      </c>
    </row>
    <row r="222" spans="1:6" x14ac:dyDescent="0.3">
      <c r="A222" t="str">
        <f t="shared" si="3"/>
        <v>SK</v>
      </c>
      <c r="B222" t="s">
        <v>710</v>
      </c>
      <c r="C222" s="18">
        <v>6.4216993999999999E-2</v>
      </c>
      <c r="D222" s="18">
        <v>5.0912715999999997E-2</v>
      </c>
      <c r="E222" s="18">
        <v>3.6901033E-2</v>
      </c>
      <c r="F222" s="18">
        <v>3.7421438000000001E-2</v>
      </c>
    </row>
    <row r="223" spans="1:6" x14ac:dyDescent="0.3">
      <c r="A223" t="str">
        <f t="shared" si="3"/>
        <v>SK</v>
      </c>
      <c r="B223" t="s">
        <v>711</v>
      </c>
      <c r="C223" s="18">
        <v>0.39819328799999998</v>
      </c>
      <c r="D223" s="18">
        <v>0.36918123200000003</v>
      </c>
      <c r="E223" s="18">
        <v>0.33556838999999999</v>
      </c>
      <c r="F223" s="18">
        <v>0.32901314799999998</v>
      </c>
    </row>
    <row r="224" spans="1:6" x14ac:dyDescent="0.3">
      <c r="A224" t="str">
        <f t="shared" si="3"/>
        <v>SK</v>
      </c>
      <c r="B224" t="s">
        <v>712</v>
      </c>
      <c r="C224" s="18">
        <v>0</v>
      </c>
      <c r="D224" s="18">
        <v>0</v>
      </c>
      <c r="E224" s="18">
        <v>0</v>
      </c>
      <c r="F224" s="18">
        <v>0</v>
      </c>
    </row>
    <row r="225" spans="1:6" x14ac:dyDescent="0.3">
      <c r="A225" t="str">
        <f t="shared" si="3"/>
        <v>SK</v>
      </c>
      <c r="B225" t="s">
        <v>713</v>
      </c>
      <c r="C225" s="18">
        <v>0</v>
      </c>
      <c r="D225" s="18">
        <v>0</v>
      </c>
      <c r="E225" s="18">
        <v>0</v>
      </c>
      <c r="F225" s="18">
        <v>0</v>
      </c>
    </row>
    <row r="226" spans="1:6" x14ac:dyDescent="0.3">
      <c r="A226" t="str">
        <f t="shared" si="3"/>
        <v>SK</v>
      </c>
      <c r="B226" t="s">
        <v>714</v>
      </c>
      <c r="C226" s="18">
        <v>4.5768199999999997E-3</v>
      </c>
      <c r="D226" s="18">
        <v>5.6454210000000003E-3</v>
      </c>
      <c r="E226" s="18">
        <v>9.7038609999999994E-3</v>
      </c>
      <c r="F226" s="18">
        <v>1.4951903000000001E-2</v>
      </c>
    </row>
    <row r="227" spans="1:6" x14ac:dyDescent="0.3">
      <c r="A227" t="str">
        <f t="shared" si="3"/>
        <v>SK</v>
      </c>
      <c r="B227" t="s">
        <v>481</v>
      </c>
      <c r="C227" s="18">
        <v>6.1701389999999998E-3</v>
      </c>
      <c r="D227" s="18">
        <v>7.4064220000000002E-3</v>
      </c>
      <c r="E227" s="18">
        <v>1.4060118999999999E-2</v>
      </c>
      <c r="F227" s="18">
        <v>2.3105425999999998E-2</v>
      </c>
    </row>
    <row r="228" spans="1:6" x14ac:dyDescent="0.3">
      <c r="A228" t="str">
        <f t="shared" si="3"/>
        <v>SK</v>
      </c>
      <c r="B228" t="s">
        <v>715</v>
      </c>
      <c r="C228" s="4">
        <v>0</v>
      </c>
      <c r="D228" s="4">
        <v>0</v>
      </c>
      <c r="E228" s="4">
        <v>0</v>
      </c>
      <c r="F228" s="4">
        <v>0</v>
      </c>
    </row>
    <row r="229" spans="1:6" x14ac:dyDescent="0.3">
      <c r="A229" t="str">
        <f t="shared" si="3"/>
        <v>FI</v>
      </c>
      <c r="B229" t="s">
        <v>716</v>
      </c>
      <c r="C229" s="18">
        <v>22.781773999999999</v>
      </c>
      <c r="D229" s="18">
        <v>22.485359880000001</v>
      </c>
      <c r="E229" s="18">
        <v>21.4516788</v>
      </c>
      <c r="F229" s="18">
        <v>20.746862849999999</v>
      </c>
    </row>
    <row r="230" spans="1:6" x14ac:dyDescent="0.3">
      <c r="A230" t="str">
        <f t="shared" si="3"/>
        <v>FI</v>
      </c>
      <c r="B230" t="s">
        <v>717</v>
      </c>
      <c r="C230" s="18">
        <v>17.37257516</v>
      </c>
      <c r="D230" s="18">
        <v>17.346277610000001</v>
      </c>
      <c r="E230" s="18">
        <v>16.434159560000001</v>
      </c>
      <c r="F230" s="18">
        <v>16.048491769999998</v>
      </c>
    </row>
    <row r="231" spans="1:6" x14ac:dyDescent="0.3">
      <c r="A231" t="str">
        <f t="shared" si="3"/>
        <v>FI</v>
      </c>
      <c r="B231" t="s">
        <v>718</v>
      </c>
      <c r="C231" s="18">
        <v>6.0410875000000003E-2</v>
      </c>
      <c r="D231" s="18">
        <v>9.7804059999999998E-2</v>
      </c>
      <c r="E231" s="18">
        <v>0.118654764</v>
      </c>
      <c r="F231" s="18">
        <v>0.12560507100000001</v>
      </c>
    </row>
    <row r="232" spans="1:6" x14ac:dyDescent="0.3">
      <c r="A232" t="str">
        <f t="shared" si="3"/>
        <v>FI</v>
      </c>
      <c r="B232" t="s">
        <v>719</v>
      </c>
      <c r="C232" s="18">
        <v>0</v>
      </c>
      <c r="D232" s="18">
        <v>0</v>
      </c>
      <c r="E232" s="18">
        <v>0</v>
      </c>
      <c r="F232" s="18">
        <v>0</v>
      </c>
    </row>
    <row r="233" spans="1:6" x14ac:dyDescent="0.3">
      <c r="A233" t="str">
        <f t="shared" si="3"/>
        <v>FI</v>
      </c>
      <c r="B233" t="s">
        <v>720</v>
      </c>
      <c r="C233" s="18">
        <v>1.6608727E-2</v>
      </c>
      <c r="D233" s="18">
        <v>3.7191958999999997E-2</v>
      </c>
      <c r="E233" s="18">
        <v>6.0632389000000002E-2</v>
      </c>
      <c r="F233" s="18">
        <v>9.9745199000000007E-2</v>
      </c>
    </row>
    <row r="234" spans="1:6" x14ac:dyDescent="0.3">
      <c r="A234" t="str">
        <f t="shared" si="3"/>
        <v>FI</v>
      </c>
      <c r="B234" t="s">
        <v>721</v>
      </c>
      <c r="C234" s="18">
        <v>0.33635776000000001</v>
      </c>
      <c r="D234" s="18">
        <v>0.47366090599999999</v>
      </c>
      <c r="E234" s="18">
        <v>0.61483058099999999</v>
      </c>
      <c r="F234" s="18">
        <v>0.841489076</v>
      </c>
    </row>
    <row r="235" spans="1:6" x14ac:dyDescent="0.3">
      <c r="A235" t="str">
        <f t="shared" si="3"/>
        <v>FI</v>
      </c>
      <c r="B235" t="s">
        <v>722</v>
      </c>
      <c r="C235" s="18">
        <v>0.11740819399999999</v>
      </c>
      <c r="D235" s="18">
        <v>0.214115002</v>
      </c>
      <c r="E235" s="18">
        <v>0.36414199800000002</v>
      </c>
      <c r="F235" s="18">
        <v>0.59669551799999998</v>
      </c>
    </row>
    <row r="236" spans="1:6" x14ac:dyDescent="0.3">
      <c r="A236" t="str">
        <f t="shared" si="3"/>
        <v>FI</v>
      </c>
      <c r="B236" t="s">
        <v>491</v>
      </c>
      <c r="C236" s="18">
        <v>3.2865285000000001E-2</v>
      </c>
      <c r="D236" s="18">
        <v>6.3590587000000004E-2</v>
      </c>
      <c r="E236" s="18">
        <v>0.12608591099999999</v>
      </c>
      <c r="F236" s="18">
        <v>0.312110518</v>
      </c>
    </row>
    <row r="237" spans="1:6" x14ac:dyDescent="0.3">
      <c r="A237" t="str">
        <f t="shared" si="3"/>
        <v>FI</v>
      </c>
      <c r="B237" t="s">
        <v>723</v>
      </c>
      <c r="C237" s="4">
        <v>0</v>
      </c>
      <c r="D237" s="4">
        <v>0</v>
      </c>
      <c r="E237" s="4">
        <v>0</v>
      </c>
      <c r="F237" s="4">
        <v>0</v>
      </c>
    </row>
    <row r="238" spans="1:6" x14ac:dyDescent="0.3">
      <c r="A238" t="str">
        <f t="shared" si="3"/>
        <v>SE</v>
      </c>
      <c r="B238" t="s">
        <v>724</v>
      </c>
      <c r="C238" s="18">
        <v>28.340203979999998</v>
      </c>
      <c r="D238" s="18">
        <v>27.992891669999999</v>
      </c>
      <c r="E238" s="18">
        <v>26.062789519999999</v>
      </c>
      <c r="F238" s="18">
        <v>26.4442375</v>
      </c>
    </row>
    <row r="239" spans="1:6" x14ac:dyDescent="0.3">
      <c r="A239" t="str">
        <f t="shared" si="3"/>
        <v>SE</v>
      </c>
      <c r="B239" t="s">
        <v>725</v>
      </c>
      <c r="C239" s="18">
        <v>40.641341740000001</v>
      </c>
      <c r="D239" s="18">
        <v>40.279358039999998</v>
      </c>
      <c r="E239" s="18">
        <v>36.720056049999997</v>
      </c>
      <c r="F239" s="18">
        <v>36.12097043</v>
      </c>
    </row>
    <row r="240" spans="1:6" x14ac:dyDescent="0.3">
      <c r="A240" t="str">
        <f t="shared" si="3"/>
        <v>SE</v>
      </c>
      <c r="B240" t="s">
        <v>726</v>
      </c>
      <c r="C240" s="18">
        <v>0.68906565500000005</v>
      </c>
      <c r="D240" s="18">
        <v>0.65830514900000003</v>
      </c>
      <c r="E240" s="18">
        <v>0.64224284099999995</v>
      </c>
      <c r="F240" s="18">
        <v>0.64030799100000002</v>
      </c>
    </row>
    <row r="241" spans="1:54" x14ac:dyDescent="0.3">
      <c r="A241" t="str">
        <f t="shared" si="3"/>
        <v>SE</v>
      </c>
      <c r="B241" t="s">
        <v>727</v>
      </c>
      <c r="C241" s="18">
        <v>0</v>
      </c>
      <c r="D241" s="18">
        <v>0</v>
      </c>
      <c r="E241" s="18">
        <v>0</v>
      </c>
      <c r="F241" s="18">
        <v>0</v>
      </c>
    </row>
    <row r="242" spans="1:54" x14ac:dyDescent="0.3">
      <c r="A242" t="str">
        <f t="shared" si="3"/>
        <v>SE</v>
      </c>
      <c r="B242" t="s">
        <v>728</v>
      </c>
      <c r="C242" s="18">
        <v>1.9826606E-2</v>
      </c>
      <c r="D242" s="18">
        <v>1.8849042999999999E-2</v>
      </c>
      <c r="E242" s="18">
        <v>0.32235380499999999</v>
      </c>
      <c r="F242" s="18">
        <v>0.76538366700000005</v>
      </c>
    </row>
    <row r="243" spans="1:54" x14ac:dyDescent="0.3">
      <c r="A243" t="str">
        <f t="shared" si="3"/>
        <v>SE</v>
      </c>
      <c r="B243" t="s">
        <v>729</v>
      </c>
      <c r="C243" s="18">
        <v>0.87365000999999998</v>
      </c>
      <c r="D243" s="18">
        <v>1.110976854</v>
      </c>
      <c r="E243" s="18">
        <v>1.37125612</v>
      </c>
      <c r="F243" s="18">
        <v>1.889914605</v>
      </c>
    </row>
    <row r="244" spans="1:54" x14ac:dyDescent="0.3">
      <c r="A244" t="str">
        <f t="shared" si="3"/>
        <v>SE</v>
      </c>
      <c r="B244" t="s">
        <v>730</v>
      </c>
      <c r="C244" s="18">
        <v>0.50891193999999995</v>
      </c>
      <c r="D244" s="18">
        <v>0.66784849700000004</v>
      </c>
      <c r="E244" s="18">
        <v>1.2235975130000001</v>
      </c>
      <c r="F244" s="18">
        <v>1.958340129</v>
      </c>
    </row>
    <row r="245" spans="1:54" x14ac:dyDescent="0.3">
      <c r="A245" t="str">
        <f t="shared" si="3"/>
        <v>SE</v>
      </c>
      <c r="B245" t="s">
        <v>501</v>
      </c>
      <c r="C245" s="18">
        <v>0.28781173999999998</v>
      </c>
      <c r="D245" s="18">
        <v>0.52376267899999995</v>
      </c>
      <c r="E245" s="18">
        <v>0.97051335599999999</v>
      </c>
      <c r="F245" s="18">
        <v>1.9960604790000001</v>
      </c>
    </row>
    <row r="246" spans="1:54" x14ac:dyDescent="0.3">
      <c r="A246" t="str">
        <f t="shared" si="3"/>
        <v>SE</v>
      </c>
      <c r="B246" t="s">
        <v>731</v>
      </c>
      <c r="C246" s="4">
        <v>0</v>
      </c>
      <c r="D246" s="4">
        <v>0</v>
      </c>
      <c r="E246" s="4">
        <v>0</v>
      </c>
      <c r="F246" s="4">
        <v>0</v>
      </c>
    </row>
    <row r="248" spans="1:54" s="3" customFormat="1" x14ac:dyDescent="0.3">
      <c r="A248" s="2" t="s">
        <v>732</v>
      </c>
    </row>
    <row r="249" spans="1:54" x14ac:dyDescent="0.3">
      <c r="A249" s="1" t="s">
        <v>1</v>
      </c>
      <c r="B249" s="1">
        <v>2018</v>
      </c>
      <c r="C249" s="1">
        <v>2019</v>
      </c>
      <c r="D249" s="1">
        <v>2020</v>
      </c>
      <c r="E249" s="1">
        <v>2021</v>
      </c>
      <c r="F249" s="1">
        <v>2022</v>
      </c>
      <c r="G249" s="1">
        <v>2023</v>
      </c>
      <c r="H249" s="1">
        <v>2024</v>
      </c>
      <c r="I249" s="1">
        <v>2025</v>
      </c>
      <c r="J249" s="1">
        <v>2026</v>
      </c>
      <c r="K249" s="1">
        <v>2027</v>
      </c>
      <c r="L249" s="1">
        <v>2028</v>
      </c>
      <c r="M249" s="1">
        <v>2029</v>
      </c>
      <c r="N249" s="1">
        <v>2030</v>
      </c>
      <c r="O249" s="1">
        <v>2031</v>
      </c>
      <c r="P249" s="1">
        <v>2032</v>
      </c>
      <c r="Q249" s="1">
        <v>2033</v>
      </c>
      <c r="R249" s="1">
        <v>2034</v>
      </c>
      <c r="S249" s="1">
        <v>2035</v>
      </c>
      <c r="T249" s="1">
        <v>2036</v>
      </c>
      <c r="U249" s="1">
        <v>2037</v>
      </c>
      <c r="V249" s="1">
        <v>2038</v>
      </c>
      <c r="W249" s="1">
        <v>2039</v>
      </c>
      <c r="X249" s="1">
        <v>2040</v>
      </c>
      <c r="Y249" s="1">
        <v>2041</v>
      </c>
      <c r="Z249" s="1">
        <v>2042</v>
      </c>
      <c r="AA249" s="1">
        <v>2043</v>
      </c>
      <c r="AB249" s="1">
        <v>2044</v>
      </c>
      <c r="AC249" s="1">
        <v>2045</v>
      </c>
      <c r="AD249" s="1">
        <v>2046</v>
      </c>
      <c r="AE249" s="1">
        <v>2047</v>
      </c>
      <c r="AF249" s="1">
        <v>2048</v>
      </c>
      <c r="AG249" s="1">
        <v>2049</v>
      </c>
      <c r="AH249" s="1">
        <v>2050</v>
      </c>
      <c r="AI249" s="1">
        <v>2051</v>
      </c>
      <c r="AJ249" s="1">
        <v>2052</v>
      </c>
      <c r="AK249" s="1">
        <v>2053</v>
      </c>
      <c r="AL249" s="1">
        <v>2054</v>
      </c>
      <c r="AM249" s="1">
        <v>2055</v>
      </c>
      <c r="AN249" s="1">
        <v>2056</v>
      </c>
      <c r="AO249" s="1">
        <v>2057</v>
      </c>
      <c r="AP249" s="1">
        <v>2058</v>
      </c>
      <c r="AQ249" s="1">
        <v>2059</v>
      </c>
      <c r="AR249" s="1">
        <v>2060</v>
      </c>
      <c r="AS249" s="1">
        <v>2061</v>
      </c>
      <c r="AT249" s="1">
        <v>2062</v>
      </c>
      <c r="AU249" s="1">
        <v>2063</v>
      </c>
      <c r="AV249" s="1">
        <v>2064</v>
      </c>
      <c r="AW249" s="1">
        <v>2065</v>
      </c>
      <c r="AX249" s="1">
        <v>2066</v>
      </c>
      <c r="AY249" s="1">
        <v>2067</v>
      </c>
      <c r="AZ249" s="1">
        <v>2068</v>
      </c>
      <c r="BA249" s="1">
        <v>2069</v>
      </c>
      <c r="BB249" s="1">
        <v>2070</v>
      </c>
    </row>
    <row r="250" spans="1:54" x14ac:dyDescent="0.3">
      <c r="A250" t="s">
        <v>2</v>
      </c>
      <c r="B250" s="4">
        <v>65.267269623914629</v>
      </c>
      <c r="C250" s="4">
        <v>63.440526536930498</v>
      </c>
      <c r="D250" s="4">
        <v>57.45833466862787</v>
      </c>
      <c r="E250" s="4">
        <v>60.274475207436716</v>
      </c>
      <c r="F250" s="6">
        <f>E250*('Passenger cars EU Ref'!H3/'Passenger cars EU Ref'!G3)</f>
        <v>62.753025807573309</v>
      </c>
      <c r="G250" s="6">
        <f>F250*('Passenger cars EU Ref'!I3/'Passenger cars EU Ref'!H3)</f>
        <v>65.231576407709895</v>
      </c>
      <c r="H250" s="6">
        <f>G250*('Passenger cars EU Ref'!J3/'Passenger cars EU Ref'!I3)</f>
        <v>67.710127007846481</v>
      </c>
      <c r="I250" s="6">
        <f>H250*('Passenger cars EU Ref'!K3/'Passenger cars EU Ref'!J3)</f>
        <v>70.188677607983053</v>
      </c>
      <c r="J250" s="6">
        <f>I250*('Passenger cars EU Ref'!L3/'Passenger cars EU Ref'!K3)</f>
        <v>70.950276922301725</v>
      </c>
      <c r="K250" s="6">
        <f>J250*('Passenger cars EU Ref'!M3/'Passenger cars EU Ref'!L3)</f>
        <v>71.711876236620398</v>
      </c>
      <c r="L250" s="6">
        <f>K250*('Passenger cars EU Ref'!N3/'Passenger cars EU Ref'!M3)</f>
        <v>72.473475550939057</v>
      </c>
      <c r="M250" s="6">
        <f>L250*('Passenger cars EU Ref'!O3/'Passenger cars EU Ref'!N3)</f>
        <v>73.235074865257729</v>
      </c>
      <c r="N250" s="6">
        <f>M250*('Passenger cars EU Ref'!P3/'Passenger cars EU Ref'!O3)</f>
        <v>73.996674179576374</v>
      </c>
      <c r="O250" s="6">
        <f>N250*('Passenger cars EU Ref'!Q3/'Passenger cars EU Ref'!P3)</f>
        <v>74.218793504430323</v>
      </c>
      <c r="P250" s="6">
        <f>O250*('Passenger cars EU Ref'!R3/'Passenger cars EU Ref'!Q3)</f>
        <v>74.440912829284287</v>
      </c>
      <c r="Q250" s="6">
        <f>P250*('Passenger cars EU Ref'!S3/'Passenger cars EU Ref'!R3)</f>
        <v>74.66303215413825</v>
      </c>
      <c r="R250" s="6">
        <f>Q250*('Passenger cars EU Ref'!T3/'Passenger cars EU Ref'!S3)</f>
        <v>74.885151478992199</v>
      </c>
      <c r="S250" s="6">
        <f>R250*('Passenger cars EU Ref'!U3/'Passenger cars EU Ref'!T3)</f>
        <v>75.10727080384612</v>
      </c>
      <c r="T250" s="6">
        <f>S250*('Passenger cars EU Ref'!V3/'Passenger cars EU Ref'!U3)</f>
        <v>75.534218537273446</v>
      </c>
      <c r="U250" s="6">
        <f>T250*('Passenger cars EU Ref'!W3/'Passenger cars EU Ref'!V3)</f>
        <v>75.961166270700787</v>
      </c>
      <c r="V250" s="6">
        <f>U250*('Passenger cars EU Ref'!X3/'Passenger cars EU Ref'!W3)</f>
        <v>76.388114004128127</v>
      </c>
      <c r="W250" s="6">
        <f>V250*('Passenger cars EU Ref'!Y3/'Passenger cars EU Ref'!X3)</f>
        <v>76.815061737555453</v>
      </c>
      <c r="X250" s="6">
        <f>W250*('Passenger cars EU Ref'!Z3/'Passenger cars EU Ref'!Y3)</f>
        <v>77.242009470982779</v>
      </c>
      <c r="Y250" s="6">
        <f>X250*('Passenger cars EU Ref'!AA3/'Passenger cars EU Ref'!Z3)</f>
        <v>77.544948565211357</v>
      </c>
      <c r="Z250" s="6">
        <f>Y250*('Passenger cars EU Ref'!AB3/'Passenger cars EU Ref'!AA3)</f>
        <v>77.847887659439934</v>
      </c>
      <c r="AA250" s="6">
        <f>Z250*('Passenger cars EU Ref'!AC3/'Passenger cars EU Ref'!AB3)</f>
        <v>78.150826753668511</v>
      </c>
      <c r="AB250" s="6">
        <f>AA250*('Passenger cars EU Ref'!AD3/'Passenger cars EU Ref'!AC3)</f>
        <v>78.453765847897103</v>
      </c>
      <c r="AC250" s="6">
        <f>AB250*('Passenger cars EU Ref'!AE3/'Passenger cars EU Ref'!AD3)</f>
        <v>78.756704942125694</v>
      </c>
      <c r="AD250" s="6">
        <f>AC250*('Passenger cars EU Ref'!AF3/'Passenger cars EU Ref'!AE3)</f>
        <v>79.148424653507291</v>
      </c>
      <c r="AE250" s="6">
        <f>AD250*('Passenger cars EU Ref'!AG3/'Passenger cars EU Ref'!AF3)</f>
        <v>79.540144364888889</v>
      </c>
      <c r="AF250" s="6">
        <f>AE250*('Passenger cars EU Ref'!AH3/'Passenger cars EU Ref'!AG3)</f>
        <v>79.931864076270486</v>
      </c>
      <c r="AG250" s="6">
        <f>AF250*('Passenger cars EU Ref'!AI3/'Passenger cars EU Ref'!AH3)</f>
        <v>80.323583787652083</v>
      </c>
      <c r="AH250" s="6">
        <f>AG250*('Passenger cars EU Ref'!AJ3/'Passenger cars EU Ref'!AI3)</f>
        <v>80.715303499033695</v>
      </c>
      <c r="AI250" s="17">
        <f>AH250</f>
        <v>80.715303499033695</v>
      </c>
      <c r="AJ250" s="17">
        <f t="shared" ref="AJ250:BB250" si="4">AI250</f>
        <v>80.715303499033695</v>
      </c>
      <c r="AK250" s="17">
        <f t="shared" si="4"/>
        <v>80.715303499033695</v>
      </c>
      <c r="AL250" s="17">
        <f t="shared" si="4"/>
        <v>80.715303499033695</v>
      </c>
      <c r="AM250" s="17">
        <f t="shared" si="4"/>
        <v>80.715303499033695</v>
      </c>
      <c r="AN250" s="17">
        <f t="shared" si="4"/>
        <v>80.715303499033695</v>
      </c>
      <c r="AO250" s="17">
        <f t="shared" si="4"/>
        <v>80.715303499033695</v>
      </c>
      <c r="AP250" s="17">
        <f t="shared" si="4"/>
        <v>80.715303499033695</v>
      </c>
      <c r="AQ250" s="17">
        <f t="shared" si="4"/>
        <v>80.715303499033695</v>
      </c>
      <c r="AR250" s="17">
        <f t="shared" si="4"/>
        <v>80.715303499033695</v>
      </c>
      <c r="AS250" s="17">
        <f t="shared" si="4"/>
        <v>80.715303499033695</v>
      </c>
      <c r="AT250" s="17">
        <f t="shared" si="4"/>
        <v>80.715303499033695</v>
      </c>
      <c r="AU250" s="17">
        <f t="shared" si="4"/>
        <v>80.715303499033695</v>
      </c>
      <c r="AV250" s="17">
        <f t="shared" si="4"/>
        <v>80.715303499033695</v>
      </c>
      <c r="AW250" s="17">
        <f t="shared" si="4"/>
        <v>80.715303499033695</v>
      </c>
      <c r="AX250" s="17">
        <f t="shared" si="4"/>
        <v>80.715303499033695</v>
      </c>
      <c r="AY250" s="17">
        <f t="shared" si="4"/>
        <v>80.715303499033695</v>
      </c>
      <c r="AZ250" s="17">
        <f t="shared" si="4"/>
        <v>80.715303499033695</v>
      </c>
      <c r="BA250" s="17">
        <f t="shared" si="4"/>
        <v>80.715303499033695</v>
      </c>
      <c r="BB250" s="17">
        <f t="shared" si="4"/>
        <v>80.715303499033695</v>
      </c>
    </row>
    <row r="251" spans="1:54" x14ac:dyDescent="0.3">
      <c r="A251" t="s">
        <v>4</v>
      </c>
      <c r="B251" s="4">
        <v>87.727872899000005</v>
      </c>
      <c r="C251" s="4">
        <v>86.93311739699999</v>
      </c>
      <c r="D251" s="4">
        <v>74.638905249000004</v>
      </c>
      <c r="E251" s="4">
        <v>78.262958429999998</v>
      </c>
      <c r="F251" s="6">
        <f>E251*('Passenger cars EU Ref'!H4/'Passenger cars EU Ref'!G4)</f>
        <v>80.390815551447574</v>
      </c>
      <c r="G251" s="6">
        <f>F251*('Passenger cars EU Ref'!I4/'Passenger cars EU Ref'!H4)</f>
        <v>82.51867267289515</v>
      </c>
      <c r="H251" s="6">
        <f>G251*('Passenger cars EU Ref'!J4/'Passenger cars EU Ref'!I4)</f>
        <v>84.646529794342726</v>
      </c>
      <c r="I251" s="6">
        <f>H251*('Passenger cars EU Ref'!K4/'Passenger cars EU Ref'!J4)</f>
        <v>86.77438691579033</v>
      </c>
      <c r="J251" s="6">
        <f>I251*('Passenger cars EU Ref'!L4/'Passenger cars EU Ref'!K4)</f>
        <v>87.404190356842776</v>
      </c>
      <c r="K251" s="6">
        <f>J251*('Passenger cars EU Ref'!M4/'Passenger cars EU Ref'!L4)</f>
        <v>88.033993797895221</v>
      </c>
      <c r="L251" s="6">
        <f>K251*('Passenger cars EU Ref'!N4/'Passenger cars EU Ref'!M4)</f>
        <v>88.66379723894768</v>
      </c>
      <c r="M251" s="6">
        <f>L251*('Passenger cars EU Ref'!O4/'Passenger cars EU Ref'!N4)</f>
        <v>89.293600680000125</v>
      </c>
      <c r="N251" s="6">
        <f>M251*('Passenger cars EU Ref'!P4/'Passenger cars EU Ref'!O4)</f>
        <v>89.923404121052599</v>
      </c>
      <c r="O251" s="6">
        <f>N251*('Passenger cars EU Ref'!Q4/'Passenger cars EU Ref'!P4)</f>
        <v>90.171598528774652</v>
      </c>
      <c r="P251" s="6">
        <f>O251*('Passenger cars EU Ref'!R4/'Passenger cars EU Ref'!Q4)</f>
        <v>90.419792936496705</v>
      </c>
      <c r="Q251" s="6">
        <f>P251*('Passenger cars EU Ref'!S4/'Passenger cars EU Ref'!R4)</f>
        <v>90.667987344218758</v>
      </c>
      <c r="R251" s="6">
        <f>Q251*('Passenger cars EU Ref'!T4/'Passenger cars EU Ref'!S4)</f>
        <v>90.916181751940812</v>
      </c>
      <c r="S251" s="6">
        <f>R251*('Passenger cars EU Ref'!U4/'Passenger cars EU Ref'!T4)</f>
        <v>91.164376159662893</v>
      </c>
      <c r="T251" s="6">
        <f>S251*('Passenger cars EU Ref'!V4/'Passenger cars EU Ref'!U4)</f>
        <v>91.324604849018044</v>
      </c>
      <c r="U251" s="6">
        <f>T251*('Passenger cars EU Ref'!W4/'Passenger cars EU Ref'!V4)</f>
        <v>91.484833538373209</v>
      </c>
      <c r="V251" s="6">
        <f>U251*('Passenger cars EU Ref'!X4/'Passenger cars EU Ref'!W4)</f>
        <v>91.645062227728374</v>
      </c>
      <c r="W251" s="6">
        <f>V251*('Passenger cars EU Ref'!Y4/'Passenger cars EU Ref'!X4)</f>
        <v>91.805290917083525</v>
      </c>
      <c r="X251" s="6">
        <f>W251*('Passenger cars EU Ref'!Z4/'Passenger cars EU Ref'!Y4)</f>
        <v>91.965519606438676</v>
      </c>
      <c r="Y251" s="6">
        <f>X251*('Passenger cars EU Ref'!AA4/'Passenger cars EU Ref'!Z4)</f>
        <v>92.176346074603188</v>
      </c>
      <c r="Z251" s="6">
        <f>Y251*('Passenger cars EU Ref'!AB4/'Passenger cars EU Ref'!AA4)</f>
        <v>92.387172542767686</v>
      </c>
      <c r="AA251" s="6">
        <f>Z251*('Passenger cars EU Ref'!AC4/'Passenger cars EU Ref'!AB4)</f>
        <v>92.597999010932199</v>
      </c>
      <c r="AB251" s="6">
        <f>AA251*('Passenger cars EU Ref'!AD4/'Passenger cars EU Ref'!AC4)</f>
        <v>92.808825479096711</v>
      </c>
      <c r="AC251" s="6">
        <f>AB251*('Passenger cars EU Ref'!AE4/'Passenger cars EU Ref'!AD4)</f>
        <v>93.019651947261195</v>
      </c>
      <c r="AD251" s="6">
        <f>AC251*('Passenger cars EU Ref'!AF4/'Passenger cars EU Ref'!AE4)</f>
        <v>93.255626773804877</v>
      </c>
      <c r="AE251" s="6">
        <f>AD251*('Passenger cars EU Ref'!AG4/'Passenger cars EU Ref'!AF4)</f>
        <v>93.491601600348545</v>
      </c>
      <c r="AF251" s="6">
        <f>AE251*('Passenger cars EU Ref'!AH4/'Passenger cars EU Ref'!AG4)</f>
        <v>93.727576426892213</v>
      </c>
      <c r="AG251" s="6">
        <f>AF251*('Passenger cars EU Ref'!AI4/'Passenger cars EU Ref'!AH4)</f>
        <v>93.963551253435881</v>
      </c>
      <c r="AH251" s="6">
        <f>AG251*('Passenger cars EU Ref'!AJ4/'Passenger cars EU Ref'!AI4)</f>
        <v>94.19952607997952</v>
      </c>
      <c r="AI251" s="17">
        <f t="shared" ref="AI251:BB251" si="5">AH251</f>
        <v>94.19952607997952</v>
      </c>
      <c r="AJ251" s="17">
        <f t="shared" si="5"/>
        <v>94.19952607997952</v>
      </c>
      <c r="AK251" s="17">
        <f t="shared" si="5"/>
        <v>94.19952607997952</v>
      </c>
      <c r="AL251" s="17">
        <f t="shared" si="5"/>
        <v>94.19952607997952</v>
      </c>
      <c r="AM251" s="17">
        <f t="shared" si="5"/>
        <v>94.19952607997952</v>
      </c>
      <c r="AN251" s="17">
        <f t="shared" si="5"/>
        <v>94.19952607997952</v>
      </c>
      <c r="AO251" s="17">
        <f t="shared" si="5"/>
        <v>94.19952607997952</v>
      </c>
      <c r="AP251" s="17">
        <f t="shared" si="5"/>
        <v>94.19952607997952</v>
      </c>
      <c r="AQ251" s="17">
        <f t="shared" si="5"/>
        <v>94.19952607997952</v>
      </c>
      <c r="AR251" s="17">
        <f t="shared" si="5"/>
        <v>94.19952607997952</v>
      </c>
      <c r="AS251" s="17">
        <f t="shared" si="5"/>
        <v>94.19952607997952</v>
      </c>
      <c r="AT251" s="17">
        <f t="shared" si="5"/>
        <v>94.19952607997952</v>
      </c>
      <c r="AU251" s="17">
        <f t="shared" si="5"/>
        <v>94.19952607997952</v>
      </c>
      <c r="AV251" s="17">
        <f t="shared" si="5"/>
        <v>94.19952607997952</v>
      </c>
      <c r="AW251" s="17">
        <f t="shared" si="5"/>
        <v>94.19952607997952</v>
      </c>
      <c r="AX251" s="17">
        <f t="shared" si="5"/>
        <v>94.19952607997952</v>
      </c>
      <c r="AY251" s="17">
        <f t="shared" si="5"/>
        <v>94.19952607997952</v>
      </c>
      <c r="AZ251" s="17">
        <f t="shared" si="5"/>
        <v>94.19952607997952</v>
      </c>
      <c r="BA251" s="17">
        <f t="shared" si="5"/>
        <v>94.19952607997952</v>
      </c>
      <c r="BB251" s="17">
        <f t="shared" si="5"/>
        <v>94.19952607997952</v>
      </c>
    </row>
    <row r="252" spans="1:54" x14ac:dyDescent="0.3">
      <c r="A252" t="s">
        <v>3</v>
      </c>
      <c r="B252" s="4">
        <v>31.528346363000001</v>
      </c>
      <c r="C252" s="4">
        <v>32.626024577000003</v>
      </c>
      <c r="D252" s="4">
        <v>31.629518877000002</v>
      </c>
      <c r="E252" s="4">
        <v>34.963436008999992</v>
      </c>
      <c r="F252" s="6">
        <f>E252*('Passenger cars EU Ref'!H5/'Passenger cars EU Ref'!G5)</f>
        <v>35.881205430415569</v>
      </c>
      <c r="G252" s="6">
        <f>F252*('Passenger cars EU Ref'!I5/'Passenger cars EU Ref'!H5)</f>
        <v>36.798974851831154</v>
      </c>
      <c r="H252" s="6">
        <f>G252*('Passenger cars EU Ref'!J5/'Passenger cars EU Ref'!I5)</f>
        <v>37.716744273246739</v>
      </c>
      <c r="I252" s="6">
        <f>H252*('Passenger cars EU Ref'!K5/'Passenger cars EU Ref'!J5)</f>
        <v>38.634513694662324</v>
      </c>
      <c r="J252" s="6">
        <f>I252*('Passenger cars EU Ref'!L5/'Passenger cars EU Ref'!K5)</f>
        <v>39.223126994036235</v>
      </c>
      <c r="K252" s="6">
        <f>J252*('Passenger cars EU Ref'!M5/'Passenger cars EU Ref'!L5)</f>
        <v>39.811740293410146</v>
      </c>
      <c r="L252" s="6">
        <f>K252*('Passenger cars EU Ref'!N5/'Passenger cars EU Ref'!M5)</f>
        <v>40.400353592784057</v>
      </c>
      <c r="M252" s="6">
        <f>L252*('Passenger cars EU Ref'!O5/'Passenger cars EU Ref'!N5)</f>
        <v>40.988966892157968</v>
      </c>
      <c r="N252" s="6">
        <f>M252*('Passenger cars EU Ref'!P5/'Passenger cars EU Ref'!O5)</f>
        <v>41.577580191531872</v>
      </c>
      <c r="O252" s="6">
        <f>N252*('Passenger cars EU Ref'!Q5/'Passenger cars EU Ref'!P5)</f>
        <v>41.795100497301576</v>
      </c>
      <c r="P252" s="6">
        <f>O252*('Passenger cars EU Ref'!R5/'Passenger cars EU Ref'!Q5)</f>
        <v>42.012620803071286</v>
      </c>
      <c r="Q252" s="6">
        <f>P252*('Passenger cars EU Ref'!S5/'Passenger cars EU Ref'!R5)</f>
        <v>42.230141108840996</v>
      </c>
      <c r="R252" s="6">
        <f>Q252*('Passenger cars EU Ref'!T5/'Passenger cars EU Ref'!S5)</f>
        <v>42.447661414610707</v>
      </c>
      <c r="S252" s="6">
        <f>R252*('Passenger cars EU Ref'!U5/'Passenger cars EU Ref'!T5)</f>
        <v>42.665181720380403</v>
      </c>
      <c r="T252" s="6">
        <f>S252*('Passenger cars EU Ref'!V5/'Passenger cars EU Ref'!U5)</f>
        <v>42.72260282649377</v>
      </c>
      <c r="U252" s="6">
        <f>T252*('Passenger cars EU Ref'!W5/'Passenger cars EU Ref'!V5)</f>
        <v>42.780023932607136</v>
      </c>
      <c r="V252" s="6">
        <f>U252*('Passenger cars EU Ref'!X5/'Passenger cars EU Ref'!W5)</f>
        <v>42.837445038720503</v>
      </c>
      <c r="W252" s="6">
        <f>V252*('Passenger cars EU Ref'!Y5/'Passenger cars EU Ref'!X5)</f>
        <v>42.89486614483387</v>
      </c>
      <c r="X252" s="6">
        <f>W252*('Passenger cars EU Ref'!Z5/'Passenger cars EU Ref'!Y5)</f>
        <v>42.952287250947229</v>
      </c>
      <c r="Y252" s="6">
        <f>X252*('Passenger cars EU Ref'!AA5/'Passenger cars EU Ref'!Z5)</f>
        <v>43.182806441965887</v>
      </c>
      <c r="Z252" s="6">
        <f>Y252*('Passenger cars EU Ref'!AB5/'Passenger cars EU Ref'!AA5)</f>
        <v>43.413325632984545</v>
      </c>
      <c r="AA252" s="6">
        <f>Z252*('Passenger cars EU Ref'!AC5/'Passenger cars EU Ref'!AB5)</f>
        <v>43.64384482400321</v>
      </c>
      <c r="AB252" s="6">
        <f>AA252*('Passenger cars EU Ref'!AD5/'Passenger cars EU Ref'!AC5)</f>
        <v>43.874364015021875</v>
      </c>
      <c r="AC252" s="6">
        <f>AB252*('Passenger cars EU Ref'!AE5/'Passenger cars EU Ref'!AD5)</f>
        <v>44.104883206040562</v>
      </c>
      <c r="AD252" s="6">
        <f>AC252*('Passenger cars EU Ref'!AF5/'Passenger cars EU Ref'!AE5)</f>
        <v>44.383983607002811</v>
      </c>
      <c r="AE252" s="6">
        <f>AD252*('Passenger cars EU Ref'!AG5/'Passenger cars EU Ref'!AF5)</f>
        <v>44.663084007965054</v>
      </c>
      <c r="AF252" s="6">
        <f>AE252*('Passenger cars EU Ref'!AH5/'Passenger cars EU Ref'!AG5)</f>
        <v>44.942184408927297</v>
      </c>
      <c r="AG252" s="6">
        <f>AF252*('Passenger cars EU Ref'!AI5/'Passenger cars EU Ref'!AH5)</f>
        <v>45.221284809889539</v>
      </c>
      <c r="AH252" s="6">
        <f>AG252*('Passenger cars EU Ref'!AJ5/'Passenger cars EU Ref'!AI5)</f>
        <v>45.500385210851803</v>
      </c>
      <c r="AI252" s="17">
        <f t="shared" ref="AI252:BB252" si="6">AH252</f>
        <v>45.500385210851803</v>
      </c>
      <c r="AJ252" s="17">
        <f t="shared" si="6"/>
        <v>45.500385210851803</v>
      </c>
      <c r="AK252" s="17">
        <f t="shared" si="6"/>
        <v>45.500385210851803</v>
      </c>
      <c r="AL252" s="17">
        <f t="shared" si="6"/>
        <v>45.500385210851803</v>
      </c>
      <c r="AM252" s="17">
        <f t="shared" si="6"/>
        <v>45.500385210851803</v>
      </c>
      <c r="AN252" s="17">
        <f t="shared" si="6"/>
        <v>45.500385210851803</v>
      </c>
      <c r="AO252" s="17">
        <f t="shared" si="6"/>
        <v>45.500385210851803</v>
      </c>
      <c r="AP252" s="17">
        <f t="shared" si="6"/>
        <v>45.500385210851803</v>
      </c>
      <c r="AQ252" s="17">
        <f t="shared" si="6"/>
        <v>45.500385210851803</v>
      </c>
      <c r="AR252" s="17">
        <f t="shared" si="6"/>
        <v>45.500385210851803</v>
      </c>
      <c r="AS252" s="17">
        <f t="shared" si="6"/>
        <v>45.500385210851803</v>
      </c>
      <c r="AT252" s="17">
        <f t="shared" si="6"/>
        <v>45.500385210851803</v>
      </c>
      <c r="AU252" s="17">
        <f t="shared" si="6"/>
        <v>45.500385210851803</v>
      </c>
      <c r="AV252" s="17">
        <f t="shared" si="6"/>
        <v>45.500385210851803</v>
      </c>
      <c r="AW252" s="17">
        <f t="shared" si="6"/>
        <v>45.500385210851803</v>
      </c>
      <c r="AX252" s="17">
        <f t="shared" si="6"/>
        <v>45.500385210851803</v>
      </c>
      <c r="AY252" s="17">
        <f t="shared" si="6"/>
        <v>45.500385210851803</v>
      </c>
      <c r="AZ252" s="17">
        <f t="shared" si="6"/>
        <v>45.500385210851803</v>
      </c>
      <c r="BA252" s="17">
        <f t="shared" si="6"/>
        <v>45.500385210851803</v>
      </c>
      <c r="BB252" s="17">
        <f t="shared" si="6"/>
        <v>45.500385210851803</v>
      </c>
    </row>
    <row r="253" spans="1:54" x14ac:dyDescent="0.3">
      <c r="A253" t="s">
        <v>15</v>
      </c>
      <c r="B253" s="4">
        <v>6.1879352179999989</v>
      </c>
      <c r="C253" s="4">
        <v>6.4227633260000001</v>
      </c>
      <c r="D253" s="4">
        <v>5.9370989960000005</v>
      </c>
      <c r="E253" s="4">
        <v>6.1002852469999995</v>
      </c>
      <c r="F253" s="6">
        <f>E253*('Passenger cars EU Ref'!H6/'Passenger cars EU Ref'!G6)</f>
        <v>6.4186009288571251</v>
      </c>
      <c r="G253" s="6">
        <f>F253*('Passenger cars EU Ref'!I6/'Passenger cars EU Ref'!H6)</f>
        <v>6.7369166107142515</v>
      </c>
      <c r="H253" s="6">
        <f>G253*('Passenger cars EU Ref'!J6/'Passenger cars EU Ref'!I6)</f>
        <v>7.0552322925713771</v>
      </c>
      <c r="I253" s="6">
        <f>H253*('Passenger cars EU Ref'!K6/'Passenger cars EU Ref'!J6)</f>
        <v>7.3735479744285026</v>
      </c>
      <c r="J253" s="6">
        <f>I253*('Passenger cars EU Ref'!L6/'Passenger cars EU Ref'!K6)</f>
        <v>7.5917135808183689</v>
      </c>
      <c r="K253" s="6">
        <f>J253*('Passenger cars EU Ref'!M6/'Passenger cars EU Ref'!L6)</f>
        <v>7.8098791872082343</v>
      </c>
      <c r="L253" s="6">
        <f>K253*('Passenger cars EU Ref'!N6/'Passenger cars EU Ref'!M6)</f>
        <v>8.0280447935981005</v>
      </c>
      <c r="M253" s="6">
        <f>L253*('Passenger cars EU Ref'!O6/'Passenger cars EU Ref'!N6)</f>
        <v>8.2462103999879659</v>
      </c>
      <c r="N253" s="6">
        <f>M253*('Passenger cars EU Ref'!P6/'Passenger cars EU Ref'!O6)</f>
        <v>8.4643760063778295</v>
      </c>
      <c r="O253" s="6">
        <f>N253*('Passenger cars EU Ref'!Q6/'Passenger cars EU Ref'!P6)</f>
        <v>8.5614305735035963</v>
      </c>
      <c r="P253" s="6">
        <f>O253*('Passenger cars EU Ref'!R6/'Passenger cars EU Ref'!Q6)</f>
        <v>8.658485140629363</v>
      </c>
      <c r="Q253" s="6">
        <f>P253*('Passenger cars EU Ref'!S6/'Passenger cars EU Ref'!R6)</f>
        <v>8.7555397077551298</v>
      </c>
      <c r="R253" s="6">
        <f>Q253*('Passenger cars EU Ref'!T6/'Passenger cars EU Ref'!S6)</f>
        <v>8.8525942748808948</v>
      </c>
      <c r="S253" s="6">
        <f>R253*('Passenger cars EU Ref'!U6/'Passenger cars EU Ref'!T6)</f>
        <v>8.9496488420066616</v>
      </c>
      <c r="T253" s="6">
        <f>S253*('Passenger cars EU Ref'!V6/'Passenger cars EU Ref'!U6)</f>
        <v>9.0320691669126631</v>
      </c>
      <c r="U253" s="6">
        <f>T253*('Passenger cars EU Ref'!W6/'Passenger cars EU Ref'!V6)</f>
        <v>9.1144894918186665</v>
      </c>
      <c r="V253" s="6">
        <f>U253*('Passenger cars EU Ref'!X6/'Passenger cars EU Ref'!W6)</f>
        <v>9.1969098167246699</v>
      </c>
      <c r="W253" s="6">
        <f>V253*('Passenger cars EU Ref'!Y6/'Passenger cars EU Ref'!X6)</f>
        <v>9.2793301416306733</v>
      </c>
      <c r="X253" s="6">
        <f>W253*('Passenger cars EU Ref'!Z6/'Passenger cars EU Ref'!Y6)</f>
        <v>9.3617504665366749</v>
      </c>
      <c r="Y253" s="6">
        <f>X253*('Passenger cars EU Ref'!AA6/'Passenger cars EU Ref'!Z6)</f>
        <v>9.47554626643044</v>
      </c>
      <c r="Z253" s="6">
        <f>Y253*('Passenger cars EU Ref'!AB6/'Passenger cars EU Ref'!AA6)</f>
        <v>9.589342066324205</v>
      </c>
      <c r="AA253" s="6">
        <f>Z253*('Passenger cars EU Ref'!AC6/'Passenger cars EU Ref'!AB6)</f>
        <v>9.7031378662179701</v>
      </c>
      <c r="AB253" s="6">
        <f>AA253*('Passenger cars EU Ref'!AD6/'Passenger cars EU Ref'!AC6)</f>
        <v>9.8169336661117352</v>
      </c>
      <c r="AC253" s="6">
        <f>AB253*('Passenger cars EU Ref'!AE6/'Passenger cars EU Ref'!AD6)</f>
        <v>9.9307294660054986</v>
      </c>
      <c r="AD253" s="6">
        <f>AC253*('Passenger cars EU Ref'!AF6/'Passenger cars EU Ref'!AE6)</f>
        <v>10.047047393168798</v>
      </c>
      <c r="AE253" s="6">
        <f>AD253*('Passenger cars EU Ref'!AG6/'Passenger cars EU Ref'!AF6)</f>
        <v>10.163365320332097</v>
      </c>
      <c r="AF253" s="6">
        <f>AE253*('Passenger cars EU Ref'!AH6/'Passenger cars EU Ref'!AG6)</f>
        <v>10.279683247495397</v>
      </c>
      <c r="AG253" s="6">
        <f>AF253*('Passenger cars EU Ref'!AI6/'Passenger cars EU Ref'!AH6)</f>
        <v>10.396001174658696</v>
      </c>
      <c r="AH253" s="6">
        <f>AG253*('Passenger cars EU Ref'!AJ6/'Passenger cars EU Ref'!AI6)</f>
        <v>10.512319101821996</v>
      </c>
      <c r="AI253" s="17">
        <f t="shared" ref="AI253:BB253" si="7">AH253</f>
        <v>10.512319101821996</v>
      </c>
      <c r="AJ253" s="17">
        <f t="shared" si="7"/>
        <v>10.512319101821996</v>
      </c>
      <c r="AK253" s="17">
        <f t="shared" si="7"/>
        <v>10.512319101821996</v>
      </c>
      <c r="AL253" s="17">
        <f t="shared" si="7"/>
        <v>10.512319101821996</v>
      </c>
      <c r="AM253" s="17">
        <f t="shared" si="7"/>
        <v>10.512319101821996</v>
      </c>
      <c r="AN253" s="17">
        <f t="shared" si="7"/>
        <v>10.512319101821996</v>
      </c>
      <c r="AO253" s="17">
        <f t="shared" si="7"/>
        <v>10.512319101821996</v>
      </c>
      <c r="AP253" s="17">
        <f t="shared" si="7"/>
        <v>10.512319101821996</v>
      </c>
      <c r="AQ253" s="17">
        <f t="shared" si="7"/>
        <v>10.512319101821996</v>
      </c>
      <c r="AR253" s="17">
        <f t="shared" si="7"/>
        <v>10.512319101821996</v>
      </c>
      <c r="AS253" s="17">
        <f t="shared" si="7"/>
        <v>10.512319101821996</v>
      </c>
      <c r="AT253" s="17">
        <f t="shared" si="7"/>
        <v>10.512319101821996</v>
      </c>
      <c r="AU253" s="17">
        <f t="shared" si="7"/>
        <v>10.512319101821996</v>
      </c>
      <c r="AV253" s="17">
        <f t="shared" si="7"/>
        <v>10.512319101821996</v>
      </c>
      <c r="AW253" s="17">
        <f t="shared" si="7"/>
        <v>10.512319101821996</v>
      </c>
      <c r="AX253" s="17">
        <f t="shared" si="7"/>
        <v>10.512319101821996</v>
      </c>
      <c r="AY253" s="17">
        <f t="shared" si="7"/>
        <v>10.512319101821996</v>
      </c>
      <c r="AZ253" s="17">
        <f t="shared" si="7"/>
        <v>10.512319101821996</v>
      </c>
      <c r="BA253" s="17">
        <f t="shared" si="7"/>
        <v>10.512319101821996</v>
      </c>
      <c r="BB253" s="17">
        <f t="shared" si="7"/>
        <v>10.512319101821996</v>
      </c>
    </row>
    <row r="254" spans="1:54" x14ac:dyDescent="0.3">
      <c r="A254" t="s">
        <v>5</v>
      </c>
      <c r="B254" s="4">
        <v>57.267208066000002</v>
      </c>
      <c r="C254" s="4">
        <v>59.490437716000002</v>
      </c>
      <c r="D254" s="4">
        <v>57.707178251999991</v>
      </c>
      <c r="E254" s="4">
        <v>63.680661473000001</v>
      </c>
      <c r="F254" s="6">
        <f>E254*('Passenger cars EU Ref'!H7/'Passenger cars EU Ref'!G7)</f>
        <v>65.763572659980667</v>
      </c>
      <c r="G254" s="6">
        <f>F254*('Passenger cars EU Ref'!I7/'Passenger cars EU Ref'!H7)</f>
        <v>67.846483846961334</v>
      </c>
      <c r="H254" s="6">
        <f>G254*('Passenger cars EU Ref'!J7/'Passenger cars EU Ref'!I7)</f>
        <v>69.929395033942001</v>
      </c>
      <c r="I254" s="6">
        <f>H254*('Passenger cars EU Ref'!K7/'Passenger cars EU Ref'!J7)</f>
        <v>72.012306220922667</v>
      </c>
      <c r="J254" s="6">
        <f>I254*('Passenger cars EU Ref'!L7/'Passenger cars EU Ref'!K7)</f>
        <v>73.693255532676062</v>
      </c>
      <c r="K254" s="6">
        <f>J254*('Passenger cars EU Ref'!M7/'Passenger cars EU Ref'!L7)</f>
        <v>75.374204844429471</v>
      </c>
      <c r="L254" s="6">
        <f>K254*('Passenger cars EU Ref'!N7/'Passenger cars EU Ref'!M7)</f>
        <v>77.05515415618288</v>
      </c>
      <c r="M254" s="6">
        <f>L254*('Passenger cars EU Ref'!O7/'Passenger cars EU Ref'!N7)</f>
        <v>78.736103467936289</v>
      </c>
      <c r="N254" s="6">
        <f>M254*('Passenger cars EU Ref'!P7/'Passenger cars EU Ref'!O7)</f>
        <v>80.417052779689698</v>
      </c>
      <c r="O254" s="6">
        <f>N254*('Passenger cars EU Ref'!Q7/'Passenger cars EU Ref'!P7)</f>
        <v>81.549900625832791</v>
      </c>
      <c r="P254" s="6">
        <f>O254*('Passenger cars EU Ref'!R7/'Passenger cars EU Ref'!Q7)</f>
        <v>82.682748471975884</v>
      </c>
      <c r="Q254" s="6">
        <f>P254*('Passenger cars EU Ref'!S7/'Passenger cars EU Ref'!R7)</f>
        <v>83.815596318118978</v>
      </c>
      <c r="R254" s="6">
        <f>Q254*('Passenger cars EU Ref'!T7/'Passenger cars EU Ref'!S7)</f>
        <v>84.948444164262071</v>
      </c>
      <c r="S254" s="6">
        <f>R254*('Passenger cars EU Ref'!U7/'Passenger cars EU Ref'!T7)</f>
        <v>86.081292010405178</v>
      </c>
      <c r="T254" s="6">
        <f>S254*('Passenger cars EU Ref'!V7/'Passenger cars EU Ref'!U7)</f>
        <v>87.032625332648252</v>
      </c>
      <c r="U254" s="6">
        <f>T254*('Passenger cars EU Ref'!W7/'Passenger cars EU Ref'!V7)</f>
        <v>87.983958654891325</v>
      </c>
      <c r="V254" s="6">
        <f>U254*('Passenger cars EU Ref'!X7/'Passenger cars EU Ref'!W7)</f>
        <v>88.935291977134398</v>
      </c>
      <c r="W254" s="6">
        <f>V254*('Passenger cars EU Ref'!Y7/'Passenger cars EU Ref'!X7)</f>
        <v>89.886625299377471</v>
      </c>
      <c r="X254" s="6">
        <f>W254*('Passenger cars EU Ref'!Z7/'Passenger cars EU Ref'!Y7)</f>
        <v>90.837958621620558</v>
      </c>
      <c r="Y254" s="6">
        <f>X254*('Passenger cars EU Ref'!AA7/'Passenger cars EU Ref'!Z7)</f>
        <v>91.587127496412279</v>
      </c>
      <c r="Z254" s="6">
        <f>Y254*('Passenger cars EU Ref'!AB7/'Passenger cars EU Ref'!AA7)</f>
        <v>92.336296371204014</v>
      </c>
      <c r="AA254" s="6">
        <f>Z254*('Passenger cars EU Ref'!AC7/'Passenger cars EU Ref'!AB7)</f>
        <v>93.085465245995735</v>
      </c>
      <c r="AB254" s="6">
        <f>AA254*('Passenger cars EU Ref'!AD7/'Passenger cars EU Ref'!AC7)</f>
        <v>93.834634120787456</v>
      </c>
      <c r="AC254" s="6">
        <f>AB254*('Passenger cars EU Ref'!AE7/'Passenger cars EU Ref'!AD7)</f>
        <v>94.583802995579177</v>
      </c>
      <c r="AD254" s="6">
        <f>AC254*('Passenger cars EU Ref'!AF7/'Passenger cars EU Ref'!AE7)</f>
        <v>95.467318601938075</v>
      </c>
      <c r="AE254" s="6">
        <f>AD254*('Passenger cars EU Ref'!AG7/'Passenger cars EU Ref'!AF7)</f>
        <v>96.350834208296973</v>
      </c>
      <c r="AF254" s="6">
        <f>AE254*('Passenger cars EU Ref'!AH7/'Passenger cars EU Ref'!AG7)</f>
        <v>97.234349814655872</v>
      </c>
      <c r="AG254" s="6">
        <f>AF254*('Passenger cars EU Ref'!AI7/'Passenger cars EU Ref'!AH7)</f>
        <v>98.11786542101477</v>
      </c>
      <c r="AH254" s="6">
        <f>AG254*('Passenger cars EU Ref'!AJ7/'Passenger cars EU Ref'!AI7)</f>
        <v>99.001381027373654</v>
      </c>
      <c r="AI254" s="17">
        <f t="shared" ref="AI254:BB254" si="8">AH254</f>
        <v>99.001381027373654</v>
      </c>
      <c r="AJ254" s="17">
        <f t="shared" si="8"/>
        <v>99.001381027373654</v>
      </c>
      <c r="AK254" s="17">
        <f t="shared" si="8"/>
        <v>99.001381027373654</v>
      </c>
      <c r="AL254" s="17">
        <f t="shared" si="8"/>
        <v>99.001381027373654</v>
      </c>
      <c r="AM254" s="17">
        <f t="shared" si="8"/>
        <v>99.001381027373654</v>
      </c>
      <c r="AN254" s="17">
        <f t="shared" si="8"/>
        <v>99.001381027373654</v>
      </c>
      <c r="AO254" s="17">
        <f t="shared" si="8"/>
        <v>99.001381027373654</v>
      </c>
      <c r="AP254" s="17">
        <f t="shared" si="8"/>
        <v>99.001381027373654</v>
      </c>
      <c r="AQ254" s="17">
        <f t="shared" si="8"/>
        <v>99.001381027373654</v>
      </c>
      <c r="AR254" s="17">
        <f t="shared" si="8"/>
        <v>99.001381027373654</v>
      </c>
      <c r="AS254" s="17">
        <f t="shared" si="8"/>
        <v>99.001381027373654</v>
      </c>
      <c r="AT254" s="17">
        <f t="shared" si="8"/>
        <v>99.001381027373654</v>
      </c>
      <c r="AU254" s="17">
        <f t="shared" si="8"/>
        <v>99.001381027373654</v>
      </c>
      <c r="AV254" s="17">
        <f t="shared" si="8"/>
        <v>99.001381027373654</v>
      </c>
      <c r="AW254" s="17">
        <f t="shared" si="8"/>
        <v>99.001381027373654</v>
      </c>
      <c r="AX254" s="17">
        <f t="shared" si="8"/>
        <v>99.001381027373654</v>
      </c>
      <c r="AY254" s="17">
        <f t="shared" si="8"/>
        <v>99.001381027373654</v>
      </c>
      <c r="AZ254" s="17">
        <f t="shared" si="8"/>
        <v>99.001381027373654</v>
      </c>
      <c r="BA254" s="17">
        <f t="shared" si="8"/>
        <v>99.001381027373654</v>
      </c>
      <c r="BB254" s="17">
        <f t="shared" si="8"/>
        <v>99.001381027373654</v>
      </c>
    </row>
    <row r="255" spans="1:54" x14ac:dyDescent="0.3">
      <c r="A255" t="s">
        <v>7</v>
      </c>
      <c r="B255" s="4">
        <v>533.14506159199982</v>
      </c>
      <c r="C255" s="4">
        <v>538.94233256399991</v>
      </c>
      <c r="D255" s="4">
        <v>481.54874604800005</v>
      </c>
      <c r="E255" s="4">
        <v>484.59404475299999</v>
      </c>
      <c r="F255" s="6">
        <f>E255*('Passenger cars EU Ref'!H8/'Passenger cars EU Ref'!G8)</f>
        <v>490.66986597762707</v>
      </c>
      <c r="G255" s="6">
        <f>F255*('Passenger cars EU Ref'!I8/'Passenger cars EU Ref'!H8)</f>
        <v>496.74568720225409</v>
      </c>
      <c r="H255" s="6">
        <f>G255*('Passenger cars EU Ref'!J8/'Passenger cars EU Ref'!I8)</f>
        <v>502.82150842688117</v>
      </c>
      <c r="I255" s="6">
        <f>H255*('Passenger cars EU Ref'!K8/'Passenger cars EU Ref'!J8)</f>
        <v>508.8973296515083</v>
      </c>
      <c r="J255" s="6">
        <f>I255*('Passenger cars EU Ref'!L8/'Passenger cars EU Ref'!K8)</f>
        <v>515.75180248789547</v>
      </c>
      <c r="K255" s="6">
        <f>J255*('Passenger cars EU Ref'!M8/'Passenger cars EU Ref'!L8)</f>
        <v>522.60627532428282</v>
      </c>
      <c r="L255" s="6">
        <f>K255*('Passenger cars EU Ref'!N8/'Passenger cars EU Ref'!M8)</f>
        <v>529.46074816067005</v>
      </c>
      <c r="M255" s="6">
        <f>L255*('Passenger cars EU Ref'!O8/'Passenger cars EU Ref'!N8)</f>
        <v>536.31522099705728</v>
      </c>
      <c r="N255" s="6">
        <f>M255*('Passenger cars EU Ref'!P8/'Passenger cars EU Ref'!O8)</f>
        <v>543.16969383344474</v>
      </c>
      <c r="O255" s="6">
        <f>N255*('Passenger cars EU Ref'!Q8/'Passenger cars EU Ref'!P8)</f>
        <v>543.32901346533345</v>
      </c>
      <c r="P255" s="6">
        <f>O255*('Passenger cars EU Ref'!R8/'Passenger cars EU Ref'!Q8)</f>
        <v>543.48833309722215</v>
      </c>
      <c r="Q255" s="6">
        <f>P255*('Passenger cars EU Ref'!S8/'Passenger cars EU Ref'!R8)</f>
        <v>543.64765272911086</v>
      </c>
      <c r="R255" s="6">
        <f>Q255*('Passenger cars EU Ref'!T8/'Passenger cars EU Ref'!S8)</f>
        <v>543.80697236099945</v>
      </c>
      <c r="S255" s="6">
        <f>R255*('Passenger cars EU Ref'!U8/'Passenger cars EU Ref'!T8)</f>
        <v>543.96629199288816</v>
      </c>
      <c r="T255" s="6">
        <f>S255*('Passenger cars EU Ref'!V8/'Passenger cars EU Ref'!U8)</f>
        <v>544.82634159031682</v>
      </c>
      <c r="U255" s="6">
        <f>T255*('Passenger cars EU Ref'!W8/'Passenger cars EU Ref'!V8)</f>
        <v>545.68639118774547</v>
      </c>
      <c r="V255" s="6">
        <f>U255*('Passenger cars EU Ref'!X8/'Passenger cars EU Ref'!W8)</f>
        <v>546.54644078517413</v>
      </c>
      <c r="W255" s="6">
        <f>V255*('Passenger cars EU Ref'!Y8/'Passenger cars EU Ref'!X8)</f>
        <v>547.4064903826029</v>
      </c>
      <c r="X255" s="6">
        <f>W255*('Passenger cars EU Ref'!Z8/'Passenger cars EU Ref'!Y8)</f>
        <v>548.26653998003155</v>
      </c>
      <c r="Y255" s="6">
        <f>X255*('Passenger cars EU Ref'!AA8/'Passenger cars EU Ref'!Z8)</f>
        <v>547.23174111802234</v>
      </c>
      <c r="Z255" s="6">
        <f>Y255*('Passenger cars EU Ref'!AB8/'Passenger cars EU Ref'!AA8)</f>
        <v>546.19694225601313</v>
      </c>
      <c r="AA255" s="6">
        <f>Z255*('Passenger cars EU Ref'!AC8/'Passenger cars EU Ref'!AB8)</f>
        <v>545.16214339400392</v>
      </c>
      <c r="AB255" s="6">
        <f>AA255*('Passenger cars EU Ref'!AD8/'Passenger cars EU Ref'!AC8)</f>
        <v>544.12734453199471</v>
      </c>
      <c r="AC255" s="6">
        <f>AB255*('Passenger cars EU Ref'!AE8/'Passenger cars EU Ref'!AD8)</f>
        <v>543.0925456699855</v>
      </c>
      <c r="AD255" s="6">
        <f>AC255*('Passenger cars EU Ref'!AF8/'Passenger cars EU Ref'!AE8)</f>
        <v>545.1091210860385</v>
      </c>
      <c r="AE255" s="6">
        <f>AD255*('Passenger cars EU Ref'!AG8/'Passenger cars EU Ref'!AF8)</f>
        <v>547.1256965020915</v>
      </c>
      <c r="AF255" s="6">
        <f>AE255*('Passenger cars EU Ref'!AH8/'Passenger cars EU Ref'!AG8)</f>
        <v>549.1422719181445</v>
      </c>
      <c r="AG255" s="6">
        <f>AF255*('Passenger cars EU Ref'!AI8/'Passenger cars EU Ref'!AH8)</f>
        <v>551.1588473341975</v>
      </c>
      <c r="AH255" s="6">
        <f>AG255*('Passenger cars EU Ref'!AJ8/'Passenger cars EU Ref'!AI8)</f>
        <v>553.17542275025073</v>
      </c>
      <c r="AI255" s="17">
        <f t="shared" ref="AI255:BB255" si="9">AH255</f>
        <v>553.17542275025073</v>
      </c>
      <c r="AJ255" s="17">
        <f t="shared" si="9"/>
        <v>553.17542275025073</v>
      </c>
      <c r="AK255" s="17">
        <f t="shared" si="9"/>
        <v>553.17542275025073</v>
      </c>
      <c r="AL255" s="17">
        <f t="shared" si="9"/>
        <v>553.17542275025073</v>
      </c>
      <c r="AM255" s="17">
        <f t="shared" si="9"/>
        <v>553.17542275025073</v>
      </c>
      <c r="AN255" s="17">
        <f t="shared" si="9"/>
        <v>553.17542275025073</v>
      </c>
      <c r="AO255" s="17">
        <f t="shared" si="9"/>
        <v>553.17542275025073</v>
      </c>
      <c r="AP255" s="17">
        <f t="shared" si="9"/>
        <v>553.17542275025073</v>
      </c>
      <c r="AQ255" s="17">
        <f t="shared" si="9"/>
        <v>553.17542275025073</v>
      </c>
      <c r="AR255" s="17">
        <f t="shared" si="9"/>
        <v>553.17542275025073</v>
      </c>
      <c r="AS255" s="17">
        <f t="shared" si="9"/>
        <v>553.17542275025073</v>
      </c>
      <c r="AT255" s="17">
        <f t="shared" si="9"/>
        <v>553.17542275025073</v>
      </c>
      <c r="AU255" s="17">
        <f t="shared" si="9"/>
        <v>553.17542275025073</v>
      </c>
      <c r="AV255" s="17">
        <f t="shared" si="9"/>
        <v>553.17542275025073</v>
      </c>
      <c r="AW255" s="17">
        <f t="shared" si="9"/>
        <v>553.17542275025073</v>
      </c>
      <c r="AX255" s="17">
        <f t="shared" si="9"/>
        <v>553.17542275025073</v>
      </c>
      <c r="AY255" s="17">
        <f t="shared" si="9"/>
        <v>553.17542275025073</v>
      </c>
      <c r="AZ255" s="17">
        <f t="shared" si="9"/>
        <v>553.17542275025073</v>
      </c>
      <c r="BA255" s="17">
        <f t="shared" si="9"/>
        <v>553.17542275025073</v>
      </c>
      <c r="BB255" s="17">
        <f t="shared" si="9"/>
        <v>553.17542275025073</v>
      </c>
    </row>
    <row r="256" spans="1:54" x14ac:dyDescent="0.3">
      <c r="A256" t="s">
        <v>6</v>
      </c>
      <c r="B256" s="4">
        <v>39.168911748999996</v>
      </c>
      <c r="C256" s="4">
        <v>39.870449669999999</v>
      </c>
      <c r="D256" s="4">
        <v>37.402045862000001</v>
      </c>
      <c r="E256" s="4">
        <v>39.118342599000002</v>
      </c>
      <c r="F256" s="6">
        <f>E256*('Passenger cars EU Ref'!H9/'Passenger cars EU Ref'!G9)</f>
        <v>39.879646348491605</v>
      </c>
      <c r="G256" s="6">
        <f>F256*('Passenger cars EU Ref'!I9/'Passenger cars EU Ref'!H9)</f>
        <v>40.640950097983207</v>
      </c>
      <c r="H256" s="6">
        <f>G256*('Passenger cars EU Ref'!J9/'Passenger cars EU Ref'!I9)</f>
        <v>41.402253847474817</v>
      </c>
      <c r="I256" s="6">
        <f>H256*('Passenger cars EU Ref'!K9/'Passenger cars EU Ref'!J9)</f>
        <v>42.163557596966413</v>
      </c>
      <c r="J256" s="6">
        <f>I256*('Passenger cars EU Ref'!L9/'Passenger cars EU Ref'!K9)</f>
        <v>42.793901490530729</v>
      </c>
      <c r="K256" s="6">
        <f>J256*('Passenger cars EU Ref'!M9/'Passenger cars EU Ref'!L9)</f>
        <v>43.424245384095038</v>
      </c>
      <c r="L256" s="6">
        <f>K256*('Passenger cars EU Ref'!N9/'Passenger cars EU Ref'!M9)</f>
        <v>44.054589277659353</v>
      </c>
      <c r="M256" s="6">
        <f>L256*('Passenger cars EU Ref'!O9/'Passenger cars EU Ref'!N9)</f>
        <v>44.684933171223669</v>
      </c>
      <c r="N256" s="6">
        <f>M256*('Passenger cars EU Ref'!P9/'Passenger cars EU Ref'!O9)</f>
        <v>45.315277064787978</v>
      </c>
      <c r="O256" s="6">
        <f>N256*('Passenger cars EU Ref'!Q9/'Passenger cars EU Ref'!P9)</f>
        <v>45.528386151247403</v>
      </c>
      <c r="P256" s="6">
        <f>O256*('Passenger cars EU Ref'!R9/'Passenger cars EU Ref'!Q9)</f>
        <v>45.741495237706829</v>
      </c>
      <c r="Q256" s="6">
        <f>P256*('Passenger cars EU Ref'!S9/'Passenger cars EU Ref'!R9)</f>
        <v>45.954604324166247</v>
      </c>
      <c r="R256" s="6">
        <f>Q256*('Passenger cars EU Ref'!T9/'Passenger cars EU Ref'!S9)</f>
        <v>46.167713410625666</v>
      </c>
      <c r="S256" s="6">
        <f>R256*('Passenger cars EU Ref'!U9/'Passenger cars EU Ref'!T9)</f>
        <v>46.380822497085106</v>
      </c>
      <c r="T256" s="6">
        <f>S256*('Passenger cars EU Ref'!V9/'Passenger cars EU Ref'!U9)</f>
        <v>46.511037852357106</v>
      </c>
      <c r="U256" s="6">
        <f>T256*('Passenger cars EU Ref'!W9/'Passenger cars EU Ref'!V9)</f>
        <v>46.641253207629106</v>
      </c>
      <c r="V256" s="6">
        <f>U256*('Passenger cars EU Ref'!X9/'Passenger cars EU Ref'!W9)</f>
        <v>46.771468562901106</v>
      </c>
      <c r="W256" s="6">
        <f>V256*('Passenger cars EU Ref'!Y9/'Passenger cars EU Ref'!X9)</f>
        <v>46.901683918173106</v>
      </c>
      <c r="X256" s="6">
        <f>W256*('Passenger cars EU Ref'!Z9/'Passenger cars EU Ref'!Y9)</f>
        <v>47.031899273445092</v>
      </c>
      <c r="Y256" s="6">
        <f>X256*('Passenger cars EU Ref'!AA9/'Passenger cars EU Ref'!Z9)</f>
        <v>47.155783855710155</v>
      </c>
      <c r="Z256" s="6">
        <f>Y256*('Passenger cars EU Ref'!AB9/'Passenger cars EU Ref'!AA9)</f>
        <v>47.279668437975211</v>
      </c>
      <c r="AA256" s="6">
        <f>Z256*('Passenger cars EU Ref'!AC9/'Passenger cars EU Ref'!AB9)</f>
        <v>47.403553020240274</v>
      </c>
      <c r="AB256" s="6">
        <f>AA256*('Passenger cars EU Ref'!AD9/'Passenger cars EU Ref'!AC9)</f>
        <v>47.527437602505337</v>
      </c>
      <c r="AC256" s="6">
        <f>AB256*('Passenger cars EU Ref'!AE9/'Passenger cars EU Ref'!AD9)</f>
        <v>47.651322184770393</v>
      </c>
      <c r="AD256" s="6">
        <f>AC256*('Passenger cars EU Ref'!AF9/'Passenger cars EU Ref'!AE9)</f>
        <v>47.773873825615127</v>
      </c>
      <c r="AE256" s="6">
        <f>AD256*('Passenger cars EU Ref'!AG9/'Passenger cars EU Ref'!AF9)</f>
        <v>47.896425466459853</v>
      </c>
      <c r="AF256" s="6">
        <f>AE256*('Passenger cars EU Ref'!AH9/'Passenger cars EU Ref'!AG9)</f>
        <v>48.018977107304579</v>
      </c>
      <c r="AG256" s="6">
        <f>AF256*('Passenger cars EU Ref'!AI9/'Passenger cars EU Ref'!AH9)</f>
        <v>48.141528748149305</v>
      </c>
      <c r="AH256" s="6">
        <f>AG256*('Passenger cars EU Ref'!AJ9/'Passenger cars EU Ref'!AI9)</f>
        <v>48.264080388994024</v>
      </c>
      <c r="AI256" s="17">
        <f t="shared" ref="AI256:BB256" si="10">AH256</f>
        <v>48.264080388994024</v>
      </c>
      <c r="AJ256" s="17">
        <f t="shared" si="10"/>
        <v>48.264080388994024</v>
      </c>
      <c r="AK256" s="17">
        <f t="shared" si="10"/>
        <v>48.264080388994024</v>
      </c>
      <c r="AL256" s="17">
        <f t="shared" si="10"/>
        <v>48.264080388994024</v>
      </c>
      <c r="AM256" s="17">
        <f t="shared" si="10"/>
        <v>48.264080388994024</v>
      </c>
      <c r="AN256" s="17">
        <f t="shared" si="10"/>
        <v>48.264080388994024</v>
      </c>
      <c r="AO256" s="17">
        <f t="shared" si="10"/>
        <v>48.264080388994024</v>
      </c>
      <c r="AP256" s="17">
        <f t="shared" si="10"/>
        <v>48.264080388994024</v>
      </c>
      <c r="AQ256" s="17">
        <f t="shared" si="10"/>
        <v>48.264080388994024</v>
      </c>
      <c r="AR256" s="17">
        <f t="shared" si="10"/>
        <v>48.264080388994024</v>
      </c>
      <c r="AS256" s="17">
        <f t="shared" si="10"/>
        <v>48.264080388994024</v>
      </c>
      <c r="AT256" s="17">
        <f t="shared" si="10"/>
        <v>48.264080388994024</v>
      </c>
      <c r="AU256" s="17">
        <f t="shared" si="10"/>
        <v>48.264080388994024</v>
      </c>
      <c r="AV256" s="17">
        <f t="shared" si="10"/>
        <v>48.264080388994024</v>
      </c>
      <c r="AW256" s="17">
        <f t="shared" si="10"/>
        <v>48.264080388994024</v>
      </c>
      <c r="AX256" s="17">
        <f t="shared" si="10"/>
        <v>48.264080388994024</v>
      </c>
      <c r="AY256" s="17">
        <f t="shared" si="10"/>
        <v>48.264080388994024</v>
      </c>
      <c r="AZ256" s="17">
        <f t="shared" si="10"/>
        <v>48.264080388994024</v>
      </c>
      <c r="BA256" s="17">
        <f t="shared" si="10"/>
        <v>48.264080388994024</v>
      </c>
      <c r="BB256" s="17">
        <f t="shared" si="10"/>
        <v>48.264080388994024</v>
      </c>
    </row>
    <row r="257" spans="1:54" x14ac:dyDescent="0.3">
      <c r="A257" t="s">
        <v>8</v>
      </c>
      <c r="B257" s="4">
        <v>7.7970737629999993</v>
      </c>
      <c r="C257" s="4">
        <v>8.0535157589999997</v>
      </c>
      <c r="D257" s="4">
        <v>7.8291594739999999</v>
      </c>
      <c r="E257" s="4">
        <v>8.0669450339999997</v>
      </c>
      <c r="F257" s="6">
        <f>E257*('Passenger cars EU Ref'!H10/'Passenger cars EU Ref'!G10)</f>
        <v>8.2317821797913293</v>
      </c>
      <c r="G257" s="6">
        <f>F257*('Passenger cars EU Ref'!I10/'Passenger cars EU Ref'!H10)</f>
        <v>8.3966193255826607</v>
      </c>
      <c r="H257" s="6">
        <f>G257*('Passenger cars EU Ref'!J10/'Passenger cars EU Ref'!I10)</f>
        <v>8.5614564713739902</v>
      </c>
      <c r="I257" s="6">
        <f>H257*('Passenger cars EU Ref'!K10/'Passenger cars EU Ref'!J10)</f>
        <v>8.7262936171653216</v>
      </c>
      <c r="J257" s="6">
        <f>I257*('Passenger cars EU Ref'!L10/'Passenger cars EU Ref'!K10)</f>
        <v>8.8987611971813418</v>
      </c>
      <c r="K257" s="6">
        <f>J257*('Passenger cars EU Ref'!M10/'Passenger cars EU Ref'!L10)</f>
        <v>9.0712287771973621</v>
      </c>
      <c r="L257" s="6">
        <f>K257*('Passenger cars EU Ref'!N10/'Passenger cars EU Ref'!M10)</f>
        <v>9.2436963572133806</v>
      </c>
      <c r="M257" s="6">
        <f>L257*('Passenger cars EU Ref'!O10/'Passenger cars EU Ref'!N10)</f>
        <v>9.416163937229399</v>
      </c>
      <c r="N257" s="6">
        <f>M257*('Passenger cars EU Ref'!P10/'Passenger cars EU Ref'!O10)</f>
        <v>9.5886315172454175</v>
      </c>
      <c r="O257" s="6">
        <f>N257*('Passenger cars EU Ref'!Q10/'Passenger cars EU Ref'!P10)</f>
        <v>9.7165709456702327</v>
      </c>
      <c r="P257" s="6">
        <f>O257*('Passenger cars EU Ref'!R10/'Passenger cars EU Ref'!Q10)</f>
        <v>9.8445103740950479</v>
      </c>
      <c r="Q257" s="6">
        <f>P257*('Passenger cars EU Ref'!S10/'Passenger cars EU Ref'!R10)</f>
        <v>9.9724498025198631</v>
      </c>
      <c r="R257" s="6">
        <f>Q257*('Passenger cars EU Ref'!T10/'Passenger cars EU Ref'!S10)</f>
        <v>10.100389230944678</v>
      </c>
      <c r="S257" s="6">
        <f>R257*('Passenger cars EU Ref'!U10/'Passenger cars EU Ref'!T10)</f>
        <v>10.228328659369494</v>
      </c>
      <c r="T257" s="6">
        <f>S257*('Passenger cars EU Ref'!V10/'Passenger cars EU Ref'!U10)</f>
        <v>10.327916168121185</v>
      </c>
      <c r="U257" s="6">
        <f>T257*('Passenger cars EU Ref'!W10/'Passenger cars EU Ref'!V10)</f>
        <v>10.427503676872876</v>
      </c>
      <c r="V257" s="6">
        <f>U257*('Passenger cars EU Ref'!X10/'Passenger cars EU Ref'!W10)</f>
        <v>10.527091185624565</v>
      </c>
      <c r="W257" s="6">
        <f>V257*('Passenger cars EU Ref'!Y10/'Passenger cars EU Ref'!X10)</f>
        <v>10.626678694376256</v>
      </c>
      <c r="X257" s="6">
        <f>W257*('Passenger cars EU Ref'!Z10/'Passenger cars EU Ref'!Y10)</f>
        <v>10.726266203127949</v>
      </c>
      <c r="Y257" s="6">
        <f>X257*('Passenger cars EU Ref'!AA10/'Passenger cars EU Ref'!Z10)</f>
        <v>10.749401218938784</v>
      </c>
      <c r="Z257" s="6">
        <f>Y257*('Passenger cars EU Ref'!AB10/'Passenger cars EU Ref'!AA10)</f>
        <v>10.772536234749619</v>
      </c>
      <c r="AA257" s="6">
        <f>Z257*('Passenger cars EU Ref'!AC10/'Passenger cars EU Ref'!AB10)</f>
        <v>10.795671250560453</v>
      </c>
      <c r="AB257" s="6">
        <f>AA257*('Passenger cars EU Ref'!AD10/'Passenger cars EU Ref'!AC10)</f>
        <v>10.818806266371288</v>
      </c>
      <c r="AC257" s="6">
        <f>AB257*('Passenger cars EU Ref'!AE10/'Passenger cars EU Ref'!AD10)</f>
        <v>10.841941282182127</v>
      </c>
      <c r="AD257" s="6">
        <f>AC257*('Passenger cars EU Ref'!AF10/'Passenger cars EU Ref'!AE10)</f>
        <v>10.879523903577956</v>
      </c>
      <c r="AE257" s="6">
        <f>AD257*('Passenger cars EU Ref'!AG10/'Passenger cars EU Ref'!AF10)</f>
        <v>10.917106524973784</v>
      </c>
      <c r="AF257" s="6">
        <f>AE257*('Passenger cars EU Ref'!AH10/'Passenger cars EU Ref'!AG10)</f>
        <v>10.954689146369613</v>
      </c>
      <c r="AG257" s="6">
        <f>AF257*('Passenger cars EU Ref'!AI10/'Passenger cars EU Ref'!AH10)</f>
        <v>10.992271767765443</v>
      </c>
      <c r="AH257" s="6">
        <f>AG257*('Passenger cars EU Ref'!AJ10/'Passenger cars EU Ref'!AI10)</f>
        <v>11.029854389161274</v>
      </c>
      <c r="AI257" s="17">
        <f t="shared" ref="AI257:BB257" si="11">AH257</f>
        <v>11.029854389161274</v>
      </c>
      <c r="AJ257" s="17">
        <f t="shared" si="11"/>
        <v>11.029854389161274</v>
      </c>
      <c r="AK257" s="17">
        <f t="shared" si="11"/>
        <v>11.029854389161274</v>
      </c>
      <c r="AL257" s="17">
        <f t="shared" si="11"/>
        <v>11.029854389161274</v>
      </c>
      <c r="AM257" s="17">
        <f t="shared" si="11"/>
        <v>11.029854389161274</v>
      </c>
      <c r="AN257" s="17">
        <f t="shared" si="11"/>
        <v>11.029854389161274</v>
      </c>
      <c r="AO257" s="17">
        <f t="shared" si="11"/>
        <v>11.029854389161274</v>
      </c>
      <c r="AP257" s="17">
        <f t="shared" si="11"/>
        <v>11.029854389161274</v>
      </c>
      <c r="AQ257" s="17">
        <f t="shared" si="11"/>
        <v>11.029854389161274</v>
      </c>
      <c r="AR257" s="17">
        <f t="shared" si="11"/>
        <v>11.029854389161274</v>
      </c>
      <c r="AS257" s="17">
        <f t="shared" si="11"/>
        <v>11.029854389161274</v>
      </c>
      <c r="AT257" s="17">
        <f t="shared" si="11"/>
        <v>11.029854389161274</v>
      </c>
      <c r="AU257" s="17">
        <f t="shared" si="11"/>
        <v>11.029854389161274</v>
      </c>
      <c r="AV257" s="17">
        <f t="shared" si="11"/>
        <v>11.029854389161274</v>
      </c>
      <c r="AW257" s="17">
        <f t="shared" si="11"/>
        <v>11.029854389161274</v>
      </c>
      <c r="AX257" s="17">
        <f t="shared" si="11"/>
        <v>11.029854389161274</v>
      </c>
      <c r="AY257" s="17">
        <f t="shared" si="11"/>
        <v>11.029854389161274</v>
      </c>
      <c r="AZ257" s="17">
        <f t="shared" si="11"/>
        <v>11.029854389161274</v>
      </c>
      <c r="BA257" s="17">
        <f t="shared" si="11"/>
        <v>11.029854389161274</v>
      </c>
      <c r="BB257" s="17">
        <f t="shared" si="11"/>
        <v>11.029854389161274</v>
      </c>
    </row>
    <row r="258" spans="1:54" x14ac:dyDescent="0.3">
      <c r="A258" t="s">
        <v>11</v>
      </c>
      <c r="B258" s="4">
        <v>254.67254911699999</v>
      </c>
      <c r="C258" s="4">
        <v>274.90666355100001</v>
      </c>
      <c r="D258" s="4">
        <v>223.546857808</v>
      </c>
      <c r="E258" s="4">
        <v>232.90644329899999</v>
      </c>
      <c r="F258" s="6">
        <f>E258*('Passenger cars EU Ref'!H11/'Passenger cars EU Ref'!G11)</f>
        <v>252.26749518079839</v>
      </c>
      <c r="G258" s="6">
        <f>F258*('Passenger cars EU Ref'!I11/'Passenger cars EU Ref'!H11)</f>
        <v>271.62854706259679</v>
      </c>
      <c r="H258" s="6">
        <f>G258*('Passenger cars EU Ref'!J11/'Passenger cars EU Ref'!I11)</f>
        <v>290.9895989443952</v>
      </c>
      <c r="I258" s="6">
        <f>H258*('Passenger cars EU Ref'!K11/'Passenger cars EU Ref'!J11)</f>
        <v>310.35065082619366</v>
      </c>
      <c r="J258" s="6">
        <f>I258*('Passenger cars EU Ref'!L11/'Passenger cars EU Ref'!K11)</f>
        <v>314.39066602566271</v>
      </c>
      <c r="K258" s="6">
        <f>J258*('Passenger cars EU Ref'!M11/'Passenger cars EU Ref'!L11)</f>
        <v>318.43068122513176</v>
      </c>
      <c r="L258" s="6">
        <f>K258*('Passenger cars EU Ref'!N11/'Passenger cars EU Ref'!M11)</f>
        <v>322.47069642460082</v>
      </c>
      <c r="M258" s="6">
        <f>L258*('Passenger cars EU Ref'!O11/'Passenger cars EU Ref'!N11)</f>
        <v>326.51071162406987</v>
      </c>
      <c r="N258" s="6">
        <f>M258*('Passenger cars EU Ref'!P11/'Passenger cars EU Ref'!O11)</f>
        <v>330.55072682353904</v>
      </c>
      <c r="O258" s="6">
        <f>N258*('Passenger cars EU Ref'!Q11/'Passenger cars EU Ref'!P11)</f>
        <v>334.96747939626954</v>
      </c>
      <c r="P258" s="6">
        <f>O258*('Passenger cars EU Ref'!R11/'Passenger cars EU Ref'!Q11)</f>
        <v>339.38423196900004</v>
      </c>
      <c r="Q258" s="6">
        <f>P258*('Passenger cars EU Ref'!S11/'Passenger cars EU Ref'!R11)</f>
        <v>343.80098454173054</v>
      </c>
      <c r="R258" s="6">
        <f>Q258*('Passenger cars EU Ref'!T11/'Passenger cars EU Ref'!S11)</f>
        <v>348.21773711446099</v>
      </c>
      <c r="S258" s="6">
        <f>R258*('Passenger cars EU Ref'!U11/'Passenger cars EU Ref'!T11)</f>
        <v>352.63448968719143</v>
      </c>
      <c r="T258" s="6">
        <f>S258*('Passenger cars EU Ref'!V11/'Passenger cars EU Ref'!U11)</f>
        <v>356.46196701376931</v>
      </c>
      <c r="U258" s="6">
        <f>T258*('Passenger cars EU Ref'!W11/'Passenger cars EU Ref'!V11)</f>
        <v>360.28944434034719</v>
      </c>
      <c r="V258" s="6">
        <f>U258*('Passenger cars EU Ref'!X11/'Passenger cars EU Ref'!W11)</f>
        <v>364.11692166692512</v>
      </c>
      <c r="W258" s="6">
        <f>V258*('Passenger cars EU Ref'!Y11/'Passenger cars EU Ref'!X11)</f>
        <v>367.944398993503</v>
      </c>
      <c r="X258" s="6">
        <f>W258*('Passenger cars EU Ref'!Z11/'Passenger cars EU Ref'!Y11)</f>
        <v>371.77187632008088</v>
      </c>
      <c r="Y258" s="6">
        <f>X258*('Passenger cars EU Ref'!AA11/'Passenger cars EU Ref'!Z11)</f>
        <v>376.006274166227</v>
      </c>
      <c r="Z258" s="6">
        <f>Y258*('Passenger cars EU Ref'!AB11/'Passenger cars EU Ref'!AA11)</f>
        <v>380.24067201237318</v>
      </c>
      <c r="AA258" s="6">
        <f>Z258*('Passenger cars EU Ref'!AC11/'Passenger cars EU Ref'!AB11)</f>
        <v>384.47506985851936</v>
      </c>
      <c r="AB258" s="6">
        <f>AA258*('Passenger cars EU Ref'!AD11/'Passenger cars EU Ref'!AC11)</f>
        <v>388.70946770466554</v>
      </c>
      <c r="AC258" s="6">
        <f>AB258*('Passenger cars EU Ref'!AE11/'Passenger cars EU Ref'!AD11)</f>
        <v>392.94386555081167</v>
      </c>
      <c r="AD258" s="6">
        <f>AC258*('Passenger cars EU Ref'!AF11/'Passenger cars EU Ref'!AE11)</f>
        <v>397.59258637968111</v>
      </c>
      <c r="AE258" s="6">
        <f>AD258*('Passenger cars EU Ref'!AG11/'Passenger cars EU Ref'!AF11)</f>
        <v>402.24130720855055</v>
      </c>
      <c r="AF258" s="6">
        <f>AE258*('Passenger cars EU Ref'!AH11/'Passenger cars EU Ref'!AG11)</f>
        <v>406.89002803742</v>
      </c>
      <c r="AG258" s="6">
        <f>AF258*('Passenger cars EU Ref'!AI11/'Passenger cars EU Ref'!AH11)</f>
        <v>411.53874886628938</v>
      </c>
      <c r="AH258" s="6">
        <f>AG258*('Passenger cars EU Ref'!AJ11/'Passenger cars EU Ref'!AI11)</f>
        <v>416.18746969515882</v>
      </c>
      <c r="AI258" s="17">
        <f t="shared" ref="AI258:BB258" si="12">AH258</f>
        <v>416.18746969515882</v>
      </c>
      <c r="AJ258" s="17">
        <f t="shared" si="12"/>
        <v>416.18746969515882</v>
      </c>
      <c r="AK258" s="17">
        <f t="shared" si="12"/>
        <v>416.18746969515882</v>
      </c>
      <c r="AL258" s="17">
        <f t="shared" si="12"/>
        <v>416.18746969515882</v>
      </c>
      <c r="AM258" s="17">
        <f t="shared" si="12"/>
        <v>416.18746969515882</v>
      </c>
      <c r="AN258" s="17">
        <f t="shared" si="12"/>
        <v>416.18746969515882</v>
      </c>
      <c r="AO258" s="17">
        <f t="shared" si="12"/>
        <v>416.18746969515882</v>
      </c>
      <c r="AP258" s="17">
        <f t="shared" si="12"/>
        <v>416.18746969515882</v>
      </c>
      <c r="AQ258" s="17">
        <f t="shared" si="12"/>
        <v>416.18746969515882</v>
      </c>
      <c r="AR258" s="17">
        <f t="shared" si="12"/>
        <v>416.18746969515882</v>
      </c>
      <c r="AS258" s="17">
        <f t="shared" si="12"/>
        <v>416.18746969515882</v>
      </c>
      <c r="AT258" s="17">
        <f t="shared" si="12"/>
        <v>416.18746969515882</v>
      </c>
      <c r="AU258" s="17">
        <f t="shared" si="12"/>
        <v>416.18746969515882</v>
      </c>
      <c r="AV258" s="17">
        <f t="shared" si="12"/>
        <v>416.18746969515882</v>
      </c>
      <c r="AW258" s="17">
        <f t="shared" si="12"/>
        <v>416.18746969515882</v>
      </c>
      <c r="AX258" s="17">
        <f t="shared" si="12"/>
        <v>416.18746969515882</v>
      </c>
      <c r="AY258" s="17">
        <f t="shared" si="12"/>
        <v>416.18746969515882</v>
      </c>
      <c r="AZ258" s="17">
        <f t="shared" si="12"/>
        <v>416.18746969515882</v>
      </c>
      <c r="BA258" s="17">
        <f t="shared" si="12"/>
        <v>416.18746969515882</v>
      </c>
      <c r="BB258" s="17">
        <f t="shared" si="12"/>
        <v>416.18746969515882</v>
      </c>
    </row>
    <row r="259" spans="1:54" x14ac:dyDescent="0.3">
      <c r="A259" t="s">
        <v>27</v>
      </c>
      <c r="B259" s="4">
        <v>40.718000000999993</v>
      </c>
      <c r="C259" s="4">
        <v>40.718000004000004</v>
      </c>
      <c r="D259" s="4">
        <v>39.170184002999996</v>
      </c>
      <c r="E259" s="4">
        <v>38.771000001999994</v>
      </c>
      <c r="F259" s="6">
        <f>E259*('Passenger cars EU Ref'!H12/'Passenger cars EU Ref'!G12)</f>
        <v>39.266487061979504</v>
      </c>
      <c r="G259" s="6">
        <f>F259*('Passenger cars EU Ref'!I12/'Passenger cars EU Ref'!H12)</f>
        <v>39.761974121959021</v>
      </c>
      <c r="H259" s="6">
        <f>G259*('Passenger cars EU Ref'!J12/'Passenger cars EU Ref'!I12)</f>
        <v>40.257461181938538</v>
      </c>
      <c r="I259" s="6">
        <f>H259*('Passenger cars EU Ref'!K12/'Passenger cars EU Ref'!J12)</f>
        <v>40.752948241918048</v>
      </c>
      <c r="J259" s="6">
        <f>I259*('Passenger cars EU Ref'!L12/'Passenger cars EU Ref'!K12)</f>
        <v>40.904215469031435</v>
      </c>
      <c r="K259" s="6">
        <f>J259*('Passenger cars EU Ref'!M12/'Passenger cars EU Ref'!L12)</f>
        <v>41.055482696144821</v>
      </c>
      <c r="L259" s="6">
        <f>K259*('Passenger cars EU Ref'!N12/'Passenger cars EU Ref'!M12)</f>
        <v>41.206749923258208</v>
      </c>
      <c r="M259" s="6">
        <f>L259*('Passenger cars EU Ref'!O12/'Passenger cars EU Ref'!N12)</f>
        <v>41.358017150371602</v>
      </c>
      <c r="N259" s="6">
        <f>M259*('Passenger cars EU Ref'!P12/'Passenger cars EU Ref'!O12)</f>
        <v>41.509284377484974</v>
      </c>
      <c r="O259" s="6">
        <f>N259*('Passenger cars EU Ref'!Q12/'Passenger cars EU Ref'!P12)</f>
        <v>41.513101686284237</v>
      </c>
      <c r="P259" s="6">
        <f>O259*('Passenger cars EU Ref'!R12/'Passenger cars EU Ref'!Q12)</f>
        <v>41.516918995083493</v>
      </c>
      <c r="Q259" s="6">
        <f>P259*('Passenger cars EU Ref'!S12/'Passenger cars EU Ref'!R12)</f>
        <v>41.520736303882757</v>
      </c>
      <c r="R259" s="6">
        <f>Q259*('Passenger cars EU Ref'!T12/'Passenger cars EU Ref'!S12)</f>
        <v>41.524553612682013</v>
      </c>
      <c r="S259" s="6">
        <f>R259*('Passenger cars EU Ref'!U12/'Passenger cars EU Ref'!T12)</f>
        <v>41.528370921481255</v>
      </c>
      <c r="T259" s="6">
        <f>S259*('Passenger cars EU Ref'!V12/'Passenger cars EU Ref'!U12)</f>
        <v>41.463205242104237</v>
      </c>
      <c r="U259" s="6">
        <f>T259*('Passenger cars EU Ref'!W12/'Passenger cars EU Ref'!V12)</f>
        <v>41.39803956272722</v>
      </c>
      <c r="V259" s="6">
        <f>U259*('Passenger cars EU Ref'!X12/'Passenger cars EU Ref'!W12)</f>
        <v>41.332873883350203</v>
      </c>
      <c r="W259" s="6">
        <f>V259*('Passenger cars EU Ref'!Y12/'Passenger cars EU Ref'!X12)</f>
        <v>41.267708203973186</v>
      </c>
      <c r="X259" s="6">
        <f>W259*('Passenger cars EU Ref'!Z12/'Passenger cars EU Ref'!Y12)</f>
        <v>41.202542524596147</v>
      </c>
      <c r="Y259" s="6">
        <f>X259*('Passenger cars EU Ref'!AA12/'Passenger cars EU Ref'!Z12)</f>
        <v>41.262937059234737</v>
      </c>
      <c r="Z259" s="6">
        <f>Y259*('Passenger cars EU Ref'!AB12/'Passenger cars EU Ref'!AA12)</f>
        <v>41.323331593873327</v>
      </c>
      <c r="AA259" s="6">
        <f>Z259*('Passenger cars EU Ref'!AC12/'Passenger cars EU Ref'!AB12)</f>
        <v>41.383726128511917</v>
      </c>
      <c r="AB259" s="6">
        <f>AA259*('Passenger cars EU Ref'!AD12/'Passenger cars EU Ref'!AC12)</f>
        <v>41.4441206631505</v>
      </c>
      <c r="AC259" s="6">
        <f>AB259*('Passenger cars EU Ref'!AE12/'Passenger cars EU Ref'!AD12)</f>
        <v>41.504515197789082</v>
      </c>
      <c r="AD259" s="6">
        <f>AC259*('Passenger cars EU Ref'!AF12/'Passenger cars EU Ref'!AE12)</f>
        <v>41.591637615342307</v>
      </c>
      <c r="AE259" s="6">
        <f>AD259*('Passenger cars EU Ref'!AG12/'Passenger cars EU Ref'!AF12)</f>
        <v>41.678760032895525</v>
      </c>
      <c r="AF259" s="6">
        <f>AE259*('Passenger cars EU Ref'!AH12/'Passenger cars EU Ref'!AG12)</f>
        <v>41.765882450448743</v>
      </c>
      <c r="AG259" s="6">
        <f>AF259*('Passenger cars EU Ref'!AI12/'Passenger cars EU Ref'!AH12)</f>
        <v>41.85300486800196</v>
      </c>
      <c r="AH259" s="6">
        <f>AG259*('Passenger cars EU Ref'!AJ12/'Passenger cars EU Ref'!AI12)</f>
        <v>41.940127285555185</v>
      </c>
      <c r="AI259" s="17">
        <f t="shared" ref="AI259:BB259" si="13">AH259</f>
        <v>41.940127285555185</v>
      </c>
      <c r="AJ259" s="17">
        <f t="shared" si="13"/>
        <v>41.940127285555185</v>
      </c>
      <c r="AK259" s="17">
        <f t="shared" si="13"/>
        <v>41.940127285555185</v>
      </c>
      <c r="AL259" s="17">
        <f t="shared" si="13"/>
        <v>41.940127285555185</v>
      </c>
      <c r="AM259" s="17">
        <f t="shared" si="13"/>
        <v>41.940127285555185</v>
      </c>
      <c r="AN259" s="17">
        <f t="shared" si="13"/>
        <v>41.940127285555185</v>
      </c>
      <c r="AO259" s="17">
        <f t="shared" si="13"/>
        <v>41.940127285555185</v>
      </c>
      <c r="AP259" s="17">
        <f t="shared" si="13"/>
        <v>41.940127285555185</v>
      </c>
      <c r="AQ259" s="17">
        <f t="shared" si="13"/>
        <v>41.940127285555185</v>
      </c>
      <c r="AR259" s="17">
        <f t="shared" si="13"/>
        <v>41.940127285555185</v>
      </c>
      <c r="AS259" s="17">
        <f t="shared" si="13"/>
        <v>41.940127285555185</v>
      </c>
      <c r="AT259" s="17">
        <f t="shared" si="13"/>
        <v>41.940127285555185</v>
      </c>
      <c r="AU259" s="17">
        <f t="shared" si="13"/>
        <v>41.940127285555185</v>
      </c>
      <c r="AV259" s="17">
        <f t="shared" si="13"/>
        <v>41.940127285555185</v>
      </c>
      <c r="AW259" s="17">
        <f t="shared" si="13"/>
        <v>41.940127285555185</v>
      </c>
      <c r="AX259" s="17">
        <f t="shared" si="13"/>
        <v>41.940127285555185</v>
      </c>
      <c r="AY259" s="17">
        <f t="shared" si="13"/>
        <v>41.940127285555185</v>
      </c>
      <c r="AZ259" s="17">
        <f t="shared" si="13"/>
        <v>41.940127285555185</v>
      </c>
      <c r="BA259" s="17">
        <f t="shared" si="13"/>
        <v>41.940127285555185</v>
      </c>
      <c r="BB259" s="17">
        <f t="shared" si="13"/>
        <v>41.940127285555185</v>
      </c>
    </row>
    <row r="260" spans="1:54" x14ac:dyDescent="0.3">
      <c r="A260" t="s">
        <v>12</v>
      </c>
      <c r="B260" s="4">
        <v>416.59008865500005</v>
      </c>
      <c r="C260" s="4">
        <v>425.86863625600006</v>
      </c>
      <c r="D260" s="4">
        <v>357.17176002400004</v>
      </c>
      <c r="E260" s="4">
        <v>408.64945812400009</v>
      </c>
      <c r="F260" s="6">
        <f>E260*('Passenger cars EU Ref'!H13/'Passenger cars EU Ref'!G13)</f>
        <v>433.56860415013654</v>
      </c>
      <c r="G260" s="6">
        <f>F260*('Passenger cars EU Ref'!I13/'Passenger cars EU Ref'!H13)</f>
        <v>458.48775017627298</v>
      </c>
      <c r="H260" s="6">
        <f>G260*('Passenger cars EU Ref'!J13/'Passenger cars EU Ref'!I13)</f>
        <v>483.40689620240937</v>
      </c>
      <c r="I260" s="6">
        <f>H260*('Passenger cars EU Ref'!K13/'Passenger cars EU Ref'!J13)</f>
        <v>508.32604222854565</v>
      </c>
      <c r="J260" s="6">
        <f>I260*('Passenger cars EU Ref'!L13/'Passenger cars EU Ref'!K13)</f>
        <v>511.68563593099219</v>
      </c>
      <c r="K260" s="6">
        <f>J260*('Passenger cars EU Ref'!M13/'Passenger cars EU Ref'!L13)</f>
        <v>515.04522963343879</v>
      </c>
      <c r="L260" s="6">
        <f>K260*('Passenger cars EU Ref'!N13/'Passenger cars EU Ref'!M13)</f>
        <v>518.40482333588534</v>
      </c>
      <c r="M260" s="6">
        <f>L260*('Passenger cars EU Ref'!O13/'Passenger cars EU Ref'!N13)</f>
        <v>521.76441703833189</v>
      </c>
      <c r="N260" s="6">
        <f>M260*('Passenger cars EU Ref'!P13/'Passenger cars EU Ref'!O13)</f>
        <v>525.12401074077832</v>
      </c>
      <c r="O260" s="6">
        <f>N260*('Passenger cars EU Ref'!Q13/'Passenger cars EU Ref'!P13)</f>
        <v>527.57719722947991</v>
      </c>
      <c r="P260" s="6">
        <f>O260*('Passenger cars EU Ref'!R13/'Passenger cars EU Ref'!Q13)</f>
        <v>530.03038371818161</v>
      </c>
      <c r="Q260" s="6">
        <f>P260*('Passenger cars EU Ref'!S13/'Passenger cars EU Ref'!R13)</f>
        <v>532.48357020688331</v>
      </c>
      <c r="R260" s="6">
        <f>Q260*('Passenger cars EU Ref'!T13/'Passenger cars EU Ref'!S13)</f>
        <v>534.93675669558502</v>
      </c>
      <c r="S260" s="6">
        <f>R260*('Passenger cars EU Ref'!U13/'Passenger cars EU Ref'!T13)</f>
        <v>537.38994318428684</v>
      </c>
      <c r="T260" s="6">
        <f>S260*('Passenger cars EU Ref'!V13/'Passenger cars EU Ref'!U13)</f>
        <v>539.7965640668134</v>
      </c>
      <c r="U260" s="6">
        <f>T260*('Passenger cars EU Ref'!W13/'Passenger cars EU Ref'!V13)</f>
        <v>542.20318494933997</v>
      </c>
      <c r="V260" s="6">
        <f>U260*('Passenger cars EU Ref'!X13/'Passenger cars EU Ref'!W13)</f>
        <v>544.60980583186654</v>
      </c>
      <c r="W260" s="6">
        <f>V260*('Passenger cars EU Ref'!Y13/'Passenger cars EU Ref'!X13)</f>
        <v>547.01642671439311</v>
      </c>
      <c r="X260" s="6">
        <f>W260*('Passenger cars EU Ref'!Z13/'Passenger cars EU Ref'!Y13)</f>
        <v>549.42304759691967</v>
      </c>
      <c r="Y260" s="6">
        <f>X260*('Passenger cars EU Ref'!AA13/'Passenger cars EU Ref'!Z13)</f>
        <v>551.75144887734177</v>
      </c>
      <c r="Z260" s="6">
        <f>Y260*('Passenger cars EU Ref'!AB13/'Passenger cars EU Ref'!AA13)</f>
        <v>554.07985015776399</v>
      </c>
      <c r="AA260" s="6">
        <f>Z260*('Passenger cars EU Ref'!AC13/'Passenger cars EU Ref'!AB13)</f>
        <v>556.40825143818608</v>
      </c>
      <c r="AB260" s="6">
        <f>AA260*('Passenger cars EU Ref'!AD13/'Passenger cars EU Ref'!AC13)</f>
        <v>558.73665271860818</v>
      </c>
      <c r="AC260" s="6">
        <f>AB260*('Passenger cars EU Ref'!AE13/'Passenger cars EU Ref'!AD13)</f>
        <v>561.06505399903028</v>
      </c>
      <c r="AD260" s="6">
        <f>AC260*('Passenger cars EU Ref'!AF13/'Passenger cars EU Ref'!AE13)</f>
        <v>563.09224112579705</v>
      </c>
      <c r="AE260" s="6">
        <f>AD260*('Passenger cars EU Ref'!AG13/'Passenger cars EU Ref'!AF13)</f>
        <v>565.11942825256369</v>
      </c>
      <c r="AF260" s="6">
        <f>AE260*('Passenger cars EU Ref'!AH13/'Passenger cars EU Ref'!AG13)</f>
        <v>567.14661537933034</v>
      </c>
      <c r="AG260" s="6">
        <f>AF260*('Passenger cars EU Ref'!AI13/'Passenger cars EU Ref'!AH13)</f>
        <v>569.1738025060971</v>
      </c>
      <c r="AH260" s="6">
        <f>AG260*('Passenger cars EU Ref'!AJ13/'Passenger cars EU Ref'!AI13)</f>
        <v>571.20098963286375</v>
      </c>
      <c r="AI260" s="17">
        <f t="shared" ref="AI260:BB260" si="14">AH260</f>
        <v>571.20098963286375</v>
      </c>
      <c r="AJ260" s="17">
        <f t="shared" si="14"/>
        <v>571.20098963286375</v>
      </c>
      <c r="AK260" s="17">
        <f t="shared" si="14"/>
        <v>571.20098963286375</v>
      </c>
      <c r="AL260" s="17">
        <f t="shared" si="14"/>
        <v>571.20098963286375</v>
      </c>
      <c r="AM260" s="17">
        <f t="shared" si="14"/>
        <v>571.20098963286375</v>
      </c>
      <c r="AN260" s="17">
        <f t="shared" si="14"/>
        <v>571.20098963286375</v>
      </c>
      <c r="AO260" s="17">
        <f t="shared" si="14"/>
        <v>571.20098963286375</v>
      </c>
      <c r="AP260" s="17">
        <f t="shared" si="14"/>
        <v>571.20098963286375</v>
      </c>
      <c r="AQ260" s="17">
        <f t="shared" si="14"/>
        <v>571.20098963286375</v>
      </c>
      <c r="AR260" s="17">
        <f t="shared" si="14"/>
        <v>571.20098963286375</v>
      </c>
      <c r="AS260" s="17">
        <f t="shared" si="14"/>
        <v>571.20098963286375</v>
      </c>
      <c r="AT260" s="17">
        <f t="shared" si="14"/>
        <v>571.20098963286375</v>
      </c>
      <c r="AU260" s="17">
        <f t="shared" si="14"/>
        <v>571.20098963286375</v>
      </c>
      <c r="AV260" s="17">
        <f t="shared" si="14"/>
        <v>571.20098963286375</v>
      </c>
      <c r="AW260" s="17">
        <f t="shared" si="14"/>
        <v>571.20098963286375</v>
      </c>
      <c r="AX260" s="17">
        <f t="shared" si="14"/>
        <v>571.20098963286375</v>
      </c>
      <c r="AY260" s="17">
        <f t="shared" si="14"/>
        <v>571.20098963286375</v>
      </c>
      <c r="AZ260" s="17">
        <f t="shared" si="14"/>
        <v>571.20098963286375</v>
      </c>
      <c r="BA260" s="17">
        <f t="shared" si="14"/>
        <v>571.20098963286375</v>
      </c>
      <c r="BB260" s="17">
        <f t="shared" si="14"/>
        <v>571.20098963286375</v>
      </c>
    </row>
    <row r="261" spans="1:54" x14ac:dyDescent="0.3">
      <c r="A261" t="s">
        <v>10</v>
      </c>
      <c r="B261" s="4">
        <v>42.110363264000007</v>
      </c>
      <c r="C261" s="4">
        <v>42.96674929600001</v>
      </c>
      <c r="D261" s="4">
        <v>39.952169476000002</v>
      </c>
      <c r="E261" s="4">
        <v>40.908732052999994</v>
      </c>
      <c r="F261" s="6">
        <f>E261*('Passenger cars EU Ref'!H14/'Passenger cars EU Ref'!G14)</f>
        <v>42.053895363423948</v>
      </c>
      <c r="G261" s="6">
        <f>F261*('Passenger cars EU Ref'!I14/'Passenger cars EU Ref'!H14)</f>
        <v>43.199058673847901</v>
      </c>
      <c r="H261" s="6">
        <f>G261*('Passenger cars EU Ref'!J14/'Passenger cars EU Ref'!I14)</f>
        <v>44.344221984271854</v>
      </c>
      <c r="I261" s="6">
        <f>H261*('Passenger cars EU Ref'!K14/'Passenger cars EU Ref'!J14)</f>
        <v>45.489385294695801</v>
      </c>
      <c r="J261" s="6">
        <f>I261*('Passenger cars EU Ref'!L14/'Passenger cars EU Ref'!K14)</f>
        <v>45.947851579201043</v>
      </c>
      <c r="K261" s="6">
        <f>J261*('Passenger cars EU Ref'!M14/'Passenger cars EU Ref'!L14)</f>
        <v>46.406317863706285</v>
      </c>
      <c r="L261" s="6">
        <f>K261*('Passenger cars EU Ref'!N14/'Passenger cars EU Ref'!M14)</f>
        <v>46.86478414821152</v>
      </c>
      <c r="M261" s="6">
        <f>L261*('Passenger cars EU Ref'!O14/'Passenger cars EU Ref'!N14)</f>
        <v>47.323250432716755</v>
      </c>
      <c r="N261" s="6">
        <f>M261*('Passenger cars EU Ref'!P14/'Passenger cars EU Ref'!O14)</f>
        <v>47.78171671722199</v>
      </c>
      <c r="O261" s="6">
        <f>N261*('Passenger cars EU Ref'!Q14/'Passenger cars EU Ref'!P14)</f>
        <v>48.046411517836546</v>
      </c>
      <c r="P261" s="6">
        <f>O261*('Passenger cars EU Ref'!R14/'Passenger cars EU Ref'!Q14)</f>
        <v>48.311106318451102</v>
      </c>
      <c r="Q261" s="6">
        <f>P261*('Passenger cars EU Ref'!S14/'Passenger cars EU Ref'!R14)</f>
        <v>48.575801119065659</v>
      </c>
      <c r="R261" s="6">
        <f>Q261*('Passenger cars EU Ref'!T14/'Passenger cars EU Ref'!S14)</f>
        <v>48.840495919680222</v>
      </c>
      <c r="S261" s="6">
        <f>R261*('Passenger cars EU Ref'!U14/'Passenger cars EU Ref'!T14)</f>
        <v>49.105190720294786</v>
      </c>
      <c r="T261" s="6">
        <f>S261*('Passenger cars EU Ref'!V14/'Passenger cars EU Ref'!U14)</f>
        <v>49.010977025189582</v>
      </c>
      <c r="U261" s="6">
        <f>T261*('Passenger cars EU Ref'!W14/'Passenger cars EU Ref'!V14)</f>
        <v>48.916763330084379</v>
      </c>
      <c r="V261" s="6">
        <f>U261*('Passenger cars EU Ref'!X14/'Passenger cars EU Ref'!W14)</f>
        <v>48.822549634979175</v>
      </c>
      <c r="W261" s="6">
        <f>V261*('Passenger cars EU Ref'!Y14/'Passenger cars EU Ref'!X14)</f>
        <v>48.728335939873972</v>
      </c>
      <c r="X261" s="6">
        <f>W261*('Passenger cars EU Ref'!Z14/'Passenger cars EU Ref'!Y14)</f>
        <v>48.634122244768783</v>
      </c>
      <c r="Y261" s="6">
        <f>X261*('Passenger cars EU Ref'!AA14/'Passenger cars EU Ref'!Z14)</f>
        <v>48.673138389303382</v>
      </c>
      <c r="Z261" s="6">
        <f>Y261*('Passenger cars EU Ref'!AB14/'Passenger cars EU Ref'!AA14)</f>
        <v>48.712154533837975</v>
      </c>
      <c r="AA261" s="6">
        <f>Z261*('Passenger cars EU Ref'!AC14/'Passenger cars EU Ref'!AB14)</f>
        <v>48.751170678372574</v>
      </c>
      <c r="AB261" s="6">
        <f>AA261*('Passenger cars EU Ref'!AD14/'Passenger cars EU Ref'!AC14)</f>
        <v>48.790186822907174</v>
      </c>
      <c r="AC261" s="6">
        <f>AB261*('Passenger cars EU Ref'!AE14/'Passenger cars EU Ref'!AD14)</f>
        <v>48.82920296744178</v>
      </c>
      <c r="AD261" s="6">
        <f>AC261*('Passenger cars EU Ref'!AF14/'Passenger cars EU Ref'!AE14)</f>
        <v>49.003748428592367</v>
      </c>
      <c r="AE261" s="6">
        <f>AD261*('Passenger cars EU Ref'!AG14/'Passenger cars EU Ref'!AF14)</f>
        <v>49.178293889742953</v>
      </c>
      <c r="AF261" s="6">
        <f>AE261*('Passenger cars EU Ref'!AH14/'Passenger cars EU Ref'!AG14)</f>
        <v>49.352839350893539</v>
      </c>
      <c r="AG261" s="6">
        <f>AF261*('Passenger cars EU Ref'!AI14/'Passenger cars EU Ref'!AH14)</f>
        <v>49.527384812044126</v>
      </c>
      <c r="AH261" s="6">
        <f>AG261*('Passenger cars EU Ref'!AJ14/'Passenger cars EU Ref'!AI14)</f>
        <v>49.701930273194698</v>
      </c>
      <c r="AI261" s="17">
        <f t="shared" ref="AI261:BB261" si="15">AH261</f>
        <v>49.701930273194698</v>
      </c>
      <c r="AJ261" s="17">
        <f t="shared" si="15"/>
        <v>49.701930273194698</v>
      </c>
      <c r="AK261" s="17">
        <f t="shared" si="15"/>
        <v>49.701930273194698</v>
      </c>
      <c r="AL261" s="17">
        <f t="shared" si="15"/>
        <v>49.701930273194698</v>
      </c>
      <c r="AM261" s="17">
        <f t="shared" si="15"/>
        <v>49.701930273194698</v>
      </c>
      <c r="AN261" s="17">
        <f t="shared" si="15"/>
        <v>49.701930273194698</v>
      </c>
      <c r="AO261" s="17">
        <f t="shared" si="15"/>
        <v>49.701930273194698</v>
      </c>
      <c r="AP261" s="17">
        <f t="shared" si="15"/>
        <v>49.701930273194698</v>
      </c>
      <c r="AQ261" s="17">
        <f t="shared" si="15"/>
        <v>49.701930273194698</v>
      </c>
      <c r="AR261" s="17">
        <f t="shared" si="15"/>
        <v>49.701930273194698</v>
      </c>
      <c r="AS261" s="17">
        <f t="shared" si="15"/>
        <v>49.701930273194698</v>
      </c>
      <c r="AT261" s="17">
        <f t="shared" si="15"/>
        <v>49.701930273194698</v>
      </c>
      <c r="AU261" s="17">
        <f t="shared" si="15"/>
        <v>49.701930273194698</v>
      </c>
      <c r="AV261" s="17">
        <f t="shared" si="15"/>
        <v>49.701930273194698</v>
      </c>
      <c r="AW261" s="17">
        <f t="shared" si="15"/>
        <v>49.701930273194698</v>
      </c>
      <c r="AX261" s="17">
        <f t="shared" si="15"/>
        <v>49.701930273194698</v>
      </c>
      <c r="AY261" s="17">
        <f t="shared" si="15"/>
        <v>49.701930273194698</v>
      </c>
      <c r="AZ261" s="17">
        <f t="shared" si="15"/>
        <v>49.701930273194698</v>
      </c>
      <c r="BA261" s="17">
        <f t="shared" si="15"/>
        <v>49.701930273194698</v>
      </c>
      <c r="BB261" s="17">
        <f t="shared" si="15"/>
        <v>49.701930273194698</v>
      </c>
    </row>
    <row r="262" spans="1:54" x14ac:dyDescent="0.3">
      <c r="A262" t="s">
        <v>13</v>
      </c>
      <c r="B262" s="4">
        <v>23.821999999999999</v>
      </c>
      <c r="C262" s="4">
        <v>22.963000004000001</v>
      </c>
      <c r="D262" s="4">
        <v>18.812525435999998</v>
      </c>
      <c r="E262" s="4">
        <v>21.871311903999999</v>
      </c>
      <c r="F262" s="6">
        <f>E262*('Passenger cars EU Ref'!H15/'Passenger cars EU Ref'!G15)</f>
        <v>22.831300934109422</v>
      </c>
      <c r="G262" s="6">
        <f>F262*('Passenger cars EU Ref'!I15/'Passenger cars EU Ref'!H15)</f>
        <v>23.791289964218844</v>
      </c>
      <c r="H262" s="6">
        <f>G262*('Passenger cars EU Ref'!J15/'Passenger cars EU Ref'!I15)</f>
        <v>24.751278994328263</v>
      </c>
      <c r="I262" s="6">
        <f>H262*('Passenger cars EU Ref'!K15/'Passenger cars EU Ref'!J15)</f>
        <v>25.711268024437686</v>
      </c>
      <c r="J262" s="6">
        <f>I262*('Passenger cars EU Ref'!L15/'Passenger cars EU Ref'!K15)</f>
        <v>26.30956762995331</v>
      </c>
      <c r="K262" s="6">
        <f>J262*('Passenger cars EU Ref'!M15/'Passenger cars EU Ref'!L15)</f>
        <v>26.907867235468935</v>
      </c>
      <c r="L262" s="6">
        <f>K262*('Passenger cars EU Ref'!N15/'Passenger cars EU Ref'!M15)</f>
        <v>27.506166840984559</v>
      </c>
      <c r="M262" s="6">
        <f>L262*('Passenger cars EU Ref'!O15/'Passenger cars EU Ref'!N15)</f>
        <v>28.104466446500183</v>
      </c>
      <c r="N262" s="6">
        <f>M262*('Passenger cars EU Ref'!P15/'Passenger cars EU Ref'!O15)</f>
        <v>28.702766052015814</v>
      </c>
      <c r="O262" s="6">
        <f>N262*('Passenger cars EU Ref'!Q15/'Passenger cars EU Ref'!P15)</f>
        <v>28.936401200891606</v>
      </c>
      <c r="P262" s="6">
        <f>O262*('Passenger cars EU Ref'!R15/'Passenger cars EU Ref'!Q15)</f>
        <v>29.170036349767397</v>
      </c>
      <c r="Q262" s="6">
        <f>P262*('Passenger cars EU Ref'!S15/'Passenger cars EU Ref'!R15)</f>
        <v>29.403671498643188</v>
      </c>
      <c r="R262" s="6">
        <f>Q262*('Passenger cars EU Ref'!T15/'Passenger cars EU Ref'!S15)</f>
        <v>29.637306647518976</v>
      </c>
      <c r="S262" s="6">
        <f>R262*('Passenger cars EU Ref'!U15/'Passenger cars EU Ref'!T15)</f>
        <v>29.870941796394778</v>
      </c>
      <c r="T262" s="6">
        <f>S262*('Passenger cars EU Ref'!V15/'Passenger cars EU Ref'!U15)</f>
        <v>30.132588139493748</v>
      </c>
      <c r="U262" s="6">
        <f>T262*('Passenger cars EU Ref'!W15/'Passenger cars EU Ref'!V15)</f>
        <v>30.394234482592719</v>
      </c>
      <c r="V262" s="6">
        <f>U262*('Passenger cars EU Ref'!X15/'Passenger cars EU Ref'!W15)</f>
        <v>30.655880825691693</v>
      </c>
      <c r="W262" s="6">
        <f>V262*('Passenger cars EU Ref'!Y15/'Passenger cars EU Ref'!X15)</f>
        <v>30.917527168790667</v>
      </c>
      <c r="X262" s="6">
        <f>W262*('Passenger cars EU Ref'!Z15/'Passenger cars EU Ref'!Y15)</f>
        <v>31.17917351188964</v>
      </c>
      <c r="Y262" s="6">
        <f>X262*('Passenger cars EU Ref'!AA15/'Passenger cars EU Ref'!Z15)</f>
        <v>31.361788358395419</v>
      </c>
      <c r="Z262" s="6">
        <f>Y262*('Passenger cars EU Ref'!AB15/'Passenger cars EU Ref'!AA15)</f>
        <v>31.544403204901201</v>
      </c>
      <c r="AA262" s="6">
        <f>Z262*('Passenger cars EU Ref'!AC15/'Passenger cars EU Ref'!AB15)</f>
        <v>31.727018051406979</v>
      </c>
      <c r="AB262" s="6">
        <f>AA262*('Passenger cars EU Ref'!AD15/'Passenger cars EU Ref'!AC15)</f>
        <v>31.909632897912754</v>
      </c>
      <c r="AC262" s="6">
        <f>AB262*('Passenger cars EU Ref'!AE15/'Passenger cars EU Ref'!AD15)</f>
        <v>32.092247744418543</v>
      </c>
      <c r="AD262" s="6">
        <f>AC262*('Passenger cars EU Ref'!AF15/'Passenger cars EU Ref'!AE15)</f>
        <v>32.288325780611338</v>
      </c>
      <c r="AE262" s="6">
        <f>AD262*('Passenger cars EU Ref'!AG15/'Passenger cars EU Ref'!AF15)</f>
        <v>32.484403816804132</v>
      </c>
      <c r="AF262" s="6">
        <f>AE262*('Passenger cars EU Ref'!AH15/'Passenger cars EU Ref'!AG15)</f>
        <v>32.680481852996934</v>
      </c>
      <c r="AG262" s="6">
        <f>AF262*('Passenger cars EU Ref'!AI15/'Passenger cars EU Ref'!AH15)</f>
        <v>32.876559889189728</v>
      </c>
      <c r="AH262" s="6">
        <f>AG262*('Passenger cars EU Ref'!AJ15/'Passenger cars EU Ref'!AI15)</f>
        <v>33.07263792538253</v>
      </c>
      <c r="AI262" s="17">
        <f t="shared" ref="AI262:BB262" si="16">AH262</f>
        <v>33.07263792538253</v>
      </c>
      <c r="AJ262" s="17">
        <f t="shared" si="16"/>
        <v>33.07263792538253</v>
      </c>
      <c r="AK262" s="17">
        <f t="shared" si="16"/>
        <v>33.07263792538253</v>
      </c>
      <c r="AL262" s="17">
        <f t="shared" si="16"/>
        <v>33.07263792538253</v>
      </c>
      <c r="AM262" s="17">
        <f t="shared" si="16"/>
        <v>33.07263792538253</v>
      </c>
      <c r="AN262" s="17">
        <f t="shared" si="16"/>
        <v>33.07263792538253</v>
      </c>
      <c r="AO262" s="17">
        <f t="shared" si="16"/>
        <v>33.07263792538253</v>
      </c>
      <c r="AP262" s="17">
        <f t="shared" si="16"/>
        <v>33.07263792538253</v>
      </c>
      <c r="AQ262" s="17">
        <f t="shared" si="16"/>
        <v>33.07263792538253</v>
      </c>
      <c r="AR262" s="17">
        <f t="shared" si="16"/>
        <v>33.07263792538253</v>
      </c>
      <c r="AS262" s="17">
        <f t="shared" si="16"/>
        <v>33.07263792538253</v>
      </c>
      <c r="AT262" s="17">
        <f t="shared" si="16"/>
        <v>33.07263792538253</v>
      </c>
      <c r="AU262" s="17">
        <f t="shared" si="16"/>
        <v>33.07263792538253</v>
      </c>
      <c r="AV262" s="17">
        <f t="shared" si="16"/>
        <v>33.07263792538253</v>
      </c>
      <c r="AW262" s="17">
        <f t="shared" si="16"/>
        <v>33.07263792538253</v>
      </c>
      <c r="AX262" s="17">
        <f t="shared" si="16"/>
        <v>33.07263792538253</v>
      </c>
      <c r="AY262" s="17">
        <f t="shared" si="16"/>
        <v>33.07263792538253</v>
      </c>
      <c r="AZ262" s="17">
        <f t="shared" si="16"/>
        <v>33.07263792538253</v>
      </c>
      <c r="BA262" s="17">
        <f t="shared" si="16"/>
        <v>33.07263792538253</v>
      </c>
      <c r="BB262" s="17">
        <f t="shared" si="16"/>
        <v>33.07263792538253</v>
      </c>
    </row>
    <row r="263" spans="1:54" x14ac:dyDescent="0.3">
      <c r="A263" t="s">
        <v>19</v>
      </c>
      <c r="B263" s="4">
        <v>36.103385295000002</v>
      </c>
      <c r="C263" s="4">
        <v>40.658624453999991</v>
      </c>
      <c r="D263" s="4">
        <v>38.830605738000003</v>
      </c>
      <c r="E263" s="4">
        <v>40.695518461999988</v>
      </c>
      <c r="F263" s="6">
        <f>E263*('Passenger cars EU Ref'!H16/'Passenger cars EU Ref'!G16)</f>
        <v>42.266217639655885</v>
      </c>
      <c r="G263" s="6">
        <f>F263*('Passenger cars EU Ref'!I16/'Passenger cars EU Ref'!H16)</f>
        <v>43.836916817311781</v>
      </c>
      <c r="H263" s="6">
        <f>G263*('Passenger cars EU Ref'!J16/'Passenger cars EU Ref'!I16)</f>
        <v>45.407615994967678</v>
      </c>
      <c r="I263" s="6">
        <f>H263*('Passenger cars EU Ref'!K16/'Passenger cars EU Ref'!J16)</f>
        <v>46.978315172623589</v>
      </c>
      <c r="J263" s="6">
        <f>I263*('Passenger cars EU Ref'!L16/'Passenger cars EU Ref'!K16)</f>
        <v>48.142417174465059</v>
      </c>
      <c r="K263" s="6">
        <f>J263*('Passenger cars EU Ref'!M16/'Passenger cars EU Ref'!L16)</f>
        <v>49.306519176306537</v>
      </c>
      <c r="L263" s="6">
        <f>K263*('Passenger cars EU Ref'!N16/'Passenger cars EU Ref'!M16)</f>
        <v>50.470621178148015</v>
      </c>
      <c r="M263" s="6">
        <f>L263*('Passenger cars EU Ref'!O16/'Passenger cars EU Ref'!N16)</f>
        <v>51.634723179989493</v>
      </c>
      <c r="N263" s="6">
        <f>M263*('Passenger cars EU Ref'!P16/'Passenger cars EU Ref'!O16)</f>
        <v>52.798825181830971</v>
      </c>
      <c r="O263" s="6">
        <f>N263*('Passenger cars EU Ref'!Q16/'Passenger cars EU Ref'!P16)</f>
        <v>53.726776273389881</v>
      </c>
      <c r="P263" s="6">
        <f>O263*('Passenger cars EU Ref'!R16/'Passenger cars EU Ref'!Q16)</f>
        <v>54.654727364948791</v>
      </c>
      <c r="Q263" s="6">
        <f>P263*('Passenger cars EU Ref'!S16/'Passenger cars EU Ref'!R16)</f>
        <v>55.582678456507701</v>
      </c>
      <c r="R263" s="6">
        <f>Q263*('Passenger cars EU Ref'!T16/'Passenger cars EU Ref'!S16)</f>
        <v>56.510629548066603</v>
      </c>
      <c r="S263" s="6">
        <f>R263*('Passenger cars EU Ref'!U16/'Passenger cars EU Ref'!T16)</f>
        <v>57.438580639625506</v>
      </c>
      <c r="T263" s="6">
        <f>S263*('Passenger cars EU Ref'!V16/'Passenger cars EU Ref'!U16)</f>
        <v>58.227199907920053</v>
      </c>
      <c r="U263" s="6">
        <f>T263*('Passenger cars EU Ref'!W16/'Passenger cars EU Ref'!V16)</f>
        <v>59.015819176214613</v>
      </c>
      <c r="V263" s="6">
        <f>U263*('Passenger cars EU Ref'!X16/'Passenger cars EU Ref'!W16)</f>
        <v>59.804438444509159</v>
      </c>
      <c r="W263" s="6">
        <f>V263*('Passenger cars EU Ref'!Y16/'Passenger cars EU Ref'!X16)</f>
        <v>60.593057712803706</v>
      </c>
      <c r="X263" s="6">
        <f>W263*('Passenger cars EU Ref'!Z16/'Passenger cars EU Ref'!Y16)</f>
        <v>61.381676981098273</v>
      </c>
      <c r="Y263" s="6">
        <f>X263*('Passenger cars EU Ref'!AA16/'Passenger cars EU Ref'!Z16)</f>
        <v>61.918481336959751</v>
      </c>
      <c r="Z263" s="6">
        <f>Y263*('Passenger cars EU Ref'!AB16/'Passenger cars EU Ref'!AA16)</f>
        <v>62.455285692821221</v>
      </c>
      <c r="AA263" s="6">
        <f>Z263*('Passenger cars EU Ref'!AC16/'Passenger cars EU Ref'!AB16)</f>
        <v>62.992090048682691</v>
      </c>
      <c r="AB263" s="6">
        <f>AA263*('Passenger cars EU Ref'!AD16/'Passenger cars EU Ref'!AC16)</f>
        <v>63.528894404544168</v>
      </c>
      <c r="AC263" s="6">
        <f>AB263*('Passenger cars EU Ref'!AE16/'Passenger cars EU Ref'!AD16)</f>
        <v>64.065698760405638</v>
      </c>
      <c r="AD263" s="6">
        <f>AC263*('Passenger cars EU Ref'!AF16/'Passenger cars EU Ref'!AE16)</f>
        <v>64.618315319795371</v>
      </c>
      <c r="AE263" s="6">
        <f>AD263*('Passenger cars EU Ref'!AG16/'Passenger cars EU Ref'!AF16)</f>
        <v>65.170931879185105</v>
      </c>
      <c r="AF263" s="6">
        <f>AE263*('Passenger cars EU Ref'!AH16/'Passenger cars EU Ref'!AG16)</f>
        <v>65.723548438574824</v>
      </c>
      <c r="AG263" s="6">
        <f>AF263*('Passenger cars EU Ref'!AI16/'Passenger cars EU Ref'!AH16)</f>
        <v>66.276164997964557</v>
      </c>
      <c r="AH263" s="6">
        <f>AG263*('Passenger cars EU Ref'!AJ16/'Passenger cars EU Ref'!AI16)</f>
        <v>66.828781557354276</v>
      </c>
      <c r="AI263" s="17">
        <f t="shared" ref="AI263:BB263" si="17">AH263</f>
        <v>66.828781557354276</v>
      </c>
      <c r="AJ263" s="17">
        <f t="shared" si="17"/>
        <v>66.828781557354276</v>
      </c>
      <c r="AK263" s="17">
        <f t="shared" si="17"/>
        <v>66.828781557354276</v>
      </c>
      <c r="AL263" s="17">
        <f t="shared" si="17"/>
        <v>66.828781557354276</v>
      </c>
      <c r="AM263" s="17">
        <f t="shared" si="17"/>
        <v>66.828781557354276</v>
      </c>
      <c r="AN263" s="17">
        <f t="shared" si="17"/>
        <v>66.828781557354276</v>
      </c>
      <c r="AO263" s="17">
        <f t="shared" si="17"/>
        <v>66.828781557354276</v>
      </c>
      <c r="AP263" s="17">
        <f t="shared" si="17"/>
        <v>66.828781557354276</v>
      </c>
      <c r="AQ263" s="17">
        <f t="shared" si="17"/>
        <v>66.828781557354276</v>
      </c>
      <c r="AR263" s="17">
        <f t="shared" si="17"/>
        <v>66.828781557354276</v>
      </c>
      <c r="AS263" s="17">
        <f t="shared" si="17"/>
        <v>66.828781557354276</v>
      </c>
      <c r="AT263" s="17">
        <f t="shared" si="17"/>
        <v>66.828781557354276</v>
      </c>
      <c r="AU263" s="17">
        <f t="shared" si="17"/>
        <v>66.828781557354276</v>
      </c>
      <c r="AV263" s="17">
        <f t="shared" si="17"/>
        <v>66.828781557354276</v>
      </c>
      <c r="AW263" s="17">
        <f t="shared" si="17"/>
        <v>66.828781557354276</v>
      </c>
      <c r="AX263" s="17">
        <f t="shared" si="17"/>
        <v>66.828781557354276</v>
      </c>
      <c r="AY263" s="17">
        <f t="shared" si="17"/>
        <v>66.828781557354276</v>
      </c>
      <c r="AZ263" s="17">
        <f t="shared" si="17"/>
        <v>66.828781557354276</v>
      </c>
      <c r="BA263" s="17">
        <f t="shared" si="17"/>
        <v>66.828781557354276</v>
      </c>
      <c r="BB263" s="17">
        <f t="shared" si="17"/>
        <v>66.828781557354276</v>
      </c>
    </row>
    <row r="264" spans="1:54" x14ac:dyDescent="0.3">
      <c r="A264" t="s">
        <v>9</v>
      </c>
      <c r="B264" s="4">
        <v>35.503429707999999</v>
      </c>
      <c r="C264" s="4">
        <v>35.902171841000005</v>
      </c>
      <c r="D264" s="4">
        <v>31.131058129999996</v>
      </c>
      <c r="E264" s="4">
        <v>32.595988906999999</v>
      </c>
      <c r="F264" s="6">
        <f>E264*('Passenger cars EU Ref'!H17/'Passenger cars EU Ref'!G17)</f>
        <v>34.041849332080965</v>
      </c>
      <c r="G264" s="6">
        <f>F264*('Passenger cars EU Ref'!I17/'Passenger cars EU Ref'!H17)</f>
        <v>35.48770975716193</v>
      </c>
      <c r="H264" s="6">
        <f>G264*('Passenger cars EU Ref'!J17/'Passenger cars EU Ref'!I17)</f>
        <v>36.933570182242896</v>
      </c>
      <c r="I264" s="6">
        <f>H264*('Passenger cars EU Ref'!K17/'Passenger cars EU Ref'!J17)</f>
        <v>38.379430607323876</v>
      </c>
      <c r="J264" s="6">
        <f>I264*('Passenger cars EU Ref'!L17/'Passenger cars EU Ref'!K17)</f>
        <v>39.121040053019478</v>
      </c>
      <c r="K264" s="6">
        <f>J264*('Passenger cars EU Ref'!M17/'Passenger cars EU Ref'!L17)</f>
        <v>39.862649498715072</v>
      </c>
      <c r="L264" s="6">
        <f>K264*('Passenger cars EU Ref'!N17/'Passenger cars EU Ref'!M17)</f>
        <v>40.604258944410674</v>
      </c>
      <c r="M264" s="6">
        <f>L264*('Passenger cars EU Ref'!O17/'Passenger cars EU Ref'!N17)</f>
        <v>41.345868390106268</v>
      </c>
      <c r="N264" s="6">
        <f>M264*('Passenger cars EU Ref'!P17/'Passenger cars EU Ref'!O17)</f>
        <v>42.08747783580187</v>
      </c>
      <c r="O264" s="6">
        <f>N264*('Passenger cars EU Ref'!Q17/'Passenger cars EU Ref'!P17)</f>
        <v>42.56128159336749</v>
      </c>
      <c r="P264" s="6">
        <f>O264*('Passenger cars EU Ref'!R17/'Passenger cars EU Ref'!Q17)</f>
        <v>43.035085350933109</v>
      </c>
      <c r="Q264" s="6">
        <f>P264*('Passenger cars EU Ref'!S17/'Passenger cars EU Ref'!R17)</f>
        <v>43.508889108498728</v>
      </c>
      <c r="R264" s="6">
        <f>Q264*('Passenger cars EU Ref'!T17/'Passenger cars EU Ref'!S17)</f>
        <v>43.982692866064355</v>
      </c>
      <c r="S264" s="6">
        <f>R264*('Passenger cars EU Ref'!U17/'Passenger cars EU Ref'!T17)</f>
        <v>44.456496623629981</v>
      </c>
      <c r="T264" s="6">
        <f>S264*('Passenger cars EU Ref'!V17/'Passenger cars EU Ref'!U17)</f>
        <v>44.778601825199253</v>
      </c>
      <c r="U264" s="6">
        <f>T264*('Passenger cars EU Ref'!W17/'Passenger cars EU Ref'!V17)</f>
        <v>45.100707026768525</v>
      </c>
      <c r="V264" s="6">
        <f>U264*('Passenger cars EU Ref'!X17/'Passenger cars EU Ref'!W17)</f>
        <v>45.422812228337797</v>
      </c>
      <c r="W264" s="6">
        <f>V264*('Passenger cars EU Ref'!Y17/'Passenger cars EU Ref'!X17)</f>
        <v>45.744917429907062</v>
      </c>
      <c r="X264" s="6">
        <f>W264*('Passenger cars EU Ref'!Z17/'Passenger cars EU Ref'!Y17)</f>
        <v>46.067022631476341</v>
      </c>
      <c r="Y264" s="6">
        <f>X264*('Passenger cars EU Ref'!AA17/'Passenger cars EU Ref'!Z17)</f>
        <v>46.38205973919802</v>
      </c>
      <c r="Z264" s="6">
        <f>Y264*('Passenger cars EU Ref'!AB17/'Passenger cars EU Ref'!AA17)</f>
        <v>46.697096846919699</v>
      </c>
      <c r="AA264" s="6">
        <f>Z264*('Passenger cars EU Ref'!AC17/'Passenger cars EU Ref'!AB17)</f>
        <v>47.012133954641378</v>
      </c>
      <c r="AB264" s="6">
        <f>AA264*('Passenger cars EU Ref'!AD17/'Passenger cars EU Ref'!AC17)</f>
        <v>47.327171062363064</v>
      </c>
      <c r="AC264" s="6">
        <f>AB264*('Passenger cars EU Ref'!AE17/'Passenger cars EU Ref'!AD17)</f>
        <v>47.64220817008475</v>
      </c>
      <c r="AD264" s="6">
        <f>AC264*('Passenger cars EU Ref'!AF17/'Passenger cars EU Ref'!AE17)</f>
        <v>47.965801762868317</v>
      </c>
      <c r="AE264" s="6">
        <f>AD264*('Passenger cars EU Ref'!AG17/'Passenger cars EU Ref'!AF17)</f>
        <v>48.289395355651891</v>
      </c>
      <c r="AF264" s="6">
        <f>AE264*('Passenger cars EU Ref'!AH17/'Passenger cars EU Ref'!AG17)</f>
        <v>48.612988948435458</v>
      </c>
      <c r="AG264" s="6">
        <f>AF264*('Passenger cars EU Ref'!AI17/'Passenger cars EU Ref'!AH17)</f>
        <v>48.936582541219018</v>
      </c>
      <c r="AH264" s="6">
        <f>AG264*('Passenger cars EU Ref'!AJ17/'Passenger cars EU Ref'!AI17)</f>
        <v>49.260176134002592</v>
      </c>
      <c r="AI264" s="17">
        <f t="shared" ref="AI264:BB264" si="18">AH264</f>
        <v>49.260176134002592</v>
      </c>
      <c r="AJ264" s="17">
        <f t="shared" si="18"/>
        <v>49.260176134002592</v>
      </c>
      <c r="AK264" s="17">
        <f t="shared" si="18"/>
        <v>49.260176134002592</v>
      </c>
      <c r="AL264" s="17">
        <f t="shared" si="18"/>
        <v>49.260176134002592</v>
      </c>
      <c r="AM264" s="17">
        <f t="shared" si="18"/>
        <v>49.260176134002592</v>
      </c>
      <c r="AN264" s="17">
        <f t="shared" si="18"/>
        <v>49.260176134002592</v>
      </c>
      <c r="AO264" s="17">
        <f t="shared" si="18"/>
        <v>49.260176134002592</v>
      </c>
      <c r="AP264" s="17">
        <f t="shared" si="18"/>
        <v>49.260176134002592</v>
      </c>
      <c r="AQ264" s="17">
        <f t="shared" si="18"/>
        <v>49.260176134002592</v>
      </c>
      <c r="AR264" s="17">
        <f t="shared" si="18"/>
        <v>49.260176134002592</v>
      </c>
      <c r="AS264" s="17">
        <f t="shared" si="18"/>
        <v>49.260176134002592</v>
      </c>
      <c r="AT264" s="17">
        <f t="shared" si="18"/>
        <v>49.260176134002592</v>
      </c>
      <c r="AU264" s="17">
        <f t="shared" si="18"/>
        <v>49.260176134002592</v>
      </c>
      <c r="AV264" s="17">
        <f t="shared" si="18"/>
        <v>49.260176134002592</v>
      </c>
      <c r="AW264" s="17">
        <f t="shared" si="18"/>
        <v>49.260176134002592</v>
      </c>
      <c r="AX264" s="17">
        <f t="shared" si="18"/>
        <v>49.260176134002592</v>
      </c>
      <c r="AY264" s="17">
        <f t="shared" si="18"/>
        <v>49.260176134002592</v>
      </c>
      <c r="AZ264" s="17">
        <f t="shared" si="18"/>
        <v>49.260176134002592</v>
      </c>
      <c r="BA264" s="17">
        <f t="shared" si="18"/>
        <v>49.260176134002592</v>
      </c>
      <c r="BB264" s="17">
        <f t="shared" si="18"/>
        <v>49.260176134002592</v>
      </c>
    </row>
    <row r="265" spans="1:54" x14ac:dyDescent="0.3">
      <c r="A265" t="s">
        <v>14</v>
      </c>
      <c r="B265" s="4">
        <v>379.08560997200004</v>
      </c>
      <c r="C265" s="4">
        <v>380.35247568400001</v>
      </c>
      <c r="D265" s="4">
        <v>300.243201005</v>
      </c>
      <c r="E265" s="4">
        <v>302.76743723999999</v>
      </c>
      <c r="F265" s="6">
        <f>E265*('Passenger cars EU Ref'!H18/'Passenger cars EU Ref'!G18)</f>
        <v>325.42348300737336</v>
      </c>
      <c r="G265" s="6">
        <f>F265*('Passenger cars EU Ref'!I18/'Passenger cars EU Ref'!H18)</f>
        <v>348.07952877474668</v>
      </c>
      <c r="H265" s="6">
        <f>G265*('Passenger cars EU Ref'!J18/'Passenger cars EU Ref'!I18)</f>
        <v>370.73557454212005</v>
      </c>
      <c r="I265" s="6">
        <f>H265*('Passenger cars EU Ref'!K18/'Passenger cars EU Ref'!J18)</f>
        <v>393.39162030949336</v>
      </c>
      <c r="J265" s="6">
        <f>I265*('Passenger cars EU Ref'!L18/'Passenger cars EU Ref'!K18)</f>
        <v>392.91056673065549</v>
      </c>
      <c r="K265" s="6">
        <f>J265*('Passenger cars EU Ref'!M18/'Passenger cars EU Ref'!L18)</f>
        <v>392.42951315181767</v>
      </c>
      <c r="L265" s="6">
        <f>K265*('Passenger cars EU Ref'!N18/'Passenger cars EU Ref'!M18)</f>
        <v>391.9484595729798</v>
      </c>
      <c r="M265" s="6">
        <f>L265*('Passenger cars EU Ref'!O18/'Passenger cars EU Ref'!N18)</f>
        <v>391.46740599414193</v>
      </c>
      <c r="N265" s="6">
        <f>M265*('Passenger cars EU Ref'!P18/'Passenger cars EU Ref'!O18)</f>
        <v>390.986352415304</v>
      </c>
      <c r="O265" s="6">
        <f>N265*('Passenger cars EU Ref'!Q18/'Passenger cars EU Ref'!P18)</f>
        <v>393.18480341197744</v>
      </c>
      <c r="P265" s="6">
        <f>O265*('Passenger cars EU Ref'!R18/'Passenger cars EU Ref'!Q18)</f>
        <v>395.38325440865094</v>
      </c>
      <c r="Q265" s="6">
        <f>P265*('Passenger cars EU Ref'!S18/'Passenger cars EU Ref'!R18)</f>
        <v>397.58170540532439</v>
      </c>
      <c r="R265" s="6">
        <f>Q265*('Passenger cars EU Ref'!T18/'Passenger cars EU Ref'!S18)</f>
        <v>399.78015640199777</v>
      </c>
      <c r="S265" s="6">
        <f>R265*('Passenger cars EU Ref'!U18/'Passenger cars EU Ref'!T18)</f>
        <v>401.97860739867133</v>
      </c>
      <c r="T265" s="6">
        <f>S265*('Passenger cars EU Ref'!V18/'Passenger cars EU Ref'!U18)</f>
        <v>405.12300696015132</v>
      </c>
      <c r="U265" s="6">
        <f>T265*('Passenger cars EU Ref'!W18/'Passenger cars EU Ref'!V18)</f>
        <v>408.26740652163136</v>
      </c>
      <c r="V265" s="6">
        <f>U265*('Passenger cars EU Ref'!X18/'Passenger cars EU Ref'!W18)</f>
        <v>411.4118060831114</v>
      </c>
      <c r="W265" s="6">
        <f>V265*('Passenger cars EU Ref'!Y18/'Passenger cars EU Ref'!X18)</f>
        <v>414.55620564459139</v>
      </c>
      <c r="X265" s="6">
        <f>W265*('Passenger cars EU Ref'!Z18/'Passenger cars EU Ref'!Y18)</f>
        <v>417.70060520607154</v>
      </c>
      <c r="Y265" s="6">
        <f>X265*('Passenger cars EU Ref'!AA18/'Passenger cars EU Ref'!Z18)</f>
        <v>419.06800916399845</v>
      </c>
      <c r="Z265" s="6">
        <f>Y265*('Passenger cars EU Ref'!AB18/'Passenger cars EU Ref'!AA18)</f>
        <v>420.43541312192536</v>
      </c>
      <c r="AA265" s="6">
        <f>Z265*('Passenger cars EU Ref'!AC18/'Passenger cars EU Ref'!AB18)</f>
        <v>421.80281707985228</v>
      </c>
      <c r="AB265" s="6">
        <f>AA265*('Passenger cars EU Ref'!AD18/'Passenger cars EU Ref'!AC18)</f>
        <v>423.17022103777913</v>
      </c>
      <c r="AC265" s="6">
        <f>AB265*('Passenger cars EU Ref'!AE18/'Passenger cars EU Ref'!AD18)</f>
        <v>424.53762499570604</v>
      </c>
      <c r="AD265" s="6">
        <f>AC265*('Passenger cars EU Ref'!AF18/'Passenger cars EU Ref'!AE18)</f>
        <v>426.02513712521556</v>
      </c>
      <c r="AE265" s="6">
        <f>AD265*('Passenger cars EU Ref'!AG18/'Passenger cars EU Ref'!AF18)</f>
        <v>427.51264925472515</v>
      </c>
      <c r="AF265" s="6">
        <f>AE265*('Passenger cars EU Ref'!AH18/'Passenger cars EU Ref'!AG18)</f>
        <v>429.00016138423473</v>
      </c>
      <c r="AG265" s="6">
        <f>AF265*('Passenger cars EU Ref'!AI18/'Passenger cars EU Ref'!AH18)</f>
        <v>430.48767351374426</v>
      </c>
      <c r="AH265" s="6">
        <f>AG265*('Passenger cars EU Ref'!AJ18/'Passenger cars EU Ref'!AI18)</f>
        <v>431.97518564325384</v>
      </c>
      <c r="AI265" s="17">
        <f t="shared" ref="AI265:BB265" si="19">AH265</f>
        <v>431.97518564325384</v>
      </c>
      <c r="AJ265" s="17">
        <f t="shared" si="19"/>
        <v>431.97518564325384</v>
      </c>
      <c r="AK265" s="17">
        <f t="shared" si="19"/>
        <v>431.97518564325384</v>
      </c>
      <c r="AL265" s="17">
        <f t="shared" si="19"/>
        <v>431.97518564325384</v>
      </c>
      <c r="AM265" s="17">
        <f t="shared" si="19"/>
        <v>431.97518564325384</v>
      </c>
      <c r="AN265" s="17">
        <f t="shared" si="19"/>
        <v>431.97518564325384</v>
      </c>
      <c r="AO265" s="17">
        <f t="shared" si="19"/>
        <v>431.97518564325384</v>
      </c>
      <c r="AP265" s="17">
        <f t="shared" si="19"/>
        <v>431.97518564325384</v>
      </c>
      <c r="AQ265" s="17">
        <f t="shared" si="19"/>
        <v>431.97518564325384</v>
      </c>
      <c r="AR265" s="17">
        <f t="shared" si="19"/>
        <v>431.97518564325384</v>
      </c>
      <c r="AS265" s="17">
        <f t="shared" si="19"/>
        <v>431.97518564325384</v>
      </c>
      <c r="AT265" s="17">
        <f t="shared" si="19"/>
        <v>431.97518564325384</v>
      </c>
      <c r="AU265" s="17">
        <f t="shared" si="19"/>
        <v>431.97518564325384</v>
      </c>
      <c r="AV265" s="17">
        <f t="shared" si="19"/>
        <v>431.97518564325384</v>
      </c>
      <c r="AW265" s="17">
        <f t="shared" si="19"/>
        <v>431.97518564325384</v>
      </c>
      <c r="AX265" s="17">
        <f t="shared" si="19"/>
        <v>431.97518564325384</v>
      </c>
      <c r="AY265" s="17">
        <f t="shared" si="19"/>
        <v>431.97518564325384</v>
      </c>
      <c r="AZ265" s="17">
        <f t="shared" si="19"/>
        <v>431.97518564325384</v>
      </c>
      <c r="BA265" s="17">
        <f t="shared" si="19"/>
        <v>431.97518564325384</v>
      </c>
      <c r="BB265" s="17">
        <f t="shared" si="19"/>
        <v>431.97518564325384</v>
      </c>
    </row>
    <row r="266" spans="1:54" x14ac:dyDescent="0.3">
      <c r="A266" t="s">
        <v>17</v>
      </c>
      <c r="B266" s="4">
        <v>22.78484255</v>
      </c>
      <c r="C266" s="4">
        <v>23.755474332000009</v>
      </c>
      <c r="D266" s="4">
        <v>23.208225742</v>
      </c>
      <c r="E266" s="4">
        <v>23.293582388000001</v>
      </c>
      <c r="F266" s="6">
        <f>E266*('Passenger cars EU Ref'!H19/'Passenger cars EU Ref'!G19)</f>
        <v>23.670860666591512</v>
      </c>
      <c r="G266" s="6">
        <f>F266*('Passenger cars EU Ref'!I19/'Passenger cars EU Ref'!H19)</f>
        <v>24.048138945183023</v>
      </c>
      <c r="H266" s="6">
        <f>G266*('Passenger cars EU Ref'!J19/'Passenger cars EU Ref'!I19)</f>
        <v>24.425417223774534</v>
      </c>
      <c r="I266" s="6">
        <f>H266*('Passenger cars EU Ref'!K19/'Passenger cars EU Ref'!J19)</f>
        <v>24.802695502366046</v>
      </c>
      <c r="J266" s="6">
        <f>I266*('Passenger cars EU Ref'!L19/'Passenger cars EU Ref'!K19)</f>
        <v>24.89070178680662</v>
      </c>
      <c r="K266" s="6">
        <f>J266*('Passenger cars EU Ref'!M19/'Passenger cars EU Ref'!L19)</f>
        <v>24.978708071247194</v>
      </c>
      <c r="L266" s="6">
        <f>K266*('Passenger cars EU Ref'!N19/'Passenger cars EU Ref'!M19)</f>
        <v>25.066714355687772</v>
      </c>
      <c r="M266" s="6">
        <f>L266*('Passenger cars EU Ref'!O19/'Passenger cars EU Ref'!N19)</f>
        <v>25.15472064012835</v>
      </c>
      <c r="N266" s="6">
        <f>M266*('Passenger cars EU Ref'!P19/'Passenger cars EU Ref'!O19)</f>
        <v>25.242726924568927</v>
      </c>
      <c r="O266" s="6">
        <f>N266*('Passenger cars EU Ref'!Q19/'Passenger cars EU Ref'!P19)</f>
        <v>25.495128582178932</v>
      </c>
      <c r="P266" s="6">
        <f>O266*('Passenger cars EU Ref'!R19/'Passenger cars EU Ref'!Q19)</f>
        <v>25.747530239788933</v>
      </c>
      <c r="Q266" s="6">
        <f>P266*('Passenger cars EU Ref'!S19/'Passenger cars EU Ref'!R19)</f>
        <v>25.999931897398938</v>
      </c>
      <c r="R266" s="6">
        <f>Q266*('Passenger cars EU Ref'!T19/'Passenger cars EU Ref'!S19)</f>
        <v>26.252333555008939</v>
      </c>
      <c r="S266" s="6">
        <f>R266*('Passenger cars EU Ref'!U19/'Passenger cars EU Ref'!T19)</f>
        <v>26.504735212618936</v>
      </c>
      <c r="T266" s="6">
        <f>S266*('Passenger cars EU Ref'!V19/'Passenger cars EU Ref'!U19)</f>
        <v>26.723923694500236</v>
      </c>
      <c r="U266" s="6">
        <f>T266*('Passenger cars EU Ref'!W19/'Passenger cars EU Ref'!V19)</f>
        <v>26.943112176381536</v>
      </c>
      <c r="V266" s="6">
        <f>U266*('Passenger cars EU Ref'!X19/'Passenger cars EU Ref'!W19)</f>
        <v>27.162300658262836</v>
      </c>
      <c r="W266" s="6">
        <f>V266*('Passenger cars EU Ref'!Y19/'Passenger cars EU Ref'!X19)</f>
        <v>27.381489140144136</v>
      </c>
      <c r="X266" s="6">
        <f>W266*('Passenger cars EU Ref'!Z19/'Passenger cars EU Ref'!Y19)</f>
        <v>27.600677622025437</v>
      </c>
      <c r="Y266" s="6">
        <f>X266*('Passenger cars EU Ref'!AA19/'Passenger cars EU Ref'!Z19)</f>
        <v>27.677827805600103</v>
      </c>
      <c r="Z266" s="6">
        <f>Y266*('Passenger cars EU Ref'!AB19/'Passenger cars EU Ref'!AA19)</f>
        <v>27.754977989174769</v>
      </c>
      <c r="AA266" s="6">
        <f>Z266*('Passenger cars EU Ref'!AC19/'Passenger cars EU Ref'!AB19)</f>
        <v>27.832128172749432</v>
      </c>
      <c r="AB266" s="6">
        <f>AA266*('Passenger cars EU Ref'!AD19/'Passenger cars EU Ref'!AC19)</f>
        <v>27.909278356324098</v>
      </c>
      <c r="AC266" s="6">
        <f>AB266*('Passenger cars EU Ref'!AE19/'Passenger cars EU Ref'!AD19)</f>
        <v>27.986428539898764</v>
      </c>
      <c r="AD266" s="6">
        <f>AC266*('Passenger cars EU Ref'!AF19/'Passenger cars EU Ref'!AE19)</f>
        <v>28.095426732090328</v>
      </c>
      <c r="AE266" s="6">
        <f>AD266*('Passenger cars EU Ref'!AG19/'Passenger cars EU Ref'!AF19)</f>
        <v>28.204424924281895</v>
      </c>
      <c r="AF266" s="6">
        <f>AE266*('Passenger cars EU Ref'!AH19/'Passenger cars EU Ref'!AG19)</f>
        <v>28.313423116473459</v>
      </c>
      <c r="AG266" s="6">
        <f>AF266*('Passenger cars EU Ref'!AI19/'Passenger cars EU Ref'!AH19)</f>
        <v>28.422421308665026</v>
      </c>
      <c r="AH266" s="6">
        <f>AG266*('Passenger cars EU Ref'!AJ19/'Passenger cars EU Ref'!AI19)</f>
        <v>28.531419500856593</v>
      </c>
      <c r="AI266" s="17">
        <f t="shared" ref="AI266:BB266" si="20">AH266</f>
        <v>28.531419500856593</v>
      </c>
      <c r="AJ266" s="17">
        <f t="shared" si="20"/>
        <v>28.531419500856593</v>
      </c>
      <c r="AK266" s="17">
        <f t="shared" si="20"/>
        <v>28.531419500856593</v>
      </c>
      <c r="AL266" s="17">
        <f t="shared" si="20"/>
        <v>28.531419500856593</v>
      </c>
      <c r="AM266" s="17">
        <f t="shared" si="20"/>
        <v>28.531419500856593</v>
      </c>
      <c r="AN266" s="17">
        <f t="shared" si="20"/>
        <v>28.531419500856593</v>
      </c>
      <c r="AO266" s="17">
        <f t="shared" si="20"/>
        <v>28.531419500856593</v>
      </c>
      <c r="AP266" s="17">
        <f t="shared" si="20"/>
        <v>28.531419500856593</v>
      </c>
      <c r="AQ266" s="17">
        <f t="shared" si="20"/>
        <v>28.531419500856593</v>
      </c>
      <c r="AR266" s="17">
        <f t="shared" si="20"/>
        <v>28.531419500856593</v>
      </c>
      <c r="AS266" s="17">
        <f t="shared" si="20"/>
        <v>28.531419500856593</v>
      </c>
      <c r="AT266" s="17">
        <f t="shared" si="20"/>
        <v>28.531419500856593</v>
      </c>
      <c r="AU266" s="17">
        <f t="shared" si="20"/>
        <v>28.531419500856593</v>
      </c>
      <c r="AV266" s="17">
        <f t="shared" si="20"/>
        <v>28.531419500856593</v>
      </c>
      <c r="AW266" s="17">
        <f t="shared" si="20"/>
        <v>28.531419500856593</v>
      </c>
      <c r="AX266" s="17">
        <f t="shared" si="20"/>
        <v>28.531419500856593</v>
      </c>
      <c r="AY266" s="17">
        <f t="shared" si="20"/>
        <v>28.531419500856593</v>
      </c>
      <c r="AZ266" s="17">
        <f t="shared" si="20"/>
        <v>28.531419500856593</v>
      </c>
      <c r="BA266" s="17">
        <f t="shared" si="20"/>
        <v>28.531419500856593</v>
      </c>
      <c r="BB266" s="17">
        <f t="shared" si="20"/>
        <v>28.531419500856593</v>
      </c>
    </row>
    <row r="267" spans="1:54" x14ac:dyDescent="0.3">
      <c r="A267" t="s">
        <v>18</v>
      </c>
      <c r="B267" s="4">
        <v>6.2996319090000004</v>
      </c>
      <c r="C267" s="4">
        <v>6.5041764310000003</v>
      </c>
      <c r="D267" s="4">
        <v>6.1465214799999996</v>
      </c>
      <c r="E267" s="4">
        <v>6.349578822999999</v>
      </c>
      <c r="F267" s="6">
        <f>E267*('Passenger cars EU Ref'!H20/'Passenger cars EU Ref'!G20)</f>
        <v>6.5256811823031153</v>
      </c>
      <c r="G267" s="6">
        <f>F267*('Passenger cars EU Ref'!I20/'Passenger cars EU Ref'!H20)</f>
        <v>6.7017835416062308</v>
      </c>
      <c r="H267" s="6">
        <f>G267*('Passenger cars EU Ref'!J20/'Passenger cars EU Ref'!I20)</f>
        <v>6.8778859009093463</v>
      </c>
      <c r="I267" s="6">
        <f>H267*('Passenger cars EU Ref'!K20/'Passenger cars EU Ref'!J20)</f>
        <v>7.0539882602124617</v>
      </c>
      <c r="J267" s="6">
        <f>I267*('Passenger cars EU Ref'!L20/'Passenger cars EU Ref'!K20)</f>
        <v>7.1627834758052416</v>
      </c>
      <c r="K267" s="6">
        <f>J267*('Passenger cars EU Ref'!M20/'Passenger cars EU Ref'!L20)</f>
        <v>7.2715786913980196</v>
      </c>
      <c r="L267" s="6">
        <f>K267*('Passenger cars EU Ref'!N20/'Passenger cars EU Ref'!M20)</f>
        <v>7.3803739069907985</v>
      </c>
      <c r="M267" s="6">
        <f>L267*('Passenger cars EU Ref'!O20/'Passenger cars EU Ref'!N20)</f>
        <v>7.4891691225835784</v>
      </c>
      <c r="N267" s="6">
        <f>M267*('Passenger cars EU Ref'!P20/'Passenger cars EU Ref'!O20)</f>
        <v>7.5979643381763591</v>
      </c>
      <c r="O267" s="6">
        <f>N267*('Passenger cars EU Ref'!Q20/'Passenger cars EU Ref'!P20)</f>
        <v>7.7037444781133546</v>
      </c>
      <c r="P267" s="6">
        <f>O267*('Passenger cars EU Ref'!R20/'Passenger cars EU Ref'!Q20)</f>
        <v>7.809524618050351</v>
      </c>
      <c r="Q267" s="6">
        <f>P267*('Passenger cars EU Ref'!S20/'Passenger cars EU Ref'!R20)</f>
        <v>7.9153047579873475</v>
      </c>
      <c r="R267" s="6">
        <f>Q267*('Passenger cars EU Ref'!T20/'Passenger cars EU Ref'!S20)</f>
        <v>8.0210848979243448</v>
      </c>
      <c r="S267" s="6">
        <f>R267*('Passenger cars EU Ref'!U20/'Passenger cars EU Ref'!T20)</f>
        <v>8.1268650378613412</v>
      </c>
      <c r="T267" s="6">
        <f>S267*('Passenger cars EU Ref'!V20/'Passenger cars EU Ref'!U20)</f>
        <v>8.2252929832896449</v>
      </c>
      <c r="U267" s="6">
        <f>T267*('Passenger cars EU Ref'!W20/'Passenger cars EU Ref'!V20)</f>
        <v>8.3237209287179503</v>
      </c>
      <c r="V267" s="6">
        <f>U267*('Passenger cars EU Ref'!X20/'Passenger cars EU Ref'!W20)</f>
        <v>8.422148874146254</v>
      </c>
      <c r="W267" s="6">
        <f>V267*('Passenger cars EU Ref'!Y20/'Passenger cars EU Ref'!X20)</f>
        <v>8.5205768195745577</v>
      </c>
      <c r="X267" s="6">
        <f>W267*('Passenger cars EU Ref'!Z20/'Passenger cars EU Ref'!Y20)</f>
        <v>8.6190047650028596</v>
      </c>
      <c r="Y267" s="6">
        <f>X267*('Passenger cars EU Ref'!AA20/'Passenger cars EU Ref'!Z20)</f>
        <v>8.6901532562805865</v>
      </c>
      <c r="Z267" s="6">
        <f>Y267*('Passenger cars EU Ref'!AB20/'Passenger cars EU Ref'!AA20)</f>
        <v>8.7613017475583135</v>
      </c>
      <c r="AA267" s="6">
        <f>Z267*('Passenger cars EU Ref'!AC20/'Passenger cars EU Ref'!AB20)</f>
        <v>8.8324502388360386</v>
      </c>
      <c r="AB267" s="6">
        <f>AA267*('Passenger cars EU Ref'!AD20/'Passenger cars EU Ref'!AC20)</f>
        <v>8.9035987301137656</v>
      </c>
      <c r="AC267" s="6">
        <f>AB267*('Passenger cars EU Ref'!AE20/'Passenger cars EU Ref'!AD20)</f>
        <v>8.9747472213914961</v>
      </c>
      <c r="AD267" s="6">
        <f>AC267*('Passenger cars EU Ref'!AF20/'Passenger cars EU Ref'!AE20)</f>
        <v>9.0479715890085686</v>
      </c>
      <c r="AE267" s="6">
        <f>AD267*('Passenger cars EU Ref'!AG20/'Passenger cars EU Ref'!AF20)</f>
        <v>9.1211959566256411</v>
      </c>
      <c r="AF267" s="6">
        <f>AE267*('Passenger cars EU Ref'!AH20/'Passenger cars EU Ref'!AG20)</f>
        <v>9.1944203242427118</v>
      </c>
      <c r="AG267" s="6">
        <f>AF267*('Passenger cars EU Ref'!AI20/'Passenger cars EU Ref'!AH20)</f>
        <v>9.2676446918597843</v>
      </c>
      <c r="AH267" s="6">
        <f>AG267*('Passenger cars EU Ref'!AJ20/'Passenger cars EU Ref'!AI20)</f>
        <v>9.3408690594768551</v>
      </c>
      <c r="AI267" s="17">
        <f t="shared" ref="AI267:BB267" si="21">AH267</f>
        <v>9.3408690594768551</v>
      </c>
      <c r="AJ267" s="17">
        <f t="shared" si="21"/>
        <v>9.3408690594768551</v>
      </c>
      <c r="AK267" s="17">
        <f t="shared" si="21"/>
        <v>9.3408690594768551</v>
      </c>
      <c r="AL267" s="17">
        <f t="shared" si="21"/>
        <v>9.3408690594768551</v>
      </c>
      <c r="AM267" s="17">
        <f t="shared" si="21"/>
        <v>9.3408690594768551</v>
      </c>
      <c r="AN267" s="17">
        <f t="shared" si="21"/>
        <v>9.3408690594768551</v>
      </c>
      <c r="AO267" s="17">
        <f t="shared" si="21"/>
        <v>9.3408690594768551</v>
      </c>
      <c r="AP267" s="17">
        <f t="shared" si="21"/>
        <v>9.3408690594768551</v>
      </c>
      <c r="AQ267" s="17">
        <f t="shared" si="21"/>
        <v>9.3408690594768551</v>
      </c>
      <c r="AR267" s="17">
        <f t="shared" si="21"/>
        <v>9.3408690594768551</v>
      </c>
      <c r="AS267" s="17">
        <f t="shared" si="21"/>
        <v>9.3408690594768551</v>
      </c>
      <c r="AT267" s="17">
        <f t="shared" si="21"/>
        <v>9.3408690594768551</v>
      </c>
      <c r="AU267" s="17">
        <f t="shared" si="21"/>
        <v>9.3408690594768551</v>
      </c>
      <c r="AV267" s="17">
        <f t="shared" si="21"/>
        <v>9.3408690594768551</v>
      </c>
      <c r="AW267" s="17">
        <f t="shared" si="21"/>
        <v>9.3408690594768551</v>
      </c>
      <c r="AX267" s="17">
        <f t="shared" si="21"/>
        <v>9.3408690594768551</v>
      </c>
      <c r="AY267" s="17">
        <f t="shared" si="21"/>
        <v>9.3408690594768551</v>
      </c>
      <c r="AZ267" s="17">
        <f t="shared" si="21"/>
        <v>9.3408690594768551</v>
      </c>
      <c r="BA267" s="17">
        <f t="shared" si="21"/>
        <v>9.3408690594768551</v>
      </c>
      <c r="BB267" s="17">
        <f t="shared" si="21"/>
        <v>9.3408690594768551</v>
      </c>
    </row>
    <row r="268" spans="1:54" x14ac:dyDescent="0.3">
      <c r="A268" t="s">
        <v>16</v>
      </c>
      <c r="B268" s="4">
        <v>9.5415190380000006</v>
      </c>
      <c r="C268" s="4">
        <v>10.175259999000001</v>
      </c>
      <c r="D268" s="4">
        <v>9.945720734</v>
      </c>
      <c r="E268" s="4">
        <v>10.462403664</v>
      </c>
      <c r="F268" s="6">
        <f>E268*('Passenger cars EU Ref'!H21/'Passenger cars EU Ref'!G21)</f>
        <v>10.596460857317417</v>
      </c>
      <c r="G268" s="6">
        <f>F268*('Passenger cars EU Ref'!I21/'Passenger cars EU Ref'!H21)</f>
        <v>10.730518050634837</v>
      </c>
      <c r="H268" s="6">
        <f>G268*('Passenger cars EU Ref'!J21/'Passenger cars EU Ref'!I21)</f>
        <v>10.864575243952254</v>
      </c>
      <c r="I268" s="6">
        <f>H268*('Passenger cars EU Ref'!K21/'Passenger cars EU Ref'!J21)</f>
        <v>10.998632437269675</v>
      </c>
      <c r="J268" s="6">
        <f>I268*('Passenger cars EU Ref'!L21/'Passenger cars EU Ref'!K21)</f>
        <v>11.080744605202199</v>
      </c>
      <c r="K268" s="6">
        <f>J268*('Passenger cars EU Ref'!M21/'Passenger cars EU Ref'!L21)</f>
        <v>11.162856773134724</v>
      </c>
      <c r="L268" s="6">
        <f>K268*('Passenger cars EU Ref'!N21/'Passenger cars EU Ref'!M21)</f>
        <v>11.244968941067247</v>
      </c>
      <c r="M268" s="6">
        <f>L268*('Passenger cars EU Ref'!O21/'Passenger cars EU Ref'!N21)</f>
        <v>11.327081108999772</v>
      </c>
      <c r="N268" s="6">
        <f>M268*('Passenger cars EU Ref'!P21/'Passenger cars EU Ref'!O21)</f>
        <v>11.409193276932296</v>
      </c>
      <c r="O268" s="6">
        <f>N268*('Passenger cars EU Ref'!Q21/'Passenger cars EU Ref'!P21)</f>
        <v>11.440976453103584</v>
      </c>
      <c r="P268" s="6">
        <f>O268*('Passenger cars EU Ref'!R21/'Passenger cars EU Ref'!Q21)</f>
        <v>11.472759629274872</v>
      </c>
      <c r="Q268" s="6">
        <f>P268*('Passenger cars EU Ref'!S21/'Passenger cars EU Ref'!R21)</f>
        <v>11.50454280544616</v>
      </c>
      <c r="R268" s="6">
        <f>Q268*('Passenger cars EU Ref'!T21/'Passenger cars EU Ref'!S21)</f>
        <v>11.536325981617448</v>
      </c>
      <c r="S268" s="6">
        <f>R268*('Passenger cars EU Ref'!U21/'Passenger cars EU Ref'!T21)</f>
        <v>11.568109157788738</v>
      </c>
      <c r="T268" s="6">
        <f>S268*('Passenger cars EU Ref'!V21/'Passenger cars EU Ref'!U21)</f>
        <v>11.621890804157156</v>
      </c>
      <c r="U268" s="6">
        <f>T268*('Passenger cars EU Ref'!W21/'Passenger cars EU Ref'!V21)</f>
        <v>11.675672450525575</v>
      </c>
      <c r="V268" s="6">
        <f>U268*('Passenger cars EU Ref'!X21/'Passenger cars EU Ref'!W21)</f>
        <v>11.729454096893994</v>
      </c>
      <c r="W268" s="6">
        <f>V268*('Passenger cars EU Ref'!Y21/'Passenger cars EU Ref'!X21)</f>
        <v>11.783235743262413</v>
      </c>
      <c r="X268" s="6">
        <f>W268*('Passenger cars EU Ref'!Z21/'Passenger cars EU Ref'!Y21)</f>
        <v>11.83701738963083</v>
      </c>
      <c r="Y268" s="6">
        <f>X268*('Passenger cars EU Ref'!AA21/'Passenger cars EU Ref'!Z21)</f>
        <v>11.868041012744765</v>
      </c>
      <c r="Z268" s="6">
        <f>Y268*('Passenger cars EU Ref'!AB21/'Passenger cars EU Ref'!AA21)</f>
        <v>11.8990646358587</v>
      </c>
      <c r="AA268" s="6">
        <f>Z268*('Passenger cars EU Ref'!AC21/'Passenger cars EU Ref'!AB21)</f>
        <v>11.930088258972635</v>
      </c>
      <c r="AB268" s="6">
        <f>AA268*('Passenger cars EU Ref'!AD21/'Passenger cars EU Ref'!AC21)</f>
        <v>11.96111188208657</v>
      </c>
      <c r="AC268" s="6">
        <f>AB268*('Passenger cars EU Ref'!AE21/'Passenger cars EU Ref'!AD21)</f>
        <v>11.992135505200499</v>
      </c>
      <c r="AD268" s="6">
        <f>AC268*('Passenger cars EU Ref'!AF21/'Passenger cars EU Ref'!AE21)</f>
        <v>12.021930861515504</v>
      </c>
      <c r="AE268" s="6">
        <f>AD268*('Passenger cars EU Ref'!AG21/'Passenger cars EU Ref'!AF21)</f>
        <v>12.051726217830506</v>
      </c>
      <c r="AF268" s="6">
        <f>AE268*('Passenger cars EU Ref'!AH21/'Passenger cars EU Ref'!AG21)</f>
        <v>12.08152157414551</v>
      </c>
      <c r="AG268" s="6">
        <f>AF268*('Passenger cars EU Ref'!AI21/'Passenger cars EU Ref'!AH21)</f>
        <v>12.111316930460513</v>
      </c>
      <c r="AH268" s="6">
        <f>AG268*('Passenger cars EU Ref'!AJ21/'Passenger cars EU Ref'!AI21)</f>
        <v>12.141112286775511</v>
      </c>
      <c r="AI268" s="17">
        <f t="shared" ref="AI268:BB268" si="22">AH268</f>
        <v>12.141112286775511</v>
      </c>
      <c r="AJ268" s="17">
        <f t="shared" si="22"/>
        <v>12.141112286775511</v>
      </c>
      <c r="AK268" s="17">
        <f t="shared" si="22"/>
        <v>12.141112286775511</v>
      </c>
      <c r="AL268" s="17">
        <f t="shared" si="22"/>
        <v>12.141112286775511</v>
      </c>
      <c r="AM268" s="17">
        <f t="shared" si="22"/>
        <v>12.141112286775511</v>
      </c>
      <c r="AN268" s="17">
        <f t="shared" si="22"/>
        <v>12.141112286775511</v>
      </c>
      <c r="AO268" s="17">
        <f t="shared" si="22"/>
        <v>12.141112286775511</v>
      </c>
      <c r="AP268" s="17">
        <f t="shared" si="22"/>
        <v>12.141112286775511</v>
      </c>
      <c r="AQ268" s="17">
        <f t="shared" si="22"/>
        <v>12.141112286775511</v>
      </c>
      <c r="AR268" s="17">
        <f t="shared" si="22"/>
        <v>12.141112286775511</v>
      </c>
      <c r="AS268" s="17">
        <f t="shared" si="22"/>
        <v>12.141112286775511</v>
      </c>
      <c r="AT268" s="17">
        <f t="shared" si="22"/>
        <v>12.141112286775511</v>
      </c>
      <c r="AU268" s="17">
        <f t="shared" si="22"/>
        <v>12.141112286775511</v>
      </c>
      <c r="AV268" s="17">
        <f t="shared" si="22"/>
        <v>12.141112286775511</v>
      </c>
      <c r="AW268" s="17">
        <f t="shared" si="22"/>
        <v>12.141112286775511</v>
      </c>
      <c r="AX268" s="17">
        <f t="shared" si="22"/>
        <v>12.141112286775511</v>
      </c>
      <c r="AY268" s="17">
        <f t="shared" si="22"/>
        <v>12.141112286775511</v>
      </c>
      <c r="AZ268" s="17">
        <f t="shared" si="22"/>
        <v>12.141112286775511</v>
      </c>
      <c r="BA268" s="17">
        <f t="shared" si="22"/>
        <v>12.141112286775511</v>
      </c>
      <c r="BB268" s="17">
        <f t="shared" si="22"/>
        <v>12.141112286775511</v>
      </c>
    </row>
    <row r="269" spans="1:54" x14ac:dyDescent="0.3">
      <c r="A269" t="s">
        <v>20</v>
      </c>
      <c r="B269" s="4">
        <v>2.3959499999999996</v>
      </c>
      <c r="C269" s="4">
        <v>2.4083900000000003</v>
      </c>
      <c r="D269" s="4">
        <v>2.161319663</v>
      </c>
      <c r="E269" s="4">
        <v>2.2903100010000004</v>
      </c>
      <c r="F269" s="6">
        <f>E269*('Passenger cars EU Ref'!H22/'Passenger cars EU Ref'!G22)</f>
        <v>2.4380854310990481</v>
      </c>
      <c r="G269" s="6">
        <f>F269*('Passenger cars EU Ref'!I22/'Passenger cars EU Ref'!H22)</f>
        <v>2.5858608611980958</v>
      </c>
      <c r="H269" s="6">
        <f>G269*('Passenger cars EU Ref'!J22/'Passenger cars EU Ref'!I22)</f>
        <v>2.7336362912971435</v>
      </c>
      <c r="I269" s="6">
        <f>H269*('Passenger cars EU Ref'!K22/'Passenger cars EU Ref'!J22)</f>
        <v>2.8814117213961907</v>
      </c>
      <c r="J269" s="6">
        <f>I269*('Passenger cars EU Ref'!L22/'Passenger cars EU Ref'!K22)</f>
        <v>2.9780545580279054</v>
      </c>
      <c r="K269" s="6">
        <f>J269*('Passenger cars EU Ref'!M22/'Passenger cars EU Ref'!L22)</f>
        <v>3.0746973946596201</v>
      </c>
      <c r="L269" s="6">
        <f>K269*('Passenger cars EU Ref'!N22/'Passenger cars EU Ref'!M22)</f>
        <v>3.1713402312913348</v>
      </c>
      <c r="M269" s="6">
        <f>L269*('Passenger cars EU Ref'!O22/'Passenger cars EU Ref'!N22)</f>
        <v>3.2679830679230499</v>
      </c>
      <c r="N269" s="6">
        <f>M269*('Passenger cars EU Ref'!P22/'Passenger cars EU Ref'!O22)</f>
        <v>3.3646259045547655</v>
      </c>
      <c r="O269" s="6">
        <f>N269*('Passenger cars EU Ref'!Q22/'Passenger cars EU Ref'!P22)</f>
        <v>3.4139915332145754</v>
      </c>
      <c r="P269" s="6">
        <f>O269*('Passenger cars EU Ref'!R22/'Passenger cars EU Ref'!Q22)</f>
        <v>3.4633571618743852</v>
      </c>
      <c r="Q269" s="6">
        <f>P269*('Passenger cars EU Ref'!S22/'Passenger cars EU Ref'!R22)</f>
        <v>3.5127227905341956</v>
      </c>
      <c r="R269" s="6">
        <f>Q269*('Passenger cars EU Ref'!T22/'Passenger cars EU Ref'!S22)</f>
        <v>3.5620884191940054</v>
      </c>
      <c r="S269" s="6">
        <f>R269*('Passenger cars EU Ref'!U22/'Passenger cars EU Ref'!T22)</f>
        <v>3.6114540478538153</v>
      </c>
      <c r="T269" s="6">
        <f>S269*('Passenger cars EU Ref'!V22/'Passenger cars EU Ref'!U22)</f>
        <v>3.6524662340560954</v>
      </c>
      <c r="U269" s="6">
        <f>T269*('Passenger cars EU Ref'!W22/'Passenger cars EU Ref'!V22)</f>
        <v>3.6934784202583759</v>
      </c>
      <c r="V269" s="6">
        <f>U269*('Passenger cars EU Ref'!X22/'Passenger cars EU Ref'!W22)</f>
        <v>3.734490606460656</v>
      </c>
      <c r="W269" s="6">
        <f>V269*('Passenger cars EU Ref'!Y22/'Passenger cars EU Ref'!X22)</f>
        <v>3.7755027926629365</v>
      </c>
      <c r="X269" s="6">
        <f>W269*('Passenger cars EU Ref'!Z22/'Passenger cars EU Ref'!Y22)</f>
        <v>3.8165149788652171</v>
      </c>
      <c r="Y269" s="6">
        <f>X269*('Passenger cars EU Ref'!AA22/'Passenger cars EU Ref'!Z22)</f>
        <v>3.8419776056835371</v>
      </c>
      <c r="Z269" s="6">
        <f>Y269*('Passenger cars EU Ref'!AB22/'Passenger cars EU Ref'!AA22)</f>
        <v>3.8674402325018571</v>
      </c>
      <c r="AA269" s="6">
        <f>Z269*('Passenger cars EU Ref'!AC22/'Passenger cars EU Ref'!AB22)</f>
        <v>3.8929028593201767</v>
      </c>
      <c r="AB269" s="6">
        <f>AA269*('Passenger cars EU Ref'!AD22/'Passenger cars EU Ref'!AC22)</f>
        <v>3.9183654861384962</v>
      </c>
      <c r="AC269" s="6">
        <f>AB269*('Passenger cars EU Ref'!AE22/'Passenger cars EU Ref'!AD22)</f>
        <v>3.9438281129568162</v>
      </c>
      <c r="AD269" s="6">
        <f>AC269*('Passenger cars EU Ref'!AF22/'Passenger cars EU Ref'!AE22)</f>
        <v>3.9714417182546269</v>
      </c>
      <c r="AE269" s="6">
        <f>AD269*('Passenger cars EU Ref'!AG22/'Passenger cars EU Ref'!AF22)</f>
        <v>3.999055323552438</v>
      </c>
      <c r="AF269" s="6">
        <f>AE269*('Passenger cars EU Ref'!AH22/'Passenger cars EU Ref'!AG22)</f>
        <v>4.0266689288502491</v>
      </c>
      <c r="AG269" s="6">
        <f>AF269*('Passenger cars EU Ref'!AI22/'Passenger cars EU Ref'!AH22)</f>
        <v>4.0542825341480597</v>
      </c>
      <c r="AH269" s="6">
        <f>AG269*('Passenger cars EU Ref'!AJ22/'Passenger cars EU Ref'!AI22)</f>
        <v>4.0818961394458695</v>
      </c>
      <c r="AI269" s="17">
        <f t="shared" ref="AI269:BB269" si="23">AH269</f>
        <v>4.0818961394458695</v>
      </c>
      <c r="AJ269" s="17">
        <f t="shared" si="23"/>
        <v>4.0818961394458695</v>
      </c>
      <c r="AK269" s="17">
        <f t="shared" si="23"/>
        <v>4.0818961394458695</v>
      </c>
      <c r="AL269" s="17">
        <f t="shared" si="23"/>
        <v>4.0818961394458695</v>
      </c>
      <c r="AM269" s="17">
        <f t="shared" si="23"/>
        <v>4.0818961394458695</v>
      </c>
      <c r="AN269" s="17">
        <f t="shared" si="23"/>
        <v>4.0818961394458695</v>
      </c>
      <c r="AO269" s="17">
        <f t="shared" si="23"/>
        <v>4.0818961394458695</v>
      </c>
      <c r="AP269" s="17">
        <f t="shared" si="23"/>
        <v>4.0818961394458695</v>
      </c>
      <c r="AQ269" s="17">
        <f t="shared" si="23"/>
        <v>4.0818961394458695</v>
      </c>
      <c r="AR269" s="17">
        <f t="shared" si="23"/>
        <v>4.0818961394458695</v>
      </c>
      <c r="AS269" s="17">
        <f t="shared" si="23"/>
        <v>4.0818961394458695</v>
      </c>
      <c r="AT269" s="17">
        <f t="shared" si="23"/>
        <v>4.0818961394458695</v>
      </c>
      <c r="AU269" s="17">
        <f t="shared" si="23"/>
        <v>4.0818961394458695</v>
      </c>
      <c r="AV269" s="17">
        <f t="shared" si="23"/>
        <v>4.0818961394458695</v>
      </c>
      <c r="AW269" s="17">
        <f t="shared" si="23"/>
        <v>4.0818961394458695</v>
      </c>
      <c r="AX269" s="17">
        <f t="shared" si="23"/>
        <v>4.0818961394458695</v>
      </c>
      <c r="AY269" s="17">
        <f t="shared" si="23"/>
        <v>4.0818961394458695</v>
      </c>
      <c r="AZ269" s="17">
        <f t="shared" si="23"/>
        <v>4.0818961394458695</v>
      </c>
      <c r="BA269" s="17">
        <f t="shared" si="23"/>
        <v>4.0818961394458695</v>
      </c>
      <c r="BB269" s="17">
        <f t="shared" si="23"/>
        <v>4.0818961394458695</v>
      </c>
    </row>
    <row r="270" spans="1:54" x14ac:dyDescent="0.3">
      <c r="A270" t="s">
        <v>21</v>
      </c>
      <c r="B270" s="4">
        <v>103.58914915200002</v>
      </c>
      <c r="C270" s="4">
        <v>104.357853468</v>
      </c>
      <c r="D270" s="4">
        <v>86.597598489000035</v>
      </c>
      <c r="E270" s="4">
        <v>89.931519938999998</v>
      </c>
      <c r="F270" s="6">
        <f>E270*('Passenger cars EU Ref'!H23/'Passenger cars EU Ref'!G23)</f>
        <v>91.902258228681532</v>
      </c>
      <c r="G270" s="6">
        <f>F270*('Passenger cars EU Ref'!I23/'Passenger cars EU Ref'!H23)</f>
        <v>93.872996518363067</v>
      </c>
      <c r="H270" s="6">
        <f>G270*('Passenger cars EU Ref'!J23/'Passenger cars EU Ref'!I23)</f>
        <v>95.843734808044601</v>
      </c>
      <c r="I270" s="6">
        <f>H270*('Passenger cars EU Ref'!K23/'Passenger cars EU Ref'!J23)</f>
        <v>97.814473097726164</v>
      </c>
      <c r="J270" s="6">
        <f>I270*('Passenger cars EU Ref'!L23/'Passenger cars EU Ref'!K23)</f>
        <v>99.41885566888034</v>
      </c>
      <c r="K270" s="6">
        <f>J270*('Passenger cars EU Ref'!M23/'Passenger cars EU Ref'!L23)</f>
        <v>101.02323824003452</v>
      </c>
      <c r="L270" s="6">
        <f>K270*('Passenger cars EU Ref'!N23/'Passenger cars EU Ref'!M23)</f>
        <v>102.62762081118869</v>
      </c>
      <c r="M270" s="6">
        <f>L270*('Passenger cars EU Ref'!O23/'Passenger cars EU Ref'!N23)</f>
        <v>104.23200338234287</v>
      </c>
      <c r="N270" s="6">
        <f>M270*('Passenger cars EU Ref'!P23/'Passenger cars EU Ref'!O23)</f>
        <v>105.83638595349707</v>
      </c>
      <c r="O270" s="6">
        <f>N270*('Passenger cars EU Ref'!Q23/'Passenger cars EU Ref'!P23)</f>
        <v>105.36118406712065</v>
      </c>
      <c r="P270" s="6">
        <f>O270*('Passenger cars EU Ref'!R23/'Passenger cars EU Ref'!Q23)</f>
        <v>104.88598218074422</v>
      </c>
      <c r="Q270" s="6">
        <f>P270*('Passenger cars EU Ref'!S23/'Passenger cars EU Ref'!R23)</f>
        <v>104.4107802943678</v>
      </c>
      <c r="R270" s="6">
        <f>Q270*('Passenger cars EU Ref'!T23/'Passenger cars EU Ref'!S23)</f>
        <v>103.93557840799137</v>
      </c>
      <c r="S270" s="6">
        <f>R270*('Passenger cars EU Ref'!U23/'Passenger cars EU Ref'!T23)</f>
        <v>103.46037652161498</v>
      </c>
      <c r="T270" s="6">
        <f>S270*('Passenger cars EU Ref'!V23/'Passenger cars EU Ref'!U23)</f>
        <v>103.6639297205484</v>
      </c>
      <c r="U270" s="6">
        <f>T270*('Passenger cars EU Ref'!W23/'Passenger cars EU Ref'!V23)</f>
        <v>103.8674829194818</v>
      </c>
      <c r="V270" s="6">
        <f>U270*('Passenger cars EU Ref'!X23/'Passenger cars EU Ref'!W23)</f>
        <v>104.07103611841522</v>
      </c>
      <c r="W270" s="6">
        <f>V270*('Passenger cars EU Ref'!Y23/'Passenger cars EU Ref'!X23)</f>
        <v>104.27458931734861</v>
      </c>
      <c r="X270" s="6">
        <f>W270*('Passenger cars EU Ref'!Z23/'Passenger cars EU Ref'!Y23)</f>
        <v>104.47814251628203</v>
      </c>
      <c r="Y270" s="6">
        <f>X270*('Passenger cars EU Ref'!AA23/'Passenger cars EU Ref'!Z23)</f>
        <v>104.94620461873244</v>
      </c>
      <c r="Z270" s="6">
        <f>Y270*('Passenger cars EU Ref'!AB23/'Passenger cars EU Ref'!AA23)</f>
        <v>105.41426672118284</v>
      </c>
      <c r="AA270" s="6">
        <f>Z270*('Passenger cars EU Ref'!AC23/'Passenger cars EU Ref'!AB23)</f>
        <v>105.88232882363323</v>
      </c>
      <c r="AB270" s="6">
        <f>AA270*('Passenger cars EU Ref'!AD23/'Passenger cars EU Ref'!AC23)</f>
        <v>106.35039092608363</v>
      </c>
      <c r="AC270" s="6">
        <f>AB270*('Passenger cars EU Ref'!AE23/'Passenger cars EU Ref'!AD23)</f>
        <v>106.81845302853402</v>
      </c>
      <c r="AD270" s="6">
        <f>AC270*('Passenger cars EU Ref'!AF23/'Passenger cars EU Ref'!AE23)</f>
        <v>107.18553452494382</v>
      </c>
      <c r="AE270" s="6">
        <f>AD270*('Passenger cars EU Ref'!AG23/'Passenger cars EU Ref'!AF23)</f>
        <v>107.55261602135361</v>
      </c>
      <c r="AF270" s="6">
        <f>AE270*('Passenger cars EU Ref'!AH23/'Passenger cars EU Ref'!AG23)</f>
        <v>107.91969751776341</v>
      </c>
      <c r="AG270" s="6">
        <f>AF270*('Passenger cars EU Ref'!AI23/'Passenger cars EU Ref'!AH23)</f>
        <v>108.28677901417322</v>
      </c>
      <c r="AH270" s="6">
        <f>AG270*('Passenger cars EU Ref'!AJ23/'Passenger cars EU Ref'!AI23)</f>
        <v>108.65386051058306</v>
      </c>
      <c r="AI270" s="17">
        <f t="shared" ref="AI270:BB270" si="24">AH270</f>
        <v>108.65386051058306</v>
      </c>
      <c r="AJ270" s="17">
        <f t="shared" si="24"/>
        <v>108.65386051058306</v>
      </c>
      <c r="AK270" s="17">
        <f t="shared" si="24"/>
        <v>108.65386051058306</v>
      </c>
      <c r="AL270" s="17">
        <f t="shared" si="24"/>
        <v>108.65386051058306</v>
      </c>
      <c r="AM270" s="17">
        <f t="shared" si="24"/>
        <v>108.65386051058306</v>
      </c>
      <c r="AN270" s="17">
        <f t="shared" si="24"/>
        <v>108.65386051058306</v>
      </c>
      <c r="AO270" s="17">
        <f t="shared" si="24"/>
        <v>108.65386051058306</v>
      </c>
      <c r="AP270" s="17">
        <f t="shared" si="24"/>
        <v>108.65386051058306</v>
      </c>
      <c r="AQ270" s="17">
        <f t="shared" si="24"/>
        <v>108.65386051058306</v>
      </c>
      <c r="AR270" s="17">
        <f t="shared" si="24"/>
        <v>108.65386051058306</v>
      </c>
      <c r="AS270" s="17">
        <f t="shared" si="24"/>
        <v>108.65386051058306</v>
      </c>
      <c r="AT270" s="17">
        <f t="shared" si="24"/>
        <v>108.65386051058306</v>
      </c>
      <c r="AU270" s="17">
        <f t="shared" si="24"/>
        <v>108.65386051058306</v>
      </c>
      <c r="AV270" s="17">
        <f t="shared" si="24"/>
        <v>108.65386051058306</v>
      </c>
      <c r="AW270" s="17">
        <f t="shared" si="24"/>
        <v>108.65386051058306</v>
      </c>
      <c r="AX270" s="17">
        <f t="shared" si="24"/>
        <v>108.65386051058306</v>
      </c>
      <c r="AY270" s="17">
        <f t="shared" si="24"/>
        <v>108.65386051058306</v>
      </c>
      <c r="AZ270" s="17">
        <f t="shared" si="24"/>
        <v>108.65386051058306</v>
      </c>
      <c r="BA270" s="17">
        <f t="shared" si="24"/>
        <v>108.65386051058306</v>
      </c>
      <c r="BB270" s="17">
        <f t="shared" si="24"/>
        <v>108.65386051058306</v>
      </c>
    </row>
    <row r="271" spans="1:54" x14ac:dyDescent="0.3">
      <c r="A271" t="s">
        <v>22</v>
      </c>
      <c r="B271" s="4">
        <v>170.98972467099998</v>
      </c>
      <c r="C271" s="4">
        <v>176.74127527500002</v>
      </c>
      <c r="D271" s="4">
        <v>179.60815676500002</v>
      </c>
      <c r="E271" s="4">
        <v>178.35745028700003</v>
      </c>
      <c r="F271" s="6">
        <f>E271*('Passenger cars EU Ref'!H24/'Passenger cars EU Ref'!G24)</f>
        <v>186.53216813008763</v>
      </c>
      <c r="G271" s="6">
        <f>F271*('Passenger cars EU Ref'!I24/'Passenger cars EU Ref'!H24)</f>
        <v>194.70688597317525</v>
      </c>
      <c r="H271" s="6">
        <f>G271*('Passenger cars EU Ref'!J24/'Passenger cars EU Ref'!I24)</f>
        <v>202.88160381626287</v>
      </c>
      <c r="I271" s="6">
        <f>H271*('Passenger cars EU Ref'!K24/'Passenger cars EU Ref'!J24)</f>
        <v>211.05632165935049</v>
      </c>
      <c r="J271" s="6">
        <f>I271*('Passenger cars EU Ref'!L24/'Passenger cars EU Ref'!K24)</f>
        <v>218.24470461718036</v>
      </c>
      <c r="K271" s="6">
        <f>J271*('Passenger cars EU Ref'!M24/'Passenger cars EU Ref'!L24)</f>
        <v>225.43308757501023</v>
      </c>
      <c r="L271" s="6">
        <f>K271*('Passenger cars EU Ref'!N24/'Passenger cars EU Ref'!M24)</f>
        <v>232.62147053284014</v>
      </c>
      <c r="M271" s="6">
        <f>L271*('Passenger cars EU Ref'!O24/'Passenger cars EU Ref'!N24)</f>
        <v>239.80985349067004</v>
      </c>
      <c r="N271" s="6">
        <f>M271*('Passenger cars EU Ref'!P24/'Passenger cars EU Ref'!O24)</f>
        <v>246.99823644849991</v>
      </c>
      <c r="O271" s="6">
        <f>N271*('Passenger cars EU Ref'!Q24/'Passenger cars EU Ref'!P24)</f>
        <v>251.45997411758657</v>
      </c>
      <c r="P271" s="6">
        <f>O271*('Passenger cars EU Ref'!R24/'Passenger cars EU Ref'!Q24)</f>
        <v>255.92171178667323</v>
      </c>
      <c r="Q271" s="6">
        <f>P271*('Passenger cars EU Ref'!S24/'Passenger cars EU Ref'!R24)</f>
        <v>260.38344945575983</v>
      </c>
      <c r="R271" s="6">
        <f>Q271*('Passenger cars EU Ref'!T24/'Passenger cars EU Ref'!S24)</f>
        <v>264.84518712484652</v>
      </c>
      <c r="S271" s="6">
        <f>R271*('Passenger cars EU Ref'!U24/'Passenger cars EU Ref'!T24)</f>
        <v>269.30692479393304</v>
      </c>
      <c r="T271" s="6">
        <f>S271*('Passenger cars EU Ref'!V24/'Passenger cars EU Ref'!U24)</f>
        <v>273.56370887529408</v>
      </c>
      <c r="U271" s="6">
        <f>T271*('Passenger cars EU Ref'!W24/'Passenger cars EU Ref'!V24)</f>
        <v>277.82049295665513</v>
      </c>
      <c r="V271" s="6">
        <f>U271*('Passenger cars EU Ref'!X24/'Passenger cars EU Ref'!W24)</f>
        <v>282.07727703801618</v>
      </c>
      <c r="W271" s="6">
        <f>V271*('Passenger cars EU Ref'!Y24/'Passenger cars EU Ref'!X24)</f>
        <v>286.33406111937722</v>
      </c>
      <c r="X271" s="6">
        <f>W271*('Passenger cars EU Ref'!Z24/'Passenger cars EU Ref'!Y24)</f>
        <v>290.59084520073822</v>
      </c>
      <c r="Y271" s="6">
        <f>X271*('Passenger cars EU Ref'!AA24/'Passenger cars EU Ref'!Z24)</f>
        <v>292.69350014902221</v>
      </c>
      <c r="Z271" s="6">
        <f>Y271*('Passenger cars EU Ref'!AB24/'Passenger cars EU Ref'!AA24)</f>
        <v>294.79615509730621</v>
      </c>
      <c r="AA271" s="6">
        <f>Z271*('Passenger cars EU Ref'!AC24/'Passenger cars EU Ref'!AB24)</f>
        <v>296.89881004559021</v>
      </c>
      <c r="AB271" s="6">
        <f>AA271*('Passenger cars EU Ref'!AD24/'Passenger cars EU Ref'!AC24)</f>
        <v>299.00146499387421</v>
      </c>
      <c r="AC271" s="6">
        <f>AB271*('Passenger cars EU Ref'!AE24/'Passenger cars EU Ref'!AD24)</f>
        <v>301.10411994215826</v>
      </c>
      <c r="AD271" s="6">
        <f>AC271*('Passenger cars EU Ref'!AF24/'Passenger cars EU Ref'!AE24)</f>
        <v>303.81983277594725</v>
      </c>
      <c r="AE271" s="6">
        <f>AD271*('Passenger cars EU Ref'!AG24/'Passenger cars EU Ref'!AF24)</f>
        <v>306.53554560973618</v>
      </c>
      <c r="AF271" s="6">
        <f>AE271*('Passenger cars EU Ref'!AH24/'Passenger cars EU Ref'!AG24)</f>
        <v>309.25125844352516</v>
      </c>
      <c r="AG271" s="6">
        <f>AF271*('Passenger cars EU Ref'!AI24/'Passenger cars EU Ref'!AH24)</f>
        <v>311.96697127731414</v>
      </c>
      <c r="AH271" s="6">
        <f>AG271*('Passenger cars EU Ref'!AJ24/'Passenger cars EU Ref'!AI24)</f>
        <v>314.68268411110307</v>
      </c>
      <c r="AI271" s="17">
        <f t="shared" ref="AI271:BB271" si="25">AH271</f>
        <v>314.68268411110307</v>
      </c>
      <c r="AJ271" s="17">
        <f t="shared" si="25"/>
        <v>314.68268411110307</v>
      </c>
      <c r="AK271" s="17">
        <f t="shared" si="25"/>
        <v>314.68268411110307</v>
      </c>
      <c r="AL271" s="17">
        <f t="shared" si="25"/>
        <v>314.68268411110307</v>
      </c>
      <c r="AM271" s="17">
        <f t="shared" si="25"/>
        <v>314.68268411110307</v>
      </c>
      <c r="AN271" s="17">
        <f t="shared" si="25"/>
        <v>314.68268411110307</v>
      </c>
      <c r="AO271" s="17">
        <f t="shared" si="25"/>
        <v>314.68268411110307</v>
      </c>
      <c r="AP271" s="17">
        <f t="shared" si="25"/>
        <v>314.68268411110307</v>
      </c>
      <c r="AQ271" s="17">
        <f t="shared" si="25"/>
        <v>314.68268411110307</v>
      </c>
      <c r="AR271" s="17">
        <f t="shared" si="25"/>
        <v>314.68268411110307</v>
      </c>
      <c r="AS271" s="17">
        <f t="shared" si="25"/>
        <v>314.68268411110307</v>
      </c>
      <c r="AT271" s="17">
        <f t="shared" si="25"/>
        <v>314.68268411110307</v>
      </c>
      <c r="AU271" s="17">
        <f t="shared" si="25"/>
        <v>314.68268411110307</v>
      </c>
      <c r="AV271" s="17">
        <f t="shared" si="25"/>
        <v>314.68268411110307</v>
      </c>
      <c r="AW271" s="17">
        <f t="shared" si="25"/>
        <v>314.68268411110307</v>
      </c>
      <c r="AX271" s="17">
        <f t="shared" si="25"/>
        <v>314.68268411110307</v>
      </c>
      <c r="AY271" s="17">
        <f t="shared" si="25"/>
        <v>314.68268411110307</v>
      </c>
      <c r="AZ271" s="17">
        <f t="shared" si="25"/>
        <v>314.68268411110307</v>
      </c>
      <c r="BA271" s="17">
        <f t="shared" si="25"/>
        <v>314.68268411110307</v>
      </c>
      <c r="BB271" s="17">
        <f t="shared" si="25"/>
        <v>314.68268411110307</v>
      </c>
    </row>
    <row r="272" spans="1:54" x14ac:dyDescent="0.3">
      <c r="A272" t="s">
        <v>23</v>
      </c>
      <c r="B272" s="4">
        <v>64.904568531999999</v>
      </c>
      <c r="C272" s="4">
        <v>66.569351874999995</v>
      </c>
      <c r="D272" s="4">
        <v>58.353135913999999</v>
      </c>
      <c r="E272" s="4">
        <v>61.397785577000001</v>
      </c>
      <c r="F272" s="6">
        <f>E272*('Passenger cars EU Ref'!H25/'Passenger cars EU Ref'!G25)</f>
        <v>64.953044354106879</v>
      </c>
      <c r="G272" s="6">
        <f>F272*('Passenger cars EU Ref'!I25/'Passenger cars EU Ref'!H25)</f>
        <v>68.508303131213751</v>
      </c>
      <c r="H272" s="6">
        <f>G272*('Passenger cars EU Ref'!J25/'Passenger cars EU Ref'!I25)</f>
        <v>72.063561908320622</v>
      </c>
      <c r="I272" s="6">
        <f>H272*('Passenger cars EU Ref'!K25/'Passenger cars EU Ref'!J25)</f>
        <v>75.618820685427465</v>
      </c>
      <c r="J272" s="6">
        <f>I272*('Passenger cars EU Ref'!L25/'Passenger cars EU Ref'!K25)</f>
        <v>76.123806418718914</v>
      </c>
      <c r="K272" s="6">
        <f>J272*('Passenger cars EU Ref'!M25/'Passenger cars EU Ref'!L25)</f>
        <v>76.628792152010362</v>
      </c>
      <c r="L272" s="6">
        <f>K272*('Passenger cars EU Ref'!N25/'Passenger cars EU Ref'!M25)</f>
        <v>77.133777885301825</v>
      </c>
      <c r="M272" s="6">
        <f>L272*('Passenger cars EU Ref'!O25/'Passenger cars EU Ref'!N25)</f>
        <v>77.638763618593288</v>
      </c>
      <c r="N272" s="6">
        <f>M272*('Passenger cars EU Ref'!P25/'Passenger cars EU Ref'!O25)</f>
        <v>78.143749351884722</v>
      </c>
      <c r="O272" s="6">
        <f>N272*('Passenger cars EU Ref'!Q25/'Passenger cars EU Ref'!P25)</f>
        <v>78.774023176010601</v>
      </c>
      <c r="P272" s="6">
        <f>O272*('Passenger cars EU Ref'!R25/'Passenger cars EU Ref'!Q25)</f>
        <v>79.404297000136481</v>
      </c>
      <c r="Q272" s="6">
        <f>P272*('Passenger cars EU Ref'!S25/'Passenger cars EU Ref'!R25)</f>
        <v>80.03457082426236</v>
      </c>
      <c r="R272" s="6">
        <f>Q272*('Passenger cars EU Ref'!T25/'Passenger cars EU Ref'!S25)</f>
        <v>80.66484464838824</v>
      </c>
      <c r="S272" s="6">
        <f>R272*('Passenger cars EU Ref'!U25/'Passenger cars EU Ref'!T25)</f>
        <v>81.295118472514147</v>
      </c>
      <c r="T272" s="6">
        <f>S272*('Passenger cars EU Ref'!V25/'Passenger cars EU Ref'!U25)</f>
        <v>81.580593782976024</v>
      </c>
      <c r="U272" s="6">
        <f>T272*('Passenger cars EU Ref'!W25/'Passenger cars EU Ref'!V25)</f>
        <v>81.866069093437901</v>
      </c>
      <c r="V272" s="6">
        <f>U272*('Passenger cars EU Ref'!X25/'Passenger cars EU Ref'!W25)</f>
        <v>82.151544403899763</v>
      </c>
      <c r="W272" s="6">
        <f>V272*('Passenger cars EU Ref'!Y25/'Passenger cars EU Ref'!X25)</f>
        <v>82.437019714361625</v>
      </c>
      <c r="X272" s="6">
        <f>W272*('Passenger cars EU Ref'!Z25/'Passenger cars EU Ref'!Y25)</f>
        <v>82.72249502482353</v>
      </c>
      <c r="Y272" s="6">
        <f>X272*('Passenger cars EU Ref'!AA25/'Passenger cars EU Ref'!Z25)</f>
        <v>83.32094059700556</v>
      </c>
      <c r="Z272" s="6">
        <f>Y272*('Passenger cars EU Ref'!AB25/'Passenger cars EU Ref'!AA25)</f>
        <v>83.91938616918759</v>
      </c>
      <c r="AA272" s="6">
        <f>Z272*('Passenger cars EU Ref'!AC25/'Passenger cars EU Ref'!AB25)</f>
        <v>84.517831741369633</v>
      </c>
      <c r="AB272" s="6">
        <f>AA272*('Passenger cars EU Ref'!AD25/'Passenger cars EU Ref'!AC25)</f>
        <v>85.116277313551663</v>
      </c>
      <c r="AC272" s="6">
        <f>AB272*('Passenger cars EU Ref'!AE25/'Passenger cars EU Ref'!AD25)</f>
        <v>85.714722885733693</v>
      </c>
      <c r="AD272" s="6">
        <f>AC272*('Passenger cars EU Ref'!AF25/'Passenger cars EU Ref'!AE25)</f>
        <v>86.313897730238168</v>
      </c>
      <c r="AE272" s="6">
        <f>AD272*('Passenger cars EU Ref'!AG25/'Passenger cars EU Ref'!AF25)</f>
        <v>86.913072574742628</v>
      </c>
      <c r="AF272" s="6">
        <f>AE272*('Passenger cars EU Ref'!AH25/'Passenger cars EU Ref'!AG25)</f>
        <v>87.512247419247089</v>
      </c>
      <c r="AG272" s="6">
        <f>AF272*('Passenger cars EU Ref'!AI25/'Passenger cars EU Ref'!AH25)</f>
        <v>88.11142226375155</v>
      </c>
      <c r="AH272" s="6">
        <f>AG272*('Passenger cars EU Ref'!AJ25/'Passenger cars EU Ref'!AI25)</f>
        <v>88.710597108255996</v>
      </c>
      <c r="AI272" s="17">
        <f t="shared" ref="AI272:BB272" si="26">AH272</f>
        <v>88.710597108255996</v>
      </c>
      <c r="AJ272" s="17">
        <f t="shared" si="26"/>
        <v>88.710597108255996</v>
      </c>
      <c r="AK272" s="17">
        <f t="shared" si="26"/>
        <v>88.710597108255996</v>
      </c>
      <c r="AL272" s="17">
        <f t="shared" si="26"/>
        <v>88.710597108255996</v>
      </c>
      <c r="AM272" s="17">
        <f t="shared" si="26"/>
        <v>88.710597108255996</v>
      </c>
      <c r="AN272" s="17">
        <f t="shared" si="26"/>
        <v>88.710597108255996</v>
      </c>
      <c r="AO272" s="17">
        <f t="shared" si="26"/>
        <v>88.710597108255996</v>
      </c>
      <c r="AP272" s="17">
        <f t="shared" si="26"/>
        <v>88.710597108255996</v>
      </c>
      <c r="AQ272" s="17">
        <f t="shared" si="26"/>
        <v>88.710597108255996</v>
      </c>
      <c r="AR272" s="17">
        <f t="shared" si="26"/>
        <v>88.710597108255996</v>
      </c>
      <c r="AS272" s="17">
        <f t="shared" si="26"/>
        <v>88.710597108255996</v>
      </c>
      <c r="AT272" s="17">
        <f t="shared" si="26"/>
        <v>88.710597108255996</v>
      </c>
      <c r="AU272" s="17">
        <f t="shared" si="26"/>
        <v>88.710597108255996</v>
      </c>
      <c r="AV272" s="17">
        <f t="shared" si="26"/>
        <v>88.710597108255996</v>
      </c>
      <c r="AW272" s="17">
        <f t="shared" si="26"/>
        <v>88.710597108255996</v>
      </c>
      <c r="AX272" s="17">
        <f t="shared" si="26"/>
        <v>88.710597108255996</v>
      </c>
      <c r="AY272" s="17">
        <f t="shared" si="26"/>
        <v>88.710597108255996</v>
      </c>
      <c r="AZ272" s="17">
        <f t="shared" si="26"/>
        <v>88.710597108255996</v>
      </c>
      <c r="BA272" s="17">
        <f t="shared" si="26"/>
        <v>88.710597108255996</v>
      </c>
      <c r="BB272" s="17">
        <f t="shared" si="26"/>
        <v>88.710597108255996</v>
      </c>
    </row>
    <row r="273" spans="1:54" x14ac:dyDescent="0.3">
      <c r="A273" t="s">
        <v>24</v>
      </c>
      <c r="B273" s="4">
        <v>52.429963936</v>
      </c>
      <c r="C273" s="4">
        <v>56.354782001999993</v>
      </c>
      <c r="D273" s="4">
        <v>51.444915586</v>
      </c>
      <c r="E273" s="4">
        <v>56.751962678999995</v>
      </c>
      <c r="F273" s="6">
        <f>E273*('Passenger cars EU Ref'!H26/'Passenger cars EU Ref'!G26)</f>
        <v>61.597327614576471</v>
      </c>
      <c r="G273" s="6">
        <f>F273*('Passenger cars EU Ref'!I26/'Passenger cars EU Ref'!H26)</f>
        <v>66.442692550152955</v>
      </c>
      <c r="H273" s="6">
        <f>G273*('Passenger cars EU Ref'!J26/'Passenger cars EU Ref'!I26)</f>
        <v>71.288057485729425</v>
      </c>
      <c r="I273" s="6">
        <f>H273*('Passenger cars EU Ref'!K26/'Passenger cars EU Ref'!J26)</f>
        <v>76.13342242130588</v>
      </c>
      <c r="J273" s="6">
        <f>I273*('Passenger cars EU Ref'!L26/'Passenger cars EU Ref'!K26)</f>
        <v>79.467961314544553</v>
      </c>
      <c r="K273" s="6">
        <f>J273*('Passenger cars EU Ref'!M26/'Passenger cars EU Ref'!L26)</f>
        <v>82.802500207783226</v>
      </c>
      <c r="L273" s="6">
        <f>K273*('Passenger cars EU Ref'!N26/'Passenger cars EU Ref'!M26)</f>
        <v>86.137039101021884</v>
      </c>
      <c r="M273" s="6">
        <f>L273*('Passenger cars EU Ref'!O26/'Passenger cars EU Ref'!N26)</f>
        <v>89.471577994260542</v>
      </c>
      <c r="N273" s="6">
        <f>M273*('Passenger cars EU Ref'!P26/'Passenger cars EU Ref'!O26)</f>
        <v>92.806116887499229</v>
      </c>
      <c r="O273" s="6">
        <f>N273*('Passenger cars EU Ref'!Q26/'Passenger cars EU Ref'!P26)</f>
        <v>94.552134621898404</v>
      </c>
      <c r="P273" s="6">
        <f>O273*('Passenger cars EU Ref'!R26/'Passenger cars EU Ref'!Q26)</f>
        <v>96.298152356297578</v>
      </c>
      <c r="Q273" s="6">
        <f>P273*('Passenger cars EU Ref'!S26/'Passenger cars EU Ref'!R26)</f>
        <v>98.044170090696753</v>
      </c>
      <c r="R273" s="6">
        <f>Q273*('Passenger cars EU Ref'!T26/'Passenger cars EU Ref'!S26)</f>
        <v>99.790187825095941</v>
      </c>
      <c r="S273" s="6">
        <f>R273*('Passenger cars EU Ref'!U26/'Passenger cars EU Ref'!T26)</f>
        <v>101.5362055594951</v>
      </c>
      <c r="T273" s="6">
        <f>S273*('Passenger cars EU Ref'!V26/'Passenger cars EU Ref'!U26)</f>
        <v>102.55690525026736</v>
      </c>
      <c r="U273" s="6">
        <f>T273*('Passenger cars EU Ref'!W26/'Passenger cars EU Ref'!V26)</f>
        <v>103.57760494103961</v>
      </c>
      <c r="V273" s="6">
        <f>U273*('Passenger cars EU Ref'!X26/'Passenger cars EU Ref'!W26)</f>
        <v>104.59830463181186</v>
      </c>
      <c r="W273" s="6">
        <f>V273*('Passenger cars EU Ref'!Y26/'Passenger cars EU Ref'!X26)</f>
        <v>105.6190043225841</v>
      </c>
      <c r="X273" s="6">
        <f>W273*('Passenger cars EU Ref'!Z26/'Passenger cars EU Ref'!Y26)</f>
        <v>106.63970401335638</v>
      </c>
      <c r="Y273" s="6">
        <f>X273*('Passenger cars EU Ref'!AA26/'Passenger cars EU Ref'!Z26)</f>
        <v>107.0997288478941</v>
      </c>
      <c r="Z273" s="6">
        <f>Y273*('Passenger cars EU Ref'!AB26/'Passenger cars EU Ref'!AA26)</f>
        <v>107.5597536824318</v>
      </c>
      <c r="AA273" s="6">
        <f>Z273*('Passenger cars EU Ref'!AC26/'Passenger cars EU Ref'!AB26)</f>
        <v>108.01977851696952</v>
      </c>
      <c r="AB273" s="6">
        <f>AA273*('Passenger cars EU Ref'!AD26/'Passenger cars EU Ref'!AC26)</f>
        <v>108.47980335150724</v>
      </c>
      <c r="AC273" s="6">
        <f>AB273*('Passenger cars EU Ref'!AE26/'Passenger cars EU Ref'!AD26)</f>
        <v>108.93982818604499</v>
      </c>
      <c r="AD273" s="6">
        <f>AC273*('Passenger cars EU Ref'!AF26/'Passenger cars EU Ref'!AE26)</f>
        <v>109.6684333076787</v>
      </c>
      <c r="AE273" s="6">
        <f>AD273*('Passenger cars EU Ref'!AG26/'Passenger cars EU Ref'!AF26)</f>
        <v>110.39703842931239</v>
      </c>
      <c r="AF273" s="6">
        <f>AE273*('Passenger cars EU Ref'!AH26/'Passenger cars EU Ref'!AG26)</f>
        <v>111.12564355094608</v>
      </c>
      <c r="AG273" s="6">
        <f>AF273*('Passenger cars EU Ref'!AI26/'Passenger cars EU Ref'!AH26)</f>
        <v>111.85424867257977</v>
      </c>
      <c r="AH273" s="6">
        <f>AG273*('Passenger cars EU Ref'!AJ26/'Passenger cars EU Ref'!AI26)</f>
        <v>112.58285379421352</v>
      </c>
      <c r="AI273" s="17">
        <f t="shared" ref="AI273:BB273" si="27">AH273</f>
        <v>112.58285379421352</v>
      </c>
      <c r="AJ273" s="17">
        <f t="shared" si="27"/>
        <v>112.58285379421352</v>
      </c>
      <c r="AK273" s="17">
        <f t="shared" si="27"/>
        <v>112.58285379421352</v>
      </c>
      <c r="AL273" s="17">
        <f t="shared" si="27"/>
        <v>112.58285379421352</v>
      </c>
      <c r="AM273" s="17">
        <f t="shared" si="27"/>
        <v>112.58285379421352</v>
      </c>
      <c r="AN273" s="17">
        <f t="shared" si="27"/>
        <v>112.58285379421352</v>
      </c>
      <c r="AO273" s="17">
        <f t="shared" si="27"/>
        <v>112.58285379421352</v>
      </c>
      <c r="AP273" s="17">
        <f t="shared" si="27"/>
        <v>112.58285379421352</v>
      </c>
      <c r="AQ273" s="17">
        <f t="shared" si="27"/>
        <v>112.58285379421352</v>
      </c>
      <c r="AR273" s="17">
        <f t="shared" si="27"/>
        <v>112.58285379421352</v>
      </c>
      <c r="AS273" s="17">
        <f t="shared" si="27"/>
        <v>112.58285379421352</v>
      </c>
      <c r="AT273" s="17">
        <f t="shared" si="27"/>
        <v>112.58285379421352</v>
      </c>
      <c r="AU273" s="17">
        <f t="shared" si="27"/>
        <v>112.58285379421352</v>
      </c>
      <c r="AV273" s="17">
        <f t="shared" si="27"/>
        <v>112.58285379421352</v>
      </c>
      <c r="AW273" s="17">
        <f t="shared" si="27"/>
        <v>112.58285379421352</v>
      </c>
      <c r="AX273" s="17">
        <f t="shared" si="27"/>
        <v>112.58285379421352</v>
      </c>
      <c r="AY273" s="17">
        <f t="shared" si="27"/>
        <v>112.58285379421352</v>
      </c>
      <c r="AZ273" s="17">
        <f t="shared" si="27"/>
        <v>112.58285379421352</v>
      </c>
      <c r="BA273" s="17">
        <f t="shared" si="27"/>
        <v>112.58285379421352</v>
      </c>
      <c r="BB273" s="17">
        <f t="shared" si="27"/>
        <v>112.58285379421352</v>
      </c>
    </row>
    <row r="274" spans="1:54" x14ac:dyDescent="0.3">
      <c r="A274" t="s">
        <v>28</v>
      </c>
      <c r="B274" s="4">
        <v>71.360811670999993</v>
      </c>
      <c r="C274" s="4">
        <v>71.251991931999996</v>
      </c>
      <c r="D274" s="4">
        <v>67.312809204999994</v>
      </c>
      <c r="E274" s="4">
        <v>69.815214800999996</v>
      </c>
      <c r="F274" s="6">
        <f>E274*('Passenger cars EU Ref'!H27/'Passenger cars EU Ref'!G27)</f>
        <v>70.744740201083758</v>
      </c>
      <c r="G274" s="6">
        <f>F274*('Passenger cars EU Ref'!I27/'Passenger cars EU Ref'!H27)</f>
        <v>71.674265601167505</v>
      </c>
      <c r="H274" s="6">
        <f>G274*('Passenger cars EU Ref'!J27/'Passenger cars EU Ref'!I27)</f>
        <v>72.603791001251253</v>
      </c>
      <c r="I274" s="6">
        <f>H274*('Passenger cars EU Ref'!K27/'Passenger cars EU Ref'!J27)</f>
        <v>73.533316401335028</v>
      </c>
      <c r="J274" s="6">
        <f>I274*('Passenger cars EU Ref'!L27/'Passenger cars EU Ref'!K27)</f>
        <v>74.472381077041305</v>
      </c>
      <c r="K274" s="6">
        <f>J274*('Passenger cars EU Ref'!M27/'Passenger cars EU Ref'!L27)</f>
        <v>75.411445752747596</v>
      </c>
      <c r="L274" s="6">
        <f>K274*('Passenger cars EU Ref'!N27/'Passenger cars EU Ref'!M27)</f>
        <v>76.350510428453873</v>
      </c>
      <c r="M274" s="6">
        <f>L274*('Passenger cars EU Ref'!O27/'Passenger cars EU Ref'!N27)</f>
        <v>77.28957510416015</v>
      </c>
      <c r="N274" s="6">
        <f>M274*('Passenger cars EU Ref'!P27/'Passenger cars EU Ref'!O27)</f>
        <v>78.228639779866441</v>
      </c>
      <c r="O274" s="6">
        <f>N274*('Passenger cars EU Ref'!Q27/'Passenger cars EU Ref'!P27)</f>
        <v>78.690688373465136</v>
      </c>
      <c r="P274" s="6">
        <f>O274*('Passenger cars EU Ref'!R27/'Passenger cars EU Ref'!Q27)</f>
        <v>79.152736967063845</v>
      </c>
      <c r="Q274" s="6">
        <f>P274*('Passenger cars EU Ref'!S27/'Passenger cars EU Ref'!R27)</f>
        <v>79.61478556066254</v>
      </c>
      <c r="R274" s="6">
        <f>Q274*('Passenger cars EU Ref'!T27/'Passenger cars EU Ref'!S27)</f>
        <v>80.076834154261235</v>
      </c>
      <c r="S274" s="6">
        <f>R274*('Passenger cars EU Ref'!U27/'Passenger cars EU Ref'!T27)</f>
        <v>80.538882747859901</v>
      </c>
      <c r="T274" s="6">
        <f>S274*('Passenger cars EU Ref'!V27/'Passenger cars EU Ref'!U27)</f>
        <v>81.019218988186211</v>
      </c>
      <c r="U274" s="6">
        <f>T274*('Passenger cars EU Ref'!W27/'Passenger cars EU Ref'!V27)</f>
        <v>81.49955522851252</v>
      </c>
      <c r="V274" s="6">
        <f>U274*('Passenger cars EU Ref'!X27/'Passenger cars EU Ref'!W27)</f>
        <v>81.979891468838815</v>
      </c>
      <c r="W274" s="6">
        <f>V274*('Passenger cars EU Ref'!Y27/'Passenger cars EU Ref'!X27)</f>
        <v>82.460227709165125</v>
      </c>
      <c r="X274" s="6">
        <f>W274*('Passenger cars EU Ref'!Z27/'Passenger cars EU Ref'!Y27)</f>
        <v>82.940563949491462</v>
      </c>
      <c r="Y274" s="6">
        <f>X274*('Passenger cars EU Ref'!AA27/'Passenger cars EU Ref'!Z27)</f>
        <v>83.315265239999107</v>
      </c>
      <c r="Z274" s="6">
        <f>Y274*('Passenger cars EU Ref'!AB27/'Passenger cars EU Ref'!AA27)</f>
        <v>83.689966530506751</v>
      </c>
      <c r="AA274" s="6">
        <f>Z274*('Passenger cars EU Ref'!AC27/'Passenger cars EU Ref'!AB27)</f>
        <v>84.064667821014396</v>
      </c>
      <c r="AB274" s="6">
        <f>AA274*('Passenger cars EU Ref'!AD27/'Passenger cars EU Ref'!AC27)</f>
        <v>84.439369111522041</v>
      </c>
      <c r="AC274" s="6">
        <f>AB274*('Passenger cars EU Ref'!AE27/'Passenger cars EU Ref'!AD27)</f>
        <v>84.814070402029643</v>
      </c>
      <c r="AD274" s="6">
        <f>AC274*('Passenger cars EU Ref'!AF27/'Passenger cars EU Ref'!AE27)</f>
        <v>85.18106428612478</v>
      </c>
      <c r="AE274" s="6">
        <f>AD274*('Passenger cars EU Ref'!AG27/'Passenger cars EU Ref'!AF27)</f>
        <v>85.548058170219917</v>
      </c>
      <c r="AF274" s="6">
        <f>AE274*('Passenger cars EU Ref'!AH27/'Passenger cars EU Ref'!AG27)</f>
        <v>85.915052054315069</v>
      </c>
      <c r="AG274" s="6">
        <f>AF274*('Passenger cars EU Ref'!AI27/'Passenger cars EU Ref'!AH27)</f>
        <v>86.282045938410221</v>
      </c>
      <c r="AH274" s="6">
        <f>AG274*('Passenger cars EU Ref'!AJ27/'Passenger cars EU Ref'!AI27)</f>
        <v>86.64903982250533</v>
      </c>
      <c r="AI274" s="17">
        <f t="shared" ref="AI274:BB274" si="28">AH274</f>
        <v>86.64903982250533</v>
      </c>
      <c r="AJ274" s="17">
        <f t="shared" si="28"/>
        <v>86.64903982250533</v>
      </c>
      <c r="AK274" s="17">
        <f t="shared" si="28"/>
        <v>86.64903982250533</v>
      </c>
      <c r="AL274" s="17">
        <f t="shared" si="28"/>
        <v>86.64903982250533</v>
      </c>
      <c r="AM274" s="17">
        <f t="shared" si="28"/>
        <v>86.64903982250533</v>
      </c>
      <c r="AN274" s="17">
        <f t="shared" si="28"/>
        <v>86.64903982250533</v>
      </c>
      <c r="AO274" s="17">
        <f t="shared" si="28"/>
        <v>86.64903982250533</v>
      </c>
      <c r="AP274" s="17">
        <f t="shared" si="28"/>
        <v>86.64903982250533</v>
      </c>
      <c r="AQ274" s="17">
        <f t="shared" si="28"/>
        <v>86.64903982250533</v>
      </c>
      <c r="AR274" s="17">
        <f t="shared" si="28"/>
        <v>86.64903982250533</v>
      </c>
      <c r="AS274" s="17">
        <f t="shared" si="28"/>
        <v>86.64903982250533</v>
      </c>
      <c r="AT274" s="17">
        <f t="shared" si="28"/>
        <v>86.64903982250533</v>
      </c>
      <c r="AU274" s="17">
        <f t="shared" si="28"/>
        <v>86.64903982250533</v>
      </c>
      <c r="AV274" s="17">
        <f t="shared" si="28"/>
        <v>86.64903982250533</v>
      </c>
      <c r="AW274" s="17">
        <f t="shared" si="28"/>
        <v>86.64903982250533</v>
      </c>
      <c r="AX274" s="17">
        <f t="shared" si="28"/>
        <v>86.64903982250533</v>
      </c>
      <c r="AY274" s="17">
        <f t="shared" si="28"/>
        <v>86.64903982250533</v>
      </c>
      <c r="AZ274" s="17">
        <f t="shared" si="28"/>
        <v>86.64903982250533</v>
      </c>
      <c r="BA274" s="17">
        <f t="shared" si="28"/>
        <v>86.64903982250533</v>
      </c>
      <c r="BB274" s="17">
        <f t="shared" si="28"/>
        <v>86.64903982250533</v>
      </c>
    </row>
    <row r="275" spans="1:54" x14ac:dyDescent="0.3">
      <c r="A275" t="s">
        <v>25</v>
      </c>
      <c r="B275" s="4">
        <v>17.167880596000003</v>
      </c>
      <c r="C275" s="4">
        <v>17.739001778999999</v>
      </c>
      <c r="D275" s="4">
        <v>15.644462576000002</v>
      </c>
      <c r="E275" s="4">
        <v>16.347931597999999</v>
      </c>
      <c r="F275" s="6">
        <f>E275*('Passenger cars EU Ref'!H28/'Passenger cars EU Ref'!G28)</f>
        <v>17.008211955841613</v>
      </c>
      <c r="G275" s="6">
        <f>F275*('Passenger cars EU Ref'!I28/'Passenger cars EU Ref'!H28)</f>
        <v>17.668492313683227</v>
      </c>
      <c r="H275" s="6">
        <f>G275*('Passenger cars EU Ref'!J28/'Passenger cars EU Ref'!I28)</f>
        <v>18.328772671524842</v>
      </c>
      <c r="I275" s="6">
        <f>H275*('Passenger cars EU Ref'!K28/'Passenger cars EU Ref'!J28)</f>
        <v>18.98905302936646</v>
      </c>
      <c r="J275" s="6">
        <f>I275*('Passenger cars EU Ref'!L28/'Passenger cars EU Ref'!K28)</f>
        <v>19.236877632970241</v>
      </c>
      <c r="K275" s="6">
        <f>J275*('Passenger cars EU Ref'!M28/'Passenger cars EU Ref'!L28)</f>
        <v>19.484702236574023</v>
      </c>
      <c r="L275" s="6">
        <f>K275*('Passenger cars EU Ref'!N28/'Passenger cars EU Ref'!M28)</f>
        <v>19.732526840177805</v>
      </c>
      <c r="M275" s="6">
        <f>L275*('Passenger cars EU Ref'!O28/'Passenger cars EU Ref'!N28)</f>
        <v>19.980351443781586</v>
      </c>
      <c r="N275" s="6">
        <f>M275*('Passenger cars EU Ref'!P28/'Passenger cars EU Ref'!O28)</f>
        <v>20.228176047385375</v>
      </c>
      <c r="O275" s="6">
        <f>N275*('Passenger cars EU Ref'!Q28/'Passenger cars EU Ref'!P28)</f>
        <v>20.304334627177848</v>
      </c>
      <c r="P275" s="6">
        <f>O275*('Passenger cars EU Ref'!R28/'Passenger cars EU Ref'!Q28)</f>
        <v>20.380493206970321</v>
      </c>
      <c r="Q275" s="6">
        <f>P275*('Passenger cars EU Ref'!S28/'Passenger cars EU Ref'!R28)</f>
        <v>20.456651786762794</v>
      </c>
      <c r="R275" s="6">
        <f>Q275*('Passenger cars EU Ref'!T28/'Passenger cars EU Ref'!S28)</f>
        <v>20.532810366555267</v>
      </c>
      <c r="S275" s="6">
        <f>R275*('Passenger cars EU Ref'!U28/'Passenger cars EU Ref'!T28)</f>
        <v>20.608968946347744</v>
      </c>
      <c r="T275" s="6">
        <f>S275*('Passenger cars EU Ref'!V28/'Passenger cars EU Ref'!U28)</f>
        <v>20.596185666883237</v>
      </c>
      <c r="U275" s="6">
        <f>T275*('Passenger cars EU Ref'!W28/'Passenger cars EU Ref'!V28)</f>
        <v>20.58340238741873</v>
      </c>
      <c r="V275" s="6">
        <f>U275*('Passenger cars EU Ref'!X28/'Passenger cars EU Ref'!W28)</f>
        <v>20.570619107954222</v>
      </c>
      <c r="W275" s="6">
        <f>V275*('Passenger cars EU Ref'!Y28/'Passenger cars EU Ref'!X28)</f>
        <v>20.557835828489715</v>
      </c>
      <c r="X275" s="6">
        <f>W275*('Passenger cars EU Ref'!Z28/'Passenger cars EU Ref'!Y28)</f>
        <v>20.545052549025204</v>
      </c>
      <c r="Y275" s="6">
        <f>X275*('Passenger cars EU Ref'!AA28/'Passenger cars EU Ref'!Z28)</f>
        <v>20.612540277799873</v>
      </c>
      <c r="Z275" s="6">
        <f>Y275*('Passenger cars EU Ref'!AB28/'Passenger cars EU Ref'!AA28)</f>
        <v>20.680028006574545</v>
      </c>
      <c r="AA275" s="6">
        <f>Z275*('Passenger cars EU Ref'!AC28/'Passenger cars EU Ref'!AB28)</f>
        <v>20.747515735349214</v>
      </c>
      <c r="AB275" s="6">
        <f>AA275*('Passenger cars EU Ref'!AD28/'Passenger cars EU Ref'!AC28)</f>
        <v>20.815003464123883</v>
      </c>
      <c r="AC275" s="6">
        <f>AB275*('Passenger cars EU Ref'!AE28/'Passenger cars EU Ref'!AD28)</f>
        <v>20.882491192898549</v>
      </c>
      <c r="AD275" s="6">
        <f>AC275*('Passenger cars EU Ref'!AF28/'Passenger cars EU Ref'!AE28)</f>
        <v>20.982572276361317</v>
      </c>
      <c r="AE275" s="6">
        <f>AD275*('Passenger cars EU Ref'!AG28/'Passenger cars EU Ref'!AF28)</f>
        <v>21.082653359824086</v>
      </c>
      <c r="AF275" s="6">
        <f>AE275*('Passenger cars EU Ref'!AH28/'Passenger cars EU Ref'!AG28)</f>
        <v>21.182734443286858</v>
      </c>
      <c r="AG275" s="6">
        <f>AF275*('Passenger cars EU Ref'!AI28/'Passenger cars EU Ref'!AH28)</f>
        <v>21.28281552674963</v>
      </c>
      <c r="AH275" s="6">
        <f>AG275*('Passenger cars EU Ref'!AJ28/'Passenger cars EU Ref'!AI28)</f>
        <v>21.382896610212399</v>
      </c>
      <c r="AI275" s="17">
        <f t="shared" ref="AI275:BB275" si="29">AH275</f>
        <v>21.382896610212399</v>
      </c>
      <c r="AJ275" s="17">
        <f t="shared" si="29"/>
        <v>21.382896610212399</v>
      </c>
      <c r="AK275" s="17">
        <f t="shared" si="29"/>
        <v>21.382896610212399</v>
      </c>
      <c r="AL275" s="17">
        <f t="shared" si="29"/>
        <v>21.382896610212399</v>
      </c>
      <c r="AM275" s="17">
        <f t="shared" si="29"/>
        <v>21.382896610212399</v>
      </c>
      <c r="AN275" s="17">
        <f t="shared" si="29"/>
        <v>21.382896610212399</v>
      </c>
      <c r="AO275" s="17">
        <f t="shared" si="29"/>
        <v>21.382896610212399</v>
      </c>
      <c r="AP275" s="17">
        <f t="shared" si="29"/>
        <v>21.382896610212399</v>
      </c>
      <c r="AQ275" s="17">
        <f t="shared" si="29"/>
        <v>21.382896610212399</v>
      </c>
      <c r="AR275" s="17">
        <f t="shared" si="29"/>
        <v>21.382896610212399</v>
      </c>
      <c r="AS275" s="17">
        <f t="shared" si="29"/>
        <v>21.382896610212399</v>
      </c>
      <c r="AT275" s="17">
        <f t="shared" si="29"/>
        <v>21.382896610212399</v>
      </c>
      <c r="AU275" s="17">
        <f t="shared" si="29"/>
        <v>21.382896610212399</v>
      </c>
      <c r="AV275" s="17">
        <f t="shared" si="29"/>
        <v>21.382896610212399</v>
      </c>
      <c r="AW275" s="17">
        <f t="shared" si="29"/>
        <v>21.382896610212399</v>
      </c>
      <c r="AX275" s="17">
        <f t="shared" si="29"/>
        <v>21.382896610212399</v>
      </c>
      <c r="AY275" s="17">
        <f t="shared" si="29"/>
        <v>21.382896610212399</v>
      </c>
      <c r="AZ275" s="17">
        <f t="shared" si="29"/>
        <v>21.382896610212399</v>
      </c>
      <c r="BA275" s="17">
        <f t="shared" si="29"/>
        <v>21.382896610212399</v>
      </c>
      <c r="BB275" s="17">
        <f t="shared" si="29"/>
        <v>21.382896610212399</v>
      </c>
    </row>
    <row r="276" spans="1:54" x14ac:dyDescent="0.3">
      <c r="A276" t="s">
        <v>26</v>
      </c>
      <c r="B276" s="4">
        <v>15.527162206000002</v>
      </c>
      <c r="C276" s="4">
        <v>15.546006371000001</v>
      </c>
      <c r="D276" s="4">
        <v>14.391781009999999</v>
      </c>
      <c r="E276" s="4">
        <v>14.732507013999999</v>
      </c>
      <c r="F276" s="6">
        <f>E276*('Passenger cars EU Ref'!H29/'Passenger cars EU Ref'!G29)</f>
        <v>15.349864213525947</v>
      </c>
      <c r="G276" s="6">
        <f>F276*('Passenger cars EU Ref'!I29/'Passenger cars EU Ref'!H29)</f>
        <v>15.967221413051895</v>
      </c>
      <c r="H276" s="6">
        <f>G276*('Passenger cars EU Ref'!J29/'Passenger cars EU Ref'!I29)</f>
        <v>16.584578612577843</v>
      </c>
      <c r="I276" s="6">
        <f>H276*('Passenger cars EU Ref'!K29/'Passenger cars EU Ref'!J29)</f>
        <v>17.201935812103795</v>
      </c>
      <c r="J276" s="6">
        <f>I276*('Passenger cars EU Ref'!L29/'Passenger cars EU Ref'!K29)</f>
        <v>17.784853505322818</v>
      </c>
      <c r="K276" s="6">
        <f>J276*('Passenger cars EU Ref'!M29/'Passenger cars EU Ref'!L29)</f>
        <v>18.367771198541838</v>
      </c>
      <c r="L276" s="6">
        <f>K276*('Passenger cars EU Ref'!N29/'Passenger cars EU Ref'!M29)</f>
        <v>18.950688891760858</v>
      </c>
      <c r="M276" s="6">
        <f>L276*('Passenger cars EU Ref'!O29/'Passenger cars EU Ref'!N29)</f>
        <v>19.533606584979879</v>
      </c>
      <c r="N276" s="6">
        <f>M276*('Passenger cars EU Ref'!P29/'Passenger cars EU Ref'!O29)</f>
        <v>20.116524278198895</v>
      </c>
      <c r="O276" s="6">
        <f>N276*('Passenger cars EU Ref'!Q29/'Passenger cars EU Ref'!P29)</f>
        <v>20.384628158118222</v>
      </c>
      <c r="P276" s="6">
        <f>O276*('Passenger cars EU Ref'!R29/'Passenger cars EU Ref'!Q29)</f>
        <v>20.652732038037552</v>
      </c>
      <c r="Q276" s="6">
        <f>P276*('Passenger cars EU Ref'!S29/'Passenger cars EU Ref'!R29)</f>
        <v>20.920835917956882</v>
      </c>
      <c r="R276" s="6">
        <f>Q276*('Passenger cars EU Ref'!T29/'Passenger cars EU Ref'!S29)</f>
        <v>21.188939797876213</v>
      </c>
      <c r="S276" s="6">
        <f>R276*('Passenger cars EU Ref'!U29/'Passenger cars EU Ref'!T29)</f>
        <v>21.457043677795546</v>
      </c>
      <c r="T276" s="6">
        <f>S276*('Passenger cars EU Ref'!V29/'Passenger cars EU Ref'!U29)</f>
        <v>21.595777592265062</v>
      </c>
      <c r="U276" s="6">
        <f>T276*('Passenger cars EU Ref'!W29/'Passenger cars EU Ref'!V29)</f>
        <v>21.734511506734574</v>
      </c>
      <c r="V276" s="6">
        <f>U276*('Passenger cars EU Ref'!X29/'Passenger cars EU Ref'!W29)</f>
        <v>21.873245421204086</v>
      </c>
      <c r="W276" s="6">
        <f>V276*('Passenger cars EU Ref'!Y29/'Passenger cars EU Ref'!X29)</f>
        <v>22.011979335673601</v>
      </c>
      <c r="X276" s="6">
        <f>W276*('Passenger cars EU Ref'!Z29/'Passenger cars EU Ref'!Y29)</f>
        <v>22.150713250143113</v>
      </c>
      <c r="Y276" s="6">
        <f>X276*('Passenger cars EU Ref'!AA29/'Passenger cars EU Ref'!Z29)</f>
        <v>22.278175795158475</v>
      </c>
      <c r="Z276" s="6">
        <f>Y276*('Passenger cars EU Ref'!AB29/'Passenger cars EU Ref'!AA29)</f>
        <v>22.405638340173841</v>
      </c>
      <c r="AA276" s="6">
        <f>Z276*('Passenger cars EU Ref'!AC29/'Passenger cars EU Ref'!AB29)</f>
        <v>22.533100885189207</v>
      </c>
      <c r="AB276" s="6">
        <f>AA276*('Passenger cars EU Ref'!AD29/'Passenger cars EU Ref'!AC29)</f>
        <v>22.660563430204572</v>
      </c>
      <c r="AC276" s="6">
        <f>AB276*('Passenger cars EU Ref'!AE29/'Passenger cars EU Ref'!AD29)</f>
        <v>22.788025975219934</v>
      </c>
      <c r="AD276" s="6">
        <f>AC276*('Passenger cars EU Ref'!AF29/'Passenger cars EU Ref'!AE29)</f>
        <v>22.945787305212075</v>
      </c>
      <c r="AE276" s="6">
        <f>AD276*('Passenger cars EU Ref'!AG29/'Passenger cars EU Ref'!AF29)</f>
        <v>23.103548635204216</v>
      </c>
      <c r="AF276" s="6">
        <f>AE276*('Passenger cars EU Ref'!AH29/'Passenger cars EU Ref'!AG29)</f>
        <v>23.261309965196357</v>
      </c>
      <c r="AG276" s="6">
        <f>AF276*('Passenger cars EU Ref'!AI29/'Passenger cars EU Ref'!AH29)</f>
        <v>23.419071295188498</v>
      </c>
      <c r="AH276" s="6">
        <f>AG276*('Passenger cars EU Ref'!AJ29/'Passenger cars EU Ref'!AI29)</f>
        <v>23.576832625180636</v>
      </c>
      <c r="AI276" s="17">
        <f t="shared" ref="AI276:BB276" si="30">AH276</f>
        <v>23.576832625180636</v>
      </c>
      <c r="AJ276" s="17">
        <f t="shared" si="30"/>
        <v>23.576832625180636</v>
      </c>
      <c r="AK276" s="17">
        <f t="shared" si="30"/>
        <v>23.576832625180636</v>
      </c>
      <c r="AL276" s="17">
        <f t="shared" si="30"/>
        <v>23.576832625180636</v>
      </c>
      <c r="AM276" s="17">
        <f t="shared" si="30"/>
        <v>23.576832625180636</v>
      </c>
      <c r="AN276" s="17">
        <f t="shared" si="30"/>
        <v>23.576832625180636</v>
      </c>
      <c r="AO276" s="17">
        <f t="shared" si="30"/>
        <v>23.576832625180636</v>
      </c>
      <c r="AP276" s="17">
        <f t="shared" si="30"/>
        <v>23.576832625180636</v>
      </c>
      <c r="AQ276" s="17">
        <f t="shared" si="30"/>
        <v>23.576832625180636</v>
      </c>
      <c r="AR276" s="17">
        <f t="shared" si="30"/>
        <v>23.576832625180636</v>
      </c>
      <c r="AS276" s="17">
        <f t="shared" si="30"/>
        <v>23.576832625180636</v>
      </c>
      <c r="AT276" s="17">
        <f t="shared" si="30"/>
        <v>23.576832625180636</v>
      </c>
      <c r="AU276" s="17">
        <f t="shared" si="30"/>
        <v>23.576832625180636</v>
      </c>
      <c r="AV276" s="17">
        <f t="shared" si="30"/>
        <v>23.576832625180636</v>
      </c>
      <c r="AW276" s="17">
        <f t="shared" si="30"/>
        <v>23.576832625180636</v>
      </c>
      <c r="AX276" s="17">
        <f t="shared" si="30"/>
        <v>23.576832625180636</v>
      </c>
      <c r="AY276" s="17">
        <f t="shared" si="30"/>
        <v>23.576832625180636</v>
      </c>
      <c r="AZ276" s="17">
        <f t="shared" si="30"/>
        <v>23.576832625180636</v>
      </c>
      <c r="BA276" s="17">
        <f t="shared" si="30"/>
        <v>23.576832625180636</v>
      </c>
      <c r="BB276" s="17">
        <f t="shared" si="30"/>
        <v>23.576832625180636</v>
      </c>
    </row>
    <row r="277" spans="1:54" x14ac:dyDescent="0.3">
      <c r="A277" s="1" t="s">
        <v>88</v>
      </c>
      <c r="B277" s="20">
        <v>2593.6863095469143</v>
      </c>
      <c r="C277" s="20">
        <v>2651.5190520999304</v>
      </c>
      <c r="D277" s="20">
        <v>2317.8239962106286</v>
      </c>
      <c r="E277" s="20">
        <v>2423.9572855144365</v>
      </c>
      <c r="F277" s="21">
        <f>SUM(F250:F276)</f>
        <v>2533.0265503889573</v>
      </c>
      <c r="G277" s="21">
        <f t="shared" ref="G277:AH277" si="31">SUM(G250:G276)</f>
        <v>2642.0958152634771</v>
      </c>
      <c r="H277" s="21">
        <f t="shared" si="31"/>
        <v>2751.1650801379978</v>
      </c>
      <c r="I277" s="21">
        <f t="shared" si="31"/>
        <v>2860.2343450125181</v>
      </c>
      <c r="J277" s="21">
        <f t="shared" si="31"/>
        <v>2896.5807138157638</v>
      </c>
      <c r="K277" s="21">
        <f t="shared" si="31"/>
        <v>2932.92708261901</v>
      </c>
      <c r="L277" s="21">
        <f t="shared" si="31"/>
        <v>2969.2734514222561</v>
      </c>
      <c r="M277" s="21">
        <f t="shared" si="31"/>
        <v>3005.6198202255014</v>
      </c>
      <c r="N277" s="21">
        <f t="shared" si="31"/>
        <v>3041.9661890287484</v>
      </c>
      <c r="O277" s="21">
        <f t="shared" si="31"/>
        <v>3062.965054789579</v>
      </c>
      <c r="P277" s="21">
        <f t="shared" si="31"/>
        <v>3083.9639205504091</v>
      </c>
      <c r="Q277" s="21">
        <f t="shared" si="31"/>
        <v>3104.9627863112419</v>
      </c>
      <c r="R277" s="21">
        <f t="shared" si="31"/>
        <v>3125.961652072072</v>
      </c>
      <c r="S277" s="21">
        <f t="shared" si="31"/>
        <v>3146.960517832903</v>
      </c>
      <c r="T277" s="21">
        <f t="shared" si="31"/>
        <v>3167.1054200962062</v>
      </c>
      <c r="U277" s="21">
        <f t="shared" si="31"/>
        <v>3187.2503223595095</v>
      </c>
      <c r="V277" s="21">
        <f t="shared" si="31"/>
        <v>3207.3952246228109</v>
      </c>
      <c r="W277" s="21">
        <f t="shared" si="31"/>
        <v>3227.5401268861137</v>
      </c>
      <c r="X277" s="21">
        <f t="shared" si="31"/>
        <v>3247.685029149417</v>
      </c>
      <c r="Y277" s="21">
        <f t="shared" si="31"/>
        <v>3261.8721933338738</v>
      </c>
      <c r="Z277" s="21">
        <f t="shared" si="31"/>
        <v>3276.0593575183311</v>
      </c>
      <c r="AA277" s="21">
        <f t="shared" si="31"/>
        <v>3290.2465217027889</v>
      </c>
      <c r="AB277" s="21">
        <f t="shared" si="31"/>
        <v>3304.4336858872466</v>
      </c>
      <c r="AC277" s="21">
        <f t="shared" si="31"/>
        <v>3318.6208500717053</v>
      </c>
      <c r="AD277" s="21">
        <f t="shared" si="31"/>
        <v>3337.4766064899322</v>
      </c>
      <c r="AE277" s="21">
        <f t="shared" si="31"/>
        <v>3356.3323629081597</v>
      </c>
      <c r="AF277" s="21">
        <f t="shared" si="31"/>
        <v>3375.1881193263862</v>
      </c>
      <c r="AG277" s="21">
        <f t="shared" si="31"/>
        <v>3394.0438757446141</v>
      </c>
      <c r="AH277" s="21">
        <f t="shared" si="31"/>
        <v>3412.8996321628401</v>
      </c>
      <c r="AI277" s="22">
        <f t="shared" ref="AI277:BB277" si="32">AH277</f>
        <v>3412.8996321628401</v>
      </c>
      <c r="AJ277" s="22">
        <f t="shared" si="32"/>
        <v>3412.8996321628401</v>
      </c>
      <c r="AK277" s="22">
        <f t="shared" si="32"/>
        <v>3412.8996321628401</v>
      </c>
      <c r="AL277" s="22">
        <f t="shared" si="32"/>
        <v>3412.8996321628401</v>
      </c>
      <c r="AM277" s="22">
        <f t="shared" si="32"/>
        <v>3412.8996321628401</v>
      </c>
      <c r="AN277" s="22">
        <f t="shared" si="32"/>
        <v>3412.8996321628401</v>
      </c>
      <c r="AO277" s="22">
        <f t="shared" si="32"/>
        <v>3412.8996321628401</v>
      </c>
      <c r="AP277" s="22">
        <f t="shared" si="32"/>
        <v>3412.8996321628401</v>
      </c>
      <c r="AQ277" s="22">
        <f t="shared" si="32"/>
        <v>3412.8996321628401</v>
      </c>
      <c r="AR277" s="22">
        <f t="shared" si="32"/>
        <v>3412.8996321628401</v>
      </c>
      <c r="AS277" s="22">
        <f t="shared" si="32"/>
        <v>3412.8996321628401</v>
      </c>
      <c r="AT277" s="22">
        <f t="shared" si="32"/>
        <v>3412.8996321628401</v>
      </c>
      <c r="AU277" s="22">
        <f t="shared" si="32"/>
        <v>3412.8996321628401</v>
      </c>
      <c r="AV277" s="22">
        <f t="shared" si="32"/>
        <v>3412.8996321628401</v>
      </c>
      <c r="AW277" s="22">
        <f t="shared" si="32"/>
        <v>3412.8996321628401</v>
      </c>
      <c r="AX277" s="22">
        <f t="shared" si="32"/>
        <v>3412.8996321628401</v>
      </c>
      <c r="AY277" s="22">
        <f t="shared" si="32"/>
        <v>3412.8996321628401</v>
      </c>
      <c r="AZ277" s="22">
        <f t="shared" si="32"/>
        <v>3412.8996321628401</v>
      </c>
      <c r="BA277" s="22">
        <f t="shared" si="32"/>
        <v>3412.8996321628401</v>
      </c>
      <c r="BB277" s="22">
        <f t="shared" si="32"/>
        <v>3412.8996321628401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35B6C-7D42-455E-A241-9A32A443011F}">
  <dimension ref="A1:AL29"/>
  <sheetViews>
    <sheetView workbookViewId="0"/>
  </sheetViews>
  <sheetFormatPr defaultRowHeight="14.4" x14ac:dyDescent="0.3"/>
  <cols>
    <col min="2" max="2" width="10.6640625" bestFit="1" customWidth="1"/>
    <col min="3" max="3" width="28.109375" bestFit="1" customWidth="1"/>
    <col min="4" max="4" width="24.5546875" bestFit="1" customWidth="1"/>
    <col min="5" max="5" width="14.109375" bestFit="1" customWidth="1"/>
  </cols>
  <sheetData>
    <row r="1" spans="1:38" x14ac:dyDescent="0.3">
      <c r="A1" t="s">
        <v>815</v>
      </c>
    </row>
    <row r="2" spans="1:38" x14ac:dyDescent="0.3">
      <c r="A2" s="1" t="s">
        <v>512</v>
      </c>
      <c r="B2" s="25" t="s">
        <v>118</v>
      </c>
      <c r="C2" s="26"/>
      <c r="D2" s="26"/>
      <c r="E2" s="26"/>
      <c r="F2" s="27">
        <v>2020</v>
      </c>
      <c r="G2" s="27">
        <v>2021</v>
      </c>
      <c r="H2" s="27">
        <v>2022</v>
      </c>
      <c r="I2" s="27">
        <v>2023</v>
      </c>
      <c r="J2" s="27">
        <v>2024</v>
      </c>
      <c r="K2" s="27">
        <v>2025</v>
      </c>
      <c r="L2" s="27">
        <v>2026</v>
      </c>
      <c r="M2" s="27">
        <v>2027</v>
      </c>
      <c r="N2" s="27">
        <v>2028</v>
      </c>
      <c r="O2" s="27">
        <v>2029</v>
      </c>
      <c r="P2" s="27">
        <v>2030</v>
      </c>
      <c r="Q2" s="27">
        <v>2031</v>
      </c>
      <c r="R2" s="27">
        <v>2032</v>
      </c>
      <c r="S2" s="27">
        <v>2033</v>
      </c>
      <c r="T2" s="27">
        <v>2034</v>
      </c>
      <c r="U2" s="27">
        <v>2035</v>
      </c>
      <c r="V2" s="27">
        <v>2036</v>
      </c>
      <c r="W2" s="27">
        <v>2037</v>
      </c>
      <c r="X2" s="27">
        <v>2038</v>
      </c>
      <c r="Y2" s="27">
        <v>2039</v>
      </c>
      <c r="Z2" s="27">
        <v>2040</v>
      </c>
      <c r="AA2" s="27">
        <v>2041</v>
      </c>
      <c r="AB2" s="27">
        <v>2042</v>
      </c>
      <c r="AC2" s="27">
        <v>2043</v>
      </c>
      <c r="AD2" s="27">
        <v>2044</v>
      </c>
      <c r="AE2" s="27">
        <v>2045</v>
      </c>
      <c r="AF2" s="27">
        <v>2046</v>
      </c>
      <c r="AG2" s="27">
        <v>2047</v>
      </c>
      <c r="AH2" s="27">
        <v>2048</v>
      </c>
      <c r="AI2" s="27">
        <v>2049</v>
      </c>
      <c r="AJ2" s="27">
        <v>2050</v>
      </c>
      <c r="AK2" s="27" t="s">
        <v>119</v>
      </c>
      <c r="AL2" s="27" t="s">
        <v>120</v>
      </c>
    </row>
    <row r="3" spans="1:38" x14ac:dyDescent="0.3">
      <c r="A3" t="str">
        <f>VLOOKUP(B3,'Country codes'!$A$1:$B$28,2,FALSE)</f>
        <v>AT</v>
      </c>
      <c r="B3" s="23" t="s">
        <v>90</v>
      </c>
      <c r="C3" s="24" t="s">
        <v>121</v>
      </c>
      <c r="D3" s="28" t="s">
        <v>122</v>
      </c>
      <c r="E3" s="29" t="s">
        <v>511</v>
      </c>
      <c r="F3" s="30">
        <v>70.041283428456566</v>
      </c>
      <c r="G3" s="30">
        <f>F3+(($K3-$F3)/5)</f>
        <v>73.044970388315505</v>
      </c>
      <c r="H3" s="30">
        <f t="shared" ref="H3:J3" si="0">G3+(($K3-$F3)/5)</f>
        <v>76.048657348174444</v>
      </c>
      <c r="I3" s="30">
        <f t="shared" si="0"/>
        <v>79.052344308033383</v>
      </c>
      <c r="J3" s="30">
        <f t="shared" si="0"/>
        <v>82.056031267892322</v>
      </c>
      <c r="K3" s="30">
        <v>85.059718227751233</v>
      </c>
      <c r="L3" s="30">
        <f>K3+(($P3-$K3)/5)</f>
        <v>85.98267938453796</v>
      </c>
      <c r="M3" s="30">
        <f t="shared" ref="M3:O3" si="1">L3+(($P3-$K3)/5)</f>
        <v>86.905640541324686</v>
      </c>
      <c r="N3" s="30">
        <f t="shared" si="1"/>
        <v>87.828601698111413</v>
      </c>
      <c r="O3" s="30">
        <f t="shared" si="1"/>
        <v>88.75156285489814</v>
      </c>
      <c r="P3" s="30">
        <v>89.674524011684838</v>
      </c>
      <c r="Q3" s="30">
        <f>P3+(($U3-$P3)/5)</f>
        <v>89.943704281621521</v>
      </c>
      <c r="R3" s="30">
        <f t="shared" ref="R3:T3" si="2">Q3+(($U3-$P3)/5)</f>
        <v>90.212884551558204</v>
      </c>
      <c r="S3" s="30">
        <f t="shared" si="2"/>
        <v>90.482064821494887</v>
      </c>
      <c r="T3" s="30">
        <f t="shared" si="2"/>
        <v>90.751245091431571</v>
      </c>
      <c r="U3" s="30">
        <v>91.020425361368225</v>
      </c>
      <c r="V3" s="30">
        <f>U3+(($Z3-$U3)/5)</f>
        <v>91.537831517759116</v>
      </c>
      <c r="W3" s="30">
        <f t="shared" ref="W3:Y3" si="3">V3+(($Z3-$U3)/5)</f>
        <v>92.055237674150007</v>
      </c>
      <c r="X3" s="30">
        <f t="shared" si="3"/>
        <v>92.572643830540898</v>
      </c>
      <c r="Y3" s="30">
        <f t="shared" si="3"/>
        <v>93.090049986931788</v>
      </c>
      <c r="Z3" s="30">
        <v>93.607456143322665</v>
      </c>
      <c r="AA3" s="30">
        <f>Z3+(($AE3-$Z3)/5)</f>
        <v>93.974579657732946</v>
      </c>
      <c r="AB3" s="30">
        <f t="shared" ref="AB3:AD3" si="4">AA3+(($AE3-$Z3)/5)</f>
        <v>94.341703172143227</v>
      </c>
      <c r="AC3" s="30">
        <f t="shared" si="4"/>
        <v>94.708826686553508</v>
      </c>
      <c r="AD3" s="30">
        <f t="shared" si="4"/>
        <v>95.075950200963788</v>
      </c>
      <c r="AE3" s="30">
        <v>95.443073715374084</v>
      </c>
      <c r="AF3" s="30">
        <f>AE3+(($AJ3-$AE3)/5)</f>
        <v>95.917788005625724</v>
      </c>
      <c r="AG3" s="30">
        <f t="shared" ref="AG3:AI3" si="5">AF3+(($AJ3-$AE3)/5)</f>
        <v>96.392502295877364</v>
      </c>
      <c r="AH3" s="30">
        <f t="shared" si="5"/>
        <v>96.867216586129004</v>
      </c>
      <c r="AI3" s="30">
        <f t="shared" si="5"/>
        <v>97.341930876380644</v>
      </c>
      <c r="AJ3" s="30">
        <v>97.816645166632313</v>
      </c>
      <c r="AK3" s="31">
        <v>2.5018015363869939</v>
      </c>
      <c r="AL3" s="31">
        <v>0.43548571031231109</v>
      </c>
    </row>
    <row r="4" spans="1:38" x14ac:dyDescent="0.3">
      <c r="A4" t="str">
        <f>VLOOKUP(B4,'Country codes'!$A$1:$B$28,2,FALSE)</f>
        <v>BE</v>
      </c>
      <c r="B4" s="23" t="s">
        <v>91</v>
      </c>
      <c r="C4" s="24" t="s">
        <v>121</v>
      </c>
      <c r="D4" s="28" t="s">
        <v>122</v>
      </c>
      <c r="E4" s="29" t="s">
        <v>511</v>
      </c>
      <c r="F4" s="30">
        <v>88.482483328101139</v>
      </c>
      <c r="G4" s="30">
        <f t="shared" ref="G4:J4" si="6">F4+(($K4-$F4)/5)</f>
        <v>90.955430484367909</v>
      </c>
      <c r="H4" s="30">
        <f t="shared" si="6"/>
        <v>93.428377640634679</v>
      </c>
      <c r="I4" s="30">
        <f t="shared" si="6"/>
        <v>95.901324796901449</v>
      </c>
      <c r="J4" s="30">
        <f t="shared" si="6"/>
        <v>98.374271953168218</v>
      </c>
      <c r="K4" s="30">
        <v>100.847219109435</v>
      </c>
      <c r="L4" s="30">
        <f t="shared" ref="L4:O4" si="7">K4+(($P4-$K4)/5)</f>
        <v>101.57916234606461</v>
      </c>
      <c r="M4" s="30">
        <f t="shared" si="7"/>
        <v>102.31110558269421</v>
      </c>
      <c r="N4" s="30">
        <f t="shared" si="7"/>
        <v>103.04304881932381</v>
      </c>
      <c r="O4" s="30">
        <f t="shared" si="7"/>
        <v>103.77499205595342</v>
      </c>
      <c r="P4" s="30">
        <v>104.50693529258305</v>
      </c>
      <c r="Q4" s="30">
        <f t="shared" ref="Q4:T4" si="8">P4+(($U4-$P4)/5)</f>
        <v>104.79538118896919</v>
      </c>
      <c r="R4" s="30">
        <f t="shared" si="8"/>
        <v>105.08382708535532</v>
      </c>
      <c r="S4" s="30">
        <f t="shared" si="8"/>
        <v>105.37227298174146</v>
      </c>
      <c r="T4" s="30">
        <f t="shared" si="8"/>
        <v>105.6607188781276</v>
      </c>
      <c r="U4" s="30">
        <v>105.94916477451376</v>
      </c>
      <c r="V4" s="30">
        <f t="shared" ref="V4:Y4" si="9">U4+(($Z4-$U4)/5)</f>
        <v>106.13537891347043</v>
      </c>
      <c r="W4" s="30">
        <f t="shared" si="9"/>
        <v>106.3215930524271</v>
      </c>
      <c r="X4" s="30">
        <f t="shared" si="9"/>
        <v>106.50780719138378</v>
      </c>
      <c r="Y4" s="30">
        <f t="shared" si="9"/>
        <v>106.69402133034045</v>
      </c>
      <c r="Z4" s="30">
        <v>106.88023546929712</v>
      </c>
      <c r="AA4" s="30">
        <f t="shared" ref="AA4:AD4" si="10">Z4+(($AE4-$Z4)/5)</f>
        <v>107.12525319612574</v>
      </c>
      <c r="AB4" s="30">
        <f t="shared" si="10"/>
        <v>107.37027092295436</v>
      </c>
      <c r="AC4" s="30">
        <f t="shared" si="10"/>
        <v>107.61528864978298</v>
      </c>
      <c r="AD4" s="30">
        <f t="shared" si="10"/>
        <v>107.8603063766116</v>
      </c>
      <c r="AE4" s="30">
        <v>108.1053241034402</v>
      </c>
      <c r="AF4" s="30">
        <f t="shared" ref="AF4:AI4" si="11">AE4+(($AJ4-$AE4)/5)</f>
        <v>108.37956868047021</v>
      </c>
      <c r="AG4" s="30">
        <f t="shared" si="11"/>
        <v>108.65381325750023</v>
      </c>
      <c r="AH4" s="30">
        <f t="shared" si="11"/>
        <v>108.92805783453025</v>
      </c>
      <c r="AI4" s="30">
        <f t="shared" si="11"/>
        <v>109.20230241156027</v>
      </c>
      <c r="AJ4" s="30">
        <v>109.47654698859026</v>
      </c>
      <c r="AK4" s="31">
        <v>1.6784181031366918</v>
      </c>
      <c r="AL4" s="31">
        <v>0.23255452916746133</v>
      </c>
    </row>
    <row r="5" spans="1:38" x14ac:dyDescent="0.3">
      <c r="A5" t="str">
        <f>VLOOKUP(B5,'Country codes'!$A$1:$B$28,2,FALSE)</f>
        <v>BG</v>
      </c>
      <c r="B5" s="23" t="s">
        <v>92</v>
      </c>
      <c r="C5" s="24" t="s">
        <v>121</v>
      </c>
      <c r="D5" s="28" t="s">
        <v>122</v>
      </c>
      <c r="E5" s="29" t="s">
        <v>511</v>
      </c>
      <c r="F5" s="30">
        <v>52.103317401535705</v>
      </c>
      <c r="G5" s="30">
        <f t="shared" ref="G5:J5" si="12">F5+(($K5-$F5)/5)</f>
        <v>53.507867121319372</v>
      </c>
      <c r="H5" s="30">
        <f t="shared" si="12"/>
        <v>54.912416841103038</v>
      </c>
      <c r="I5" s="30">
        <f t="shared" si="12"/>
        <v>56.316966560886705</v>
      </c>
      <c r="J5" s="30">
        <f t="shared" si="12"/>
        <v>57.721516280670372</v>
      </c>
      <c r="K5" s="30">
        <v>59.126066000454045</v>
      </c>
      <c r="L5" s="30">
        <f t="shared" ref="L5:O5" si="13">K5+(($P5-$K5)/5)</f>
        <v>60.026876841832262</v>
      </c>
      <c r="M5" s="30">
        <f t="shared" si="13"/>
        <v>60.927687683210479</v>
      </c>
      <c r="N5" s="30">
        <f t="shared" si="13"/>
        <v>61.828498524588696</v>
      </c>
      <c r="O5" s="30">
        <f t="shared" si="13"/>
        <v>62.729309365966913</v>
      </c>
      <c r="P5" s="30">
        <v>63.630120207345122</v>
      </c>
      <c r="Q5" s="30">
        <f t="shared" ref="Q5:T5" si="14">P5+(($U5-$P5)/5)</f>
        <v>63.963012192398253</v>
      </c>
      <c r="R5" s="30">
        <f t="shared" si="14"/>
        <v>64.295904177451391</v>
      </c>
      <c r="S5" s="30">
        <f t="shared" si="14"/>
        <v>64.628796162504528</v>
      </c>
      <c r="T5" s="30">
        <f t="shared" si="14"/>
        <v>64.961688147557666</v>
      </c>
      <c r="U5" s="30">
        <v>65.29458013261079</v>
      </c>
      <c r="V5" s="30">
        <f t="shared" ref="V5:Y5" si="15">U5+(($Z5-$U5)/5)</f>
        <v>65.382457105431257</v>
      </c>
      <c r="W5" s="30">
        <f t="shared" si="15"/>
        <v>65.470334078251724</v>
      </c>
      <c r="X5" s="30">
        <f t="shared" si="15"/>
        <v>65.558211051072192</v>
      </c>
      <c r="Y5" s="30">
        <f t="shared" si="15"/>
        <v>65.646088023892659</v>
      </c>
      <c r="Z5" s="30">
        <v>65.733964996713127</v>
      </c>
      <c r="AA5" s="30">
        <f t="shared" ref="AA5:AD5" si="16">Z5+(($AE5-$Z5)/5)</f>
        <v>66.086750410559915</v>
      </c>
      <c r="AB5" s="30">
        <f t="shared" si="16"/>
        <v>66.439535824406704</v>
      </c>
      <c r="AC5" s="30">
        <f t="shared" si="16"/>
        <v>66.792321238253493</v>
      </c>
      <c r="AD5" s="30">
        <f t="shared" si="16"/>
        <v>67.145106652100282</v>
      </c>
      <c r="AE5" s="30">
        <v>67.497892065947099</v>
      </c>
      <c r="AF5" s="30">
        <f t="shared" ref="AF5:AI5" si="17">AE5+(($AJ5-$AE5)/5)</f>
        <v>67.925025919849517</v>
      </c>
      <c r="AG5" s="30">
        <f t="shared" si="17"/>
        <v>68.352159773751936</v>
      </c>
      <c r="AH5" s="30">
        <f t="shared" si="17"/>
        <v>68.779293627654354</v>
      </c>
      <c r="AI5" s="30">
        <f t="shared" si="17"/>
        <v>69.206427481556773</v>
      </c>
      <c r="AJ5" s="30">
        <v>69.63356133545922</v>
      </c>
      <c r="AK5" s="31">
        <v>2.0186886522378211</v>
      </c>
      <c r="AL5" s="31">
        <v>0.45181616423140003</v>
      </c>
    </row>
    <row r="6" spans="1:38" x14ac:dyDescent="0.3">
      <c r="A6" t="str">
        <f>VLOOKUP(B6,'Country codes'!$A$1:$B$28,2,FALSE)</f>
        <v>CY</v>
      </c>
      <c r="B6" s="23" t="s">
        <v>93</v>
      </c>
      <c r="C6" s="24" t="s">
        <v>121</v>
      </c>
      <c r="D6" s="28" t="s">
        <v>122</v>
      </c>
      <c r="E6" s="29" t="s">
        <v>511</v>
      </c>
      <c r="F6" s="30">
        <v>5.5391158422951792</v>
      </c>
      <c r="G6" s="30">
        <f t="shared" ref="G6:J6" si="18">F6+(($K6-$F6)/5)</f>
        <v>5.8440616598683697</v>
      </c>
      <c r="H6" s="30">
        <f t="shared" si="18"/>
        <v>6.1490074774415602</v>
      </c>
      <c r="I6" s="30">
        <f t="shared" si="18"/>
        <v>6.4539532950147507</v>
      </c>
      <c r="J6" s="30">
        <f t="shared" si="18"/>
        <v>6.7588991125879412</v>
      </c>
      <c r="K6" s="30">
        <v>7.0638449301611308</v>
      </c>
      <c r="L6" s="30">
        <f t="shared" ref="L6:O6" si="19">K6+(($P6-$K6)/5)</f>
        <v>7.2728471659880469</v>
      </c>
      <c r="M6" s="30">
        <f t="shared" si="19"/>
        <v>7.4818494018149631</v>
      </c>
      <c r="N6" s="30">
        <f t="shared" si="19"/>
        <v>7.6908516376418792</v>
      </c>
      <c r="O6" s="30">
        <f t="shared" si="19"/>
        <v>7.8998538734687953</v>
      </c>
      <c r="P6" s="30">
        <v>8.1088561092957097</v>
      </c>
      <c r="Q6" s="30">
        <f t="shared" ref="Q6:T6" si="20">P6+(($U6-$P6)/5)</f>
        <v>8.201834199940528</v>
      </c>
      <c r="R6" s="30">
        <f t="shared" si="20"/>
        <v>8.2948122905853463</v>
      </c>
      <c r="S6" s="30">
        <f t="shared" si="20"/>
        <v>8.3877903812301646</v>
      </c>
      <c r="T6" s="30">
        <f t="shared" si="20"/>
        <v>8.4807684718749829</v>
      </c>
      <c r="U6" s="30">
        <v>8.5737465625198013</v>
      </c>
      <c r="V6" s="30">
        <f t="shared" ref="V6:Y6" si="21">U6+(($Z6-$U6)/5)</f>
        <v>8.6527050769620466</v>
      </c>
      <c r="W6" s="30">
        <f t="shared" si="21"/>
        <v>8.7316635914042919</v>
      </c>
      <c r="X6" s="30">
        <f t="shared" si="21"/>
        <v>8.8106221058465373</v>
      </c>
      <c r="Y6" s="30">
        <f t="shared" si="21"/>
        <v>8.8895806202887826</v>
      </c>
      <c r="Z6" s="30">
        <v>8.9685391347310262</v>
      </c>
      <c r="AA6" s="30">
        <f t="shared" ref="AA6:AD6" si="22">Z6+(($AE6-$Z6)/5)</f>
        <v>9.0775552945147435</v>
      </c>
      <c r="AB6" s="30">
        <f t="shared" si="22"/>
        <v>9.1865714542984609</v>
      </c>
      <c r="AC6" s="30">
        <f t="shared" si="22"/>
        <v>9.2955876140821783</v>
      </c>
      <c r="AD6" s="30">
        <f t="shared" si="22"/>
        <v>9.4046037738658956</v>
      </c>
      <c r="AE6" s="30">
        <v>9.5136199336496112</v>
      </c>
      <c r="AF6" s="30">
        <f t="shared" ref="AF6:AI6" si="23">AE6+(($AJ6-$AE6)/5)</f>
        <v>9.6250522865587964</v>
      </c>
      <c r="AG6" s="30">
        <f t="shared" si="23"/>
        <v>9.7364846394679816</v>
      </c>
      <c r="AH6" s="30">
        <f t="shared" si="23"/>
        <v>9.8479169923771668</v>
      </c>
      <c r="AI6" s="30">
        <f t="shared" si="23"/>
        <v>9.959349345286352</v>
      </c>
      <c r="AJ6" s="30">
        <v>10.070781698195539</v>
      </c>
      <c r="AK6" s="31">
        <v>3.8847776591322436</v>
      </c>
      <c r="AL6" s="31">
        <v>1.089297706746617</v>
      </c>
    </row>
    <row r="7" spans="1:38" x14ac:dyDescent="0.3">
      <c r="A7" t="str">
        <f>VLOOKUP(B7,'Country codes'!$A$1:$B$28,2,FALSE)</f>
        <v>CZ</v>
      </c>
      <c r="B7" s="23" t="s">
        <v>94</v>
      </c>
      <c r="C7" s="24" t="s">
        <v>121</v>
      </c>
      <c r="D7" s="28" t="s">
        <v>122</v>
      </c>
      <c r="E7" s="29" t="s">
        <v>511</v>
      </c>
      <c r="F7" s="30">
        <v>68.37419574075885</v>
      </c>
      <c r="G7" s="30">
        <f t="shared" ref="G7:J7" si="24">F7+(($K7-$F7)/5)</f>
        <v>70.686250589319712</v>
      </c>
      <c r="H7" s="30">
        <f t="shared" si="24"/>
        <v>72.998305437880575</v>
      </c>
      <c r="I7" s="30">
        <f t="shared" si="24"/>
        <v>75.310360286441437</v>
      </c>
      <c r="J7" s="30">
        <f t="shared" si="24"/>
        <v>77.622415135002299</v>
      </c>
      <c r="K7" s="30">
        <v>79.934469983563176</v>
      </c>
      <c r="L7" s="30">
        <f t="shared" ref="L7:O7" si="25">K7+(($P7-$K7)/5)</f>
        <v>81.800342628886185</v>
      </c>
      <c r="M7" s="30">
        <f t="shared" si="25"/>
        <v>83.666215274209193</v>
      </c>
      <c r="N7" s="30">
        <f t="shared" si="25"/>
        <v>85.532087919532202</v>
      </c>
      <c r="O7" s="30">
        <f t="shared" si="25"/>
        <v>87.397960564855211</v>
      </c>
      <c r="P7" s="30">
        <v>89.26383321017822</v>
      </c>
      <c r="Q7" s="30">
        <f t="shared" ref="Q7:T7" si="26">P7+(($U7-$P7)/5)</f>
        <v>90.521307062989777</v>
      </c>
      <c r="R7" s="30">
        <f t="shared" si="26"/>
        <v>91.778780915801335</v>
      </c>
      <c r="S7" s="30">
        <f t="shared" si="26"/>
        <v>93.036254768612892</v>
      </c>
      <c r="T7" s="30">
        <f t="shared" si="26"/>
        <v>94.293728621424449</v>
      </c>
      <c r="U7" s="30">
        <v>95.551202474236021</v>
      </c>
      <c r="V7" s="30">
        <f t="shared" ref="V7:Y7" si="27">U7+(($Z7-$U7)/5)</f>
        <v>96.607193163631663</v>
      </c>
      <c r="W7" s="30">
        <f t="shared" si="27"/>
        <v>97.663183853027306</v>
      </c>
      <c r="X7" s="30">
        <f t="shared" si="27"/>
        <v>98.719174542422948</v>
      </c>
      <c r="Y7" s="30">
        <f t="shared" si="27"/>
        <v>99.77516523181859</v>
      </c>
      <c r="Z7" s="30">
        <v>100.83115592121425</v>
      </c>
      <c r="AA7" s="30">
        <f t="shared" ref="AA7:AD7" si="28">Z7+(($AE7-$Z7)/5)</f>
        <v>101.6627417997576</v>
      </c>
      <c r="AB7" s="30">
        <f t="shared" si="28"/>
        <v>102.49432767830095</v>
      </c>
      <c r="AC7" s="30">
        <f t="shared" si="28"/>
        <v>103.3259135568443</v>
      </c>
      <c r="AD7" s="30">
        <f t="shared" si="28"/>
        <v>104.15749943538765</v>
      </c>
      <c r="AE7" s="30">
        <v>104.989085313931</v>
      </c>
      <c r="AF7" s="30">
        <f t="shared" ref="AF7:AI7" si="29">AE7+(($AJ7-$AE7)/5)</f>
        <v>105.9697975758025</v>
      </c>
      <c r="AG7" s="30">
        <f t="shared" si="29"/>
        <v>106.95050983767401</v>
      </c>
      <c r="AH7" s="30">
        <f t="shared" si="29"/>
        <v>107.93122209954551</v>
      </c>
      <c r="AI7" s="30">
        <f t="shared" si="29"/>
        <v>108.91193436141701</v>
      </c>
      <c r="AJ7" s="30">
        <v>109.89264662328851</v>
      </c>
      <c r="AK7" s="31">
        <v>2.7018649969573483</v>
      </c>
      <c r="AL7" s="31">
        <v>1.0449596993284072</v>
      </c>
    </row>
    <row r="8" spans="1:38" x14ac:dyDescent="0.3">
      <c r="A8" t="str">
        <f>VLOOKUP(B8,'Country codes'!$A$1:$B$28,2,FALSE)</f>
        <v>DE</v>
      </c>
      <c r="B8" s="23" t="s">
        <v>95</v>
      </c>
      <c r="C8" s="24" t="s">
        <v>121</v>
      </c>
      <c r="D8" s="28" t="s">
        <v>122</v>
      </c>
      <c r="E8" s="29" t="s">
        <v>511</v>
      </c>
      <c r="F8" s="30">
        <v>874.67935308727112</v>
      </c>
      <c r="G8" s="30">
        <f t="shared" ref="G8:J8" si="30">F8+(($K8-$F8)/5)</f>
        <v>885.78529454765021</v>
      </c>
      <c r="H8" s="30">
        <f t="shared" si="30"/>
        <v>896.8912360080293</v>
      </c>
      <c r="I8" s="30">
        <f t="shared" si="30"/>
        <v>907.99717746840838</v>
      </c>
      <c r="J8" s="30">
        <f t="shared" si="30"/>
        <v>919.10311892878747</v>
      </c>
      <c r="K8" s="30">
        <v>930.20906038916667</v>
      </c>
      <c r="L8" s="30">
        <f t="shared" ref="L8:O8" si="31">K8+(($P8-$K8)/5)</f>
        <v>942.73829244657441</v>
      </c>
      <c r="M8" s="30">
        <f t="shared" si="31"/>
        <v>955.26752450398214</v>
      </c>
      <c r="N8" s="30">
        <f t="shared" si="31"/>
        <v>967.79675656138988</v>
      </c>
      <c r="O8" s="30">
        <f t="shared" si="31"/>
        <v>980.32598861879762</v>
      </c>
      <c r="P8" s="30">
        <v>992.85522067620559</v>
      </c>
      <c r="Q8" s="30">
        <f t="shared" ref="Q8:T8" si="32">P8+(($U8-$P8)/5)</f>
        <v>993.14643966370193</v>
      </c>
      <c r="R8" s="30">
        <f t="shared" si="32"/>
        <v>993.43765865119826</v>
      </c>
      <c r="S8" s="30">
        <f t="shared" si="32"/>
        <v>993.7288776386946</v>
      </c>
      <c r="T8" s="30">
        <f t="shared" si="32"/>
        <v>994.02009662619093</v>
      </c>
      <c r="U8" s="30">
        <v>994.3113156136875</v>
      </c>
      <c r="V8" s="30">
        <f t="shared" ref="V8:Y8" si="33">U8+(($Z8-$U8)/5)</f>
        <v>995.88339288998225</v>
      </c>
      <c r="W8" s="30">
        <f t="shared" si="33"/>
        <v>997.455470166277</v>
      </c>
      <c r="X8" s="30">
        <f t="shared" si="33"/>
        <v>999.02754744257174</v>
      </c>
      <c r="Y8" s="30">
        <f t="shared" si="33"/>
        <v>1000.5996247188665</v>
      </c>
      <c r="Z8" s="30">
        <v>1002.1717019951611</v>
      </c>
      <c r="AA8" s="30">
        <f t="shared" ref="AA8:AD8" si="34">Z8+(($AE8-$Z8)/5)</f>
        <v>1000.2802020382238</v>
      </c>
      <c r="AB8" s="30">
        <f t="shared" si="34"/>
        <v>998.38870208128651</v>
      </c>
      <c r="AC8" s="30">
        <f t="shared" si="34"/>
        <v>996.4972021243492</v>
      </c>
      <c r="AD8" s="30">
        <f t="shared" si="34"/>
        <v>994.60570216741189</v>
      </c>
      <c r="AE8" s="30">
        <v>992.71420221047458</v>
      </c>
      <c r="AF8" s="30">
        <f t="shared" ref="AF8:AI8" si="35">AE8+(($AJ8-$AE8)/5)</f>
        <v>996.40028310277387</v>
      </c>
      <c r="AG8" s="30">
        <f t="shared" si="35"/>
        <v>1000.0863639950732</v>
      </c>
      <c r="AH8" s="30">
        <f t="shared" si="35"/>
        <v>1003.7724448873724</v>
      </c>
      <c r="AI8" s="30">
        <f t="shared" si="35"/>
        <v>1007.4585257796717</v>
      </c>
      <c r="AJ8" s="30">
        <v>1011.1446066719712</v>
      </c>
      <c r="AK8" s="31">
        <v>1.2753388353510475</v>
      </c>
      <c r="AL8" s="31">
        <v>9.130860397630336E-2</v>
      </c>
    </row>
    <row r="9" spans="1:38" x14ac:dyDescent="0.3">
      <c r="A9" t="str">
        <f>VLOOKUP(B9,'Country codes'!$A$1:$B$28,2,FALSE)</f>
        <v>DK</v>
      </c>
      <c r="B9" s="23" t="s">
        <v>96</v>
      </c>
      <c r="C9" s="24" t="s">
        <v>121</v>
      </c>
      <c r="D9" s="28" t="s">
        <v>122</v>
      </c>
      <c r="E9" s="29" t="s">
        <v>511</v>
      </c>
      <c r="F9" s="30">
        <v>59.945371189109849</v>
      </c>
      <c r="G9" s="30">
        <f t="shared" ref="G9:J9" si="36">F9+(($K9-$F9)/5)</f>
        <v>61.135156355529709</v>
      </c>
      <c r="H9" s="30">
        <f t="shared" si="36"/>
        <v>62.324941521949569</v>
      </c>
      <c r="I9" s="30">
        <f t="shared" si="36"/>
        <v>63.514726688369429</v>
      </c>
      <c r="J9" s="30">
        <f t="shared" si="36"/>
        <v>64.704511854789288</v>
      </c>
      <c r="K9" s="30">
        <v>65.894297021209141</v>
      </c>
      <c r="L9" s="30">
        <f t="shared" ref="L9:O9" si="37">K9+(($P9-$K9)/5)</f>
        <v>66.879414741707677</v>
      </c>
      <c r="M9" s="30">
        <f t="shared" si="37"/>
        <v>67.864532462206213</v>
      </c>
      <c r="N9" s="30">
        <f t="shared" si="37"/>
        <v>68.84965018270475</v>
      </c>
      <c r="O9" s="30">
        <f t="shared" si="37"/>
        <v>69.834767903203286</v>
      </c>
      <c r="P9" s="30">
        <v>70.819885623701822</v>
      </c>
      <c r="Q9" s="30">
        <f t="shared" ref="Q9:T9" si="38">P9+(($U9-$P9)/5)</f>
        <v>71.152938009254939</v>
      </c>
      <c r="R9" s="30">
        <f t="shared" si="38"/>
        <v>71.485990394808056</v>
      </c>
      <c r="S9" s="30">
        <f t="shared" si="38"/>
        <v>71.819042780361173</v>
      </c>
      <c r="T9" s="30">
        <f t="shared" si="38"/>
        <v>72.15209516591429</v>
      </c>
      <c r="U9" s="30">
        <v>72.485147551467435</v>
      </c>
      <c r="V9" s="30">
        <f t="shared" ref="V9:Y9" si="39">U9+(($Z9-$U9)/5)</f>
        <v>72.68865147253203</v>
      </c>
      <c r="W9" s="30">
        <f t="shared" si="39"/>
        <v>72.892155393596624</v>
      </c>
      <c r="X9" s="30">
        <f t="shared" si="39"/>
        <v>73.095659314661219</v>
      </c>
      <c r="Y9" s="30">
        <f t="shared" si="39"/>
        <v>73.299163235725814</v>
      </c>
      <c r="Z9" s="30">
        <v>73.50266715679038</v>
      </c>
      <c r="AA9" s="30">
        <f t="shared" ref="AA9:AD9" si="40">Z9+(($AE9-$Z9)/5)</f>
        <v>73.696277182257248</v>
      </c>
      <c r="AB9" s="30">
        <f t="shared" si="40"/>
        <v>73.889887207724115</v>
      </c>
      <c r="AC9" s="30">
        <f t="shared" si="40"/>
        <v>74.083497233190982</v>
      </c>
      <c r="AD9" s="30">
        <f t="shared" si="40"/>
        <v>74.27710725865785</v>
      </c>
      <c r="AE9" s="30">
        <v>74.470717284124703</v>
      </c>
      <c r="AF9" s="30">
        <f t="shared" ref="AF9:AI9" si="41">AE9+(($AJ9-$AE9)/5)</f>
        <v>74.66224415430608</v>
      </c>
      <c r="AG9" s="30">
        <f t="shared" si="41"/>
        <v>74.853771024487457</v>
      </c>
      <c r="AH9" s="30">
        <f t="shared" si="41"/>
        <v>75.045297894668835</v>
      </c>
      <c r="AI9" s="30">
        <f t="shared" si="41"/>
        <v>75.236824764850212</v>
      </c>
      <c r="AJ9" s="30">
        <v>75.428351635031575</v>
      </c>
      <c r="AK9" s="31">
        <v>1.6810346543889576</v>
      </c>
      <c r="AL9" s="31">
        <v>0.31571427634780047</v>
      </c>
    </row>
    <row r="10" spans="1:38" x14ac:dyDescent="0.3">
      <c r="A10" t="str">
        <f>VLOOKUP(B10,'Country codes'!$A$1:$B$28,2,FALSE)</f>
        <v>EE</v>
      </c>
      <c r="B10" s="23" t="s">
        <v>97</v>
      </c>
      <c r="C10" s="24" t="s">
        <v>121</v>
      </c>
      <c r="D10" s="28" t="s">
        <v>122</v>
      </c>
      <c r="E10" s="29" t="s">
        <v>511</v>
      </c>
      <c r="F10" s="30">
        <v>12.613557046041862</v>
      </c>
      <c r="G10" s="30">
        <f t="shared" ref="G10:J10" si="42">F10+(($K10-$F10)/5)</f>
        <v>12.876674529523475</v>
      </c>
      <c r="H10" s="30">
        <f t="shared" si="42"/>
        <v>13.139792013005088</v>
      </c>
      <c r="I10" s="30">
        <f t="shared" si="42"/>
        <v>13.402909496486702</v>
      </c>
      <c r="J10" s="30">
        <f t="shared" si="42"/>
        <v>13.666026979968315</v>
      </c>
      <c r="K10" s="30">
        <v>13.929144463449928</v>
      </c>
      <c r="L10" s="30">
        <f t="shared" ref="L10:O10" si="43">K10+(($P10-$K10)/5)</f>
        <v>14.204441851172383</v>
      </c>
      <c r="M10" s="30">
        <f t="shared" si="43"/>
        <v>14.479739238894838</v>
      </c>
      <c r="N10" s="30">
        <f t="shared" si="43"/>
        <v>14.755036626617294</v>
      </c>
      <c r="O10" s="30">
        <f t="shared" si="43"/>
        <v>15.030334014339749</v>
      </c>
      <c r="P10" s="30">
        <v>15.3056314020622</v>
      </c>
      <c r="Q10" s="30">
        <f t="shared" ref="Q10:T10" si="44">P10+(($U10-$P10)/5)</f>
        <v>15.509851757150294</v>
      </c>
      <c r="R10" s="30">
        <f t="shared" si="44"/>
        <v>15.714072112238387</v>
      </c>
      <c r="S10" s="30">
        <f t="shared" si="44"/>
        <v>15.918292467326481</v>
      </c>
      <c r="T10" s="30">
        <f t="shared" si="44"/>
        <v>16.122512822414574</v>
      </c>
      <c r="U10" s="30">
        <v>16.326733177502668</v>
      </c>
      <c r="V10" s="30">
        <f t="shared" ref="V10:Y10" si="45">U10+(($Z10-$U10)/5)</f>
        <v>16.485697436214831</v>
      </c>
      <c r="W10" s="30">
        <f t="shared" si="45"/>
        <v>16.644661694926995</v>
      </c>
      <c r="X10" s="30">
        <f t="shared" si="45"/>
        <v>16.803625953639159</v>
      </c>
      <c r="Y10" s="30">
        <f t="shared" si="45"/>
        <v>16.962590212351323</v>
      </c>
      <c r="Z10" s="30">
        <v>17.121554471063494</v>
      </c>
      <c r="AA10" s="30">
        <f t="shared" ref="AA10:AD10" si="46">Z10+(($AE10-$Z10)/5)</f>
        <v>17.158483205246746</v>
      </c>
      <c r="AB10" s="30">
        <f t="shared" si="46"/>
        <v>17.195411939429999</v>
      </c>
      <c r="AC10" s="30">
        <f t="shared" si="46"/>
        <v>17.232340673613251</v>
      </c>
      <c r="AD10" s="30">
        <f t="shared" si="46"/>
        <v>17.269269407796504</v>
      </c>
      <c r="AE10" s="30">
        <v>17.306198141979763</v>
      </c>
      <c r="AF10" s="30">
        <f t="shared" ref="AF10:AI10" si="47">AE10+(($AJ10-$AE10)/5)</f>
        <v>17.366188532597366</v>
      </c>
      <c r="AG10" s="30">
        <f t="shared" si="47"/>
        <v>17.42617892321497</v>
      </c>
      <c r="AH10" s="30">
        <f t="shared" si="47"/>
        <v>17.486169313832573</v>
      </c>
      <c r="AI10" s="30">
        <f t="shared" si="47"/>
        <v>17.546159704450176</v>
      </c>
      <c r="AJ10" s="30">
        <v>17.606150095067783</v>
      </c>
      <c r="AK10" s="31">
        <v>1.9533187740795155</v>
      </c>
      <c r="AL10" s="31">
        <v>0.70259395123095647</v>
      </c>
    </row>
    <row r="11" spans="1:38" x14ac:dyDescent="0.3">
      <c r="A11" t="str">
        <f>VLOOKUP(B11,'Country codes'!$A$1:$B$28,2,FALSE)</f>
        <v>ES</v>
      </c>
      <c r="B11" s="23" t="s">
        <v>98</v>
      </c>
      <c r="C11" s="24" t="s">
        <v>121</v>
      </c>
      <c r="D11" s="28" t="s">
        <v>122</v>
      </c>
      <c r="E11" s="29" t="s">
        <v>511</v>
      </c>
      <c r="F11" s="30">
        <v>234.41382145739556</v>
      </c>
      <c r="G11" s="30">
        <f t="shared" ref="G11:J11" si="48">F11+(($K11-$F11)/5)</f>
        <v>255.66690553908592</v>
      </c>
      <c r="H11" s="30">
        <f t="shared" si="48"/>
        <v>276.91998962077628</v>
      </c>
      <c r="I11" s="30">
        <f t="shared" si="48"/>
        <v>298.17307370246664</v>
      </c>
      <c r="J11" s="30">
        <f t="shared" si="48"/>
        <v>319.426157784157</v>
      </c>
      <c r="K11" s="30">
        <v>340.67924186584742</v>
      </c>
      <c r="L11" s="30">
        <f t="shared" ref="L11:O11" si="49">K11+(($P11-$K11)/5)</f>
        <v>345.11406200112856</v>
      </c>
      <c r="M11" s="30">
        <f t="shared" si="49"/>
        <v>349.5488821364097</v>
      </c>
      <c r="N11" s="30">
        <f t="shared" si="49"/>
        <v>353.98370227169085</v>
      </c>
      <c r="O11" s="30">
        <f t="shared" si="49"/>
        <v>358.41852240697199</v>
      </c>
      <c r="P11" s="30">
        <v>362.85334254225324</v>
      </c>
      <c r="Q11" s="30">
        <f t="shared" ref="Q11:T11" si="50">P11+(($U11-$P11)/5)</f>
        <v>367.70171619309355</v>
      </c>
      <c r="R11" s="30">
        <f t="shared" si="50"/>
        <v>372.55008984393385</v>
      </c>
      <c r="S11" s="30">
        <f t="shared" si="50"/>
        <v>377.39846349477415</v>
      </c>
      <c r="T11" s="30">
        <f t="shared" si="50"/>
        <v>382.24683714561445</v>
      </c>
      <c r="U11" s="30">
        <v>387.09521079645464</v>
      </c>
      <c r="V11" s="30">
        <f t="shared" ref="V11:Y11" si="51">U11+(($Z11-$U11)/5)</f>
        <v>391.29672308716846</v>
      </c>
      <c r="W11" s="30">
        <f t="shared" si="51"/>
        <v>395.49823537788228</v>
      </c>
      <c r="X11" s="30">
        <f t="shared" si="51"/>
        <v>399.6997476685961</v>
      </c>
      <c r="Y11" s="30">
        <f t="shared" si="51"/>
        <v>403.90125995930993</v>
      </c>
      <c r="Z11" s="30">
        <v>408.10277225002369</v>
      </c>
      <c r="AA11" s="30">
        <f t="shared" ref="AA11:AD11" si="52">Z11+(($AE11-$Z11)/5)</f>
        <v>412.7509708091153</v>
      </c>
      <c r="AB11" s="30">
        <f t="shared" si="52"/>
        <v>417.39916936820691</v>
      </c>
      <c r="AC11" s="30">
        <f t="shared" si="52"/>
        <v>422.04736792729852</v>
      </c>
      <c r="AD11" s="30">
        <f t="shared" si="52"/>
        <v>426.69556648639013</v>
      </c>
      <c r="AE11" s="30">
        <v>431.34376504548175</v>
      </c>
      <c r="AF11" s="30">
        <f t="shared" ref="AF11:AI11" si="53">AE11+(($AJ11-$AE11)/5)</f>
        <v>436.44677573164961</v>
      </c>
      <c r="AG11" s="30">
        <f t="shared" si="53"/>
        <v>441.54978641781747</v>
      </c>
      <c r="AH11" s="30">
        <f t="shared" si="53"/>
        <v>446.65279710398534</v>
      </c>
      <c r="AI11" s="30">
        <f t="shared" si="53"/>
        <v>451.7558077901532</v>
      </c>
      <c r="AJ11" s="30">
        <v>456.85881847632112</v>
      </c>
      <c r="AK11" s="31">
        <v>4.46595800596159</v>
      </c>
      <c r="AL11" s="31">
        <v>1.1585380370083165</v>
      </c>
    </row>
    <row r="12" spans="1:38" x14ac:dyDescent="0.3">
      <c r="A12" t="str">
        <f>VLOOKUP(B12,'Country codes'!$A$1:$B$28,2,FALSE)</f>
        <v>FI</v>
      </c>
      <c r="B12" s="23" t="s">
        <v>99</v>
      </c>
      <c r="C12" s="24" t="s">
        <v>121</v>
      </c>
      <c r="D12" s="28" t="s">
        <v>122</v>
      </c>
      <c r="E12" s="29" t="s">
        <v>511</v>
      </c>
      <c r="F12" s="30">
        <v>64.357892422262267</v>
      </c>
      <c r="G12" s="30">
        <f t="shared" ref="G12:J12" si="54">F12+(($K12-$F12)/5)</f>
        <v>65.191023070337167</v>
      </c>
      <c r="H12" s="30">
        <f t="shared" si="54"/>
        <v>66.024153718412066</v>
      </c>
      <c r="I12" s="30">
        <f t="shared" si="54"/>
        <v>66.857284366486965</v>
      </c>
      <c r="J12" s="30">
        <f t="shared" si="54"/>
        <v>67.690415014561864</v>
      </c>
      <c r="K12" s="30">
        <v>68.523545662636749</v>
      </c>
      <c r="L12" s="30">
        <f t="shared" ref="L12:O12" si="55">K12+(($P12-$K12)/5)</f>
        <v>68.777892088883846</v>
      </c>
      <c r="M12" s="30">
        <f t="shared" si="55"/>
        <v>69.032238515130942</v>
      </c>
      <c r="N12" s="30">
        <f t="shared" si="55"/>
        <v>69.286584941378038</v>
      </c>
      <c r="O12" s="30">
        <f t="shared" si="55"/>
        <v>69.540931367625134</v>
      </c>
      <c r="P12" s="30">
        <v>69.795277793872202</v>
      </c>
      <c r="Q12" s="30">
        <f t="shared" ref="Q12:T12" si="56">P12+(($U12-$P12)/5)</f>
        <v>69.801696360996758</v>
      </c>
      <c r="R12" s="30">
        <f t="shared" si="56"/>
        <v>69.808114928121313</v>
      </c>
      <c r="S12" s="30">
        <f t="shared" si="56"/>
        <v>69.814533495245868</v>
      </c>
      <c r="T12" s="30">
        <f t="shared" si="56"/>
        <v>69.820952062370424</v>
      </c>
      <c r="U12" s="30">
        <v>69.827370629494951</v>
      </c>
      <c r="V12" s="30">
        <f t="shared" ref="V12:Y12" si="57">U12+(($Z12-$U12)/5)</f>
        <v>69.717798596082289</v>
      </c>
      <c r="W12" s="30">
        <f t="shared" si="57"/>
        <v>69.608226562669628</v>
      </c>
      <c r="X12" s="30">
        <f t="shared" si="57"/>
        <v>69.498654529256967</v>
      </c>
      <c r="Y12" s="30">
        <f t="shared" si="57"/>
        <v>69.389082495844306</v>
      </c>
      <c r="Z12" s="30">
        <v>69.279510462431617</v>
      </c>
      <c r="AA12" s="30">
        <f t="shared" ref="AA12:AD12" si="58">Z12+(($AE12-$Z12)/5)</f>
        <v>69.381060112962771</v>
      </c>
      <c r="AB12" s="30">
        <f t="shared" si="58"/>
        <v>69.482609763493926</v>
      </c>
      <c r="AC12" s="30">
        <f t="shared" si="58"/>
        <v>69.584159414025081</v>
      </c>
      <c r="AD12" s="30">
        <f t="shared" si="58"/>
        <v>69.685709064556235</v>
      </c>
      <c r="AE12" s="30">
        <v>69.787258715087376</v>
      </c>
      <c r="AF12" s="30">
        <f t="shared" ref="AF12:AI12" si="59">AE12+(($AJ12-$AE12)/5)</f>
        <v>69.933749636971328</v>
      </c>
      <c r="AG12" s="30">
        <f t="shared" si="59"/>
        <v>70.08024055885528</v>
      </c>
      <c r="AH12" s="30">
        <f t="shared" si="59"/>
        <v>70.226731480739232</v>
      </c>
      <c r="AI12" s="30">
        <f t="shared" si="59"/>
        <v>70.373222402623185</v>
      </c>
      <c r="AJ12" s="30">
        <v>70.519713324507137</v>
      </c>
      <c r="AK12" s="31">
        <v>0.81436585740997103</v>
      </c>
      <c r="AL12" s="31">
        <v>5.1643021713076998E-2</v>
      </c>
    </row>
    <row r="13" spans="1:38" x14ac:dyDescent="0.3">
      <c r="A13" t="str">
        <f>VLOOKUP(B13,'Country codes'!$A$1:$B$28,2,FALSE)</f>
        <v>FR</v>
      </c>
      <c r="B13" s="23" t="s">
        <v>100</v>
      </c>
      <c r="C13" s="24" t="s">
        <v>121</v>
      </c>
      <c r="D13" s="28" t="s">
        <v>122</v>
      </c>
      <c r="E13" s="29" t="s">
        <v>511</v>
      </c>
      <c r="F13" s="30">
        <v>565.0009253086414</v>
      </c>
      <c r="G13" s="30">
        <f t="shared" ref="G13:J13" si="60">F13+(($K13-$F13)/5)</f>
        <v>601.69164303092953</v>
      </c>
      <c r="H13" s="30">
        <f t="shared" si="60"/>
        <v>638.38236075321765</v>
      </c>
      <c r="I13" s="30">
        <f t="shared" si="60"/>
        <v>675.07307847550578</v>
      </c>
      <c r="J13" s="30">
        <f t="shared" si="60"/>
        <v>711.76379619779391</v>
      </c>
      <c r="K13" s="30">
        <v>748.45451392008181</v>
      </c>
      <c r="L13" s="30">
        <f t="shared" ref="L13:O13" si="61">K13+(($P13-$K13)/5)</f>
        <v>753.40114828984542</v>
      </c>
      <c r="M13" s="30">
        <f t="shared" si="61"/>
        <v>758.34778265960904</v>
      </c>
      <c r="N13" s="30">
        <f t="shared" si="61"/>
        <v>763.29441702937265</v>
      </c>
      <c r="O13" s="30">
        <f t="shared" si="61"/>
        <v>768.24105139913627</v>
      </c>
      <c r="P13" s="30">
        <v>773.18768576889977</v>
      </c>
      <c r="Q13" s="30">
        <f t="shared" ref="Q13:T13" si="62">P13+(($U13-$P13)/5)</f>
        <v>776.79973462814553</v>
      </c>
      <c r="R13" s="30">
        <f t="shared" si="62"/>
        <v>780.41178348739129</v>
      </c>
      <c r="S13" s="30">
        <f t="shared" si="62"/>
        <v>784.02383234663705</v>
      </c>
      <c r="T13" s="30">
        <f t="shared" si="62"/>
        <v>787.63588120588281</v>
      </c>
      <c r="U13" s="30">
        <v>791.24793006512868</v>
      </c>
      <c r="V13" s="30">
        <f t="shared" ref="V13:Y13" si="63">U13+(($Z13-$U13)/5)</f>
        <v>794.79141616102993</v>
      </c>
      <c r="W13" s="30">
        <f t="shared" si="63"/>
        <v>798.33490225693117</v>
      </c>
      <c r="X13" s="30">
        <f t="shared" si="63"/>
        <v>801.87838835283242</v>
      </c>
      <c r="Y13" s="30">
        <f t="shared" si="63"/>
        <v>805.42187444873366</v>
      </c>
      <c r="Z13" s="30">
        <v>808.9653605446349</v>
      </c>
      <c r="AA13" s="30">
        <f t="shared" ref="AA13:AD13" si="64">Z13+(($AE13-$Z13)/5)</f>
        <v>812.39367682941361</v>
      </c>
      <c r="AB13" s="30">
        <f t="shared" si="64"/>
        <v>815.82199311419231</v>
      </c>
      <c r="AC13" s="30">
        <f t="shared" si="64"/>
        <v>819.25030939897101</v>
      </c>
      <c r="AD13" s="30">
        <f t="shared" si="64"/>
        <v>822.67862568374971</v>
      </c>
      <c r="AE13" s="30">
        <v>826.1069419685283</v>
      </c>
      <c r="AF13" s="30">
        <f t="shared" ref="AF13:AI13" si="65">AE13+(($AJ13-$AE13)/5)</f>
        <v>829.09175334851864</v>
      </c>
      <c r="AG13" s="30">
        <f t="shared" si="65"/>
        <v>832.07656472850897</v>
      </c>
      <c r="AH13" s="30">
        <f t="shared" si="65"/>
        <v>835.0613761084993</v>
      </c>
      <c r="AI13" s="30">
        <f t="shared" si="65"/>
        <v>838.04618748848964</v>
      </c>
      <c r="AJ13" s="30">
        <v>841.03099886847986</v>
      </c>
      <c r="AK13" s="31">
        <v>3.1866651659884448</v>
      </c>
      <c r="AL13" s="31">
        <v>0.42141897260230543</v>
      </c>
    </row>
    <row r="14" spans="1:38" x14ac:dyDescent="0.3">
      <c r="A14" t="str">
        <f>VLOOKUP(B14,'Country codes'!$A$1:$B$28,2,FALSE)</f>
        <v>GR</v>
      </c>
      <c r="B14" s="23" t="s">
        <v>101</v>
      </c>
      <c r="C14" s="24" t="s">
        <v>121</v>
      </c>
      <c r="D14" s="28" t="s">
        <v>122</v>
      </c>
      <c r="E14" s="29" t="s">
        <v>511</v>
      </c>
      <c r="F14" s="30">
        <v>97.007872870558955</v>
      </c>
      <c r="G14" s="30">
        <f t="shared" ref="G14:J14" si="66">F14+(($K14-$F14)/5)</f>
        <v>99.801632594511702</v>
      </c>
      <c r="H14" s="30">
        <f t="shared" si="66"/>
        <v>102.59539231846445</v>
      </c>
      <c r="I14" s="30">
        <f t="shared" si="66"/>
        <v>105.38915204241719</v>
      </c>
      <c r="J14" s="30">
        <f t="shared" si="66"/>
        <v>108.18291176636994</v>
      </c>
      <c r="K14" s="30">
        <v>110.97667149032267</v>
      </c>
      <c r="L14" s="30">
        <f t="shared" ref="L14:O14" si="67">K14+(($P14-$K14)/5)</f>
        <v>112.09515356950037</v>
      </c>
      <c r="M14" s="30">
        <f t="shared" si="67"/>
        <v>113.21363564867806</v>
      </c>
      <c r="N14" s="30">
        <f t="shared" si="67"/>
        <v>114.33211772785576</v>
      </c>
      <c r="O14" s="30">
        <f t="shared" si="67"/>
        <v>115.45059980703346</v>
      </c>
      <c r="P14" s="30">
        <v>116.56908188621112</v>
      </c>
      <c r="Q14" s="30">
        <f t="shared" ref="Q14:T14" si="68">P14+(($U14-$P14)/5)</f>
        <v>117.21483578555923</v>
      </c>
      <c r="R14" s="30">
        <f t="shared" si="68"/>
        <v>117.86058968490734</v>
      </c>
      <c r="S14" s="30">
        <f t="shared" si="68"/>
        <v>118.50634358425545</v>
      </c>
      <c r="T14" s="30">
        <f t="shared" si="68"/>
        <v>119.15209748360355</v>
      </c>
      <c r="U14" s="30">
        <v>119.79785138295166</v>
      </c>
      <c r="V14" s="30">
        <f t="shared" ref="V14:Y14" si="69">U14+(($Z14-$U14)/5)</f>
        <v>119.56800606356902</v>
      </c>
      <c r="W14" s="30">
        <f t="shared" si="69"/>
        <v>119.33816074418637</v>
      </c>
      <c r="X14" s="30">
        <f t="shared" si="69"/>
        <v>119.10831542480372</v>
      </c>
      <c r="Y14" s="30">
        <f t="shared" si="69"/>
        <v>118.87847010542107</v>
      </c>
      <c r="Z14" s="30">
        <v>118.64862478603845</v>
      </c>
      <c r="AA14" s="30">
        <f t="shared" ref="AA14:AD14" si="70">Z14+(($AE14-$Z14)/5)</f>
        <v>118.74380923020679</v>
      </c>
      <c r="AB14" s="30">
        <f t="shared" si="70"/>
        <v>118.83899367437513</v>
      </c>
      <c r="AC14" s="30">
        <f t="shared" si="70"/>
        <v>118.93417811854347</v>
      </c>
      <c r="AD14" s="30">
        <f t="shared" si="70"/>
        <v>119.02936256271181</v>
      </c>
      <c r="AE14" s="30">
        <v>119.12454700688016</v>
      </c>
      <c r="AF14" s="30">
        <f t="shared" ref="AF14:AI14" si="71">AE14+(($AJ14-$AE14)/5)</f>
        <v>119.55037105740858</v>
      </c>
      <c r="AG14" s="30">
        <f t="shared" si="71"/>
        <v>119.976195107937</v>
      </c>
      <c r="AH14" s="30">
        <f t="shared" si="71"/>
        <v>120.40201915846542</v>
      </c>
      <c r="AI14" s="30">
        <f t="shared" si="71"/>
        <v>120.82784320899384</v>
      </c>
      <c r="AJ14" s="30">
        <v>121.25366725952223</v>
      </c>
      <c r="AK14" s="31">
        <v>1.8538945043208299</v>
      </c>
      <c r="AL14" s="31">
        <v>0.19719767924470943</v>
      </c>
    </row>
    <row r="15" spans="1:38" x14ac:dyDescent="0.3">
      <c r="A15" t="str">
        <f>VLOOKUP(B15,'Country codes'!$A$1:$B$28,2,FALSE)</f>
        <v>HR</v>
      </c>
      <c r="B15" s="23" t="s">
        <v>102</v>
      </c>
      <c r="C15" s="24" t="s">
        <v>121</v>
      </c>
      <c r="D15" s="28" t="s">
        <v>122</v>
      </c>
      <c r="E15" s="29" t="s">
        <v>511</v>
      </c>
      <c r="F15" s="30">
        <v>23.235921774267144</v>
      </c>
      <c r="G15" s="30">
        <f t="shared" ref="G15:J15" si="72">F15+(($K15-$F15)/5)</f>
        <v>24.302627603558708</v>
      </c>
      <c r="H15" s="30">
        <f t="shared" si="72"/>
        <v>25.369333432850272</v>
      </c>
      <c r="I15" s="30">
        <f t="shared" si="72"/>
        <v>26.436039262141836</v>
      </c>
      <c r="J15" s="30">
        <f t="shared" si="72"/>
        <v>27.5027450914334</v>
      </c>
      <c r="K15" s="30">
        <v>28.569450920724965</v>
      </c>
      <c r="L15" s="30">
        <f t="shared" ref="L15:O15" si="73">K15+(($P15-$K15)/5)</f>
        <v>29.234260264216751</v>
      </c>
      <c r="M15" s="30">
        <f t="shared" si="73"/>
        <v>29.899069607708537</v>
      </c>
      <c r="N15" s="30">
        <f t="shared" si="73"/>
        <v>30.563878951200323</v>
      </c>
      <c r="O15" s="30">
        <f t="shared" si="73"/>
        <v>31.228688294692109</v>
      </c>
      <c r="P15" s="30">
        <v>31.893497638183902</v>
      </c>
      <c r="Q15" s="30">
        <f t="shared" ref="Q15:T15" si="74">P15+(($U15-$P15)/5)</f>
        <v>32.153104745574289</v>
      </c>
      <c r="R15" s="30">
        <f t="shared" si="74"/>
        <v>32.412711852964676</v>
      </c>
      <c r="S15" s="30">
        <f t="shared" si="74"/>
        <v>32.672318960355064</v>
      </c>
      <c r="T15" s="30">
        <f t="shared" si="74"/>
        <v>32.931926067745451</v>
      </c>
      <c r="U15" s="30">
        <v>33.191533175135845</v>
      </c>
      <c r="V15" s="30">
        <f t="shared" ref="V15:Y15" si="75">U15+(($Z15-$U15)/5)</f>
        <v>33.48226533002795</v>
      </c>
      <c r="W15" s="30">
        <f t="shared" si="75"/>
        <v>33.772997484920054</v>
      </c>
      <c r="X15" s="30">
        <f t="shared" si="75"/>
        <v>34.063729639812159</v>
      </c>
      <c r="Y15" s="30">
        <f t="shared" si="75"/>
        <v>34.354461794704264</v>
      </c>
      <c r="Z15" s="30">
        <v>34.645193949596369</v>
      </c>
      <c r="AA15" s="30">
        <f t="shared" ref="AA15:AD15" si="76">Z15+(($AE15-$Z15)/5)</f>
        <v>34.848109102971293</v>
      </c>
      <c r="AB15" s="30">
        <f t="shared" si="76"/>
        <v>35.051024256346217</v>
      </c>
      <c r="AC15" s="30">
        <f t="shared" si="76"/>
        <v>35.253939409721141</v>
      </c>
      <c r="AD15" s="30">
        <f t="shared" si="76"/>
        <v>35.456854563096066</v>
      </c>
      <c r="AE15" s="30">
        <v>35.659769716470997</v>
      </c>
      <c r="AF15" s="30">
        <f t="shared" ref="AF15:AI15" si="77">AE15+(($AJ15-$AE15)/5)</f>
        <v>35.877644689666326</v>
      </c>
      <c r="AG15" s="30">
        <f t="shared" si="77"/>
        <v>36.095519662861655</v>
      </c>
      <c r="AH15" s="30">
        <f t="shared" si="77"/>
        <v>36.313394636056984</v>
      </c>
      <c r="AI15" s="30">
        <f t="shared" si="77"/>
        <v>36.531269609252313</v>
      </c>
      <c r="AJ15" s="30">
        <v>36.749144582447641</v>
      </c>
      <c r="AK15" s="31">
        <v>3.2177111460843344</v>
      </c>
      <c r="AL15" s="31">
        <v>0.71108023163028999</v>
      </c>
    </row>
    <row r="16" spans="1:38" x14ac:dyDescent="0.3">
      <c r="A16" t="str">
        <f>VLOOKUP(B16,'Country codes'!$A$1:$B$28,2,FALSE)</f>
        <v>HU</v>
      </c>
      <c r="B16" s="23" t="s">
        <v>103</v>
      </c>
      <c r="C16" s="24" t="s">
        <v>121</v>
      </c>
      <c r="D16" s="28" t="s">
        <v>122</v>
      </c>
      <c r="E16" s="29" t="s">
        <v>511</v>
      </c>
      <c r="F16" s="30">
        <v>55.879376289522469</v>
      </c>
      <c r="G16" s="30">
        <f t="shared" ref="G16:J16" si="78">F16+(($K16-$F16)/5)</f>
        <v>58.122701421531417</v>
      </c>
      <c r="H16" s="30">
        <f t="shared" si="78"/>
        <v>60.366026553540365</v>
      </c>
      <c r="I16" s="30">
        <f t="shared" si="78"/>
        <v>62.609351685549314</v>
      </c>
      <c r="J16" s="30">
        <f t="shared" si="78"/>
        <v>64.852676817558262</v>
      </c>
      <c r="K16" s="30">
        <v>67.096001949567224</v>
      </c>
      <c r="L16" s="30">
        <f t="shared" ref="L16:O16" si="79">K16+(($P16-$K16)/5)</f>
        <v>68.758611387518442</v>
      </c>
      <c r="M16" s="30">
        <f t="shared" si="79"/>
        <v>70.421220825469661</v>
      </c>
      <c r="N16" s="30">
        <f t="shared" si="79"/>
        <v>72.083830263420879</v>
      </c>
      <c r="O16" s="30">
        <f t="shared" si="79"/>
        <v>73.746439701372097</v>
      </c>
      <c r="P16" s="30">
        <v>75.409049139323315</v>
      </c>
      <c r="Q16" s="30">
        <f t="shared" ref="Q16:T16" si="80">P16+(($U16-$P16)/5)</f>
        <v>76.734379943962779</v>
      </c>
      <c r="R16" s="30">
        <f t="shared" si="80"/>
        <v>78.059710748602242</v>
      </c>
      <c r="S16" s="30">
        <f t="shared" si="80"/>
        <v>79.385041553241706</v>
      </c>
      <c r="T16" s="30">
        <f t="shared" si="80"/>
        <v>80.71037235788117</v>
      </c>
      <c r="U16" s="30">
        <v>82.035703162520633</v>
      </c>
      <c r="V16" s="30">
        <f t="shared" ref="V16:Y16" si="81">U16+(($Z16-$U16)/5)</f>
        <v>83.162035594165445</v>
      </c>
      <c r="W16" s="30">
        <f t="shared" si="81"/>
        <v>84.288368025810257</v>
      </c>
      <c r="X16" s="30">
        <f t="shared" si="81"/>
        <v>85.414700457455069</v>
      </c>
      <c r="Y16" s="30">
        <f t="shared" si="81"/>
        <v>86.541032889099881</v>
      </c>
      <c r="Z16" s="30">
        <v>87.667365320744722</v>
      </c>
      <c r="AA16" s="30">
        <f t="shared" ref="AA16:AD16" si="82">Z16+(($AE16-$Z16)/5)</f>
        <v>88.434047266980343</v>
      </c>
      <c r="AB16" s="30">
        <f t="shared" si="82"/>
        <v>89.200729213215965</v>
      </c>
      <c r="AC16" s="30">
        <f t="shared" si="82"/>
        <v>89.967411159451586</v>
      </c>
      <c r="AD16" s="30">
        <f t="shared" si="82"/>
        <v>90.734093105687208</v>
      </c>
      <c r="AE16" s="30">
        <v>91.50077505192283</v>
      </c>
      <c r="AF16" s="30">
        <f t="shared" ref="AF16:AI16" si="83">AE16+(($AJ16-$AE16)/5)</f>
        <v>92.290040516423431</v>
      </c>
      <c r="AG16" s="30">
        <f t="shared" si="83"/>
        <v>93.079305980924033</v>
      </c>
      <c r="AH16" s="30">
        <f t="shared" si="83"/>
        <v>93.868571445424635</v>
      </c>
      <c r="AI16" s="30">
        <f t="shared" si="83"/>
        <v>94.657836909925237</v>
      </c>
      <c r="AJ16" s="30">
        <v>95.447102374425825</v>
      </c>
      <c r="AK16" s="31">
        <v>3.0426908888972592</v>
      </c>
      <c r="AL16" s="31">
        <v>1.18519295266446</v>
      </c>
    </row>
    <row r="17" spans="1:38" x14ac:dyDescent="0.3">
      <c r="A17" t="str">
        <f>VLOOKUP(B17,'Country codes'!$A$1:$B$28,2,FALSE)</f>
        <v>IE</v>
      </c>
      <c r="B17" s="23" t="s">
        <v>104</v>
      </c>
      <c r="C17" s="24" t="s">
        <v>121</v>
      </c>
      <c r="D17" s="28" t="s">
        <v>122</v>
      </c>
      <c r="E17" s="29" t="s">
        <v>511</v>
      </c>
      <c r="F17" s="30">
        <v>45.535978859877119</v>
      </c>
      <c r="G17" s="30">
        <f t="shared" ref="G17:J17" si="84">F17+(($K17-$F17)/5)</f>
        <v>47.649571097194396</v>
      </c>
      <c r="H17" s="30">
        <f t="shared" si="84"/>
        <v>49.763163334511674</v>
      </c>
      <c r="I17" s="30">
        <f t="shared" si="84"/>
        <v>51.876755571828951</v>
      </c>
      <c r="J17" s="30">
        <f t="shared" si="84"/>
        <v>53.990347809146229</v>
      </c>
      <c r="K17" s="30">
        <v>56.103940046463514</v>
      </c>
      <c r="L17" s="30">
        <f t="shared" ref="L17:O17" si="85">K17+(($P17-$K17)/5)</f>
        <v>57.188041900524297</v>
      </c>
      <c r="M17" s="30">
        <f t="shared" si="85"/>
        <v>58.27214375458508</v>
      </c>
      <c r="N17" s="30">
        <f t="shared" si="85"/>
        <v>59.356245608645864</v>
      </c>
      <c r="O17" s="30">
        <f t="shared" si="85"/>
        <v>60.440347462706647</v>
      </c>
      <c r="P17" s="30">
        <v>61.524449316767424</v>
      </c>
      <c r="Q17" s="30">
        <f t="shared" ref="Q17:T17" si="86">P17+(($U17-$P17)/5)</f>
        <v>62.217066616909911</v>
      </c>
      <c r="R17" s="30">
        <f t="shared" si="86"/>
        <v>62.909683917052398</v>
      </c>
      <c r="S17" s="30">
        <f t="shared" si="86"/>
        <v>63.602301217194885</v>
      </c>
      <c r="T17" s="30">
        <f t="shared" si="86"/>
        <v>64.294918517337379</v>
      </c>
      <c r="U17" s="30">
        <v>64.987535817479866</v>
      </c>
      <c r="V17" s="30">
        <f t="shared" ref="V17:Y17" si="87">U17+(($Z17-$U17)/5)</f>
        <v>65.458396657037184</v>
      </c>
      <c r="W17" s="30">
        <f t="shared" si="87"/>
        <v>65.929257496594502</v>
      </c>
      <c r="X17" s="30">
        <f t="shared" si="87"/>
        <v>66.40011833615182</v>
      </c>
      <c r="Y17" s="30">
        <f t="shared" si="87"/>
        <v>66.870979175709138</v>
      </c>
      <c r="Z17" s="30">
        <v>67.34184001526647</v>
      </c>
      <c r="AA17" s="30">
        <f t="shared" ref="AA17:AD17" si="88">Z17+(($AE17-$Z17)/5)</f>
        <v>67.802368551629272</v>
      </c>
      <c r="AB17" s="30">
        <f t="shared" si="88"/>
        <v>68.262897087992073</v>
      </c>
      <c r="AC17" s="30">
        <f t="shared" si="88"/>
        <v>68.723425624354874</v>
      </c>
      <c r="AD17" s="30">
        <f t="shared" si="88"/>
        <v>69.183954160717676</v>
      </c>
      <c r="AE17" s="30">
        <v>69.644482697080477</v>
      </c>
      <c r="AF17" s="30">
        <f t="shared" ref="AF17:AI17" si="89">AE17+(($AJ17-$AE17)/5)</f>
        <v>70.117519301367267</v>
      </c>
      <c r="AG17" s="30">
        <f t="shared" si="89"/>
        <v>70.590555905654057</v>
      </c>
      <c r="AH17" s="30">
        <f t="shared" si="89"/>
        <v>71.063592509940847</v>
      </c>
      <c r="AI17" s="30">
        <f t="shared" si="89"/>
        <v>71.536629114227637</v>
      </c>
      <c r="AJ17" s="30">
        <v>72.009665718514441</v>
      </c>
      <c r="AK17" s="31">
        <v>3.0550565251505901</v>
      </c>
      <c r="AL17" s="31">
        <v>0.78993218269438614</v>
      </c>
    </row>
    <row r="18" spans="1:38" x14ac:dyDescent="0.3">
      <c r="A18" t="str">
        <f>VLOOKUP(B18,'Country codes'!$A$1:$B$28,2,FALSE)</f>
        <v>IT</v>
      </c>
      <c r="B18" s="23" t="s">
        <v>105</v>
      </c>
      <c r="C18" s="24" t="s">
        <v>121</v>
      </c>
      <c r="D18" s="28" t="s">
        <v>122</v>
      </c>
      <c r="E18" s="29" t="s">
        <v>511</v>
      </c>
      <c r="F18" s="30">
        <v>544.40042719300664</v>
      </c>
      <c r="G18" s="30">
        <f t="shared" ref="G18:J18" si="90">F18+(($K18-$F18)/5)</f>
        <v>588.43277064544236</v>
      </c>
      <c r="H18" s="30">
        <f t="shared" si="90"/>
        <v>632.46511409787809</v>
      </c>
      <c r="I18" s="30">
        <f t="shared" si="90"/>
        <v>676.49745755031381</v>
      </c>
      <c r="J18" s="30">
        <f t="shared" si="90"/>
        <v>720.52980100274954</v>
      </c>
      <c r="K18" s="30">
        <v>764.56214445518526</v>
      </c>
      <c r="L18" s="30">
        <f t="shared" ref="L18:O18" si="91">K18+(($P18-$K18)/5)</f>
        <v>763.62721006195966</v>
      </c>
      <c r="M18" s="30">
        <f t="shared" si="91"/>
        <v>762.69227566873406</v>
      </c>
      <c r="N18" s="30">
        <f t="shared" si="91"/>
        <v>761.75734127550845</v>
      </c>
      <c r="O18" s="30">
        <f t="shared" si="91"/>
        <v>760.82240688228285</v>
      </c>
      <c r="P18" s="30">
        <v>759.88747248905702</v>
      </c>
      <c r="Q18" s="30">
        <f t="shared" ref="Q18:T18" si="92">P18+(($U18-$P18)/5)</f>
        <v>764.160192907387</v>
      </c>
      <c r="R18" s="30">
        <f t="shared" si="92"/>
        <v>768.43291332571698</v>
      </c>
      <c r="S18" s="30">
        <f t="shared" si="92"/>
        <v>772.70563374404696</v>
      </c>
      <c r="T18" s="30">
        <f t="shared" si="92"/>
        <v>776.97835416237695</v>
      </c>
      <c r="U18" s="30">
        <v>781.25107458070715</v>
      </c>
      <c r="V18" s="30">
        <f t="shared" ref="V18:Y18" si="93">U18+(($Z18-$U18)/5)</f>
        <v>787.36225933308629</v>
      </c>
      <c r="W18" s="30">
        <f t="shared" si="93"/>
        <v>793.47344408546542</v>
      </c>
      <c r="X18" s="30">
        <f t="shared" si="93"/>
        <v>799.58462883784455</v>
      </c>
      <c r="Y18" s="30">
        <f t="shared" si="93"/>
        <v>805.69581359022368</v>
      </c>
      <c r="Z18" s="30">
        <v>811.80699834260304</v>
      </c>
      <c r="AA18" s="30">
        <f t="shared" ref="AA18:AD18" si="94">Z18+(($AE18-$Z18)/5)</f>
        <v>814.46456715809177</v>
      </c>
      <c r="AB18" s="30">
        <f t="shared" si="94"/>
        <v>817.1221359735805</v>
      </c>
      <c r="AC18" s="30">
        <f t="shared" si="94"/>
        <v>819.77970478906923</v>
      </c>
      <c r="AD18" s="30">
        <f t="shared" si="94"/>
        <v>822.43727360455796</v>
      </c>
      <c r="AE18" s="30">
        <v>825.09484242004669</v>
      </c>
      <c r="AF18" s="30">
        <f t="shared" ref="AF18:AI18" si="95">AE18+(($AJ18-$AE18)/5)</f>
        <v>827.98584315551273</v>
      </c>
      <c r="AG18" s="30">
        <f t="shared" si="95"/>
        <v>830.87684389097876</v>
      </c>
      <c r="AH18" s="30">
        <f t="shared" si="95"/>
        <v>833.7678446264448</v>
      </c>
      <c r="AI18" s="30">
        <f t="shared" si="95"/>
        <v>836.65884536191083</v>
      </c>
      <c r="AJ18" s="30">
        <v>839.54984609737687</v>
      </c>
      <c r="AK18" s="31">
        <v>3.3910825839260195</v>
      </c>
      <c r="AL18" s="31">
        <v>0.49972192022846862</v>
      </c>
    </row>
    <row r="19" spans="1:38" x14ac:dyDescent="0.3">
      <c r="A19" t="str">
        <f>VLOOKUP(B19,'Country codes'!$A$1:$B$28,2,FALSE)</f>
        <v>LT</v>
      </c>
      <c r="B19" s="23" t="s">
        <v>106</v>
      </c>
      <c r="C19" s="24" t="s">
        <v>121</v>
      </c>
      <c r="D19" s="28" t="s">
        <v>122</v>
      </c>
      <c r="E19" s="29" t="s">
        <v>511</v>
      </c>
      <c r="F19" s="30">
        <v>33.098890045734507</v>
      </c>
      <c r="G19" s="30">
        <f t="shared" ref="G19:J19" si="96">F19+(($K19-$F19)/5)</f>
        <v>33.643807419850589</v>
      </c>
      <c r="H19" s="30">
        <f t="shared" si="96"/>
        <v>34.188724793966671</v>
      </c>
      <c r="I19" s="30">
        <f t="shared" si="96"/>
        <v>34.733642168082753</v>
      </c>
      <c r="J19" s="30">
        <f t="shared" si="96"/>
        <v>35.278559542198835</v>
      </c>
      <c r="K19" s="30">
        <v>35.823476916314917</v>
      </c>
      <c r="L19" s="30">
        <f t="shared" ref="L19:O19" si="97">K19+(($P19-$K19)/5)</f>
        <v>35.950587741783337</v>
      </c>
      <c r="M19" s="30">
        <f t="shared" si="97"/>
        <v>36.077698567251758</v>
      </c>
      <c r="N19" s="30">
        <f t="shared" si="97"/>
        <v>36.204809392720179</v>
      </c>
      <c r="O19" s="30">
        <f t="shared" si="97"/>
        <v>36.3319202181886</v>
      </c>
      <c r="P19" s="30">
        <v>36.459031043657021</v>
      </c>
      <c r="Q19" s="30">
        <f t="shared" ref="Q19:T19" si="98">P19+(($U19-$P19)/5)</f>
        <v>36.823584362233582</v>
      </c>
      <c r="R19" s="30">
        <f t="shared" si="98"/>
        <v>37.188137680810144</v>
      </c>
      <c r="S19" s="30">
        <f t="shared" si="98"/>
        <v>37.552690999386705</v>
      </c>
      <c r="T19" s="30">
        <f t="shared" si="98"/>
        <v>37.917244317963267</v>
      </c>
      <c r="U19" s="30">
        <v>38.281797636539821</v>
      </c>
      <c r="V19" s="30">
        <f t="shared" ref="V19:Y19" si="99">U19+(($Z19-$U19)/5)</f>
        <v>38.598379901570162</v>
      </c>
      <c r="W19" s="30">
        <f t="shared" si="99"/>
        <v>38.914962166600503</v>
      </c>
      <c r="X19" s="30">
        <f t="shared" si="99"/>
        <v>39.231544431630844</v>
      </c>
      <c r="Y19" s="30">
        <f t="shared" si="99"/>
        <v>39.548126696661186</v>
      </c>
      <c r="Z19" s="30">
        <v>39.864708961691527</v>
      </c>
      <c r="AA19" s="30">
        <f t="shared" ref="AA19:AD19" si="100">Z19+(($AE19-$Z19)/5)</f>
        <v>39.976139907578549</v>
      </c>
      <c r="AB19" s="30">
        <f t="shared" si="100"/>
        <v>40.087570853465571</v>
      </c>
      <c r="AC19" s="30">
        <f t="shared" si="100"/>
        <v>40.199001799352594</v>
      </c>
      <c r="AD19" s="30">
        <f t="shared" si="100"/>
        <v>40.310432745239616</v>
      </c>
      <c r="AE19" s="30">
        <v>40.421863691126646</v>
      </c>
      <c r="AF19" s="30">
        <f t="shared" ref="AF19:AI19" si="101">AE19+(($AJ19-$AE19)/5)</f>
        <v>40.579293927752424</v>
      </c>
      <c r="AG19" s="30">
        <f t="shared" si="101"/>
        <v>40.736724164378202</v>
      </c>
      <c r="AH19" s="30">
        <f t="shared" si="101"/>
        <v>40.894154401003981</v>
      </c>
      <c r="AI19" s="30">
        <f t="shared" si="101"/>
        <v>41.051584637629759</v>
      </c>
      <c r="AJ19" s="30">
        <v>41.209014874255537</v>
      </c>
      <c r="AK19" s="31">
        <v>0.971583972063228</v>
      </c>
      <c r="AL19" s="31">
        <v>0.61421786438558001</v>
      </c>
    </row>
    <row r="20" spans="1:38" x14ac:dyDescent="0.3">
      <c r="A20" t="str">
        <f>VLOOKUP(B20,'Country codes'!$A$1:$B$28,2,FALSE)</f>
        <v>LU</v>
      </c>
      <c r="B20" s="23" t="s">
        <v>107</v>
      </c>
      <c r="C20" s="24" t="s">
        <v>121</v>
      </c>
      <c r="D20" s="28" t="s">
        <v>122</v>
      </c>
      <c r="E20" s="29" t="s">
        <v>511</v>
      </c>
      <c r="F20" s="30">
        <v>6.2938341358341008</v>
      </c>
      <c r="G20" s="30">
        <f t="shared" ref="G20:J20" si="102">F20+(($K20-$F20)/5)</f>
        <v>6.4733697746108216</v>
      </c>
      <c r="H20" s="30">
        <f t="shared" si="102"/>
        <v>6.6529054133875425</v>
      </c>
      <c r="I20" s="30">
        <f t="shared" si="102"/>
        <v>6.8324410521642633</v>
      </c>
      <c r="J20" s="30">
        <f t="shared" si="102"/>
        <v>7.0119766909409842</v>
      </c>
      <c r="K20" s="30">
        <v>7.1915123297177042</v>
      </c>
      <c r="L20" s="30">
        <f t="shared" ref="L20:O20" si="103">K20+(($P20-$K20)/5)</f>
        <v>7.3024286093439192</v>
      </c>
      <c r="M20" s="30">
        <f t="shared" si="103"/>
        <v>7.4133448889701343</v>
      </c>
      <c r="N20" s="30">
        <f t="shared" si="103"/>
        <v>7.5242611685963494</v>
      </c>
      <c r="O20" s="30">
        <f t="shared" si="103"/>
        <v>7.6351774482225645</v>
      </c>
      <c r="P20" s="30">
        <v>7.7460937278487814</v>
      </c>
      <c r="Q20" s="30">
        <f t="shared" ref="Q20:T20" si="104">P20+(($U20-$P20)/5)</f>
        <v>7.853936150111795</v>
      </c>
      <c r="R20" s="30">
        <f t="shared" si="104"/>
        <v>7.9617785723748087</v>
      </c>
      <c r="S20" s="30">
        <f t="shared" si="104"/>
        <v>8.0696209946378215</v>
      </c>
      <c r="T20" s="30">
        <f t="shared" si="104"/>
        <v>8.1774634169008351</v>
      </c>
      <c r="U20" s="30">
        <v>8.2853058391638488</v>
      </c>
      <c r="V20" s="30">
        <f t="shared" ref="V20:Y20" si="105">U20+(($Z20-$U20)/5)</f>
        <v>8.3856527290401743</v>
      </c>
      <c r="W20" s="30">
        <f t="shared" si="105"/>
        <v>8.4859996189164999</v>
      </c>
      <c r="X20" s="30">
        <f t="shared" si="105"/>
        <v>8.5863465087928255</v>
      </c>
      <c r="Y20" s="30">
        <f t="shared" si="105"/>
        <v>8.686693398669151</v>
      </c>
      <c r="Z20" s="30">
        <v>8.787040288545473</v>
      </c>
      <c r="AA20" s="30">
        <f t="shared" ref="AA20:AD20" si="106">Z20+(($AE20-$Z20)/5)</f>
        <v>8.8595758859110934</v>
      </c>
      <c r="AB20" s="30">
        <f t="shared" si="106"/>
        <v>8.9321114832767137</v>
      </c>
      <c r="AC20" s="30">
        <f t="shared" si="106"/>
        <v>9.004647080642334</v>
      </c>
      <c r="AD20" s="30">
        <f t="shared" si="106"/>
        <v>9.0771826780079543</v>
      </c>
      <c r="AE20" s="30">
        <v>9.1497182753735782</v>
      </c>
      <c r="AF20" s="30">
        <f t="shared" ref="AF20:AI20" si="107">AE20+(($AJ20-$AE20)/5)</f>
        <v>9.2243702202207469</v>
      </c>
      <c r="AG20" s="30">
        <f t="shared" si="107"/>
        <v>9.2990221650679157</v>
      </c>
      <c r="AH20" s="30">
        <f t="shared" si="107"/>
        <v>9.3736741099150844</v>
      </c>
      <c r="AI20" s="30">
        <f t="shared" si="107"/>
        <v>9.4483260547622532</v>
      </c>
      <c r="AJ20" s="30">
        <v>9.5229779996094219</v>
      </c>
      <c r="AK20" s="31">
        <v>2.0978849571414493</v>
      </c>
      <c r="AL20" s="31">
        <v>1.0379443252746423</v>
      </c>
    </row>
    <row r="21" spans="1:38" x14ac:dyDescent="0.3">
      <c r="A21" t="str">
        <f>VLOOKUP(B21,'Country codes'!$A$1:$B$28,2,FALSE)</f>
        <v>LV</v>
      </c>
      <c r="B21" s="23" t="s">
        <v>108</v>
      </c>
      <c r="C21" s="24" t="s">
        <v>121</v>
      </c>
      <c r="D21" s="28" t="s">
        <v>122</v>
      </c>
      <c r="E21" s="29" t="s">
        <v>511</v>
      </c>
      <c r="F21" s="30">
        <v>14.855640728685005</v>
      </c>
      <c r="G21" s="30">
        <f t="shared" ref="G21:J21" si="108">F21+(($K21-$F21)/5)</f>
        <v>15.048460122057643</v>
      </c>
      <c r="H21" s="30">
        <f t="shared" si="108"/>
        <v>15.24127951543028</v>
      </c>
      <c r="I21" s="30">
        <f t="shared" si="108"/>
        <v>15.434098908802918</v>
      </c>
      <c r="J21" s="30">
        <f t="shared" si="108"/>
        <v>15.626918302175556</v>
      </c>
      <c r="K21" s="30">
        <v>15.819737695548197</v>
      </c>
      <c r="L21" s="30">
        <f t="shared" ref="L21:O21" si="109">K21+(($P21-$K21)/5)</f>
        <v>15.93784264775149</v>
      </c>
      <c r="M21" s="30">
        <f t="shared" si="109"/>
        <v>16.055947599954784</v>
      </c>
      <c r="N21" s="30">
        <f t="shared" si="109"/>
        <v>16.174052552158077</v>
      </c>
      <c r="O21" s="30">
        <f t="shared" si="109"/>
        <v>16.29215750436137</v>
      </c>
      <c r="P21" s="30">
        <v>16.410262456564663</v>
      </c>
      <c r="Q21" s="30">
        <f t="shared" ref="Q21:T21" si="110">P21+(($U21-$P21)/5)</f>
        <v>16.455977368216534</v>
      </c>
      <c r="R21" s="30">
        <f t="shared" si="110"/>
        <v>16.501692279868404</v>
      </c>
      <c r="S21" s="30">
        <f t="shared" si="110"/>
        <v>16.547407191520275</v>
      </c>
      <c r="T21" s="30">
        <f t="shared" si="110"/>
        <v>16.593122103172146</v>
      </c>
      <c r="U21" s="30">
        <v>16.638837014824016</v>
      </c>
      <c r="V21" s="30">
        <f t="shared" ref="V21:Y21" si="111">U21+(($Z21-$U21)/5)</f>
        <v>16.716193135526812</v>
      </c>
      <c r="W21" s="30">
        <f t="shared" si="111"/>
        <v>16.793549256229607</v>
      </c>
      <c r="X21" s="30">
        <f t="shared" si="111"/>
        <v>16.870905376932402</v>
      </c>
      <c r="Y21" s="30">
        <f t="shared" si="111"/>
        <v>16.948261497635198</v>
      </c>
      <c r="Z21" s="30">
        <v>17.025617618337989</v>
      </c>
      <c r="AA21" s="30">
        <f t="shared" ref="AA21:AD21" si="112">Z21+(($AE21-$Z21)/5)</f>
        <v>17.070240036882037</v>
      </c>
      <c r="AB21" s="30">
        <f t="shared" si="112"/>
        <v>17.114862455426085</v>
      </c>
      <c r="AC21" s="30">
        <f t="shared" si="112"/>
        <v>17.159484873970133</v>
      </c>
      <c r="AD21" s="30">
        <f t="shared" si="112"/>
        <v>17.20410729251418</v>
      </c>
      <c r="AE21" s="30">
        <v>17.248729711058221</v>
      </c>
      <c r="AF21" s="30">
        <f t="shared" ref="AF21:AI21" si="113">AE21+(($AJ21-$AE21)/5)</f>
        <v>17.291585468275048</v>
      </c>
      <c r="AG21" s="30">
        <f t="shared" si="113"/>
        <v>17.334441225491876</v>
      </c>
      <c r="AH21" s="30">
        <f t="shared" si="113"/>
        <v>17.377296982708703</v>
      </c>
      <c r="AI21" s="30">
        <f t="shared" si="113"/>
        <v>17.42015273992553</v>
      </c>
      <c r="AJ21" s="30">
        <v>17.463008497142351</v>
      </c>
      <c r="AK21" s="31">
        <v>1.0002418949326852</v>
      </c>
      <c r="AL21" s="31">
        <v>0.31137348762921846</v>
      </c>
    </row>
    <row r="22" spans="1:38" x14ac:dyDescent="0.3">
      <c r="A22" t="str">
        <f>VLOOKUP(B22,'Country codes'!$A$1:$B$28,2,FALSE)</f>
        <v>MT</v>
      </c>
      <c r="B22" s="23" t="s">
        <v>109</v>
      </c>
      <c r="C22" s="24" t="s">
        <v>121</v>
      </c>
      <c r="D22" s="28" t="s">
        <v>122</v>
      </c>
      <c r="E22" s="29" t="s">
        <v>511</v>
      </c>
      <c r="F22" s="30">
        <v>2.2223289777278543</v>
      </c>
      <c r="G22" s="30">
        <f t="shared" ref="G22:J22" si="114">F22+(($K22-$F22)/5)</f>
        <v>2.3756080076047041</v>
      </c>
      <c r="H22" s="30">
        <f t="shared" si="114"/>
        <v>2.528887037481554</v>
      </c>
      <c r="I22" s="30">
        <f t="shared" si="114"/>
        <v>2.6821660673584038</v>
      </c>
      <c r="J22" s="30">
        <f t="shared" si="114"/>
        <v>2.8354450972352536</v>
      </c>
      <c r="K22" s="30">
        <v>2.988724127112103</v>
      </c>
      <c r="L22" s="30">
        <f t="shared" ref="L22:O22" si="115">K22+(($P22-$K22)/5)</f>
        <v>3.0889662325387452</v>
      </c>
      <c r="M22" s="30">
        <f t="shared" si="115"/>
        <v>3.1892083379653875</v>
      </c>
      <c r="N22" s="30">
        <f t="shared" si="115"/>
        <v>3.2894504433920297</v>
      </c>
      <c r="O22" s="30">
        <f t="shared" si="115"/>
        <v>3.389692548818672</v>
      </c>
      <c r="P22" s="30">
        <v>3.4899346542453151</v>
      </c>
      <c r="Q22" s="30">
        <f t="shared" ref="Q22:T22" si="116">P22+(($U22-$P22)/5)</f>
        <v>3.5411388068244336</v>
      </c>
      <c r="R22" s="30">
        <f t="shared" si="116"/>
        <v>3.5923429594035521</v>
      </c>
      <c r="S22" s="30">
        <f t="shared" si="116"/>
        <v>3.6435471119826706</v>
      </c>
      <c r="T22" s="30">
        <f t="shared" si="116"/>
        <v>3.694751264561789</v>
      </c>
      <c r="U22" s="30">
        <v>3.7459554171409075</v>
      </c>
      <c r="V22" s="30">
        <f t="shared" ref="V22:Y22" si="117">U22+(($Z22-$U22)/5)</f>
        <v>3.78849502003701</v>
      </c>
      <c r="W22" s="30">
        <f t="shared" si="117"/>
        <v>3.8310346229331125</v>
      </c>
      <c r="X22" s="30">
        <f t="shared" si="117"/>
        <v>3.873574225829215</v>
      </c>
      <c r="Y22" s="30">
        <f t="shared" si="117"/>
        <v>3.9161138287253174</v>
      </c>
      <c r="Z22" s="30">
        <v>3.9586534316214208</v>
      </c>
      <c r="AA22" s="30">
        <f t="shared" ref="AA22:AD22" si="118">Z22+(($AE22-$Z22)/5)</f>
        <v>3.9850643629529174</v>
      </c>
      <c r="AB22" s="30">
        <f t="shared" si="118"/>
        <v>4.0114752942844145</v>
      </c>
      <c r="AC22" s="30">
        <f t="shared" si="118"/>
        <v>4.0378862256159112</v>
      </c>
      <c r="AD22" s="30">
        <f t="shared" si="118"/>
        <v>4.0642971569474078</v>
      </c>
      <c r="AE22" s="30">
        <v>4.0907080882789044</v>
      </c>
      <c r="AF22" s="30">
        <f t="shared" ref="AF22:AI22" si="119">AE22+(($AJ22-$AE22)/5)</f>
        <v>4.1193501069731742</v>
      </c>
      <c r="AG22" s="30">
        <f t="shared" si="119"/>
        <v>4.1479921256674439</v>
      </c>
      <c r="AH22" s="30">
        <f t="shared" si="119"/>
        <v>4.1766341443617137</v>
      </c>
      <c r="AI22" s="30">
        <f t="shared" si="119"/>
        <v>4.2052761630559834</v>
      </c>
      <c r="AJ22" s="30">
        <v>4.2339181817502523</v>
      </c>
      <c r="AK22" s="31">
        <v>4.6166706024742155</v>
      </c>
      <c r="AL22" s="31">
        <v>0.97090719697709993</v>
      </c>
    </row>
    <row r="23" spans="1:38" x14ac:dyDescent="0.3">
      <c r="A23" t="str">
        <f>VLOOKUP(B23,'Country codes'!$A$1:$B$28,2,FALSE)</f>
        <v>NL</v>
      </c>
      <c r="B23" s="23" t="s">
        <v>110</v>
      </c>
      <c r="C23" s="24" t="s">
        <v>121</v>
      </c>
      <c r="D23" s="28" t="s">
        <v>122</v>
      </c>
      <c r="E23" s="29" t="s">
        <v>511</v>
      </c>
      <c r="F23" s="30">
        <v>132.86859863421367</v>
      </c>
      <c r="G23" s="30">
        <f t="shared" ref="G23:J23" si="120">F23+(($K23-$F23)/5)</f>
        <v>135.8454848091082</v>
      </c>
      <c r="H23" s="30">
        <f t="shared" si="120"/>
        <v>138.82237098400273</v>
      </c>
      <c r="I23" s="30">
        <f t="shared" si="120"/>
        <v>141.79925715889726</v>
      </c>
      <c r="J23" s="30">
        <f t="shared" si="120"/>
        <v>144.77614333379179</v>
      </c>
      <c r="K23" s="30">
        <v>147.75302950868638</v>
      </c>
      <c r="L23" s="30">
        <f t="shared" ref="L23:O23" si="121">K23+(($P23-$K23)/5)</f>
        <v>150.17651938571231</v>
      </c>
      <c r="M23" s="30">
        <f t="shared" si="121"/>
        <v>152.60000926273824</v>
      </c>
      <c r="N23" s="30">
        <f t="shared" si="121"/>
        <v>155.02349913976417</v>
      </c>
      <c r="O23" s="30">
        <f t="shared" si="121"/>
        <v>157.4469890167901</v>
      </c>
      <c r="P23" s="30">
        <v>159.87047889381608</v>
      </c>
      <c r="Q23" s="30">
        <f t="shared" ref="Q23:T23" si="122">P23+(($U23-$P23)/5)</f>
        <v>159.15266571017597</v>
      </c>
      <c r="R23" s="30">
        <f t="shared" si="122"/>
        <v>158.43485252653585</v>
      </c>
      <c r="S23" s="30">
        <f t="shared" si="122"/>
        <v>157.71703934289573</v>
      </c>
      <c r="T23" s="30">
        <f t="shared" si="122"/>
        <v>156.99922615925561</v>
      </c>
      <c r="U23" s="30">
        <v>156.28141297561552</v>
      </c>
      <c r="V23" s="30">
        <f t="shared" ref="V23:Y23" si="123">U23+(($Z23-$U23)/5)</f>
        <v>156.58888896414891</v>
      </c>
      <c r="W23" s="30">
        <f t="shared" si="123"/>
        <v>156.89636495268229</v>
      </c>
      <c r="X23" s="30">
        <f t="shared" si="123"/>
        <v>157.20384094121567</v>
      </c>
      <c r="Y23" s="30">
        <f t="shared" si="123"/>
        <v>157.51131692974906</v>
      </c>
      <c r="Z23" s="30">
        <v>157.81879291828244</v>
      </c>
      <c r="AA23" s="30">
        <f t="shared" ref="AA23:AD23" si="124">Z23+(($AE23-$Z23)/5)</f>
        <v>158.52582114677534</v>
      </c>
      <c r="AB23" s="30">
        <f t="shared" si="124"/>
        <v>159.23284937526824</v>
      </c>
      <c r="AC23" s="30">
        <f t="shared" si="124"/>
        <v>159.93987760376115</v>
      </c>
      <c r="AD23" s="30">
        <f t="shared" si="124"/>
        <v>160.64690583225405</v>
      </c>
      <c r="AE23" s="30">
        <v>161.35393406074695</v>
      </c>
      <c r="AF23" s="30">
        <f t="shared" ref="AF23:AI23" si="125">AE23+(($AJ23-$AE23)/5)</f>
        <v>161.90842667777451</v>
      </c>
      <c r="AG23" s="30">
        <f t="shared" si="125"/>
        <v>162.46291929480208</v>
      </c>
      <c r="AH23" s="30">
        <f t="shared" si="125"/>
        <v>163.01741191182964</v>
      </c>
      <c r="AI23" s="30">
        <f t="shared" si="125"/>
        <v>163.5719045288572</v>
      </c>
      <c r="AJ23" s="30">
        <v>164.12639714588482</v>
      </c>
      <c r="AK23" s="31">
        <v>1.8672523454241086</v>
      </c>
      <c r="AL23" s="31">
        <v>0.13145064466255629</v>
      </c>
    </row>
    <row r="24" spans="1:38" x14ac:dyDescent="0.3">
      <c r="A24" t="str">
        <f>VLOOKUP(B24,'Country codes'!$A$1:$B$28,2,FALSE)</f>
        <v>PL</v>
      </c>
      <c r="B24" s="23" t="s">
        <v>111</v>
      </c>
      <c r="C24" s="24" t="s">
        <v>121</v>
      </c>
      <c r="D24" s="28" t="s">
        <v>122</v>
      </c>
      <c r="E24" s="29" t="s">
        <v>511</v>
      </c>
      <c r="F24" s="30">
        <v>181.00231788078443</v>
      </c>
      <c r="G24" s="30">
        <f t="shared" ref="G24:J24" si="126">F24+(($K24-$F24)/5)</f>
        <v>189.69675389301565</v>
      </c>
      <c r="H24" s="30">
        <f t="shared" si="126"/>
        <v>198.39118990524688</v>
      </c>
      <c r="I24" s="30">
        <f t="shared" si="126"/>
        <v>207.0856259174781</v>
      </c>
      <c r="J24" s="30">
        <f t="shared" si="126"/>
        <v>215.78006192970932</v>
      </c>
      <c r="K24" s="30">
        <v>224.47449794194057</v>
      </c>
      <c r="L24" s="30">
        <f t="shared" ref="L24:O24" si="127">K24+(($P24-$K24)/5)</f>
        <v>232.11989156382728</v>
      </c>
      <c r="M24" s="30">
        <f t="shared" si="127"/>
        <v>239.76528518571399</v>
      </c>
      <c r="N24" s="30">
        <f t="shared" si="127"/>
        <v>247.4106788076007</v>
      </c>
      <c r="O24" s="30">
        <f t="shared" si="127"/>
        <v>255.05607242948741</v>
      </c>
      <c r="P24" s="30">
        <v>262.7014660513741</v>
      </c>
      <c r="Q24" s="30">
        <f t="shared" ref="Q24:T24" si="128">P24+(($U24-$P24)/5)</f>
        <v>267.44686441396561</v>
      </c>
      <c r="R24" s="30">
        <f t="shared" si="128"/>
        <v>272.19226277655713</v>
      </c>
      <c r="S24" s="30">
        <f t="shared" si="128"/>
        <v>276.93766113914864</v>
      </c>
      <c r="T24" s="30">
        <f t="shared" si="128"/>
        <v>281.68305950174016</v>
      </c>
      <c r="U24" s="30">
        <v>286.42845786433156</v>
      </c>
      <c r="V24" s="30">
        <f t="shared" ref="V24:Y24" si="129">U24+(($Z24-$U24)/5)</f>
        <v>290.95587245205013</v>
      </c>
      <c r="W24" s="30">
        <f t="shared" si="129"/>
        <v>295.4832870397687</v>
      </c>
      <c r="X24" s="30">
        <f t="shared" si="129"/>
        <v>300.01070162748726</v>
      </c>
      <c r="Y24" s="30">
        <f t="shared" si="129"/>
        <v>304.53811621520583</v>
      </c>
      <c r="Z24" s="30">
        <v>309.06553080292434</v>
      </c>
      <c r="AA24" s="30">
        <f t="shared" ref="AA24:AD24" si="130">Z24+(($AE24-$Z24)/5)</f>
        <v>311.30186473573588</v>
      </c>
      <c r="AB24" s="30">
        <f t="shared" si="130"/>
        <v>313.53819866854741</v>
      </c>
      <c r="AC24" s="30">
        <f t="shared" si="130"/>
        <v>315.77453260135894</v>
      </c>
      <c r="AD24" s="30">
        <f t="shared" si="130"/>
        <v>318.01086653417048</v>
      </c>
      <c r="AE24" s="30">
        <v>320.24720046698206</v>
      </c>
      <c r="AF24" s="30">
        <f t="shared" ref="AF24:AI24" si="131">AE24+(($AJ24-$AE24)/5)</f>
        <v>323.13556822648081</v>
      </c>
      <c r="AG24" s="30">
        <f t="shared" si="131"/>
        <v>326.02393598597956</v>
      </c>
      <c r="AH24" s="30">
        <f t="shared" si="131"/>
        <v>328.91230374547831</v>
      </c>
      <c r="AI24" s="30">
        <f t="shared" si="131"/>
        <v>331.80067150497706</v>
      </c>
      <c r="AJ24" s="30">
        <v>334.68903926447581</v>
      </c>
      <c r="AK24" s="31">
        <v>3.795335257975152</v>
      </c>
      <c r="AL24" s="31">
        <v>1.2182792058112124</v>
      </c>
    </row>
    <row r="25" spans="1:38" x14ac:dyDescent="0.3">
      <c r="A25" t="str">
        <f>VLOOKUP(B25,'Country codes'!$A$1:$B$28,2,FALSE)</f>
        <v>PT</v>
      </c>
      <c r="B25" s="23" t="s">
        <v>112</v>
      </c>
      <c r="C25" s="24" t="s">
        <v>121</v>
      </c>
      <c r="D25" s="28" t="s">
        <v>122</v>
      </c>
      <c r="E25" s="29" t="s">
        <v>511</v>
      </c>
      <c r="F25" s="30">
        <v>70.687633760968623</v>
      </c>
      <c r="G25" s="30">
        <f t="shared" ref="G25:J25" si="132">F25+(($K25-$F25)/5)</f>
        <v>75.03240990173127</v>
      </c>
      <c r="H25" s="30">
        <f t="shared" si="132"/>
        <v>79.377186042493918</v>
      </c>
      <c r="I25" s="30">
        <f t="shared" si="132"/>
        <v>83.721962183256565</v>
      </c>
      <c r="J25" s="30">
        <f t="shared" si="132"/>
        <v>88.066738324019212</v>
      </c>
      <c r="K25" s="30">
        <v>92.411514464781831</v>
      </c>
      <c r="L25" s="30">
        <f t="shared" ref="L25:O25" si="133">K25+(($P25-$K25)/5)</f>
        <v>93.028642528583617</v>
      </c>
      <c r="M25" s="30">
        <f t="shared" si="133"/>
        <v>93.645770592385404</v>
      </c>
      <c r="N25" s="30">
        <f t="shared" si="133"/>
        <v>94.26289865618719</v>
      </c>
      <c r="O25" s="30">
        <f t="shared" si="133"/>
        <v>94.880026719988976</v>
      </c>
      <c r="P25" s="30">
        <v>95.497154783790734</v>
      </c>
      <c r="Q25" s="30">
        <f t="shared" ref="Q25:T25" si="134">P25+(($U25-$P25)/5)</f>
        <v>96.267393701655877</v>
      </c>
      <c r="R25" s="30">
        <f t="shared" si="134"/>
        <v>97.03763261952102</v>
      </c>
      <c r="S25" s="30">
        <f t="shared" si="134"/>
        <v>97.807871537386163</v>
      </c>
      <c r="T25" s="30">
        <f t="shared" si="134"/>
        <v>98.578110455251306</v>
      </c>
      <c r="U25" s="30">
        <v>99.348349373116477</v>
      </c>
      <c r="V25" s="30">
        <f t="shared" ref="V25:Y25" si="135">U25+(($Z25-$U25)/5)</f>
        <v>99.69722026984509</v>
      </c>
      <c r="W25" s="30">
        <f t="shared" si="135"/>
        <v>100.0460911665737</v>
      </c>
      <c r="X25" s="30">
        <f t="shared" si="135"/>
        <v>100.39496206330232</v>
      </c>
      <c r="Y25" s="30">
        <f t="shared" si="135"/>
        <v>100.74383296003093</v>
      </c>
      <c r="Z25" s="30">
        <v>101.09270385675957</v>
      </c>
      <c r="AA25" s="30">
        <f t="shared" ref="AA25:AD25" si="136">Z25+(($AE25-$Z25)/5)</f>
        <v>101.82404641339828</v>
      </c>
      <c r="AB25" s="30">
        <f t="shared" si="136"/>
        <v>102.55538897003699</v>
      </c>
      <c r="AC25" s="30">
        <f t="shared" si="136"/>
        <v>103.28673152667569</v>
      </c>
      <c r="AD25" s="30">
        <f t="shared" si="136"/>
        <v>104.0180740833144</v>
      </c>
      <c r="AE25" s="30">
        <v>104.74941663995311</v>
      </c>
      <c r="AF25" s="30">
        <f t="shared" ref="AF25:AI25" si="137">AE25+(($AJ25-$AE25)/5)</f>
        <v>105.48165041863366</v>
      </c>
      <c r="AG25" s="30">
        <f t="shared" si="137"/>
        <v>106.21388419731421</v>
      </c>
      <c r="AH25" s="30">
        <f t="shared" si="137"/>
        <v>106.94611797599477</v>
      </c>
      <c r="AI25" s="30">
        <f t="shared" si="137"/>
        <v>107.67835175467532</v>
      </c>
      <c r="AJ25" s="30">
        <v>108.41058553335584</v>
      </c>
      <c r="AK25" s="31">
        <v>3.0539633231398966</v>
      </c>
      <c r="AL25" s="31">
        <v>0.63616137817235074</v>
      </c>
    </row>
    <row r="26" spans="1:38" x14ac:dyDescent="0.3">
      <c r="A26" t="str">
        <f>VLOOKUP(B26,'Country codes'!$A$1:$B$28,2,FALSE)</f>
        <v>RO</v>
      </c>
      <c r="B26" s="23" t="s">
        <v>113</v>
      </c>
      <c r="C26" s="24" t="s">
        <v>121</v>
      </c>
      <c r="D26" s="28" t="s">
        <v>122</v>
      </c>
      <c r="E26" s="29" t="s">
        <v>511</v>
      </c>
      <c r="F26" s="30">
        <v>79.048583577238446</v>
      </c>
      <c r="G26" s="30">
        <f t="shared" ref="G26:J26" si="138">F26+(($K26-$F26)/5)</f>
        <v>86.427592252887308</v>
      </c>
      <c r="H26" s="30">
        <f t="shared" si="138"/>
        <v>93.80660092853617</v>
      </c>
      <c r="I26" s="30">
        <f t="shared" si="138"/>
        <v>101.18560960418503</v>
      </c>
      <c r="J26" s="30">
        <f t="shared" si="138"/>
        <v>108.56461827983389</v>
      </c>
      <c r="K26" s="30">
        <v>115.94362695548273</v>
      </c>
      <c r="L26" s="30">
        <f t="shared" ref="L26:O26" si="139">K26+(($P26-$K26)/5)</f>
        <v>121.02179789815688</v>
      </c>
      <c r="M26" s="30">
        <f t="shared" si="139"/>
        <v>126.09996884083102</v>
      </c>
      <c r="N26" s="30">
        <f t="shared" si="139"/>
        <v>131.17813978350517</v>
      </c>
      <c r="O26" s="30">
        <f t="shared" si="139"/>
        <v>136.25631072617932</v>
      </c>
      <c r="P26" s="30">
        <v>141.3344816688535</v>
      </c>
      <c r="Q26" s="30">
        <f t="shared" ref="Q26:T26" si="140">P26+(($U26-$P26)/5)</f>
        <v>143.99349294690401</v>
      </c>
      <c r="R26" s="30">
        <f t="shared" si="140"/>
        <v>146.65250422495453</v>
      </c>
      <c r="S26" s="30">
        <f t="shared" si="140"/>
        <v>149.31151550300504</v>
      </c>
      <c r="T26" s="30">
        <f t="shared" si="140"/>
        <v>151.97052678105555</v>
      </c>
      <c r="U26" s="30">
        <v>154.62953805910604</v>
      </c>
      <c r="V26" s="30">
        <f t="shared" ref="V26:Y26" si="141">U26+(($Z26-$U26)/5)</f>
        <v>156.18396212696925</v>
      </c>
      <c r="W26" s="30">
        <f t="shared" si="141"/>
        <v>157.73838619483246</v>
      </c>
      <c r="X26" s="30">
        <f t="shared" si="141"/>
        <v>159.29281026269567</v>
      </c>
      <c r="Y26" s="30">
        <f t="shared" si="141"/>
        <v>160.84723433055888</v>
      </c>
      <c r="Z26" s="30">
        <v>162.40165839842214</v>
      </c>
      <c r="AA26" s="30">
        <f t="shared" ref="AA26:AD26" si="142">Z26+(($AE26-$Z26)/5)</f>
        <v>163.1022304482473</v>
      </c>
      <c r="AB26" s="30">
        <f t="shared" si="142"/>
        <v>163.80280249807245</v>
      </c>
      <c r="AC26" s="30">
        <f t="shared" si="142"/>
        <v>164.50337454789761</v>
      </c>
      <c r="AD26" s="30">
        <f t="shared" si="142"/>
        <v>165.20394659772276</v>
      </c>
      <c r="AE26" s="30">
        <v>165.90451864754797</v>
      </c>
      <c r="AF26" s="30">
        <f t="shared" ref="AF26:AI26" si="143">AE26+(($AJ26-$AE26)/5)</f>
        <v>167.01411175047028</v>
      </c>
      <c r="AG26" s="30">
        <f t="shared" si="143"/>
        <v>168.12370485339258</v>
      </c>
      <c r="AH26" s="30">
        <f t="shared" si="143"/>
        <v>169.23329795631489</v>
      </c>
      <c r="AI26" s="30">
        <f t="shared" si="143"/>
        <v>170.34289105923719</v>
      </c>
      <c r="AJ26" s="30">
        <v>171.45248416215955</v>
      </c>
      <c r="AK26" s="31">
        <v>5.9828035826962056</v>
      </c>
      <c r="AL26" s="31">
        <v>0.97056409991185255</v>
      </c>
    </row>
    <row r="27" spans="1:38" x14ac:dyDescent="0.3">
      <c r="A27" t="str">
        <f>VLOOKUP(B27,'Country codes'!$A$1:$B$28,2,FALSE)</f>
        <v>SE</v>
      </c>
      <c r="B27" s="23" t="s">
        <v>114</v>
      </c>
      <c r="C27" s="24" t="s">
        <v>121</v>
      </c>
      <c r="D27" s="28" t="s">
        <v>122</v>
      </c>
      <c r="E27" s="29" t="s">
        <v>511</v>
      </c>
      <c r="F27" s="30">
        <v>116.60122541940396</v>
      </c>
      <c r="G27" s="30">
        <f t="shared" ref="G27:J27" si="144">F27+(($K27-$F27)/5)</f>
        <v>118.17461173012855</v>
      </c>
      <c r="H27" s="30">
        <f t="shared" si="144"/>
        <v>119.74799804085313</v>
      </c>
      <c r="I27" s="30">
        <f t="shared" si="144"/>
        <v>121.32138435157772</v>
      </c>
      <c r="J27" s="30">
        <f t="shared" si="144"/>
        <v>122.89477066230231</v>
      </c>
      <c r="K27" s="30">
        <v>124.46815697302692</v>
      </c>
      <c r="L27" s="30">
        <f t="shared" ref="L27:O27" si="145">K27+(($P27-$K27)/5)</f>
        <v>126.05769019665713</v>
      </c>
      <c r="M27" s="30">
        <f t="shared" si="145"/>
        <v>127.64722342028735</v>
      </c>
      <c r="N27" s="30">
        <f t="shared" si="145"/>
        <v>129.23675664391754</v>
      </c>
      <c r="O27" s="30">
        <f t="shared" si="145"/>
        <v>130.82628986754776</v>
      </c>
      <c r="P27" s="30">
        <v>132.41582309117797</v>
      </c>
      <c r="Q27" s="30">
        <f t="shared" ref="Q27:T27" si="146">P27+(($U27-$P27)/5)</f>
        <v>133.19792214085669</v>
      </c>
      <c r="R27" s="30">
        <f t="shared" si="146"/>
        <v>133.98002119053541</v>
      </c>
      <c r="S27" s="30">
        <f t="shared" si="146"/>
        <v>134.76212024021413</v>
      </c>
      <c r="T27" s="30">
        <f t="shared" si="146"/>
        <v>135.54421928989285</v>
      </c>
      <c r="U27" s="30">
        <v>136.32631833957151</v>
      </c>
      <c r="V27" s="30">
        <f t="shared" ref="V27:Y27" si="147">U27+(($Z27-$U27)/5)</f>
        <v>137.13937246913724</v>
      </c>
      <c r="W27" s="30">
        <f t="shared" si="147"/>
        <v>137.95242659870297</v>
      </c>
      <c r="X27" s="30">
        <f t="shared" si="147"/>
        <v>138.7654807282687</v>
      </c>
      <c r="Y27" s="30">
        <f t="shared" si="147"/>
        <v>139.57853485783443</v>
      </c>
      <c r="Z27" s="30">
        <v>140.39158898740021</v>
      </c>
      <c r="AA27" s="30">
        <f t="shared" ref="AA27:AD27" si="148">Z27+(($AE27-$Z27)/5)</f>
        <v>141.02583726188786</v>
      </c>
      <c r="AB27" s="30">
        <f t="shared" si="148"/>
        <v>141.6600855363755</v>
      </c>
      <c r="AC27" s="30">
        <f t="shared" si="148"/>
        <v>142.29433381086315</v>
      </c>
      <c r="AD27" s="30">
        <f t="shared" si="148"/>
        <v>142.9285820853508</v>
      </c>
      <c r="AE27" s="30">
        <v>143.56283035983839</v>
      </c>
      <c r="AF27" s="30">
        <f t="shared" ref="AF27:AI27" si="149">AE27+(($AJ27-$AE27)/5)</f>
        <v>144.1840324843881</v>
      </c>
      <c r="AG27" s="30">
        <f t="shared" si="149"/>
        <v>144.80523460893781</v>
      </c>
      <c r="AH27" s="30">
        <f t="shared" si="149"/>
        <v>145.42643673348752</v>
      </c>
      <c r="AI27" s="30">
        <f t="shared" si="149"/>
        <v>146.04763885803723</v>
      </c>
      <c r="AJ27" s="30">
        <v>146.66884098258689</v>
      </c>
      <c r="AK27" s="31">
        <v>1.2799963394876102</v>
      </c>
      <c r="AL27" s="31">
        <v>0.51245918780109534</v>
      </c>
    </row>
    <row r="28" spans="1:38" x14ac:dyDescent="0.3">
      <c r="A28" t="str">
        <f>VLOOKUP(B28,'Country codes'!$A$1:$B$28,2,FALSE)</f>
        <v>SI</v>
      </c>
      <c r="B28" s="23" t="s">
        <v>115</v>
      </c>
      <c r="C28" s="24" t="s">
        <v>121</v>
      </c>
      <c r="D28" s="28" t="s">
        <v>122</v>
      </c>
      <c r="E28" s="29" t="s">
        <v>511</v>
      </c>
      <c r="F28" s="30">
        <v>23.749221937075841</v>
      </c>
      <c r="G28" s="30">
        <f t="shared" ref="G28:J28" si="150">F28+(($K28-$F28)/5)</f>
        <v>24.748807185307943</v>
      </c>
      <c r="H28" s="30">
        <f t="shared" si="150"/>
        <v>25.748392433540044</v>
      </c>
      <c r="I28" s="30">
        <f t="shared" si="150"/>
        <v>26.747977681772145</v>
      </c>
      <c r="J28" s="30">
        <f t="shared" si="150"/>
        <v>27.747562930004246</v>
      </c>
      <c r="K28" s="30">
        <v>28.747148178236355</v>
      </c>
      <c r="L28" s="30">
        <f t="shared" ref="L28:O28" si="151">K28+(($P28-$K28)/5)</f>
        <v>29.122324896685292</v>
      </c>
      <c r="M28" s="30">
        <f t="shared" si="151"/>
        <v>29.49750161513423</v>
      </c>
      <c r="N28" s="30">
        <f t="shared" si="151"/>
        <v>29.872678333583167</v>
      </c>
      <c r="O28" s="30">
        <f t="shared" si="151"/>
        <v>30.247855052032104</v>
      </c>
      <c r="P28" s="30">
        <v>30.623031770481049</v>
      </c>
      <c r="Q28" s="30">
        <f t="shared" ref="Q28:T28" si="152">P28+(($U28-$P28)/5)</f>
        <v>30.738326723575994</v>
      </c>
      <c r="R28" s="30">
        <f t="shared" si="152"/>
        <v>30.85362167667094</v>
      </c>
      <c r="S28" s="30">
        <f t="shared" si="152"/>
        <v>30.968916629765886</v>
      </c>
      <c r="T28" s="30">
        <f t="shared" si="152"/>
        <v>31.084211582860831</v>
      </c>
      <c r="U28" s="30">
        <v>31.199506535955784</v>
      </c>
      <c r="V28" s="30">
        <f t="shared" ref="V28:Y28" si="153">U28+(($Z28-$U28)/5)</f>
        <v>31.180154184450856</v>
      </c>
      <c r="W28" s="30">
        <f t="shared" si="153"/>
        <v>31.160801832945928</v>
      </c>
      <c r="X28" s="30">
        <f t="shared" si="153"/>
        <v>31.141449481441001</v>
      </c>
      <c r="Y28" s="30">
        <f t="shared" si="153"/>
        <v>31.122097129936073</v>
      </c>
      <c r="Z28" s="30">
        <v>31.102744778431138</v>
      </c>
      <c r="AA28" s="30">
        <f t="shared" ref="AA28:AD28" si="154">Z28+(($AE28-$Z28)/5)</f>
        <v>31.204913103323261</v>
      </c>
      <c r="AB28" s="30">
        <f t="shared" si="154"/>
        <v>31.307081428215383</v>
      </c>
      <c r="AC28" s="30">
        <f t="shared" si="154"/>
        <v>31.409249753107506</v>
      </c>
      <c r="AD28" s="30">
        <f t="shared" si="154"/>
        <v>31.511418077999629</v>
      </c>
      <c r="AE28" s="30">
        <v>31.613586402891748</v>
      </c>
      <c r="AF28" s="30">
        <f t="shared" ref="AF28:AI28" si="155">AE28+(($AJ28-$AE28)/5)</f>
        <v>31.765097156571425</v>
      </c>
      <c r="AG28" s="30">
        <f t="shared" si="155"/>
        <v>31.916607910251102</v>
      </c>
      <c r="AH28" s="30">
        <f t="shared" si="155"/>
        <v>32.068118663930782</v>
      </c>
      <c r="AI28" s="30">
        <f t="shared" si="155"/>
        <v>32.219629417610463</v>
      </c>
      <c r="AJ28" s="30">
        <v>32.371140171290136</v>
      </c>
      <c r="AK28" s="31">
        <v>2.5746112956374967</v>
      </c>
      <c r="AL28" s="31">
        <v>0.27796005621256725</v>
      </c>
    </row>
    <row r="29" spans="1:38" x14ac:dyDescent="0.3">
      <c r="A29" t="str">
        <f>VLOOKUP(B29,'Country codes'!$A$1:$B$28,2,FALSE)</f>
        <v>SK</v>
      </c>
      <c r="B29" s="23" t="s">
        <v>116</v>
      </c>
      <c r="C29" s="24" t="s">
        <v>121</v>
      </c>
      <c r="D29" s="28" t="s">
        <v>122</v>
      </c>
      <c r="E29" s="29" t="s">
        <v>511</v>
      </c>
      <c r="F29" s="30">
        <v>25.720903852552823</v>
      </c>
      <c r="G29" s="30">
        <f t="shared" ref="G29:J29" si="156">F29+(($K29-$F29)/5)</f>
        <v>26.845864294375797</v>
      </c>
      <c r="H29" s="30">
        <f t="shared" si="156"/>
        <v>27.970824736198772</v>
      </c>
      <c r="I29" s="30">
        <f t="shared" si="156"/>
        <v>29.095785178021746</v>
      </c>
      <c r="J29" s="30">
        <f t="shared" si="156"/>
        <v>30.22074561984472</v>
      </c>
      <c r="K29" s="30">
        <v>31.345706061667698</v>
      </c>
      <c r="L29" s="30">
        <f t="shared" ref="L29:O29" si="157">K29+(($P29-$K29)/5)</f>
        <v>32.407910157147008</v>
      </c>
      <c r="M29" s="30">
        <f t="shared" si="157"/>
        <v>33.470114252626317</v>
      </c>
      <c r="N29" s="30">
        <f t="shared" si="157"/>
        <v>34.532318348105626</v>
      </c>
      <c r="O29" s="30">
        <f t="shared" si="157"/>
        <v>35.594522443584935</v>
      </c>
      <c r="P29" s="30">
        <v>36.656726539064231</v>
      </c>
      <c r="Q29" s="30">
        <f t="shared" ref="Q29:T29" si="158">P29+(($U29-$P29)/5)</f>
        <v>37.145270706752072</v>
      </c>
      <c r="R29" s="30">
        <f t="shared" si="158"/>
        <v>37.633814874439913</v>
      </c>
      <c r="S29" s="30">
        <f t="shared" si="158"/>
        <v>38.122359042127755</v>
      </c>
      <c r="T29" s="30">
        <f t="shared" si="158"/>
        <v>38.610903209815596</v>
      </c>
      <c r="U29" s="30">
        <v>39.099447377503452</v>
      </c>
      <c r="V29" s="30">
        <f t="shared" ref="V29:Y29" si="159">U29+(($Z29-$U29)/5)</f>
        <v>39.352251047465181</v>
      </c>
      <c r="W29" s="30">
        <f t="shared" si="159"/>
        <v>39.60505471742691</v>
      </c>
      <c r="X29" s="30">
        <f t="shared" si="159"/>
        <v>39.857858387388639</v>
      </c>
      <c r="Y29" s="30">
        <f t="shared" si="159"/>
        <v>40.110662057350368</v>
      </c>
      <c r="Z29" s="30">
        <v>40.363465727312096</v>
      </c>
      <c r="AA29" s="30">
        <f t="shared" ref="AA29:AD29" si="160">Z29+(($AE29-$Z29)/5)</f>
        <v>40.595730485974457</v>
      </c>
      <c r="AB29" s="30">
        <f t="shared" si="160"/>
        <v>40.827995244636817</v>
      </c>
      <c r="AC29" s="30">
        <f t="shared" si="160"/>
        <v>41.060260003299177</v>
      </c>
      <c r="AD29" s="30">
        <f t="shared" si="160"/>
        <v>41.292524761961538</v>
      </c>
      <c r="AE29" s="30">
        <v>41.524789520623898</v>
      </c>
      <c r="AF29" s="30">
        <f t="shared" ref="AF29:AI29" si="161">AE29+(($AJ29-$AE29)/5)</f>
        <v>41.812265321710882</v>
      </c>
      <c r="AG29" s="30">
        <f t="shared" si="161"/>
        <v>42.099741122797866</v>
      </c>
      <c r="AH29" s="30">
        <f t="shared" si="161"/>
        <v>42.38721692388485</v>
      </c>
      <c r="AI29" s="30">
        <f t="shared" si="161"/>
        <v>42.674692724971834</v>
      </c>
      <c r="AJ29" s="30">
        <v>42.962168526058811</v>
      </c>
      <c r="AK29" s="31">
        <v>3.6064385965849377</v>
      </c>
      <c r="AL29" s="31">
        <v>0.79677237396253986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0"/>
  <sheetViews>
    <sheetView tabSelected="1" workbookViewId="0">
      <selection activeCell="A3" sqref="A3"/>
    </sheetView>
  </sheetViews>
  <sheetFormatPr defaultRowHeight="14.4" x14ac:dyDescent="0.3"/>
  <sheetData>
    <row r="1" spans="1:54" x14ac:dyDescent="0.3">
      <c r="A1" s="1" t="s">
        <v>29</v>
      </c>
    </row>
    <row r="2" spans="1:54" x14ac:dyDescent="0.3">
      <c r="A2" s="1" t="s">
        <v>211</v>
      </c>
    </row>
    <row r="3" spans="1:54" x14ac:dyDescent="0.3">
      <c r="A3" t="s">
        <v>1</v>
      </c>
      <c r="B3" s="1">
        <v>2018</v>
      </c>
      <c r="C3" s="1">
        <v>2019</v>
      </c>
      <c r="D3" s="1">
        <v>2020</v>
      </c>
      <c r="E3" s="1">
        <v>2021</v>
      </c>
      <c r="F3" s="1">
        <v>2022</v>
      </c>
      <c r="G3" s="1">
        <v>2023</v>
      </c>
      <c r="H3" s="1">
        <v>2024</v>
      </c>
      <c r="I3" s="1">
        <v>2025</v>
      </c>
      <c r="J3" s="1">
        <v>2026</v>
      </c>
      <c r="K3" s="1">
        <v>2027</v>
      </c>
      <c r="L3" s="1">
        <v>2028</v>
      </c>
      <c r="M3" s="1">
        <v>2029</v>
      </c>
      <c r="N3" s="1">
        <v>2030</v>
      </c>
      <c r="O3" s="1">
        <v>2031</v>
      </c>
      <c r="P3" s="1">
        <v>2032</v>
      </c>
      <c r="Q3" s="1">
        <v>2033</v>
      </c>
      <c r="R3" s="1">
        <v>2034</v>
      </c>
      <c r="S3" s="1">
        <v>2035</v>
      </c>
      <c r="T3" s="1">
        <v>2036</v>
      </c>
      <c r="U3" s="1">
        <v>2037</v>
      </c>
      <c r="V3" s="1">
        <v>2038</v>
      </c>
      <c r="W3" s="1">
        <v>2039</v>
      </c>
      <c r="X3" s="1">
        <v>2040</v>
      </c>
      <c r="Y3" s="1">
        <v>2041</v>
      </c>
      <c r="Z3" s="1">
        <v>2042</v>
      </c>
      <c r="AA3" s="1">
        <v>2043</v>
      </c>
      <c r="AB3" s="1">
        <v>2044</v>
      </c>
      <c r="AC3" s="1">
        <v>2045</v>
      </c>
      <c r="AD3" s="1">
        <v>2046</v>
      </c>
      <c r="AE3" s="1">
        <v>2047</v>
      </c>
      <c r="AF3" s="1">
        <v>2048</v>
      </c>
      <c r="AG3" s="1">
        <v>2049</v>
      </c>
      <c r="AH3" s="1">
        <v>2050</v>
      </c>
      <c r="AI3" s="1">
        <v>2051</v>
      </c>
      <c r="AJ3" s="1">
        <v>2052</v>
      </c>
      <c r="AK3" s="1">
        <v>2053</v>
      </c>
      <c r="AL3" s="1">
        <v>2054</v>
      </c>
      <c r="AM3" s="1">
        <v>2055</v>
      </c>
      <c r="AN3" s="1">
        <v>2056</v>
      </c>
      <c r="AO3" s="1">
        <v>2057</v>
      </c>
      <c r="AP3" s="1">
        <v>2058</v>
      </c>
      <c r="AQ3" s="1">
        <v>2059</v>
      </c>
      <c r="AR3" s="1">
        <v>2060</v>
      </c>
      <c r="AS3" s="1">
        <v>2061</v>
      </c>
      <c r="AT3" s="1">
        <v>2062</v>
      </c>
      <c r="AU3" s="1">
        <v>2063</v>
      </c>
      <c r="AV3" s="1">
        <v>2064</v>
      </c>
      <c r="AW3" s="1">
        <v>2065</v>
      </c>
      <c r="AX3" s="1">
        <v>2066</v>
      </c>
      <c r="AY3" s="1">
        <v>2067</v>
      </c>
      <c r="AZ3" s="1">
        <v>2068</v>
      </c>
      <c r="BA3" s="1">
        <v>2069</v>
      </c>
      <c r="BB3" s="1">
        <v>2070</v>
      </c>
    </row>
    <row r="4" spans="1:54" x14ac:dyDescent="0.3">
      <c r="A4" t="s">
        <v>2</v>
      </c>
      <c r="B4" s="5">
        <v>1.4890000000000001</v>
      </c>
      <c r="C4" s="5">
        <v>1.7150000000000001</v>
      </c>
      <c r="D4" s="5">
        <v>1.6060000000000001</v>
      </c>
      <c r="E4" s="5">
        <v>1.506</v>
      </c>
      <c r="F4" s="16">
        <f>E4*('Shipping EU Ref'!H36/'Shipping EU Ref'!G36)</f>
        <v>1.5500434777372816</v>
      </c>
      <c r="G4" s="16">
        <f>F4*('Shipping EU Ref'!I36/'Shipping EU Ref'!H36)</f>
        <v>1.5940869554745631</v>
      </c>
      <c r="H4" s="16">
        <f>G4*('Shipping EU Ref'!J36/'Shipping EU Ref'!I36)</f>
        <v>1.6381304332118447</v>
      </c>
      <c r="I4" s="16">
        <f>H4*('Shipping EU Ref'!K36/'Shipping EU Ref'!J36)</f>
        <v>1.6821739109491265</v>
      </c>
      <c r="J4" s="16">
        <f>I4*('Shipping EU Ref'!L36/'Shipping EU Ref'!K36)</f>
        <v>1.7141934239647307</v>
      </c>
      <c r="K4" s="16">
        <f>J4*('Shipping EU Ref'!M36/'Shipping EU Ref'!L36)</f>
        <v>1.7462129369803348</v>
      </c>
      <c r="L4" s="16">
        <f>K4*('Shipping EU Ref'!N36/'Shipping EU Ref'!M36)</f>
        <v>1.7782324499959388</v>
      </c>
      <c r="M4" s="16">
        <f>L4*('Shipping EU Ref'!O36/'Shipping EU Ref'!N36)</f>
        <v>1.810251963011543</v>
      </c>
      <c r="N4" s="16">
        <f>M4*('Shipping EU Ref'!P36/'Shipping EU Ref'!O36)</f>
        <v>1.8422714760271475</v>
      </c>
      <c r="O4" s="16">
        <f>N4*('Shipping EU Ref'!Q36/'Shipping EU Ref'!P36)</f>
        <v>1.8762949277207484</v>
      </c>
      <c r="P4" s="16">
        <f>O4*('Shipping EU Ref'!R36/'Shipping EU Ref'!Q36)</f>
        <v>1.9103183794143492</v>
      </c>
      <c r="Q4" s="16">
        <f>P4*('Shipping EU Ref'!S36/'Shipping EU Ref'!R36)</f>
        <v>1.9443418311079501</v>
      </c>
      <c r="R4" s="16">
        <f>Q4*('Shipping EU Ref'!T36/'Shipping EU Ref'!S36)</f>
        <v>1.978365282801551</v>
      </c>
      <c r="S4" s="16">
        <f>R4*('Shipping EU Ref'!U36/'Shipping EU Ref'!T36)</f>
        <v>2.0123887344951523</v>
      </c>
      <c r="T4" s="16">
        <f>S4*('Shipping EU Ref'!V36/'Shipping EU Ref'!U36)</f>
        <v>2.0230648974908609</v>
      </c>
      <c r="U4" s="16">
        <f>T4*('Shipping EU Ref'!W36/'Shipping EU Ref'!V36)</f>
        <v>2.0337410604865696</v>
      </c>
      <c r="V4" s="16">
        <f>U4*('Shipping EU Ref'!X36/'Shipping EU Ref'!W36)</f>
        <v>2.0444172234822782</v>
      </c>
      <c r="W4" s="16">
        <f>V4*('Shipping EU Ref'!Y36/'Shipping EU Ref'!X36)</f>
        <v>2.0550933864779868</v>
      </c>
      <c r="X4" s="16">
        <f>W4*('Shipping EU Ref'!Z36/'Shipping EU Ref'!Y36)</f>
        <v>2.0657695494736954</v>
      </c>
      <c r="Y4" s="16">
        <f>X4*('Shipping EU Ref'!AA36/'Shipping EU Ref'!Z36)</f>
        <v>2.076514880805155</v>
      </c>
      <c r="Z4" s="16">
        <f>Y4*('Shipping EU Ref'!AB36/'Shipping EU Ref'!AA36)</f>
        <v>2.0872602121366146</v>
      </c>
      <c r="AA4" s="16">
        <f>Z4*('Shipping EU Ref'!AC36/'Shipping EU Ref'!AB36)</f>
        <v>2.0980055434680747</v>
      </c>
      <c r="AB4" s="16">
        <f>AA4*('Shipping EU Ref'!AD36/'Shipping EU Ref'!AC36)</f>
        <v>2.1087508747995347</v>
      </c>
      <c r="AC4" s="16">
        <f>AB4*('Shipping EU Ref'!AE36/'Shipping EU Ref'!AD36)</f>
        <v>2.1194962061309943</v>
      </c>
      <c r="AD4" s="16">
        <f>AC4*('Shipping EU Ref'!AF36/'Shipping EU Ref'!AE36)</f>
        <v>2.1302719531436667</v>
      </c>
      <c r="AE4" s="16">
        <f>AD4*('Shipping EU Ref'!AG36/'Shipping EU Ref'!AF36)</f>
        <v>2.1410477001563391</v>
      </c>
      <c r="AF4" s="16">
        <f>AE4*('Shipping EU Ref'!AH36/'Shipping EU Ref'!AG36)</f>
        <v>2.151823447169011</v>
      </c>
      <c r="AG4" s="16">
        <f>AF4*('Shipping EU Ref'!AI36/'Shipping EU Ref'!AH36)</f>
        <v>2.1625991941816829</v>
      </c>
      <c r="AH4" s="16">
        <f>AG4*('Shipping EU Ref'!AJ36/'Shipping EU Ref'!AI36)</f>
        <v>2.1733749411943557</v>
      </c>
      <c r="AI4" s="12">
        <f t="shared" ref="AI4:BB4" si="0">AH4</f>
        <v>2.1733749411943557</v>
      </c>
      <c r="AJ4" s="12">
        <f t="shared" si="0"/>
        <v>2.1733749411943557</v>
      </c>
      <c r="AK4" s="12">
        <f t="shared" si="0"/>
        <v>2.1733749411943557</v>
      </c>
      <c r="AL4" s="12">
        <f t="shared" si="0"/>
        <v>2.1733749411943557</v>
      </c>
      <c r="AM4" s="12">
        <f t="shared" si="0"/>
        <v>2.1733749411943557</v>
      </c>
      <c r="AN4" s="12">
        <f t="shared" si="0"/>
        <v>2.1733749411943557</v>
      </c>
      <c r="AO4" s="12">
        <f t="shared" si="0"/>
        <v>2.1733749411943557</v>
      </c>
      <c r="AP4" s="12">
        <f t="shared" si="0"/>
        <v>2.1733749411943557</v>
      </c>
      <c r="AQ4" s="12">
        <f t="shared" si="0"/>
        <v>2.1733749411943557</v>
      </c>
      <c r="AR4" s="12">
        <f t="shared" si="0"/>
        <v>2.1733749411943557</v>
      </c>
      <c r="AS4" s="12">
        <f t="shared" si="0"/>
        <v>2.1733749411943557</v>
      </c>
      <c r="AT4" s="12">
        <f t="shared" si="0"/>
        <v>2.1733749411943557</v>
      </c>
      <c r="AU4" s="12">
        <f t="shared" si="0"/>
        <v>2.1733749411943557</v>
      </c>
      <c r="AV4" s="12">
        <f t="shared" si="0"/>
        <v>2.1733749411943557</v>
      </c>
      <c r="AW4" s="12">
        <f t="shared" si="0"/>
        <v>2.1733749411943557</v>
      </c>
      <c r="AX4" s="12">
        <f t="shared" si="0"/>
        <v>2.1733749411943557</v>
      </c>
      <c r="AY4" s="12">
        <f t="shared" si="0"/>
        <v>2.1733749411943557</v>
      </c>
      <c r="AZ4" s="12">
        <f t="shared" si="0"/>
        <v>2.1733749411943557</v>
      </c>
      <c r="BA4" s="12">
        <f t="shared" si="0"/>
        <v>2.1733749411943557</v>
      </c>
      <c r="BB4" s="12">
        <f t="shared" si="0"/>
        <v>2.1733749411943557</v>
      </c>
    </row>
    <row r="5" spans="1:54" x14ac:dyDescent="0.3">
      <c r="A5" t="s">
        <v>4</v>
      </c>
      <c r="B5" s="5">
        <v>932.70806110000001</v>
      </c>
      <c r="C5" s="5">
        <v>964.99287990000005</v>
      </c>
      <c r="D5" s="5">
        <v>935.43405150000001</v>
      </c>
      <c r="E5" s="5">
        <v>1004.538934</v>
      </c>
      <c r="F5" s="8">
        <f>E5*('Shipping EU Ref'!H4/'Shipping EU Ref'!G4)</f>
        <v>1090.8667331893514</v>
      </c>
      <c r="G5" s="8">
        <f>F5*('Shipping EU Ref'!I4/'Shipping EU Ref'!H4)</f>
        <v>1177.1945323787029</v>
      </c>
      <c r="H5" s="8">
        <f>G5*('Shipping EU Ref'!J4/'Shipping EU Ref'!I4)</f>
        <v>1263.5223315680544</v>
      </c>
      <c r="I5" s="8">
        <f>H5*('Shipping EU Ref'!K4/'Shipping EU Ref'!J4)</f>
        <v>1349.8501307574056</v>
      </c>
      <c r="J5" s="8">
        <f>I5*('Shipping EU Ref'!L4/'Shipping EU Ref'!K4)</f>
        <v>1348.8455453579463</v>
      </c>
      <c r="K5" s="8">
        <f>J5*('Shipping EU Ref'!M4/'Shipping EU Ref'!L4)</f>
        <v>1347.840959958487</v>
      </c>
      <c r="L5" s="8">
        <f>K5*('Shipping EU Ref'!N4/'Shipping EU Ref'!M4)</f>
        <v>1346.8363745590275</v>
      </c>
      <c r="M5" s="8">
        <f>L5*('Shipping EU Ref'!O4/'Shipping EU Ref'!N4)</f>
        <v>1345.831789159568</v>
      </c>
      <c r="N5" s="8">
        <f>M5*('Shipping EU Ref'!P4/'Shipping EU Ref'!O4)</f>
        <v>1344.8272037601084</v>
      </c>
      <c r="O5" s="8">
        <f>N5*('Shipping EU Ref'!Q4/'Shipping EU Ref'!P4)</f>
        <v>1355.0620686171044</v>
      </c>
      <c r="P5" s="8">
        <f>O5*('Shipping EU Ref'!R4/'Shipping EU Ref'!Q4)</f>
        <v>1365.2969334741003</v>
      </c>
      <c r="Q5" s="8">
        <f>P5*('Shipping EU Ref'!S4/'Shipping EU Ref'!R4)</f>
        <v>1375.5317983310961</v>
      </c>
      <c r="R5" s="8">
        <f>Q5*('Shipping EU Ref'!T4/'Shipping EU Ref'!S4)</f>
        <v>1385.766663188092</v>
      </c>
      <c r="S5" s="8">
        <f>R5*('Shipping EU Ref'!U4/'Shipping EU Ref'!T4)</f>
        <v>1396.0015280450878</v>
      </c>
      <c r="T5" s="8">
        <f>S5*('Shipping EU Ref'!V4/'Shipping EU Ref'!U4)</f>
        <v>1408.9323011414772</v>
      </c>
      <c r="U5" s="8">
        <f>T5*('Shipping EU Ref'!W4/'Shipping EU Ref'!V4)</f>
        <v>1421.8630742378668</v>
      </c>
      <c r="V5" s="8">
        <f>U5*('Shipping EU Ref'!X4/'Shipping EU Ref'!W4)</f>
        <v>1434.7938473342563</v>
      </c>
      <c r="W5" s="8">
        <f>V5*('Shipping EU Ref'!Y4/'Shipping EU Ref'!X4)</f>
        <v>1447.7246204306459</v>
      </c>
      <c r="X5" s="8">
        <f>W5*('Shipping EU Ref'!Z4/'Shipping EU Ref'!Y4)</f>
        <v>1460.6553935270356</v>
      </c>
      <c r="Y5" s="8">
        <f>X5*('Shipping EU Ref'!AA4/'Shipping EU Ref'!Z4)</f>
        <v>1477.3319909543477</v>
      </c>
      <c r="Z5" s="8">
        <f>Y5*('Shipping EU Ref'!AB4/'Shipping EU Ref'!AA4)</f>
        <v>1494.0085883816598</v>
      </c>
      <c r="AA5" s="8">
        <f>Z5*('Shipping EU Ref'!AC4/'Shipping EU Ref'!AB4)</f>
        <v>1510.6851858089719</v>
      </c>
      <c r="AB5" s="8">
        <f>AA5*('Shipping EU Ref'!AD4/'Shipping EU Ref'!AC4)</f>
        <v>1527.3617832362843</v>
      </c>
      <c r="AC5" s="8">
        <f>AB5*('Shipping EU Ref'!AE4/'Shipping EU Ref'!AD4)</f>
        <v>1544.0383806635959</v>
      </c>
      <c r="AD5" s="8">
        <f>AC5*('Shipping EU Ref'!AF4/'Shipping EU Ref'!AE4)</f>
        <v>1557.7922551031377</v>
      </c>
      <c r="AE5" s="8">
        <f>AD5*('Shipping EU Ref'!AG4/'Shipping EU Ref'!AF4)</f>
        <v>1571.5461295426792</v>
      </c>
      <c r="AF5" s="8">
        <f>AE5*('Shipping EU Ref'!AH4/'Shipping EU Ref'!AG4)</f>
        <v>1585.3000039822207</v>
      </c>
      <c r="AG5" s="8">
        <f>AF5*('Shipping EU Ref'!AI4/'Shipping EU Ref'!AH4)</f>
        <v>1599.0538784217622</v>
      </c>
      <c r="AH5" s="8">
        <f>AG5*('Shipping EU Ref'!AJ4/'Shipping EU Ref'!AI4)</f>
        <v>1612.8077528613037</v>
      </c>
      <c r="AI5" s="12">
        <f t="shared" ref="AI5:BB5" si="1">AH5</f>
        <v>1612.8077528613037</v>
      </c>
      <c r="AJ5" s="12">
        <f t="shared" si="1"/>
        <v>1612.8077528613037</v>
      </c>
      <c r="AK5" s="12">
        <f t="shared" si="1"/>
        <v>1612.8077528613037</v>
      </c>
      <c r="AL5" s="12">
        <f t="shared" si="1"/>
        <v>1612.8077528613037</v>
      </c>
      <c r="AM5" s="12">
        <f t="shared" si="1"/>
        <v>1612.8077528613037</v>
      </c>
      <c r="AN5" s="12">
        <f t="shared" si="1"/>
        <v>1612.8077528613037</v>
      </c>
      <c r="AO5" s="12">
        <f t="shared" si="1"/>
        <v>1612.8077528613037</v>
      </c>
      <c r="AP5" s="12">
        <f t="shared" si="1"/>
        <v>1612.8077528613037</v>
      </c>
      <c r="AQ5" s="12">
        <f t="shared" si="1"/>
        <v>1612.8077528613037</v>
      </c>
      <c r="AR5" s="12">
        <f t="shared" si="1"/>
        <v>1612.8077528613037</v>
      </c>
      <c r="AS5" s="12">
        <f t="shared" si="1"/>
        <v>1612.8077528613037</v>
      </c>
      <c r="AT5" s="12">
        <f t="shared" si="1"/>
        <v>1612.8077528613037</v>
      </c>
      <c r="AU5" s="12">
        <f t="shared" si="1"/>
        <v>1612.8077528613037</v>
      </c>
      <c r="AV5" s="12">
        <f t="shared" si="1"/>
        <v>1612.8077528613037</v>
      </c>
      <c r="AW5" s="12">
        <f t="shared" si="1"/>
        <v>1612.8077528613037</v>
      </c>
      <c r="AX5" s="12">
        <f t="shared" si="1"/>
        <v>1612.8077528613037</v>
      </c>
      <c r="AY5" s="12">
        <f t="shared" si="1"/>
        <v>1612.8077528613037</v>
      </c>
      <c r="AZ5" s="12">
        <f t="shared" si="1"/>
        <v>1612.8077528613037</v>
      </c>
      <c r="BA5" s="12">
        <f t="shared" si="1"/>
        <v>1612.8077528613037</v>
      </c>
      <c r="BB5" s="12">
        <f t="shared" si="1"/>
        <v>1612.8077528613037</v>
      </c>
    </row>
    <row r="6" spans="1:54" x14ac:dyDescent="0.3">
      <c r="A6" t="s">
        <v>3</v>
      </c>
      <c r="B6" s="5">
        <v>52.325022390000001</v>
      </c>
      <c r="C6" s="5">
        <v>56.782292300000002</v>
      </c>
      <c r="D6" s="5">
        <v>44.780078609999997</v>
      </c>
      <c r="E6" s="5">
        <v>51.196572750000001</v>
      </c>
      <c r="F6" s="8">
        <f>E6*('Shipping EU Ref'!H5/'Shipping EU Ref'!G5)</f>
        <v>55.718816880536878</v>
      </c>
      <c r="G6" s="8">
        <f>F6*('Shipping EU Ref'!I5/'Shipping EU Ref'!H5)</f>
        <v>60.241061011073754</v>
      </c>
      <c r="H6" s="8">
        <f>G6*('Shipping EU Ref'!J5/'Shipping EU Ref'!I5)</f>
        <v>64.76330514161063</v>
      </c>
      <c r="I6" s="8">
        <f>H6*('Shipping EU Ref'!K5/'Shipping EU Ref'!J5)</f>
        <v>69.28554927214752</v>
      </c>
      <c r="J6" s="8">
        <f>I6*('Shipping EU Ref'!L5/'Shipping EU Ref'!K5)</f>
        <v>71.32242443578005</v>
      </c>
      <c r="K6" s="8">
        <f>J6*('Shipping EU Ref'!M5/'Shipping EU Ref'!L5)</f>
        <v>73.359299599412566</v>
      </c>
      <c r="L6" s="8">
        <f>K6*('Shipping EU Ref'!N5/'Shipping EU Ref'!M5)</f>
        <v>75.396174763045082</v>
      </c>
      <c r="M6" s="8">
        <f>L6*('Shipping EU Ref'!O5/'Shipping EU Ref'!N5)</f>
        <v>77.433049926677597</v>
      </c>
      <c r="N6" s="8">
        <f>M6*('Shipping EU Ref'!P5/'Shipping EU Ref'!O5)</f>
        <v>79.469925090310113</v>
      </c>
      <c r="O6" s="8">
        <f>N6*('Shipping EU Ref'!Q5/'Shipping EU Ref'!P5)</f>
        <v>81.129995281551757</v>
      </c>
      <c r="P6" s="8">
        <f>O6*('Shipping EU Ref'!R5/'Shipping EU Ref'!Q5)</f>
        <v>82.790065472793387</v>
      </c>
      <c r="Q6" s="8">
        <f>P6*('Shipping EU Ref'!S5/'Shipping EU Ref'!R5)</f>
        <v>84.450135664035017</v>
      </c>
      <c r="R6" s="8">
        <f>Q6*('Shipping EU Ref'!T5/'Shipping EU Ref'!S5)</f>
        <v>86.110205855276661</v>
      </c>
      <c r="S6" s="8">
        <f>R6*('Shipping EU Ref'!U5/'Shipping EU Ref'!T5)</f>
        <v>87.770276046518305</v>
      </c>
      <c r="T6" s="8">
        <f>S6*('Shipping EU Ref'!V5/'Shipping EU Ref'!U5)</f>
        <v>89.175720970676124</v>
      </c>
      <c r="U6" s="8">
        <f>T6*('Shipping EU Ref'!W5/'Shipping EU Ref'!V5)</f>
        <v>90.58116589483393</v>
      </c>
      <c r="V6" s="8">
        <f>U6*('Shipping EU Ref'!X5/'Shipping EU Ref'!W5)</f>
        <v>91.98661081899175</v>
      </c>
      <c r="W6" s="8">
        <f>V6*('Shipping EU Ref'!Y5/'Shipping EU Ref'!X5)</f>
        <v>93.392055743149569</v>
      </c>
      <c r="X6" s="8">
        <f>W6*('Shipping EU Ref'!Z5/'Shipping EU Ref'!Y5)</f>
        <v>94.797500667307389</v>
      </c>
      <c r="Y6" s="8">
        <f>X6*('Shipping EU Ref'!AA5/'Shipping EU Ref'!Z5)</f>
        <v>97.00306357881729</v>
      </c>
      <c r="Z6" s="8">
        <f>Y6*('Shipping EU Ref'!AB5/'Shipping EU Ref'!AA5)</f>
        <v>99.208626490327177</v>
      </c>
      <c r="AA6" s="8">
        <f>Z6*('Shipping EU Ref'!AC5/'Shipping EU Ref'!AB5)</f>
        <v>101.41418940183708</v>
      </c>
      <c r="AB6" s="8">
        <f>AA6*('Shipping EU Ref'!AD5/'Shipping EU Ref'!AC5)</f>
        <v>103.61975231334698</v>
      </c>
      <c r="AC6" s="8">
        <f>AB6*('Shipping EU Ref'!AE5/'Shipping EU Ref'!AD5)</f>
        <v>105.82531522485685</v>
      </c>
      <c r="AD6" s="8">
        <f>AC6*('Shipping EU Ref'!AF5/'Shipping EU Ref'!AE5)</f>
        <v>107.00916624710372</v>
      </c>
      <c r="AE6" s="8">
        <f>AD6*('Shipping EU Ref'!AG5/'Shipping EU Ref'!AF5)</f>
        <v>108.19301726935059</v>
      </c>
      <c r="AF6" s="8">
        <f>AE6*('Shipping EU Ref'!AH5/'Shipping EU Ref'!AG5)</f>
        <v>109.37686829159746</v>
      </c>
      <c r="AG6" s="8">
        <f>AF6*('Shipping EU Ref'!AI5/'Shipping EU Ref'!AH5)</f>
        <v>110.56071931384434</v>
      </c>
      <c r="AH6" s="8">
        <f>AG6*('Shipping EU Ref'!AJ5/'Shipping EU Ref'!AI5)</f>
        <v>111.74457033609121</v>
      </c>
      <c r="AI6" s="12">
        <f t="shared" ref="AI6:BB6" si="2">AH6</f>
        <v>111.74457033609121</v>
      </c>
      <c r="AJ6" s="12">
        <f t="shared" si="2"/>
        <v>111.74457033609121</v>
      </c>
      <c r="AK6" s="12">
        <f t="shared" si="2"/>
        <v>111.74457033609121</v>
      </c>
      <c r="AL6" s="12">
        <f t="shared" si="2"/>
        <v>111.74457033609121</v>
      </c>
      <c r="AM6" s="12">
        <f t="shared" si="2"/>
        <v>111.74457033609121</v>
      </c>
      <c r="AN6" s="12">
        <f t="shared" si="2"/>
        <v>111.74457033609121</v>
      </c>
      <c r="AO6" s="12">
        <f t="shared" si="2"/>
        <v>111.74457033609121</v>
      </c>
      <c r="AP6" s="12">
        <f t="shared" si="2"/>
        <v>111.74457033609121</v>
      </c>
      <c r="AQ6" s="12">
        <f t="shared" si="2"/>
        <v>111.74457033609121</v>
      </c>
      <c r="AR6" s="12">
        <f t="shared" si="2"/>
        <v>111.74457033609121</v>
      </c>
      <c r="AS6" s="12">
        <f t="shared" si="2"/>
        <v>111.74457033609121</v>
      </c>
      <c r="AT6" s="12">
        <f t="shared" si="2"/>
        <v>111.74457033609121</v>
      </c>
      <c r="AU6" s="12">
        <f t="shared" si="2"/>
        <v>111.74457033609121</v>
      </c>
      <c r="AV6" s="12">
        <f t="shared" si="2"/>
        <v>111.74457033609121</v>
      </c>
      <c r="AW6" s="12">
        <f t="shared" si="2"/>
        <v>111.74457033609121</v>
      </c>
      <c r="AX6" s="12">
        <f t="shared" si="2"/>
        <v>111.74457033609121</v>
      </c>
      <c r="AY6" s="12">
        <f t="shared" si="2"/>
        <v>111.74457033609121</v>
      </c>
      <c r="AZ6" s="12">
        <f t="shared" si="2"/>
        <v>111.74457033609121</v>
      </c>
      <c r="BA6" s="12">
        <f t="shared" si="2"/>
        <v>111.74457033609121</v>
      </c>
      <c r="BB6" s="12">
        <f t="shared" si="2"/>
        <v>111.74457033609121</v>
      </c>
    </row>
    <row r="7" spans="1:54" x14ac:dyDescent="0.3">
      <c r="A7" t="s">
        <v>15</v>
      </c>
      <c r="B7" s="5">
        <v>11.13535315</v>
      </c>
      <c r="C7" s="5">
        <v>11.33440658</v>
      </c>
      <c r="D7" s="5">
        <v>11.090020559999999</v>
      </c>
      <c r="E7" s="5">
        <v>10.778925729999999</v>
      </c>
      <c r="F7" s="8">
        <f>E7*('Shipping EU Ref'!H6/'Shipping EU Ref'!G6)</f>
        <v>11.671719302008544</v>
      </c>
      <c r="G7" s="8">
        <f>F7*('Shipping EU Ref'!I6/'Shipping EU Ref'!H6)</f>
        <v>12.564512874017089</v>
      </c>
      <c r="H7" s="8">
        <f>G7*('Shipping EU Ref'!J6/'Shipping EU Ref'!I6)</f>
        <v>13.457306446025633</v>
      </c>
      <c r="I7" s="8">
        <f>H7*('Shipping EU Ref'!K6/'Shipping EU Ref'!J6)</f>
        <v>14.350100018034183</v>
      </c>
      <c r="J7" s="8">
        <f>I7*('Shipping EU Ref'!L6/'Shipping EU Ref'!K6)</f>
        <v>14.586923872030898</v>
      </c>
      <c r="K7" s="8">
        <f>J7*('Shipping EU Ref'!M6/'Shipping EU Ref'!L6)</f>
        <v>14.823747726027612</v>
      </c>
      <c r="L7" s="8">
        <f>K7*('Shipping EU Ref'!N6/'Shipping EU Ref'!M6)</f>
        <v>15.060571580024327</v>
      </c>
      <c r="M7" s="8">
        <f>L7*('Shipping EU Ref'!O6/'Shipping EU Ref'!N6)</f>
        <v>15.297395434021041</v>
      </c>
      <c r="N7" s="8">
        <f>M7*('Shipping EU Ref'!P6/'Shipping EU Ref'!O6)</f>
        <v>15.534219288017757</v>
      </c>
      <c r="O7" s="8">
        <f>N7*('Shipping EU Ref'!Q6/'Shipping EU Ref'!P6)</f>
        <v>15.802624358120942</v>
      </c>
      <c r="P7" s="8">
        <f>O7*('Shipping EU Ref'!R6/'Shipping EU Ref'!Q6)</f>
        <v>16.071029428224129</v>
      </c>
      <c r="Q7" s="8">
        <f>P7*('Shipping EU Ref'!S6/'Shipping EU Ref'!R6)</f>
        <v>16.339434498327314</v>
      </c>
      <c r="R7" s="8">
        <f>Q7*('Shipping EU Ref'!T6/'Shipping EU Ref'!S6)</f>
        <v>16.607839568430499</v>
      </c>
      <c r="S7" s="8">
        <f>R7*('Shipping EU Ref'!U6/'Shipping EU Ref'!T6)</f>
        <v>16.876244638533684</v>
      </c>
      <c r="T7" s="8">
        <f>S7*('Shipping EU Ref'!V6/'Shipping EU Ref'!U6)</f>
        <v>17.152333967285244</v>
      </c>
      <c r="U7" s="8">
        <f>T7*('Shipping EU Ref'!W6/'Shipping EU Ref'!V6)</f>
        <v>17.428423296036804</v>
      </c>
      <c r="V7" s="8">
        <f>U7*('Shipping EU Ref'!X6/'Shipping EU Ref'!W6)</f>
        <v>17.704512624788364</v>
      </c>
      <c r="W7" s="8">
        <f>V7*('Shipping EU Ref'!Y6/'Shipping EU Ref'!X6)</f>
        <v>17.980601953539924</v>
      </c>
      <c r="X7" s="8">
        <f>W7*('Shipping EU Ref'!Z6/'Shipping EU Ref'!Y6)</f>
        <v>18.256691282291477</v>
      </c>
      <c r="Y7" s="8">
        <f>X7*('Shipping EU Ref'!AA6/'Shipping EU Ref'!Z6)</f>
        <v>18.686420883495419</v>
      </c>
      <c r="Z7" s="8">
        <f>Y7*('Shipping EU Ref'!AB6/'Shipping EU Ref'!AA6)</f>
        <v>19.116150484699361</v>
      </c>
      <c r="AA7" s="8">
        <f>Z7*('Shipping EU Ref'!AC6/'Shipping EU Ref'!AB6)</f>
        <v>19.545880085903303</v>
      </c>
      <c r="AB7" s="8">
        <f>AA7*('Shipping EU Ref'!AD6/'Shipping EU Ref'!AC6)</f>
        <v>19.975609687107244</v>
      </c>
      <c r="AC7" s="8">
        <f>AB7*('Shipping EU Ref'!AE6/'Shipping EU Ref'!AD6)</f>
        <v>20.405339288311183</v>
      </c>
      <c r="AD7" s="8">
        <f>AC7*('Shipping EU Ref'!AF6/'Shipping EU Ref'!AE6)</f>
        <v>20.761703757271505</v>
      </c>
      <c r="AE7" s="8">
        <f>AD7*('Shipping EU Ref'!AG6/'Shipping EU Ref'!AF6)</f>
        <v>21.118068226231827</v>
      </c>
      <c r="AF7" s="8">
        <f>AE7*('Shipping EU Ref'!AH6/'Shipping EU Ref'!AG6)</f>
        <v>21.474432695192149</v>
      </c>
      <c r="AG7" s="8">
        <f>AF7*('Shipping EU Ref'!AI6/'Shipping EU Ref'!AH6)</f>
        <v>21.830797164152472</v>
      </c>
      <c r="AH7" s="8">
        <f>AG7*('Shipping EU Ref'!AJ6/'Shipping EU Ref'!AI6)</f>
        <v>22.187161633112797</v>
      </c>
      <c r="AI7" s="12">
        <f t="shared" ref="AI7:BB7" si="3">AH7</f>
        <v>22.187161633112797</v>
      </c>
      <c r="AJ7" s="12">
        <f t="shared" si="3"/>
        <v>22.187161633112797</v>
      </c>
      <c r="AK7" s="12">
        <f t="shared" si="3"/>
        <v>22.187161633112797</v>
      </c>
      <c r="AL7" s="12">
        <f t="shared" si="3"/>
        <v>22.187161633112797</v>
      </c>
      <c r="AM7" s="12">
        <f t="shared" si="3"/>
        <v>22.187161633112797</v>
      </c>
      <c r="AN7" s="12">
        <f t="shared" si="3"/>
        <v>22.187161633112797</v>
      </c>
      <c r="AO7" s="12">
        <f t="shared" si="3"/>
        <v>22.187161633112797</v>
      </c>
      <c r="AP7" s="12">
        <f t="shared" si="3"/>
        <v>22.187161633112797</v>
      </c>
      <c r="AQ7" s="12">
        <f t="shared" si="3"/>
        <v>22.187161633112797</v>
      </c>
      <c r="AR7" s="12">
        <f t="shared" si="3"/>
        <v>22.187161633112797</v>
      </c>
      <c r="AS7" s="12">
        <f t="shared" si="3"/>
        <v>22.187161633112797</v>
      </c>
      <c r="AT7" s="12">
        <f t="shared" si="3"/>
        <v>22.187161633112797</v>
      </c>
      <c r="AU7" s="12">
        <f t="shared" si="3"/>
        <v>22.187161633112797</v>
      </c>
      <c r="AV7" s="12">
        <f t="shared" si="3"/>
        <v>22.187161633112797</v>
      </c>
      <c r="AW7" s="12">
        <f t="shared" si="3"/>
        <v>22.187161633112797</v>
      </c>
      <c r="AX7" s="12">
        <f t="shared" si="3"/>
        <v>22.187161633112797</v>
      </c>
      <c r="AY7" s="12">
        <f t="shared" si="3"/>
        <v>22.187161633112797</v>
      </c>
      <c r="AZ7" s="12">
        <f t="shared" si="3"/>
        <v>22.187161633112797</v>
      </c>
      <c r="BA7" s="12">
        <f t="shared" si="3"/>
        <v>22.187161633112797</v>
      </c>
      <c r="BB7" s="12">
        <f t="shared" si="3"/>
        <v>22.187161633112797</v>
      </c>
    </row>
    <row r="8" spans="1:54" x14ac:dyDescent="0.3">
      <c r="A8" t="s">
        <v>5</v>
      </c>
      <c r="B8" s="5">
        <v>2.3E-2</v>
      </c>
      <c r="C8" s="5">
        <v>3.2000000000000001E-2</v>
      </c>
      <c r="D8" s="5">
        <v>1.7999999999999999E-2</v>
      </c>
      <c r="E8" s="5">
        <v>2.1999999999999999E-2</v>
      </c>
      <c r="F8" s="16">
        <f>E8*('Shipping EU Ref'!H40/'Shipping EU Ref'!G40)</f>
        <v>2.2689980779688295E-2</v>
      </c>
      <c r="G8" s="16">
        <f>F8*('Shipping EU Ref'!I40/'Shipping EU Ref'!H40)</f>
        <v>2.3379961559376591E-2</v>
      </c>
      <c r="H8" s="16">
        <f>G8*('Shipping EU Ref'!J40/'Shipping EU Ref'!I40)</f>
        <v>2.4069942339064884E-2</v>
      </c>
      <c r="I8" s="16">
        <f>H8*('Shipping EU Ref'!K40/'Shipping EU Ref'!J40)</f>
        <v>2.475992311875317E-2</v>
      </c>
      <c r="J8" s="16">
        <f>I8*('Shipping EU Ref'!L40/'Shipping EU Ref'!K40)</f>
        <v>2.496688298634327E-2</v>
      </c>
      <c r="K8" s="16">
        <f>J8*('Shipping EU Ref'!M40/'Shipping EU Ref'!L40)</f>
        <v>2.5173842853933374E-2</v>
      </c>
      <c r="L8" s="16">
        <f>K8*('Shipping EU Ref'!N40/'Shipping EU Ref'!M40)</f>
        <v>2.5380802721523474E-2</v>
      </c>
      <c r="M8" s="16">
        <f>L8*('Shipping EU Ref'!O40/'Shipping EU Ref'!N40)</f>
        <v>2.5587762589113577E-2</v>
      </c>
      <c r="N8" s="16">
        <f>M8*('Shipping EU Ref'!P40/'Shipping EU Ref'!O40)</f>
        <v>2.5794722456703674E-2</v>
      </c>
      <c r="O8" s="16">
        <f>N8*('Shipping EU Ref'!Q40/'Shipping EU Ref'!P40)</f>
        <v>2.6328007161153709E-2</v>
      </c>
      <c r="P8" s="16">
        <f>O8*('Shipping EU Ref'!R40/'Shipping EU Ref'!Q40)</f>
        <v>2.6861291865603744E-2</v>
      </c>
      <c r="Q8" s="16">
        <f>P8*('Shipping EU Ref'!S40/'Shipping EU Ref'!R40)</f>
        <v>2.7394576570053775E-2</v>
      </c>
      <c r="R8" s="16">
        <f>Q8*('Shipping EU Ref'!T40/'Shipping EU Ref'!S40)</f>
        <v>2.792786127450381E-2</v>
      </c>
      <c r="S8" s="16">
        <f>R8*('Shipping EU Ref'!U40/'Shipping EU Ref'!T40)</f>
        <v>2.8461145978953849E-2</v>
      </c>
      <c r="T8" s="16">
        <f>S8*('Shipping EU Ref'!V40/'Shipping EU Ref'!U40)</f>
        <v>2.8812409757901867E-2</v>
      </c>
      <c r="U8" s="16">
        <f>T8*('Shipping EU Ref'!W40/'Shipping EU Ref'!V40)</f>
        <v>2.9163673536849889E-2</v>
      </c>
      <c r="V8" s="16">
        <f>U8*('Shipping EU Ref'!X40/'Shipping EU Ref'!W40)</f>
        <v>2.9514937315797907E-2</v>
      </c>
      <c r="W8" s="16">
        <f>V8*('Shipping EU Ref'!Y40/'Shipping EU Ref'!X40)</f>
        <v>2.9866201094745928E-2</v>
      </c>
      <c r="X8" s="16">
        <f>W8*('Shipping EU Ref'!Z40/'Shipping EU Ref'!Y40)</f>
        <v>3.0217464873693936E-2</v>
      </c>
      <c r="Y8" s="16">
        <f>X8*('Shipping EU Ref'!AA40/'Shipping EU Ref'!Z40)</f>
        <v>3.0568605960759009E-2</v>
      </c>
      <c r="Z8" s="16">
        <f>Y8*('Shipping EU Ref'!AB40/'Shipping EU Ref'!AA40)</f>
        <v>3.0919747047824082E-2</v>
      </c>
      <c r="AA8" s="16">
        <f>Z8*('Shipping EU Ref'!AC40/'Shipping EU Ref'!AB40)</f>
        <v>3.1270888134889159E-2</v>
      </c>
      <c r="AB8" s="16">
        <f>AA8*('Shipping EU Ref'!AD40/'Shipping EU Ref'!AC40)</f>
        <v>3.1622029221954229E-2</v>
      </c>
      <c r="AC8" s="16">
        <f>AB8*('Shipping EU Ref'!AE40/'Shipping EU Ref'!AD40)</f>
        <v>3.1973170309019291E-2</v>
      </c>
      <c r="AD8" s="16">
        <f>AC8*('Shipping EU Ref'!AF40/'Shipping EU Ref'!AE40)</f>
        <v>3.2294033635183891E-2</v>
      </c>
      <c r="AE8" s="16">
        <f>AD8*('Shipping EU Ref'!AG40/'Shipping EU Ref'!AF40)</f>
        <v>3.2614896961348491E-2</v>
      </c>
      <c r="AF8" s="16">
        <f>AE8*('Shipping EU Ref'!AH40/'Shipping EU Ref'!AG40)</f>
        <v>3.2935760287513084E-2</v>
      </c>
      <c r="AG8" s="16">
        <f>AF8*('Shipping EU Ref'!AI40/'Shipping EU Ref'!AH40)</f>
        <v>3.3256623613677684E-2</v>
      </c>
      <c r="AH8" s="16">
        <f>AG8*('Shipping EU Ref'!AJ40/'Shipping EU Ref'!AI40)</f>
        <v>3.3577486939842284E-2</v>
      </c>
      <c r="AI8" s="12">
        <f t="shared" ref="AI8:BB8" si="4">AH8</f>
        <v>3.3577486939842284E-2</v>
      </c>
      <c r="AJ8" s="12">
        <f t="shared" si="4"/>
        <v>3.3577486939842284E-2</v>
      </c>
      <c r="AK8" s="12">
        <f t="shared" si="4"/>
        <v>3.3577486939842284E-2</v>
      </c>
      <c r="AL8" s="12">
        <f t="shared" si="4"/>
        <v>3.3577486939842284E-2</v>
      </c>
      <c r="AM8" s="12">
        <f t="shared" si="4"/>
        <v>3.3577486939842284E-2</v>
      </c>
      <c r="AN8" s="12">
        <f t="shared" si="4"/>
        <v>3.3577486939842284E-2</v>
      </c>
      <c r="AO8" s="12">
        <f t="shared" si="4"/>
        <v>3.3577486939842284E-2</v>
      </c>
      <c r="AP8" s="12">
        <f t="shared" si="4"/>
        <v>3.3577486939842284E-2</v>
      </c>
      <c r="AQ8" s="12">
        <f t="shared" si="4"/>
        <v>3.3577486939842284E-2</v>
      </c>
      <c r="AR8" s="12">
        <f t="shared" si="4"/>
        <v>3.3577486939842284E-2</v>
      </c>
      <c r="AS8" s="12">
        <f t="shared" si="4"/>
        <v>3.3577486939842284E-2</v>
      </c>
      <c r="AT8" s="12">
        <f t="shared" si="4"/>
        <v>3.3577486939842284E-2</v>
      </c>
      <c r="AU8" s="12">
        <f t="shared" si="4"/>
        <v>3.3577486939842284E-2</v>
      </c>
      <c r="AV8" s="12">
        <f t="shared" si="4"/>
        <v>3.3577486939842284E-2</v>
      </c>
      <c r="AW8" s="12">
        <f t="shared" si="4"/>
        <v>3.3577486939842284E-2</v>
      </c>
      <c r="AX8" s="12">
        <f t="shared" si="4"/>
        <v>3.3577486939842284E-2</v>
      </c>
      <c r="AY8" s="12">
        <f t="shared" si="4"/>
        <v>3.3577486939842284E-2</v>
      </c>
      <c r="AZ8" s="12">
        <f t="shared" si="4"/>
        <v>3.3577486939842284E-2</v>
      </c>
      <c r="BA8" s="12">
        <f t="shared" si="4"/>
        <v>3.3577486939842284E-2</v>
      </c>
      <c r="BB8" s="12">
        <f t="shared" si="4"/>
        <v>3.3577486939842284E-2</v>
      </c>
    </row>
    <row r="9" spans="1:54" x14ac:dyDescent="0.3">
      <c r="A9" t="s">
        <v>7</v>
      </c>
      <c r="B9" s="5">
        <v>1005.916637</v>
      </c>
      <c r="C9" s="5">
        <v>1027.4856159999999</v>
      </c>
      <c r="D9" s="5">
        <v>949.73767510000005</v>
      </c>
      <c r="E9" s="5">
        <v>950.67506289999994</v>
      </c>
      <c r="F9" s="8">
        <f>E9*('Shipping EU Ref'!H8/'Shipping EU Ref'!G8)</f>
        <v>1030.8896208469264</v>
      </c>
      <c r="G9" s="8">
        <f>F9*('Shipping EU Ref'!I8/'Shipping EU Ref'!H8)</f>
        <v>1111.104178793853</v>
      </c>
      <c r="H9" s="8">
        <f>G9*('Shipping EU Ref'!J8/'Shipping EU Ref'!I8)</f>
        <v>1191.3187367407797</v>
      </c>
      <c r="I9" s="8">
        <f>H9*('Shipping EU Ref'!K8/'Shipping EU Ref'!J8)</f>
        <v>1271.5332946877065</v>
      </c>
      <c r="J9" s="8">
        <f>I9*('Shipping EU Ref'!L8/'Shipping EU Ref'!K8)</f>
        <v>1290.5076318817137</v>
      </c>
      <c r="K9" s="8">
        <f>J9*('Shipping EU Ref'!M8/'Shipping EU Ref'!L8)</f>
        <v>1309.4819690757208</v>
      </c>
      <c r="L9" s="8">
        <f>K9*('Shipping EU Ref'!N8/'Shipping EU Ref'!M8)</f>
        <v>1328.456306269728</v>
      </c>
      <c r="M9" s="8">
        <f>L9*('Shipping EU Ref'!O8/'Shipping EU Ref'!N8)</f>
        <v>1347.4306434637351</v>
      </c>
      <c r="N9" s="8">
        <f>M9*('Shipping EU Ref'!P8/'Shipping EU Ref'!O8)</f>
        <v>1366.4049806577418</v>
      </c>
      <c r="O9" s="8">
        <f>N9*('Shipping EU Ref'!Q8/'Shipping EU Ref'!P8)</f>
        <v>1383.9797591176784</v>
      </c>
      <c r="P9" s="8">
        <f>O9*('Shipping EU Ref'!R8/'Shipping EU Ref'!Q8)</f>
        <v>1401.5545375776151</v>
      </c>
      <c r="Q9" s="8">
        <f>P9*('Shipping EU Ref'!S8/'Shipping EU Ref'!R8)</f>
        <v>1419.1293160375515</v>
      </c>
      <c r="R9" s="8">
        <f>Q9*('Shipping EU Ref'!T8/'Shipping EU Ref'!S8)</f>
        <v>1436.7040944974881</v>
      </c>
      <c r="S9" s="8">
        <f>R9*('Shipping EU Ref'!U8/'Shipping EU Ref'!T8)</f>
        <v>1454.2788729574249</v>
      </c>
      <c r="T9" s="8">
        <f>S9*('Shipping EU Ref'!V8/'Shipping EU Ref'!U8)</f>
        <v>1476.2797572396175</v>
      </c>
      <c r="U9" s="8">
        <f>T9*('Shipping EU Ref'!W8/'Shipping EU Ref'!V8)</f>
        <v>1498.2806415218101</v>
      </c>
      <c r="V9" s="8">
        <f>U9*('Shipping EU Ref'!X8/'Shipping EU Ref'!W8)</f>
        <v>1520.2815258040027</v>
      </c>
      <c r="W9" s="8">
        <f>V9*('Shipping EU Ref'!Y8/'Shipping EU Ref'!X8)</f>
        <v>1542.2824100861953</v>
      </c>
      <c r="X9" s="8">
        <f>W9*('Shipping EU Ref'!Z8/'Shipping EU Ref'!Y8)</f>
        <v>1564.2832943683877</v>
      </c>
      <c r="Y9" s="8">
        <f>X9*('Shipping EU Ref'!AA8/'Shipping EU Ref'!Z8)</f>
        <v>1585.396344729771</v>
      </c>
      <c r="Z9" s="8">
        <f>Y9*('Shipping EU Ref'!AB8/'Shipping EU Ref'!AA8)</f>
        <v>1606.5093950911544</v>
      </c>
      <c r="AA9" s="8">
        <f>Z9*('Shipping EU Ref'!AC8/'Shipping EU Ref'!AB8)</f>
        <v>1627.6224454525377</v>
      </c>
      <c r="AB9" s="8">
        <f>AA9*('Shipping EU Ref'!AD8/'Shipping EU Ref'!AC8)</f>
        <v>1648.7354958139213</v>
      </c>
      <c r="AC9" s="8">
        <f>AB9*('Shipping EU Ref'!AE8/'Shipping EU Ref'!AD8)</f>
        <v>1669.8485461753041</v>
      </c>
      <c r="AD9" s="8">
        <f>AC9*('Shipping EU Ref'!AF8/'Shipping EU Ref'!AE8)</f>
        <v>1688.9440814828863</v>
      </c>
      <c r="AE9" s="8">
        <f>AD9*('Shipping EU Ref'!AG8/'Shipping EU Ref'!AF8)</f>
        <v>1708.0396167904689</v>
      </c>
      <c r="AF9" s="8">
        <f>AE9*('Shipping EU Ref'!AH8/'Shipping EU Ref'!AG8)</f>
        <v>1727.1351520980513</v>
      </c>
      <c r="AG9" s="8">
        <f>AF9*('Shipping EU Ref'!AI8/'Shipping EU Ref'!AH8)</f>
        <v>1746.2306874056337</v>
      </c>
      <c r="AH9" s="8">
        <f>AG9*('Shipping EU Ref'!AJ8/'Shipping EU Ref'!AI8)</f>
        <v>1765.3262227132157</v>
      </c>
      <c r="AI9" s="12">
        <f t="shared" ref="AI9:BB9" si="5">AH9</f>
        <v>1765.3262227132157</v>
      </c>
      <c r="AJ9" s="12">
        <f t="shared" si="5"/>
        <v>1765.3262227132157</v>
      </c>
      <c r="AK9" s="12">
        <f t="shared" si="5"/>
        <v>1765.3262227132157</v>
      </c>
      <c r="AL9" s="12">
        <f t="shared" si="5"/>
        <v>1765.3262227132157</v>
      </c>
      <c r="AM9" s="12">
        <f t="shared" si="5"/>
        <v>1765.3262227132157</v>
      </c>
      <c r="AN9" s="12">
        <f t="shared" si="5"/>
        <v>1765.3262227132157</v>
      </c>
      <c r="AO9" s="12">
        <f t="shared" si="5"/>
        <v>1765.3262227132157</v>
      </c>
      <c r="AP9" s="12">
        <f t="shared" si="5"/>
        <v>1765.3262227132157</v>
      </c>
      <c r="AQ9" s="12">
        <f t="shared" si="5"/>
        <v>1765.3262227132157</v>
      </c>
      <c r="AR9" s="12">
        <f t="shared" si="5"/>
        <v>1765.3262227132157</v>
      </c>
      <c r="AS9" s="12">
        <f t="shared" si="5"/>
        <v>1765.3262227132157</v>
      </c>
      <c r="AT9" s="12">
        <f t="shared" si="5"/>
        <v>1765.3262227132157</v>
      </c>
      <c r="AU9" s="12">
        <f t="shared" si="5"/>
        <v>1765.3262227132157</v>
      </c>
      <c r="AV9" s="12">
        <f t="shared" si="5"/>
        <v>1765.3262227132157</v>
      </c>
      <c r="AW9" s="12">
        <f t="shared" si="5"/>
        <v>1765.3262227132157</v>
      </c>
      <c r="AX9" s="12">
        <f t="shared" si="5"/>
        <v>1765.3262227132157</v>
      </c>
      <c r="AY9" s="12">
        <f t="shared" si="5"/>
        <v>1765.3262227132157</v>
      </c>
      <c r="AZ9" s="12">
        <f t="shared" si="5"/>
        <v>1765.3262227132157</v>
      </c>
      <c r="BA9" s="12">
        <f t="shared" si="5"/>
        <v>1765.3262227132157</v>
      </c>
      <c r="BB9" s="12">
        <f t="shared" si="5"/>
        <v>1765.3262227132157</v>
      </c>
    </row>
    <row r="10" spans="1:54" x14ac:dyDescent="0.3">
      <c r="A10" t="s">
        <v>6</v>
      </c>
      <c r="B10" s="5">
        <v>89.954541239999998</v>
      </c>
      <c r="C10" s="5">
        <v>101.1059027</v>
      </c>
      <c r="D10" s="5">
        <v>101.3501603</v>
      </c>
      <c r="E10" s="5">
        <v>105.1007257</v>
      </c>
      <c r="F10" s="8">
        <f>E10*('Shipping EU Ref'!H9/'Shipping EU Ref'!G9)</f>
        <v>114.58752070786355</v>
      </c>
      <c r="G10" s="8">
        <f>F10*('Shipping EU Ref'!I9/'Shipping EU Ref'!H9)</f>
        <v>124.0743157157271</v>
      </c>
      <c r="H10" s="8">
        <f>G10*('Shipping EU Ref'!J9/'Shipping EU Ref'!I9)</f>
        <v>133.56111072359062</v>
      </c>
      <c r="I10" s="8">
        <f>H10*('Shipping EU Ref'!K9/'Shipping EU Ref'!J9)</f>
        <v>143.04790573145414</v>
      </c>
      <c r="J10" s="8">
        <f>I10*('Shipping EU Ref'!L9/'Shipping EU Ref'!K9)</f>
        <v>145.49281185213709</v>
      </c>
      <c r="K10" s="8">
        <f>J10*('Shipping EU Ref'!M9/'Shipping EU Ref'!L9)</f>
        <v>147.93771797282005</v>
      </c>
      <c r="L10" s="8">
        <f>K10*('Shipping EU Ref'!N9/'Shipping EU Ref'!M9)</f>
        <v>150.38262409350301</v>
      </c>
      <c r="M10" s="8">
        <f>L10*('Shipping EU Ref'!O9/'Shipping EU Ref'!N9)</f>
        <v>152.82753021418594</v>
      </c>
      <c r="N10" s="8">
        <f>M10*('Shipping EU Ref'!P9/'Shipping EU Ref'!O9)</f>
        <v>155.27243633486896</v>
      </c>
      <c r="O10" s="8">
        <f>N10*('Shipping EU Ref'!Q9/'Shipping EU Ref'!P9)</f>
        <v>157.79985556463387</v>
      </c>
      <c r="P10" s="8">
        <f>O10*('Shipping EU Ref'!R9/'Shipping EU Ref'!Q9)</f>
        <v>160.32727479439879</v>
      </c>
      <c r="Q10" s="8">
        <f>P10*('Shipping EU Ref'!S9/'Shipping EU Ref'!R9)</f>
        <v>162.85469402416368</v>
      </c>
      <c r="R10" s="8">
        <f>Q10*('Shipping EU Ref'!T9/'Shipping EU Ref'!S9)</f>
        <v>165.38211325392859</v>
      </c>
      <c r="S10" s="8">
        <f>R10*('Shipping EU Ref'!U9/'Shipping EU Ref'!T9)</f>
        <v>167.90953248369351</v>
      </c>
      <c r="T10" s="8">
        <f>S10*('Shipping EU Ref'!V9/'Shipping EU Ref'!U9)</f>
        <v>171.46609692294322</v>
      </c>
      <c r="U10" s="8">
        <f>T10*('Shipping EU Ref'!W9/'Shipping EU Ref'!V9)</f>
        <v>175.02266136219293</v>
      </c>
      <c r="V10" s="8">
        <f>U10*('Shipping EU Ref'!X9/'Shipping EU Ref'!W9)</f>
        <v>178.57922580144265</v>
      </c>
      <c r="W10" s="8">
        <f>V10*('Shipping EU Ref'!Y9/'Shipping EU Ref'!X9)</f>
        <v>182.13579024069233</v>
      </c>
      <c r="X10" s="8">
        <f>W10*('Shipping EU Ref'!Z9/'Shipping EU Ref'!Y9)</f>
        <v>185.69235467994204</v>
      </c>
      <c r="Y10" s="8">
        <f>X10*('Shipping EU Ref'!AA9/'Shipping EU Ref'!Z9)</f>
        <v>189.2834179211375</v>
      </c>
      <c r="Z10" s="8">
        <f>Y10*('Shipping EU Ref'!AB9/'Shipping EU Ref'!AA9)</f>
        <v>192.87448116233298</v>
      </c>
      <c r="AA10" s="8">
        <f>Z10*('Shipping EU Ref'!AC9/'Shipping EU Ref'!AB9)</f>
        <v>196.46554440352847</v>
      </c>
      <c r="AB10" s="8">
        <f>AA10*('Shipping EU Ref'!AD9/'Shipping EU Ref'!AC9)</f>
        <v>200.05660764472395</v>
      </c>
      <c r="AC10" s="8">
        <f>AB10*('Shipping EU Ref'!AE9/'Shipping EU Ref'!AD9)</f>
        <v>203.64767088591938</v>
      </c>
      <c r="AD10" s="8">
        <f>AC10*('Shipping EU Ref'!AF9/'Shipping EU Ref'!AE9)</f>
        <v>207.54203502842489</v>
      </c>
      <c r="AE10" s="8">
        <f>AD10*('Shipping EU Ref'!AG9/'Shipping EU Ref'!AF9)</f>
        <v>211.4363991709304</v>
      </c>
      <c r="AF10" s="8">
        <f>AE10*('Shipping EU Ref'!AH9/'Shipping EU Ref'!AG9)</f>
        <v>215.33076331343594</v>
      </c>
      <c r="AG10" s="8">
        <f>AF10*('Shipping EU Ref'!AI9/'Shipping EU Ref'!AH9)</f>
        <v>219.22512745594148</v>
      </c>
      <c r="AH10" s="8">
        <f>AG10*('Shipping EU Ref'!AJ9/'Shipping EU Ref'!AI9)</f>
        <v>223.11949159844693</v>
      </c>
      <c r="AI10" s="12">
        <f t="shared" ref="AI10:BB10" si="6">AH10</f>
        <v>223.11949159844693</v>
      </c>
      <c r="AJ10" s="12">
        <f t="shared" si="6"/>
        <v>223.11949159844693</v>
      </c>
      <c r="AK10" s="12">
        <f t="shared" si="6"/>
        <v>223.11949159844693</v>
      </c>
      <c r="AL10" s="12">
        <f t="shared" si="6"/>
        <v>223.11949159844693</v>
      </c>
      <c r="AM10" s="12">
        <f t="shared" si="6"/>
        <v>223.11949159844693</v>
      </c>
      <c r="AN10" s="12">
        <f t="shared" si="6"/>
        <v>223.11949159844693</v>
      </c>
      <c r="AO10" s="12">
        <f t="shared" si="6"/>
        <v>223.11949159844693</v>
      </c>
      <c r="AP10" s="12">
        <f t="shared" si="6"/>
        <v>223.11949159844693</v>
      </c>
      <c r="AQ10" s="12">
        <f t="shared" si="6"/>
        <v>223.11949159844693</v>
      </c>
      <c r="AR10" s="12">
        <f t="shared" si="6"/>
        <v>223.11949159844693</v>
      </c>
      <c r="AS10" s="12">
        <f t="shared" si="6"/>
        <v>223.11949159844693</v>
      </c>
      <c r="AT10" s="12">
        <f t="shared" si="6"/>
        <v>223.11949159844693</v>
      </c>
      <c r="AU10" s="12">
        <f t="shared" si="6"/>
        <v>223.11949159844693</v>
      </c>
      <c r="AV10" s="12">
        <f t="shared" si="6"/>
        <v>223.11949159844693</v>
      </c>
      <c r="AW10" s="12">
        <f t="shared" si="6"/>
        <v>223.11949159844693</v>
      </c>
      <c r="AX10" s="12">
        <f t="shared" si="6"/>
        <v>223.11949159844693</v>
      </c>
      <c r="AY10" s="12">
        <f t="shared" si="6"/>
        <v>223.11949159844693</v>
      </c>
      <c r="AZ10" s="12">
        <f t="shared" si="6"/>
        <v>223.11949159844693</v>
      </c>
      <c r="BA10" s="12">
        <f t="shared" si="6"/>
        <v>223.11949159844693</v>
      </c>
      <c r="BB10" s="12">
        <f t="shared" si="6"/>
        <v>223.11949159844693</v>
      </c>
    </row>
    <row r="11" spans="1:54" x14ac:dyDescent="0.3">
      <c r="A11" t="s">
        <v>8</v>
      </c>
      <c r="B11" s="5">
        <v>65.454075930000002</v>
      </c>
      <c r="C11" s="5">
        <v>73.16772392</v>
      </c>
      <c r="D11" s="5">
        <v>77.392033979999994</v>
      </c>
      <c r="E11" s="5">
        <v>77.478118649999999</v>
      </c>
      <c r="F11" s="8">
        <f>E11*('Shipping EU Ref'!H10/'Shipping EU Ref'!G10)</f>
        <v>84.940378716105656</v>
      </c>
      <c r="G11" s="8">
        <f>F11*('Shipping EU Ref'!I10/'Shipping EU Ref'!H10)</f>
        <v>92.402638782211312</v>
      </c>
      <c r="H11" s="8">
        <f>G11*('Shipping EU Ref'!J10/'Shipping EU Ref'!I10)</f>
        <v>99.864898848316983</v>
      </c>
      <c r="I11" s="8">
        <f>H11*('Shipping EU Ref'!K10/'Shipping EU Ref'!J10)</f>
        <v>107.32715891442264</v>
      </c>
      <c r="J11" s="8">
        <f>I11*('Shipping EU Ref'!L10/'Shipping EU Ref'!K10)</f>
        <v>108.30733912654422</v>
      </c>
      <c r="K11" s="8">
        <f>J11*('Shipping EU Ref'!M10/'Shipping EU Ref'!L10)</f>
        <v>109.2875193386658</v>
      </c>
      <c r="L11" s="8">
        <f>K11*('Shipping EU Ref'!N10/'Shipping EU Ref'!M10)</f>
        <v>110.26769955078737</v>
      </c>
      <c r="M11" s="8">
        <f>L11*('Shipping EU Ref'!O10/'Shipping EU Ref'!N10)</f>
        <v>111.24787976290895</v>
      </c>
      <c r="N11" s="8">
        <f>M11*('Shipping EU Ref'!P10/'Shipping EU Ref'!O10)</f>
        <v>112.22805997503049</v>
      </c>
      <c r="O11" s="8">
        <f>N11*('Shipping EU Ref'!Q10/'Shipping EU Ref'!P10)</f>
        <v>113.35019299764404</v>
      </c>
      <c r="P11" s="8">
        <f>O11*('Shipping EU Ref'!R10/'Shipping EU Ref'!Q10)</f>
        <v>114.4723260202576</v>
      </c>
      <c r="Q11" s="8">
        <f>P11*('Shipping EU Ref'!S10/'Shipping EU Ref'!R10)</f>
        <v>115.59445904287114</v>
      </c>
      <c r="R11" s="8">
        <f>Q11*('Shipping EU Ref'!T10/'Shipping EU Ref'!S10)</f>
        <v>116.71659206548469</v>
      </c>
      <c r="S11" s="8">
        <f>R11*('Shipping EU Ref'!U10/'Shipping EU Ref'!T10)</f>
        <v>117.83872508809827</v>
      </c>
      <c r="T11" s="8">
        <f>S11*('Shipping EU Ref'!V10/'Shipping EU Ref'!U10)</f>
        <v>118.9119138906087</v>
      </c>
      <c r="U11" s="8">
        <f>T11*('Shipping EU Ref'!W10/'Shipping EU Ref'!V10)</f>
        <v>119.98510269311913</v>
      </c>
      <c r="V11" s="8">
        <f>U11*('Shipping EU Ref'!X10/'Shipping EU Ref'!W10)</f>
        <v>121.05829149562956</v>
      </c>
      <c r="W11" s="8">
        <f>V11*('Shipping EU Ref'!Y10/'Shipping EU Ref'!X10)</f>
        <v>122.13148029813999</v>
      </c>
      <c r="X11" s="8">
        <f>W11*('Shipping EU Ref'!Z10/'Shipping EU Ref'!Y10)</f>
        <v>123.20466910065042</v>
      </c>
      <c r="Y11" s="8">
        <f>X11*('Shipping EU Ref'!AA10/'Shipping EU Ref'!Z10)</f>
        <v>123.67559126799186</v>
      </c>
      <c r="Z11" s="8">
        <f>Y11*('Shipping EU Ref'!AB10/'Shipping EU Ref'!AA10)</f>
        <v>124.14651343533332</v>
      </c>
      <c r="AA11" s="8">
        <f>Z11*('Shipping EU Ref'!AC10/'Shipping EU Ref'!AB10)</f>
        <v>124.61743560267479</v>
      </c>
      <c r="AB11" s="8">
        <f>AA11*('Shipping EU Ref'!AD10/'Shipping EU Ref'!AC10)</f>
        <v>125.08835777001623</v>
      </c>
      <c r="AC11" s="8">
        <f>AB11*('Shipping EU Ref'!AE10/'Shipping EU Ref'!AD10)</f>
        <v>125.55927993735766</v>
      </c>
      <c r="AD11" s="8">
        <f>AC11*('Shipping EU Ref'!AF10/'Shipping EU Ref'!AE10)</f>
        <v>125.70741896327702</v>
      </c>
      <c r="AE11" s="8">
        <f>AD11*('Shipping EU Ref'!AG10/'Shipping EU Ref'!AF10)</f>
        <v>125.85555798919638</v>
      </c>
      <c r="AF11" s="8">
        <f>AE11*('Shipping EU Ref'!AH10/'Shipping EU Ref'!AG10)</f>
        <v>126.00369701511575</v>
      </c>
      <c r="AG11" s="8">
        <f>AF11*('Shipping EU Ref'!AI10/'Shipping EU Ref'!AH10)</f>
        <v>126.15183604103511</v>
      </c>
      <c r="AH11" s="8">
        <f>AG11*('Shipping EU Ref'!AJ10/'Shipping EU Ref'!AI10)</f>
        <v>126.29997506695447</v>
      </c>
      <c r="AI11" s="12">
        <f t="shared" ref="AI11:BB11" si="7">AH11</f>
        <v>126.29997506695447</v>
      </c>
      <c r="AJ11" s="12">
        <f t="shared" si="7"/>
        <v>126.29997506695447</v>
      </c>
      <c r="AK11" s="12">
        <f t="shared" si="7"/>
        <v>126.29997506695447</v>
      </c>
      <c r="AL11" s="12">
        <f t="shared" si="7"/>
        <v>126.29997506695447</v>
      </c>
      <c r="AM11" s="12">
        <f t="shared" si="7"/>
        <v>126.29997506695447</v>
      </c>
      <c r="AN11" s="12">
        <f t="shared" si="7"/>
        <v>126.29997506695447</v>
      </c>
      <c r="AO11" s="12">
        <f t="shared" si="7"/>
        <v>126.29997506695447</v>
      </c>
      <c r="AP11" s="12">
        <f t="shared" si="7"/>
        <v>126.29997506695447</v>
      </c>
      <c r="AQ11" s="12">
        <f t="shared" si="7"/>
        <v>126.29997506695447</v>
      </c>
      <c r="AR11" s="12">
        <f t="shared" si="7"/>
        <v>126.29997506695447</v>
      </c>
      <c r="AS11" s="12">
        <f t="shared" si="7"/>
        <v>126.29997506695447</v>
      </c>
      <c r="AT11" s="12">
        <f t="shared" si="7"/>
        <v>126.29997506695447</v>
      </c>
      <c r="AU11" s="12">
        <f t="shared" si="7"/>
        <v>126.29997506695447</v>
      </c>
      <c r="AV11" s="12">
        <f t="shared" si="7"/>
        <v>126.29997506695447</v>
      </c>
      <c r="AW11" s="12">
        <f t="shared" si="7"/>
        <v>126.29997506695447</v>
      </c>
      <c r="AX11" s="12">
        <f t="shared" si="7"/>
        <v>126.29997506695447</v>
      </c>
      <c r="AY11" s="12">
        <f t="shared" si="7"/>
        <v>126.29997506695447</v>
      </c>
      <c r="AZ11" s="12">
        <f t="shared" si="7"/>
        <v>126.29997506695447</v>
      </c>
      <c r="BA11" s="12">
        <f t="shared" si="7"/>
        <v>126.29997506695447</v>
      </c>
      <c r="BB11" s="12">
        <f t="shared" si="7"/>
        <v>126.29997506695447</v>
      </c>
    </row>
    <row r="12" spans="1:54" x14ac:dyDescent="0.3">
      <c r="A12" t="s">
        <v>11</v>
      </c>
      <c r="B12" s="5">
        <v>1134.9993509999999</v>
      </c>
      <c r="C12" s="5">
        <v>1245.2245270000001</v>
      </c>
      <c r="D12" s="5">
        <v>1146.061054</v>
      </c>
      <c r="E12" s="5">
        <v>1185.7363809999999</v>
      </c>
      <c r="F12" s="8">
        <f>E12*('Shipping EU Ref'!H11/'Shipping EU Ref'!G11)</f>
        <v>1279.8753472856251</v>
      </c>
      <c r="G12" s="8">
        <f>F12*('Shipping EU Ref'!I11/'Shipping EU Ref'!H11)</f>
        <v>1374.0143135712506</v>
      </c>
      <c r="H12" s="8">
        <f>G12*('Shipping EU Ref'!J11/'Shipping EU Ref'!I11)</f>
        <v>1468.1532798568758</v>
      </c>
      <c r="I12" s="8">
        <f>H12*('Shipping EU Ref'!K11/'Shipping EU Ref'!J11)</f>
        <v>1562.2922461425014</v>
      </c>
      <c r="J12" s="8">
        <f>I12*('Shipping EU Ref'!L11/'Shipping EU Ref'!K11)</f>
        <v>1570.830551586921</v>
      </c>
      <c r="K12" s="8">
        <f>J12*('Shipping EU Ref'!M11/'Shipping EU Ref'!L11)</f>
        <v>1579.3688570313407</v>
      </c>
      <c r="L12" s="8">
        <f>K12*('Shipping EU Ref'!N11/'Shipping EU Ref'!M11)</f>
        <v>1587.9071624757603</v>
      </c>
      <c r="M12" s="8">
        <f>L12*('Shipping EU Ref'!O11/'Shipping EU Ref'!N11)</f>
        <v>1596.4454679201797</v>
      </c>
      <c r="N12" s="8">
        <f>M12*('Shipping EU Ref'!P11/'Shipping EU Ref'!O11)</f>
        <v>1604.9837733645995</v>
      </c>
      <c r="O12" s="8">
        <f>N12*('Shipping EU Ref'!Q11/'Shipping EU Ref'!P11)</f>
        <v>1617.2013030869934</v>
      </c>
      <c r="P12" s="8">
        <f>O12*('Shipping EU Ref'!R11/'Shipping EU Ref'!Q11)</f>
        <v>1629.4188328093874</v>
      </c>
      <c r="Q12" s="8">
        <f>P12*('Shipping EU Ref'!S11/'Shipping EU Ref'!R11)</f>
        <v>1641.6363625317813</v>
      </c>
      <c r="R12" s="8">
        <f>Q12*('Shipping EU Ref'!T11/'Shipping EU Ref'!S11)</f>
        <v>1653.8538922541754</v>
      </c>
      <c r="S12" s="8">
        <f>R12*('Shipping EU Ref'!U11/'Shipping EU Ref'!T11)</f>
        <v>1666.0714219765696</v>
      </c>
      <c r="T12" s="8">
        <f>S12*('Shipping EU Ref'!V11/'Shipping EU Ref'!U11)</f>
        <v>1680.6975150909775</v>
      </c>
      <c r="U12" s="8">
        <f>T12*('Shipping EU Ref'!W11/'Shipping EU Ref'!V11)</f>
        <v>1695.3236082053852</v>
      </c>
      <c r="V12" s="8">
        <f>U12*('Shipping EU Ref'!X11/'Shipping EU Ref'!W11)</f>
        <v>1709.9497013197931</v>
      </c>
      <c r="W12" s="8">
        <f>V12*('Shipping EU Ref'!Y11/'Shipping EU Ref'!X11)</f>
        <v>1724.5757944342008</v>
      </c>
      <c r="X12" s="8">
        <f>W12*('Shipping EU Ref'!Z11/'Shipping EU Ref'!Y11)</f>
        <v>1739.2018875486083</v>
      </c>
      <c r="Y12" s="8">
        <f>X12*('Shipping EU Ref'!AA11/'Shipping EU Ref'!Z11)</f>
        <v>1755.6459856964316</v>
      </c>
      <c r="Z12" s="8">
        <f>Y12*('Shipping EU Ref'!AB11/'Shipping EU Ref'!AA11)</f>
        <v>1772.0900838442549</v>
      </c>
      <c r="AA12" s="8">
        <f>Z12*('Shipping EU Ref'!AC11/'Shipping EU Ref'!AB11)</f>
        <v>1788.5341819920784</v>
      </c>
      <c r="AB12" s="8">
        <f>AA12*('Shipping EU Ref'!AD11/'Shipping EU Ref'!AC11)</f>
        <v>1804.9782801399022</v>
      </c>
      <c r="AC12" s="8">
        <f>AB12*('Shipping EU Ref'!AE11/'Shipping EU Ref'!AD11)</f>
        <v>1821.4223782877259</v>
      </c>
      <c r="AD12" s="8">
        <f>AC12*('Shipping EU Ref'!AF11/'Shipping EU Ref'!AE11)</f>
        <v>1838.238595396826</v>
      </c>
      <c r="AE12" s="8">
        <f>AD12*('Shipping EU Ref'!AG11/'Shipping EU Ref'!AF11)</f>
        <v>1855.0548125059263</v>
      </c>
      <c r="AF12" s="8">
        <f>AE12*('Shipping EU Ref'!AH11/'Shipping EU Ref'!AG11)</f>
        <v>1871.8710296150264</v>
      </c>
      <c r="AG12" s="8">
        <f>AF12*('Shipping EU Ref'!AI11/'Shipping EU Ref'!AH11)</f>
        <v>1888.6872467241265</v>
      </c>
      <c r="AH12" s="8">
        <f>AG12*('Shipping EU Ref'!AJ11/'Shipping EU Ref'!AI11)</f>
        <v>1905.5034638332263</v>
      </c>
      <c r="AI12" s="12">
        <f t="shared" ref="AI12:BB12" si="8">AH12</f>
        <v>1905.5034638332263</v>
      </c>
      <c r="AJ12" s="12">
        <f t="shared" si="8"/>
        <v>1905.5034638332263</v>
      </c>
      <c r="AK12" s="12">
        <f t="shared" si="8"/>
        <v>1905.5034638332263</v>
      </c>
      <c r="AL12" s="12">
        <f t="shared" si="8"/>
        <v>1905.5034638332263</v>
      </c>
      <c r="AM12" s="12">
        <f t="shared" si="8"/>
        <v>1905.5034638332263</v>
      </c>
      <c r="AN12" s="12">
        <f t="shared" si="8"/>
        <v>1905.5034638332263</v>
      </c>
      <c r="AO12" s="12">
        <f t="shared" si="8"/>
        <v>1905.5034638332263</v>
      </c>
      <c r="AP12" s="12">
        <f t="shared" si="8"/>
        <v>1905.5034638332263</v>
      </c>
      <c r="AQ12" s="12">
        <f t="shared" si="8"/>
        <v>1905.5034638332263</v>
      </c>
      <c r="AR12" s="12">
        <f t="shared" si="8"/>
        <v>1905.5034638332263</v>
      </c>
      <c r="AS12" s="12">
        <f t="shared" si="8"/>
        <v>1905.5034638332263</v>
      </c>
      <c r="AT12" s="12">
        <f t="shared" si="8"/>
        <v>1905.5034638332263</v>
      </c>
      <c r="AU12" s="12">
        <f t="shared" si="8"/>
        <v>1905.5034638332263</v>
      </c>
      <c r="AV12" s="12">
        <f t="shared" si="8"/>
        <v>1905.5034638332263</v>
      </c>
      <c r="AW12" s="12">
        <f t="shared" si="8"/>
        <v>1905.5034638332263</v>
      </c>
      <c r="AX12" s="12">
        <f t="shared" si="8"/>
        <v>1905.5034638332263</v>
      </c>
      <c r="AY12" s="12">
        <f t="shared" si="8"/>
        <v>1905.5034638332263</v>
      </c>
      <c r="AZ12" s="12">
        <f t="shared" si="8"/>
        <v>1905.5034638332263</v>
      </c>
      <c r="BA12" s="12">
        <f t="shared" si="8"/>
        <v>1905.5034638332263</v>
      </c>
      <c r="BB12" s="12">
        <f t="shared" si="8"/>
        <v>1905.5034638332263</v>
      </c>
    </row>
    <row r="13" spans="1:54" x14ac:dyDescent="0.3">
      <c r="A13" t="s">
        <v>27</v>
      </c>
      <c r="B13" s="5">
        <v>188.29056639999999</v>
      </c>
      <c r="C13" s="5">
        <v>196.29556120000001</v>
      </c>
      <c r="D13" s="5">
        <v>178.1312504</v>
      </c>
      <c r="E13" s="5">
        <v>166.084846</v>
      </c>
      <c r="F13" s="8">
        <f>E13*('Shipping EU Ref'!H12/'Shipping EU Ref'!G12)</f>
        <v>179.41804068011567</v>
      </c>
      <c r="G13" s="8">
        <f>F13*('Shipping EU Ref'!I12/'Shipping EU Ref'!H12)</f>
        <v>192.75123536023133</v>
      </c>
      <c r="H13" s="8">
        <f>G13*('Shipping EU Ref'!J12/'Shipping EU Ref'!I12)</f>
        <v>206.084430040347</v>
      </c>
      <c r="I13" s="8">
        <f>H13*('Shipping EU Ref'!K12/'Shipping EU Ref'!J12)</f>
        <v>219.41762472046264</v>
      </c>
      <c r="J13" s="8">
        <f>I13*('Shipping EU Ref'!L12/'Shipping EU Ref'!K12)</f>
        <v>219.2369908863306</v>
      </c>
      <c r="K13" s="8">
        <f>J13*('Shipping EU Ref'!M12/'Shipping EU Ref'!L12)</f>
        <v>219.05635705219854</v>
      </c>
      <c r="L13" s="8">
        <f>K13*('Shipping EU Ref'!N12/'Shipping EU Ref'!M12)</f>
        <v>218.87572321806647</v>
      </c>
      <c r="M13" s="8">
        <f>L13*('Shipping EU Ref'!O12/'Shipping EU Ref'!N12)</f>
        <v>218.6950893839344</v>
      </c>
      <c r="N13" s="8">
        <f>M13*('Shipping EU Ref'!P12/'Shipping EU Ref'!O12)</f>
        <v>218.51445554980234</v>
      </c>
      <c r="O13" s="8">
        <f>N13*('Shipping EU Ref'!Q12/'Shipping EU Ref'!P12)</f>
        <v>220.35708928463683</v>
      </c>
      <c r="P13" s="8">
        <f>O13*('Shipping EU Ref'!R12/'Shipping EU Ref'!Q12)</f>
        <v>222.19972301947132</v>
      </c>
      <c r="Q13" s="8">
        <f>P13*('Shipping EU Ref'!S12/'Shipping EU Ref'!R12)</f>
        <v>224.04235675430581</v>
      </c>
      <c r="R13" s="8">
        <f>Q13*('Shipping EU Ref'!T12/'Shipping EU Ref'!S12)</f>
        <v>225.88499048914031</v>
      </c>
      <c r="S13" s="8">
        <f>R13*('Shipping EU Ref'!U12/'Shipping EU Ref'!T12)</f>
        <v>227.72762422397486</v>
      </c>
      <c r="T13" s="8">
        <f>S13*('Shipping EU Ref'!V12/'Shipping EU Ref'!U12)</f>
        <v>229.46995406783989</v>
      </c>
      <c r="U13" s="8">
        <f>T13*('Shipping EU Ref'!W12/'Shipping EU Ref'!V12)</f>
        <v>231.21228391170487</v>
      </c>
      <c r="V13" s="8">
        <f>U13*('Shipping EU Ref'!X12/'Shipping EU Ref'!W12)</f>
        <v>232.95461375556988</v>
      </c>
      <c r="W13" s="8">
        <f>V13*('Shipping EU Ref'!Y12/'Shipping EU Ref'!X12)</f>
        <v>234.69694359943489</v>
      </c>
      <c r="X13" s="8">
        <f>W13*('Shipping EU Ref'!Z12/'Shipping EU Ref'!Y12)</f>
        <v>236.43927344329984</v>
      </c>
      <c r="Y13" s="8">
        <f>X13*('Shipping EU Ref'!AA12/'Shipping EU Ref'!Z12)</f>
        <v>238.00764463398059</v>
      </c>
      <c r="Z13" s="8">
        <f>Y13*('Shipping EU Ref'!AB12/'Shipping EU Ref'!AA12)</f>
        <v>239.57601582466134</v>
      </c>
      <c r="AA13" s="8">
        <f>Z13*('Shipping EU Ref'!AC12/'Shipping EU Ref'!AB12)</f>
        <v>241.14438701534212</v>
      </c>
      <c r="AB13" s="8">
        <f>AA13*('Shipping EU Ref'!AD12/'Shipping EU Ref'!AC12)</f>
        <v>242.71275820602287</v>
      </c>
      <c r="AC13" s="8">
        <f>AB13*('Shipping EU Ref'!AE12/'Shipping EU Ref'!AD12)</f>
        <v>244.28112939670365</v>
      </c>
      <c r="AD13" s="8">
        <f>AC13*('Shipping EU Ref'!AF12/'Shipping EU Ref'!AE12)</f>
        <v>244.93569942209999</v>
      </c>
      <c r="AE13" s="8">
        <f>AD13*('Shipping EU Ref'!AG12/'Shipping EU Ref'!AF12)</f>
        <v>245.59026944749633</v>
      </c>
      <c r="AF13" s="8">
        <f>AE13*('Shipping EU Ref'!AH12/'Shipping EU Ref'!AG12)</f>
        <v>246.24483947289266</v>
      </c>
      <c r="AG13" s="8">
        <f>AF13*('Shipping EU Ref'!AI12/'Shipping EU Ref'!AH12)</f>
        <v>246.89940949828897</v>
      </c>
      <c r="AH13" s="8">
        <f>AG13*('Shipping EU Ref'!AJ12/'Shipping EU Ref'!AI12)</f>
        <v>247.55397952368523</v>
      </c>
      <c r="AI13" s="12">
        <f t="shared" ref="AI13:BB13" si="9">AH13</f>
        <v>247.55397952368523</v>
      </c>
      <c r="AJ13" s="12">
        <f t="shared" si="9"/>
        <v>247.55397952368523</v>
      </c>
      <c r="AK13" s="12">
        <f t="shared" si="9"/>
        <v>247.55397952368523</v>
      </c>
      <c r="AL13" s="12">
        <f t="shared" si="9"/>
        <v>247.55397952368523</v>
      </c>
      <c r="AM13" s="12">
        <f t="shared" si="9"/>
        <v>247.55397952368523</v>
      </c>
      <c r="AN13" s="12">
        <f t="shared" si="9"/>
        <v>247.55397952368523</v>
      </c>
      <c r="AO13" s="12">
        <f t="shared" si="9"/>
        <v>247.55397952368523</v>
      </c>
      <c r="AP13" s="12">
        <f t="shared" si="9"/>
        <v>247.55397952368523</v>
      </c>
      <c r="AQ13" s="12">
        <f t="shared" si="9"/>
        <v>247.55397952368523</v>
      </c>
      <c r="AR13" s="12">
        <f t="shared" si="9"/>
        <v>247.55397952368523</v>
      </c>
      <c r="AS13" s="12">
        <f t="shared" si="9"/>
        <v>247.55397952368523</v>
      </c>
      <c r="AT13" s="12">
        <f t="shared" si="9"/>
        <v>247.55397952368523</v>
      </c>
      <c r="AU13" s="12">
        <f t="shared" si="9"/>
        <v>247.55397952368523</v>
      </c>
      <c r="AV13" s="12">
        <f t="shared" si="9"/>
        <v>247.55397952368523</v>
      </c>
      <c r="AW13" s="12">
        <f t="shared" si="9"/>
        <v>247.55397952368523</v>
      </c>
      <c r="AX13" s="12">
        <f t="shared" si="9"/>
        <v>247.55397952368523</v>
      </c>
      <c r="AY13" s="12">
        <f t="shared" si="9"/>
        <v>247.55397952368523</v>
      </c>
      <c r="AZ13" s="12">
        <f t="shared" si="9"/>
        <v>247.55397952368523</v>
      </c>
      <c r="BA13" s="12">
        <f t="shared" si="9"/>
        <v>247.55397952368523</v>
      </c>
      <c r="BB13" s="12">
        <f t="shared" si="9"/>
        <v>247.55397952368523</v>
      </c>
    </row>
    <row r="14" spans="1:54" x14ac:dyDescent="0.3">
      <c r="A14" t="s">
        <v>12</v>
      </c>
      <c r="B14" s="5">
        <v>613.87143600000002</v>
      </c>
      <c r="C14" s="5">
        <v>608.64239740000005</v>
      </c>
      <c r="D14" s="5">
        <v>546.92460549999998</v>
      </c>
      <c r="E14" s="5">
        <v>576.16487719999998</v>
      </c>
      <c r="F14" s="8">
        <f>E14*('Shipping EU Ref'!H13/'Shipping EU Ref'!G13)</f>
        <v>623.13784510164248</v>
      </c>
      <c r="G14" s="8">
        <f>F14*('Shipping EU Ref'!I13/'Shipping EU Ref'!H13)</f>
        <v>670.11081300328499</v>
      </c>
      <c r="H14" s="8">
        <f>G14*('Shipping EU Ref'!J13/'Shipping EU Ref'!I13)</f>
        <v>717.08378090492749</v>
      </c>
      <c r="I14" s="8">
        <f>H14*('Shipping EU Ref'!K13/'Shipping EU Ref'!J13)</f>
        <v>764.05674880657011</v>
      </c>
      <c r="J14" s="8">
        <f>I14*('Shipping EU Ref'!L13/'Shipping EU Ref'!K13)</f>
        <v>769.06974898540705</v>
      </c>
      <c r="K14" s="8">
        <f>J14*('Shipping EU Ref'!M13/'Shipping EU Ref'!L13)</f>
        <v>774.08274916424398</v>
      </c>
      <c r="L14" s="8">
        <f>K14*('Shipping EU Ref'!N13/'Shipping EU Ref'!M13)</f>
        <v>779.09574934308091</v>
      </c>
      <c r="M14" s="8">
        <f>L14*('Shipping EU Ref'!O13/'Shipping EU Ref'!N13)</f>
        <v>784.10874952191796</v>
      </c>
      <c r="N14" s="8">
        <f>M14*('Shipping EU Ref'!P13/'Shipping EU Ref'!O13)</f>
        <v>789.12174970075512</v>
      </c>
      <c r="O14" s="8">
        <f>N14*('Shipping EU Ref'!Q13/'Shipping EU Ref'!P13)</f>
        <v>792.57557682837398</v>
      </c>
      <c r="P14" s="8">
        <f>O14*('Shipping EU Ref'!R13/'Shipping EU Ref'!Q13)</f>
        <v>796.02940395599296</v>
      </c>
      <c r="Q14" s="8">
        <f>P14*('Shipping EU Ref'!S13/'Shipping EU Ref'!R13)</f>
        <v>799.48323108361194</v>
      </c>
      <c r="R14" s="8">
        <f>Q14*('Shipping EU Ref'!T13/'Shipping EU Ref'!S13)</f>
        <v>802.93705821123092</v>
      </c>
      <c r="S14" s="8">
        <f>R14*('Shipping EU Ref'!U13/'Shipping EU Ref'!T13)</f>
        <v>806.3908853388499</v>
      </c>
      <c r="T14" s="8">
        <f>S14*('Shipping EU Ref'!V13/'Shipping EU Ref'!U13)</f>
        <v>811.37759589238283</v>
      </c>
      <c r="U14" s="8">
        <f>T14*('Shipping EU Ref'!W13/'Shipping EU Ref'!V13)</f>
        <v>816.36430644591587</v>
      </c>
      <c r="V14" s="8">
        <f>U14*('Shipping EU Ref'!X13/'Shipping EU Ref'!W13)</f>
        <v>821.3510169994488</v>
      </c>
      <c r="W14" s="8">
        <f>V14*('Shipping EU Ref'!Y13/'Shipping EU Ref'!X13)</f>
        <v>826.33772755298173</v>
      </c>
      <c r="X14" s="8">
        <f>W14*('Shipping EU Ref'!Z13/'Shipping EU Ref'!Y13)</f>
        <v>831.32443810651489</v>
      </c>
      <c r="Y14" s="8">
        <f>X14*('Shipping EU Ref'!AA13/'Shipping EU Ref'!Z13)</f>
        <v>836.5368346758745</v>
      </c>
      <c r="Z14" s="8">
        <f>Y14*('Shipping EU Ref'!AB13/'Shipping EU Ref'!AA13)</f>
        <v>841.74923124523423</v>
      </c>
      <c r="AA14" s="8">
        <f>Z14*('Shipping EU Ref'!AC13/'Shipping EU Ref'!AB13)</f>
        <v>846.96162781459395</v>
      </c>
      <c r="AB14" s="8">
        <f>AA14*('Shipping EU Ref'!AD13/'Shipping EU Ref'!AC13)</f>
        <v>852.17402438395357</v>
      </c>
      <c r="AC14" s="8">
        <f>AB14*('Shipping EU Ref'!AE13/'Shipping EU Ref'!AD13)</f>
        <v>857.38642095331318</v>
      </c>
      <c r="AD14" s="8">
        <f>AC14*('Shipping EU Ref'!AF13/'Shipping EU Ref'!AE13)</f>
        <v>860.54172282556465</v>
      </c>
      <c r="AE14" s="8">
        <f>AD14*('Shipping EU Ref'!AG13/'Shipping EU Ref'!AF13)</f>
        <v>863.69702469781612</v>
      </c>
      <c r="AF14" s="8">
        <f>AE14*('Shipping EU Ref'!AH13/'Shipping EU Ref'!AG13)</f>
        <v>866.85232657006759</v>
      </c>
      <c r="AG14" s="8">
        <f>AF14*('Shipping EU Ref'!AI13/'Shipping EU Ref'!AH13)</f>
        <v>870.00762844231906</v>
      </c>
      <c r="AH14" s="8">
        <f>AG14*('Shipping EU Ref'!AJ13/'Shipping EU Ref'!AI13)</f>
        <v>873.16293031457053</v>
      </c>
      <c r="AI14" s="12">
        <f t="shared" ref="AI14:BB14" si="10">AH14</f>
        <v>873.16293031457053</v>
      </c>
      <c r="AJ14" s="12">
        <f t="shared" si="10"/>
        <v>873.16293031457053</v>
      </c>
      <c r="AK14" s="12">
        <f t="shared" si="10"/>
        <v>873.16293031457053</v>
      </c>
      <c r="AL14" s="12">
        <f t="shared" si="10"/>
        <v>873.16293031457053</v>
      </c>
      <c r="AM14" s="12">
        <f t="shared" si="10"/>
        <v>873.16293031457053</v>
      </c>
      <c r="AN14" s="12">
        <f t="shared" si="10"/>
        <v>873.16293031457053</v>
      </c>
      <c r="AO14" s="12">
        <f t="shared" si="10"/>
        <v>873.16293031457053</v>
      </c>
      <c r="AP14" s="12">
        <f t="shared" si="10"/>
        <v>873.16293031457053</v>
      </c>
      <c r="AQ14" s="12">
        <f t="shared" si="10"/>
        <v>873.16293031457053</v>
      </c>
      <c r="AR14" s="12">
        <f t="shared" si="10"/>
        <v>873.16293031457053</v>
      </c>
      <c r="AS14" s="12">
        <f t="shared" si="10"/>
        <v>873.16293031457053</v>
      </c>
      <c r="AT14" s="12">
        <f t="shared" si="10"/>
        <v>873.16293031457053</v>
      </c>
      <c r="AU14" s="12">
        <f t="shared" si="10"/>
        <v>873.16293031457053</v>
      </c>
      <c r="AV14" s="12">
        <f t="shared" si="10"/>
        <v>873.16293031457053</v>
      </c>
      <c r="AW14" s="12">
        <f t="shared" si="10"/>
        <v>873.16293031457053</v>
      </c>
      <c r="AX14" s="12">
        <f t="shared" si="10"/>
        <v>873.16293031457053</v>
      </c>
      <c r="AY14" s="12">
        <f t="shared" si="10"/>
        <v>873.16293031457053</v>
      </c>
      <c r="AZ14" s="12">
        <f t="shared" si="10"/>
        <v>873.16293031457053</v>
      </c>
      <c r="BA14" s="12">
        <f t="shared" si="10"/>
        <v>873.16293031457053</v>
      </c>
      <c r="BB14" s="12">
        <f t="shared" si="10"/>
        <v>873.16293031457053</v>
      </c>
    </row>
    <row r="15" spans="1:54" x14ac:dyDescent="0.3">
      <c r="A15" t="s">
        <v>10</v>
      </c>
      <c r="B15" s="5">
        <v>257.42857950000001</v>
      </c>
      <c r="C15" s="5">
        <v>273.68842910000001</v>
      </c>
      <c r="D15" s="5">
        <v>264.936218</v>
      </c>
      <c r="E15" s="5">
        <v>270.1242393</v>
      </c>
      <c r="F15" s="8">
        <f>E15*('Shipping EU Ref'!H14/'Shipping EU Ref'!G14)</f>
        <v>291.79020851475377</v>
      </c>
      <c r="G15" s="8">
        <f>F15*('Shipping EU Ref'!I14/'Shipping EU Ref'!H14)</f>
        <v>313.45617772950754</v>
      </c>
      <c r="H15" s="8">
        <f>G15*('Shipping EU Ref'!J14/'Shipping EU Ref'!I14)</f>
        <v>335.12214694426137</v>
      </c>
      <c r="I15" s="8">
        <f>H15*('Shipping EU Ref'!K14/'Shipping EU Ref'!J14)</f>
        <v>356.78811615901509</v>
      </c>
      <c r="J15" s="8">
        <f>I15*('Shipping EU Ref'!L14/'Shipping EU Ref'!K14)</f>
        <v>357.41050360432894</v>
      </c>
      <c r="K15" s="8">
        <f>J15*('Shipping EU Ref'!M14/'Shipping EU Ref'!L14)</f>
        <v>358.03289104964273</v>
      </c>
      <c r="L15" s="8">
        <f>K15*('Shipping EU Ref'!N14/'Shipping EU Ref'!M14)</f>
        <v>358.65527849495658</v>
      </c>
      <c r="M15" s="8">
        <f>L15*('Shipping EU Ref'!O14/'Shipping EU Ref'!N14)</f>
        <v>359.27766594027042</v>
      </c>
      <c r="N15" s="8">
        <f>M15*('Shipping EU Ref'!P14/'Shipping EU Ref'!O14)</f>
        <v>359.90005338558433</v>
      </c>
      <c r="O15" s="8">
        <f>N15*('Shipping EU Ref'!Q14/'Shipping EU Ref'!P14)</f>
        <v>362.21940960121168</v>
      </c>
      <c r="P15" s="8">
        <f>O15*('Shipping EU Ref'!R14/'Shipping EU Ref'!Q14)</f>
        <v>364.53876581683909</v>
      </c>
      <c r="Q15" s="8">
        <f>P15*('Shipping EU Ref'!S14/'Shipping EU Ref'!R14)</f>
        <v>366.85812203246644</v>
      </c>
      <c r="R15" s="8">
        <f>Q15*('Shipping EU Ref'!T14/'Shipping EU Ref'!S14)</f>
        <v>369.17747824809385</v>
      </c>
      <c r="S15" s="8">
        <f>R15*('Shipping EU Ref'!U14/'Shipping EU Ref'!T14)</f>
        <v>371.49683446372126</v>
      </c>
      <c r="T15" s="8">
        <f>S15*('Shipping EU Ref'!V14/'Shipping EU Ref'!U14)</f>
        <v>375.4388294184389</v>
      </c>
      <c r="U15" s="8">
        <f>T15*('Shipping EU Ref'!W14/'Shipping EU Ref'!V14)</f>
        <v>379.38082437315654</v>
      </c>
      <c r="V15" s="8">
        <f>U15*('Shipping EU Ref'!X14/'Shipping EU Ref'!W14)</f>
        <v>383.32281932787419</v>
      </c>
      <c r="W15" s="8">
        <f>V15*('Shipping EU Ref'!Y14/'Shipping EU Ref'!X14)</f>
        <v>387.26481428259189</v>
      </c>
      <c r="X15" s="8">
        <f>W15*('Shipping EU Ref'!Z14/'Shipping EU Ref'!Y14)</f>
        <v>391.2068092373097</v>
      </c>
      <c r="Y15" s="8">
        <f>X15*('Shipping EU Ref'!AA14/'Shipping EU Ref'!Z14)</f>
        <v>394.5743853802457</v>
      </c>
      <c r="Z15" s="8">
        <f>Y15*('Shipping EU Ref'!AB14/'Shipping EU Ref'!AA14)</f>
        <v>397.94196152318165</v>
      </c>
      <c r="AA15" s="8">
        <f>Z15*('Shipping EU Ref'!AC14/'Shipping EU Ref'!AB14)</f>
        <v>401.30953766611765</v>
      </c>
      <c r="AB15" s="8">
        <f>AA15*('Shipping EU Ref'!AD14/'Shipping EU Ref'!AC14)</f>
        <v>404.67711380905359</v>
      </c>
      <c r="AC15" s="8">
        <f>AB15*('Shipping EU Ref'!AE14/'Shipping EU Ref'!AD14)</f>
        <v>408.04468995198965</v>
      </c>
      <c r="AD15" s="8">
        <f>AC15*('Shipping EU Ref'!AF14/'Shipping EU Ref'!AE14)</f>
        <v>410.66210877125178</v>
      </c>
      <c r="AE15" s="8">
        <f>AD15*('Shipping EU Ref'!AG14/'Shipping EU Ref'!AF14)</f>
        <v>413.27952759051391</v>
      </c>
      <c r="AF15" s="8">
        <f>AE15*('Shipping EU Ref'!AH14/'Shipping EU Ref'!AG14)</f>
        <v>415.89694640977604</v>
      </c>
      <c r="AG15" s="8">
        <f>AF15*('Shipping EU Ref'!AI14/'Shipping EU Ref'!AH14)</f>
        <v>418.51436522903816</v>
      </c>
      <c r="AH15" s="8">
        <f>AG15*('Shipping EU Ref'!AJ14/'Shipping EU Ref'!AI14)</f>
        <v>421.13178404830023</v>
      </c>
      <c r="AI15" s="12">
        <f t="shared" ref="AI15:BB15" si="11">AH15</f>
        <v>421.13178404830023</v>
      </c>
      <c r="AJ15" s="12">
        <f t="shared" si="11"/>
        <v>421.13178404830023</v>
      </c>
      <c r="AK15" s="12">
        <f t="shared" si="11"/>
        <v>421.13178404830023</v>
      </c>
      <c r="AL15" s="12">
        <f t="shared" si="11"/>
        <v>421.13178404830023</v>
      </c>
      <c r="AM15" s="12">
        <f t="shared" si="11"/>
        <v>421.13178404830023</v>
      </c>
      <c r="AN15" s="12">
        <f t="shared" si="11"/>
        <v>421.13178404830023</v>
      </c>
      <c r="AO15" s="12">
        <f t="shared" si="11"/>
        <v>421.13178404830023</v>
      </c>
      <c r="AP15" s="12">
        <f t="shared" si="11"/>
        <v>421.13178404830023</v>
      </c>
      <c r="AQ15" s="12">
        <f t="shared" si="11"/>
        <v>421.13178404830023</v>
      </c>
      <c r="AR15" s="12">
        <f t="shared" si="11"/>
        <v>421.13178404830023</v>
      </c>
      <c r="AS15" s="12">
        <f t="shared" si="11"/>
        <v>421.13178404830023</v>
      </c>
      <c r="AT15" s="12">
        <f t="shared" si="11"/>
        <v>421.13178404830023</v>
      </c>
      <c r="AU15" s="12">
        <f t="shared" si="11"/>
        <v>421.13178404830023</v>
      </c>
      <c r="AV15" s="12">
        <f t="shared" si="11"/>
        <v>421.13178404830023</v>
      </c>
      <c r="AW15" s="12">
        <f t="shared" si="11"/>
        <v>421.13178404830023</v>
      </c>
      <c r="AX15" s="12">
        <f t="shared" si="11"/>
        <v>421.13178404830023</v>
      </c>
      <c r="AY15" s="12">
        <f t="shared" si="11"/>
        <v>421.13178404830023</v>
      </c>
      <c r="AZ15" s="12">
        <f t="shared" si="11"/>
        <v>421.13178404830023</v>
      </c>
      <c r="BA15" s="12">
        <f t="shared" si="11"/>
        <v>421.13178404830023</v>
      </c>
      <c r="BB15" s="12">
        <f t="shared" si="11"/>
        <v>421.13178404830023</v>
      </c>
    </row>
    <row r="16" spans="1:54" x14ac:dyDescent="0.3">
      <c r="A16" t="s">
        <v>13</v>
      </c>
      <c r="B16" s="5">
        <v>47.184515869999998</v>
      </c>
      <c r="C16" s="5">
        <v>45.126623840000001</v>
      </c>
      <c r="D16" s="5">
        <v>41.032926719999999</v>
      </c>
      <c r="E16" s="5">
        <v>44.032012989999998</v>
      </c>
      <c r="F16" s="8">
        <f>E16*('Shipping EU Ref'!H15/'Shipping EU Ref'!G15)</f>
        <v>46.941166196605877</v>
      </c>
      <c r="G16" s="8">
        <f>F16*('Shipping EU Ref'!I15/'Shipping EU Ref'!H15)</f>
        <v>49.850319403211763</v>
      </c>
      <c r="H16" s="8">
        <f>G16*('Shipping EU Ref'!J15/'Shipping EU Ref'!I15)</f>
        <v>52.759472609817649</v>
      </c>
      <c r="I16" s="8">
        <f>H16*('Shipping EU Ref'!K15/'Shipping EU Ref'!J15)</f>
        <v>55.668625816423528</v>
      </c>
      <c r="J16" s="8">
        <f>I16*('Shipping EU Ref'!L15/'Shipping EU Ref'!K15)</f>
        <v>55.621613702719458</v>
      </c>
      <c r="K16" s="8">
        <f>J16*('Shipping EU Ref'!M15/'Shipping EU Ref'!L15)</f>
        <v>55.574601589015394</v>
      </c>
      <c r="L16" s="8">
        <f>K16*('Shipping EU Ref'!N15/'Shipping EU Ref'!M15)</f>
        <v>55.527589475311331</v>
      </c>
      <c r="M16" s="8">
        <f>L16*('Shipping EU Ref'!O15/'Shipping EU Ref'!N15)</f>
        <v>55.48057736160726</v>
      </c>
      <c r="N16" s="8">
        <f>M16*('Shipping EU Ref'!P15/'Shipping EU Ref'!O15)</f>
        <v>55.433565247903203</v>
      </c>
      <c r="O16" s="8">
        <f>N16*('Shipping EU Ref'!Q15/'Shipping EU Ref'!P15)</f>
        <v>55.878295686943552</v>
      </c>
      <c r="P16" s="8">
        <f>O16*('Shipping EU Ref'!R15/'Shipping EU Ref'!Q15)</f>
        <v>56.323026125983901</v>
      </c>
      <c r="Q16" s="8">
        <f>P16*('Shipping EU Ref'!S15/'Shipping EU Ref'!R15)</f>
        <v>56.76775656502425</v>
      </c>
      <c r="R16" s="8">
        <f>Q16*('Shipping EU Ref'!T15/'Shipping EU Ref'!S15)</f>
        <v>57.212487004064599</v>
      </c>
      <c r="S16" s="8">
        <f>R16*('Shipping EU Ref'!U15/'Shipping EU Ref'!T15)</f>
        <v>57.657217443104962</v>
      </c>
      <c r="T16" s="8">
        <f>S16*('Shipping EU Ref'!V15/'Shipping EU Ref'!U15)</f>
        <v>58.110209867675017</v>
      </c>
      <c r="U16" s="8">
        <f>T16*('Shipping EU Ref'!W15/'Shipping EU Ref'!V15)</f>
        <v>58.56320229224508</v>
      </c>
      <c r="V16" s="8">
        <f>U16*('Shipping EU Ref'!X15/'Shipping EU Ref'!W15)</f>
        <v>59.016194716815129</v>
      </c>
      <c r="W16" s="8">
        <f>V16*('Shipping EU Ref'!Y15/'Shipping EU Ref'!X15)</f>
        <v>59.469187141385184</v>
      </c>
      <c r="X16" s="8">
        <f>W16*('Shipping EU Ref'!Z15/'Shipping EU Ref'!Y15)</f>
        <v>59.922179565955233</v>
      </c>
      <c r="Y16" s="8">
        <f>X16*('Shipping EU Ref'!AA15/'Shipping EU Ref'!Z15)</f>
        <v>60.155976123082695</v>
      </c>
      <c r="Z16" s="8">
        <f>Y16*('Shipping EU Ref'!AB15/'Shipping EU Ref'!AA15)</f>
        <v>60.389772680210157</v>
      </c>
      <c r="AA16" s="8">
        <f>Z16*('Shipping EU Ref'!AC15/'Shipping EU Ref'!AB15)</f>
        <v>60.623569237337612</v>
      </c>
      <c r="AB16" s="8">
        <f>AA16*('Shipping EU Ref'!AD15/'Shipping EU Ref'!AC15)</f>
        <v>60.857365794465061</v>
      </c>
      <c r="AC16" s="8">
        <f>AB16*('Shipping EU Ref'!AE15/'Shipping EU Ref'!AD15)</f>
        <v>61.091162351592494</v>
      </c>
      <c r="AD16" s="8">
        <f>AC16*('Shipping EU Ref'!AF15/'Shipping EU Ref'!AE15)</f>
        <v>61.015365815347899</v>
      </c>
      <c r="AE16" s="8">
        <f>AD16*('Shipping EU Ref'!AG15/'Shipping EU Ref'!AF15)</f>
        <v>60.939569279103303</v>
      </c>
      <c r="AF16" s="8">
        <f>AE16*('Shipping EU Ref'!AH15/'Shipping EU Ref'!AG15)</f>
        <v>60.863772742858707</v>
      </c>
      <c r="AG16" s="8">
        <f>AF16*('Shipping EU Ref'!AI15/'Shipping EU Ref'!AH15)</f>
        <v>60.787976206614111</v>
      </c>
      <c r="AH16" s="8">
        <f>AG16*('Shipping EU Ref'!AJ15/'Shipping EU Ref'!AI15)</f>
        <v>60.71217967036953</v>
      </c>
      <c r="AI16" s="12">
        <f t="shared" ref="AI16:BB16" si="12">AH16</f>
        <v>60.71217967036953</v>
      </c>
      <c r="AJ16" s="12">
        <f t="shared" si="12"/>
        <v>60.71217967036953</v>
      </c>
      <c r="AK16" s="12">
        <f t="shared" si="12"/>
        <v>60.71217967036953</v>
      </c>
      <c r="AL16" s="12">
        <f t="shared" si="12"/>
        <v>60.71217967036953</v>
      </c>
      <c r="AM16" s="12">
        <f t="shared" si="12"/>
        <v>60.71217967036953</v>
      </c>
      <c r="AN16" s="12">
        <f t="shared" si="12"/>
        <v>60.71217967036953</v>
      </c>
      <c r="AO16" s="12">
        <f t="shared" si="12"/>
        <v>60.71217967036953</v>
      </c>
      <c r="AP16" s="12">
        <f t="shared" si="12"/>
        <v>60.71217967036953</v>
      </c>
      <c r="AQ16" s="12">
        <f t="shared" si="12"/>
        <v>60.71217967036953</v>
      </c>
      <c r="AR16" s="12">
        <f t="shared" si="12"/>
        <v>60.71217967036953</v>
      </c>
      <c r="AS16" s="12">
        <f t="shared" si="12"/>
        <v>60.71217967036953</v>
      </c>
      <c r="AT16" s="12">
        <f t="shared" si="12"/>
        <v>60.71217967036953</v>
      </c>
      <c r="AU16" s="12">
        <f t="shared" si="12"/>
        <v>60.71217967036953</v>
      </c>
      <c r="AV16" s="12">
        <f t="shared" si="12"/>
        <v>60.71217967036953</v>
      </c>
      <c r="AW16" s="12">
        <f t="shared" si="12"/>
        <v>60.71217967036953</v>
      </c>
      <c r="AX16" s="12">
        <f t="shared" si="12"/>
        <v>60.71217967036953</v>
      </c>
      <c r="AY16" s="12">
        <f t="shared" si="12"/>
        <v>60.71217967036953</v>
      </c>
      <c r="AZ16" s="12">
        <f t="shared" si="12"/>
        <v>60.71217967036953</v>
      </c>
      <c r="BA16" s="12">
        <f t="shared" si="12"/>
        <v>60.71217967036953</v>
      </c>
      <c r="BB16" s="12">
        <f t="shared" si="12"/>
        <v>60.71217967036953</v>
      </c>
    </row>
    <row r="17" spans="1:54" x14ac:dyDescent="0.3">
      <c r="A17" t="s">
        <v>19</v>
      </c>
      <c r="B17" s="5">
        <v>1.6080000000000001</v>
      </c>
      <c r="C17" s="5">
        <v>2.12</v>
      </c>
      <c r="D17" s="5">
        <v>1.998</v>
      </c>
      <c r="E17" s="5">
        <v>1.873</v>
      </c>
      <c r="F17" s="16">
        <f>E17*('Shipping EU Ref'!H49/'Shipping EU Ref'!G49)</f>
        <v>1.9385948492311864</v>
      </c>
      <c r="G17" s="16">
        <f>F17*('Shipping EU Ref'!I49/'Shipping EU Ref'!H49)</f>
        <v>2.004189698462373</v>
      </c>
      <c r="H17" s="16">
        <f>G17*('Shipping EU Ref'!J49/'Shipping EU Ref'!I49)</f>
        <v>2.0697845476935597</v>
      </c>
      <c r="I17" s="16">
        <f>H17*('Shipping EU Ref'!K49/'Shipping EU Ref'!J49)</f>
        <v>2.1353793969247459</v>
      </c>
      <c r="J17" s="16">
        <f>I17*('Shipping EU Ref'!L49/'Shipping EU Ref'!K49)</f>
        <v>2.1692689137487449</v>
      </c>
      <c r="K17" s="16">
        <f>J17*('Shipping EU Ref'!M49/'Shipping EU Ref'!L49)</f>
        <v>2.2031584305727434</v>
      </c>
      <c r="L17" s="16">
        <f>K17*('Shipping EU Ref'!N49/'Shipping EU Ref'!M49)</f>
        <v>2.237047947396742</v>
      </c>
      <c r="M17" s="16">
        <f>L17*('Shipping EU Ref'!O49/'Shipping EU Ref'!N49)</f>
        <v>2.2709374642207409</v>
      </c>
      <c r="N17" s="16">
        <f>M17*('Shipping EU Ref'!P49/'Shipping EU Ref'!O49)</f>
        <v>2.3048269810447404</v>
      </c>
      <c r="O17" s="16">
        <f>N17*('Shipping EU Ref'!Q49/'Shipping EU Ref'!P49)</f>
        <v>2.3522630815695469</v>
      </c>
      <c r="P17" s="16">
        <f>O17*('Shipping EU Ref'!R49/'Shipping EU Ref'!Q49)</f>
        <v>2.3996991820943534</v>
      </c>
      <c r="Q17" s="16">
        <f>P17*('Shipping EU Ref'!S49/'Shipping EU Ref'!R49)</f>
        <v>2.4471352826191599</v>
      </c>
      <c r="R17" s="16">
        <f>Q17*('Shipping EU Ref'!T49/'Shipping EU Ref'!S49)</f>
        <v>2.4945713831439669</v>
      </c>
      <c r="S17" s="16">
        <f>R17*('Shipping EU Ref'!U49/'Shipping EU Ref'!T49)</f>
        <v>2.5420074836687743</v>
      </c>
      <c r="T17" s="16">
        <f>S17*('Shipping EU Ref'!V49/'Shipping EU Ref'!U49)</f>
        <v>2.5714621926087968</v>
      </c>
      <c r="U17" s="16">
        <f>T17*('Shipping EU Ref'!W49/'Shipping EU Ref'!V49)</f>
        <v>2.6009169015488194</v>
      </c>
      <c r="V17" s="16">
        <f>U17*('Shipping EU Ref'!X49/'Shipping EU Ref'!W49)</f>
        <v>2.6303716104888424</v>
      </c>
      <c r="W17" s="16">
        <f>V17*('Shipping EU Ref'!Y49/'Shipping EU Ref'!X49)</f>
        <v>2.6598263194288654</v>
      </c>
      <c r="X17" s="16">
        <f>W17*('Shipping EU Ref'!Z49/'Shipping EU Ref'!Y49)</f>
        <v>2.6892810283688879</v>
      </c>
      <c r="Y17" s="16">
        <f>X17*('Shipping EU Ref'!AA49/'Shipping EU Ref'!Z49)</f>
        <v>2.7067874717854745</v>
      </c>
      <c r="Z17" s="16">
        <f>Y17*('Shipping EU Ref'!AB49/'Shipping EU Ref'!AA49)</f>
        <v>2.7242939152020607</v>
      </c>
      <c r="AA17" s="16">
        <f>Z17*('Shipping EU Ref'!AC49/'Shipping EU Ref'!AB49)</f>
        <v>2.7418003586186472</v>
      </c>
      <c r="AB17" s="16">
        <f>AA17*('Shipping EU Ref'!AD49/'Shipping EU Ref'!AC49)</f>
        <v>2.7593068020352338</v>
      </c>
      <c r="AC17" s="16">
        <f>AB17*('Shipping EU Ref'!AE49/'Shipping EU Ref'!AD49)</f>
        <v>2.7768132454518213</v>
      </c>
      <c r="AD17" s="16">
        <f>AC17*('Shipping EU Ref'!AF49/'Shipping EU Ref'!AE49)</f>
        <v>2.797317511750895</v>
      </c>
      <c r="AE17" s="16">
        <f>AD17*('Shipping EU Ref'!AG49/'Shipping EU Ref'!AF49)</f>
        <v>2.8178217780499688</v>
      </c>
      <c r="AF17" s="16">
        <f>AE17*('Shipping EU Ref'!AH49/'Shipping EU Ref'!AG49)</f>
        <v>2.8383260443490421</v>
      </c>
      <c r="AG17" s="16">
        <f>AF17*('Shipping EU Ref'!AI49/'Shipping EU Ref'!AH49)</f>
        <v>2.8588303106481159</v>
      </c>
      <c r="AH17" s="16">
        <f>AG17*('Shipping EU Ref'!AJ49/'Shipping EU Ref'!AI49)</f>
        <v>2.8793345769471905</v>
      </c>
      <c r="AI17" s="12">
        <f t="shared" ref="AI17:BB17" si="13">AH17</f>
        <v>2.8793345769471905</v>
      </c>
      <c r="AJ17" s="12">
        <f t="shared" si="13"/>
        <v>2.8793345769471905</v>
      </c>
      <c r="AK17" s="12">
        <f t="shared" si="13"/>
        <v>2.8793345769471905</v>
      </c>
      <c r="AL17" s="12">
        <f t="shared" si="13"/>
        <v>2.8793345769471905</v>
      </c>
      <c r="AM17" s="12">
        <f t="shared" si="13"/>
        <v>2.8793345769471905</v>
      </c>
      <c r="AN17" s="12">
        <f t="shared" si="13"/>
        <v>2.8793345769471905</v>
      </c>
      <c r="AO17" s="12">
        <f t="shared" si="13"/>
        <v>2.8793345769471905</v>
      </c>
      <c r="AP17" s="12">
        <f t="shared" si="13"/>
        <v>2.8793345769471905</v>
      </c>
      <c r="AQ17" s="12">
        <f t="shared" si="13"/>
        <v>2.8793345769471905</v>
      </c>
      <c r="AR17" s="12">
        <f t="shared" si="13"/>
        <v>2.8793345769471905</v>
      </c>
      <c r="AS17" s="12">
        <f t="shared" si="13"/>
        <v>2.8793345769471905</v>
      </c>
      <c r="AT17" s="12">
        <f t="shared" si="13"/>
        <v>2.8793345769471905</v>
      </c>
      <c r="AU17" s="12">
        <f t="shared" si="13"/>
        <v>2.8793345769471905</v>
      </c>
      <c r="AV17" s="12">
        <f t="shared" si="13"/>
        <v>2.8793345769471905</v>
      </c>
      <c r="AW17" s="12">
        <f t="shared" si="13"/>
        <v>2.8793345769471905</v>
      </c>
      <c r="AX17" s="12">
        <f t="shared" si="13"/>
        <v>2.8793345769471905</v>
      </c>
      <c r="AY17" s="12">
        <f t="shared" si="13"/>
        <v>2.8793345769471905</v>
      </c>
      <c r="AZ17" s="12">
        <f t="shared" si="13"/>
        <v>2.8793345769471905</v>
      </c>
      <c r="BA17" s="12">
        <f t="shared" si="13"/>
        <v>2.8793345769471905</v>
      </c>
      <c r="BB17" s="12">
        <f t="shared" si="13"/>
        <v>2.8793345769471905</v>
      </c>
    </row>
    <row r="18" spans="1:54" x14ac:dyDescent="0.3">
      <c r="A18" t="s">
        <v>9</v>
      </c>
      <c r="B18" s="5">
        <v>55.597250819999999</v>
      </c>
      <c r="C18" s="5">
        <v>53.510105199999998</v>
      </c>
      <c r="D18" s="5">
        <v>54.057356839999997</v>
      </c>
      <c r="E18" s="5">
        <v>58.11926339</v>
      </c>
      <c r="F18" s="8">
        <f>E18*('Shipping EU Ref'!H17/'Shipping EU Ref'!G17)</f>
        <v>63.875234803320097</v>
      </c>
      <c r="G18" s="8">
        <f>F18*('Shipping EU Ref'!I17/'Shipping EU Ref'!H17)</f>
        <v>69.631206216640209</v>
      </c>
      <c r="H18" s="8">
        <f>G18*('Shipping EU Ref'!J17/'Shipping EU Ref'!I17)</f>
        <v>75.387177629960306</v>
      </c>
      <c r="I18" s="8">
        <f>H18*('Shipping EU Ref'!K17/'Shipping EU Ref'!J17)</f>
        <v>81.143149043280417</v>
      </c>
      <c r="J18" s="8">
        <f>I18*('Shipping EU Ref'!L17/'Shipping EU Ref'!K17)</f>
        <v>83.862983415514208</v>
      </c>
      <c r="K18" s="8">
        <f>J18*('Shipping EU Ref'!M17/'Shipping EU Ref'!L17)</f>
        <v>86.582817787748013</v>
      </c>
      <c r="L18" s="8">
        <f>K18*('Shipping EU Ref'!N17/'Shipping EU Ref'!M17)</f>
        <v>89.302652159981818</v>
      </c>
      <c r="M18" s="8">
        <f>L18*('Shipping EU Ref'!O17/'Shipping EU Ref'!N17)</f>
        <v>92.022486532215609</v>
      </c>
      <c r="N18" s="8">
        <f>M18*('Shipping EU Ref'!P17/'Shipping EU Ref'!O17)</f>
        <v>94.7423209044494</v>
      </c>
      <c r="O18" s="8">
        <f>N18*('Shipping EU Ref'!Q17/'Shipping EU Ref'!P17)</f>
        <v>95.990190885342756</v>
      </c>
      <c r="P18" s="8">
        <f>O18*('Shipping EU Ref'!R17/'Shipping EU Ref'!Q17)</f>
        <v>97.238060866236097</v>
      </c>
      <c r="Q18" s="8">
        <f>P18*('Shipping EU Ref'!S17/'Shipping EU Ref'!R17)</f>
        <v>98.485930847129453</v>
      </c>
      <c r="R18" s="8">
        <f>Q18*('Shipping EU Ref'!T17/'Shipping EU Ref'!S17)</f>
        <v>99.733800828022794</v>
      </c>
      <c r="S18" s="8">
        <f>R18*('Shipping EU Ref'!U17/'Shipping EU Ref'!T17)</f>
        <v>100.98167080891614</v>
      </c>
      <c r="T18" s="8">
        <f>S18*('Shipping EU Ref'!V17/'Shipping EU Ref'!U17)</f>
        <v>102.17195920609021</v>
      </c>
      <c r="U18" s="8">
        <f>T18*('Shipping EU Ref'!W17/'Shipping EU Ref'!V17)</f>
        <v>103.36224760326429</v>
      </c>
      <c r="V18" s="8">
        <f>U18*('Shipping EU Ref'!X17/'Shipping EU Ref'!W17)</f>
        <v>104.55253600043838</v>
      </c>
      <c r="W18" s="8">
        <f>V18*('Shipping EU Ref'!Y17/'Shipping EU Ref'!X17)</f>
        <v>105.74282439761245</v>
      </c>
      <c r="X18" s="8">
        <f>W18*('Shipping EU Ref'!Z17/'Shipping EU Ref'!Y17)</f>
        <v>106.93311279478654</v>
      </c>
      <c r="Y18" s="8">
        <f>X18*('Shipping EU Ref'!AA17/'Shipping EU Ref'!Z17)</f>
        <v>107.57046910129463</v>
      </c>
      <c r="Z18" s="8">
        <f>Y18*('Shipping EU Ref'!AB17/'Shipping EU Ref'!AA17)</f>
        <v>108.20782540780274</v>
      </c>
      <c r="AA18" s="8">
        <f>Z18*('Shipping EU Ref'!AC17/'Shipping EU Ref'!AB17)</f>
        <v>108.84518171431085</v>
      </c>
      <c r="AB18" s="8">
        <f>AA18*('Shipping EU Ref'!AD17/'Shipping EU Ref'!AC17)</f>
        <v>109.48253802081896</v>
      </c>
      <c r="AC18" s="8">
        <f>AB18*('Shipping EU Ref'!AE17/'Shipping EU Ref'!AD17)</f>
        <v>110.11989432732709</v>
      </c>
      <c r="AD18" s="8">
        <f>AC18*('Shipping EU Ref'!AF17/'Shipping EU Ref'!AE17)</f>
        <v>110.33659109502146</v>
      </c>
      <c r="AE18" s="8">
        <f>AD18*('Shipping EU Ref'!AG17/'Shipping EU Ref'!AF17)</f>
        <v>110.55328786271583</v>
      </c>
      <c r="AF18" s="8">
        <f>AE18*('Shipping EU Ref'!AH17/'Shipping EU Ref'!AG17)</f>
        <v>110.76998463041022</v>
      </c>
      <c r="AG18" s="8">
        <f>AF18*('Shipping EU Ref'!AI17/'Shipping EU Ref'!AH17)</f>
        <v>110.98668139810459</v>
      </c>
      <c r="AH18" s="8">
        <f>AG18*('Shipping EU Ref'!AJ17/'Shipping EU Ref'!AI17)</f>
        <v>111.20337816579901</v>
      </c>
      <c r="AI18" s="12">
        <f t="shared" ref="AI18:BB18" si="14">AH18</f>
        <v>111.20337816579901</v>
      </c>
      <c r="AJ18" s="12">
        <f t="shared" si="14"/>
        <v>111.20337816579901</v>
      </c>
      <c r="AK18" s="12">
        <f t="shared" si="14"/>
        <v>111.20337816579901</v>
      </c>
      <c r="AL18" s="12">
        <f t="shared" si="14"/>
        <v>111.20337816579901</v>
      </c>
      <c r="AM18" s="12">
        <f t="shared" si="14"/>
        <v>111.20337816579901</v>
      </c>
      <c r="AN18" s="12">
        <f t="shared" si="14"/>
        <v>111.20337816579901</v>
      </c>
      <c r="AO18" s="12">
        <f t="shared" si="14"/>
        <v>111.20337816579901</v>
      </c>
      <c r="AP18" s="12">
        <f t="shared" si="14"/>
        <v>111.20337816579901</v>
      </c>
      <c r="AQ18" s="12">
        <f t="shared" si="14"/>
        <v>111.20337816579901</v>
      </c>
      <c r="AR18" s="12">
        <f t="shared" si="14"/>
        <v>111.20337816579901</v>
      </c>
      <c r="AS18" s="12">
        <f t="shared" si="14"/>
        <v>111.20337816579901</v>
      </c>
      <c r="AT18" s="12">
        <f t="shared" si="14"/>
        <v>111.20337816579901</v>
      </c>
      <c r="AU18" s="12">
        <f t="shared" si="14"/>
        <v>111.20337816579901</v>
      </c>
      <c r="AV18" s="12">
        <f t="shared" si="14"/>
        <v>111.20337816579901</v>
      </c>
      <c r="AW18" s="12">
        <f t="shared" si="14"/>
        <v>111.20337816579901</v>
      </c>
      <c r="AX18" s="12">
        <f t="shared" si="14"/>
        <v>111.20337816579901</v>
      </c>
      <c r="AY18" s="12">
        <f t="shared" si="14"/>
        <v>111.20337816579901</v>
      </c>
      <c r="AZ18" s="12">
        <f t="shared" si="14"/>
        <v>111.20337816579901</v>
      </c>
      <c r="BA18" s="12">
        <f t="shared" si="14"/>
        <v>111.20337816579901</v>
      </c>
      <c r="BB18" s="12">
        <f t="shared" si="14"/>
        <v>111.20337816579901</v>
      </c>
    </row>
    <row r="19" spans="1:54" x14ac:dyDescent="0.3">
      <c r="A19" t="s">
        <v>14</v>
      </c>
      <c r="B19" s="5">
        <v>728.10742570000002</v>
      </c>
      <c r="C19" s="5">
        <v>780.64250609999999</v>
      </c>
      <c r="D19" s="5">
        <v>685.20921020000003</v>
      </c>
      <c r="E19" s="5">
        <v>751.6043214</v>
      </c>
      <c r="F19" s="8">
        <f>E19*('Shipping EU Ref'!H18/'Shipping EU Ref'!G18)</f>
        <v>815.63634772897706</v>
      </c>
      <c r="G19" s="8">
        <f>F19*('Shipping EU Ref'!I18/'Shipping EU Ref'!H18)</f>
        <v>879.66837405795411</v>
      </c>
      <c r="H19" s="8">
        <f>G19*('Shipping EU Ref'!J18/'Shipping EU Ref'!I18)</f>
        <v>943.70040038693105</v>
      </c>
      <c r="I19" s="8">
        <f>H19*('Shipping EU Ref'!K18/'Shipping EU Ref'!J18)</f>
        <v>1007.732426715908</v>
      </c>
      <c r="J19" s="8">
        <f>I19*('Shipping EU Ref'!L18/'Shipping EU Ref'!K18)</f>
        <v>1011.9545953810414</v>
      </c>
      <c r="K19" s="8">
        <f>J19*('Shipping EU Ref'!M18/'Shipping EU Ref'!L18)</f>
        <v>1016.1767640461746</v>
      </c>
      <c r="L19" s="8">
        <f>K19*('Shipping EU Ref'!N18/'Shipping EU Ref'!M18)</f>
        <v>1020.398932711308</v>
      </c>
      <c r="M19" s="8">
        <f>L19*('Shipping EU Ref'!O18/'Shipping EU Ref'!N18)</f>
        <v>1024.6211013764414</v>
      </c>
      <c r="N19" s="8">
        <f>M19*('Shipping EU Ref'!P18/'Shipping EU Ref'!O18)</f>
        <v>1028.8432700415751</v>
      </c>
      <c r="O19" s="8">
        <f>N19*('Shipping EU Ref'!Q18/'Shipping EU Ref'!P18)</f>
        <v>1034.8409709675445</v>
      </c>
      <c r="P19" s="8">
        <f>O19*('Shipping EU Ref'!R18/'Shipping EU Ref'!Q18)</f>
        <v>1040.8386718935142</v>
      </c>
      <c r="Q19" s="8">
        <f>P19*('Shipping EU Ref'!S18/'Shipping EU Ref'!R18)</f>
        <v>1046.8363728194838</v>
      </c>
      <c r="R19" s="8">
        <f>Q19*('Shipping EU Ref'!T18/'Shipping EU Ref'!S18)</f>
        <v>1052.8340737454535</v>
      </c>
      <c r="S19" s="8">
        <f>R19*('Shipping EU Ref'!U18/'Shipping EU Ref'!T18)</f>
        <v>1058.8317746714231</v>
      </c>
      <c r="T19" s="8">
        <f>S19*('Shipping EU Ref'!V18/'Shipping EU Ref'!U18)</f>
        <v>1066.3667331486283</v>
      </c>
      <c r="U19" s="8">
        <f>T19*('Shipping EU Ref'!W18/'Shipping EU Ref'!V18)</f>
        <v>1073.9016916258336</v>
      </c>
      <c r="V19" s="8">
        <f>U19*('Shipping EU Ref'!X18/'Shipping EU Ref'!W18)</f>
        <v>1081.4366501030388</v>
      </c>
      <c r="W19" s="8">
        <f>V19*('Shipping EU Ref'!Y18/'Shipping EU Ref'!X18)</f>
        <v>1088.971608580244</v>
      </c>
      <c r="X19" s="8">
        <f>W19*('Shipping EU Ref'!Z18/'Shipping EU Ref'!Y18)</f>
        <v>1096.5065670574493</v>
      </c>
      <c r="Y19" s="8">
        <f>X19*('Shipping EU Ref'!AA18/'Shipping EU Ref'!Z18)</f>
        <v>1101.2148613029885</v>
      </c>
      <c r="Z19" s="8">
        <f>Y19*('Shipping EU Ref'!AB18/'Shipping EU Ref'!AA18)</f>
        <v>1105.923155548528</v>
      </c>
      <c r="AA19" s="8">
        <f>Z19*('Shipping EU Ref'!AC18/'Shipping EU Ref'!AB18)</f>
        <v>1110.6314497940675</v>
      </c>
      <c r="AB19" s="8">
        <f>AA19*('Shipping EU Ref'!AD18/'Shipping EU Ref'!AC18)</f>
        <v>1115.3397440396068</v>
      </c>
      <c r="AC19" s="8">
        <f>AB19*('Shipping EU Ref'!AE18/'Shipping EU Ref'!AD18)</f>
        <v>1120.0480382851458</v>
      </c>
      <c r="AD19" s="8">
        <f>AC19*('Shipping EU Ref'!AF18/'Shipping EU Ref'!AE18)</f>
        <v>1125.7188973339319</v>
      </c>
      <c r="AE19" s="8">
        <f>AD19*('Shipping EU Ref'!AG18/'Shipping EU Ref'!AF18)</f>
        <v>1131.3897563827179</v>
      </c>
      <c r="AF19" s="8">
        <f>AE19*('Shipping EU Ref'!AH18/'Shipping EU Ref'!AG18)</f>
        <v>1137.0606154315039</v>
      </c>
      <c r="AG19" s="8">
        <f>AF19*('Shipping EU Ref'!AI18/'Shipping EU Ref'!AH18)</f>
        <v>1142.73147448029</v>
      </c>
      <c r="AH19" s="8">
        <f>AG19*('Shipping EU Ref'!AJ18/'Shipping EU Ref'!AI18)</f>
        <v>1148.4023335290763</v>
      </c>
      <c r="AI19" s="12">
        <f t="shared" ref="AI19:BB19" si="15">AH19</f>
        <v>1148.4023335290763</v>
      </c>
      <c r="AJ19" s="12">
        <f t="shared" si="15"/>
        <v>1148.4023335290763</v>
      </c>
      <c r="AK19" s="12">
        <f t="shared" si="15"/>
        <v>1148.4023335290763</v>
      </c>
      <c r="AL19" s="12">
        <f t="shared" si="15"/>
        <v>1148.4023335290763</v>
      </c>
      <c r="AM19" s="12">
        <f t="shared" si="15"/>
        <v>1148.4023335290763</v>
      </c>
      <c r="AN19" s="12">
        <f t="shared" si="15"/>
        <v>1148.4023335290763</v>
      </c>
      <c r="AO19" s="12">
        <f t="shared" si="15"/>
        <v>1148.4023335290763</v>
      </c>
      <c r="AP19" s="12">
        <f t="shared" si="15"/>
        <v>1148.4023335290763</v>
      </c>
      <c r="AQ19" s="12">
        <f t="shared" si="15"/>
        <v>1148.4023335290763</v>
      </c>
      <c r="AR19" s="12">
        <f t="shared" si="15"/>
        <v>1148.4023335290763</v>
      </c>
      <c r="AS19" s="12">
        <f t="shared" si="15"/>
        <v>1148.4023335290763</v>
      </c>
      <c r="AT19" s="12">
        <f t="shared" si="15"/>
        <v>1148.4023335290763</v>
      </c>
      <c r="AU19" s="12">
        <f t="shared" si="15"/>
        <v>1148.4023335290763</v>
      </c>
      <c r="AV19" s="12">
        <f t="shared" si="15"/>
        <v>1148.4023335290763</v>
      </c>
      <c r="AW19" s="12">
        <f t="shared" si="15"/>
        <v>1148.4023335290763</v>
      </c>
      <c r="AX19" s="12">
        <f t="shared" si="15"/>
        <v>1148.4023335290763</v>
      </c>
      <c r="AY19" s="12">
        <f t="shared" si="15"/>
        <v>1148.4023335290763</v>
      </c>
      <c r="AZ19" s="12">
        <f t="shared" si="15"/>
        <v>1148.4023335290763</v>
      </c>
      <c r="BA19" s="12">
        <f t="shared" si="15"/>
        <v>1148.4023335290763</v>
      </c>
      <c r="BB19" s="12">
        <f t="shared" si="15"/>
        <v>1148.4023335290763</v>
      </c>
    </row>
    <row r="20" spans="1:54" x14ac:dyDescent="0.3">
      <c r="A20" t="s">
        <v>17</v>
      </c>
      <c r="B20" s="5">
        <v>167.45335470000001</v>
      </c>
      <c r="C20" s="5">
        <v>162.73611450000001</v>
      </c>
      <c r="D20" s="5">
        <v>165.7900593</v>
      </c>
      <c r="E20" s="5">
        <v>166.20554680000001</v>
      </c>
      <c r="F20" s="8">
        <f>E20*('Shipping EU Ref'!H19/'Shipping EU Ref'!G19)</f>
        <v>180.90028088876147</v>
      </c>
      <c r="G20" s="8">
        <f>F20*('Shipping EU Ref'!I19/'Shipping EU Ref'!H19)</f>
        <v>195.59501497752296</v>
      </c>
      <c r="H20" s="8">
        <f>G20*('Shipping EU Ref'!J19/'Shipping EU Ref'!I19)</f>
        <v>210.28974906628443</v>
      </c>
      <c r="I20" s="8">
        <f>H20*('Shipping EU Ref'!K19/'Shipping EU Ref'!J19)</f>
        <v>224.98448315504592</v>
      </c>
      <c r="J20" s="8">
        <f>I20*('Shipping EU Ref'!L19/'Shipping EU Ref'!K19)</f>
        <v>228.43332994078543</v>
      </c>
      <c r="K20" s="8">
        <f>J20*('Shipping EU Ref'!M19/'Shipping EU Ref'!L19)</f>
        <v>231.8821767265249</v>
      </c>
      <c r="L20" s="8">
        <f>K20*('Shipping EU Ref'!N19/'Shipping EU Ref'!M19)</f>
        <v>235.33102351226441</v>
      </c>
      <c r="M20" s="8">
        <f>L20*('Shipping EU Ref'!O19/'Shipping EU Ref'!N19)</f>
        <v>238.77987029800391</v>
      </c>
      <c r="N20" s="8">
        <f>M20*('Shipping EU Ref'!P19/'Shipping EU Ref'!O19)</f>
        <v>242.22871708374342</v>
      </c>
      <c r="O20" s="8">
        <f>N20*('Shipping EU Ref'!Q19/'Shipping EU Ref'!P19)</f>
        <v>243.08676720137066</v>
      </c>
      <c r="P20" s="8">
        <f>O20*('Shipping EU Ref'!R19/'Shipping EU Ref'!Q19)</f>
        <v>243.94481731899793</v>
      </c>
      <c r="Q20" s="8">
        <f>P20*('Shipping EU Ref'!S19/'Shipping EU Ref'!R19)</f>
        <v>244.80286743662518</v>
      </c>
      <c r="R20" s="8">
        <f>Q20*('Shipping EU Ref'!T19/'Shipping EU Ref'!S19)</f>
        <v>245.66091755425245</v>
      </c>
      <c r="S20" s="8">
        <f>R20*('Shipping EU Ref'!U19/'Shipping EU Ref'!T19)</f>
        <v>246.51896767187975</v>
      </c>
      <c r="T20" s="8">
        <f>S20*('Shipping EU Ref'!V19/'Shipping EU Ref'!U19)</f>
        <v>247.99837252930774</v>
      </c>
      <c r="U20" s="8">
        <f>T20*('Shipping EU Ref'!W19/'Shipping EU Ref'!V19)</f>
        <v>249.47777738673574</v>
      </c>
      <c r="V20" s="8">
        <f>U20*('Shipping EU Ref'!X19/'Shipping EU Ref'!W19)</f>
        <v>250.95718224416373</v>
      </c>
      <c r="W20" s="8">
        <f>V20*('Shipping EU Ref'!Y19/'Shipping EU Ref'!X19)</f>
        <v>252.43658710159173</v>
      </c>
      <c r="X20" s="8">
        <f>W20*('Shipping EU Ref'!Z19/'Shipping EU Ref'!Y19)</f>
        <v>253.91599195901969</v>
      </c>
      <c r="Y20" s="8">
        <f>X20*('Shipping EU Ref'!AA19/'Shipping EU Ref'!Z19)</f>
        <v>254.09931160922761</v>
      </c>
      <c r="Z20" s="8">
        <f>Y20*('Shipping EU Ref'!AB19/'Shipping EU Ref'!AA19)</f>
        <v>254.28263125943553</v>
      </c>
      <c r="AA20" s="8">
        <f>Z20*('Shipping EU Ref'!AC19/'Shipping EU Ref'!AB19)</f>
        <v>254.46595090964342</v>
      </c>
      <c r="AB20" s="8">
        <f>AA20*('Shipping EU Ref'!AD19/'Shipping EU Ref'!AC19)</f>
        <v>254.64927055985135</v>
      </c>
      <c r="AC20" s="8">
        <f>AB20*('Shipping EU Ref'!AE19/'Shipping EU Ref'!AD19)</f>
        <v>254.83259021005921</v>
      </c>
      <c r="AD20" s="8">
        <f>AC20*('Shipping EU Ref'!AF19/'Shipping EU Ref'!AE19)</f>
        <v>254.41581615879466</v>
      </c>
      <c r="AE20" s="8">
        <f>AD20*('Shipping EU Ref'!AG19/'Shipping EU Ref'!AF19)</f>
        <v>253.9990421075301</v>
      </c>
      <c r="AF20" s="8">
        <f>AE20*('Shipping EU Ref'!AH19/'Shipping EU Ref'!AG19)</f>
        <v>253.58226805626558</v>
      </c>
      <c r="AG20" s="8">
        <f>AF20*('Shipping EU Ref'!AI19/'Shipping EU Ref'!AH19)</f>
        <v>253.16549400500102</v>
      </c>
      <c r="AH20" s="8">
        <f>AG20*('Shipping EU Ref'!AJ19/'Shipping EU Ref'!AI19)</f>
        <v>252.74871995373647</v>
      </c>
      <c r="AI20" s="12">
        <f t="shared" ref="AI20:BB20" si="16">AH20</f>
        <v>252.74871995373647</v>
      </c>
      <c r="AJ20" s="12">
        <f t="shared" si="16"/>
        <v>252.74871995373647</v>
      </c>
      <c r="AK20" s="12">
        <f t="shared" si="16"/>
        <v>252.74871995373647</v>
      </c>
      <c r="AL20" s="12">
        <f t="shared" si="16"/>
        <v>252.74871995373647</v>
      </c>
      <c r="AM20" s="12">
        <f t="shared" si="16"/>
        <v>252.74871995373647</v>
      </c>
      <c r="AN20" s="12">
        <f t="shared" si="16"/>
        <v>252.74871995373647</v>
      </c>
      <c r="AO20" s="12">
        <f t="shared" si="16"/>
        <v>252.74871995373647</v>
      </c>
      <c r="AP20" s="12">
        <f t="shared" si="16"/>
        <v>252.74871995373647</v>
      </c>
      <c r="AQ20" s="12">
        <f t="shared" si="16"/>
        <v>252.74871995373647</v>
      </c>
      <c r="AR20" s="12">
        <f t="shared" si="16"/>
        <v>252.74871995373647</v>
      </c>
      <c r="AS20" s="12">
        <f t="shared" si="16"/>
        <v>252.74871995373647</v>
      </c>
      <c r="AT20" s="12">
        <f t="shared" si="16"/>
        <v>252.74871995373647</v>
      </c>
      <c r="AU20" s="12">
        <f t="shared" si="16"/>
        <v>252.74871995373647</v>
      </c>
      <c r="AV20" s="12">
        <f t="shared" si="16"/>
        <v>252.74871995373647</v>
      </c>
      <c r="AW20" s="12">
        <f t="shared" si="16"/>
        <v>252.74871995373647</v>
      </c>
      <c r="AX20" s="12">
        <f t="shared" si="16"/>
        <v>252.74871995373647</v>
      </c>
      <c r="AY20" s="12">
        <f t="shared" si="16"/>
        <v>252.74871995373647</v>
      </c>
      <c r="AZ20" s="12">
        <f t="shared" si="16"/>
        <v>252.74871995373647</v>
      </c>
      <c r="BA20" s="12">
        <f t="shared" si="16"/>
        <v>252.74871995373647</v>
      </c>
      <c r="BB20" s="12">
        <f t="shared" si="16"/>
        <v>252.74871995373647</v>
      </c>
    </row>
    <row r="21" spans="1:54" x14ac:dyDescent="0.3">
      <c r="A21" t="s">
        <v>18</v>
      </c>
      <c r="B21" s="5">
        <v>0.20499999999999999</v>
      </c>
      <c r="C21" s="5">
        <v>0.22800000000000001</v>
      </c>
      <c r="D21" s="5">
        <v>0.20100000000000001</v>
      </c>
      <c r="E21" s="5">
        <v>0.217</v>
      </c>
      <c r="F21" s="16">
        <f>E21*('Shipping EU Ref'!H53/'Shipping EU Ref'!G53)</f>
        <v>0.22576831665821717</v>
      </c>
      <c r="G21" s="16">
        <f>F21*('Shipping EU Ref'!I53/'Shipping EU Ref'!H53)</f>
        <v>0.23453663331643435</v>
      </c>
      <c r="H21" s="16">
        <f>G21*('Shipping EU Ref'!J53/'Shipping EU Ref'!I53)</f>
        <v>0.24330494997465152</v>
      </c>
      <c r="I21" s="16">
        <f>H21*('Shipping EU Ref'!K53/'Shipping EU Ref'!J53)</f>
        <v>0.25207326663286872</v>
      </c>
      <c r="J21" s="16">
        <f>I21*('Shipping EU Ref'!L53/'Shipping EU Ref'!K53)</f>
        <v>0.25563318877612184</v>
      </c>
      <c r="K21" s="16">
        <f>J21*('Shipping EU Ref'!M53/'Shipping EU Ref'!L53)</f>
        <v>0.25919311091937497</v>
      </c>
      <c r="L21" s="16">
        <f>K21*('Shipping EU Ref'!N53/'Shipping EU Ref'!M53)</f>
        <v>0.26275303306262809</v>
      </c>
      <c r="M21" s="16">
        <f>L21*('Shipping EU Ref'!O53/'Shipping EU Ref'!N53)</f>
        <v>0.26631295520588122</v>
      </c>
      <c r="N21" s="16">
        <f>M21*('Shipping EU Ref'!P53/'Shipping EU Ref'!O53)</f>
        <v>0.26987287734913434</v>
      </c>
      <c r="O21" s="16">
        <f>N21*('Shipping EU Ref'!Q53/'Shipping EU Ref'!P53)</f>
        <v>0.27326206378706625</v>
      </c>
      <c r="P21" s="16">
        <f>O21*('Shipping EU Ref'!R53/'Shipping EU Ref'!Q53)</f>
        <v>0.27665125022499815</v>
      </c>
      <c r="Q21" s="16">
        <f>P21*('Shipping EU Ref'!S53/'Shipping EU Ref'!R53)</f>
        <v>0.28004043666292999</v>
      </c>
      <c r="R21" s="16">
        <f>Q21*('Shipping EU Ref'!T53/'Shipping EU Ref'!S53)</f>
        <v>0.28342962310086189</v>
      </c>
      <c r="S21" s="16">
        <f>R21*('Shipping EU Ref'!U53/'Shipping EU Ref'!T53)</f>
        <v>0.28681880953879374</v>
      </c>
      <c r="T21" s="16">
        <f>S21*('Shipping EU Ref'!V53/'Shipping EU Ref'!U53)</f>
        <v>0.28970654684821484</v>
      </c>
      <c r="U21" s="16">
        <f>T21*('Shipping EU Ref'!W53/'Shipping EU Ref'!V53)</f>
        <v>0.29259428415763589</v>
      </c>
      <c r="V21" s="16">
        <f>U21*('Shipping EU Ref'!X53/'Shipping EU Ref'!W53)</f>
        <v>0.29548202146705699</v>
      </c>
      <c r="W21" s="16">
        <f>V21*('Shipping EU Ref'!Y53/'Shipping EU Ref'!X53)</f>
        <v>0.29836975877647803</v>
      </c>
      <c r="X21" s="16">
        <f>W21*('Shipping EU Ref'!Z53/'Shipping EU Ref'!Y53)</f>
        <v>0.30125749608589913</v>
      </c>
      <c r="Y21" s="16">
        <f>X21*('Shipping EU Ref'!AA53/'Shipping EU Ref'!Z53)</f>
        <v>0.30449075304276568</v>
      </c>
      <c r="Z21" s="16">
        <f>Y21*('Shipping EU Ref'!AB53/'Shipping EU Ref'!AA53)</f>
        <v>0.30772400999963218</v>
      </c>
      <c r="AA21" s="16">
        <f>Z21*('Shipping EU Ref'!AC53/'Shipping EU Ref'!AB53)</f>
        <v>0.31095726695649867</v>
      </c>
      <c r="AB21" s="16">
        <f>AA21*('Shipping EU Ref'!AD53/'Shipping EU Ref'!AC53)</f>
        <v>0.31419052391336516</v>
      </c>
      <c r="AC21" s="16">
        <f>AB21*('Shipping EU Ref'!AE53/'Shipping EU Ref'!AD53)</f>
        <v>0.31742378087023154</v>
      </c>
      <c r="AD21" s="16">
        <f>AC21*('Shipping EU Ref'!AF53/'Shipping EU Ref'!AE53)</f>
        <v>0.3209183055076113</v>
      </c>
      <c r="AE21" s="16">
        <f>AD21*('Shipping EU Ref'!AG53/'Shipping EU Ref'!AF53)</f>
        <v>0.32441283014499106</v>
      </c>
      <c r="AF21" s="16">
        <f>AE21*('Shipping EU Ref'!AH53/'Shipping EU Ref'!AG53)</f>
        <v>0.32790735478237082</v>
      </c>
      <c r="AG21" s="16">
        <f>AF21*('Shipping EU Ref'!AI53/'Shipping EU Ref'!AH53)</f>
        <v>0.33140187941975058</v>
      </c>
      <c r="AH21" s="16">
        <f>AG21*('Shipping EU Ref'!AJ53/'Shipping EU Ref'!AI53)</f>
        <v>0.33489640405713045</v>
      </c>
      <c r="AI21" s="12">
        <f t="shared" ref="AI21:BB21" si="17">AH21</f>
        <v>0.33489640405713045</v>
      </c>
      <c r="AJ21" s="12">
        <f t="shared" si="17"/>
        <v>0.33489640405713045</v>
      </c>
      <c r="AK21" s="12">
        <f t="shared" si="17"/>
        <v>0.33489640405713045</v>
      </c>
      <c r="AL21" s="12">
        <f t="shared" si="17"/>
        <v>0.33489640405713045</v>
      </c>
      <c r="AM21" s="12">
        <f t="shared" si="17"/>
        <v>0.33489640405713045</v>
      </c>
      <c r="AN21" s="12">
        <f t="shared" si="17"/>
        <v>0.33489640405713045</v>
      </c>
      <c r="AO21" s="12">
        <f t="shared" si="17"/>
        <v>0.33489640405713045</v>
      </c>
      <c r="AP21" s="12">
        <f t="shared" si="17"/>
        <v>0.33489640405713045</v>
      </c>
      <c r="AQ21" s="12">
        <f t="shared" si="17"/>
        <v>0.33489640405713045</v>
      </c>
      <c r="AR21" s="12">
        <f t="shared" si="17"/>
        <v>0.33489640405713045</v>
      </c>
      <c r="AS21" s="12">
        <f t="shared" si="17"/>
        <v>0.33489640405713045</v>
      </c>
      <c r="AT21" s="12">
        <f t="shared" si="17"/>
        <v>0.33489640405713045</v>
      </c>
      <c r="AU21" s="12">
        <f t="shared" si="17"/>
        <v>0.33489640405713045</v>
      </c>
      <c r="AV21" s="12">
        <f t="shared" si="17"/>
        <v>0.33489640405713045</v>
      </c>
      <c r="AW21" s="12">
        <f t="shared" si="17"/>
        <v>0.33489640405713045</v>
      </c>
      <c r="AX21" s="12">
        <f t="shared" si="17"/>
        <v>0.33489640405713045</v>
      </c>
      <c r="AY21" s="12">
        <f t="shared" si="17"/>
        <v>0.33489640405713045</v>
      </c>
      <c r="AZ21" s="12">
        <f t="shared" si="17"/>
        <v>0.33489640405713045</v>
      </c>
      <c r="BA21" s="12">
        <f t="shared" si="17"/>
        <v>0.33489640405713045</v>
      </c>
      <c r="BB21" s="12">
        <f t="shared" si="17"/>
        <v>0.33489640405713045</v>
      </c>
    </row>
    <row r="22" spans="1:54" x14ac:dyDescent="0.3">
      <c r="A22" t="s">
        <v>16</v>
      </c>
      <c r="B22" s="5">
        <v>140.94902870000001</v>
      </c>
      <c r="C22" s="5">
        <v>137.19806019999999</v>
      </c>
      <c r="D22" s="5">
        <v>82.910205860000005</v>
      </c>
      <c r="E22" s="5">
        <v>80.528928530000002</v>
      </c>
      <c r="F22" s="8">
        <f>E22*('Shipping EU Ref'!H21/'Shipping EU Ref'!G21)</f>
        <v>87.294602420982272</v>
      </c>
      <c r="G22" s="8">
        <f>F22*('Shipping EU Ref'!I21/'Shipping EU Ref'!H21)</f>
        <v>94.060276311964529</v>
      </c>
      <c r="H22" s="8">
        <f>G22*('Shipping EU Ref'!J21/'Shipping EU Ref'!I21)</f>
        <v>100.82595020294679</v>
      </c>
      <c r="I22" s="8">
        <f>H22*('Shipping EU Ref'!K21/'Shipping EU Ref'!J21)</f>
        <v>107.59162409392903</v>
      </c>
      <c r="J22" s="8">
        <f>I22*('Shipping EU Ref'!L21/'Shipping EU Ref'!K21)</f>
        <v>108.92130336437924</v>
      </c>
      <c r="K22" s="8">
        <f>J22*('Shipping EU Ref'!M21/'Shipping EU Ref'!L21)</f>
        <v>110.25098263482946</v>
      </c>
      <c r="L22" s="8">
        <f>K22*('Shipping EU Ref'!N21/'Shipping EU Ref'!M21)</f>
        <v>111.58066190527965</v>
      </c>
      <c r="M22" s="8">
        <f>L22*('Shipping EU Ref'!O21/'Shipping EU Ref'!N21)</f>
        <v>112.91034117572987</v>
      </c>
      <c r="N22" s="8">
        <f>M22*('Shipping EU Ref'!P21/'Shipping EU Ref'!O21)</f>
        <v>114.24002044618011</v>
      </c>
      <c r="O22" s="8">
        <f>N22*('Shipping EU Ref'!Q21/'Shipping EU Ref'!P21)</f>
        <v>115.75382631213988</v>
      </c>
      <c r="P22" s="8">
        <f>O22*('Shipping EU Ref'!R21/'Shipping EU Ref'!Q21)</f>
        <v>117.26763217809966</v>
      </c>
      <c r="Q22" s="8">
        <f>P22*('Shipping EU Ref'!S21/'Shipping EU Ref'!R21)</f>
        <v>118.78143804405943</v>
      </c>
      <c r="R22" s="8">
        <f>Q22*('Shipping EU Ref'!T21/'Shipping EU Ref'!S21)</f>
        <v>120.2952439100192</v>
      </c>
      <c r="S22" s="8">
        <f>R22*('Shipping EU Ref'!U21/'Shipping EU Ref'!T21)</f>
        <v>121.80904977597898</v>
      </c>
      <c r="T22" s="8">
        <f>S22*('Shipping EU Ref'!V21/'Shipping EU Ref'!U21)</f>
        <v>123.4306694327514</v>
      </c>
      <c r="U22" s="8">
        <f>T22*('Shipping EU Ref'!W21/'Shipping EU Ref'!V21)</f>
        <v>125.05228908952384</v>
      </c>
      <c r="V22" s="8">
        <f>U22*('Shipping EU Ref'!X21/'Shipping EU Ref'!W21)</f>
        <v>126.67390874629628</v>
      </c>
      <c r="W22" s="8">
        <f>V22*('Shipping EU Ref'!Y21/'Shipping EU Ref'!X21)</f>
        <v>128.29552840306872</v>
      </c>
      <c r="X22" s="8">
        <f>W22*('Shipping EU Ref'!Z21/'Shipping EU Ref'!Y21)</f>
        <v>129.91714805984108</v>
      </c>
      <c r="Y22" s="8">
        <f>X22*('Shipping EU Ref'!AA21/'Shipping EU Ref'!Z21)</f>
        <v>131.34174104615533</v>
      </c>
      <c r="Z22" s="8">
        <f>Y22*('Shipping EU Ref'!AB21/'Shipping EU Ref'!AA21)</f>
        <v>132.76633403246959</v>
      </c>
      <c r="AA22" s="8">
        <f>Z22*('Shipping EU Ref'!AC21/'Shipping EU Ref'!AB21)</f>
        <v>134.19092701878384</v>
      </c>
      <c r="AB22" s="8">
        <f>AA22*('Shipping EU Ref'!AD21/'Shipping EU Ref'!AC21)</f>
        <v>135.61552000509809</v>
      </c>
      <c r="AC22" s="8">
        <f>AB22*('Shipping EU Ref'!AE21/'Shipping EU Ref'!AD21)</f>
        <v>137.04011299141231</v>
      </c>
      <c r="AD22" s="8">
        <f>AC22*('Shipping EU Ref'!AF21/'Shipping EU Ref'!AE21)</f>
        <v>137.55834920398681</v>
      </c>
      <c r="AE22" s="8">
        <f>AD22*('Shipping EU Ref'!AG21/'Shipping EU Ref'!AF21)</f>
        <v>138.07658541656127</v>
      </c>
      <c r="AF22" s="8">
        <f>AE22*('Shipping EU Ref'!AH21/'Shipping EU Ref'!AG21)</f>
        <v>138.59482162913577</v>
      </c>
      <c r="AG22" s="8">
        <f>AF22*('Shipping EU Ref'!AI21/'Shipping EU Ref'!AH21)</f>
        <v>139.11305784171026</v>
      </c>
      <c r="AH22" s="8">
        <f>AG22*('Shipping EU Ref'!AJ21/'Shipping EU Ref'!AI21)</f>
        <v>139.63129405428478</v>
      </c>
      <c r="AI22" s="12">
        <f t="shared" ref="AI22:BB22" si="18">AH22</f>
        <v>139.63129405428478</v>
      </c>
      <c r="AJ22" s="12">
        <f t="shared" si="18"/>
        <v>139.63129405428478</v>
      </c>
      <c r="AK22" s="12">
        <f t="shared" si="18"/>
        <v>139.63129405428478</v>
      </c>
      <c r="AL22" s="12">
        <f t="shared" si="18"/>
        <v>139.63129405428478</v>
      </c>
      <c r="AM22" s="12">
        <f t="shared" si="18"/>
        <v>139.63129405428478</v>
      </c>
      <c r="AN22" s="12">
        <f t="shared" si="18"/>
        <v>139.63129405428478</v>
      </c>
      <c r="AO22" s="12">
        <f t="shared" si="18"/>
        <v>139.63129405428478</v>
      </c>
      <c r="AP22" s="12">
        <f t="shared" si="18"/>
        <v>139.63129405428478</v>
      </c>
      <c r="AQ22" s="12">
        <f t="shared" si="18"/>
        <v>139.63129405428478</v>
      </c>
      <c r="AR22" s="12">
        <f t="shared" si="18"/>
        <v>139.63129405428478</v>
      </c>
      <c r="AS22" s="12">
        <f t="shared" si="18"/>
        <v>139.63129405428478</v>
      </c>
      <c r="AT22" s="12">
        <f t="shared" si="18"/>
        <v>139.63129405428478</v>
      </c>
      <c r="AU22" s="12">
        <f t="shared" si="18"/>
        <v>139.63129405428478</v>
      </c>
      <c r="AV22" s="12">
        <f t="shared" si="18"/>
        <v>139.63129405428478</v>
      </c>
      <c r="AW22" s="12">
        <f t="shared" si="18"/>
        <v>139.63129405428478</v>
      </c>
      <c r="AX22" s="12">
        <f t="shared" si="18"/>
        <v>139.63129405428478</v>
      </c>
      <c r="AY22" s="12">
        <f t="shared" si="18"/>
        <v>139.63129405428478</v>
      </c>
      <c r="AZ22" s="12">
        <f t="shared" si="18"/>
        <v>139.63129405428478</v>
      </c>
      <c r="BA22" s="12">
        <f t="shared" si="18"/>
        <v>139.63129405428478</v>
      </c>
      <c r="BB22" s="12">
        <f t="shared" si="18"/>
        <v>139.63129405428478</v>
      </c>
    </row>
    <row r="23" spans="1:54" x14ac:dyDescent="0.3">
      <c r="A23" t="s">
        <v>20</v>
      </c>
      <c r="B23" s="5">
        <v>6.2527856379999998</v>
      </c>
      <c r="C23" s="5">
        <v>7.5296813929999997</v>
      </c>
      <c r="D23" s="5">
        <v>4.8153850970000001</v>
      </c>
      <c r="E23" s="5">
        <v>3.5906519069999998</v>
      </c>
      <c r="F23" s="8">
        <f>E23*('Shipping EU Ref'!H22/'Shipping EU Ref'!G22)</f>
        <v>3.854079509772836</v>
      </c>
      <c r="G23" s="8">
        <f>F23*('Shipping EU Ref'!I22/'Shipping EU Ref'!H22)</f>
        <v>4.1175071125456721</v>
      </c>
      <c r="H23" s="8">
        <f>G23*('Shipping EU Ref'!J22/'Shipping EU Ref'!I22)</f>
        <v>4.3809347153185074</v>
      </c>
      <c r="I23" s="8">
        <f>H23*('Shipping EU Ref'!K22/'Shipping EU Ref'!J22)</f>
        <v>4.6443623180913427</v>
      </c>
      <c r="J23" s="8">
        <f>I23*('Shipping EU Ref'!L22/'Shipping EU Ref'!K22)</f>
        <v>4.749774066924207</v>
      </c>
      <c r="K23" s="8">
        <f>J23*('Shipping EU Ref'!M22/'Shipping EU Ref'!L22)</f>
        <v>4.8551858157570713</v>
      </c>
      <c r="L23" s="8">
        <f>K23*('Shipping EU Ref'!N22/'Shipping EU Ref'!M22)</f>
        <v>4.9605975645899356</v>
      </c>
      <c r="M23" s="8">
        <f>L23*('Shipping EU Ref'!O22/'Shipping EU Ref'!N22)</f>
        <v>5.0660093134227999</v>
      </c>
      <c r="N23" s="8">
        <f>M23*('Shipping EU Ref'!P22/'Shipping EU Ref'!O22)</f>
        <v>5.1714210622556624</v>
      </c>
      <c r="O23" s="8">
        <f>N23*('Shipping EU Ref'!Q22/'Shipping EU Ref'!P22)</f>
        <v>5.237877022245482</v>
      </c>
      <c r="P23" s="8">
        <f>O23*('Shipping EU Ref'!R22/'Shipping EU Ref'!Q22)</f>
        <v>5.3043329822353025</v>
      </c>
      <c r="Q23" s="8">
        <f>P23*('Shipping EU Ref'!S22/'Shipping EU Ref'!R22)</f>
        <v>5.3707889422251229</v>
      </c>
      <c r="R23" s="8">
        <f>Q23*('Shipping EU Ref'!T22/'Shipping EU Ref'!S22)</f>
        <v>5.4372449022149425</v>
      </c>
      <c r="S23" s="8">
        <f>R23*('Shipping EU Ref'!U22/'Shipping EU Ref'!T22)</f>
        <v>5.5037008622047638</v>
      </c>
      <c r="T23" s="8">
        <f>S23*('Shipping EU Ref'!V22/'Shipping EU Ref'!U22)</f>
        <v>5.548521017362714</v>
      </c>
      <c r="U23" s="8">
        <f>T23*('Shipping EU Ref'!W22/'Shipping EU Ref'!V22)</f>
        <v>5.593341172520665</v>
      </c>
      <c r="V23" s="8">
        <f>U23*('Shipping EU Ref'!X22/'Shipping EU Ref'!W22)</f>
        <v>5.6381613276786151</v>
      </c>
      <c r="W23" s="8">
        <f>V23*('Shipping EU Ref'!Y22/'Shipping EU Ref'!X22)</f>
        <v>5.6829814828365661</v>
      </c>
      <c r="X23" s="8">
        <f>W23*('Shipping EU Ref'!Z22/'Shipping EU Ref'!Y22)</f>
        <v>5.7278016379945171</v>
      </c>
      <c r="Y23" s="8">
        <f>X23*('Shipping EU Ref'!AA22/'Shipping EU Ref'!Z22)</f>
        <v>5.7777558280546772</v>
      </c>
      <c r="Z23" s="8">
        <f>Y23*('Shipping EU Ref'!AB22/'Shipping EU Ref'!AA22)</f>
        <v>5.8277100181148374</v>
      </c>
      <c r="AA23" s="8">
        <f>Z23*('Shipping EU Ref'!AC22/'Shipping EU Ref'!AB22)</f>
        <v>5.8776642081749975</v>
      </c>
      <c r="AB23" s="8">
        <f>AA23*('Shipping EU Ref'!AD22/'Shipping EU Ref'!AC22)</f>
        <v>5.9276183982351585</v>
      </c>
      <c r="AC23" s="8">
        <f>AB23*('Shipping EU Ref'!AE22/'Shipping EU Ref'!AD22)</f>
        <v>5.9775725882953212</v>
      </c>
      <c r="AD23" s="8">
        <f>AC23*('Shipping EU Ref'!AF22/'Shipping EU Ref'!AE22)</f>
        <v>6.0000507160111223</v>
      </c>
      <c r="AE23" s="8">
        <f>AD23*('Shipping EU Ref'!AG22/'Shipping EU Ref'!AF22)</f>
        <v>6.0225288437269233</v>
      </c>
      <c r="AF23" s="8">
        <f>AE23*('Shipping EU Ref'!AH22/'Shipping EU Ref'!AG22)</f>
        <v>6.0450069714427244</v>
      </c>
      <c r="AG23" s="8">
        <f>AF23*('Shipping EU Ref'!AI22/'Shipping EU Ref'!AH22)</f>
        <v>6.0674850991585254</v>
      </c>
      <c r="AH23" s="8">
        <f>AG23*('Shipping EU Ref'!AJ22/'Shipping EU Ref'!AI22)</f>
        <v>6.0899632268743265</v>
      </c>
      <c r="AI23" s="12">
        <f t="shared" ref="AI23:BB23" si="19">AH23</f>
        <v>6.0899632268743265</v>
      </c>
      <c r="AJ23" s="12">
        <f t="shared" si="19"/>
        <v>6.0899632268743265</v>
      </c>
      <c r="AK23" s="12">
        <f t="shared" si="19"/>
        <v>6.0899632268743265</v>
      </c>
      <c r="AL23" s="12">
        <f t="shared" si="19"/>
        <v>6.0899632268743265</v>
      </c>
      <c r="AM23" s="12">
        <f t="shared" si="19"/>
        <v>6.0899632268743265</v>
      </c>
      <c r="AN23" s="12">
        <f t="shared" si="19"/>
        <v>6.0899632268743265</v>
      </c>
      <c r="AO23" s="12">
        <f t="shared" si="19"/>
        <v>6.0899632268743265</v>
      </c>
      <c r="AP23" s="12">
        <f t="shared" si="19"/>
        <v>6.0899632268743265</v>
      </c>
      <c r="AQ23" s="12">
        <f t="shared" si="19"/>
        <v>6.0899632268743265</v>
      </c>
      <c r="AR23" s="12">
        <f t="shared" si="19"/>
        <v>6.0899632268743265</v>
      </c>
      <c r="AS23" s="12">
        <f t="shared" si="19"/>
        <v>6.0899632268743265</v>
      </c>
      <c r="AT23" s="12">
        <f t="shared" si="19"/>
        <v>6.0899632268743265</v>
      </c>
      <c r="AU23" s="12">
        <f t="shared" si="19"/>
        <v>6.0899632268743265</v>
      </c>
      <c r="AV23" s="12">
        <f t="shared" si="19"/>
        <v>6.0899632268743265</v>
      </c>
      <c r="AW23" s="12">
        <f t="shared" si="19"/>
        <v>6.0899632268743265</v>
      </c>
      <c r="AX23" s="12">
        <f t="shared" si="19"/>
        <v>6.0899632268743265</v>
      </c>
      <c r="AY23" s="12">
        <f t="shared" si="19"/>
        <v>6.0899632268743265</v>
      </c>
      <c r="AZ23" s="12">
        <f t="shared" si="19"/>
        <v>6.0899632268743265</v>
      </c>
      <c r="BA23" s="12">
        <f t="shared" si="19"/>
        <v>6.0899632268743265</v>
      </c>
      <c r="BB23" s="12">
        <f t="shared" si="19"/>
        <v>6.0899632268743265</v>
      </c>
    </row>
    <row r="24" spans="1:54" x14ac:dyDescent="0.3">
      <c r="A24" t="s">
        <v>21</v>
      </c>
      <c r="B24" s="5">
        <v>2143.5796540000001</v>
      </c>
      <c r="C24" s="5">
        <v>2113.204397</v>
      </c>
      <c r="D24" s="5">
        <v>1932.7845809999999</v>
      </c>
      <c r="E24" s="5">
        <v>2078.5078669999998</v>
      </c>
      <c r="F24" s="8">
        <f>E24*('Shipping EU Ref'!H23/'Shipping EU Ref'!G23)</f>
        <v>2246.0463252156137</v>
      </c>
      <c r="G24" s="8">
        <f>F24*('Shipping EU Ref'!I23/'Shipping EU Ref'!H23)</f>
        <v>2413.5847834312272</v>
      </c>
      <c r="H24" s="8">
        <f>G24*('Shipping EU Ref'!J23/'Shipping EU Ref'!I23)</f>
        <v>2581.1232416468406</v>
      </c>
      <c r="I24" s="8">
        <f>H24*('Shipping EU Ref'!K23/'Shipping EU Ref'!J23)</f>
        <v>2748.6616998624545</v>
      </c>
      <c r="J24" s="8">
        <f>I24*('Shipping EU Ref'!L23/'Shipping EU Ref'!K23)</f>
        <v>2775.979389374374</v>
      </c>
      <c r="K24" s="8">
        <f>J24*('Shipping EU Ref'!M23/'Shipping EU Ref'!L23)</f>
        <v>2803.2970788862935</v>
      </c>
      <c r="L24" s="8">
        <f>K24*('Shipping EU Ref'!N23/'Shipping EU Ref'!M23)</f>
        <v>2830.6147683982135</v>
      </c>
      <c r="M24" s="8">
        <f>L24*('Shipping EU Ref'!O23/'Shipping EU Ref'!N23)</f>
        <v>2857.9324579101335</v>
      </c>
      <c r="N24" s="8">
        <f>M24*('Shipping EU Ref'!P23/'Shipping EU Ref'!O23)</f>
        <v>2885.2501474220521</v>
      </c>
      <c r="O24" s="8">
        <f>N24*('Shipping EU Ref'!Q23/'Shipping EU Ref'!P23)</f>
        <v>2904.3465939922253</v>
      </c>
      <c r="P24" s="8">
        <f>O24*('Shipping EU Ref'!R23/'Shipping EU Ref'!Q23)</f>
        <v>2923.443040562398</v>
      </c>
      <c r="Q24" s="8">
        <f>P24*('Shipping EU Ref'!S23/'Shipping EU Ref'!R23)</f>
        <v>2942.5394871325711</v>
      </c>
      <c r="R24" s="8">
        <f>Q24*('Shipping EU Ref'!T23/'Shipping EU Ref'!S23)</f>
        <v>2961.6359337027443</v>
      </c>
      <c r="S24" s="8">
        <f>R24*('Shipping EU Ref'!U23/'Shipping EU Ref'!T23)</f>
        <v>2980.7323802729175</v>
      </c>
      <c r="T24" s="8">
        <f>S24*('Shipping EU Ref'!V23/'Shipping EU Ref'!U23)</f>
        <v>3016.5564720725242</v>
      </c>
      <c r="U24" s="8">
        <f>T24*('Shipping EU Ref'!W23/'Shipping EU Ref'!V23)</f>
        <v>3052.380563872131</v>
      </c>
      <c r="V24" s="8">
        <f>U24*('Shipping EU Ref'!X23/'Shipping EU Ref'!W23)</f>
        <v>3088.2046556717378</v>
      </c>
      <c r="W24" s="8">
        <f>V24*('Shipping EU Ref'!Y23/'Shipping EU Ref'!X23)</f>
        <v>3124.0287474713441</v>
      </c>
      <c r="X24" s="8">
        <f>W24*('Shipping EU Ref'!Z23/'Shipping EU Ref'!Y23)</f>
        <v>3159.8528392709504</v>
      </c>
      <c r="Y24" s="8">
        <f>X24*('Shipping EU Ref'!AA23/'Shipping EU Ref'!Z23)</f>
        <v>3202.4479855714321</v>
      </c>
      <c r="Z24" s="8">
        <f>Y24*('Shipping EU Ref'!AB23/'Shipping EU Ref'!AA23)</f>
        <v>3245.0431318719138</v>
      </c>
      <c r="AA24" s="8">
        <f>Z24*('Shipping EU Ref'!AC23/'Shipping EU Ref'!AB23)</f>
        <v>3287.6382781723955</v>
      </c>
      <c r="AB24" s="8">
        <f>AA24*('Shipping EU Ref'!AD23/'Shipping EU Ref'!AC23)</f>
        <v>3330.2334244728777</v>
      </c>
      <c r="AC24" s="8">
        <f>AB24*('Shipping EU Ref'!AE23/'Shipping EU Ref'!AD23)</f>
        <v>3372.8285707733598</v>
      </c>
      <c r="AD24" s="8">
        <f>AC24*('Shipping EU Ref'!AF23/'Shipping EU Ref'!AE23)</f>
        <v>3419.6957137547583</v>
      </c>
      <c r="AE24" s="8">
        <f>AD24*('Shipping EU Ref'!AG23/'Shipping EU Ref'!AF23)</f>
        <v>3466.5628567361573</v>
      </c>
      <c r="AF24" s="8">
        <f>AE24*('Shipping EU Ref'!AH23/'Shipping EU Ref'!AG23)</f>
        <v>3513.4299997175563</v>
      </c>
      <c r="AG24" s="8">
        <f>AF24*('Shipping EU Ref'!AI23/'Shipping EU Ref'!AH23)</f>
        <v>3560.2971426989552</v>
      </c>
      <c r="AH24" s="8">
        <f>AG24*('Shipping EU Ref'!AJ23/'Shipping EU Ref'!AI23)</f>
        <v>3607.1642856803533</v>
      </c>
      <c r="AI24" s="12">
        <f t="shared" ref="AI24:BB24" si="20">AH24</f>
        <v>3607.1642856803533</v>
      </c>
      <c r="AJ24" s="12">
        <f t="shared" si="20"/>
        <v>3607.1642856803533</v>
      </c>
      <c r="AK24" s="12">
        <f t="shared" si="20"/>
        <v>3607.1642856803533</v>
      </c>
      <c r="AL24" s="12">
        <f t="shared" si="20"/>
        <v>3607.1642856803533</v>
      </c>
      <c r="AM24" s="12">
        <f t="shared" si="20"/>
        <v>3607.1642856803533</v>
      </c>
      <c r="AN24" s="12">
        <f t="shared" si="20"/>
        <v>3607.1642856803533</v>
      </c>
      <c r="AO24" s="12">
        <f t="shared" si="20"/>
        <v>3607.1642856803533</v>
      </c>
      <c r="AP24" s="12">
        <f t="shared" si="20"/>
        <v>3607.1642856803533</v>
      </c>
      <c r="AQ24" s="12">
        <f t="shared" si="20"/>
        <v>3607.1642856803533</v>
      </c>
      <c r="AR24" s="12">
        <f t="shared" si="20"/>
        <v>3607.1642856803533</v>
      </c>
      <c r="AS24" s="12">
        <f t="shared" si="20"/>
        <v>3607.1642856803533</v>
      </c>
      <c r="AT24" s="12">
        <f t="shared" si="20"/>
        <v>3607.1642856803533</v>
      </c>
      <c r="AU24" s="12">
        <f t="shared" si="20"/>
        <v>3607.1642856803533</v>
      </c>
      <c r="AV24" s="12">
        <f t="shared" si="20"/>
        <v>3607.1642856803533</v>
      </c>
      <c r="AW24" s="12">
        <f t="shared" si="20"/>
        <v>3607.1642856803533</v>
      </c>
      <c r="AX24" s="12">
        <f t="shared" si="20"/>
        <v>3607.1642856803533</v>
      </c>
      <c r="AY24" s="12">
        <f t="shared" si="20"/>
        <v>3607.1642856803533</v>
      </c>
      <c r="AZ24" s="12">
        <f t="shared" si="20"/>
        <v>3607.1642856803533</v>
      </c>
      <c r="BA24" s="12">
        <f t="shared" si="20"/>
        <v>3607.1642856803533</v>
      </c>
      <c r="BB24" s="12">
        <f t="shared" si="20"/>
        <v>3607.1642856803533</v>
      </c>
    </row>
    <row r="25" spans="1:54" x14ac:dyDescent="0.3">
      <c r="A25" t="s">
        <v>22</v>
      </c>
      <c r="B25" s="5">
        <v>275.80683859999999</v>
      </c>
      <c r="C25" s="5">
        <v>284.04352870000002</v>
      </c>
      <c r="D25" s="5">
        <v>266.57743520000002</v>
      </c>
      <c r="E25" s="5">
        <v>288.01596619999998</v>
      </c>
      <c r="F25" s="8">
        <f>E25*('Shipping EU Ref'!H24/'Shipping EU Ref'!G24)</f>
        <v>316.01578959190351</v>
      </c>
      <c r="G25" s="8">
        <f>F25*('Shipping EU Ref'!I24/'Shipping EU Ref'!H24)</f>
        <v>344.01561298380705</v>
      </c>
      <c r="H25" s="8">
        <f>G25*('Shipping EU Ref'!J24/'Shipping EU Ref'!I24)</f>
        <v>372.01543637571058</v>
      </c>
      <c r="I25" s="8">
        <f>H25*('Shipping EU Ref'!K24/'Shipping EU Ref'!J24)</f>
        <v>400.01525976761417</v>
      </c>
      <c r="J25" s="8">
        <f>I25*('Shipping EU Ref'!L24/'Shipping EU Ref'!K24)</f>
        <v>411.02411206192903</v>
      </c>
      <c r="K25" s="8">
        <f>J25*('Shipping EU Ref'!M24/'Shipping EU Ref'!L24)</f>
        <v>422.03296435624389</v>
      </c>
      <c r="L25" s="8">
        <f>K25*('Shipping EU Ref'!N24/'Shipping EU Ref'!M24)</f>
        <v>433.04181665055876</v>
      </c>
      <c r="M25" s="8">
        <f>L25*('Shipping EU Ref'!O24/'Shipping EU Ref'!N24)</f>
        <v>444.05066894487368</v>
      </c>
      <c r="N25" s="8">
        <f>M25*('Shipping EU Ref'!P24/'Shipping EU Ref'!O24)</f>
        <v>455.05952123918865</v>
      </c>
      <c r="O25" s="8">
        <f>N25*('Shipping EU Ref'!Q24/'Shipping EU Ref'!P24)</f>
        <v>465.64063906860741</v>
      </c>
      <c r="P25" s="8">
        <f>O25*('Shipping EU Ref'!R24/'Shipping EU Ref'!Q24)</f>
        <v>476.22175689802611</v>
      </c>
      <c r="Q25" s="8">
        <f>P25*('Shipping EU Ref'!S24/'Shipping EU Ref'!R24)</f>
        <v>486.80287472744487</v>
      </c>
      <c r="R25" s="8">
        <f>Q25*('Shipping EU Ref'!T24/'Shipping EU Ref'!S24)</f>
        <v>497.38399255686369</v>
      </c>
      <c r="S25" s="8">
        <f>R25*('Shipping EU Ref'!U24/'Shipping EU Ref'!T24)</f>
        <v>507.9651103862825</v>
      </c>
      <c r="T25" s="8">
        <f>S25*('Shipping EU Ref'!V24/'Shipping EU Ref'!U24)</f>
        <v>515.7212344396662</v>
      </c>
      <c r="U25" s="8">
        <f>T25*('Shipping EU Ref'!W24/'Shipping EU Ref'!V24)</f>
        <v>523.47735849304991</v>
      </c>
      <c r="V25" s="8">
        <f>U25*('Shipping EU Ref'!X24/'Shipping EU Ref'!W24)</f>
        <v>531.23348254643361</v>
      </c>
      <c r="W25" s="8">
        <f>V25*('Shipping EU Ref'!Y24/'Shipping EU Ref'!X24)</f>
        <v>538.98960659981731</v>
      </c>
      <c r="X25" s="8">
        <f>W25*('Shipping EU Ref'!Z24/'Shipping EU Ref'!Y24)</f>
        <v>546.74573065320089</v>
      </c>
      <c r="Y25" s="8">
        <f>X25*('Shipping EU Ref'!AA24/'Shipping EU Ref'!Z24)</f>
        <v>554.79656910284541</v>
      </c>
      <c r="Z25" s="8">
        <f>Y25*('Shipping EU Ref'!AB24/'Shipping EU Ref'!AA24)</f>
        <v>562.84740755248993</v>
      </c>
      <c r="AA25" s="8">
        <f>Z25*('Shipping EU Ref'!AC24/'Shipping EU Ref'!AB24)</f>
        <v>570.89824600213444</v>
      </c>
      <c r="AB25" s="8">
        <f>AA25*('Shipping EU Ref'!AD24/'Shipping EU Ref'!AC24)</f>
        <v>578.94908445177896</v>
      </c>
      <c r="AC25" s="8">
        <f>AB25*('Shipping EU Ref'!AE24/'Shipping EU Ref'!AD24)</f>
        <v>586.99992290142336</v>
      </c>
      <c r="AD25" s="8">
        <f>AC25*('Shipping EU Ref'!AF24/'Shipping EU Ref'!AE24)</f>
        <v>590.86158554119777</v>
      </c>
      <c r="AE25" s="8">
        <f>AD25*('Shipping EU Ref'!AG24/'Shipping EU Ref'!AF24)</f>
        <v>594.72324818097229</v>
      </c>
      <c r="AF25" s="8">
        <f>AE25*('Shipping EU Ref'!AH24/'Shipping EU Ref'!AG24)</f>
        <v>598.5849108207467</v>
      </c>
      <c r="AG25" s="8">
        <f>AF25*('Shipping EU Ref'!AI24/'Shipping EU Ref'!AH24)</f>
        <v>602.44657346052122</v>
      </c>
      <c r="AH25" s="8">
        <f>AG25*('Shipping EU Ref'!AJ24/'Shipping EU Ref'!AI24)</f>
        <v>606.30823610029574</v>
      </c>
      <c r="AI25" s="12">
        <f t="shared" ref="AI25:BB25" si="21">AH25</f>
        <v>606.30823610029574</v>
      </c>
      <c r="AJ25" s="12">
        <f t="shared" si="21"/>
        <v>606.30823610029574</v>
      </c>
      <c r="AK25" s="12">
        <f t="shared" si="21"/>
        <v>606.30823610029574</v>
      </c>
      <c r="AL25" s="12">
        <f t="shared" si="21"/>
        <v>606.30823610029574</v>
      </c>
      <c r="AM25" s="12">
        <f t="shared" si="21"/>
        <v>606.30823610029574</v>
      </c>
      <c r="AN25" s="12">
        <f t="shared" si="21"/>
        <v>606.30823610029574</v>
      </c>
      <c r="AO25" s="12">
        <f t="shared" si="21"/>
        <v>606.30823610029574</v>
      </c>
      <c r="AP25" s="12">
        <f t="shared" si="21"/>
        <v>606.30823610029574</v>
      </c>
      <c r="AQ25" s="12">
        <f t="shared" si="21"/>
        <v>606.30823610029574</v>
      </c>
      <c r="AR25" s="12">
        <f t="shared" si="21"/>
        <v>606.30823610029574</v>
      </c>
      <c r="AS25" s="12">
        <f t="shared" si="21"/>
        <v>606.30823610029574</v>
      </c>
      <c r="AT25" s="12">
        <f t="shared" si="21"/>
        <v>606.30823610029574</v>
      </c>
      <c r="AU25" s="12">
        <f t="shared" si="21"/>
        <v>606.30823610029574</v>
      </c>
      <c r="AV25" s="12">
        <f t="shared" si="21"/>
        <v>606.30823610029574</v>
      </c>
      <c r="AW25" s="12">
        <f t="shared" si="21"/>
        <v>606.30823610029574</v>
      </c>
      <c r="AX25" s="12">
        <f t="shared" si="21"/>
        <v>606.30823610029574</v>
      </c>
      <c r="AY25" s="12">
        <f t="shared" si="21"/>
        <v>606.30823610029574</v>
      </c>
      <c r="AZ25" s="12">
        <f t="shared" si="21"/>
        <v>606.30823610029574</v>
      </c>
      <c r="BA25" s="12">
        <f t="shared" si="21"/>
        <v>606.30823610029574</v>
      </c>
      <c r="BB25" s="12">
        <f t="shared" si="21"/>
        <v>606.30823610029574</v>
      </c>
    </row>
    <row r="26" spans="1:54" x14ac:dyDescent="0.3">
      <c r="A26" t="s">
        <v>23</v>
      </c>
      <c r="B26" s="5">
        <v>195.9827372</v>
      </c>
      <c r="C26" s="5">
        <v>180.9587932</v>
      </c>
      <c r="D26" s="5">
        <v>167.19663829999999</v>
      </c>
      <c r="E26" s="5">
        <v>178.46516740000001</v>
      </c>
      <c r="F26" s="8">
        <f>E26*('Shipping EU Ref'!H25/'Shipping EU Ref'!G25)</f>
        <v>192.56124493600049</v>
      </c>
      <c r="G26" s="8">
        <f>F26*('Shipping EU Ref'!I25/'Shipping EU Ref'!H25)</f>
        <v>206.65732247200097</v>
      </c>
      <c r="H26" s="8">
        <f>G26*('Shipping EU Ref'!J25/'Shipping EU Ref'!I25)</f>
        <v>220.75340000800142</v>
      </c>
      <c r="I26" s="8">
        <f>H26*('Shipping EU Ref'!K25/'Shipping EU Ref'!J25)</f>
        <v>234.8494775440019</v>
      </c>
      <c r="J26" s="8">
        <f>I26*('Shipping EU Ref'!L25/'Shipping EU Ref'!K25)</f>
        <v>234.60888657522074</v>
      </c>
      <c r="K26" s="8">
        <f>J26*('Shipping EU Ref'!M25/'Shipping EU Ref'!L25)</f>
        <v>234.36829560643957</v>
      </c>
      <c r="L26" s="8">
        <f>K26*('Shipping EU Ref'!N25/'Shipping EU Ref'!M25)</f>
        <v>234.12770463765844</v>
      </c>
      <c r="M26" s="8">
        <f>L26*('Shipping EU Ref'!O25/'Shipping EU Ref'!N25)</f>
        <v>233.88711366887728</v>
      </c>
      <c r="N26" s="8">
        <f>M26*('Shipping EU Ref'!P25/'Shipping EU Ref'!O25)</f>
        <v>233.64652270009609</v>
      </c>
      <c r="O26" s="8">
        <f>N26*('Shipping EU Ref'!Q25/'Shipping EU Ref'!P25)</f>
        <v>234.60718015453759</v>
      </c>
      <c r="P26" s="8">
        <f>O26*('Shipping EU Ref'!R25/'Shipping EU Ref'!Q25)</f>
        <v>235.56783760897909</v>
      </c>
      <c r="Q26" s="8">
        <f>P26*('Shipping EU Ref'!S25/'Shipping EU Ref'!R25)</f>
        <v>236.52849506342059</v>
      </c>
      <c r="R26" s="8">
        <f>Q26*('Shipping EU Ref'!T25/'Shipping EU Ref'!S25)</f>
        <v>237.4891525178621</v>
      </c>
      <c r="S26" s="8">
        <f>R26*('Shipping EU Ref'!U25/'Shipping EU Ref'!T25)</f>
        <v>238.44980997230365</v>
      </c>
      <c r="T26" s="8">
        <f>S26*('Shipping EU Ref'!V25/'Shipping EU Ref'!U25)</f>
        <v>239.55632650900364</v>
      </c>
      <c r="U26" s="8">
        <f>T26*('Shipping EU Ref'!W25/'Shipping EU Ref'!V25)</f>
        <v>240.66284304570365</v>
      </c>
      <c r="V26" s="8">
        <f>U26*('Shipping EU Ref'!X25/'Shipping EU Ref'!W25)</f>
        <v>241.76935958240364</v>
      </c>
      <c r="W26" s="8">
        <f>V26*('Shipping EU Ref'!Y25/'Shipping EU Ref'!X25)</f>
        <v>242.87587611910365</v>
      </c>
      <c r="X26" s="8">
        <f>W26*('Shipping EU Ref'!Z25/'Shipping EU Ref'!Y25)</f>
        <v>243.98239265580366</v>
      </c>
      <c r="Y26" s="8">
        <f>X26*('Shipping EU Ref'!AA25/'Shipping EU Ref'!Z25)</f>
        <v>245.50053496601927</v>
      </c>
      <c r="Z26" s="8">
        <f>Y26*('Shipping EU Ref'!AB25/'Shipping EU Ref'!AA25)</f>
        <v>247.01867727623488</v>
      </c>
      <c r="AA26" s="8">
        <f>Z26*('Shipping EU Ref'!AC25/'Shipping EU Ref'!AB25)</f>
        <v>248.53681958645052</v>
      </c>
      <c r="AB26" s="8">
        <f>AA26*('Shipping EU Ref'!AD25/'Shipping EU Ref'!AC25)</f>
        <v>250.05496189666613</v>
      </c>
      <c r="AC26" s="8">
        <f>AB26*('Shipping EU Ref'!AE25/'Shipping EU Ref'!AD25)</f>
        <v>251.57310420688179</v>
      </c>
      <c r="AD26" s="8">
        <f>AC26*('Shipping EU Ref'!AF25/'Shipping EU Ref'!AE25)</f>
        <v>252.85148574256644</v>
      </c>
      <c r="AE26" s="8">
        <f>AD26*('Shipping EU Ref'!AG25/'Shipping EU Ref'!AF25)</f>
        <v>254.12986727825106</v>
      </c>
      <c r="AF26" s="8">
        <f>AE26*('Shipping EU Ref'!AH25/'Shipping EU Ref'!AG25)</f>
        <v>255.4082488139357</v>
      </c>
      <c r="AG26" s="8">
        <f>AF26*('Shipping EU Ref'!AI25/'Shipping EU Ref'!AH25)</f>
        <v>256.68663034962032</v>
      </c>
      <c r="AH26" s="8">
        <f>AG26*('Shipping EU Ref'!AJ25/'Shipping EU Ref'!AI25)</f>
        <v>257.96501188530505</v>
      </c>
      <c r="AI26" s="12">
        <f t="shared" ref="AI26:BB26" si="22">AH26</f>
        <v>257.96501188530505</v>
      </c>
      <c r="AJ26" s="12">
        <f t="shared" si="22"/>
        <v>257.96501188530505</v>
      </c>
      <c r="AK26" s="12">
        <f t="shared" si="22"/>
        <v>257.96501188530505</v>
      </c>
      <c r="AL26" s="12">
        <f t="shared" si="22"/>
        <v>257.96501188530505</v>
      </c>
      <c r="AM26" s="12">
        <f t="shared" si="22"/>
        <v>257.96501188530505</v>
      </c>
      <c r="AN26" s="12">
        <f t="shared" si="22"/>
        <v>257.96501188530505</v>
      </c>
      <c r="AO26" s="12">
        <f t="shared" si="22"/>
        <v>257.96501188530505</v>
      </c>
      <c r="AP26" s="12">
        <f t="shared" si="22"/>
        <v>257.96501188530505</v>
      </c>
      <c r="AQ26" s="12">
        <f t="shared" si="22"/>
        <v>257.96501188530505</v>
      </c>
      <c r="AR26" s="12">
        <f t="shared" si="22"/>
        <v>257.96501188530505</v>
      </c>
      <c r="AS26" s="12">
        <f t="shared" si="22"/>
        <v>257.96501188530505</v>
      </c>
      <c r="AT26" s="12">
        <f t="shared" si="22"/>
        <v>257.96501188530505</v>
      </c>
      <c r="AU26" s="12">
        <f t="shared" si="22"/>
        <v>257.96501188530505</v>
      </c>
      <c r="AV26" s="12">
        <f t="shared" si="22"/>
        <v>257.96501188530505</v>
      </c>
      <c r="AW26" s="12">
        <f t="shared" si="22"/>
        <v>257.96501188530505</v>
      </c>
      <c r="AX26" s="12">
        <f t="shared" si="22"/>
        <v>257.96501188530505</v>
      </c>
      <c r="AY26" s="12">
        <f t="shared" si="22"/>
        <v>257.96501188530505</v>
      </c>
      <c r="AZ26" s="12">
        <f t="shared" si="22"/>
        <v>257.96501188530505</v>
      </c>
      <c r="BA26" s="12">
        <f t="shared" si="22"/>
        <v>257.96501188530505</v>
      </c>
      <c r="BB26" s="12">
        <f t="shared" si="22"/>
        <v>257.96501188530505</v>
      </c>
    </row>
    <row r="27" spans="1:54" x14ac:dyDescent="0.3">
      <c r="A27" t="s">
        <v>24</v>
      </c>
      <c r="B27" s="5">
        <v>114.3217708</v>
      </c>
      <c r="C27" s="5">
        <v>124.9854807</v>
      </c>
      <c r="D27" s="5">
        <v>106.85473229999999</v>
      </c>
      <c r="E27" s="5">
        <v>122.6756602</v>
      </c>
      <c r="F27" s="8">
        <f>E27*('Shipping EU Ref'!H26/'Shipping EU Ref'!G26)</f>
        <v>138.74468865875218</v>
      </c>
      <c r="G27" s="8">
        <f>F27*('Shipping EU Ref'!I26/'Shipping EU Ref'!H26)</f>
        <v>154.81371711750438</v>
      </c>
      <c r="H27" s="8">
        <f>G27*('Shipping EU Ref'!J26/'Shipping EU Ref'!I26)</f>
        <v>170.88274557625655</v>
      </c>
      <c r="I27" s="8">
        <f>H27*('Shipping EU Ref'!K26/'Shipping EU Ref'!J26)</f>
        <v>186.95177403500873</v>
      </c>
      <c r="J27" s="8">
        <f>I27*('Shipping EU Ref'!L26/'Shipping EU Ref'!K26)</f>
        <v>195.1518472633453</v>
      </c>
      <c r="K27" s="8">
        <f>J27*('Shipping EU Ref'!M26/'Shipping EU Ref'!L26)</f>
        <v>203.35192049168188</v>
      </c>
      <c r="L27" s="8">
        <f>K27*('Shipping EU Ref'!N26/'Shipping EU Ref'!M26)</f>
        <v>211.55199372001846</v>
      </c>
      <c r="M27" s="8">
        <f>L27*('Shipping EU Ref'!O26/'Shipping EU Ref'!N26)</f>
        <v>219.75206694835504</v>
      </c>
      <c r="N27" s="8">
        <f>M27*('Shipping EU Ref'!P26/'Shipping EU Ref'!O26)</f>
        <v>227.95214017669159</v>
      </c>
      <c r="O27" s="8">
        <f>N27*('Shipping EU Ref'!Q26/'Shipping EU Ref'!P26)</f>
        <v>233.09616864731331</v>
      </c>
      <c r="P27" s="8">
        <f>O27*('Shipping EU Ref'!R26/'Shipping EU Ref'!Q26)</f>
        <v>238.240197117935</v>
      </c>
      <c r="Q27" s="8">
        <f>P27*('Shipping EU Ref'!S26/'Shipping EU Ref'!R26)</f>
        <v>243.38422558855672</v>
      </c>
      <c r="R27" s="8">
        <f>Q27*('Shipping EU Ref'!T26/'Shipping EU Ref'!S26)</f>
        <v>248.52825405917844</v>
      </c>
      <c r="S27" s="8">
        <f>R27*('Shipping EU Ref'!U26/'Shipping EU Ref'!T26)</f>
        <v>253.67228252980016</v>
      </c>
      <c r="T27" s="8">
        <f>S27*('Shipping EU Ref'!V26/'Shipping EU Ref'!U26)</f>
        <v>258.43666573384337</v>
      </c>
      <c r="U27" s="8">
        <f>T27*('Shipping EU Ref'!W26/'Shipping EU Ref'!V26)</f>
        <v>263.20104893788658</v>
      </c>
      <c r="V27" s="8">
        <f>U27*('Shipping EU Ref'!X26/'Shipping EU Ref'!W26)</f>
        <v>267.9654321419298</v>
      </c>
      <c r="W27" s="8">
        <f>V27*('Shipping EU Ref'!Y26/'Shipping EU Ref'!X26)</f>
        <v>272.72981534597301</v>
      </c>
      <c r="X27" s="8">
        <f>W27*('Shipping EU Ref'!Z26/'Shipping EU Ref'!Y26)</f>
        <v>277.49419855001622</v>
      </c>
      <c r="Y27" s="8">
        <f>X27*('Shipping EU Ref'!AA26/'Shipping EU Ref'!Z26)</f>
        <v>281.4743087513109</v>
      </c>
      <c r="Z27" s="8">
        <f>Y27*('Shipping EU Ref'!AB26/'Shipping EU Ref'!AA26)</f>
        <v>285.45441895260558</v>
      </c>
      <c r="AA27" s="8">
        <f>Z27*('Shipping EU Ref'!AC26/'Shipping EU Ref'!AB26)</f>
        <v>289.43452915390026</v>
      </c>
      <c r="AB27" s="8">
        <f>AA27*('Shipping EU Ref'!AD26/'Shipping EU Ref'!AC26)</f>
        <v>293.41463935519494</v>
      </c>
      <c r="AC27" s="8">
        <f>AB27*('Shipping EU Ref'!AE26/'Shipping EU Ref'!AD26)</f>
        <v>297.39474955648956</v>
      </c>
      <c r="AD27" s="8">
        <f>AC27*('Shipping EU Ref'!AF26/'Shipping EU Ref'!AE26)</f>
        <v>299.13495381622414</v>
      </c>
      <c r="AE27" s="8">
        <f>AD27*('Shipping EU Ref'!AG26/'Shipping EU Ref'!AF26)</f>
        <v>300.87515807595872</v>
      </c>
      <c r="AF27" s="8">
        <f>AE27*('Shipping EU Ref'!AH26/'Shipping EU Ref'!AG26)</f>
        <v>302.61536233569325</v>
      </c>
      <c r="AG27" s="8">
        <f>AF27*('Shipping EU Ref'!AI26/'Shipping EU Ref'!AH26)</f>
        <v>304.35556659542777</v>
      </c>
      <c r="AH27" s="8">
        <f>AG27*('Shipping EU Ref'!AJ26/'Shipping EU Ref'!AI26)</f>
        <v>306.09577085516224</v>
      </c>
      <c r="AI27" s="12">
        <f t="shared" ref="AI27:BB27" si="23">AH27</f>
        <v>306.09577085516224</v>
      </c>
      <c r="AJ27" s="12">
        <f t="shared" si="23"/>
        <v>306.09577085516224</v>
      </c>
      <c r="AK27" s="12">
        <f t="shared" si="23"/>
        <v>306.09577085516224</v>
      </c>
      <c r="AL27" s="12">
        <f t="shared" si="23"/>
        <v>306.09577085516224</v>
      </c>
      <c r="AM27" s="12">
        <f t="shared" si="23"/>
        <v>306.09577085516224</v>
      </c>
      <c r="AN27" s="12">
        <f t="shared" si="23"/>
        <v>306.09577085516224</v>
      </c>
      <c r="AO27" s="12">
        <f t="shared" si="23"/>
        <v>306.09577085516224</v>
      </c>
      <c r="AP27" s="12">
        <f t="shared" si="23"/>
        <v>306.09577085516224</v>
      </c>
      <c r="AQ27" s="12">
        <f t="shared" si="23"/>
        <v>306.09577085516224</v>
      </c>
      <c r="AR27" s="12">
        <f t="shared" si="23"/>
        <v>306.09577085516224</v>
      </c>
      <c r="AS27" s="12">
        <f t="shared" si="23"/>
        <v>306.09577085516224</v>
      </c>
      <c r="AT27" s="12">
        <f t="shared" si="23"/>
        <v>306.09577085516224</v>
      </c>
      <c r="AU27" s="12">
        <f t="shared" si="23"/>
        <v>306.09577085516224</v>
      </c>
      <c r="AV27" s="12">
        <f t="shared" si="23"/>
        <v>306.09577085516224</v>
      </c>
      <c r="AW27" s="12">
        <f t="shared" si="23"/>
        <v>306.09577085516224</v>
      </c>
      <c r="AX27" s="12">
        <f t="shared" si="23"/>
        <v>306.09577085516224</v>
      </c>
      <c r="AY27" s="12">
        <f t="shared" si="23"/>
        <v>306.09577085516224</v>
      </c>
      <c r="AZ27" s="12">
        <f t="shared" si="23"/>
        <v>306.09577085516224</v>
      </c>
      <c r="BA27" s="12">
        <f t="shared" si="23"/>
        <v>306.09577085516224</v>
      </c>
      <c r="BB27" s="12">
        <f t="shared" si="23"/>
        <v>306.09577085516224</v>
      </c>
    </row>
    <row r="28" spans="1:54" x14ac:dyDescent="0.3">
      <c r="A28" t="s">
        <v>28</v>
      </c>
      <c r="B28" s="5">
        <v>105.1623149</v>
      </c>
      <c r="C28" s="5">
        <v>108.5251818</v>
      </c>
      <c r="D28" s="5">
        <v>113.84435740000001</v>
      </c>
      <c r="E28" s="5">
        <v>95.726454070000003</v>
      </c>
      <c r="F28" s="8">
        <f>E28*('Shipping EU Ref'!H27/'Shipping EU Ref'!G27)</f>
        <v>103.96043459627074</v>
      </c>
      <c r="G28" s="8">
        <f>F28*('Shipping EU Ref'!I27/'Shipping EU Ref'!H27)</f>
        <v>112.19441512254147</v>
      </c>
      <c r="H28" s="8">
        <f>G28*('Shipping EU Ref'!J27/'Shipping EU Ref'!I27)</f>
        <v>120.4283956488122</v>
      </c>
      <c r="I28" s="8">
        <f>H28*('Shipping EU Ref'!K27/'Shipping EU Ref'!J27)</f>
        <v>128.66237617508293</v>
      </c>
      <c r="J28" s="8">
        <f>I28*('Shipping EU Ref'!L27/'Shipping EU Ref'!K27)</f>
        <v>130.34736195758344</v>
      </c>
      <c r="K28" s="8">
        <f>J28*('Shipping EU Ref'!M27/'Shipping EU Ref'!L27)</f>
        <v>132.03234774008394</v>
      </c>
      <c r="L28" s="8">
        <f>K28*('Shipping EU Ref'!N27/'Shipping EU Ref'!M27)</f>
        <v>133.71733352258445</v>
      </c>
      <c r="M28" s="8">
        <f>L28*('Shipping EU Ref'!O27/'Shipping EU Ref'!N27)</f>
        <v>135.40231930508497</v>
      </c>
      <c r="N28" s="8">
        <f>M28*('Shipping EU Ref'!P27/'Shipping EU Ref'!O27)</f>
        <v>137.08730508758555</v>
      </c>
      <c r="O28" s="8">
        <f>N28*('Shipping EU Ref'!Q27/'Shipping EU Ref'!P27)</f>
        <v>139.22066795950954</v>
      </c>
      <c r="P28" s="8">
        <f>O28*('Shipping EU Ref'!R27/'Shipping EU Ref'!Q27)</f>
        <v>141.35403083143353</v>
      </c>
      <c r="Q28" s="8">
        <f>P28*('Shipping EU Ref'!S27/'Shipping EU Ref'!R27)</f>
        <v>143.48739370335755</v>
      </c>
      <c r="R28" s="8">
        <f>Q28*('Shipping EU Ref'!T27/'Shipping EU Ref'!S27)</f>
        <v>145.62075657528155</v>
      </c>
      <c r="S28" s="8">
        <f>R28*('Shipping EU Ref'!U27/'Shipping EU Ref'!T27)</f>
        <v>147.75411944720554</v>
      </c>
      <c r="T28" s="8">
        <f>S28*('Shipping EU Ref'!V27/'Shipping EU Ref'!U27)</f>
        <v>150.16650799294169</v>
      </c>
      <c r="U28" s="8">
        <f>T28*('Shipping EU Ref'!W27/'Shipping EU Ref'!V27)</f>
        <v>152.57889653867784</v>
      </c>
      <c r="V28" s="8">
        <f>U28*('Shipping EU Ref'!X27/'Shipping EU Ref'!W27)</f>
        <v>154.99128508441396</v>
      </c>
      <c r="W28" s="8">
        <f>V28*('Shipping EU Ref'!Y27/'Shipping EU Ref'!X27)</f>
        <v>157.40367363015008</v>
      </c>
      <c r="X28" s="8">
        <f>W28*('Shipping EU Ref'!Z27/'Shipping EU Ref'!Y27)</f>
        <v>159.81606217588617</v>
      </c>
      <c r="Y28" s="8">
        <f>X28*('Shipping EU Ref'!AA27/'Shipping EU Ref'!Z27)</f>
        <v>161.90950960059121</v>
      </c>
      <c r="Z28" s="8">
        <f>Y28*('Shipping EU Ref'!AB27/'Shipping EU Ref'!AA27)</f>
        <v>164.00295702529624</v>
      </c>
      <c r="AA28" s="8">
        <f>Z28*('Shipping EU Ref'!AC27/'Shipping EU Ref'!AB27)</f>
        <v>166.09640445000127</v>
      </c>
      <c r="AB28" s="8">
        <f>AA28*('Shipping EU Ref'!AD27/'Shipping EU Ref'!AC27)</f>
        <v>168.18985187470628</v>
      </c>
      <c r="AC28" s="8">
        <f>AB28*('Shipping EU Ref'!AE27/'Shipping EU Ref'!AD27)</f>
        <v>170.28329929941134</v>
      </c>
      <c r="AD28" s="8">
        <f>AC28*('Shipping EU Ref'!AF27/'Shipping EU Ref'!AE27)</f>
        <v>172.25149167370682</v>
      </c>
      <c r="AE28" s="8">
        <f>AD28*('Shipping EU Ref'!AG27/'Shipping EU Ref'!AF27)</f>
        <v>174.21968404800234</v>
      </c>
      <c r="AF28" s="8">
        <f>AE28*('Shipping EU Ref'!AH27/'Shipping EU Ref'!AG27)</f>
        <v>176.18787642229785</v>
      </c>
      <c r="AG28" s="8">
        <f>AF28*('Shipping EU Ref'!AI27/'Shipping EU Ref'!AH27)</f>
        <v>178.15606879659336</v>
      </c>
      <c r="AH28" s="8">
        <f>AG28*('Shipping EU Ref'!AJ27/'Shipping EU Ref'!AI27)</f>
        <v>180.1242611708889</v>
      </c>
      <c r="AI28" s="12">
        <f t="shared" ref="AI28:BB28" si="24">AH28</f>
        <v>180.1242611708889</v>
      </c>
      <c r="AJ28" s="12">
        <f t="shared" si="24"/>
        <v>180.1242611708889</v>
      </c>
      <c r="AK28" s="12">
        <f t="shared" si="24"/>
        <v>180.1242611708889</v>
      </c>
      <c r="AL28" s="12">
        <f t="shared" si="24"/>
        <v>180.1242611708889</v>
      </c>
      <c r="AM28" s="12">
        <f t="shared" si="24"/>
        <v>180.1242611708889</v>
      </c>
      <c r="AN28" s="12">
        <f t="shared" si="24"/>
        <v>180.1242611708889</v>
      </c>
      <c r="AO28" s="12">
        <f t="shared" si="24"/>
        <v>180.1242611708889</v>
      </c>
      <c r="AP28" s="12">
        <f t="shared" si="24"/>
        <v>180.1242611708889</v>
      </c>
      <c r="AQ28" s="12">
        <f t="shared" si="24"/>
        <v>180.1242611708889</v>
      </c>
      <c r="AR28" s="12">
        <f t="shared" si="24"/>
        <v>180.1242611708889</v>
      </c>
      <c r="AS28" s="12">
        <f t="shared" si="24"/>
        <v>180.1242611708889</v>
      </c>
      <c r="AT28" s="12">
        <f t="shared" si="24"/>
        <v>180.1242611708889</v>
      </c>
      <c r="AU28" s="12">
        <f t="shared" si="24"/>
        <v>180.1242611708889</v>
      </c>
      <c r="AV28" s="12">
        <f t="shared" si="24"/>
        <v>180.1242611708889</v>
      </c>
      <c r="AW28" s="12">
        <f t="shared" si="24"/>
        <v>180.1242611708889</v>
      </c>
      <c r="AX28" s="12">
        <f t="shared" si="24"/>
        <v>180.1242611708889</v>
      </c>
      <c r="AY28" s="12">
        <f t="shared" si="24"/>
        <v>180.1242611708889</v>
      </c>
      <c r="AZ28" s="12">
        <f t="shared" si="24"/>
        <v>180.1242611708889</v>
      </c>
      <c r="BA28" s="12">
        <f t="shared" si="24"/>
        <v>180.1242611708889</v>
      </c>
      <c r="BB28" s="12">
        <f t="shared" si="24"/>
        <v>180.1242611708889</v>
      </c>
    </row>
    <row r="29" spans="1:54" x14ac:dyDescent="0.3">
      <c r="A29" t="s">
        <v>25</v>
      </c>
      <c r="B29" s="5">
        <v>88.690624970000002</v>
      </c>
      <c r="C29" s="5">
        <v>80.70319954</v>
      </c>
      <c r="D29" s="5">
        <v>68.71775384</v>
      </c>
      <c r="E29" s="5">
        <v>78.994529720000003</v>
      </c>
      <c r="F29" s="8">
        <f>E29*('Shipping EU Ref'!H28/'Shipping EU Ref'!G28)</f>
        <v>86.584884137546894</v>
      </c>
      <c r="G29" s="8">
        <f>F29*('Shipping EU Ref'!I28/'Shipping EU Ref'!H28)</f>
        <v>94.175238555093784</v>
      </c>
      <c r="H29" s="8">
        <f>G29*('Shipping EU Ref'!J28/'Shipping EU Ref'!I28)</f>
        <v>101.76559297264066</v>
      </c>
      <c r="I29" s="8">
        <f>H29*('Shipping EU Ref'!K28/'Shipping EU Ref'!J28)</f>
        <v>109.35594739018757</v>
      </c>
      <c r="J29" s="8">
        <f>I29*('Shipping EU Ref'!L28/'Shipping EU Ref'!K28)</f>
        <v>110.03292415938176</v>
      </c>
      <c r="K29" s="8">
        <f>J29*('Shipping EU Ref'!M28/'Shipping EU Ref'!L28)</f>
        <v>110.70990092857595</v>
      </c>
      <c r="L29" s="8">
        <f>K29*('Shipping EU Ref'!N28/'Shipping EU Ref'!M28)</f>
        <v>111.38687769777013</v>
      </c>
      <c r="M29" s="8">
        <f>L29*('Shipping EU Ref'!O28/'Shipping EU Ref'!N28)</f>
        <v>112.06385446696432</v>
      </c>
      <c r="N29" s="8">
        <f>M29*('Shipping EU Ref'!P28/'Shipping EU Ref'!O28)</f>
        <v>112.74083123615847</v>
      </c>
      <c r="O29" s="8">
        <f>N29*('Shipping EU Ref'!Q28/'Shipping EU Ref'!P28)</f>
        <v>113.38085757971953</v>
      </c>
      <c r="P29" s="8">
        <f>O29*('Shipping EU Ref'!R28/'Shipping EU Ref'!Q28)</f>
        <v>114.02088392328061</v>
      </c>
      <c r="Q29" s="8">
        <f>P29*('Shipping EU Ref'!S28/'Shipping EU Ref'!R28)</f>
        <v>114.66091026684167</v>
      </c>
      <c r="R29" s="8">
        <f>Q29*('Shipping EU Ref'!T28/'Shipping EU Ref'!S28)</f>
        <v>115.30093661040273</v>
      </c>
      <c r="S29" s="8">
        <f>R29*('Shipping EU Ref'!U28/'Shipping EU Ref'!T28)</f>
        <v>115.9409629539638</v>
      </c>
      <c r="T29" s="8">
        <f>S29*('Shipping EU Ref'!V28/'Shipping EU Ref'!U28)</f>
        <v>116.32562647211302</v>
      </c>
      <c r="U29" s="8">
        <f>T29*('Shipping EU Ref'!W28/'Shipping EU Ref'!V28)</f>
        <v>116.71028999026223</v>
      </c>
      <c r="V29" s="8">
        <f>U29*('Shipping EU Ref'!X28/'Shipping EU Ref'!W28)</f>
        <v>117.09495350841144</v>
      </c>
      <c r="W29" s="8">
        <f>V29*('Shipping EU Ref'!Y28/'Shipping EU Ref'!X28)</f>
        <v>117.47961702656065</v>
      </c>
      <c r="X29" s="8">
        <f>W29*('Shipping EU Ref'!Z28/'Shipping EU Ref'!Y28)</f>
        <v>117.86428054470989</v>
      </c>
      <c r="Y29" s="8">
        <f>X29*('Shipping EU Ref'!AA28/'Shipping EU Ref'!Z28)</f>
        <v>118.13011816231625</v>
      </c>
      <c r="Z29" s="8">
        <f>Y29*('Shipping EU Ref'!AB28/'Shipping EU Ref'!AA28)</f>
        <v>118.39595577992262</v>
      </c>
      <c r="AA29" s="8">
        <f>Z29*('Shipping EU Ref'!AC28/'Shipping EU Ref'!AB28)</f>
        <v>118.66179339752898</v>
      </c>
      <c r="AB29" s="8">
        <f>AA29*('Shipping EU Ref'!AD28/'Shipping EU Ref'!AC28)</f>
        <v>118.92763101513533</v>
      </c>
      <c r="AC29" s="8">
        <f>AB29*('Shipping EU Ref'!AE28/'Shipping EU Ref'!AD28)</f>
        <v>119.19346863274173</v>
      </c>
      <c r="AD29" s="8">
        <f>AC29*('Shipping EU Ref'!AF28/'Shipping EU Ref'!AE28)</f>
        <v>119.21244295478664</v>
      </c>
      <c r="AE29" s="8">
        <f>AD29*('Shipping EU Ref'!AG28/'Shipping EU Ref'!AF28)</f>
        <v>119.23141727683156</v>
      </c>
      <c r="AF29" s="8">
        <f>AE29*('Shipping EU Ref'!AH28/'Shipping EU Ref'!AG28)</f>
        <v>119.25039159887649</v>
      </c>
      <c r="AG29" s="8">
        <f>AF29*('Shipping EU Ref'!AI28/'Shipping EU Ref'!AH28)</f>
        <v>119.26936592092142</v>
      </c>
      <c r="AH29" s="8">
        <f>AG29*('Shipping EU Ref'!AJ28/'Shipping EU Ref'!AI28)</f>
        <v>119.28834024296636</v>
      </c>
      <c r="AI29" s="12">
        <f t="shared" ref="AI29:BB29" si="25">AH29</f>
        <v>119.28834024296636</v>
      </c>
      <c r="AJ29" s="12">
        <f t="shared" si="25"/>
        <v>119.28834024296636</v>
      </c>
      <c r="AK29" s="12">
        <f t="shared" si="25"/>
        <v>119.28834024296636</v>
      </c>
      <c r="AL29" s="12">
        <f t="shared" si="25"/>
        <v>119.28834024296636</v>
      </c>
      <c r="AM29" s="12">
        <f t="shared" si="25"/>
        <v>119.28834024296636</v>
      </c>
      <c r="AN29" s="12">
        <f t="shared" si="25"/>
        <v>119.28834024296636</v>
      </c>
      <c r="AO29" s="12">
        <f t="shared" si="25"/>
        <v>119.28834024296636</v>
      </c>
      <c r="AP29" s="12">
        <f t="shared" si="25"/>
        <v>119.28834024296636</v>
      </c>
      <c r="AQ29" s="12">
        <f t="shared" si="25"/>
        <v>119.28834024296636</v>
      </c>
      <c r="AR29" s="12">
        <f t="shared" si="25"/>
        <v>119.28834024296636</v>
      </c>
      <c r="AS29" s="12">
        <f t="shared" si="25"/>
        <v>119.28834024296636</v>
      </c>
      <c r="AT29" s="12">
        <f t="shared" si="25"/>
        <v>119.28834024296636</v>
      </c>
      <c r="AU29" s="12">
        <f t="shared" si="25"/>
        <v>119.28834024296636</v>
      </c>
      <c r="AV29" s="12">
        <f t="shared" si="25"/>
        <v>119.28834024296636</v>
      </c>
      <c r="AW29" s="12">
        <f t="shared" si="25"/>
        <v>119.28834024296636</v>
      </c>
      <c r="AX29" s="12">
        <f t="shared" si="25"/>
        <v>119.28834024296636</v>
      </c>
      <c r="AY29" s="12">
        <f t="shared" si="25"/>
        <v>119.28834024296636</v>
      </c>
      <c r="AZ29" s="12">
        <f t="shared" si="25"/>
        <v>119.28834024296636</v>
      </c>
      <c r="BA29" s="12">
        <f t="shared" si="25"/>
        <v>119.28834024296636</v>
      </c>
      <c r="BB29" s="12">
        <f t="shared" si="25"/>
        <v>119.28834024296636</v>
      </c>
    </row>
    <row r="30" spans="1:54" x14ac:dyDescent="0.3">
      <c r="A30" t="s">
        <v>26</v>
      </c>
      <c r="B30" s="5">
        <v>0.77800000000000002</v>
      </c>
      <c r="C30" s="5">
        <v>0.93700000000000006</v>
      </c>
      <c r="D30" s="5">
        <v>0.83399999999999996</v>
      </c>
      <c r="E30" s="5">
        <v>0.83899999999999997</v>
      </c>
      <c r="F30" s="16">
        <f>E30*('Shipping EU Ref'!H62/'Shipping EU Ref'!G62)</f>
        <v>0.85798856464793871</v>
      </c>
      <c r="G30" s="16">
        <f>F30*('Shipping EU Ref'!I62/'Shipping EU Ref'!H62)</f>
        <v>0.87697712929587757</v>
      </c>
      <c r="H30" s="16">
        <f>G30*('Shipping EU Ref'!J62/'Shipping EU Ref'!I62)</f>
        <v>0.89596569394381631</v>
      </c>
      <c r="I30" s="16">
        <f>H30*('Shipping EU Ref'!K62/'Shipping EU Ref'!J62)</f>
        <v>0.91495425859175528</v>
      </c>
      <c r="J30" s="16">
        <f>I30*('Shipping EU Ref'!L62/'Shipping EU Ref'!K62)</f>
        <v>0.9247735351159786</v>
      </c>
      <c r="K30" s="16">
        <f>J30*('Shipping EU Ref'!M62/'Shipping EU Ref'!L62)</f>
        <v>0.9345928116402018</v>
      </c>
      <c r="L30" s="16">
        <f>K30*('Shipping EU Ref'!N62/'Shipping EU Ref'!M62)</f>
        <v>0.94441208816442512</v>
      </c>
      <c r="M30" s="16">
        <f>L30*('Shipping EU Ref'!O62/'Shipping EU Ref'!N62)</f>
        <v>0.95423136468864833</v>
      </c>
      <c r="N30" s="16">
        <f>M30*('Shipping EU Ref'!P62/'Shipping EU Ref'!O62)</f>
        <v>0.96405064121287132</v>
      </c>
      <c r="O30" s="16">
        <f>N30*('Shipping EU Ref'!Q62/'Shipping EU Ref'!P62)</f>
        <v>0.97028394970277143</v>
      </c>
      <c r="P30" s="16">
        <f>O30*('Shipping EU Ref'!R62/'Shipping EU Ref'!Q62)</f>
        <v>0.97651725819267132</v>
      </c>
      <c r="Q30" s="16">
        <f>P30*('Shipping EU Ref'!S62/'Shipping EU Ref'!R62)</f>
        <v>0.98275056668257132</v>
      </c>
      <c r="R30" s="16">
        <f>Q30*('Shipping EU Ref'!T62/'Shipping EU Ref'!S62)</f>
        <v>0.98898387517247122</v>
      </c>
      <c r="S30" s="16">
        <f>R30*('Shipping EU Ref'!U62/'Shipping EU Ref'!T62)</f>
        <v>0.99521718366237144</v>
      </c>
      <c r="T30" s="16">
        <f>S30*('Shipping EU Ref'!V62/'Shipping EU Ref'!U62)</f>
        <v>1.002240202559862</v>
      </c>
      <c r="U30" s="16">
        <f>T30*('Shipping EU Ref'!W62/'Shipping EU Ref'!V62)</f>
        <v>1.0092632214573527</v>
      </c>
      <c r="V30" s="16">
        <f>U30*('Shipping EU Ref'!X62/'Shipping EU Ref'!W62)</f>
        <v>1.0162862403548432</v>
      </c>
      <c r="W30" s="16">
        <f>V30*('Shipping EU Ref'!Y62/'Shipping EU Ref'!X62)</f>
        <v>1.0233092592523336</v>
      </c>
      <c r="X30" s="16">
        <f>W30*('Shipping EU Ref'!Z62/'Shipping EU Ref'!Y62)</f>
        <v>1.0303322781498243</v>
      </c>
      <c r="Y30" s="16">
        <f>X30*('Shipping EU Ref'!AA62/'Shipping EU Ref'!Z62)</f>
        <v>1.0346833363973451</v>
      </c>
      <c r="Z30" s="16">
        <f>Y30*('Shipping EU Ref'!AB62/'Shipping EU Ref'!AA62)</f>
        <v>1.0390343946448659</v>
      </c>
      <c r="AA30" s="16">
        <f>Z30*('Shipping EU Ref'!AC62/'Shipping EU Ref'!AB62)</f>
        <v>1.0433854528923867</v>
      </c>
      <c r="AB30" s="16">
        <f>AA30*('Shipping EU Ref'!AD62/'Shipping EU Ref'!AC62)</f>
        <v>1.0477365111399075</v>
      </c>
      <c r="AC30" s="16">
        <f>AB30*('Shipping EU Ref'!AE62/'Shipping EU Ref'!AD62)</f>
        <v>1.0520875693874283</v>
      </c>
      <c r="AD30" s="16">
        <f>AC30*('Shipping EU Ref'!AF62/'Shipping EU Ref'!AE62)</f>
        <v>1.0562710733779679</v>
      </c>
      <c r="AE30" s="16">
        <f>AD30*('Shipping EU Ref'!AG62/'Shipping EU Ref'!AF62)</f>
        <v>1.0604545773685075</v>
      </c>
      <c r="AF30" s="16">
        <f>AE30*('Shipping EU Ref'!AH62/'Shipping EU Ref'!AG62)</f>
        <v>1.064638081359047</v>
      </c>
      <c r="AG30" s="16">
        <f>AF30*('Shipping EU Ref'!AI62/'Shipping EU Ref'!AH62)</f>
        <v>1.0688215853495866</v>
      </c>
      <c r="AH30" s="16">
        <f>AG30*('Shipping EU Ref'!AJ62/'Shipping EU Ref'!AI62)</f>
        <v>1.073005089340126</v>
      </c>
      <c r="AI30" s="12">
        <f t="shared" ref="AI30:BB30" si="26">AH30</f>
        <v>1.073005089340126</v>
      </c>
      <c r="AJ30" s="12">
        <f t="shared" si="26"/>
        <v>1.073005089340126</v>
      </c>
      <c r="AK30" s="12">
        <f t="shared" si="26"/>
        <v>1.073005089340126</v>
      </c>
      <c r="AL30" s="12">
        <f t="shared" si="26"/>
        <v>1.073005089340126</v>
      </c>
      <c r="AM30" s="12">
        <f t="shared" si="26"/>
        <v>1.073005089340126</v>
      </c>
      <c r="AN30" s="12">
        <f t="shared" si="26"/>
        <v>1.073005089340126</v>
      </c>
      <c r="AO30" s="12">
        <f t="shared" si="26"/>
        <v>1.073005089340126</v>
      </c>
      <c r="AP30" s="12">
        <f t="shared" si="26"/>
        <v>1.073005089340126</v>
      </c>
      <c r="AQ30" s="12">
        <f t="shared" si="26"/>
        <v>1.073005089340126</v>
      </c>
      <c r="AR30" s="12">
        <f t="shared" si="26"/>
        <v>1.073005089340126</v>
      </c>
      <c r="AS30" s="12">
        <f t="shared" si="26"/>
        <v>1.073005089340126</v>
      </c>
      <c r="AT30" s="12">
        <f t="shared" si="26"/>
        <v>1.073005089340126</v>
      </c>
      <c r="AU30" s="12">
        <f t="shared" si="26"/>
        <v>1.073005089340126</v>
      </c>
      <c r="AV30" s="12">
        <f t="shared" si="26"/>
        <v>1.073005089340126</v>
      </c>
      <c r="AW30" s="12">
        <f t="shared" si="26"/>
        <v>1.073005089340126</v>
      </c>
      <c r="AX30" s="12">
        <f t="shared" si="26"/>
        <v>1.073005089340126</v>
      </c>
      <c r="AY30" s="12">
        <f t="shared" si="26"/>
        <v>1.073005089340126</v>
      </c>
      <c r="AZ30" s="12">
        <f t="shared" si="26"/>
        <v>1.073005089340126</v>
      </c>
      <c r="BA30" s="12">
        <f t="shared" si="26"/>
        <v>1.073005089340126</v>
      </c>
      <c r="BB30" s="12">
        <f t="shared" si="26"/>
        <v>1.073005089340126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BD0A5-7CC2-4F90-B7E8-C12C0C24D965}">
  <dimension ref="A1:AL62"/>
  <sheetViews>
    <sheetView zoomScale="90" zoomScaleNormal="90" workbookViewId="0"/>
  </sheetViews>
  <sheetFormatPr defaultRowHeight="14.4" x14ac:dyDescent="0.3"/>
  <cols>
    <col min="2" max="2" width="10.6640625" bestFit="1" customWidth="1"/>
    <col min="3" max="3" width="28.109375" bestFit="1" customWidth="1"/>
    <col min="4" max="4" width="15.77734375" bestFit="1" customWidth="1"/>
    <col min="5" max="5" width="30.109375" bestFit="1" customWidth="1"/>
  </cols>
  <sheetData>
    <row r="1" spans="1:38" x14ac:dyDescent="0.3">
      <c r="A1" t="s">
        <v>815</v>
      </c>
    </row>
    <row r="2" spans="1:38" x14ac:dyDescent="0.3">
      <c r="A2" t="s">
        <v>1</v>
      </c>
      <c r="B2" s="25" t="s">
        <v>118</v>
      </c>
      <c r="C2" s="26"/>
      <c r="D2" s="26"/>
      <c r="E2" s="26"/>
      <c r="F2" s="27">
        <v>2020</v>
      </c>
      <c r="G2" s="27">
        <v>2021</v>
      </c>
      <c r="H2" s="27">
        <v>2022</v>
      </c>
      <c r="I2" s="27">
        <v>2023</v>
      </c>
      <c r="J2" s="27">
        <v>2024</v>
      </c>
      <c r="K2" s="27">
        <v>2025</v>
      </c>
      <c r="L2" s="27">
        <v>2026</v>
      </c>
      <c r="M2" s="27">
        <v>2027</v>
      </c>
      <c r="N2" s="27">
        <v>2028</v>
      </c>
      <c r="O2" s="27">
        <v>2029</v>
      </c>
      <c r="P2" s="27">
        <v>2030</v>
      </c>
      <c r="Q2" s="27">
        <v>2031</v>
      </c>
      <c r="R2" s="27">
        <v>2032</v>
      </c>
      <c r="S2" s="27">
        <v>2033</v>
      </c>
      <c r="T2" s="27">
        <v>2034</v>
      </c>
      <c r="U2" s="27">
        <v>2035</v>
      </c>
      <c r="V2" s="27">
        <v>2036</v>
      </c>
      <c r="W2" s="27">
        <v>2037</v>
      </c>
      <c r="X2" s="27">
        <v>2038</v>
      </c>
      <c r="Y2" s="27">
        <v>2039</v>
      </c>
      <c r="Z2" s="27">
        <v>2040</v>
      </c>
      <c r="AA2" s="27">
        <v>2041</v>
      </c>
      <c r="AB2" s="27">
        <v>2042</v>
      </c>
      <c r="AC2" s="27">
        <v>2043</v>
      </c>
      <c r="AD2" s="27">
        <v>2044</v>
      </c>
      <c r="AE2" s="27">
        <v>2045</v>
      </c>
      <c r="AF2" s="27">
        <v>2046</v>
      </c>
      <c r="AG2" s="27">
        <v>2047</v>
      </c>
      <c r="AH2" s="27">
        <v>2048</v>
      </c>
      <c r="AI2" s="27">
        <v>2049</v>
      </c>
      <c r="AJ2" s="27">
        <v>2050</v>
      </c>
      <c r="AK2" s="27" t="s">
        <v>119</v>
      </c>
      <c r="AL2" s="27" t="s">
        <v>120</v>
      </c>
    </row>
    <row r="3" spans="1:38" x14ac:dyDescent="0.3">
      <c r="A3" t="str">
        <f>VLOOKUP(B3,'Country codes'!$A$1:$B$28,2,FALSE)</f>
        <v>AT</v>
      </c>
      <c r="B3" s="23" t="s">
        <v>90</v>
      </c>
      <c r="C3" s="24" t="s">
        <v>121</v>
      </c>
      <c r="D3" s="28" t="s">
        <v>208</v>
      </c>
      <c r="E3" s="29" t="s">
        <v>209</v>
      </c>
      <c r="F3" s="32">
        <v>0</v>
      </c>
      <c r="G3" s="30">
        <f>F3+(($K3-$F3)/5)</f>
        <v>0</v>
      </c>
      <c r="H3" s="30">
        <f t="shared" ref="H3:J3" si="0">G3+(($K3-$F3)/5)</f>
        <v>0</v>
      </c>
      <c r="I3" s="30">
        <f t="shared" si="0"/>
        <v>0</v>
      </c>
      <c r="J3" s="30">
        <f t="shared" si="0"/>
        <v>0</v>
      </c>
      <c r="K3" s="32">
        <v>0</v>
      </c>
      <c r="L3" s="30">
        <f>K3+(($P3-$K3)/5)</f>
        <v>0</v>
      </c>
      <c r="M3" s="30">
        <f t="shared" ref="M3:O3" si="1">L3+(($P3-$K3)/5)</f>
        <v>0</v>
      </c>
      <c r="N3" s="30">
        <f t="shared" si="1"/>
        <v>0</v>
      </c>
      <c r="O3" s="30">
        <f t="shared" si="1"/>
        <v>0</v>
      </c>
      <c r="P3" s="32">
        <v>0</v>
      </c>
      <c r="Q3" s="30">
        <f>P3+(($U3-$P3)/5)</f>
        <v>0</v>
      </c>
      <c r="R3" s="30">
        <f t="shared" ref="R3:T3" si="2">Q3+(($U3-$P3)/5)</f>
        <v>0</v>
      </c>
      <c r="S3" s="30">
        <f t="shared" si="2"/>
        <v>0</v>
      </c>
      <c r="T3" s="30">
        <f t="shared" si="2"/>
        <v>0</v>
      </c>
      <c r="U3" s="32">
        <v>0</v>
      </c>
      <c r="V3" s="30">
        <f>U3+(($Z3-$U3)/5)</f>
        <v>0</v>
      </c>
      <c r="W3" s="30">
        <f t="shared" ref="W3:Y3" si="3">V3+(($Z3-$U3)/5)</f>
        <v>0</v>
      </c>
      <c r="X3" s="30">
        <f t="shared" si="3"/>
        <v>0</v>
      </c>
      <c r="Y3" s="30">
        <f t="shared" si="3"/>
        <v>0</v>
      </c>
      <c r="Z3" s="32">
        <v>0</v>
      </c>
      <c r="AA3" s="30">
        <f>Z3+(($AE3-$Z3)/5)</f>
        <v>0</v>
      </c>
      <c r="AB3" s="30">
        <f t="shared" ref="AB3:AD3" si="4">AA3+(($AE3-$Z3)/5)</f>
        <v>0</v>
      </c>
      <c r="AC3" s="30">
        <f t="shared" si="4"/>
        <v>0</v>
      </c>
      <c r="AD3" s="30">
        <f t="shared" si="4"/>
        <v>0</v>
      </c>
      <c r="AE3" s="32">
        <v>0</v>
      </c>
      <c r="AF3" s="30">
        <f>AE3+(($AJ3-$AE3)/5)</f>
        <v>0</v>
      </c>
      <c r="AG3" s="30">
        <f t="shared" ref="AG3:AI3" si="5">AF3+(($AJ3-$AE3)/5)</f>
        <v>0</v>
      </c>
      <c r="AH3" s="30">
        <f t="shared" si="5"/>
        <v>0</v>
      </c>
      <c r="AI3" s="30">
        <f t="shared" si="5"/>
        <v>0</v>
      </c>
      <c r="AJ3" s="32">
        <v>0</v>
      </c>
      <c r="AK3" s="31" t="s">
        <v>124</v>
      </c>
      <c r="AL3" s="31" t="s">
        <v>124</v>
      </c>
    </row>
    <row r="4" spans="1:38" x14ac:dyDescent="0.3">
      <c r="A4" t="str">
        <f>VLOOKUP(B4,'Country codes'!$A$1:$B$28,2,FALSE)</f>
        <v>BE</v>
      </c>
      <c r="B4" s="23" t="s">
        <v>91</v>
      </c>
      <c r="C4" s="24" t="s">
        <v>121</v>
      </c>
      <c r="D4" s="28" t="s">
        <v>208</v>
      </c>
      <c r="E4" s="29" t="s">
        <v>209</v>
      </c>
      <c r="F4" s="32">
        <v>5387.2179253783943</v>
      </c>
      <c r="G4" s="30">
        <f t="shared" ref="G4:J4" si="6">F4+(($K4-$F4)/5)</f>
        <v>5893.7100050537792</v>
      </c>
      <c r="H4" s="30">
        <f t="shared" si="6"/>
        <v>6400.2020847291642</v>
      </c>
      <c r="I4" s="30">
        <f t="shared" si="6"/>
        <v>6906.6941644045492</v>
      </c>
      <c r="J4" s="30">
        <f t="shared" si="6"/>
        <v>7413.1862440799341</v>
      </c>
      <c r="K4" s="32">
        <v>7919.6783237553173</v>
      </c>
      <c r="L4" s="30">
        <f t="shared" ref="L4:O4" si="7">K4+(($P4-$K4)/5)</f>
        <v>7913.7843411337089</v>
      </c>
      <c r="M4" s="30">
        <f t="shared" si="7"/>
        <v>7907.8903585121006</v>
      </c>
      <c r="N4" s="30">
        <f t="shared" si="7"/>
        <v>7901.9963758904923</v>
      </c>
      <c r="O4" s="30">
        <f t="shared" si="7"/>
        <v>7896.102393268884</v>
      </c>
      <c r="P4" s="32">
        <v>7890.2084106472757</v>
      </c>
      <c r="Q4" s="30">
        <f t="shared" ref="Q4:T4" si="8">P4+(($U4-$P4)/5)</f>
        <v>7950.2571786605322</v>
      </c>
      <c r="R4" s="30">
        <f t="shared" si="8"/>
        <v>8010.3059466737886</v>
      </c>
      <c r="S4" s="30">
        <f t="shared" si="8"/>
        <v>8070.3547146870451</v>
      </c>
      <c r="T4" s="30">
        <f t="shared" si="8"/>
        <v>8130.4034827003015</v>
      </c>
      <c r="U4" s="32">
        <v>8190.4522507135562</v>
      </c>
      <c r="V4" s="30">
        <f t="shared" ref="V4:Y4" si="9">U4+(($Z4-$U4)/5)</f>
        <v>8266.3181272782476</v>
      </c>
      <c r="W4" s="30">
        <f t="shared" si="9"/>
        <v>8342.18400384294</v>
      </c>
      <c r="X4" s="30">
        <f t="shared" si="9"/>
        <v>8418.0498804076324</v>
      </c>
      <c r="Y4" s="30">
        <f t="shared" si="9"/>
        <v>8493.9157569723247</v>
      </c>
      <c r="Z4" s="32">
        <v>8569.7816335370171</v>
      </c>
      <c r="AA4" s="30">
        <f t="shared" ref="AA4:AD4" si="10">Z4+(($AE4-$Z4)/5)</f>
        <v>8667.6245600587717</v>
      </c>
      <c r="AB4" s="30">
        <f t="shared" si="10"/>
        <v>8765.4674865805264</v>
      </c>
      <c r="AC4" s="30">
        <f t="shared" si="10"/>
        <v>8863.310413102281</v>
      </c>
      <c r="AD4" s="30">
        <f t="shared" si="10"/>
        <v>8961.1533396240357</v>
      </c>
      <c r="AE4" s="32">
        <v>9058.9962661457866</v>
      </c>
      <c r="AF4" s="30">
        <f t="shared" ref="AF4:AI4" si="11">AE4+(($AJ4-$AE4)/5)</f>
        <v>9139.6913439062864</v>
      </c>
      <c r="AG4" s="30">
        <f t="shared" si="11"/>
        <v>9220.3864216667862</v>
      </c>
      <c r="AH4" s="30">
        <f t="shared" si="11"/>
        <v>9301.081499427286</v>
      </c>
      <c r="AI4" s="30">
        <f t="shared" si="11"/>
        <v>9381.7765771877857</v>
      </c>
      <c r="AJ4" s="32">
        <v>9462.4716549482855</v>
      </c>
      <c r="AK4" s="31">
        <v>3.8896762925135553</v>
      </c>
      <c r="AL4" s="31">
        <v>0.91269526357837805</v>
      </c>
    </row>
    <row r="5" spans="1:38" x14ac:dyDescent="0.3">
      <c r="A5" t="str">
        <f>VLOOKUP(B5,'Country codes'!$A$1:$B$28,2,FALSE)</f>
        <v>BG</v>
      </c>
      <c r="B5" s="23" t="s">
        <v>92</v>
      </c>
      <c r="C5" s="24" t="s">
        <v>121</v>
      </c>
      <c r="D5" s="28" t="s">
        <v>208</v>
      </c>
      <c r="E5" s="29" t="s">
        <v>209</v>
      </c>
      <c r="F5" s="32">
        <v>52.800223523841282</v>
      </c>
      <c r="G5" s="30">
        <f t="shared" ref="G5:J5" si="12">F5+(($K5-$F5)/5)</f>
        <v>57.916001468254123</v>
      </c>
      <c r="H5" s="30">
        <f t="shared" si="12"/>
        <v>63.031779412666964</v>
      </c>
      <c r="I5" s="30">
        <f t="shared" si="12"/>
        <v>68.147557357079805</v>
      </c>
      <c r="J5" s="30">
        <f t="shared" si="12"/>
        <v>73.263335301492646</v>
      </c>
      <c r="K5" s="32">
        <v>78.379113245905501</v>
      </c>
      <c r="L5" s="30">
        <f t="shared" ref="L5:O5" si="13">K5+(($P5-$K5)/5)</f>
        <v>80.683323442624015</v>
      </c>
      <c r="M5" s="30">
        <f t="shared" si="13"/>
        <v>82.98753363934253</v>
      </c>
      <c r="N5" s="30">
        <f t="shared" si="13"/>
        <v>85.291743836061045</v>
      </c>
      <c r="O5" s="30">
        <f t="shared" si="13"/>
        <v>87.595954032779559</v>
      </c>
      <c r="P5" s="32">
        <v>89.900164229498074</v>
      </c>
      <c r="Q5" s="30">
        <f t="shared" ref="Q5:T5" si="14">P5+(($U5-$P5)/5)</f>
        <v>91.778114695105273</v>
      </c>
      <c r="R5" s="30">
        <f t="shared" si="14"/>
        <v>93.656065160712473</v>
      </c>
      <c r="S5" s="30">
        <f t="shared" si="14"/>
        <v>95.534015626319672</v>
      </c>
      <c r="T5" s="30">
        <f t="shared" si="14"/>
        <v>97.411966091926871</v>
      </c>
      <c r="U5" s="32">
        <v>99.289916557534085</v>
      </c>
      <c r="V5" s="30">
        <f t="shared" ref="V5:Y5" si="15">U5+(($Z5-$U5)/5)</f>
        <v>100.87982279380796</v>
      </c>
      <c r="W5" s="30">
        <f t="shared" si="15"/>
        <v>102.46972903008184</v>
      </c>
      <c r="X5" s="30">
        <f t="shared" si="15"/>
        <v>104.05963526635571</v>
      </c>
      <c r="Y5" s="30">
        <f t="shared" si="15"/>
        <v>105.64954150262959</v>
      </c>
      <c r="Z5" s="32">
        <v>107.23944773890348</v>
      </c>
      <c r="AA5" s="30">
        <f t="shared" ref="AA5:AD5" si="16">Z5+(($AE5-$Z5)/5)</f>
        <v>109.73448555022522</v>
      </c>
      <c r="AB5" s="30">
        <f t="shared" si="16"/>
        <v>112.22952336154695</v>
      </c>
      <c r="AC5" s="30">
        <f t="shared" si="16"/>
        <v>114.72456117286869</v>
      </c>
      <c r="AD5" s="30">
        <f t="shared" si="16"/>
        <v>117.21959898419043</v>
      </c>
      <c r="AE5" s="32">
        <v>119.71463679551213</v>
      </c>
      <c r="AF5" s="30">
        <f t="shared" ref="AF5:AI5" si="17">AE5+(($AJ5-$AE5)/5)</f>
        <v>121.0538654559432</v>
      </c>
      <c r="AG5" s="30">
        <f t="shared" si="17"/>
        <v>122.39309411637426</v>
      </c>
      <c r="AH5" s="30">
        <f t="shared" si="17"/>
        <v>123.73232277680532</v>
      </c>
      <c r="AI5" s="30">
        <f t="shared" si="17"/>
        <v>125.07155143723638</v>
      </c>
      <c r="AJ5" s="32">
        <v>126.41078009766744</v>
      </c>
      <c r="AK5" s="31">
        <v>5.4659994001147849</v>
      </c>
      <c r="AL5" s="31">
        <v>1.7187890512802229</v>
      </c>
    </row>
    <row r="6" spans="1:38" x14ac:dyDescent="0.3">
      <c r="A6" t="str">
        <f>VLOOKUP(B6,'Country codes'!$A$1:$B$28,2,FALSE)</f>
        <v>CY</v>
      </c>
      <c r="B6" s="23" t="s">
        <v>93</v>
      </c>
      <c r="C6" s="24" t="s">
        <v>121</v>
      </c>
      <c r="D6" s="28" t="s">
        <v>208</v>
      </c>
      <c r="E6" s="29" t="s">
        <v>209</v>
      </c>
      <c r="F6" s="32">
        <v>185.97047239386816</v>
      </c>
      <c r="G6" s="30">
        <f t="shared" ref="G6:J6" si="18">F6+(($K6-$F6)/5)</f>
        <v>202.76503266104254</v>
      </c>
      <c r="H6" s="30">
        <f t="shared" si="18"/>
        <v>219.55959292821692</v>
      </c>
      <c r="I6" s="30">
        <f t="shared" si="18"/>
        <v>236.35415319539129</v>
      </c>
      <c r="J6" s="30">
        <f t="shared" si="18"/>
        <v>253.14871346256567</v>
      </c>
      <c r="K6" s="32">
        <v>269.9432737297401</v>
      </c>
      <c r="L6" s="30">
        <f t="shared" ref="L6:O6" si="19">K6+(($P6-$K6)/5)</f>
        <v>274.39822570671765</v>
      </c>
      <c r="M6" s="30">
        <f t="shared" si="19"/>
        <v>278.85317768369521</v>
      </c>
      <c r="N6" s="30">
        <f t="shared" si="19"/>
        <v>283.30812966067276</v>
      </c>
      <c r="O6" s="30">
        <f t="shared" si="19"/>
        <v>287.76308163765032</v>
      </c>
      <c r="P6" s="32">
        <v>292.21803361462787</v>
      </c>
      <c r="Q6" s="30">
        <f t="shared" ref="Q6:T6" si="20">P6+(($U6-$P6)/5)</f>
        <v>297.2670676435377</v>
      </c>
      <c r="R6" s="30">
        <f t="shared" si="20"/>
        <v>302.31610167244753</v>
      </c>
      <c r="S6" s="30">
        <f t="shared" si="20"/>
        <v>307.36513570135736</v>
      </c>
      <c r="T6" s="30">
        <f t="shared" si="20"/>
        <v>312.41416973026719</v>
      </c>
      <c r="U6" s="32">
        <v>317.46320375917702</v>
      </c>
      <c r="V6" s="30">
        <f t="shared" ref="V6:Y6" si="21">U6+(($Z6-$U6)/5)</f>
        <v>322.65678827436369</v>
      </c>
      <c r="W6" s="30">
        <f t="shared" si="21"/>
        <v>327.85037278955036</v>
      </c>
      <c r="X6" s="30">
        <f t="shared" si="21"/>
        <v>333.04395730473703</v>
      </c>
      <c r="Y6" s="30">
        <f t="shared" si="21"/>
        <v>338.23754181992371</v>
      </c>
      <c r="Z6" s="32">
        <v>343.43112633511026</v>
      </c>
      <c r="AA6" s="30">
        <f t="shared" ref="AA6:AD6" si="22">Z6+(($AE6-$Z6)/5)</f>
        <v>351.51487594116065</v>
      </c>
      <c r="AB6" s="30">
        <f t="shared" si="22"/>
        <v>359.59862554721104</v>
      </c>
      <c r="AC6" s="30">
        <f t="shared" si="22"/>
        <v>367.68237515326143</v>
      </c>
      <c r="AD6" s="30">
        <f t="shared" si="22"/>
        <v>375.76612475931182</v>
      </c>
      <c r="AE6" s="32">
        <v>383.8498743653621</v>
      </c>
      <c r="AF6" s="30">
        <f t="shared" ref="AF6:AI6" si="23">AE6+(($AJ6-$AE6)/5)</f>
        <v>390.55353435875691</v>
      </c>
      <c r="AG6" s="30">
        <f t="shared" si="23"/>
        <v>397.25719435215171</v>
      </c>
      <c r="AH6" s="30">
        <f t="shared" si="23"/>
        <v>403.96085434554652</v>
      </c>
      <c r="AI6" s="30">
        <f t="shared" si="23"/>
        <v>410.66451433894133</v>
      </c>
      <c r="AJ6" s="32">
        <v>417.3681743323362</v>
      </c>
      <c r="AK6" s="31">
        <v>4.6227911315499526</v>
      </c>
      <c r="AL6" s="31">
        <v>1.798321167272654</v>
      </c>
    </row>
    <row r="7" spans="1:38" x14ac:dyDescent="0.3">
      <c r="A7" t="str">
        <f>VLOOKUP(B7,'Country codes'!$A$1:$B$28,2,FALSE)</f>
        <v>CZ</v>
      </c>
      <c r="B7" s="23" t="s">
        <v>94</v>
      </c>
      <c r="C7" s="24" t="s">
        <v>121</v>
      </c>
      <c r="D7" s="28" t="s">
        <v>208</v>
      </c>
      <c r="E7" s="29" t="s">
        <v>209</v>
      </c>
      <c r="F7" s="32">
        <v>0</v>
      </c>
      <c r="G7" s="30">
        <f t="shared" ref="G7:J7" si="24">F7+(($K7-$F7)/5)</f>
        <v>0</v>
      </c>
      <c r="H7" s="30">
        <f t="shared" si="24"/>
        <v>0</v>
      </c>
      <c r="I7" s="30">
        <f t="shared" si="24"/>
        <v>0</v>
      </c>
      <c r="J7" s="30">
        <f t="shared" si="24"/>
        <v>0</v>
      </c>
      <c r="K7" s="32">
        <v>0</v>
      </c>
      <c r="L7" s="30">
        <f t="shared" ref="L7:O7" si="25">K7+(($P7-$K7)/5)</f>
        <v>0</v>
      </c>
      <c r="M7" s="30">
        <f t="shared" si="25"/>
        <v>0</v>
      </c>
      <c r="N7" s="30">
        <f t="shared" si="25"/>
        <v>0</v>
      </c>
      <c r="O7" s="30">
        <f t="shared" si="25"/>
        <v>0</v>
      </c>
      <c r="P7" s="32">
        <v>0</v>
      </c>
      <c r="Q7" s="30">
        <f t="shared" ref="Q7:T7" si="26">P7+(($U7-$P7)/5)</f>
        <v>0</v>
      </c>
      <c r="R7" s="30">
        <f t="shared" si="26"/>
        <v>0</v>
      </c>
      <c r="S7" s="30">
        <f t="shared" si="26"/>
        <v>0</v>
      </c>
      <c r="T7" s="30">
        <f t="shared" si="26"/>
        <v>0</v>
      </c>
      <c r="U7" s="32">
        <v>0</v>
      </c>
      <c r="V7" s="30">
        <f t="shared" ref="V7:Y7" si="27">U7+(($Z7-$U7)/5)</f>
        <v>0</v>
      </c>
      <c r="W7" s="30">
        <f t="shared" si="27"/>
        <v>0</v>
      </c>
      <c r="X7" s="30">
        <f t="shared" si="27"/>
        <v>0</v>
      </c>
      <c r="Y7" s="30">
        <f t="shared" si="27"/>
        <v>0</v>
      </c>
      <c r="Z7" s="32">
        <v>0</v>
      </c>
      <c r="AA7" s="30">
        <f t="shared" ref="AA7:AD7" si="28">Z7+(($AE7-$Z7)/5)</f>
        <v>0</v>
      </c>
      <c r="AB7" s="30">
        <f t="shared" si="28"/>
        <v>0</v>
      </c>
      <c r="AC7" s="30">
        <f t="shared" si="28"/>
        <v>0</v>
      </c>
      <c r="AD7" s="30">
        <f t="shared" si="28"/>
        <v>0</v>
      </c>
      <c r="AE7" s="32">
        <v>0</v>
      </c>
      <c r="AF7" s="30">
        <f t="shared" ref="AF7:AI7" si="29">AE7+(($AJ7-$AE7)/5)</f>
        <v>0</v>
      </c>
      <c r="AG7" s="30">
        <f t="shared" si="29"/>
        <v>0</v>
      </c>
      <c r="AH7" s="30">
        <f t="shared" si="29"/>
        <v>0</v>
      </c>
      <c r="AI7" s="30">
        <f t="shared" si="29"/>
        <v>0</v>
      </c>
      <c r="AJ7" s="32">
        <v>0</v>
      </c>
      <c r="AK7" s="31" t="s">
        <v>124</v>
      </c>
      <c r="AL7" s="31" t="s">
        <v>124</v>
      </c>
    </row>
    <row r="8" spans="1:38" x14ac:dyDescent="0.3">
      <c r="A8" t="str">
        <f>VLOOKUP(B8,'Country codes'!$A$1:$B$28,2,FALSE)</f>
        <v>DE</v>
      </c>
      <c r="B8" s="23" t="s">
        <v>95</v>
      </c>
      <c r="C8" s="24" t="s">
        <v>121</v>
      </c>
      <c r="D8" s="28" t="s">
        <v>208</v>
      </c>
      <c r="E8" s="29" t="s">
        <v>209</v>
      </c>
      <c r="F8" s="32">
        <v>1758.4250996244507</v>
      </c>
      <c r="G8" s="30">
        <f t="shared" ref="G8:J8" si="30">F8+(($K8-$F8)/5)</f>
        <v>1920.467250010998</v>
      </c>
      <c r="H8" s="30">
        <f t="shared" si="30"/>
        <v>2082.5094003975451</v>
      </c>
      <c r="I8" s="30">
        <f t="shared" si="30"/>
        <v>2244.5515507840923</v>
      </c>
      <c r="J8" s="30">
        <f t="shared" si="30"/>
        <v>2406.5937011706396</v>
      </c>
      <c r="K8" s="32">
        <v>2568.6358515571869</v>
      </c>
      <c r="L8" s="30">
        <f t="shared" ref="L8:O8" si="31">K8+(($P8-$K8)/5)</f>
        <v>2606.9660808792842</v>
      </c>
      <c r="M8" s="30">
        <f t="shared" si="31"/>
        <v>2645.2963102013814</v>
      </c>
      <c r="N8" s="30">
        <f t="shared" si="31"/>
        <v>2683.6265395234786</v>
      </c>
      <c r="O8" s="30">
        <f t="shared" si="31"/>
        <v>2721.9567688455759</v>
      </c>
      <c r="P8" s="32">
        <v>2760.2869981676722</v>
      </c>
      <c r="Q8" s="30">
        <f t="shared" ref="Q8:T8" si="32">P8+(($U8-$P8)/5)</f>
        <v>2795.7899662959708</v>
      </c>
      <c r="R8" s="30">
        <f t="shared" si="32"/>
        <v>2831.2929344242693</v>
      </c>
      <c r="S8" s="30">
        <f t="shared" si="32"/>
        <v>2866.7959025525679</v>
      </c>
      <c r="T8" s="30">
        <f t="shared" si="32"/>
        <v>2902.2988706808665</v>
      </c>
      <c r="U8" s="32">
        <v>2937.8018388091655</v>
      </c>
      <c r="V8" s="30">
        <f t="shared" ref="V8:Y8" si="33">U8+(($Z8-$U8)/5)</f>
        <v>2982.2460231410282</v>
      </c>
      <c r="W8" s="30">
        <f t="shared" si="33"/>
        <v>3026.690207472891</v>
      </c>
      <c r="X8" s="30">
        <f t="shared" si="33"/>
        <v>3071.1343918047537</v>
      </c>
      <c r="Y8" s="30">
        <f t="shared" si="33"/>
        <v>3115.5785761366164</v>
      </c>
      <c r="Z8" s="32">
        <v>3160.0227604684783</v>
      </c>
      <c r="AA8" s="30">
        <f t="shared" ref="AA8:AD8" si="34">Z8+(($AE8-$Z8)/5)</f>
        <v>3202.6734235069962</v>
      </c>
      <c r="AB8" s="30">
        <f t="shared" si="34"/>
        <v>3245.3240865455141</v>
      </c>
      <c r="AC8" s="30">
        <f t="shared" si="34"/>
        <v>3287.974749584032</v>
      </c>
      <c r="AD8" s="30">
        <f t="shared" si="34"/>
        <v>3330.6254126225499</v>
      </c>
      <c r="AE8" s="32">
        <v>3373.2760756610669</v>
      </c>
      <c r="AF8" s="30">
        <f t="shared" ref="AF8:AI8" si="35">AE8+(($AJ8-$AE8)/5)</f>
        <v>3411.8511383831005</v>
      </c>
      <c r="AG8" s="30">
        <f t="shared" si="35"/>
        <v>3450.4262011051342</v>
      </c>
      <c r="AH8" s="30">
        <f t="shared" si="35"/>
        <v>3489.0012638271678</v>
      </c>
      <c r="AI8" s="30">
        <f t="shared" si="35"/>
        <v>3527.5763265492014</v>
      </c>
      <c r="AJ8" s="32">
        <v>3566.1513892712342</v>
      </c>
      <c r="AK8" s="31">
        <v>4.6123688867804269</v>
      </c>
      <c r="AL8" s="31">
        <v>1.2889984427793655</v>
      </c>
    </row>
    <row r="9" spans="1:38" x14ac:dyDescent="0.3">
      <c r="A9" t="str">
        <f>VLOOKUP(B9,'Country codes'!$A$1:$B$28,2,FALSE)</f>
        <v>DK</v>
      </c>
      <c r="B9" s="23" t="s">
        <v>96</v>
      </c>
      <c r="C9" s="24" t="s">
        <v>121</v>
      </c>
      <c r="D9" s="28" t="s">
        <v>208</v>
      </c>
      <c r="E9" s="29" t="s">
        <v>209</v>
      </c>
      <c r="F9" s="32">
        <v>544.61571322096222</v>
      </c>
      <c r="G9" s="30">
        <f t="shared" ref="G9:J9" si="36">F9+(($K9-$F9)/5)</f>
        <v>598.65237494993755</v>
      </c>
      <c r="H9" s="30">
        <f t="shared" si="36"/>
        <v>652.68903667891288</v>
      </c>
      <c r="I9" s="30">
        <f t="shared" si="36"/>
        <v>706.72569840788822</v>
      </c>
      <c r="J9" s="30">
        <f t="shared" si="36"/>
        <v>760.76236013686355</v>
      </c>
      <c r="K9" s="32">
        <v>814.79902186583865</v>
      </c>
      <c r="L9" s="30">
        <f t="shared" ref="L9:O9" si="37">K9+(($P9-$K9)/5)</f>
        <v>828.72517552394311</v>
      </c>
      <c r="M9" s="30">
        <f t="shared" si="37"/>
        <v>842.65132918204756</v>
      </c>
      <c r="N9" s="30">
        <f t="shared" si="37"/>
        <v>856.57748284015202</v>
      </c>
      <c r="O9" s="30">
        <f t="shared" si="37"/>
        <v>870.50363649825647</v>
      </c>
      <c r="P9" s="32">
        <v>884.42979015636115</v>
      </c>
      <c r="Q9" s="30">
        <f t="shared" ref="Q9:T9" si="38">P9+(($U9-$P9)/5)</f>
        <v>898.82593741714936</v>
      </c>
      <c r="R9" s="30">
        <f t="shared" si="38"/>
        <v>913.22208467793757</v>
      </c>
      <c r="S9" s="30">
        <f t="shared" si="38"/>
        <v>927.61823193872578</v>
      </c>
      <c r="T9" s="30">
        <f t="shared" si="38"/>
        <v>942.014379199514</v>
      </c>
      <c r="U9" s="32">
        <v>956.41052646030232</v>
      </c>
      <c r="V9" s="30">
        <f t="shared" ref="V9:Y9" si="39">U9+(($Z9-$U9)/5)</f>
        <v>976.66867153055409</v>
      </c>
      <c r="W9" s="30">
        <f t="shared" si="39"/>
        <v>996.92681660080586</v>
      </c>
      <c r="X9" s="30">
        <f t="shared" si="39"/>
        <v>1017.1849616710576</v>
      </c>
      <c r="Y9" s="30">
        <f t="shared" si="39"/>
        <v>1037.4431067413093</v>
      </c>
      <c r="Z9" s="32">
        <v>1057.701251811561</v>
      </c>
      <c r="AA9" s="30">
        <f t="shared" ref="AA9:AD9" si="40">Z9+(($AE9-$Z9)/5)</f>
        <v>1078.1559016117296</v>
      </c>
      <c r="AB9" s="30">
        <f t="shared" si="40"/>
        <v>1098.6105514118983</v>
      </c>
      <c r="AC9" s="30">
        <f t="shared" si="40"/>
        <v>1119.065201212067</v>
      </c>
      <c r="AD9" s="30">
        <f t="shared" si="40"/>
        <v>1139.5198510122357</v>
      </c>
      <c r="AE9" s="32">
        <v>1159.9745008124041</v>
      </c>
      <c r="AF9" s="30">
        <f t="shared" ref="AF9:AI9" si="41">AE9+(($AJ9-$AE9)/5)</f>
        <v>1182.1567486256636</v>
      </c>
      <c r="AG9" s="30">
        <f t="shared" si="41"/>
        <v>1204.338996438923</v>
      </c>
      <c r="AH9" s="30">
        <f t="shared" si="41"/>
        <v>1226.5212442521824</v>
      </c>
      <c r="AI9" s="30">
        <f t="shared" si="41"/>
        <v>1248.7034920654419</v>
      </c>
      <c r="AJ9" s="32">
        <v>1270.8857398787009</v>
      </c>
      <c r="AK9" s="31">
        <v>4.9680959585895579</v>
      </c>
      <c r="AL9" s="31">
        <v>1.8291590555835846</v>
      </c>
    </row>
    <row r="10" spans="1:38" x14ac:dyDescent="0.3">
      <c r="A10" t="str">
        <f>VLOOKUP(B10,'Country codes'!$A$1:$B$28,2,FALSE)</f>
        <v>EE</v>
      </c>
      <c r="B10" s="23" t="s">
        <v>97</v>
      </c>
      <c r="C10" s="24" t="s">
        <v>121</v>
      </c>
      <c r="D10" s="28" t="s">
        <v>208</v>
      </c>
      <c r="E10" s="29" t="s">
        <v>209</v>
      </c>
      <c r="F10" s="32">
        <v>228.31223497188859</v>
      </c>
      <c r="G10" s="30">
        <f t="shared" ref="G10:J10" si="42">F10+(($K10-$F10)/5)</f>
        <v>252.64565468697526</v>
      </c>
      <c r="H10" s="30">
        <f t="shared" si="42"/>
        <v>276.97907440206194</v>
      </c>
      <c r="I10" s="30">
        <f t="shared" si="42"/>
        <v>301.31249411714862</v>
      </c>
      <c r="J10" s="30">
        <f t="shared" si="42"/>
        <v>325.64591383223529</v>
      </c>
      <c r="K10" s="32">
        <v>349.97933354732197</v>
      </c>
      <c r="L10" s="30">
        <f t="shared" ref="L10:O10" si="43">K10+(($P10-$K10)/5)</f>
        <v>353.17556850652841</v>
      </c>
      <c r="M10" s="30">
        <f t="shared" si="43"/>
        <v>356.37180346573484</v>
      </c>
      <c r="N10" s="30">
        <f t="shared" si="43"/>
        <v>359.56803842494128</v>
      </c>
      <c r="O10" s="30">
        <f t="shared" si="43"/>
        <v>362.76427338414771</v>
      </c>
      <c r="P10" s="32">
        <v>365.96050834335404</v>
      </c>
      <c r="Q10" s="30">
        <f t="shared" ref="Q10:T10" si="44">P10+(($U10-$P10)/5)</f>
        <v>369.61963219772599</v>
      </c>
      <c r="R10" s="30">
        <f t="shared" si="44"/>
        <v>373.27875605209795</v>
      </c>
      <c r="S10" s="30">
        <f t="shared" si="44"/>
        <v>376.9378799064699</v>
      </c>
      <c r="T10" s="30">
        <f t="shared" si="44"/>
        <v>380.59700376084186</v>
      </c>
      <c r="U10" s="32">
        <v>384.25612761521387</v>
      </c>
      <c r="V10" s="30">
        <f t="shared" ref="V10:Y10" si="45">U10+(($Z10-$U10)/5)</f>
        <v>387.75565099468326</v>
      </c>
      <c r="W10" s="30">
        <f t="shared" si="45"/>
        <v>391.25517437415266</v>
      </c>
      <c r="X10" s="30">
        <f t="shared" si="45"/>
        <v>394.75469775362205</v>
      </c>
      <c r="Y10" s="30">
        <f t="shared" si="45"/>
        <v>398.25422113309145</v>
      </c>
      <c r="Z10" s="32">
        <v>401.75374451256084</v>
      </c>
      <c r="AA10" s="30">
        <f t="shared" ref="AA10:AD10" si="46">Z10+(($AE10-$Z10)/5)</f>
        <v>403.28935793926337</v>
      </c>
      <c r="AB10" s="30">
        <f t="shared" si="46"/>
        <v>404.82497136596589</v>
      </c>
      <c r="AC10" s="30">
        <f t="shared" si="46"/>
        <v>406.36058479266842</v>
      </c>
      <c r="AD10" s="30">
        <f t="shared" si="46"/>
        <v>407.89619821937094</v>
      </c>
      <c r="AE10" s="32">
        <v>409.43181164607336</v>
      </c>
      <c r="AF10" s="30">
        <f t="shared" ref="AF10:AI10" si="47">AE10+(($AJ10-$AE10)/5)</f>
        <v>409.91487295215848</v>
      </c>
      <c r="AG10" s="30">
        <f t="shared" si="47"/>
        <v>410.39793425824359</v>
      </c>
      <c r="AH10" s="30">
        <f t="shared" si="47"/>
        <v>410.88099556432871</v>
      </c>
      <c r="AI10" s="30">
        <f t="shared" si="47"/>
        <v>411.36405687041383</v>
      </c>
      <c r="AJ10" s="32">
        <v>411.84711817649901</v>
      </c>
      <c r="AK10" s="31">
        <v>4.8311870845821003</v>
      </c>
      <c r="AL10" s="31">
        <v>0.59238158725785084</v>
      </c>
    </row>
    <row r="11" spans="1:38" x14ac:dyDescent="0.3">
      <c r="A11" t="str">
        <f>VLOOKUP(B11,'Country codes'!$A$1:$B$28,2,FALSE)</f>
        <v>ES</v>
      </c>
      <c r="B11" s="23" t="s">
        <v>98</v>
      </c>
      <c r="C11" s="24" t="s">
        <v>121</v>
      </c>
      <c r="D11" s="28" t="s">
        <v>208</v>
      </c>
      <c r="E11" s="29" t="s">
        <v>209</v>
      </c>
      <c r="F11" s="32">
        <v>4725.4905976305172</v>
      </c>
      <c r="G11" s="30">
        <f t="shared" ref="G11:J11" si="48">F11+(($K11-$F11)/5)</f>
        <v>5133.0151978694967</v>
      </c>
      <c r="H11" s="30">
        <f t="shared" si="48"/>
        <v>5540.5397981084761</v>
      </c>
      <c r="I11" s="30">
        <f t="shared" si="48"/>
        <v>5948.0643983474556</v>
      </c>
      <c r="J11" s="30">
        <f t="shared" si="48"/>
        <v>6355.5889985864351</v>
      </c>
      <c r="K11" s="32">
        <v>6763.1135988254155</v>
      </c>
      <c r="L11" s="30">
        <f t="shared" ref="L11:O11" si="49">K11+(($P11-$K11)/5)</f>
        <v>6800.0756523750379</v>
      </c>
      <c r="M11" s="30">
        <f t="shared" si="49"/>
        <v>6837.0377059246603</v>
      </c>
      <c r="N11" s="30">
        <f t="shared" si="49"/>
        <v>6873.9997594742827</v>
      </c>
      <c r="O11" s="30">
        <f t="shared" si="49"/>
        <v>6910.9618130239051</v>
      </c>
      <c r="P11" s="32">
        <v>6947.9238665735284</v>
      </c>
      <c r="Q11" s="30">
        <f t="shared" ref="Q11:T11" si="50">P11+(($U11-$P11)/5)</f>
        <v>7000.8131653673981</v>
      </c>
      <c r="R11" s="30">
        <f t="shared" si="50"/>
        <v>7053.7024641612679</v>
      </c>
      <c r="S11" s="30">
        <f t="shared" si="50"/>
        <v>7106.5917629551377</v>
      </c>
      <c r="T11" s="30">
        <f t="shared" si="50"/>
        <v>7159.4810617490075</v>
      </c>
      <c r="U11" s="32">
        <v>7212.3703605428782</v>
      </c>
      <c r="V11" s="30">
        <f t="shared" ref="V11:Y11" si="51">U11+(($Z11-$U11)/5)</f>
        <v>7275.6862538938049</v>
      </c>
      <c r="W11" s="30">
        <f t="shared" si="51"/>
        <v>7339.0021472447315</v>
      </c>
      <c r="X11" s="30">
        <f t="shared" si="51"/>
        <v>7402.3180405956582</v>
      </c>
      <c r="Y11" s="30">
        <f t="shared" si="51"/>
        <v>7465.6339339465849</v>
      </c>
      <c r="Z11" s="32">
        <v>7528.9498272975097</v>
      </c>
      <c r="AA11" s="30">
        <f t="shared" ref="AA11:AD11" si="52">Z11+(($AE11-$Z11)/5)</f>
        <v>7600.1358067956253</v>
      </c>
      <c r="AB11" s="30">
        <f t="shared" si="52"/>
        <v>7671.3217862937408</v>
      </c>
      <c r="AC11" s="30">
        <f t="shared" si="52"/>
        <v>7742.5077657918564</v>
      </c>
      <c r="AD11" s="30">
        <f t="shared" si="52"/>
        <v>7813.693745289972</v>
      </c>
      <c r="AE11" s="32">
        <v>7884.8797247880893</v>
      </c>
      <c r="AF11" s="30">
        <f t="shared" ref="AF11:AI11" si="53">AE11+(($AJ11-$AE11)/5)</f>
        <v>7957.6765954710045</v>
      </c>
      <c r="AG11" s="30">
        <f t="shared" si="53"/>
        <v>8030.4734661539196</v>
      </c>
      <c r="AH11" s="30">
        <f t="shared" si="53"/>
        <v>8103.2703368368348</v>
      </c>
      <c r="AI11" s="30">
        <f t="shared" si="53"/>
        <v>8176.0672075197499</v>
      </c>
      <c r="AJ11" s="32">
        <v>8248.8640782026632</v>
      </c>
      <c r="AK11" s="31">
        <v>3.9299730701944036</v>
      </c>
      <c r="AL11" s="31">
        <v>0.86185583830376</v>
      </c>
    </row>
    <row r="12" spans="1:38" x14ac:dyDescent="0.3">
      <c r="A12" t="str">
        <f>VLOOKUP(B12,'Country codes'!$A$1:$B$28,2,FALSE)</f>
        <v>FI</v>
      </c>
      <c r="B12" s="23" t="s">
        <v>99</v>
      </c>
      <c r="C12" s="24" t="s">
        <v>121</v>
      </c>
      <c r="D12" s="28" t="s">
        <v>208</v>
      </c>
      <c r="E12" s="29" t="s">
        <v>209</v>
      </c>
      <c r="F12" s="32">
        <v>237.85315265529172</v>
      </c>
      <c r="G12" s="30">
        <f t="shared" ref="G12:J12" si="54">F12+(($K12-$F12)/5)</f>
        <v>258.6145805169848</v>
      </c>
      <c r="H12" s="30">
        <f t="shared" si="54"/>
        <v>279.37600837867791</v>
      </c>
      <c r="I12" s="30">
        <f t="shared" si="54"/>
        <v>300.13743624037102</v>
      </c>
      <c r="J12" s="30">
        <f t="shared" si="54"/>
        <v>320.89886410206412</v>
      </c>
      <c r="K12" s="32">
        <v>341.66029196375717</v>
      </c>
      <c r="L12" s="30">
        <f t="shared" ref="L12:O12" si="55">K12+(($P12-$K12)/5)</f>
        <v>341.37902281508821</v>
      </c>
      <c r="M12" s="30">
        <f t="shared" si="55"/>
        <v>341.09775366641924</v>
      </c>
      <c r="N12" s="30">
        <f t="shared" si="55"/>
        <v>340.81648451775027</v>
      </c>
      <c r="O12" s="30">
        <f t="shared" si="55"/>
        <v>340.5352153690813</v>
      </c>
      <c r="P12" s="32">
        <v>340.25394622041233</v>
      </c>
      <c r="Q12" s="30">
        <f t="shared" ref="Q12:T12" si="56">P12+(($U12-$P12)/5)</f>
        <v>343.12315410937691</v>
      </c>
      <c r="R12" s="30">
        <f t="shared" si="56"/>
        <v>345.99236199834149</v>
      </c>
      <c r="S12" s="30">
        <f t="shared" si="56"/>
        <v>348.86156988730608</v>
      </c>
      <c r="T12" s="30">
        <f t="shared" si="56"/>
        <v>351.73077777627066</v>
      </c>
      <c r="U12" s="32">
        <v>354.59998566523529</v>
      </c>
      <c r="V12" s="30">
        <f t="shared" ref="V12:Y12" si="57">U12+(($Z12-$U12)/5)</f>
        <v>357.31300803028222</v>
      </c>
      <c r="W12" s="30">
        <f t="shared" si="57"/>
        <v>360.02603039532914</v>
      </c>
      <c r="X12" s="30">
        <f t="shared" si="57"/>
        <v>362.73905276037607</v>
      </c>
      <c r="Y12" s="30">
        <f t="shared" si="57"/>
        <v>365.45207512542299</v>
      </c>
      <c r="Z12" s="32">
        <v>368.16509749046986</v>
      </c>
      <c r="AA12" s="30">
        <f t="shared" ref="AA12:AD12" si="58">Z12+(($AE12-$Z12)/5)</f>
        <v>370.60724478651412</v>
      </c>
      <c r="AB12" s="30">
        <f t="shared" si="58"/>
        <v>373.04939208255837</v>
      </c>
      <c r="AC12" s="30">
        <f t="shared" si="58"/>
        <v>375.49153937860262</v>
      </c>
      <c r="AD12" s="30">
        <f t="shared" si="58"/>
        <v>377.93368667464688</v>
      </c>
      <c r="AE12" s="32">
        <v>380.37583397069119</v>
      </c>
      <c r="AF12" s="30">
        <f t="shared" ref="AF12:AI12" si="59">AE12+(($AJ12-$AE12)/5)</f>
        <v>381.39508019702578</v>
      </c>
      <c r="AG12" s="30">
        <f t="shared" si="59"/>
        <v>382.41432642336036</v>
      </c>
      <c r="AH12" s="30">
        <f t="shared" si="59"/>
        <v>383.43357264969495</v>
      </c>
      <c r="AI12" s="30">
        <f t="shared" si="59"/>
        <v>384.45281887602954</v>
      </c>
      <c r="AJ12" s="32">
        <v>385.47206510236401</v>
      </c>
      <c r="AK12" s="31">
        <v>3.6452553529683129</v>
      </c>
      <c r="AL12" s="31">
        <v>0.62583263422215651</v>
      </c>
    </row>
    <row r="13" spans="1:38" x14ac:dyDescent="0.3">
      <c r="A13" t="str">
        <f>VLOOKUP(B13,'Country codes'!$A$1:$B$28,2,FALSE)</f>
        <v>FR</v>
      </c>
      <c r="B13" s="23" t="s">
        <v>100</v>
      </c>
      <c r="C13" s="24" t="s">
        <v>121</v>
      </c>
      <c r="D13" s="28" t="s">
        <v>208</v>
      </c>
      <c r="E13" s="29" t="s">
        <v>209</v>
      </c>
      <c r="F13" s="32">
        <v>1223.0686282433094</v>
      </c>
      <c r="G13" s="30">
        <f t="shared" ref="G13:J13" si="60">F13+(($K13-$F13)/5)</f>
        <v>1331.6325771747131</v>
      </c>
      <c r="H13" s="30">
        <f t="shared" si="60"/>
        <v>1440.1965261061168</v>
      </c>
      <c r="I13" s="30">
        <f t="shared" si="60"/>
        <v>1548.7604750375206</v>
      </c>
      <c r="J13" s="30">
        <f t="shared" si="60"/>
        <v>1657.3244239689243</v>
      </c>
      <c r="K13" s="32">
        <v>1765.8883729003285</v>
      </c>
      <c r="L13" s="30">
        <f t="shared" ref="L13:O13" si="61">K13+(($P13-$K13)/5)</f>
        <v>1777.4744216368688</v>
      </c>
      <c r="M13" s="30">
        <f t="shared" si="61"/>
        <v>1789.0604703734091</v>
      </c>
      <c r="N13" s="30">
        <f t="shared" si="61"/>
        <v>1800.6465191099494</v>
      </c>
      <c r="O13" s="30">
        <f t="shared" si="61"/>
        <v>1812.2325678464897</v>
      </c>
      <c r="P13" s="32">
        <v>1823.8186165830302</v>
      </c>
      <c r="Q13" s="30">
        <f t="shared" ref="Q13:T13" si="62">P13+(($U13-$P13)/5)</f>
        <v>1831.8011037166059</v>
      </c>
      <c r="R13" s="30">
        <f t="shared" si="62"/>
        <v>1839.7835908501816</v>
      </c>
      <c r="S13" s="30">
        <f t="shared" si="62"/>
        <v>1847.7660779837572</v>
      </c>
      <c r="T13" s="30">
        <f t="shared" si="62"/>
        <v>1855.7485651173329</v>
      </c>
      <c r="U13" s="32">
        <v>1863.7310522509085</v>
      </c>
      <c r="V13" s="30">
        <f t="shared" ref="V13:Y13" si="63">U13+(($Z13-$U13)/5)</f>
        <v>1875.2563403911649</v>
      </c>
      <c r="W13" s="30">
        <f t="shared" si="63"/>
        <v>1886.7816285314213</v>
      </c>
      <c r="X13" s="30">
        <f t="shared" si="63"/>
        <v>1898.3069166716778</v>
      </c>
      <c r="Y13" s="30">
        <f t="shared" si="63"/>
        <v>1909.8322048119342</v>
      </c>
      <c r="Z13" s="32">
        <v>1921.3574929521908</v>
      </c>
      <c r="AA13" s="30">
        <f t="shared" ref="AA13:AD13" si="64">Z13+(($AE13-$Z13)/5)</f>
        <v>1933.4043867348253</v>
      </c>
      <c r="AB13" s="30">
        <f t="shared" si="64"/>
        <v>1945.4512805174597</v>
      </c>
      <c r="AC13" s="30">
        <f t="shared" si="64"/>
        <v>1957.4981743000942</v>
      </c>
      <c r="AD13" s="30">
        <f t="shared" si="64"/>
        <v>1969.5450680827287</v>
      </c>
      <c r="AE13" s="32">
        <v>1981.5919618653629</v>
      </c>
      <c r="AF13" s="30">
        <f t="shared" ref="AF13:AI13" si="65">AE13+(($AJ13-$AE13)/5)</f>
        <v>1988.8844972665652</v>
      </c>
      <c r="AG13" s="30">
        <f t="shared" si="65"/>
        <v>1996.1770326677674</v>
      </c>
      <c r="AH13" s="30">
        <f t="shared" si="65"/>
        <v>2003.4695680689697</v>
      </c>
      <c r="AI13" s="30">
        <f t="shared" si="65"/>
        <v>2010.762103470172</v>
      </c>
      <c r="AJ13" s="32">
        <v>2018.0546388713742</v>
      </c>
      <c r="AK13" s="31">
        <v>4.0765965572246321</v>
      </c>
      <c r="AL13" s="31">
        <v>0.50729014773986947</v>
      </c>
    </row>
    <row r="14" spans="1:38" x14ac:dyDescent="0.3">
      <c r="A14" t="str">
        <f>VLOOKUP(B14,'Country codes'!$A$1:$B$28,2,FALSE)</f>
        <v>GR</v>
      </c>
      <c r="B14" s="23" t="s">
        <v>101</v>
      </c>
      <c r="C14" s="24" t="s">
        <v>121</v>
      </c>
      <c r="D14" s="28" t="s">
        <v>208</v>
      </c>
      <c r="E14" s="29" t="s">
        <v>209</v>
      </c>
      <c r="F14" s="32">
        <v>1505.0880086959803</v>
      </c>
      <c r="G14" s="30">
        <f t="shared" ref="G14:J14" si="66">F14+(($K14-$F14)/5)</f>
        <v>1636.3341549832985</v>
      </c>
      <c r="H14" s="30">
        <f t="shared" si="66"/>
        <v>1767.5803012706167</v>
      </c>
      <c r="I14" s="30">
        <f t="shared" si="66"/>
        <v>1898.8264475579349</v>
      </c>
      <c r="J14" s="30">
        <f t="shared" si="66"/>
        <v>2030.0725938452531</v>
      </c>
      <c r="K14" s="32">
        <v>2161.3187401325708</v>
      </c>
      <c r="L14" s="30">
        <f t="shared" ref="L14:O14" si="67">K14+(($P14-$K14)/5)</f>
        <v>2165.088982436775</v>
      </c>
      <c r="M14" s="30">
        <f t="shared" si="67"/>
        <v>2168.8592247409792</v>
      </c>
      <c r="N14" s="30">
        <f t="shared" si="67"/>
        <v>2172.6294670451834</v>
      </c>
      <c r="O14" s="30">
        <f t="shared" si="67"/>
        <v>2176.3997093493876</v>
      </c>
      <c r="P14" s="32">
        <v>2180.1699516535923</v>
      </c>
      <c r="Q14" s="30">
        <f t="shared" ref="Q14:T14" si="68">P14+(($U14-$P14)/5)</f>
        <v>2194.2199377008974</v>
      </c>
      <c r="R14" s="30">
        <f t="shared" si="68"/>
        <v>2208.2699237482025</v>
      </c>
      <c r="S14" s="30">
        <f t="shared" si="68"/>
        <v>2222.3199097955076</v>
      </c>
      <c r="T14" s="30">
        <f t="shared" si="68"/>
        <v>2236.3698958428126</v>
      </c>
      <c r="U14" s="32">
        <v>2250.4198818901177</v>
      </c>
      <c r="V14" s="30">
        <f t="shared" ref="V14:Y14" si="69">U14+(($Z14-$U14)/5)</f>
        <v>2274.299341948541</v>
      </c>
      <c r="W14" s="30">
        <f t="shared" si="69"/>
        <v>2298.1788020069644</v>
      </c>
      <c r="X14" s="30">
        <f t="shared" si="69"/>
        <v>2322.0582620653877</v>
      </c>
      <c r="Y14" s="30">
        <f t="shared" si="69"/>
        <v>2345.937722123811</v>
      </c>
      <c r="Z14" s="32">
        <v>2369.8171821822352</v>
      </c>
      <c r="AA14" s="30">
        <f t="shared" ref="AA14:AD14" si="70">Z14+(($AE14-$Z14)/5)</f>
        <v>2390.216979980733</v>
      </c>
      <c r="AB14" s="30">
        <f t="shared" si="70"/>
        <v>2410.6167777792307</v>
      </c>
      <c r="AC14" s="30">
        <f t="shared" si="70"/>
        <v>2431.0165755777284</v>
      </c>
      <c r="AD14" s="30">
        <f t="shared" si="70"/>
        <v>2451.4163733762261</v>
      </c>
      <c r="AE14" s="32">
        <v>2471.8161711747243</v>
      </c>
      <c r="AF14" s="30">
        <f t="shared" ref="AF14:AI14" si="71">AE14+(($AJ14-$AE14)/5)</f>
        <v>2487.6717338704439</v>
      </c>
      <c r="AG14" s="30">
        <f t="shared" si="71"/>
        <v>2503.5272965661634</v>
      </c>
      <c r="AH14" s="30">
        <f t="shared" si="71"/>
        <v>2519.3828592618829</v>
      </c>
      <c r="AI14" s="30">
        <f t="shared" si="71"/>
        <v>2535.2384219576024</v>
      </c>
      <c r="AJ14" s="32">
        <v>2551.0939846533215</v>
      </c>
      <c r="AK14" s="31">
        <v>3.7750246953021094</v>
      </c>
      <c r="AL14" s="31">
        <v>0.78869114930395501</v>
      </c>
    </row>
    <row r="15" spans="1:38" x14ac:dyDescent="0.3">
      <c r="A15" t="str">
        <f>VLOOKUP(B15,'Country codes'!$A$1:$B$28,2,FALSE)</f>
        <v>HR</v>
      </c>
      <c r="B15" s="23" t="s">
        <v>102</v>
      </c>
      <c r="C15" s="24" t="s">
        <v>121</v>
      </c>
      <c r="D15" s="28" t="s">
        <v>208</v>
      </c>
      <c r="E15" s="29" t="s">
        <v>209</v>
      </c>
      <c r="F15" s="32">
        <v>3.3747278819686564</v>
      </c>
      <c r="G15" s="30">
        <f t="shared" ref="G15:J15" si="72">F15+(($K15-$F15)/5)</f>
        <v>3.6134661528711054</v>
      </c>
      <c r="H15" s="30">
        <f t="shared" si="72"/>
        <v>3.8522044237735544</v>
      </c>
      <c r="I15" s="30">
        <f t="shared" si="72"/>
        <v>4.0909426946760039</v>
      </c>
      <c r="J15" s="30">
        <f t="shared" si="72"/>
        <v>4.3296809655784534</v>
      </c>
      <c r="K15" s="32">
        <v>4.568419236480902</v>
      </c>
      <c r="L15" s="30">
        <f t="shared" ref="L15:O15" si="73">K15+(($P15-$K15)/5)</f>
        <v>4.5645612097837542</v>
      </c>
      <c r="M15" s="30">
        <f t="shared" si="73"/>
        <v>4.5607031830866065</v>
      </c>
      <c r="N15" s="30">
        <f t="shared" si="73"/>
        <v>4.5568451563894588</v>
      </c>
      <c r="O15" s="30">
        <f t="shared" si="73"/>
        <v>4.552987129692311</v>
      </c>
      <c r="P15" s="32">
        <v>4.5491291029951642</v>
      </c>
      <c r="Q15" s="30">
        <f t="shared" ref="Q15:T15" si="74">P15+(($U15-$P15)/5)</f>
        <v>4.5856256944407736</v>
      </c>
      <c r="R15" s="30">
        <f t="shared" si="74"/>
        <v>4.6221222858863831</v>
      </c>
      <c r="S15" s="30">
        <f t="shared" si="74"/>
        <v>4.6586188773319925</v>
      </c>
      <c r="T15" s="30">
        <f t="shared" si="74"/>
        <v>4.695115468777602</v>
      </c>
      <c r="U15" s="32">
        <v>4.7316120602232123</v>
      </c>
      <c r="V15" s="30">
        <f t="shared" ref="V15:Y15" si="75">U15+(($Z15-$U15)/5)</f>
        <v>4.7687866675722486</v>
      </c>
      <c r="W15" s="30">
        <f t="shared" si="75"/>
        <v>4.8059612749212848</v>
      </c>
      <c r="X15" s="30">
        <f t="shared" si="75"/>
        <v>4.843135882270321</v>
      </c>
      <c r="Y15" s="30">
        <f t="shared" si="75"/>
        <v>4.8803104896193572</v>
      </c>
      <c r="Z15" s="32">
        <v>4.9174850969683925</v>
      </c>
      <c r="AA15" s="30">
        <f t="shared" ref="AA15:AD15" si="76">Z15+(($AE15-$Z15)/5)</f>
        <v>4.9366714999618173</v>
      </c>
      <c r="AB15" s="30">
        <f t="shared" si="76"/>
        <v>4.9558579029552421</v>
      </c>
      <c r="AC15" s="30">
        <f t="shared" si="76"/>
        <v>4.9750443059486669</v>
      </c>
      <c r="AD15" s="30">
        <f t="shared" si="76"/>
        <v>4.9942307089420916</v>
      </c>
      <c r="AE15" s="32">
        <v>5.0134171119355146</v>
      </c>
      <c r="AF15" s="30">
        <f t="shared" ref="AF15:AI15" si="77">AE15+(($AJ15-$AE15)/5)</f>
        <v>5.0071969053261345</v>
      </c>
      <c r="AG15" s="30">
        <f t="shared" si="77"/>
        <v>5.0009766987167543</v>
      </c>
      <c r="AH15" s="30">
        <f t="shared" si="77"/>
        <v>4.9947564921073742</v>
      </c>
      <c r="AI15" s="30">
        <f t="shared" si="77"/>
        <v>4.988536285497994</v>
      </c>
      <c r="AJ15" s="32">
        <v>4.9823160788886147</v>
      </c>
      <c r="AK15" s="31">
        <v>3.0312455939621508</v>
      </c>
      <c r="AL15" s="31">
        <v>0.45583101469408582</v>
      </c>
    </row>
    <row r="16" spans="1:38" x14ac:dyDescent="0.3">
      <c r="A16" t="str">
        <f>VLOOKUP(B16,'Country codes'!$A$1:$B$28,2,FALSE)</f>
        <v>HU</v>
      </c>
      <c r="B16" s="23" t="s">
        <v>103</v>
      </c>
      <c r="C16" s="24" t="s">
        <v>121</v>
      </c>
      <c r="D16" s="28" t="s">
        <v>208</v>
      </c>
      <c r="E16" s="29" t="s">
        <v>209</v>
      </c>
      <c r="F16" s="32">
        <v>0</v>
      </c>
      <c r="G16" s="30">
        <f t="shared" ref="G16:J16" si="78">F16+(($K16-$F16)/5)</f>
        <v>0</v>
      </c>
      <c r="H16" s="30">
        <f t="shared" si="78"/>
        <v>0</v>
      </c>
      <c r="I16" s="30">
        <f t="shared" si="78"/>
        <v>0</v>
      </c>
      <c r="J16" s="30">
        <f t="shared" si="78"/>
        <v>0</v>
      </c>
      <c r="K16" s="32">
        <v>0</v>
      </c>
      <c r="L16" s="30">
        <f t="shared" ref="L16:O16" si="79">K16+(($P16-$K16)/5)</f>
        <v>0</v>
      </c>
      <c r="M16" s="30">
        <f t="shared" si="79"/>
        <v>0</v>
      </c>
      <c r="N16" s="30">
        <f t="shared" si="79"/>
        <v>0</v>
      </c>
      <c r="O16" s="30">
        <f t="shared" si="79"/>
        <v>0</v>
      </c>
      <c r="P16" s="32">
        <v>0</v>
      </c>
      <c r="Q16" s="30">
        <f t="shared" ref="Q16:T16" si="80">P16+(($U16-$P16)/5)</f>
        <v>0</v>
      </c>
      <c r="R16" s="30">
        <f t="shared" si="80"/>
        <v>0</v>
      </c>
      <c r="S16" s="30">
        <f t="shared" si="80"/>
        <v>0</v>
      </c>
      <c r="T16" s="30">
        <f t="shared" si="80"/>
        <v>0</v>
      </c>
      <c r="U16" s="32">
        <v>0</v>
      </c>
      <c r="V16" s="30">
        <f t="shared" ref="V16:Y16" si="81">U16+(($Z16-$U16)/5)</f>
        <v>0</v>
      </c>
      <c r="W16" s="30">
        <f t="shared" si="81"/>
        <v>0</v>
      </c>
      <c r="X16" s="30">
        <f t="shared" si="81"/>
        <v>0</v>
      </c>
      <c r="Y16" s="30">
        <f t="shared" si="81"/>
        <v>0</v>
      </c>
      <c r="Z16" s="32">
        <v>0</v>
      </c>
      <c r="AA16" s="30">
        <f t="shared" ref="AA16:AD16" si="82">Z16+(($AE16-$Z16)/5)</f>
        <v>0</v>
      </c>
      <c r="AB16" s="30">
        <f t="shared" si="82"/>
        <v>0</v>
      </c>
      <c r="AC16" s="30">
        <f t="shared" si="82"/>
        <v>0</v>
      </c>
      <c r="AD16" s="30">
        <f t="shared" si="82"/>
        <v>0</v>
      </c>
      <c r="AE16" s="32">
        <v>0</v>
      </c>
      <c r="AF16" s="30">
        <f t="shared" ref="AF16:AI16" si="83">AE16+(($AJ16-$AE16)/5)</f>
        <v>0</v>
      </c>
      <c r="AG16" s="30">
        <f t="shared" si="83"/>
        <v>0</v>
      </c>
      <c r="AH16" s="30">
        <f t="shared" si="83"/>
        <v>0</v>
      </c>
      <c r="AI16" s="30">
        <f t="shared" si="83"/>
        <v>0</v>
      </c>
      <c r="AJ16" s="32">
        <v>0</v>
      </c>
      <c r="AK16" s="31" t="s">
        <v>124</v>
      </c>
      <c r="AL16" s="31" t="s">
        <v>124</v>
      </c>
    </row>
    <row r="17" spans="1:38" x14ac:dyDescent="0.3">
      <c r="A17" t="str">
        <f>VLOOKUP(B17,'Country codes'!$A$1:$B$28,2,FALSE)</f>
        <v>IE</v>
      </c>
      <c r="B17" s="23" t="s">
        <v>104</v>
      </c>
      <c r="C17" s="24" t="s">
        <v>121</v>
      </c>
      <c r="D17" s="28" t="s">
        <v>208</v>
      </c>
      <c r="E17" s="29" t="s">
        <v>209</v>
      </c>
      <c r="F17" s="32">
        <v>117.26721147805924</v>
      </c>
      <c r="G17" s="30">
        <f t="shared" ref="G17:J17" si="84">F17+(($K17-$F17)/5)</f>
        <v>130.15766758781029</v>
      </c>
      <c r="H17" s="30">
        <f t="shared" si="84"/>
        <v>143.04812369756135</v>
      </c>
      <c r="I17" s="30">
        <f t="shared" si="84"/>
        <v>155.93857980731241</v>
      </c>
      <c r="J17" s="30">
        <f t="shared" si="84"/>
        <v>168.82903591706346</v>
      </c>
      <c r="K17" s="32">
        <v>181.71949202681455</v>
      </c>
      <c r="L17" s="30">
        <f t="shared" ref="L17:O17" si="85">K17+(($P17-$K17)/5)</f>
        <v>187.81054131867495</v>
      </c>
      <c r="M17" s="30">
        <f t="shared" si="85"/>
        <v>193.90159061053535</v>
      </c>
      <c r="N17" s="30">
        <f t="shared" si="85"/>
        <v>199.99263990239575</v>
      </c>
      <c r="O17" s="30">
        <f t="shared" si="85"/>
        <v>206.08368919425615</v>
      </c>
      <c r="P17" s="32">
        <v>212.17473848611652</v>
      </c>
      <c r="Q17" s="30">
        <f t="shared" ref="Q17:T17" si="86">P17+(($U17-$P17)/5)</f>
        <v>214.96933423100805</v>
      </c>
      <c r="R17" s="30">
        <f t="shared" si="86"/>
        <v>217.76392997589957</v>
      </c>
      <c r="S17" s="30">
        <f t="shared" si="86"/>
        <v>220.5585257207911</v>
      </c>
      <c r="T17" s="30">
        <f t="shared" si="86"/>
        <v>223.35312146568262</v>
      </c>
      <c r="U17" s="32">
        <v>226.14771721057414</v>
      </c>
      <c r="V17" s="30">
        <f t="shared" ref="V17:Y17" si="87">U17+(($Z17-$U17)/5)</f>
        <v>228.81335941758923</v>
      </c>
      <c r="W17" s="30">
        <f t="shared" si="87"/>
        <v>231.47900162460431</v>
      </c>
      <c r="X17" s="30">
        <f t="shared" si="87"/>
        <v>234.14464383161939</v>
      </c>
      <c r="Y17" s="30">
        <f t="shared" si="87"/>
        <v>236.81028603863447</v>
      </c>
      <c r="Z17" s="32">
        <v>239.47592824564961</v>
      </c>
      <c r="AA17" s="30">
        <f t="shared" ref="AA17:AD17" si="88">Z17+(($AE17-$Z17)/5)</f>
        <v>240.90328305778493</v>
      </c>
      <c r="AB17" s="30">
        <f t="shared" si="88"/>
        <v>242.33063786992025</v>
      </c>
      <c r="AC17" s="30">
        <f t="shared" si="88"/>
        <v>243.75799268205557</v>
      </c>
      <c r="AD17" s="30">
        <f t="shared" si="88"/>
        <v>245.18534749419089</v>
      </c>
      <c r="AE17" s="32">
        <v>246.61270230632627</v>
      </c>
      <c r="AF17" s="30">
        <f t="shared" ref="AF17:AI17" si="89">AE17+(($AJ17-$AE17)/5)</f>
        <v>247.09799314127122</v>
      </c>
      <c r="AG17" s="30">
        <f t="shared" si="89"/>
        <v>247.58328397621617</v>
      </c>
      <c r="AH17" s="30">
        <f t="shared" si="89"/>
        <v>248.06857481116111</v>
      </c>
      <c r="AI17" s="30">
        <f t="shared" si="89"/>
        <v>248.55386564610606</v>
      </c>
      <c r="AJ17" s="32">
        <v>249.03915648105107</v>
      </c>
      <c r="AK17" s="31">
        <v>6.108874442012735</v>
      </c>
      <c r="AL17" s="31">
        <v>0.80421641482033568</v>
      </c>
    </row>
    <row r="18" spans="1:38" x14ac:dyDescent="0.3">
      <c r="A18" t="str">
        <f>VLOOKUP(B18,'Country codes'!$A$1:$B$28,2,FALSE)</f>
        <v>IT</v>
      </c>
      <c r="B18" s="23" t="s">
        <v>105</v>
      </c>
      <c r="C18" s="24" t="s">
        <v>121</v>
      </c>
      <c r="D18" s="28" t="s">
        <v>208</v>
      </c>
      <c r="E18" s="29" t="s">
        <v>209</v>
      </c>
      <c r="F18" s="32">
        <v>1599.101131004016</v>
      </c>
      <c r="G18" s="30">
        <f t="shared" ref="G18:J18" si="90">F18+(($K18-$F18)/5)</f>
        <v>1748.0217411815527</v>
      </c>
      <c r="H18" s="30">
        <f t="shared" si="90"/>
        <v>1896.9423513590893</v>
      </c>
      <c r="I18" s="30">
        <f t="shared" si="90"/>
        <v>2045.862961536626</v>
      </c>
      <c r="J18" s="30">
        <f t="shared" si="90"/>
        <v>2194.7835717141625</v>
      </c>
      <c r="K18" s="32">
        <v>2343.7041818916991</v>
      </c>
      <c r="L18" s="30">
        <f t="shared" ref="L18:O18" si="91">K18+(($P18-$K18)/5)</f>
        <v>2353.5237670263896</v>
      </c>
      <c r="M18" s="30">
        <f t="shared" si="91"/>
        <v>2363.34335216108</v>
      </c>
      <c r="N18" s="30">
        <f t="shared" si="91"/>
        <v>2373.1629372957705</v>
      </c>
      <c r="O18" s="30">
        <f t="shared" si="91"/>
        <v>2382.9825224304609</v>
      </c>
      <c r="P18" s="32">
        <v>2392.8021075651523</v>
      </c>
      <c r="Q18" s="30">
        <f t="shared" ref="Q18:T18" si="92">P18+(($U18-$P18)/5)</f>
        <v>2406.7510848623701</v>
      </c>
      <c r="R18" s="30">
        <f t="shared" si="92"/>
        <v>2420.700062159588</v>
      </c>
      <c r="S18" s="30">
        <f t="shared" si="92"/>
        <v>2434.6490394568059</v>
      </c>
      <c r="T18" s="30">
        <f t="shared" si="92"/>
        <v>2448.5980167540238</v>
      </c>
      <c r="U18" s="32">
        <v>2462.5469940512421</v>
      </c>
      <c r="V18" s="30">
        <f t="shared" ref="V18:Y18" si="93">U18+(($Z18-$U18)/5)</f>
        <v>2480.0712030825594</v>
      </c>
      <c r="W18" s="30">
        <f t="shared" si="93"/>
        <v>2497.5954121138766</v>
      </c>
      <c r="X18" s="30">
        <f t="shared" si="93"/>
        <v>2515.1196211451938</v>
      </c>
      <c r="Y18" s="30">
        <f t="shared" si="93"/>
        <v>2532.6438301765111</v>
      </c>
      <c r="Z18" s="32">
        <v>2550.1680392078283</v>
      </c>
      <c r="AA18" s="30">
        <f t="shared" ref="AA18:AD18" si="94">Z18+(($AE18-$Z18)/5)</f>
        <v>2561.1182166758776</v>
      </c>
      <c r="AB18" s="30">
        <f t="shared" si="94"/>
        <v>2572.068394143927</v>
      </c>
      <c r="AC18" s="30">
        <f t="shared" si="94"/>
        <v>2583.0185716119763</v>
      </c>
      <c r="AD18" s="30">
        <f t="shared" si="94"/>
        <v>2593.9687490800256</v>
      </c>
      <c r="AE18" s="32">
        <v>2604.9189265480741</v>
      </c>
      <c r="AF18" s="30">
        <f t="shared" ref="AF18:AI18" si="95">AE18+(($AJ18-$AE18)/5)</f>
        <v>2618.1077609203803</v>
      </c>
      <c r="AG18" s="30">
        <f t="shared" si="95"/>
        <v>2631.2965952926866</v>
      </c>
      <c r="AH18" s="30">
        <f t="shared" si="95"/>
        <v>2644.4854296649928</v>
      </c>
      <c r="AI18" s="30">
        <f t="shared" si="95"/>
        <v>2657.6742640372991</v>
      </c>
      <c r="AJ18" s="32">
        <v>2670.8630984096058</v>
      </c>
      <c r="AK18" s="31">
        <v>4.1125503710525591</v>
      </c>
      <c r="AL18" s="31">
        <v>0.55119637247358355</v>
      </c>
    </row>
    <row r="19" spans="1:38" x14ac:dyDescent="0.3">
      <c r="A19" t="str">
        <f>VLOOKUP(B19,'Country codes'!$A$1:$B$28,2,FALSE)</f>
        <v>LT</v>
      </c>
      <c r="B19" s="23" t="s">
        <v>106</v>
      </c>
      <c r="C19" s="24" t="s">
        <v>121</v>
      </c>
      <c r="D19" s="28" t="s">
        <v>208</v>
      </c>
      <c r="E19" s="29" t="s">
        <v>209</v>
      </c>
      <c r="F19" s="32">
        <v>121.52574851802831</v>
      </c>
      <c r="G19" s="30">
        <f t="shared" ref="G19:J19" si="96">F19+(($K19-$F19)/5)</f>
        <v>133.31229053079954</v>
      </c>
      <c r="H19" s="30">
        <f t="shared" si="96"/>
        <v>145.09883254357078</v>
      </c>
      <c r="I19" s="30">
        <f t="shared" si="96"/>
        <v>156.88537455634201</v>
      </c>
      <c r="J19" s="30">
        <f t="shared" si="96"/>
        <v>168.67191656911325</v>
      </c>
      <c r="K19" s="32">
        <v>180.45845858188449</v>
      </c>
      <c r="L19" s="30">
        <f t="shared" ref="L19:O19" si="97">K19+(($P19-$K19)/5)</f>
        <v>183.22475413307916</v>
      </c>
      <c r="M19" s="30">
        <f t="shared" si="97"/>
        <v>185.99104968427383</v>
      </c>
      <c r="N19" s="30">
        <f t="shared" si="97"/>
        <v>188.75734523546851</v>
      </c>
      <c r="O19" s="30">
        <f t="shared" si="97"/>
        <v>191.52364078666318</v>
      </c>
      <c r="P19" s="32">
        <v>194.28993633785785</v>
      </c>
      <c r="Q19" s="30">
        <f t="shared" ref="Q19:T19" si="98">P19+(($U19-$P19)/5)</f>
        <v>194.97817225280454</v>
      </c>
      <c r="R19" s="30">
        <f t="shared" si="98"/>
        <v>195.66640816775123</v>
      </c>
      <c r="S19" s="30">
        <f t="shared" si="98"/>
        <v>196.35464408269792</v>
      </c>
      <c r="T19" s="30">
        <f t="shared" si="98"/>
        <v>197.0428799976446</v>
      </c>
      <c r="U19" s="32">
        <v>197.73111591259132</v>
      </c>
      <c r="V19" s="30">
        <f t="shared" ref="V19:Y19" si="99">U19+(($Z19-$U19)/5)</f>
        <v>198.91773605832833</v>
      </c>
      <c r="W19" s="30">
        <f t="shared" si="99"/>
        <v>200.10435620406534</v>
      </c>
      <c r="X19" s="30">
        <f t="shared" si="99"/>
        <v>201.29097634980235</v>
      </c>
      <c r="Y19" s="30">
        <f t="shared" si="99"/>
        <v>202.47759649553936</v>
      </c>
      <c r="Z19" s="32">
        <v>203.66421664127637</v>
      </c>
      <c r="AA19" s="30">
        <f t="shared" ref="AA19:AD19" si="100">Z19+(($AE19-$Z19)/5)</f>
        <v>203.81125603279517</v>
      </c>
      <c r="AB19" s="30">
        <f t="shared" si="100"/>
        <v>203.95829542431397</v>
      </c>
      <c r="AC19" s="30">
        <f t="shared" si="100"/>
        <v>204.10533481583278</v>
      </c>
      <c r="AD19" s="30">
        <f t="shared" si="100"/>
        <v>204.25237420735158</v>
      </c>
      <c r="AE19" s="32">
        <v>204.39941359887032</v>
      </c>
      <c r="AF19" s="30">
        <f t="shared" ref="AF19:AI19" si="101">AE19+(($AJ19-$AE19)/5)</f>
        <v>204.06512208768066</v>
      </c>
      <c r="AG19" s="30">
        <f t="shared" si="101"/>
        <v>203.730830576491</v>
      </c>
      <c r="AH19" s="30">
        <f t="shared" si="101"/>
        <v>203.39653906530134</v>
      </c>
      <c r="AI19" s="30">
        <f t="shared" si="101"/>
        <v>203.06224755411168</v>
      </c>
      <c r="AJ19" s="32">
        <v>202.72795604292199</v>
      </c>
      <c r="AK19" s="31">
        <v>4.8040824515187763</v>
      </c>
      <c r="AL19" s="31">
        <v>0.21279309221018394</v>
      </c>
    </row>
    <row r="20" spans="1:38" x14ac:dyDescent="0.3">
      <c r="A20" t="str">
        <f>VLOOKUP(B20,'Country codes'!$A$1:$B$28,2,FALSE)</f>
        <v>LU</v>
      </c>
      <c r="B20" s="23" t="s">
        <v>107</v>
      </c>
      <c r="C20" s="24" t="s">
        <v>121</v>
      </c>
      <c r="D20" s="28" t="s">
        <v>208</v>
      </c>
      <c r="E20" s="29" t="s">
        <v>209</v>
      </c>
      <c r="F20" s="32">
        <v>0</v>
      </c>
      <c r="G20" s="30">
        <f t="shared" ref="G20:J20" si="102">F20+(($K20-$F20)/5)</f>
        <v>0</v>
      </c>
      <c r="H20" s="30">
        <f t="shared" si="102"/>
        <v>0</v>
      </c>
      <c r="I20" s="30">
        <f t="shared" si="102"/>
        <v>0</v>
      </c>
      <c r="J20" s="30">
        <f t="shared" si="102"/>
        <v>0</v>
      </c>
      <c r="K20" s="32">
        <v>0</v>
      </c>
      <c r="L20" s="30">
        <f t="shared" ref="L20:O20" si="103">K20+(($P20-$K20)/5)</f>
        <v>0</v>
      </c>
      <c r="M20" s="30">
        <f t="shared" si="103"/>
        <v>0</v>
      </c>
      <c r="N20" s="30">
        <f t="shared" si="103"/>
        <v>0</v>
      </c>
      <c r="O20" s="30">
        <f t="shared" si="103"/>
        <v>0</v>
      </c>
      <c r="P20" s="32">
        <v>0</v>
      </c>
      <c r="Q20" s="30">
        <f t="shared" ref="Q20:T20" si="104">P20+(($U20-$P20)/5)</f>
        <v>0</v>
      </c>
      <c r="R20" s="30">
        <f t="shared" si="104"/>
        <v>0</v>
      </c>
      <c r="S20" s="30">
        <f t="shared" si="104"/>
        <v>0</v>
      </c>
      <c r="T20" s="30">
        <f t="shared" si="104"/>
        <v>0</v>
      </c>
      <c r="U20" s="32">
        <v>0</v>
      </c>
      <c r="V20" s="30">
        <f t="shared" ref="V20:Y20" si="105">U20+(($Z20-$U20)/5)</f>
        <v>0</v>
      </c>
      <c r="W20" s="30">
        <f t="shared" si="105"/>
        <v>0</v>
      </c>
      <c r="X20" s="30">
        <f t="shared" si="105"/>
        <v>0</v>
      </c>
      <c r="Y20" s="30">
        <f t="shared" si="105"/>
        <v>0</v>
      </c>
      <c r="Z20" s="32">
        <v>0</v>
      </c>
      <c r="AA20" s="30">
        <f t="shared" ref="AA20:AD20" si="106">Z20+(($AE20-$Z20)/5)</f>
        <v>0</v>
      </c>
      <c r="AB20" s="30">
        <f t="shared" si="106"/>
        <v>0</v>
      </c>
      <c r="AC20" s="30">
        <f t="shared" si="106"/>
        <v>0</v>
      </c>
      <c r="AD20" s="30">
        <f t="shared" si="106"/>
        <v>0</v>
      </c>
      <c r="AE20" s="32">
        <v>0</v>
      </c>
      <c r="AF20" s="30">
        <f t="shared" ref="AF20:AI20" si="107">AE20+(($AJ20-$AE20)/5)</f>
        <v>0</v>
      </c>
      <c r="AG20" s="30">
        <f t="shared" si="107"/>
        <v>0</v>
      </c>
      <c r="AH20" s="30">
        <f t="shared" si="107"/>
        <v>0</v>
      </c>
      <c r="AI20" s="30">
        <f t="shared" si="107"/>
        <v>0</v>
      </c>
      <c r="AJ20" s="32">
        <v>0</v>
      </c>
      <c r="AK20" s="31" t="s">
        <v>124</v>
      </c>
      <c r="AL20" s="31" t="s">
        <v>124</v>
      </c>
    </row>
    <row r="21" spans="1:38" x14ac:dyDescent="0.3">
      <c r="A21" t="str">
        <f>VLOOKUP(B21,'Country codes'!$A$1:$B$28,2,FALSE)</f>
        <v>LV</v>
      </c>
      <c r="B21" s="23" t="s">
        <v>108</v>
      </c>
      <c r="C21" s="24" t="s">
        <v>121</v>
      </c>
      <c r="D21" s="28" t="s">
        <v>208</v>
      </c>
      <c r="E21" s="29" t="s">
        <v>209</v>
      </c>
      <c r="F21" s="32">
        <v>188.95700654815641</v>
      </c>
      <c r="G21" s="30">
        <f t="shared" ref="G21:J21" si="108">F21+(($K21-$F21)/5)</f>
        <v>206.2884202985035</v>
      </c>
      <c r="H21" s="30">
        <f t="shared" si="108"/>
        <v>223.61983404885058</v>
      </c>
      <c r="I21" s="30">
        <f t="shared" si="108"/>
        <v>240.95124779919766</v>
      </c>
      <c r="J21" s="30">
        <f t="shared" si="108"/>
        <v>258.28266154954474</v>
      </c>
      <c r="K21" s="32">
        <v>275.61407529989179</v>
      </c>
      <c r="L21" s="30">
        <f t="shared" ref="L21:O21" si="109">K21+(($P21-$K21)/5)</f>
        <v>279.02027281439933</v>
      </c>
      <c r="M21" s="30">
        <f t="shared" si="109"/>
        <v>282.42647032890687</v>
      </c>
      <c r="N21" s="30">
        <f t="shared" si="109"/>
        <v>285.83266784341441</v>
      </c>
      <c r="O21" s="30">
        <f t="shared" si="109"/>
        <v>289.23886535792195</v>
      </c>
      <c r="P21" s="32">
        <v>292.64506287242955</v>
      </c>
      <c r="Q21" s="30">
        <f t="shared" ref="Q21:T21" si="110">P21+(($U21-$P21)/5)</f>
        <v>296.52293168836832</v>
      </c>
      <c r="R21" s="30">
        <f t="shared" si="110"/>
        <v>300.40080050430709</v>
      </c>
      <c r="S21" s="30">
        <f t="shared" si="110"/>
        <v>304.27866932024585</v>
      </c>
      <c r="T21" s="30">
        <f t="shared" si="110"/>
        <v>308.15653813618462</v>
      </c>
      <c r="U21" s="32">
        <v>312.03440695212339</v>
      </c>
      <c r="V21" s="30">
        <f t="shared" ref="V21:Y21" si="111">U21+(($Z21-$U21)/5)</f>
        <v>316.18845896084923</v>
      </c>
      <c r="W21" s="30">
        <f t="shared" si="111"/>
        <v>320.34251096957507</v>
      </c>
      <c r="X21" s="30">
        <f t="shared" si="111"/>
        <v>324.49656297830091</v>
      </c>
      <c r="Y21" s="30">
        <f t="shared" si="111"/>
        <v>328.65061498702676</v>
      </c>
      <c r="Z21" s="32">
        <v>332.80466699575248</v>
      </c>
      <c r="AA21" s="30">
        <f t="shared" ref="AA21:AD21" si="112">Z21+(($AE21-$Z21)/5)</f>
        <v>336.4540019872843</v>
      </c>
      <c r="AB21" s="30">
        <f t="shared" si="112"/>
        <v>340.10333697881612</v>
      </c>
      <c r="AC21" s="30">
        <f t="shared" si="112"/>
        <v>343.75267197034793</v>
      </c>
      <c r="AD21" s="30">
        <f t="shared" si="112"/>
        <v>347.40200696187975</v>
      </c>
      <c r="AE21" s="32">
        <v>351.05134195341151</v>
      </c>
      <c r="AF21" s="30">
        <f t="shared" ref="AF21:AI21" si="113">AE21+(($AJ21-$AE21)/5)</f>
        <v>352.3788913395137</v>
      </c>
      <c r="AG21" s="30">
        <f t="shared" si="113"/>
        <v>353.70644072561589</v>
      </c>
      <c r="AH21" s="30">
        <f t="shared" si="113"/>
        <v>355.03399011171808</v>
      </c>
      <c r="AI21" s="30">
        <f t="shared" si="113"/>
        <v>356.36153949782027</v>
      </c>
      <c r="AJ21" s="32">
        <v>357.68908888392258</v>
      </c>
      <c r="AK21" s="31">
        <v>4.4714975460115935</v>
      </c>
      <c r="AL21" s="31">
        <v>1.0085704156996167</v>
      </c>
    </row>
    <row r="22" spans="1:38" x14ac:dyDescent="0.3">
      <c r="A22" t="str">
        <f>VLOOKUP(B22,'Country codes'!$A$1:$B$28,2,FALSE)</f>
        <v>MT</v>
      </c>
      <c r="B22" s="23" t="s">
        <v>109</v>
      </c>
      <c r="C22" s="24" t="s">
        <v>121</v>
      </c>
      <c r="D22" s="28" t="s">
        <v>208</v>
      </c>
      <c r="E22" s="29" t="s">
        <v>209</v>
      </c>
      <c r="F22" s="32">
        <v>1601.3183882187147</v>
      </c>
      <c r="G22" s="30">
        <f t="shared" ref="G22:J22" si="114">F22+(($K22-$F22)/5)</f>
        <v>1728.1001816038465</v>
      </c>
      <c r="H22" s="30">
        <f t="shared" si="114"/>
        <v>1854.8819749889783</v>
      </c>
      <c r="I22" s="30">
        <f t="shared" si="114"/>
        <v>1981.6637683741101</v>
      </c>
      <c r="J22" s="30">
        <f t="shared" si="114"/>
        <v>2108.4455617592416</v>
      </c>
      <c r="K22" s="32">
        <v>2235.2273551443732</v>
      </c>
      <c r="L22" s="30">
        <f t="shared" ref="L22:O22" si="115">K22+(($P22-$K22)/5)</f>
        <v>2285.959664212296</v>
      </c>
      <c r="M22" s="30">
        <f t="shared" si="115"/>
        <v>2336.6919732802189</v>
      </c>
      <c r="N22" s="30">
        <f t="shared" si="115"/>
        <v>2387.4242823481418</v>
      </c>
      <c r="O22" s="30">
        <f t="shared" si="115"/>
        <v>2438.1565914160647</v>
      </c>
      <c r="P22" s="32">
        <v>2488.8889004839866</v>
      </c>
      <c r="Q22" s="30">
        <f t="shared" ref="Q22:T22" si="116">P22+(($U22-$P22)/5)</f>
        <v>2520.8726626256689</v>
      </c>
      <c r="R22" s="30">
        <f t="shared" si="116"/>
        <v>2552.8564247673512</v>
      </c>
      <c r="S22" s="30">
        <f t="shared" si="116"/>
        <v>2584.8401869090335</v>
      </c>
      <c r="T22" s="30">
        <f t="shared" si="116"/>
        <v>2616.8239490507158</v>
      </c>
      <c r="U22" s="32">
        <v>2648.8077111923985</v>
      </c>
      <c r="V22" s="30">
        <f t="shared" ref="V22:Y22" si="117">U22+(($Z22-$U22)/5)</f>
        <v>2670.3786460181805</v>
      </c>
      <c r="W22" s="30">
        <f t="shared" si="117"/>
        <v>2691.9495808439624</v>
      </c>
      <c r="X22" s="30">
        <f t="shared" si="117"/>
        <v>2713.5205156697443</v>
      </c>
      <c r="Y22" s="30">
        <f t="shared" si="117"/>
        <v>2735.0914504955263</v>
      </c>
      <c r="Z22" s="32">
        <v>2756.6623853213082</v>
      </c>
      <c r="AA22" s="30">
        <f t="shared" ref="AA22:AD22" si="118">Z22+(($AE22-$Z22)/5)</f>
        <v>2780.7042159277626</v>
      </c>
      <c r="AB22" s="30">
        <f t="shared" si="118"/>
        <v>2804.7460465342169</v>
      </c>
      <c r="AC22" s="30">
        <f t="shared" si="118"/>
        <v>2828.7878771406713</v>
      </c>
      <c r="AD22" s="30">
        <f t="shared" si="118"/>
        <v>2852.8297077471257</v>
      </c>
      <c r="AE22" s="32">
        <v>2876.8715383535809</v>
      </c>
      <c r="AF22" s="30">
        <f t="shared" ref="AF22:AI22" si="119">AE22+(($AJ22-$AE22)/5)</f>
        <v>2887.6897567701481</v>
      </c>
      <c r="AG22" s="30">
        <f t="shared" si="119"/>
        <v>2898.5079751867152</v>
      </c>
      <c r="AH22" s="30">
        <f t="shared" si="119"/>
        <v>2909.3261936032823</v>
      </c>
      <c r="AI22" s="30">
        <f t="shared" si="119"/>
        <v>2920.1444120198494</v>
      </c>
      <c r="AJ22" s="32">
        <v>2930.9626304364169</v>
      </c>
      <c r="AK22" s="31">
        <v>4.5087809754373653</v>
      </c>
      <c r="AL22" s="31">
        <v>0.8208230593781618</v>
      </c>
    </row>
    <row r="23" spans="1:38" x14ac:dyDescent="0.3">
      <c r="A23" t="str">
        <f>VLOOKUP(B23,'Country codes'!$A$1:$B$28,2,FALSE)</f>
        <v>NL</v>
      </c>
      <c r="B23" s="23" t="s">
        <v>110</v>
      </c>
      <c r="C23" s="24" t="s">
        <v>121</v>
      </c>
      <c r="D23" s="28" t="s">
        <v>208</v>
      </c>
      <c r="E23" s="29" t="s">
        <v>209</v>
      </c>
      <c r="F23" s="32">
        <v>8509.445550920942</v>
      </c>
      <c r="G23" s="30">
        <f t="shared" ref="G23:J23" si="120">F23+(($K23-$F23)/5)</f>
        <v>9255.485430637229</v>
      </c>
      <c r="H23" s="30">
        <f t="shared" si="120"/>
        <v>10001.525310353516</v>
      </c>
      <c r="I23" s="30">
        <f t="shared" si="120"/>
        <v>10747.565190069803</v>
      </c>
      <c r="J23" s="30">
        <f t="shared" si="120"/>
        <v>11493.60506978609</v>
      </c>
      <c r="K23" s="32">
        <v>12239.644949502377</v>
      </c>
      <c r="L23" s="30">
        <f t="shared" ref="L23:O23" si="121">K23+(($P23-$K23)/5)</f>
        <v>12361.289173847401</v>
      </c>
      <c r="M23" s="30">
        <f t="shared" si="121"/>
        <v>12482.933398192425</v>
      </c>
      <c r="N23" s="30">
        <f t="shared" si="121"/>
        <v>12604.577622537448</v>
      </c>
      <c r="O23" s="30">
        <f t="shared" si="121"/>
        <v>12726.221846882472</v>
      </c>
      <c r="P23" s="32">
        <v>12847.866071227492</v>
      </c>
      <c r="Q23" s="30">
        <f t="shared" ref="Q23:T23" si="122">P23+(($U23-$P23)/5)</f>
        <v>12932.901536242251</v>
      </c>
      <c r="R23" s="30">
        <f t="shared" si="122"/>
        <v>13017.937001257009</v>
      </c>
      <c r="S23" s="30">
        <f t="shared" si="122"/>
        <v>13102.972466271767</v>
      </c>
      <c r="T23" s="30">
        <f t="shared" si="122"/>
        <v>13188.007931286525</v>
      </c>
      <c r="U23" s="32">
        <v>13273.043396301286</v>
      </c>
      <c r="V23" s="30">
        <f t="shared" ref="V23:Y23" si="123">U23+(($Z23-$U23)/5)</f>
        <v>13432.566179438805</v>
      </c>
      <c r="W23" s="30">
        <f t="shared" si="123"/>
        <v>13592.088962576325</v>
      </c>
      <c r="X23" s="30">
        <f t="shared" si="123"/>
        <v>13751.611745713844</v>
      </c>
      <c r="Y23" s="30">
        <f t="shared" si="123"/>
        <v>13911.134528851364</v>
      </c>
      <c r="Z23" s="32">
        <v>14070.657311988884</v>
      </c>
      <c r="AA23" s="30">
        <f t="shared" ref="AA23:AD23" si="124">Z23+(($AE23-$Z23)/5)</f>
        <v>14260.331242147729</v>
      </c>
      <c r="AB23" s="30">
        <f t="shared" si="124"/>
        <v>14450.005172306575</v>
      </c>
      <c r="AC23" s="30">
        <f t="shared" si="124"/>
        <v>14639.679102465421</v>
      </c>
      <c r="AD23" s="30">
        <f t="shared" si="124"/>
        <v>14829.353032624267</v>
      </c>
      <c r="AE23" s="32">
        <v>15019.026962783117</v>
      </c>
      <c r="AF23" s="30">
        <f t="shared" ref="AF23:AI23" si="125">AE23+(($AJ23-$AE23)/5)</f>
        <v>15227.723867869177</v>
      </c>
      <c r="AG23" s="30">
        <f t="shared" si="125"/>
        <v>15436.420772955238</v>
      </c>
      <c r="AH23" s="30">
        <f t="shared" si="125"/>
        <v>15645.117678041299</v>
      </c>
      <c r="AI23" s="30">
        <f t="shared" si="125"/>
        <v>15853.81458312736</v>
      </c>
      <c r="AJ23" s="32">
        <v>16062.511488213417</v>
      </c>
      <c r="AK23" s="31">
        <v>4.2060595305330573</v>
      </c>
      <c r="AL23" s="31">
        <v>1.1228084276214911</v>
      </c>
    </row>
    <row r="24" spans="1:38" x14ac:dyDescent="0.3">
      <c r="A24" t="str">
        <f>VLOOKUP(B24,'Country codes'!$A$1:$B$28,2,FALSE)</f>
        <v>PL</v>
      </c>
      <c r="B24" s="23" t="s">
        <v>111</v>
      </c>
      <c r="C24" s="24" t="s">
        <v>121</v>
      </c>
      <c r="D24" s="28" t="s">
        <v>208</v>
      </c>
      <c r="E24" s="29" t="s">
        <v>209</v>
      </c>
      <c r="F24" s="32">
        <v>186.65620653661225</v>
      </c>
      <c r="G24" s="30">
        <f t="shared" ref="G24:J24" si="126">F24+(($K24-$F24)/5)</f>
        <v>206.75626940803591</v>
      </c>
      <c r="H24" s="30">
        <f t="shared" si="126"/>
        <v>226.85633227945956</v>
      </c>
      <c r="I24" s="30">
        <f t="shared" si="126"/>
        <v>246.95639515088322</v>
      </c>
      <c r="J24" s="30">
        <f t="shared" si="126"/>
        <v>267.05645802230686</v>
      </c>
      <c r="K24" s="32">
        <v>287.15652089373054</v>
      </c>
      <c r="L24" s="30">
        <f t="shared" ref="L24:O24" si="127">K24+(($P24-$K24)/5)</f>
        <v>295.05937871396702</v>
      </c>
      <c r="M24" s="30">
        <f t="shared" si="127"/>
        <v>302.9622365342035</v>
      </c>
      <c r="N24" s="30">
        <f t="shared" si="127"/>
        <v>310.86509435443998</v>
      </c>
      <c r="O24" s="30">
        <f t="shared" si="127"/>
        <v>318.76795217467645</v>
      </c>
      <c r="P24" s="32">
        <v>326.67080999491304</v>
      </c>
      <c r="Q24" s="30">
        <f t="shared" ref="Q24:T24" si="128">P24+(($U24-$P24)/5)</f>
        <v>334.26661267710989</v>
      </c>
      <c r="R24" s="30">
        <f t="shared" si="128"/>
        <v>341.86241535930674</v>
      </c>
      <c r="S24" s="30">
        <f t="shared" si="128"/>
        <v>349.45821804150359</v>
      </c>
      <c r="T24" s="30">
        <f t="shared" si="128"/>
        <v>357.05402072370043</v>
      </c>
      <c r="U24" s="32">
        <v>364.64982340589734</v>
      </c>
      <c r="V24" s="30">
        <f t="shared" ref="V24:Y24" si="129">U24+(($Z24-$U24)/5)</f>
        <v>370.21766499295012</v>
      </c>
      <c r="W24" s="30">
        <f t="shared" si="129"/>
        <v>375.7855065800029</v>
      </c>
      <c r="X24" s="30">
        <f t="shared" si="129"/>
        <v>381.35334816705569</v>
      </c>
      <c r="Y24" s="30">
        <f t="shared" si="129"/>
        <v>386.92118975410847</v>
      </c>
      <c r="Z24" s="32">
        <v>392.48903134116114</v>
      </c>
      <c r="AA24" s="30">
        <f t="shared" ref="AA24:AD24" si="130">Z24+(($AE24-$Z24)/5)</f>
        <v>398.26843775885743</v>
      </c>
      <c r="AB24" s="30">
        <f t="shared" si="130"/>
        <v>404.04784417655372</v>
      </c>
      <c r="AC24" s="30">
        <f t="shared" si="130"/>
        <v>409.82725059425002</v>
      </c>
      <c r="AD24" s="30">
        <f t="shared" si="130"/>
        <v>415.60665701194631</v>
      </c>
      <c r="AE24" s="32">
        <v>421.38606342964255</v>
      </c>
      <c r="AF24" s="30">
        <f t="shared" ref="AF24:AI24" si="131">AE24+(($AJ24-$AE24)/5)</f>
        <v>424.15821169505409</v>
      </c>
      <c r="AG24" s="30">
        <f t="shared" si="131"/>
        <v>426.93035996046564</v>
      </c>
      <c r="AH24" s="30">
        <f t="shared" si="131"/>
        <v>429.70250822587718</v>
      </c>
      <c r="AI24" s="30">
        <f t="shared" si="131"/>
        <v>432.47465649128873</v>
      </c>
      <c r="AJ24" s="32">
        <v>435.24680475670033</v>
      </c>
      <c r="AK24" s="31">
        <v>5.756431806010176</v>
      </c>
      <c r="AL24" s="31">
        <v>1.4451440354723788</v>
      </c>
    </row>
    <row r="25" spans="1:38" x14ac:dyDescent="0.3">
      <c r="A25" t="str">
        <f>VLOOKUP(B25,'Country codes'!$A$1:$B$28,2,FALSE)</f>
        <v>PT</v>
      </c>
      <c r="B25" s="23" t="s">
        <v>112</v>
      </c>
      <c r="C25" s="24" t="s">
        <v>121</v>
      </c>
      <c r="D25" s="28" t="s">
        <v>208</v>
      </c>
      <c r="E25" s="29" t="s">
        <v>209</v>
      </c>
      <c r="F25" s="32">
        <v>544.16356911650632</v>
      </c>
      <c r="G25" s="30">
        <f t="shared" ref="G25:J25" si="132">F25+(($K25-$F25)/5)</f>
        <v>590.83032299875833</v>
      </c>
      <c r="H25" s="30">
        <f t="shared" si="132"/>
        <v>637.49707688101034</v>
      </c>
      <c r="I25" s="30">
        <f t="shared" si="132"/>
        <v>684.16383076326235</v>
      </c>
      <c r="J25" s="30">
        <f t="shared" si="132"/>
        <v>730.83058464551436</v>
      </c>
      <c r="K25" s="32">
        <v>777.49733852776637</v>
      </c>
      <c r="L25" s="30">
        <f t="shared" ref="L25:O25" si="133">K25+(($P25-$K25)/5)</f>
        <v>776.70083329446811</v>
      </c>
      <c r="M25" s="30">
        <f t="shared" si="133"/>
        <v>775.90432806116985</v>
      </c>
      <c r="N25" s="30">
        <f t="shared" si="133"/>
        <v>775.10782282787159</v>
      </c>
      <c r="O25" s="30">
        <f t="shared" si="133"/>
        <v>774.31131759457332</v>
      </c>
      <c r="P25" s="32">
        <v>773.51481236127495</v>
      </c>
      <c r="Q25" s="30">
        <f t="shared" ref="Q25:T25" si="134">P25+(($U25-$P25)/5)</f>
        <v>776.69518398430819</v>
      </c>
      <c r="R25" s="30">
        <f t="shared" si="134"/>
        <v>779.87555560734143</v>
      </c>
      <c r="S25" s="30">
        <f t="shared" si="134"/>
        <v>783.05592723037466</v>
      </c>
      <c r="T25" s="30">
        <f t="shared" si="134"/>
        <v>786.2362988534079</v>
      </c>
      <c r="U25" s="32">
        <v>789.41667047644125</v>
      </c>
      <c r="V25" s="30">
        <f t="shared" ref="V25:Y25" si="135">U25+(($Z25-$U25)/5)</f>
        <v>793.07992607027165</v>
      </c>
      <c r="W25" s="30">
        <f t="shared" si="135"/>
        <v>796.74318166410205</v>
      </c>
      <c r="X25" s="30">
        <f t="shared" si="135"/>
        <v>800.40643725793245</v>
      </c>
      <c r="Y25" s="30">
        <f t="shared" si="135"/>
        <v>804.06969285176285</v>
      </c>
      <c r="Z25" s="32">
        <v>807.73294844559337</v>
      </c>
      <c r="AA25" s="30">
        <f t="shared" ref="AA25:AD25" si="136">Z25+(($AE25-$Z25)/5)</f>
        <v>812.75894048970122</v>
      </c>
      <c r="AB25" s="30">
        <f t="shared" si="136"/>
        <v>817.78493253380907</v>
      </c>
      <c r="AC25" s="30">
        <f t="shared" si="136"/>
        <v>822.81092457791692</v>
      </c>
      <c r="AD25" s="30">
        <f t="shared" si="136"/>
        <v>827.83691662202477</v>
      </c>
      <c r="AE25" s="32">
        <v>832.86290866613285</v>
      </c>
      <c r="AF25" s="30">
        <f t="shared" ref="AF25:AI25" si="137">AE25+(($AJ25-$AE25)/5)</f>
        <v>837.09514393449365</v>
      </c>
      <c r="AG25" s="30">
        <f t="shared" si="137"/>
        <v>841.32737920285444</v>
      </c>
      <c r="AH25" s="30">
        <f t="shared" si="137"/>
        <v>845.55961447121524</v>
      </c>
      <c r="AI25" s="30">
        <f t="shared" si="137"/>
        <v>849.79184973957604</v>
      </c>
      <c r="AJ25" s="32">
        <v>854.02408500793706</v>
      </c>
      <c r="AK25" s="31">
        <v>3.5795254944503307</v>
      </c>
      <c r="AL25" s="31">
        <v>0.49630039243717672</v>
      </c>
    </row>
    <row r="26" spans="1:38" x14ac:dyDescent="0.3">
      <c r="A26" t="str">
        <f>VLOOKUP(B26,'Country codes'!$A$1:$B$28,2,FALSE)</f>
        <v>RO</v>
      </c>
      <c r="B26" s="23" t="s">
        <v>113</v>
      </c>
      <c r="C26" s="24" t="s">
        <v>121</v>
      </c>
      <c r="D26" s="28" t="s">
        <v>208</v>
      </c>
      <c r="E26" s="29" t="s">
        <v>209</v>
      </c>
      <c r="F26" s="32">
        <v>23.420206980265558</v>
      </c>
      <c r="G26" s="30">
        <f t="shared" ref="G26:J26" si="138">F26+(($K26-$F26)/5)</f>
        <v>26.950381101038779</v>
      </c>
      <c r="H26" s="30">
        <f t="shared" si="138"/>
        <v>30.480555221812001</v>
      </c>
      <c r="I26" s="30">
        <f t="shared" si="138"/>
        <v>34.010729342585222</v>
      </c>
      <c r="J26" s="30">
        <f t="shared" si="138"/>
        <v>37.54090346335844</v>
      </c>
      <c r="K26" s="32">
        <v>41.071077584131658</v>
      </c>
      <c r="L26" s="30">
        <f t="shared" ref="L26:O26" si="139">K26+(($P26-$K26)/5)</f>
        <v>42.872535984272361</v>
      </c>
      <c r="M26" s="30">
        <f t="shared" si="139"/>
        <v>44.673994384413064</v>
      </c>
      <c r="N26" s="30">
        <f t="shared" si="139"/>
        <v>46.475452784553767</v>
      </c>
      <c r="O26" s="30">
        <f t="shared" si="139"/>
        <v>48.27691118469447</v>
      </c>
      <c r="P26" s="32">
        <v>50.078369584835166</v>
      </c>
      <c r="Q26" s="30">
        <f t="shared" ref="Q26:T26" si="140">P26+(($U26-$P26)/5)</f>
        <v>51.208451358610276</v>
      </c>
      <c r="R26" s="30">
        <f t="shared" si="140"/>
        <v>52.338533132385386</v>
      </c>
      <c r="S26" s="30">
        <f t="shared" si="140"/>
        <v>53.468614906160497</v>
      </c>
      <c r="T26" s="30">
        <f t="shared" si="140"/>
        <v>54.598696679935607</v>
      </c>
      <c r="U26" s="32">
        <v>55.728778453710717</v>
      </c>
      <c r="V26" s="30">
        <f t="shared" ref="V26:Y26" si="141">U26+(($Z26-$U26)/5)</f>
        <v>56.775456685162801</v>
      </c>
      <c r="W26" s="30">
        <f t="shared" si="141"/>
        <v>57.822134916614885</v>
      </c>
      <c r="X26" s="30">
        <f t="shared" si="141"/>
        <v>58.86881314806697</v>
      </c>
      <c r="Y26" s="30">
        <f t="shared" si="141"/>
        <v>59.915491379519054</v>
      </c>
      <c r="Z26" s="32">
        <v>60.962169610971145</v>
      </c>
      <c r="AA26" s="30">
        <f t="shared" ref="AA26:AD26" si="142">Z26+(($AE26-$Z26)/5)</f>
        <v>61.836552406826058</v>
      </c>
      <c r="AB26" s="30">
        <f t="shared" si="142"/>
        <v>62.710935202680972</v>
      </c>
      <c r="AC26" s="30">
        <f t="shared" si="142"/>
        <v>63.585317998535885</v>
      </c>
      <c r="AD26" s="30">
        <f t="shared" si="142"/>
        <v>64.459700794390798</v>
      </c>
      <c r="AE26" s="32">
        <v>65.334083590245697</v>
      </c>
      <c r="AF26" s="30">
        <f t="shared" ref="AF26:AI26" si="143">AE26+(($AJ26-$AE26)/5)</f>
        <v>65.716385734917566</v>
      </c>
      <c r="AG26" s="30">
        <f t="shared" si="143"/>
        <v>66.098687879589434</v>
      </c>
      <c r="AH26" s="30">
        <f t="shared" si="143"/>
        <v>66.480990024261303</v>
      </c>
      <c r="AI26" s="30">
        <f t="shared" si="143"/>
        <v>66.863292168933171</v>
      </c>
      <c r="AJ26" s="32">
        <v>67.245594313605011</v>
      </c>
      <c r="AK26" s="31">
        <v>7.8961492407336742</v>
      </c>
      <c r="AL26" s="31">
        <v>1.4847258274393926</v>
      </c>
    </row>
    <row r="27" spans="1:38" x14ac:dyDescent="0.3">
      <c r="A27" t="str">
        <f>VLOOKUP(B27,'Country codes'!$A$1:$B$28,2,FALSE)</f>
        <v>SE</v>
      </c>
      <c r="B27" s="23" t="s">
        <v>114</v>
      </c>
      <c r="C27" s="24" t="s">
        <v>121</v>
      </c>
      <c r="D27" s="28" t="s">
        <v>208</v>
      </c>
      <c r="E27" s="29" t="s">
        <v>209</v>
      </c>
      <c r="F27" s="32">
        <v>1681.5444981781175</v>
      </c>
      <c r="G27" s="30">
        <f t="shared" ref="G27:J27" si="144">F27+(($K27-$F27)/5)</f>
        <v>1839.7958778826369</v>
      </c>
      <c r="H27" s="30">
        <f t="shared" si="144"/>
        <v>1998.0472575871563</v>
      </c>
      <c r="I27" s="30">
        <f t="shared" si="144"/>
        <v>2156.2986372916757</v>
      </c>
      <c r="J27" s="30">
        <f t="shared" si="144"/>
        <v>2314.5500169961952</v>
      </c>
      <c r="K27" s="32">
        <v>2472.8013967007146</v>
      </c>
      <c r="L27" s="30">
        <f t="shared" ref="L27:O27" si="145">K27+(($P27-$K27)/5)</f>
        <v>2505.1856516807266</v>
      </c>
      <c r="M27" s="30">
        <f t="shared" si="145"/>
        <v>2537.5699066607385</v>
      </c>
      <c r="N27" s="30">
        <f t="shared" si="145"/>
        <v>2569.9541616407505</v>
      </c>
      <c r="O27" s="30">
        <f t="shared" si="145"/>
        <v>2602.3384166207625</v>
      </c>
      <c r="P27" s="32">
        <v>2634.7226716007754</v>
      </c>
      <c r="Q27" s="30">
        <f t="shared" ref="Q27:T27" si="146">P27+(($U27-$P27)/5)</f>
        <v>2675.7244224326146</v>
      </c>
      <c r="R27" s="30">
        <f t="shared" si="146"/>
        <v>2716.7261732644538</v>
      </c>
      <c r="S27" s="30">
        <f t="shared" si="146"/>
        <v>2757.727924096293</v>
      </c>
      <c r="T27" s="30">
        <f t="shared" si="146"/>
        <v>2798.7296749281322</v>
      </c>
      <c r="U27" s="32">
        <v>2839.7314257599714</v>
      </c>
      <c r="V27" s="30">
        <f t="shared" ref="V27:Y27" si="147">U27+(($Z27-$U27)/5)</f>
        <v>2886.0958560046256</v>
      </c>
      <c r="W27" s="30">
        <f t="shared" si="147"/>
        <v>2932.4602862492798</v>
      </c>
      <c r="X27" s="30">
        <f t="shared" si="147"/>
        <v>2978.8247164939339</v>
      </c>
      <c r="Y27" s="30">
        <f t="shared" si="147"/>
        <v>3025.1891467385881</v>
      </c>
      <c r="Z27" s="32">
        <v>3071.5535769832418</v>
      </c>
      <c r="AA27" s="30">
        <f t="shared" ref="AA27:AD27" si="148">Z27+(($AE27-$Z27)/5)</f>
        <v>3111.7881806772207</v>
      </c>
      <c r="AB27" s="30">
        <f t="shared" si="148"/>
        <v>3152.0227843711996</v>
      </c>
      <c r="AC27" s="30">
        <f t="shared" si="148"/>
        <v>3192.2573880651785</v>
      </c>
      <c r="AD27" s="30">
        <f t="shared" si="148"/>
        <v>3232.4919917591574</v>
      </c>
      <c r="AE27" s="32">
        <v>3272.7265954531367</v>
      </c>
      <c r="AF27" s="30">
        <f t="shared" ref="AF27:AI27" si="149">AE27+(($AJ27-$AE27)/5)</f>
        <v>3310.5538841821331</v>
      </c>
      <c r="AG27" s="30">
        <f t="shared" si="149"/>
        <v>3348.3811729111294</v>
      </c>
      <c r="AH27" s="30">
        <f t="shared" si="149"/>
        <v>3386.2084616401257</v>
      </c>
      <c r="AI27" s="30">
        <f t="shared" si="149"/>
        <v>3424.0357503691221</v>
      </c>
      <c r="AJ27" s="32">
        <v>3461.8630390981193</v>
      </c>
      <c r="AK27" s="31">
        <v>4.5930083180891979</v>
      </c>
      <c r="AL27" s="31">
        <v>1.3745054804163992</v>
      </c>
    </row>
    <row r="28" spans="1:38" x14ac:dyDescent="0.3">
      <c r="A28" t="str">
        <f>VLOOKUP(B28,'Country codes'!$A$1:$B$28,2,FALSE)</f>
        <v>SI</v>
      </c>
      <c r="B28" s="23" t="s">
        <v>115</v>
      </c>
      <c r="C28" s="24" t="s">
        <v>121</v>
      </c>
      <c r="D28" s="28" t="s">
        <v>208</v>
      </c>
      <c r="E28" s="29" t="s">
        <v>209</v>
      </c>
      <c r="F28" s="32">
        <v>109.41561800814044</v>
      </c>
      <c r="G28" s="30">
        <f t="shared" ref="G28:J28" si="150">F28+(($K28-$F28)/5)</f>
        <v>121.04663700638355</v>
      </c>
      <c r="H28" s="30">
        <f t="shared" si="150"/>
        <v>132.67765600462664</v>
      </c>
      <c r="I28" s="30">
        <f t="shared" si="150"/>
        <v>144.30867500286973</v>
      </c>
      <c r="J28" s="30">
        <f t="shared" si="150"/>
        <v>155.93969400111283</v>
      </c>
      <c r="K28" s="32">
        <v>167.57071299935595</v>
      </c>
      <c r="L28" s="30">
        <f t="shared" ref="L28:O28" si="151">K28+(($P28-$K28)/5)</f>
        <v>168.60807294735315</v>
      </c>
      <c r="M28" s="30">
        <f t="shared" si="151"/>
        <v>169.64543289535035</v>
      </c>
      <c r="N28" s="30">
        <f t="shared" si="151"/>
        <v>170.68279284334756</v>
      </c>
      <c r="O28" s="30">
        <f t="shared" si="151"/>
        <v>171.72015279134476</v>
      </c>
      <c r="P28" s="32">
        <v>172.75751273934191</v>
      </c>
      <c r="Q28" s="30">
        <f t="shared" ref="Q28:T28" si="152">P28+(($U28-$P28)/5)</f>
        <v>173.73825199759392</v>
      </c>
      <c r="R28" s="30">
        <f t="shared" si="152"/>
        <v>174.71899125584594</v>
      </c>
      <c r="S28" s="30">
        <f t="shared" si="152"/>
        <v>175.69973051409795</v>
      </c>
      <c r="T28" s="30">
        <f t="shared" si="152"/>
        <v>176.68046977234997</v>
      </c>
      <c r="U28" s="32">
        <v>177.66120903060198</v>
      </c>
      <c r="V28" s="30">
        <f t="shared" ref="V28:Y28" si="153">U28+(($Z28-$U28)/5)</f>
        <v>178.25064510188497</v>
      </c>
      <c r="W28" s="30">
        <f t="shared" si="153"/>
        <v>178.84008117316796</v>
      </c>
      <c r="X28" s="30">
        <f t="shared" si="153"/>
        <v>179.42951724445095</v>
      </c>
      <c r="Y28" s="30">
        <f t="shared" si="153"/>
        <v>180.01895331573394</v>
      </c>
      <c r="Z28" s="32">
        <v>180.60838938701698</v>
      </c>
      <c r="AA28" s="30">
        <f t="shared" ref="AA28:AD28" si="154">Z28+(($AE28-$Z28)/5)</f>
        <v>181.0157435381854</v>
      </c>
      <c r="AB28" s="30">
        <f t="shared" si="154"/>
        <v>181.42309768935382</v>
      </c>
      <c r="AC28" s="30">
        <f t="shared" si="154"/>
        <v>181.83045184052224</v>
      </c>
      <c r="AD28" s="30">
        <f t="shared" si="154"/>
        <v>182.23780599169066</v>
      </c>
      <c r="AE28" s="32">
        <v>182.64516014285914</v>
      </c>
      <c r="AF28" s="30">
        <f t="shared" ref="AF28:AI28" si="155">AE28+(($AJ28-$AE28)/5)</f>
        <v>182.67423529377345</v>
      </c>
      <c r="AG28" s="30">
        <f t="shared" si="155"/>
        <v>182.70331044468776</v>
      </c>
      <c r="AH28" s="30">
        <f t="shared" si="155"/>
        <v>182.73238559560207</v>
      </c>
      <c r="AI28" s="30">
        <f t="shared" si="155"/>
        <v>182.76146074651638</v>
      </c>
      <c r="AJ28" s="32">
        <v>182.79053589743071</v>
      </c>
      <c r="AK28" s="31">
        <v>4.6732629456696317</v>
      </c>
      <c r="AL28" s="31">
        <v>0.28265839718191188</v>
      </c>
    </row>
    <row r="29" spans="1:38" x14ac:dyDescent="0.3">
      <c r="A29" t="str">
        <f>VLOOKUP(B29,'Country codes'!$A$1:$B$28,2,FALSE)</f>
        <v>SK</v>
      </c>
      <c r="B29" s="23" t="s">
        <v>116</v>
      </c>
      <c r="C29" s="24" t="s">
        <v>121</v>
      </c>
      <c r="D29" s="28" t="s">
        <v>208</v>
      </c>
      <c r="E29" s="29" t="s">
        <v>209</v>
      </c>
      <c r="F29" s="32">
        <v>0</v>
      </c>
      <c r="G29" s="30">
        <f t="shared" ref="G29:J29" si="156">F29+(($K29-$F29)/5)</f>
        <v>0</v>
      </c>
      <c r="H29" s="30">
        <f t="shared" si="156"/>
        <v>0</v>
      </c>
      <c r="I29" s="30">
        <f t="shared" si="156"/>
        <v>0</v>
      </c>
      <c r="J29" s="30">
        <f t="shared" si="156"/>
        <v>0</v>
      </c>
      <c r="K29" s="32">
        <v>0</v>
      </c>
      <c r="L29" s="30">
        <f t="shared" ref="L29:O29" si="157">K29+(($P29-$K29)/5)</f>
        <v>0</v>
      </c>
      <c r="M29" s="30">
        <f t="shared" si="157"/>
        <v>0</v>
      </c>
      <c r="N29" s="30">
        <f t="shared" si="157"/>
        <v>0</v>
      </c>
      <c r="O29" s="30">
        <f t="shared" si="157"/>
        <v>0</v>
      </c>
      <c r="P29" s="32">
        <v>0</v>
      </c>
      <c r="Q29" s="30">
        <f t="shared" ref="Q29:T29" si="158">P29+(($U29-$P29)/5)</f>
        <v>0</v>
      </c>
      <c r="R29" s="30">
        <f t="shared" si="158"/>
        <v>0</v>
      </c>
      <c r="S29" s="30">
        <f t="shared" si="158"/>
        <v>0</v>
      </c>
      <c r="T29" s="30">
        <f t="shared" si="158"/>
        <v>0</v>
      </c>
      <c r="U29" s="32">
        <v>0</v>
      </c>
      <c r="V29" s="30">
        <f t="shared" ref="V29:Y29" si="159">U29+(($Z29-$U29)/5)</f>
        <v>0</v>
      </c>
      <c r="W29" s="30">
        <f t="shared" si="159"/>
        <v>0</v>
      </c>
      <c r="X29" s="30">
        <f t="shared" si="159"/>
        <v>0</v>
      </c>
      <c r="Y29" s="30">
        <f t="shared" si="159"/>
        <v>0</v>
      </c>
      <c r="Z29" s="32">
        <v>0</v>
      </c>
      <c r="AA29" s="30">
        <f t="shared" ref="AA29:AD29" si="160">Z29+(($AE29-$Z29)/5)</f>
        <v>0</v>
      </c>
      <c r="AB29" s="30">
        <f t="shared" si="160"/>
        <v>0</v>
      </c>
      <c r="AC29" s="30">
        <f t="shared" si="160"/>
        <v>0</v>
      </c>
      <c r="AD29" s="30">
        <f t="shared" si="160"/>
        <v>0</v>
      </c>
      <c r="AE29" s="32">
        <v>0</v>
      </c>
      <c r="AF29" s="30">
        <f t="shared" ref="AF29:AI29" si="161">AE29+(($AJ29-$AE29)/5)</f>
        <v>0</v>
      </c>
      <c r="AG29" s="30">
        <f t="shared" si="161"/>
        <v>0</v>
      </c>
      <c r="AH29" s="30">
        <f t="shared" si="161"/>
        <v>0</v>
      </c>
      <c r="AI29" s="30">
        <f t="shared" si="161"/>
        <v>0</v>
      </c>
      <c r="AJ29" s="32">
        <v>0</v>
      </c>
      <c r="AK29" s="31" t="s">
        <v>124</v>
      </c>
      <c r="AL29" s="31" t="s">
        <v>124</v>
      </c>
    </row>
    <row r="35" spans="1:38" x14ac:dyDescent="0.3">
      <c r="A35" t="s">
        <v>1</v>
      </c>
      <c r="B35" s="25" t="s">
        <v>118</v>
      </c>
      <c r="C35" s="26"/>
      <c r="D35" s="26"/>
      <c r="E35" s="26"/>
      <c r="F35" s="27">
        <v>2020</v>
      </c>
      <c r="G35" s="27">
        <v>2021</v>
      </c>
      <c r="H35" s="27">
        <v>2022</v>
      </c>
      <c r="I35" s="27">
        <v>2023</v>
      </c>
      <c r="J35" s="27">
        <v>2024</v>
      </c>
      <c r="K35" s="27">
        <v>2025</v>
      </c>
      <c r="L35" s="27">
        <v>2026</v>
      </c>
      <c r="M35" s="27">
        <v>2027</v>
      </c>
      <c r="N35" s="27">
        <v>2028</v>
      </c>
      <c r="O35" s="27">
        <v>2029</v>
      </c>
      <c r="P35" s="27">
        <v>2030</v>
      </c>
      <c r="Q35" s="27">
        <v>2031</v>
      </c>
      <c r="R35" s="27">
        <v>2032</v>
      </c>
      <c r="S35" s="27">
        <v>2033</v>
      </c>
      <c r="T35" s="27">
        <v>2034</v>
      </c>
      <c r="U35" s="27">
        <v>2035</v>
      </c>
      <c r="V35" s="27">
        <v>2036</v>
      </c>
      <c r="W35" s="27">
        <v>2037</v>
      </c>
      <c r="X35" s="27">
        <v>2038</v>
      </c>
      <c r="Y35" s="27">
        <v>2039</v>
      </c>
      <c r="Z35" s="27">
        <v>2040</v>
      </c>
      <c r="AA35" s="27">
        <v>2041</v>
      </c>
      <c r="AB35" s="27">
        <v>2042</v>
      </c>
      <c r="AC35" s="27">
        <v>2043</v>
      </c>
      <c r="AD35" s="27">
        <v>2044</v>
      </c>
      <c r="AE35" s="27">
        <v>2045</v>
      </c>
      <c r="AF35" s="27">
        <v>2046</v>
      </c>
      <c r="AG35" s="27">
        <v>2047</v>
      </c>
      <c r="AH35" s="27">
        <v>2048</v>
      </c>
      <c r="AI35" s="27">
        <v>2049</v>
      </c>
      <c r="AJ35" s="27">
        <v>2050</v>
      </c>
      <c r="AK35" s="27" t="s">
        <v>119</v>
      </c>
      <c r="AL35" s="27" t="s">
        <v>120</v>
      </c>
    </row>
    <row r="36" spans="1:38" x14ac:dyDescent="0.3">
      <c r="A36" t="str">
        <f>VLOOKUP(B36,'Country codes'!$A$1:$B$28,2,FALSE)</f>
        <v>AT</v>
      </c>
      <c r="B36" s="23" t="s">
        <v>90</v>
      </c>
      <c r="C36" s="24" t="s">
        <v>121</v>
      </c>
      <c r="D36" s="28" t="s">
        <v>125</v>
      </c>
      <c r="E36" s="29" t="s">
        <v>210</v>
      </c>
      <c r="F36" s="30">
        <v>1.8820110381784769</v>
      </c>
      <c r="G36" s="30">
        <f>F36+(($K36-$F36)/5)</f>
        <v>1.9387092436306061</v>
      </c>
      <c r="H36" s="30">
        <f t="shared" ref="H36:J37" si="162">G36+(($K36-$F36)/5)</f>
        <v>1.9954074490827354</v>
      </c>
      <c r="I36" s="30">
        <f t="shared" si="162"/>
        <v>2.0521056545348646</v>
      </c>
      <c r="J36" s="30">
        <f t="shared" si="162"/>
        <v>2.108803859986994</v>
      </c>
      <c r="K36" s="30">
        <v>2.1655020654391235</v>
      </c>
      <c r="L36" s="30">
        <f>K36+(($P36-$K36)/5)</f>
        <v>2.2067215381216614</v>
      </c>
      <c r="M36" s="30">
        <f t="shared" ref="M36:O36" si="163">L36+(($P36-$K36)/5)</f>
        <v>2.2479410108041993</v>
      </c>
      <c r="N36" s="30">
        <f t="shared" si="163"/>
        <v>2.2891604834867372</v>
      </c>
      <c r="O36" s="30">
        <f t="shared" si="163"/>
        <v>2.3303799561692751</v>
      </c>
      <c r="P36" s="30">
        <v>2.3715994288518139</v>
      </c>
      <c r="Q36" s="30">
        <f>P36+(($U36-$P36)/5)</f>
        <v>2.4153986189571279</v>
      </c>
      <c r="R36" s="30">
        <f t="shared" ref="R36:T36" si="164">Q36+(($U36-$P36)/5)</f>
        <v>2.459197809062442</v>
      </c>
      <c r="S36" s="30">
        <f t="shared" si="164"/>
        <v>2.5029969991677561</v>
      </c>
      <c r="T36" s="30">
        <f t="shared" si="164"/>
        <v>2.5467961892730702</v>
      </c>
      <c r="U36" s="30">
        <v>2.5905953793783851</v>
      </c>
      <c r="V36" s="30">
        <f>U36+(($Z36-$U36)/5)</f>
        <v>2.6043390552656942</v>
      </c>
      <c r="W36" s="30">
        <f t="shared" ref="W36:Y36" si="165">V36+(($Z36-$U36)/5)</f>
        <v>2.6180827311530033</v>
      </c>
      <c r="X36" s="30">
        <f t="shared" si="165"/>
        <v>2.6318264070403123</v>
      </c>
      <c r="Y36" s="30">
        <f t="shared" si="165"/>
        <v>2.6455700829276214</v>
      </c>
      <c r="Z36" s="30">
        <v>2.6593137588149305</v>
      </c>
      <c r="AA36" s="30">
        <f>Z36+(($AE36-$Z36)/5)</f>
        <v>2.673146476728725</v>
      </c>
      <c r="AB36" s="30">
        <f t="shared" ref="AB36:AD36" si="166">AA36+(($AE36-$Z36)/5)</f>
        <v>2.6869791946425194</v>
      </c>
      <c r="AC36" s="30">
        <f t="shared" si="166"/>
        <v>2.7008119125563139</v>
      </c>
      <c r="AD36" s="30">
        <f t="shared" si="166"/>
        <v>2.7146446304701084</v>
      </c>
      <c r="AE36" s="30">
        <v>2.7284773483839029</v>
      </c>
      <c r="AF36" s="30">
        <f>AE36+(($AJ36-$AE36)/5)</f>
        <v>2.7423492211199538</v>
      </c>
      <c r="AG36" s="30">
        <f t="shared" ref="AG36:AI36" si="167">AF36+(($AJ36-$AE36)/5)</f>
        <v>2.7562210938560048</v>
      </c>
      <c r="AH36" s="30">
        <f t="shared" si="167"/>
        <v>2.7700929665920557</v>
      </c>
      <c r="AI36" s="30">
        <f t="shared" si="167"/>
        <v>2.7839648393281067</v>
      </c>
      <c r="AJ36" s="30">
        <v>2.7978367120641581</v>
      </c>
      <c r="AK36" s="31">
        <v>2.3391762876520783</v>
      </c>
      <c r="AL36" s="31">
        <v>0.82983380896517467</v>
      </c>
    </row>
    <row r="37" spans="1:38" x14ac:dyDescent="0.3">
      <c r="A37" t="str">
        <f>VLOOKUP(B37,'Country codes'!$A$1:$B$28,2,FALSE)</f>
        <v>BE</v>
      </c>
      <c r="B37" s="23" t="s">
        <v>91</v>
      </c>
      <c r="C37" s="24" t="s">
        <v>121</v>
      </c>
      <c r="D37" s="28" t="s">
        <v>125</v>
      </c>
      <c r="E37" s="29" t="s">
        <v>210</v>
      </c>
      <c r="F37" s="30">
        <v>10.484113495115846</v>
      </c>
      <c r="G37" s="30">
        <f>F37+(($K37-$F37)/5)</f>
        <v>10.845147720014445</v>
      </c>
      <c r="H37" s="30">
        <f t="shared" si="162"/>
        <v>11.206181944913045</v>
      </c>
      <c r="I37" s="30">
        <f t="shared" si="162"/>
        <v>11.567216169811644</v>
      </c>
      <c r="J37" s="30">
        <f t="shared" si="162"/>
        <v>11.928250394710243</v>
      </c>
      <c r="K37" s="30">
        <v>12.289284619608843</v>
      </c>
      <c r="L37" s="30">
        <f t="shared" ref="L37:O37" si="168">K37+(($P37-$K37)/5)</f>
        <v>12.412344632394889</v>
      </c>
      <c r="M37" s="30">
        <f t="shared" si="168"/>
        <v>12.535404645180936</v>
      </c>
      <c r="N37" s="30">
        <f t="shared" si="168"/>
        <v>12.658464657966983</v>
      </c>
      <c r="O37" s="30">
        <f t="shared" si="168"/>
        <v>12.781524670753029</v>
      </c>
      <c r="P37" s="30">
        <v>12.904584683539072</v>
      </c>
      <c r="Q37" s="30">
        <f t="shared" ref="Q37:T37" si="169">P37+(($U37-$P37)/5)</f>
        <v>13.047960796445237</v>
      </c>
      <c r="R37" s="30">
        <f t="shared" si="169"/>
        <v>13.191336909351401</v>
      </c>
      <c r="S37" s="30">
        <f t="shared" si="169"/>
        <v>13.334713022257565</v>
      </c>
      <c r="T37" s="30">
        <f t="shared" si="169"/>
        <v>13.47808913516373</v>
      </c>
      <c r="U37" s="30">
        <v>13.621465248069891</v>
      </c>
      <c r="V37" s="30">
        <f t="shared" ref="V37:Y37" si="170">U37+(($Z37-$U37)/5)</f>
        <v>13.719776517722469</v>
      </c>
      <c r="W37" s="30">
        <f t="shared" si="170"/>
        <v>13.818087787375047</v>
      </c>
      <c r="X37" s="30">
        <f t="shared" si="170"/>
        <v>13.916399057027625</v>
      </c>
      <c r="Y37" s="30">
        <f t="shared" si="170"/>
        <v>14.014710326680204</v>
      </c>
      <c r="Z37" s="30">
        <v>14.113021596332782</v>
      </c>
      <c r="AA37" s="30">
        <f t="shared" ref="AA37:AD37" si="171">Z37+(($AE37-$Z37)/5)</f>
        <v>14.240100381476644</v>
      </c>
      <c r="AB37" s="30">
        <f t="shared" si="171"/>
        <v>14.367179166620506</v>
      </c>
      <c r="AC37" s="30">
        <f t="shared" si="171"/>
        <v>14.494257951764368</v>
      </c>
      <c r="AD37" s="30">
        <f t="shared" si="171"/>
        <v>14.62133673690823</v>
      </c>
      <c r="AE37" s="30">
        <v>14.748415522052094</v>
      </c>
      <c r="AF37" s="30">
        <f t="shared" ref="AF37:AI37" si="172">AE37+(($AJ37-$AE37)/5)</f>
        <v>14.868535314919756</v>
      </c>
      <c r="AG37" s="30">
        <f t="shared" si="172"/>
        <v>14.988655107787418</v>
      </c>
      <c r="AH37" s="30">
        <f t="shared" si="172"/>
        <v>15.10877490065508</v>
      </c>
      <c r="AI37" s="30">
        <f t="shared" si="172"/>
        <v>15.228894693522742</v>
      </c>
      <c r="AJ37" s="30">
        <v>15.3490144863904</v>
      </c>
      <c r="AK37" s="31">
        <v>2.0989396691275974</v>
      </c>
      <c r="AL37" s="31">
        <v>0.87111541404831794</v>
      </c>
    </row>
    <row r="38" spans="1:38" x14ac:dyDescent="0.3">
      <c r="A38" t="str">
        <f>VLOOKUP(B38,'Country codes'!$A$1:$B$28,2,FALSE)</f>
        <v>BG</v>
      </c>
      <c r="B38" s="23" t="s">
        <v>92</v>
      </c>
      <c r="C38" s="24" t="s">
        <v>121</v>
      </c>
      <c r="D38" s="28" t="s">
        <v>125</v>
      </c>
      <c r="E38" s="29" t="s">
        <v>210</v>
      </c>
      <c r="F38" s="30">
        <v>4.9119456303703801</v>
      </c>
      <c r="G38" s="30">
        <f t="shared" ref="G38:J38" si="173">F38+(($K38-$F38)/5)</f>
        <v>5.0865652303032824</v>
      </c>
      <c r="H38" s="30">
        <f t="shared" si="173"/>
        <v>5.2611848302361848</v>
      </c>
      <c r="I38" s="30">
        <f t="shared" si="173"/>
        <v>5.4358044301690871</v>
      </c>
      <c r="J38" s="30">
        <f t="shared" si="173"/>
        <v>5.6104240301019894</v>
      </c>
      <c r="K38" s="30">
        <v>5.78504363003489</v>
      </c>
      <c r="L38" s="30">
        <f t="shared" ref="L38:O38" si="174">K38+(($P38-$K38)/5)</f>
        <v>5.8768257207578154</v>
      </c>
      <c r="M38" s="30">
        <f t="shared" si="174"/>
        <v>5.9686078114807408</v>
      </c>
      <c r="N38" s="30">
        <f t="shared" si="174"/>
        <v>6.0603899022036662</v>
      </c>
      <c r="O38" s="30">
        <f t="shared" si="174"/>
        <v>6.1521719929265917</v>
      </c>
      <c r="P38" s="30">
        <v>6.2439540836495162</v>
      </c>
      <c r="Q38" s="30">
        <f t="shared" ref="Q38:T38" si="175">P38+(($U38-$P38)/5)</f>
        <v>6.4014518041412467</v>
      </c>
      <c r="R38" s="30">
        <f t="shared" si="175"/>
        <v>6.5589495246329772</v>
      </c>
      <c r="S38" s="30">
        <f t="shared" si="175"/>
        <v>6.7164472451247077</v>
      </c>
      <c r="T38" s="30">
        <f t="shared" si="175"/>
        <v>6.8739449656164382</v>
      </c>
      <c r="U38" s="30">
        <v>7.0314426861081696</v>
      </c>
      <c r="V38" s="30">
        <f t="shared" ref="V38:Y38" si="176">U38+(($Z38-$U38)/5)</f>
        <v>7.0851893946427786</v>
      </c>
      <c r="W38" s="30">
        <f t="shared" si="176"/>
        <v>7.1389361031773877</v>
      </c>
      <c r="X38" s="30">
        <f t="shared" si="176"/>
        <v>7.1926828117119967</v>
      </c>
      <c r="Y38" s="30">
        <f t="shared" si="176"/>
        <v>7.2464295202466058</v>
      </c>
      <c r="Z38" s="30">
        <v>7.300176228781214</v>
      </c>
      <c r="AA38" s="30">
        <f t="shared" ref="AA38:AD38" si="177">Z38+(($AE38-$Z38)/5)</f>
        <v>7.3950557637984105</v>
      </c>
      <c r="AB38" s="30">
        <f t="shared" si="177"/>
        <v>7.4899352988156069</v>
      </c>
      <c r="AC38" s="30">
        <f t="shared" si="177"/>
        <v>7.5848148338328034</v>
      </c>
      <c r="AD38" s="30">
        <f t="shared" si="177"/>
        <v>7.6796943688499999</v>
      </c>
      <c r="AE38" s="30">
        <v>7.7745739038671973</v>
      </c>
      <c r="AF38" s="30">
        <f t="shared" ref="AF38:AI38" si="178">AE38+(($AJ38-$AE38)/5)</f>
        <v>7.8140639062510644</v>
      </c>
      <c r="AG38" s="30">
        <f t="shared" si="178"/>
        <v>7.8535539086349315</v>
      </c>
      <c r="AH38" s="30">
        <f t="shared" si="178"/>
        <v>7.8930439110187987</v>
      </c>
      <c r="AI38" s="30">
        <f t="shared" si="178"/>
        <v>7.9325339134026658</v>
      </c>
      <c r="AJ38" s="30">
        <v>7.9720239157865338</v>
      </c>
      <c r="AK38" s="31">
        <v>2.4284533422269217</v>
      </c>
      <c r="AL38" s="31">
        <v>1.2291160681423996</v>
      </c>
    </row>
    <row r="39" spans="1:38" x14ac:dyDescent="0.3">
      <c r="A39" t="str">
        <f>VLOOKUP(B39,'Country codes'!$A$1:$B$28,2,FALSE)</f>
        <v>CY</v>
      </c>
      <c r="B39" s="23" t="s">
        <v>93</v>
      </c>
      <c r="C39" s="24" t="s">
        <v>121</v>
      </c>
      <c r="D39" s="28" t="s">
        <v>125</v>
      </c>
      <c r="E39" s="29" t="s">
        <v>210</v>
      </c>
      <c r="F39" s="30">
        <v>0</v>
      </c>
      <c r="G39" s="30">
        <f t="shared" ref="G39:J39" si="179">F39+(($K39-$F39)/5)</f>
        <v>0</v>
      </c>
      <c r="H39" s="30">
        <f t="shared" si="179"/>
        <v>0</v>
      </c>
      <c r="I39" s="30">
        <f t="shared" si="179"/>
        <v>0</v>
      </c>
      <c r="J39" s="30">
        <f t="shared" si="179"/>
        <v>0</v>
      </c>
      <c r="K39" s="30">
        <v>0</v>
      </c>
      <c r="L39" s="30">
        <f t="shared" ref="L39:O39" si="180">K39+(($P39-$K39)/5)</f>
        <v>0</v>
      </c>
      <c r="M39" s="30">
        <f t="shared" si="180"/>
        <v>0</v>
      </c>
      <c r="N39" s="30">
        <f t="shared" si="180"/>
        <v>0</v>
      </c>
      <c r="O39" s="30">
        <f t="shared" si="180"/>
        <v>0</v>
      </c>
      <c r="P39" s="30">
        <v>0</v>
      </c>
      <c r="Q39" s="30">
        <f t="shared" ref="Q39:T39" si="181">P39+(($U39-$P39)/5)</f>
        <v>0</v>
      </c>
      <c r="R39" s="30">
        <f t="shared" si="181"/>
        <v>0</v>
      </c>
      <c r="S39" s="30">
        <f t="shared" si="181"/>
        <v>0</v>
      </c>
      <c r="T39" s="30">
        <f t="shared" si="181"/>
        <v>0</v>
      </c>
      <c r="U39" s="30">
        <v>0</v>
      </c>
      <c r="V39" s="30">
        <f t="shared" ref="V39:Y39" si="182">U39+(($Z39-$U39)/5)</f>
        <v>0</v>
      </c>
      <c r="W39" s="30">
        <f t="shared" si="182"/>
        <v>0</v>
      </c>
      <c r="X39" s="30">
        <f t="shared" si="182"/>
        <v>0</v>
      </c>
      <c r="Y39" s="30">
        <f t="shared" si="182"/>
        <v>0</v>
      </c>
      <c r="Z39" s="30">
        <v>0</v>
      </c>
      <c r="AA39" s="30">
        <f t="shared" ref="AA39:AD39" si="183">Z39+(($AE39-$Z39)/5)</f>
        <v>0</v>
      </c>
      <c r="AB39" s="30">
        <f t="shared" si="183"/>
        <v>0</v>
      </c>
      <c r="AC39" s="30">
        <f t="shared" si="183"/>
        <v>0</v>
      </c>
      <c r="AD39" s="30">
        <f t="shared" si="183"/>
        <v>0</v>
      </c>
      <c r="AE39" s="30">
        <v>0</v>
      </c>
      <c r="AF39" s="30">
        <f t="shared" ref="AF39:AI39" si="184">AE39+(($AJ39-$AE39)/5)</f>
        <v>0</v>
      </c>
      <c r="AG39" s="30">
        <f t="shared" si="184"/>
        <v>0</v>
      </c>
      <c r="AH39" s="30">
        <f t="shared" si="184"/>
        <v>0</v>
      </c>
      <c r="AI39" s="30">
        <f t="shared" si="184"/>
        <v>0</v>
      </c>
      <c r="AJ39" s="30">
        <v>0</v>
      </c>
      <c r="AK39" s="31" t="s">
        <v>124</v>
      </c>
      <c r="AL39" s="31" t="s">
        <v>124</v>
      </c>
    </row>
    <row r="40" spans="1:38" x14ac:dyDescent="0.3">
      <c r="A40" t="str">
        <f>VLOOKUP(B40,'Country codes'!$A$1:$B$28,2,FALSE)</f>
        <v>CZ</v>
      </c>
      <c r="B40" s="23" t="s">
        <v>94</v>
      </c>
      <c r="C40" s="24" t="s">
        <v>121</v>
      </c>
      <c r="D40" s="28" t="s">
        <v>125</v>
      </c>
      <c r="E40" s="29" t="s">
        <v>210</v>
      </c>
      <c r="F40" s="30">
        <v>2.9351257312293818E-2</v>
      </c>
      <c r="G40" s="30">
        <f t="shared" ref="G40:J40" si="185">F40+(($K40-$F40)/5)</f>
        <v>3.0301599177113211E-2</v>
      </c>
      <c r="H40" s="30">
        <f t="shared" si="185"/>
        <v>3.1251941041932609E-2</v>
      </c>
      <c r="I40" s="30">
        <f t="shared" si="185"/>
        <v>3.2202282906752006E-2</v>
      </c>
      <c r="J40" s="30">
        <f t="shared" si="185"/>
        <v>3.3152624771571403E-2</v>
      </c>
      <c r="K40" s="30">
        <v>3.4102966636390793E-2</v>
      </c>
      <c r="L40" s="30">
        <f t="shared" ref="L40:O40" si="186">K40+(($P40-$K40)/5)</f>
        <v>3.4388021861548233E-2</v>
      </c>
      <c r="M40" s="30">
        <f t="shared" si="186"/>
        <v>3.4673077086705674E-2</v>
      </c>
      <c r="N40" s="30">
        <f t="shared" si="186"/>
        <v>3.4958132311863115E-2</v>
      </c>
      <c r="O40" s="30">
        <f t="shared" si="186"/>
        <v>3.5243187537020555E-2</v>
      </c>
      <c r="P40" s="30">
        <v>3.5528242762177989E-2</v>
      </c>
      <c r="Q40" s="30">
        <f t="shared" ref="Q40:T40" si="187">P40+(($U40-$P40)/5)</f>
        <v>3.6262760005883909E-2</v>
      </c>
      <c r="R40" s="30">
        <f t="shared" si="187"/>
        <v>3.699727724958983E-2</v>
      </c>
      <c r="S40" s="30">
        <f t="shared" si="187"/>
        <v>3.7731794493295751E-2</v>
      </c>
      <c r="T40" s="30">
        <f t="shared" si="187"/>
        <v>3.8466311737001671E-2</v>
      </c>
      <c r="U40" s="30">
        <v>3.9200828980707592E-2</v>
      </c>
      <c r="V40" s="30">
        <f t="shared" ref="V40:Y40" si="188">U40+(($Z40-$U40)/5)</f>
        <v>3.9684640536849454E-2</v>
      </c>
      <c r="W40" s="30">
        <f t="shared" si="188"/>
        <v>4.0168452092991316E-2</v>
      </c>
      <c r="X40" s="30">
        <f t="shared" si="188"/>
        <v>4.0652263649133179E-2</v>
      </c>
      <c r="Y40" s="30">
        <f t="shared" si="188"/>
        <v>4.1136075205275041E-2</v>
      </c>
      <c r="Z40" s="30">
        <v>4.161988676141689E-2</v>
      </c>
      <c r="AA40" s="30">
        <f t="shared" ref="AA40:AD40" si="189">Z40+(($AE40-$Z40)/5)</f>
        <v>4.2103529328456055E-2</v>
      </c>
      <c r="AB40" s="30">
        <f t="shared" si="189"/>
        <v>4.258717189549522E-2</v>
      </c>
      <c r="AC40" s="30">
        <f t="shared" si="189"/>
        <v>4.3070814462534385E-2</v>
      </c>
      <c r="AD40" s="30">
        <f t="shared" si="189"/>
        <v>4.355445702957355E-2</v>
      </c>
      <c r="AE40" s="30">
        <v>4.4038099596612701E-2</v>
      </c>
      <c r="AF40" s="30">
        <f t="shared" ref="AF40:AI40" si="190">AE40+(($AJ40-$AE40)/5)</f>
        <v>4.4480039228434291E-2</v>
      </c>
      <c r="AG40" s="30">
        <f t="shared" si="190"/>
        <v>4.4921978860255882E-2</v>
      </c>
      <c r="AH40" s="30">
        <f t="shared" si="190"/>
        <v>4.5363918492077472E-2</v>
      </c>
      <c r="AI40" s="30">
        <f t="shared" si="190"/>
        <v>4.5805858123899063E-2</v>
      </c>
      <c r="AJ40" s="30">
        <v>4.624779775572066E-2</v>
      </c>
      <c r="AK40" s="31">
        <v>1.9282814246445845</v>
      </c>
      <c r="AL40" s="31">
        <v>1.3271590827431012</v>
      </c>
    </row>
    <row r="41" spans="1:38" x14ac:dyDescent="0.3">
      <c r="A41" t="str">
        <f>VLOOKUP(B41,'Country codes'!$A$1:$B$28,2,FALSE)</f>
        <v>DE</v>
      </c>
      <c r="B41" s="23" t="s">
        <v>95</v>
      </c>
      <c r="C41" s="24" t="s">
        <v>121</v>
      </c>
      <c r="D41" s="28" t="s">
        <v>125</v>
      </c>
      <c r="E41" s="29" t="s">
        <v>210</v>
      </c>
      <c r="F41" s="30">
        <v>51.657512692136628</v>
      </c>
      <c r="G41" s="30">
        <f t="shared" ref="G41:J41" si="191">F41+(($K41-$F41)/5)</f>
        <v>54.230832672165505</v>
      </c>
      <c r="H41" s="30">
        <f t="shared" si="191"/>
        <v>56.804152652194382</v>
      </c>
      <c r="I41" s="30">
        <f t="shared" si="191"/>
        <v>59.37747263222326</v>
      </c>
      <c r="J41" s="30">
        <f t="shared" si="191"/>
        <v>61.950792612252137</v>
      </c>
      <c r="K41" s="30">
        <v>64.524112592281014</v>
      </c>
      <c r="L41" s="30">
        <f t="shared" ref="L41:O41" si="192">K41+(($P41-$K41)/5)</f>
        <v>66.281905703021863</v>
      </c>
      <c r="M41" s="30">
        <f t="shared" si="192"/>
        <v>68.039698813762712</v>
      </c>
      <c r="N41" s="30">
        <f t="shared" si="192"/>
        <v>69.797491924503561</v>
      </c>
      <c r="O41" s="30">
        <f t="shared" si="192"/>
        <v>71.55528503524441</v>
      </c>
      <c r="P41" s="30">
        <v>73.313078145985273</v>
      </c>
      <c r="Q41" s="30">
        <f t="shared" ref="Q41:T41" si="193">P41+(($U41-$P41)/5)</f>
        <v>74.281134570251155</v>
      </c>
      <c r="R41" s="30">
        <f t="shared" si="193"/>
        <v>75.249190994517036</v>
      </c>
      <c r="S41" s="30">
        <f t="shared" si="193"/>
        <v>76.217247418782918</v>
      </c>
      <c r="T41" s="30">
        <f t="shared" si="193"/>
        <v>77.1853038430488</v>
      </c>
      <c r="U41" s="30">
        <v>78.153360267314682</v>
      </c>
      <c r="V41" s="30">
        <f t="shared" ref="V41:Y41" si="194">U41+(($Z41-$U41)/5)</f>
        <v>78.612013350866363</v>
      </c>
      <c r="W41" s="30">
        <f t="shared" si="194"/>
        <v>79.070666434418044</v>
      </c>
      <c r="X41" s="30">
        <f t="shared" si="194"/>
        <v>79.529319517969725</v>
      </c>
      <c r="Y41" s="30">
        <f t="shared" si="194"/>
        <v>79.987972601521406</v>
      </c>
      <c r="Z41" s="30">
        <v>80.446625685073101</v>
      </c>
      <c r="AA41" s="30">
        <f t="shared" ref="AA41:AD41" si="195">Z41+(($AE41-$Z41)/5)</f>
        <v>80.977768950754708</v>
      </c>
      <c r="AB41" s="30">
        <f t="shared" si="195"/>
        <v>81.508912216436315</v>
      </c>
      <c r="AC41" s="30">
        <f t="shared" si="195"/>
        <v>82.040055482117921</v>
      </c>
      <c r="AD41" s="30">
        <f t="shared" si="195"/>
        <v>82.571198747799528</v>
      </c>
      <c r="AE41" s="30">
        <v>83.102342013481106</v>
      </c>
      <c r="AF41" s="30">
        <f t="shared" ref="AF41:AI41" si="196">AE41+(($AJ41-$AE41)/5)</f>
        <v>83.594335330424897</v>
      </c>
      <c r="AG41" s="30">
        <f t="shared" si="196"/>
        <v>84.086328647368688</v>
      </c>
      <c r="AH41" s="30">
        <f t="shared" si="196"/>
        <v>84.57832196431248</v>
      </c>
      <c r="AI41" s="30">
        <f t="shared" si="196"/>
        <v>85.070315281256271</v>
      </c>
      <c r="AJ41" s="30">
        <v>85.562308598200076</v>
      </c>
      <c r="AK41" s="31">
        <v>3.5630414426473411</v>
      </c>
      <c r="AL41" s="31">
        <v>0.77552097448432278</v>
      </c>
    </row>
    <row r="42" spans="1:38" x14ac:dyDescent="0.3">
      <c r="A42" t="str">
        <f>VLOOKUP(B42,'Country codes'!$A$1:$B$28,2,FALSE)</f>
        <v>DK</v>
      </c>
      <c r="B42" s="23" t="s">
        <v>96</v>
      </c>
      <c r="C42" s="24" t="s">
        <v>121</v>
      </c>
      <c r="D42" s="28" t="s">
        <v>125</v>
      </c>
      <c r="E42" s="29" t="s">
        <v>210</v>
      </c>
      <c r="F42" s="30">
        <v>2.2189729876131299</v>
      </c>
      <c r="G42" s="30">
        <f t="shared" ref="G42:J42" si="197">F42+(($K42-$F42)/5)</f>
        <v>2.3047282163284075</v>
      </c>
      <c r="H42" s="30">
        <f t="shared" si="197"/>
        <v>2.3904834450436852</v>
      </c>
      <c r="I42" s="30">
        <f t="shared" si="197"/>
        <v>2.4762386737589628</v>
      </c>
      <c r="J42" s="30">
        <f t="shared" si="197"/>
        <v>2.5619939024742404</v>
      </c>
      <c r="K42" s="30">
        <v>2.6477491311895176</v>
      </c>
      <c r="L42" s="30">
        <f t="shared" ref="L42:O42" si="198">K42+(($P42-$K42)/5)</f>
        <v>2.6786779710833879</v>
      </c>
      <c r="M42" s="30">
        <f t="shared" si="198"/>
        <v>2.7096068109772582</v>
      </c>
      <c r="N42" s="30">
        <f t="shared" si="198"/>
        <v>2.7405356508711285</v>
      </c>
      <c r="O42" s="30">
        <f t="shared" si="198"/>
        <v>2.7714644907649988</v>
      </c>
      <c r="P42" s="30">
        <v>2.8023933306588691</v>
      </c>
      <c r="Q42" s="30">
        <f t="shared" ref="Q42:T42" si="199">P42+(($U42-$P42)/5)</f>
        <v>2.8398672530795155</v>
      </c>
      <c r="R42" s="30">
        <f t="shared" si="199"/>
        <v>2.8773411755001619</v>
      </c>
      <c r="S42" s="30">
        <f t="shared" si="199"/>
        <v>2.9148150979208083</v>
      </c>
      <c r="T42" s="30">
        <f t="shared" si="199"/>
        <v>2.9522890203414547</v>
      </c>
      <c r="U42" s="30">
        <v>2.9897629427621015</v>
      </c>
      <c r="V42" s="30">
        <f t="shared" ref="V42:Y42" si="200">U42+(($Z42-$U42)/5)</f>
        <v>3.0167971369858009</v>
      </c>
      <c r="W42" s="30">
        <f t="shared" si="200"/>
        <v>3.0438313312095002</v>
      </c>
      <c r="X42" s="30">
        <f t="shared" si="200"/>
        <v>3.0708655254331996</v>
      </c>
      <c r="Y42" s="30">
        <f t="shared" si="200"/>
        <v>3.0978997196568989</v>
      </c>
      <c r="Z42" s="30">
        <v>3.1249339138805992</v>
      </c>
      <c r="AA42" s="30">
        <f t="shared" ref="AA42:AD42" si="201">Z42+(($AE42-$Z42)/5)</f>
        <v>3.1481206614974906</v>
      </c>
      <c r="AB42" s="30">
        <f t="shared" si="201"/>
        <v>3.171307409114382</v>
      </c>
      <c r="AC42" s="30">
        <f t="shared" si="201"/>
        <v>3.1944941567312735</v>
      </c>
      <c r="AD42" s="30">
        <f t="shared" si="201"/>
        <v>3.2176809043481649</v>
      </c>
      <c r="AE42" s="30">
        <v>3.2408676519650554</v>
      </c>
      <c r="AF42" s="30">
        <f t="shared" ref="AF42:AI42" si="202">AE42+(($AJ42-$AE42)/5)</f>
        <v>3.262741131750496</v>
      </c>
      <c r="AG42" s="30">
        <f t="shared" si="202"/>
        <v>3.2846146115359365</v>
      </c>
      <c r="AH42" s="30">
        <f t="shared" si="202"/>
        <v>3.306488091321377</v>
      </c>
      <c r="AI42" s="30">
        <f t="shared" si="202"/>
        <v>3.3283615711068175</v>
      </c>
      <c r="AJ42" s="30">
        <v>3.3502350508922571</v>
      </c>
      <c r="AK42" s="31">
        <v>2.3617512855124589</v>
      </c>
      <c r="AL42" s="31">
        <v>0.89678067219511881</v>
      </c>
    </row>
    <row r="43" spans="1:38" x14ac:dyDescent="0.3">
      <c r="A43" t="str">
        <f>VLOOKUP(B43,'Country codes'!$A$1:$B$28,2,FALSE)</f>
        <v>EE</v>
      </c>
      <c r="B43" s="23" t="s">
        <v>97</v>
      </c>
      <c r="C43" s="24" t="s">
        <v>121</v>
      </c>
      <c r="D43" s="28" t="s">
        <v>125</v>
      </c>
      <c r="E43" s="29" t="s">
        <v>210</v>
      </c>
      <c r="F43" s="30">
        <v>1.7036765593740587E-2</v>
      </c>
      <c r="G43" s="30">
        <f t="shared" ref="G43:J43" si="203">F43+(($K43-$F43)/5)</f>
        <v>1.7739921315060032E-2</v>
      </c>
      <c r="H43" s="30">
        <f t="shared" si="203"/>
        <v>1.8443077036379478E-2</v>
      </c>
      <c r="I43" s="30">
        <f t="shared" si="203"/>
        <v>1.9146232757698924E-2</v>
      </c>
      <c r="J43" s="30">
        <f t="shared" si="203"/>
        <v>1.9849388479018369E-2</v>
      </c>
      <c r="K43" s="30">
        <v>2.0552544200337808E-2</v>
      </c>
      <c r="L43" s="30">
        <f t="shared" ref="L43:O43" si="204">K43+(($P43-$K43)/5)</f>
        <v>2.1055461546809994E-2</v>
      </c>
      <c r="M43" s="30">
        <f t="shared" si="204"/>
        <v>2.155837889328218E-2</v>
      </c>
      <c r="N43" s="30">
        <f t="shared" si="204"/>
        <v>2.2061296239754367E-2</v>
      </c>
      <c r="O43" s="30">
        <f t="shared" si="204"/>
        <v>2.2564213586226553E-2</v>
      </c>
      <c r="P43" s="30">
        <v>2.3067130932698739E-2</v>
      </c>
      <c r="Q43" s="30">
        <f t="shared" ref="Q43:T43" si="205">P43+(($U43-$P43)/5)</f>
        <v>2.346512941281987E-2</v>
      </c>
      <c r="R43" s="30">
        <f t="shared" si="205"/>
        <v>2.3863127892941E-2</v>
      </c>
      <c r="S43" s="30">
        <f t="shared" si="205"/>
        <v>2.4261126373062131E-2</v>
      </c>
      <c r="T43" s="30">
        <f t="shared" si="205"/>
        <v>2.4659124853183261E-2</v>
      </c>
      <c r="U43" s="30">
        <v>2.5057123333304392E-2</v>
      </c>
      <c r="V43" s="30">
        <f t="shared" ref="V43:Y43" si="206">U43+(($Z43-$U43)/5)</f>
        <v>2.5359071402356704E-2</v>
      </c>
      <c r="W43" s="30">
        <f t="shared" si="206"/>
        <v>2.5661019471409016E-2</v>
      </c>
      <c r="X43" s="30">
        <f t="shared" si="206"/>
        <v>2.5962967540461328E-2</v>
      </c>
      <c r="Y43" s="30">
        <f t="shared" si="206"/>
        <v>2.6264915609513641E-2</v>
      </c>
      <c r="Z43" s="30">
        <v>2.6566863678565946E-2</v>
      </c>
      <c r="AA43" s="30">
        <f t="shared" ref="AA43:AD43" si="207">Z43+(($AE43-$Z43)/5)</f>
        <v>2.6798866006241016E-2</v>
      </c>
      <c r="AB43" s="30">
        <f t="shared" si="207"/>
        <v>2.7030868333916085E-2</v>
      </c>
      <c r="AC43" s="30">
        <f t="shared" si="207"/>
        <v>2.7262870661591155E-2</v>
      </c>
      <c r="AD43" s="30">
        <f t="shared" si="207"/>
        <v>2.7494872989266225E-2</v>
      </c>
      <c r="AE43" s="30">
        <v>2.7726875316941291E-2</v>
      </c>
      <c r="AF43" s="30">
        <f t="shared" ref="AF43:AI43" si="208">AE43+(($AJ43-$AE43)/5)</f>
        <v>2.7983385595734826E-2</v>
      </c>
      <c r="AG43" s="30">
        <f t="shared" si="208"/>
        <v>2.823989587452836E-2</v>
      </c>
      <c r="AH43" s="30">
        <f t="shared" si="208"/>
        <v>2.8496406153321895E-2</v>
      </c>
      <c r="AI43" s="30">
        <f t="shared" si="208"/>
        <v>2.875291643211543E-2</v>
      </c>
      <c r="AJ43" s="30">
        <v>2.9009426710908968E-2</v>
      </c>
      <c r="AK43" s="31">
        <v>3.0767325407388357</v>
      </c>
      <c r="AL43" s="31">
        <v>1.1526531120865657</v>
      </c>
    </row>
    <row r="44" spans="1:38" x14ac:dyDescent="0.3">
      <c r="A44" t="str">
        <f>VLOOKUP(B44,'Country codes'!$A$1:$B$28,2,FALSE)</f>
        <v>ES</v>
      </c>
      <c r="B44" s="23" t="s">
        <v>98</v>
      </c>
      <c r="C44" s="24" t="s">
        <v>121</v>
      </c>
      <c r="D44" s="28" t="s">
        <v>125</v>
      </c>
      <c r="E44" s="29" t="s">
        <v>210</v>
      </c>
      <c r="F44" s="30">
        <v>33.246651208876912</v>
      </c>
      <c r="G44" s="30">
        <f t="shared" ref="G44:J44" si="209">F44+(($K44-$F44)/5)</f>
        <v>34.464961006185703</v>
      </c>
      <c r="H44" s="30">
        <f t="shared" si="209"/>
        <v>35.683270803494494</v>
      </c>
      <c r="I44" s="30">
        <f t="shared" si="209"/>
        <v>36.901580600803285</v>
      </c>
      <c r="J44" s="30">
        <f t="shared" si="209"/>
        <v>38.119890398112076</v>
      </c>
      <c r="K44" s="30">
        <v>39.338200195420882</v>
      </c>
      <c r="L44" s="30">
        <f t="shared" ref="L44:O44" si="210">K44+(($P44-$K44)/5)</f>
        <v>39.734191636540743</v>
      </c>
      <c r="M44" s="30">
        <f t="shared" si="210"/>
        <v>40.130183077660604</v>
      </c>
      <c r="N44" s="30">
        <f t="shared" si="210"/>
        <v>40.526174518780465</v>
      </c>
      <c r="O44" s="30">
        <f t="shared" si="210"/>
        <v>40.922165959900326</v>
      </c>
      <c r="P44" s="30">
        <v>41.318157401020187</v>
      </c>
      <c r="Q44" s="30">
        <f t="shared" ref="Q44:T44" si="211">P44+(($U44-$P44)/5)</f>
        <v>41.706413175826107</v>
      </c>
      <c r="R44" s="30">
        <f t="shared" si="211"/>
        <v>42.094668950632027</v>
      </c>
      <c r="S44" s="30">
        <f t="shared" si="211"/>
        <v>42.482924725437947</v>
      </c>
      <c r="T44" s="30">
        <f t="shared" si="211"/>
        <v>42.871180500243867</v>
      </c>
      <c r="U44" s="30">
        <v>43.259436275049772</v>
      </c>
      <c r="V44" s="30">
        <f t="shared" ref="V44:Y44" si="212">U44+(($Z44-$U44)/5)</f>
        <v>43.580524580193469</v>
      </c>
      <c r="W44" s="30">
        <f t="shared" si="212"/>
        <v>43.901612885337165</v>
      </c>
      <c r="X44" s="30">
        <f t="shared" si="212"/>
        <v>44.222701190480862</v>
      </c>
      <c r="Y44" s="30">
        <f t="shared" si="212"/>
        <v>44.543789495624559</v>
      </c>
      <c r="Z44" s="30">
        <v>44.864877800768262</v>
      </c>
      <c r="AA44" s="30">
        <f t="shared" ref="AA44:AD44" si="213">Z44+(($AE44-$Z44)/5)</f>
        <v>45.104952443532717</v>
      </c>
      <c r="AB44" s="30">
        <f t="shared" si="213"/>
        <v>45.345027086297172</v>
      </c>
      <c r="AC44" s="30">
        <f t="shared" si="213"/>
        <v>45.585101729061627</v>
      </c>
      <c r="AD44" s="30">
        <f t="shared" si="213"/>
        <v>45.825176371826082</v>
      </c>
      <c r="AE44" s="30">
        <v>46.065251014590544</v>
      </c>
      <c r="AF44" s="30">
        <f t="shared" ref="AF44:AI44" si="214">AE44+(($AJ44-$AE44)/5)</f>
        <v>46.321346563005001</v>
      </c>
      <c r="AG44" s="30">
        <f t="shared" si="214"/>
        <v>46.577442111419458</v>
      </c>
      <c r="AH44" s="30">
        <f t="shared" si="214"/>
        <v>46.833537659833915</v>
      </c>
      <c r="AI44" s="30">
        <f t="shared" si="214"/>
        <v>47.089633208248372</v>
      </c>
      <c r="AJ44" s="30">
        <v>47.345728756662837</v>
      </c>
      <c r="AK44" s="31">
        <v>2.1972721706466913</v>
      </c>
      <c r="AL44" s="31">
        <v>0.68319600818180781</v>
      </c>
    </row>
    <row r="45" spans="1:38" x14ac:dyDescent="0.3">
      <c r="A45" t="str">
        <f>VLOOKUP(B45,'Country codes'!$A$1:$B$28,2,FALSE)</f>
        <v>FI</v>
      </c>
      <c r="B45" s="23" t="s">
        <v>99</v>
      </c>
      <c r="C45" s="24" t="s">
        <v>121</v>
      </c>
      <c r="D45" s="28" t="s">
        <v>125</v>
      </c>
      <c r="E45" s="29" t="s">
        <v>210</v>
      </c>
      <c r="F45" s="30">
        <v>2.5925146151174441</v>
      </c>
      <c r="G45" s="30">
        <f t="shared" ref="G45:J45" si="215">F45+(($K45-$F45)/5)</f>
        <v>2.6607958659570161</v>
      </c>
      <c r="H45" s="30">
        <f t="shared" si="215"/>
        <v>2.7290771167965882</v>
      </c>
      <c r="I45" s="30">
        <f t="shared" si="215"/>
        <v>2.7973583676361602</v>
      </c>
      <c r="J45" s="30">
        <f t="shared" si="215"/>
        <v>2.8656396184757322</v>
      </c>
      <c r="K45" s="30">
        <v>2.9339208693153038</v>
      </c>
      <c r="L45" s="30">
        <f t="shared" ref="L45:O45" si="216">K45+(($P45-$K45)/5)</f>
        <v>2.9815167813705887</v>
      </c>
      <c r="M45" s="30">
        <f t="shared" si="216"/>
        <v>3.0291126934258736</v>
      </c>
      <c r="N45" s="30">
        <f t="shared" si="216"/>
        <v>3.0767086054811585</v>
      </c>
      <c r="O45" s="30">
        <f t="shared" si="216"/>
        <v>3.1243045175364434</v>
      </c>
      <c r="P45" s="30">
        <v>3.1719004295917292</v>
      </c>
      <c r="Q45" s="30">
        <f t="shared" ref="Q45:T45" si="217">P45+(($U45-$P45)/5)</f>
        <v>3.1958043231484621</v>
      </c>
      <c r="R45" s="30">
        <f t="shared" si="217"/>
        <v>3.2197082167051949</v>
      </c>
      <c r="S45" s="30">
        <f t="shared" si="217"/>
        <v>3.2436121102619278</v>
      </c>
      <c r="T45" s="30">
        <f t="shared" si="217"/>
        <v>3.2675160038186606</v>
      </c>
      <c r="U45" s="30">
        <v>3.291419897375393</v>
      </c>
      <c r="V45" s="30">
        <f t="shared" ref="V45:Y45" si="218">U45+(($Z45-$U45)/5)</f>
        <v>3.3132330581500122</v>
      </c>
      <c r="W45" s="30">
        <f t="shared" si="218"/>
        <v>3.3350462189246315</v>
      </c>
      <c r="X45" s="30">
        <f t="shared" si="218"/>
        <v>3.3568593796992507</v>
      </c>
      <c r="Y45" s="30">
        <f t="shared" si="218"/>
        <v>3.37867254047387</v>
      </c>
      <c r="Z45" s="30">
        <v>3.4004857012484893</v>
      </c>
      <c r="AA45" s="30">
        <f t="shared" ref="AA45:AD45" si="219">Z45+(($AE45-$Z45)/5)</f>
        <v>3.4145099319254304</v>
      </c>
      <c r="AB45" s="30">
        <f t="shared" si="219"/>
        <v>3.4285341626023715</v>
      </c>
      <c r="AC45" s="30">
        <f t="shared" si="219"/>
        <v>3.4425583932793127</v>
      </c>
      <c r="AD45" s="30">
        <f t="shared" si="219"/>
        <v>3.4565826239562538</v>
      </c>
      <c r="AE45" s="30">
        <v>3.4706068546331958</v>
      </c>
      <c r="AF45" s="30">
        <f t="shared" ref="AF45:AI45" si="220">AE45+(($AJ45-$AE45)/5)</f>
        <v>3.4974184851425592</v>
      </c>
      <c r="AG45" s="30">
        <f t="shared" si="220"/>
        <v>3.5242301156519225</v>
      </c>
      <c r="AH45" s="30">
        <f t="shared" si="220"/>
        <v>3.5510417461612858</v>
      </c>
      <c r="AI45" s="30">
        <f t="shared" si="220"/>
        <v>3.5778533766706491</v>
      </c>
      <c r="AJ45" s="30">
        <v>3.6046650071800124</v>
      </c>
      <c r="AK45" s="31">
        <v>2.0375055753368621</v>
      </c>
      <c r="AL45" s="31">
        <v>0.64153874592576265</v>
      </c>
    </row>
    <row r="46" spans="1:38" x14ac:dyDescent="0.3">
      <c r="A46" t="str">
        <f>VLOOKUP(B46,'Country codes'!$A$1:$B$28,2,FALSE)</f>
        <v>FR</v>
      </c>
      <c r="B46" s="23" t="s">
        <v>100</v>
      </c>
      <c r="C46" s="24" t="s">
        <v>121</v>
      </c>
      <c r="D46" s="28" t="s">
        <v>125</v>
      </c>
      <c r="E46" s="29" t="s">
        <v>210</v>
      </c>
      <c r="F46" s="30">
        <v>33.840776947143681</v>
      </c>
      <c r="G46" s="30">
        <f t="shared" ref="G46:J46" si="221">F46+(($K46-$F46)/5)</f>
        <v>34.881290069605043</v>
      </c>
      <c r="H46" s="30">
        <f t="shared" si="221"/>
        <v>35.921803192066406</v>
      </c>
      <c r="I46" s="30">
        <f t="shared" si="221"/>
        <v>36.962316314527769</v>
      </c>
      <c r="J46" s="30">
        <f t="shared" si="221"/>
        <v>38.002829436989131</v>
      </c>
      <c r="K46" s="30">
        <v>39.043342559450501</v>
      </c>
      <c r="L46" s="30">
        <f t="shared" ref="L46:O46" si="222">K46+(($P46-$K46)/5)</f>
        <v>39.287991040296802</v>
      </c>
      <c r="M46" s="30">
        <f t="shared" si="222"/>
        <v>39.532639521143103</v>
      </c>
      <c r="N46" s="30">
        <f t="shared" si="222"/>
        <v>39.777288001989405</v>
      </c>
      <c r="O46" s="30">
        <f t="shared" si="222"/>
        <v>40.021936482835706</v>
      </c>
      <c r="P46" s="30">
        <v>40.266584963682014</v>
      </c>
      <c r="Q46" s="30">
        <f t="shared" ref="Q46:T46" si="223">P46+(($U46-$P46)/5)</f>
        <v>40.498210446170127</v>
      </c>
      <c r="R46" s="30">
        <f t="shared" si="223"/>
        <v>40.72983592865824</v>
      </c>
      <c r="S46" s="30">
        <f t="shared" si="223"/>
        <v>40.961461411146352</v>
      </c>
      <c r="T46" s="30">
        <f t="shared" si="223"/>
        <v>41.193086893634465</v>
      </c>
      <c r="U46" s="30">
        <v>41.424712376122585</v>
      </c>
      <c r="V46" s="30">
        <f t="shared" ref="V46:Y46" si="224">U46+(($Z46-$U46)/5)</f>
        <v>41.645106739313427</v>
      </c>
      <c r="W46" s="30">
        <f t="shared" si="224"/>
        <v>41.865501102504268</v>
      </c>
      <c r="X46" s="30">
        <f t="shared" si="224"/>
        <v>42.08589546569511</v>
      </c>
      <c r="Y46" s="30">
        <f t="shared" si="224"/>
        <v>42.306289828885951</v>
      </c>
      <c r="Z46" s="30">
        <v>42.526684192076793</v>
      </c>
      <c r="AA46" s="30">
        <f t="shared" ref="AA46:AD46" si="225">Z46+(($AE46-$Z46)/5)</f>
        <v>42.552449787149342</v>
      </c>
      <c r="AB46" s="30">
        <f t="shared" si="225"/>
        <v>42.578215382221892</v>
      </c>
      <c r="AC46" s="30">
        <f t="shared" si="225"/>
        <v>42.603980977294441</v>
      </c>
      <c r="AD46" s="30">
        <f t="shared" si="225"/>
        <v>42.62974657236699</v>
      </c>
      <c r="AE46" s="30">
        <v>42.655512167439525</v>
      </c>
      <c r="AF46" s="30">
        <f t="shared" ref="AF46:AI46" si="226">AE46+(($AJ46-$AE46)/5)</f>
        <v>42.745232813873237</v>
      </c>
      <c r="AG46" s="30">
        <f t="shared" si="226"/>
        <v>42.834953460306949</v>
      </c>
      <c r="AH46" s="30">
        <f t="shared" si="226"/>
        <v>42.92467410674066</v>
      </c>
      <c r="AI46" s="30">
        <f t="shared" si="226"/>
        <v>43.014394753174372</v>
      </c>
      <c r="AJ46" s="30">
        <v>43.104115399608069</v>
      </c>
      <c r="AK46" s="31">
        <v>1.7537555654633996</v>
      </c>
      <c r="AL46" s="31">
        <v>0.34106284863937297</v>
      </c>
    </row>
    <row r="47" spans="1:38" x14ac:dyDescent="0.3">
      <c r="A47" t="str">
        <f>VLOOKUP(B47,'Country codes'!$A$1:$B$28,2,FALSE)</f>
        <v>GR</v>
      </c>
      <c r="B47" s="23" t="s">
        <v>101</v>
      </c>
      <c r="C47" s="24" t="s">
        <v>121</v>
      </c>
      <c r="D47" s="28" t="s">
        <v>125</v>
      </c>
      <c r="E47" s="29" t="s">
        <v>210</v>
      </c>
      <c r="F47" s="30">
        <v>6.8082782105775541</v>
      </c>
      <c r="G47" s="30">
        <f t="shared" ref="G47:J47" si="227">F47+(($K47-$F47)/5)</f>
        <v>7.0037584333867242</v>
      </c>
      <c r="H47" s="30">
        <f t="shared" si="227"/>
        <v>7.1992386561958943</v>
      </c>
      <c r="I47" s="30">
        <f t="shared" si="227"/>
        <v>7.3947188790050644</v>
      </c>
      <c r="J47" s="30">
        <f t="shared" si="227"/>
        <v>7.5901991018142345</v>
      </c>
      <c r="K47" s="30">
        <v>7.7856793246234064</v>
      </c>
      <c r="L47" s="30">
        <f t="shared" ref="L47:O47" si="228">K47+(($P47-$K47)/5)</f>
        <v>7.8011039688236732</v>
      </c>
      <c r="M47" s="30">
        <f t="shared" si="228"/>
        <v>7.81652861302394</v>
      </c>
      <c r="N47" s="30">
        <f t="shared" si="228"/>
        <v>7.8319532572242068</v>
      </c>
      <c r="O47" s="30">
        <f t="shared" si="228"/>
        <v>7.8473779014244736</v>
      </c>
      <c r="P47" s="30">
        <v>7.8628025456247386</v>
      </c>
      <c r="Q47" s="30">
        <f t="shared" ref="Q47:T47" si="229">P47+(($U47-$P47)/5)</f>
        <v>7.9375623037143335</v>
      </c>
      <c r="R47" s="30">
        <f t="shared" si="229"/>
        <v>8.0123220618039284</v>
      </c>
      <c r="S47" s="30">
        <f t="shared" si="229"/>
        <v>8.0870818198935233</v>
      </c>
      <c r="T47" s="30">
        <f t="shared" si="229"/>
        <v>8.1618415779831182</v>
      </c>
      <c r="U47" s="30">
        <v>8.2366013360727148</v>
      </c>
      <c r="V47" s="30">
        <f t="shared" ref="V47:Y47" si="230">U47+(($Z47-$U47)/5)</f>
        <v>8.3079400891114386</v>
      </c>
      <c r="W47" s="30">
        <f t="shared" si="230"/>
        <v>8.3792788421501623</v>
      </c>
      <c r="X47" s="30">
        <f t="shared" si="230"/>
        <v>8.450617595188886</v>
      </c>
      <c r="Y47" s="30">
        <f t="shared" si="230"/>
        <v>8.5219563482276097</v>
      </c>
      <c r="Z47" s="30">
        <v>8.5932951012663352</v>
      </c>
      <c r="AA47" s="30">
        <f t="shared" ref="AA47:AD47" si="231">Z47+(($AE47-$Z47)/5)</f>
        <v>8.6759441481993278</v>
      </c>
      <c r="AB47" s="30">
        <f t="shared" si="231"/>
        <v>8.7585931951323204</v>
      </c>
      <c r="AC47" s="30">
        <f t="shared" si="231"/>
        <v>8.841242242065313</v>
      </c>
      <c r="AD47" s="30">
        <f t="shared" si="231"/>
        <v>8.9238912889983055</v>
      </c>
      <c r="AE47" s="30">
        <v>9.0065403359312981</v>
      </c>
      <c r="AF47" s="30">
        <f t="shared" ref="AF47:AI47" si="232">AE47+(($AJ47-$AE47)/5)</f>
        <v>9.0824221083057708</v>
      </c>
      <c r="AG47" s="30">
        <f t="shared" si="232"/>
        <v>9.1583038806802435</v>
      </c>
      <c r="AH47" s="30">
        <f t="shared" si="232"/>
        <v>9.2341856530547162</v>
      </c>
      <c r="AI47" s="30">
        <f t="shared" si="232"/>
        <v>9.3100674254291889</v>
      </c>
      <c r="AJ47" s="30">
        <v>9.3859491978036633</v>
      </c>
      <c r="AK47" s="31">
        <v>1.4504569555688906</v>
      </c>
      <c r="AL47" s="31">
        <v>0.88928436609161388</v>
      </c>
    </row>
    <row r="48" spans="1:38" x14ac:dyDescent="0.3">
      <c r="A48" t="str">
        <f>VLOOKUP(B48,'Country codes'!$A$1:$B$28,2,FALSE)</f>
        <v>HR</v>
      </c>
      <c r="B48" s="23" t="s">
        <v>102</v>
      </c>
      <c r="C48" s="24" t="s">
        <v>121</v>
      </c>
      <c r="D48" s="28" t="s">
        <v>125</v>
      </c>
      <c r="E48" s="29" t="s">
        <v>210</v>
      </c>
      <c r="F48" s="30">
        <v>1.0391121636866383</v>
      </c>
      <c r="G48" s="30">
        <f t="shared" ref="G48:J48" si="233">F48+(($K48-$F48)/5)</f>
        <v>1.0694752810935979</v>
      </c>
      <c r="H48" s="30">
        <f t="shared" si="233"/>
        <v>1.0998383985005575</v>
      </c>
      <c r="I48" s="30">
        <f t="shared" si="233"/>
        <v>1.1302015159075172</v>
      </c>
      <c r="J48" s="30">
        <f t="shared" si="233"/>
        <v>1.1605646333144768</v>
      </c>
      <c r="K48" s="30">
        <v>1.190927750721436</v>
      </c>
      <c r="L48" s="30">
        <f t="shared" ref="L48:O48" si="234">K48+(($P48-$K48)/5)</f>
        <v>1.2110654793981761</v>
      </c>
      <c r="M48" s="30">
        <f t="shared" si="234"/>
        <v>1.2312032080749162</v>
      </c>
      <c r="N48" s="30">
        <f t="shared" si="234"/>
        <v>1.2513409367516564</v>
      </c>
      <c r="O48" s="30">
        <f t="shared" si="234"/>
        <v>1.2714786654283965</v>
      </c>
      <c r="P48" s="30">
        <v>1.2916163941051364</v>
      </c>
      <c r="Q48" s="30">
        <f t="shared" ref="Q48:T48" si="235">P48+(($U48-$P48)/5)</f>
        <v>1.3026429041013614</v>
      </c>
      <c r="R48" s="30">
        <f t="shared" si="235"/>
        <v>1.3136694140975864</v>
      </c>
      <c r="S48" s="30">
        <f t="shared" si="235"/>
        <v>1.3246959240938114</v>
      </c>
      <c r="T48" s="30">
        <f t="shared" si="235"/>
        <v>1.3357224340900364</v>
      </c>
      <c r="U48" s="30">
        <v>1.346748944086261</v>
      </c>
      <c r="V48" s="30">
        <f t="shared" ref="V48:Y48" si="236">U48+(($Z48-$U48)/5)</f>
        <v>1.3715930238709868</v>
      </c>
      <c r="W48" s="30">
        <f t="shared" si="236"/>
        <v>1.3964371036557126</v>
      </c>
      <c r="X48" s="30">
        <f t="shared" si="236"/>
        <v>1.4212811834404384</v>
      </c>
      <c r="Y48" s="30">
        <f t="shared" si="236"/>
        <v>1.4461252632251642</v>
      </c>
      <c r="Z48" s="30">
        <v>1.4709693430098896</v>
      </c>
      <c r="AA48" s="30">
        <f t="shared" ref="AA48:AD48" si="237">Z48+(($AE48-$Z48)/5)</f>
        <v>1.4934387475126449</v>
      </c>
      <c r="AB48" s="30">
        <f t="shared" si="237"/>
        <v>1.5159081520154003</v>
      </c>
      <c r="AC48" s="30">
        <f t="shared" si="237"/>
        <v>1.5383775565181557</v>
      </c>
      <c r="AD48" s="30">
        <f t="shared" si="237"/>
        <v>1.560846961020911</v>
      </c>
      <c r="AE48" s="30">
        <v>1.5833163655236659</v>
      </c>
      <c r="AF48" s="30">
        <f t="shared" ref="AF48:AI48" si="238">AE48+(($AJ48-$AE48)/5)</f>
        <v>1.5956729511060939</v>
      </c>
      <c r="AG48" s="30">
        <f t="shared" si="238"/>
        <v>1.6080295366885218</v>
      </c>
      <c r="AH48" s="30">
        <f t="shared" si="238"/>
        <v>1.6203861222709497</v>
      </c>
      <c r="AI48" s="30">
        <f t="shared" si="238"/>
        <v>1.6327427078533776</v>
      </c>
      <c r="AJ48" s="30">
        <v>1.6450992934358057</v>
      </c>
      <c r="AK48" s="31">
        <v>2.1991095872085475</v>
      </c>
      <c r="AL48" s="31">
        <v>1.2168758650944023</v>
      </c>
    </row>
    <row r="49" spans="1:38" x14ac:dyDescent="0.3">
      <c r="A49" t="str">
        <f>VLOOKUP(B49,'Country codes'!$A$1:$B$28,2,FALSE)</f>
        <v>HU</v>
      </c>
      <c r="B49" s="23" t="s">
        <v>103</v>
      </c>
      <c r="C49" s="24" t="s">
        <v>121</v>
      </c>
      <c r="D49" s="28" t="s">
        <v>125</v>
      </c>
      <c r="E49" s="29" t="s">
        <v>210</v>
      </c>
      <c r="F49" s="30">
        <v>1.8415361042010139</v>
      </c>
      <c r="G49" s="30">
        <f t="shared" ref="G49:J49" si="239">F49+(($K49-$F49)/5)</f>
        <v>1.9083696434644544</v>
      </c>
      <c r="H49" s="30">
        <f t="shared" si="239"/>
        <v>1.9752031827278949</v>
      </c>
      <c r="I49" s="30">
        <f t="shared" si="239"/>
        <v>2.0420367219913356</v>
      </c>
      <c r="J49" s="30">
        <f t="shared" si="239"/>
        <v>2.1088702612547761</v>
      </c>
      <c r="K49" s="30">
        <v>2.1757038005182165</v>
      </c>
      <c r="L49" s="30">
        <f t="shared" ref="L49:O49" si="240">K49+(($P49-$K49)/5)</f>
        <v>2.2102332853759834</v>
      </c>
      <c r="M49" s="30">
        <f t="shared" si="240"/>
        <v>2.2447627702337503</v>
      </c>
      <c r="N49" s="30">
        <f t="shared" si="240"/>
        <v>2.2792922550915171</v>
      </c>
      <c r="O49" s="30">
        <f t="shared" si="240"/>
        <v>2.313821739949284</v>
      </c>
      <c r="P49" s="30">
        <v>2.3483512248070513</v>
      </c>
      <c r="Q49" s="30">
        <f t="shared" ref="Q49:T49" si="241">P49+(($U49-$P49)/5)</f>
        <v>2.3966831064118934</v>
      </c>
      <c r="R49" s="30">
        <f t="shared" si="241"/>
        <v>2.4450149880167356</v>
      </c>
      <c r="S49" s="30">
        <f t="shared" si="241"/>
        <v>2.4933468696215777</v>
      </c>
      <c r="T49" s="30">
        <f t="shared" si="241"/>
        <v>2.5416787512264198</v>
      </c>
      <c r="U49" s="30">
        <v>2.5900106328312629</v>
      </c>
      <c r="V49" s="30">
        <f t="shared" ref="V49:Y49" si="242">U49+(($Z49-$U49)/5)</f>
        <v>2.6200215631026031</v>
      </c>
      <c r="W49" s="30">
        <f t="shared" si="242"/>
        <v>2.6500324933739434</v>
      </c>
      <c r="X49" s="30">
        <f t="shared" si="242"/>
        <v>2.6800434236452837</v>
      </c>
      <c r="Y49" s="30">
        <f t="shared" si="242"/>
        <v>2.710054353916624</v>
      </c>
      <c r="Z49" s="30">
        <v>2.7400652841879638</v>
      </c>
      <c r="AA49" s="30">
        <f t="shared" ref="AA49:AD49" si="243">Z49+(($AE49-$Z49)/5)</f>
        <v>2.7579023184545104</v>
      </c>
      <c r="AB49" s="30">
        <f t="shared" si="243"/>
        <v>2.775739352721057</v>
      </c>
      <c r="AC49" s="30">
        <f t="shared" si="243"/>
        <v>2.7935763869876036</v>
      </c>
      <c r="AD49" s="30">
        <f t="shared" si="243"/>
        <v>2.8114134212541502</v>
      </c>
      <c r="AE49" s="30">
        <v>2.8292504555206976</v>
      </c>
      <c r="AF49" s="30">
        <f t="shared" ref="AF49:AI49" si="244">AE49+(($AJ49-$AE49)/5)</f>
        <v>2.8501419234153391</v>
      </c>
      <c r="AG49" s="30">
        <f t="shared" si="244"/>
        <v>2.8710333913099806</v>
      </c>
      <c r="AH49" s="30">
        <f t="shared" si="244"/>
        <v>2.8919248592046221</v>
      </c>
      <c r="AI49" s="30">
        <f t="shared" si="244"/>
        <v>2.9128163270992635</v>
      </c>
      <c r="AJ49" s="30">
        <v>2.9337077949939059</v>
      </c>
      <c r="AK49" s="31">
        <v>2.4609271405973132</v>
      </c>
      <c r="AL49" s="31">
        <v>1.1189823253196618</v>
      </c>
    </row>
    <row r="50" spans="1:38" x14ac:dyDescent="0.3">
      <c r="A50" t="str">
        <f>VLOOKUP(B50,'Country codes'!$A$1:$B$28,2,FALSE)</f>
        <v>IE</v>
      </c>
      <c r="B50" s="23" t="s">
        <v>104</v>
      </c>
      <c r="C50" s="24" t="s">
        <v>121</v>
      </c>
      <c r="D50" s="28" t="s">
        <v>125</v>
      </c>
      <c r="E50" s="29" t="s">
        <v>210</v>
      </c>
      <c r="F50" s="30">
        <v>0.38514665445272622</v>
      </c>
      <c r="G50" s="30">
        <f t="shared" ref="G50:J50" si="245">F50+(($K50-$F50)/5)</f>
        <v>0.39990353765691228</v>
      </c>
      <c r="H50" s="30">
        <f t="shared" si="245"/>
        <v>0.41466042086109833</v>
      </c>
      <c r="I50" s="30">
        <f t="shared" si="245"/>
        <v>0.42941730406528439</v>
      </c>
      <c r="J50" s="30">
        <f t="shared" si="245"/>
        <v>0.44417418726947044</v>
      </c>
      <c r="K50" s="30">
        <v>0.45893107047365639</v>
      </c>
      <c r="L50" s="30">
        <f t="shared" ref="L50:O50" si="246">K50+(($P50-$K50)/5)</f>
        <v>0.46589009166978768</v>
      </c>
      <c r="M50" s="30">
        <f t="shared" si="246"/>
        <v>0.47284911286591896</v>
      </c>
      <c r="N50" s="30">
        <f t="shared" si="246"/>
        <v>0.47980813406205025</v>
      </c>
      <c r="O50" s="30">
        <f t="shared" si="246"/>
        <v>0.48676715525818154</v>
      </c>
      <c r="P50" s="30">
        <v>0.49372617645431294</v>
      </c>
      <c r="Q50" s="30">
        <f t="shared" ref="Q50:T50" si="247">P50+(($U50-$P50)/5)</f>
        <v>0.50145779134902058</v>
      </c>
      <c r="R50" s="30">
        <f t="shared" si="247"/>
        <v>0.50918940624372822</v>
      </c>
      <c r="S50" s="30">
        <f t="shared" si="247"/>
        <v>0.51692102113843585</v>
      </c>
      <c r="T50" s="30">
        <f t="shared" si="247"/>
        <v>0.52465263603314349</v>
      </c>
      <c r="U50" s="30">
        <v>0.53238425092785113</v>
      </c>
      <c r="V50" s="30">
        <f t="shared" ref="V50:Y50" si="248">U50+(($Z50-$U50)/5)</f>
        <v>0.54021078131028222</v>
      </c>
      <c r="W50" s="30">
        <f t="shared" si="248"/>
        <v>0.5480373116927133</v>
      </c>
      <c r="X50" s="30">
        <f t="shared" si="248"/>
        <v>0.55586384207514439</v>
      </c>
      <c r="Y50" s="30">
        <f t="shared" si="248"/>
        <v>0.56369037245757547</v>
      </c>
      <c r="Z50" s="30">
        <v>0.57151690284000634</v>
      </c>
      <c r="AA50" s="30">
        <f t="shared" ref="AA50:AD50" si="249">Z50+(($AE50-$Z50)/5)</f>
        <v>0.57671832885151264</v>
      </c>
      <c r="AB50" s="30">
        <f t="shared" si="249"/>
        <v>0.58191975486301895</v>
      </c>
      <c r="AC50" s="30">
        <f t="shared" si="249"/>
        <v>0.58712118087452525</v>
      </c>
      <c r="AD50" s="30">
        <f t="shared" si="249"/>
        <v>0.59232260688603156</v>
      </c>
      <c r="AE50" s="30">
        <v>0.59752403289753808</v>
      </c>
      <c r="AF50" s="30">
        <f t="shared" ref="AF50:AI50" si="250">AE50+(($AJ50-$AE50)/5)</f>
        <v>0.60163651246883998</v>
      </c>
      <c r="AG50" s="30">
        <f t="shared" si="250"/>
        <v>0.60574899204014188</v>
      </c>
      <c r="AH50" s="30">
        <f t="shared" si="250"/>
        <v>0.60986147161144377</v>
      </c>
      <c r="AI50" s="30">
        <f t="shared" si="250"/>
        <v>0.61397395118274567</v>
      </c>
      <c r="AJ50" s="30">
        <v>0.61808643075404779</v>
      </c>
      <c r="AK50" s="31">
        <v>2.5146663034600891</v>
      </c>
      <c r="AL50" s="31">
        <v>1.1295681753971554</v>
      </c>
    </row>
    <row r="51" spans="1:38" x14ac:dyDescent="0.3">
      <c r="A51" t="str">
        <f>VLOOKUP(B51,'Country codes'!$A$1:$B$28,2,FALSE)</f>
        <v>IT</v>
      </c>
      <c r="B51" s="23" t="s">
        <v>105</v>
      </c>
      <c r="C51" s="24" t="s">
        <v>121</v>
      </c>
      <c r="D51" s="28" t="s">
        <v>125</v>
      </c>
      <c r="E51" s="29" t="s">
        <v>210</v>
      </c>
      <c r="F51" s="30">
        <v>52.225209465802649</v>
      </c>
      <c r="G51" s="30">
        <f t="shared" ref="G51:J51" si="251">F51+(($K51-$F51)/5)</f>
        <v>53.738641930319169</v>
      </c>
      <c r="H51" s="30">
        <f t="shared" si="251"/>
        <v>55.252074394835688</v>
      </c>
      <c r="I51" s="30">
        <f t="shared" si="251"/>
        <v>56.765506859352207</v>
      </c>
      <c r="J51" s="30">
        <f t="shared" si="251"/>
        <v>58.278939323868727</v>
      </c>
      <c r="K51" s="30">
        <v>59.792371788385239</v>
      </c>
      <c r="L51" s="30">
        <f t="shared" ref="L51:O51" si="252">K51+(($P51-$K51)/5)</f>
        <v>60.013997139925621</v>
      </c>
      <c r="M51" s="30">
        <f t="shared" si="252"/>
        <v>60.235622491466003</v>
      </c>
      <c r="N51" s="30">
        <f t="shared" si="252"/>
        <v>60.457247843006385</v>
      </c>
      <c r="O51" s="30">
        <f t="shared" si="252"/>
        <v>60.678873194546767</v>
      </c>
      <c r="P51" s="30">
        <v>60.90049854608715</v>
      </c>
      <c r="Q51" s="30">
        <f t="shared" ref="Q51:T51" si="253">P51+(($U51-$P51)/5)</f>
        <v>61.314774500646806</v>
      </c>
      <c r="R51" s="30">
        <f t="shared" si="253"/>
        <v>61.729050455206462</v>
      </c>
      <c r="S51" s="30">
        <f t="shared" si="253"/>
        <v>62.143326409766118</v>
      </c>
      <c r="T51" s="30">
        <f t="shared" si="253"/>
        <v>62.557602364325774</v>
      </c>
      <c r="U51" s="30">
        <v>62.971878318885416</v>
      </c>
      <c r="V51" s="30">
        <f t="shared" ref="V51:Y51" si="254">U51+(($Z51-$U51)/5)</f>
        <v>63.375152270350938</v>
      </c>
      <c r="W51" s="30">
        <f t="shared" si="254"/>
        <v>63.77842622181646</v>
      </c>
      <c r="X51" s="30">
        <f t="shared" si="254"/>
        <v>64.181700173281982</v>
      </c>
      <c r="Y51" s="30">
        <f t="shared" si="254"/>
        <v>64.584974124747504</v>
      </c>
      <c r="Z51" s="30">
        <v>64.988248076213011</v>
      </c>
      <c r="AA51" s="30">
        <f t="shared" ref="AA51:AD51" si="255">Z51+(($AE51-$Z51)/5)</f>
        <v>65.242134403452852</v>
      </c>
      <c r="AB51" s="30">
        <f t="shared" si="255"/>
        <v>65.496020730692692</v>
      </c>
      <c r="AC51" s="30">
        <f t="shared" si="255"/>
        <v>65.749907057932532</v>
      </c>
      <c r="AD51" s="30">
        <f t="shared" si="255"/>
        <v>66.003793385172372</v>
      </c>
      <c r="AE51" s="30">
        <v>66.257679712412184</v>
      </c>
      <c r="AF51" s="30">
        <f t="shared" ref="AF51:AI51" si="256">AE51+(($AJ51-$AE51)/5)</f>
        <v>66.593316822080439</v>
      </c>
      <c r="AG51" s="30">
        <f t="shared" si="256"/>
        <v>66.928953931748694</v>
      </c>
      <c r="AH51" s="30">
        <f t="shared" si="256"/>
        <v>67.264591041416949</v>
      </c>
      <c r="AI51" s="30">
        <f t="shared" si="256"/>
        <v>67.600228151085204</v>
      </c>
      <c r="AJ51" s="30">
        <v>67.935865260753474</v>
      </c>
      <c r="AK51" s="31">
        <v>1.5486293110893889</v>
      </c>
      <c r="AL51" s="31">
        <v>0.5481103644730867</v>
      </c>
    </row>
    <row r="52" spans="1:38" x14ac:dyDescent="0.3">
      <c r="A52" t="str">
        <f>VLOOKUP(B52,'Country codes'!$A$1:$B$28,2,FALSE)</f>
        <v>LT</v>
      </c>
      <c r="B52" s="23" t="s">
        <v>106</v>
      </c>
      <c r="C52" s="24" t="s">
        <v>121</v>
      </c>
      <c r="D52" s="28" t="s">
        <v>125</v>
      </c>
      <c r="E52" s="29" t="s">
        <v>210</v>
      </c>
      <c r="F52" s="30">
        <v>1.920332452879461E-3</v>
      </c>
      <c r="G52" s="30">
        <f t="shared" ref="G52:J52" si="257">F52+(($K52-$F52)/5)</f>
        <v>1.9835584988506416E-3</v>
      </c>
      <c r="H52" s="30">
        <f t="shared" si="257"/>
        <v>2.0467845448218225E-3</v>
      </c>
      <c r="I52" s="30">
        <f t="shared" si="257"/>
        <v>2.1100105907930033E-3</v>
      </c>
      <c r="J52" s="30">
        <f t="shared" si="257"/>
        <v>2.1732366367641842E-3</v>
      </c>
      <c r="K52" s="30">
        <v>2.236462682735365E-3</v>
      </c>
      <c r="L52" s="30">
        <f t="shared" ref="L52:O52" si="258">K52+(($P52-$K52)/5)</f>
        <v>2.2652632141353622E-3</v>
      </c>
      <c r="M52" s="30">
        <f t="shared" si="258"/>
        <v>2.2940637455353594E-3</v>
      </c>
      <c r="N52" s="30">
        <f t="shared" si="258"/>
        <v>2.3228642769353566E-3</v>
      </c>
      <c r="O52" s="30">
        <f t="shared" si="258"/>
        <v>2.3516648083353538E-3</v>
      </c>
      <c r="P52" s="30">
        <v>2.3804653397353514E-3</v>
      </c>
      <c r="Q52" s="30">
        <f t="shared" ref="Q52:T52" si="259">P52+(($U52-$P52)/5)</f>
        <v>2.4117921808118423E-3</v>
      </c>
      <c r="R52" s="30">
        <f t="shared" si="259"/>
        <v>2.4431190218883333E-3</v>
      </c>
      <c r="S52" s="30">
        <f t="shared" si="259"/>
        <v>2.4744458629648242E-3</v>
      </c>
      <c r="T52" s="30">
        <f t="shared" si="259"/>
        <v>2.5057727040413151E-3</v>
      </c>
      <c r="U52" s="30">
        <v>2.5370995451178056E-3</v>
      </c>
      <c r="V52" s="30">
        <f t="shared" ref="V52:Y52" si="260">U52+(($Z52-$U52)/5)</f>
        <v>2.5658199639965241E-3</v>
      </c>
      <c r="W52" s="30">
        <f t="shared" si="260"/>
        <v>2.5945403828752426E-3</v>
      </c>
      <c r="X52" s="30">
        <f t="shared" si="260"/>
        <v>2.6232608017539611E-3</v>
      </c>
      <c r="Y52" s="30">
        <f t="shared" si="260"/>
        <v>2.6519812206326795E-3</v>
      </c>
      <c r="Z52" s="30">
        <v>2.6807016395113989E-3</v>
      </c>
      <c r="AA52" s="30">
        <f t="shared" ref="AA52:AD52" si="261">Z52+(($AE52-$Z52)/5)</f>
        <v>2.6947090236837004E-3</v>
      </c>
      <c r="AB52" s="30">
        <f t="shared" si="261"/>
        <v>2.7087164078560019E-3</v>
      </c>
      <c r="AC52" s="30">
        <f t="shared" si="261"/>
        <v>2.7227237920283034E-3</v>
      </c>
      <c r="AD52" s="30">
        <f t="shared" si="261"/>
        <v>2.7367311762006049E-3</v>
      </c>
      <c r="AE52" s="30">
        <v>2.7507385603729073E-3</v>
      </c>
      <c r="AF52" s="30">
        <f t="shared" ref="AF52:AI52" si="262">AE52+(($AJ52-$AE52)/5)</f>
        <v>2.765267993646054E-3</v>
      </c>
      <c r="AG52" s="30">
        <f t="shared" si="262"/>
        <v>2.7797974269192006E-3</v>
      </c>
      <c r="AH52" s="30">
        <f t="shared" si="262"/>
        <v>2.7943268601923472E-3</v>
      </c>
      <c r="AI52" s="30">
        <f t="shared" si="262"/>
        <v>2.8088562934654939E-3</v>
      </c>
      <c r="AJ52" s="30">
        <v>2.8233857267386409E-3</v>
      </c>
      <c r="AK52" s="31">
        <v>2.1712117405713771</v>
      </c>
      <c r="AL52" s="31">
        <v>0.85685409672044965</v>
      </c>
    </row>
    <row r="53" spans="1:38" x14ac:dyDescent="0.3">
      <c r="A53" t="str">
        <f>VLOOKUP(B53,'Country codes'!$A$1:$B$28,2,FALSE)</f>
        <v>LU</v>
      </c>
      <c r="B53" s="23" t="s">
        <v>107</v>
      </c>
      <c r="C53" s="24" t="s">
        <v>121</v>
      </c>
      <c r="D53" s="28" t="s">
        <v>125</v>
      </c>
      <c r="E53" s="29" t="s">
        <v>210</v>
      </c>
      <c r="F53" s="30">
        <v>0.21321820861588053</v>
      </c>
      <c r="G53" s="30">
        <f t="shared" ref="G53:J53" si="263">F53+(($K53-$F53)/5)</f>
        <v>0.22219650020166781</v>
      </c>
      <c r="H53" s="30">
        <f t="shared" si="263"/>
        <v>0.23117479178745509</v>
      </c>
      <c r="I53" s="30">
        <f t="shared" si="263"/>
        <v>0.24015308337324237</v>
      </c>
      <c r="J53" s="30">
        <f t="shared" si="263"/>
        <v>0.24913137495902965</v>
      </c>
      <c r="K53" s="30">
        <v>0.25810966654481693</v>
      </c>
      <c r="L53" s="30">
        <f t="shared" ref="L53:O53" si="264">K53+(($P53-$K53)/5)</f>
        <v>0.2617548381633481</v>
      </c>
      <c r="M53" s="30">
        <f t="shared" si="264"/>
        <v>0.26540000978187928</v>
      </c>
      <c r="N53" s="30">
        <f t="shared" si="264"/>
        <v>0.26904518140041045</v>
      </c>
      <c r="O53" s="30">
        <f t="shared" si="264"/>
        <v>0.27269035301894162</v>
      </c>
      <c r="P53" s="30">
        <v>0.2763355246374728</v>
      </c>
      <c r="Q53" s="30">
        <f t="shared" ref="Q53:T53" si="265">P53+(($U53-$P53)/5)</f>
        <v>0.2798058719418019</v>
      </c>
      <c r="R53" s="30">
        <f t="shared" si="265"/>
        <v>0.283276219246131</v>
      </c>
      <c r="S53" s="30">
        <f t="shared" si="265"/>
        <v>0.2867465665504601</v>
      </c>
      <c r="T53" s="30">
        <f t="shared" si="265"/>
        <v>0.2902169138547892</v>
      </c>
      <c r="U53" s="30">
        <v>0.29368726115911831</v>
      </c>
      <c r="V53" s="30">
        <f t="shared" ref="V53:Y53" si="266">U53+(($Z53-$U53)/5)</f>
        <v>0.29664415112987935</v>
      </c>
      <c r="W53" s="30">
        <f t="shared" si="266"/>
        <v>0.2996010411006404</v>
      </c>
      <c r="X53" s="30">
        <f t="shared" si="266"/>
        <v>0.30255793107140144</v>
      </c>
      <c r="Y53" s="30">
        <f t="shared" si="266"/>
        <v>0.30551482104216249</v>
      </c>
      <c r="Z53" s="30">
        <v>0.30847171101292353</v>
      </c>
      <c r="AA53" s="30">
        <f t="shared" ref="AA53:AD53" si="267">Z53+(($AE53-$Z53)/5)</f>
        <v>0.31178239479204073</v>
      </c>
      <c r="AB53" s="30">
        <f t="shared" si="267"/>
        <v>0.31509307857115793</v>
      </c>
      <c r="AC53" s="30">
        <f t="shared" si="267"/>
        <v>0.31840376235027512</v>
      </c>
      <c r="AD53" s="30">
        <f t="shared" si="267"/>
        <v>0.32171444612939232</v>
      </c>
      <c r="AE53" s="30">
        <v>0.3250251299085094</v>
      </c>
      <c r="AF53" s="30">
        <f t="shared" ref="AF53:AI53" si="268">AE53+(($AJ53-$AE53)/5)</f>
        <v>0.32860333794673191</v>
      </c>
      <c r="AG53" s="30">
        <f t="shared" si="268"/>
        <v>0.33218154598495442</v>
      </c>
      <c r="AH53" s="30">
        <f t="shared" si="268"/>
        <v>0.33575975402317693</v>
      </c>
      <c r="AI53" s="30">
        <f t="shared" si="268"/>
        <v>0.33933796206139943</v>
      </c>
      <c r="AJ53" s="30">
        <v>0.34291617009962205</v>
      </c>
      <c r="AK53" s="31">
        <v>2.6269076482841269</v>
      </c>
      <c r="AL53" s="31">
        <v>1.0851971024105067</v>
      </c>
    </row>
    <row r="54" spans="1:38" x14ac:dyDescent="0.3">
      <c r="A54" t="str">
        <f>VLOOKUP(B54,'Country codes'!$A$1:$B$28,2,FALSE)</f>
        <v>LV</v>
      </c>
      <c r="B54" s="23" t="s">
        <v>108</v>
      </c>
      <c r="C54" s="24" t="s">
        <v>121</v>
      </c>
      <c r="D54" s="28" t="s">
        <v>125</v>
      </c>
      <c r="E54" s="29" t="s">
        <v>210</v>
      </c>
      <c r="F54" s="30">
        <v>5.2933373285001167E-2</v>
      </c>
      <c r="G54" s="30">
        <f t="shared" ref="G54:J54" si="269">F54+(($K54-$F54)/5)</f>
        <v>5.4811620070277282E-2</v>
      </c>
      <c r="H54" s="30">
        <f t="shared" si="269"/>
        <v>5.6689866855553397E-2</v>
      </c>
      <c r="I54" s="30">
        <f t="shared" si="269"/>
        <v>5.8568113640829512E-2</v>
      </c>
      <c r="J54" s="30">
        <f t="shared" si="269"/>
        <v>6.0446360426105628E-2</v>
      </c>
      <c r="K54" s="30">
        <v>6.2324607211381756E-2</v>
      </c>
      <c r="L54" s="30">
        <f t="shared" ref="L54:O54" si="270">K54+(($P54-$K54)/5)</f>
        <v>6.3595430252529742E-2</v>
      </c>
      <c r="M54" s="30">
        <f t="shared" si="270"/>
        <v>6.486625329367772E-2</v>
      </c>
      <c r="N54" s="30">
        <f t="shared" si="270"/>
        <v>6.6137076334825698E-2</v>
      </c>
      <c r="O54" s="30">
        <f t="shared" si="270"/>
        <v>6.7407899375973676E-2</v>
      </c>
      <c r="P54" s="30">
        <v>6.8678722417121668E-2</v>
      </c>
      <c r="Q54" s="30">
        <f t="shared" ref="Q54:T54" si="271">P54+(($U54-$P54)/5)</f>
        <v>6.9827772976304006E-2</v>
      </c>
      <c r="R54" s="30">
        <f t="shared" si="271"/>
        <v>7.0976823535486344E-2</v>
      </c>
      <c r="S54" s="30">
        <f t="shared" si="271"/>
        <v>7.2125874094668682E-2</v>
      </c>
      <c r="T54" s="30">
        <f t="shared" si="271"/>
        <v>7.327492465385102E-2</v>
      </c>
      <c r="U54" s="30">
        <v>7.442397521303333E-2</v>
      </c>
      <c r="V54" s="30">
        <f t="shared" ref="V54:Y54" si="272">U54+(($Z54-$U54)/5)</f>
        <v>7.5497907981576864E-2</v>
      </c>
      <c r="W54" s="30">
        <f t="shared" si="272"/>
        <v>7.6571840750120398E-2</v>
      </c>
      <c r="X54" s="30">
        <f t="shared" si="272"/>
        <v>7.7645773518663933E-2</v>
      </c>
      <c r="Y54" s="30">
        <f t="shared" si="272"/>
        <v>7.8719706287207467E-2</v>
      </c>
      <c r="Z54" s="30">
        <v>7.9793639055751014E-2</v>
      </c>
      <c r="AA54" s="30">
        <f t="shared" ref="AA54:AD54" si="273">Z54+(($AE54-$Z54)/5)</f>
        <v>8.0108991586871833E-2</v>
      </c>
      <c r="AB54" s="30">
        <f t="shared" si="273"/>
        <v>8.0424344117992652E-2</v>
      </c>
      <c r="AC54" s="30">
        <f t="shared" si="273"/>
        <v>8.0739696649113471E-2</v>
      </c>
      <c r="AD54" s="30">
        <f t="shared" si="273"/>
        <v>8.105504918023429E-2</v>
      </c>
      <c r="AE54" s="30">
        <v>8.1370401711355081E-2</v>
      </c>
      <c r="AF54" s="30">
        <f t="shared" ref="AF54:AI54" si="274">AE54+(($AJ54-$AE54)/5)</f>
        <v>8.1709210150289813E-2</v>
      </c>
      <c r="AG54" s="30">
        <f t="shared" si="274"/>
        <v>8.2048018589224544E-2</v>
      </c>
      <c r="AH54" s="30">
        <f t="shared" si="274"/>
        <v>8.2386827028159276E-2</v>
      </c>
      <c r="AI54" s="30">
        <f t="shared" si="274"/>
        <v>8.2725635467094008E-2</v>
      </c>
      <c r="AJ54" s="30">
        <v>8.3064443906028768E-2</v>
      </c>
      <c r="AK54" s="31">
        <v>2.6382559128337091</v>
      </c>
      <c r="AL54" s="31">
        <v>0.95542181587868757</v>
      </c>
    </row>
    <row r="55" spans="1:38" x14ac:dyDescent="0.3">
      <c r="A55" t="str">
        <f>VLOOKUP(B55,'Country codes'!$A$1:$B$28,2,FALSE)</f>
        <v>MT</v>
      </c>
      <c r="B55" s="23" t="s">
        <v>109</v>
      </c>
      <c r="C55" s="24" t="s">
        <v>121</v>
      </c>
      <c r="D55" s="28" t="s">
        <v>125</v>
      </c>
      <c r="E55" s="29" t="s">
        <v>210</v>
      </c>
      <c r="F55" s="30">
        <v>0</v>
      </c>
      <c r="G55" s="30">
        <f t="shared" ref="G55:J55" si="275">F55+(($K55-$F55)/5)</f>
        <v>0</v>
      </c>
      <c r="H55" s="30">
        <f t="shared" si="275"/>
        <v>0</v>
      </c>
      <c r="I55" s="30">
        <f t="shared" si="275"/>
        <v>0</v>
      </c>
      <c r="J55" s="30">
        <f t="shared" si="275"/>
        <v>0</v>
      </c>
      <c r="K55" s="30">
        <v>0</v>
      </c>
      <c r="L55" s="30">
        <f t="shared" ref="L55:O55" si="276">K55+(($P55-$K55)/5)</f>
        <v>0</v>
      </c>
      <c r="M55" s="30">
        <f t="shared" si="276"/>
        <v>0</v>
      </c>
      <c r="N55" s="30">
        <f t="shared" si="276"/>
        <v>0</v>
      </c>
      <c r="O55" s="30">
        <f t="shared" si="276"/>
        <v>0</v>
      </c>
      <c r="P55" s="30">
        <v>0</v>
      </c>
      <c r="Q55" s="30">
        <f t="shared" ref="Q55:T55" si="277">P55+(($U55-$P55)/5)</f>
        <v>0</v>
      </c>
      <c r="R55" s="30">
        <f t="shared" si="277"/>
        <v>0</v>
      </c>
      <c r="S55" s="30">
        <f t="shared" si="277"/>
        <v>0</v>
      </c>
      <c r="T55" s="30">
        <f t="shared" si="277"/>
        <v>0</v>
      </c>
      <c r="U55" s="30">
        <v>0</v>
      </c>
      <c r="V55" s="30">
        <f t="shared" ref="V55:Y55" si="278">U55+(($Z55-$U55)/5)</f>
        <v>0</v>
      </c>
      <c r="W55" s="30">
        <f t="shared" si="278"/>
        <v>0</v>
      </c>
      <c r="X55" s="30">
        <f t="shared" si="278"/>
        <v>0</v>
      </c>
      <c r="Y55" s="30">
        <f t="shared" si="278"/>
        <v>0</v>
      </c>
      <c r="Z55" s="30">
        <v>0</v>
      </c>
      <c r="AA55" s="30">
        <f t="shared" ref="AA55:AD55" si="279">Z55+(($AE55-$Z55)/5)</f>
        <v>0</v>
      </c>
      <c r="AB55" s="30">
        <f t="shared" si="279"/>
        <v>0</v>
      </c>
      <c r="AC55" s="30">
        <f t="shared" si="279"/>
        <v>0</v>
      </c>
      <c r="AD55" s="30">
        <f t="shared" si="279"/>
        <v>0</v>
      </c>
      <c r="AE55" s="30">
        <v>0</v>
      </c>
      <c r="AF55" s="30">
        <f t="shared" ref="AF55:AI55" si="280">AE55+(($AJ55-$AE55)/5)</f>
        <v>0</v>
      </c>
      <c r="AG55" s="30">
        <f t="shared" si="280"/>
        <v>0</v>
      </c>
      <c r="AH55" s="30">
        <f t="shared" si="280"/>
        <v>0</v>
      </c>
      <c r="AI55" s="30">
        <f t="shared" si="280"/>
        <v>0</v>
      </c>
      <c r="AJ55" s="30">
        <v>0</v>
      </c>
      <c r="AK55" s="31" t="s">
        <v>124</v>
      </c>
      <c r="AL55" s="31" t="s">
        <v>124</v>
      </c>
    </row>
    <row r="56" spans="1:38" x14ac:dyDescent="0.3">
      <c r="A56" t="str">
        <f>VLOOKUP(B56,'Country codes'!$A$1:$B$28,2,FALSE)</f>
        <v>NL</v>
      </c>
      <c r="B56" s="23" t="s">
        <v>110</v>
      </c>
      <c r="C56" s="24" t="s">
        <v>121</v>
      </c>
      <c r="D56" s="28" t="s">
        <v>125</v>
      </c>
      <c r="E56" s="29" t="s">
        <v>210</v>
      </c>
      <c r="F56" s="30">
        <v>45.352884206774497</v>
      </c>
      <c r="G56" s="30">
        <f t="shared" ref="G56:J56" si="281">F56+(($K56-$F56)/5)</f>
        <v>46.964702362245411</v>
      </c>
      <c r="H56" s="30">
        <f t="shared" si="281"/>
        <v>48.576520517716325</v>
      </c>
      <c r="I56" s="30">
        <f t="shared" si="281"/>
        <v>50.188338673187239</v>
      </c>
      <c r="J56" s="30">
        <f t="shared" si="281"/>
        <v>51.800156828658153</v>
      </c>
      <c r="K56" s="30">
        <v>53.411974984129053</v>
      </c>
      <c r="L56" s="30">
        <f t="shared" ref="L56:O56" si="282">K56+(($P56-$K56)/5)</f>
        <v>53.836232856712442</v>
      </c>
      <c r="M56" s="30">
        <f t="shared" si="282"/>
        <v>54.260490729295832</v>
      </c>
      <c r="N56" s="30">
        <f t="shared" si="282"/>
        <v>54.684748601879221</v>
      </c>
      <c r="O56" s="30">
        <f t="shared" si="282"/>
        <v>55.10900647446261</v>
      </c>
      <c r="P56" s="30">
        <v>55.533264347046007</v>
      </c>
      <c r="Q56" s="30">
        <f t="shared" ref="Q56:T56" si="283">P56+(($U56-$P56)/5)</f>
        <v>55.933289404517829</v>
      </c>
      <c r="R56" s="30">
        <f t="shared" si="283"/>
        <v>56.333314461989652</v>
      </c>
      <c r="S56" s="30">
        <f t="shared" si="283"/>
        <v>56.733339519461474</v>
      </c>
      <c r="T56" s="30">
        <f t="shared" si="283"/>
        <v>57.133364576933296</v>
      </c>
      <c r="U56" s="30">
        <v>57.533389634405111</v>
      </c>
      <c r="V56" s="30">
        <f t="shared" ref="V56:Y56" si="284">U56+(($Z56-$U56)/5)</f>
        <v>57.852437159279212</v>
      </c>
      <c r="W56" s="30">
        <f t="shared" si="284"/>
        <v>58.171484684153313</v>
      </c>
      <c r="X56" s="30">
        <f t="shared" si="284"/>
        <v>58.490532209027414</v>
      </c>
      <c r="Y56" s="30">
        <f t="shared" si="284"/>
        <v>58.809579733901515</v>
      </c>
      <c r="Z56" s="30">
        <v>59.128627258775616</v>
      </c>
      <c r="AA56" s="30">
        <f t="shared" ref="AA56:AD56" si="285">Z56+(($AE56-$Z56)/5)</f>
        <v>59.557932550858531</v>
      </c>
      <c r="AB56" s="30">
        <f t="shared" si="285"/>
        <v>59.987237842941447</v>
      </c>
      <c r="AC56" s="30">
        <f t="shared" si="285"/>
        <v>60.416543135024362</v>
      </c>
      <c r="AD56" s="30">
        <f t="shared" si="285"/>
        <v>60.845848427107278</v>
      </c>
      <c r="AE56" s="30">
        <v>61.275153719190186</v>
      </c>
      <c r="AF56" s="30">
        <f t="shared" ref="AF56:AI56" si="286">AE56+(($AJ56-$AE56)/5)</f>
        <v>61.702054874187766</v>
      </c>
      <c r="AG56" s="30">
        <f t="shared" si="286"/>
        <v>62.128956029185346</v>
      </c>
      <c r="AH56" s="30">
        <f t="shared" si="286"/>
        <v>62.555857184182926</v>
      </c>
      <c r="AI56" s="30">
        <f t="shared" si="286"/>
        <v>62.982758339180506</v>
      </c>
      <c r="AJ56" s="30">
        <v>63.409659494178094</v>
      </c>
      <c r="AK56" s="31">
        <v>2.0457282026389301</v>
      </c>
      <c r="AL56" s="31">
        <v>0.66537388646987772</v>
      </c>
    </row>
    <row r="57" spans="1:38" x14ac:dyDescent="0.3">
      <c r="A57" t="str">
        <f>VLOOKUP(B57,'Country codes'!$A$1:$B$28,2,FALSE)</f>
        <v>PL</v>
      </c>
      <c r="B57" s="23" t="s">
        <v>111</v>
      </c>
      <c r="C57" s="24" t="s">
        <v>121</v>
      </c>
      <c r="D57" s="28" t="s">
        <v>125</v>
      </c>
      <c r="E57" s="29" t="s">
        <v>210</v>
      </c>
      <c r="F57" s="30">
        <v>0.36213027998620112</v>
      </c>
      <c r="G57" s="30">
        <f t="shared" ref="G57:J57" si="287">F57+(($K57-$F57)/5)</f>
        <v>0.38102995849257409</v>
      </c>
      <c r="H57" s="30">
        <f t="shared" si="287"/>
        <v>0.39992963699894707</v>
      </c>
      <c r="I57" s="30">
        <f t="shared" si="287"/>
        <v>0.41882931550532004</v>
      </c>
      <c r="J57" s="30">
        <f t="shared" si="287"/>
        <v>0.43772899401169302</v>
      </c>
      <c r="K57" s="30">
        <v>0.45662867251806599</v>
      </c>
      <c r="L57" s="30">
        <f t="shared" ref="L57:O57" si="288">K57+(($P57-$K57)/5)</f>
        <v>0.47609992725312494</v>
      </c>
      <c r="M57" s="30">
        <f t="shared" si="288"/>
        <v>0.4955711819881839</v>
      </c>
      <c r="N57" s="30">
        <f t="shared" si="288"/>
        <v>0.51504243672324279</v>
      </c>
      <c r="O57" s="30">
        <f t="shared" si="288"/>
        <v>0.53451369145830174</v>
      </c>
      <c r="P57" s="30">
        <v>0.55398494619336069</v>
      </c>
      <c r="Q57" s="30">
        <f t="shared" ref="Q57:T57" si="289">P57+(($U57-$P57)/5)</f>
        <v>0.57012779373136246</v>
      </c>
      <c r="R57" s="30">
        <f t="shared" si="289"/>
        <v>0.58627064126936423</v>
      </c>
      <c r="S57" s="30">
        <f t="shared" si="289"/>
        <v>0.602413488807366</v>
      </c>
      <c r="T57" s="30">
        <f t="shared" si="289"/>
        <v>0.61855633634536777</v>
      </c>
      <c r="U57" s="30">
        <v>0.63469918388336943</v>
      </c>
      <c r="V57" s="30">
        <f t="shared" ref="V57:Y57" si="290">U57+(($Z57-$U57)/5)</f>
        <v>0.65040418972199021</v>
      </c>
      <c r="W57" s="30">
        <f t="shared" si="290"/>
        <v>0.66610919556061099</v>
      </c>
      <c r="X57" s="30">
        <f t="shared" si="290"/>
        <v>0.68181420139923177</v>
      </c>
      <c r="Y57" s="30">
        <f t="shared" si="290"/>
        <v>0.69751920723785255</v>
      </c>
      <c r="Z57" s="30">
        <v>0.71322421307647332</v>
      </c>
      <c r="AA57" s="30">
        <f t="shared" ref="AA57:AD57" si="291">Z57+(($AE57-$Z57)/5)</f>
        <v>0.72344811300573508</v>
      </c>
      <c r="AB57" s="30">
        <f t="shared" si="291"/>
        <v>0.73367201293499684</v>
      </c>
      <c r="AC57" s="30">
        <f t="shared" si="291"/>
        <v>0.7438959128642586</v>
      </c>
      <c r="AD57" s="30">
        <f t="shared" si="291"/>
        <v>0.75411981279352036</v>
      </c>
      <c r="AE57" s="30">
        <v>0.7643437127227819</v>
      </c>
      <c r="AF57" s="30">
        <f t="shared" ref="AF57:AI57" si="292">AE57+(($AJ57-$AE57)/5)</f>
        <v>0.77594956065373433</v>
      </c>
      <c r="AG57" s="30">
        <f t="shared" si="292"/>
        <v>0.78755540858468676</v>
      </c>
      <c r="AH57" s="30">
        <f t="shared" si="292"/>
        <v>0.79916125651563918</v>
      </c>
      <c r="AI57" s="30">
        <f t="shared" si="292"/>
        <v>0.81076710444659161</v>
      </c>
      <c r="AJ57" s="30">
        <v>0.82237295237754426</v>
      </c>
      <c r="AK57" s="31">
        <v>4.342998366029005</v>
      </c>
      <c r="AL57" s="31">
        <v>1.9949202518512843</v>
      </c>
    </row>
    <row r="58" spans="1:38" x14ac:dyDescent="0.3">
      <c r="A58" t="str">
        <f>VLOOKUP(B58,'Country codes'!$A$1:$B$28,2,FALSE)</f>
        <v>PT</v>
      </c>
      <c r="B58" s="23" t="s">
        <v>112</v>
      </c>
      <c r="C58" s="24" t="s">
        <v>121</v>
      </c>
      <c r="D58" s="28" t="s">
        <v>125</v>
      </c>
      <c r="E58" s="29" t="s">
        <v>210</v>
      </c>
      <c r="F58" s="30">
        <v>4.6421058734156926</v>
      </c>
      <c r="G58" s="30">
        <f t="shared" ref="G58:J58" si="293">F58+(($K58-$F58)/5)</f>
        <v>4.7778724746792074</v>
      </c>
      <c r="H58" s="30">
        <f t="shared" si="293"/>
        <v>4.9136390759427222</v>
      </c>
      <c r="I58" s="30">
        <f t="shared" si="293"/>
        <v>5.049405677206237</v>
      </c>
      <c r="J58" s="30">
        <f t="shared" si="293"/>
        <v>5.1851722784697518</v>
      </c>
      <c r="K58" s="30">
        <v>5.3209388797332675</v>
      </c>
      <c r="L58" s="30">
        <f t="shared" ref="L58:O58" si="294">K58+(($P58-$K58)/5)</f>
        <v>5.3430212932809802</v>
      </c>
      <c r="M58" s="30">
        <f t="shared" si="294"/>
        <v>5.3651037068286929</v>
      </c>
      <c r="N58" s="30">
        <f t="shared" si="294"/>
        <v>5.3871861203764055</v>
      </c>
      <c r="O58" s="30">
        <f t="shared" si="294"/>
        <v>5.4092685339241182</v>
      </c>
      <c r="P58" s="30">
        <v>5.43135094747183</v>
      </c>
      <c r="Q58" s="30">
        <f t="shared" ref="Q58:T58" si="295">P58+(($U58-$P58)/5)</f>
        <v>5.4728004519720264</v>
      </c>
      <c r="R58" s="30">
        <f t="shared" si="295"/>
        <v>5.5142499564722227</v>
      </c>
      <c r="S58" s="30">
        <f t="shared" si="295"/>
        <v>5.5556994609724191</v>
      </c>
      <c r="T58" s="30">
        <f t="shared" si="295"/>
        <v>5.5971489654726154</v>
      </c>
      <c r="U58" s="30">
        <v>5.6385984699728109</v>
      </c>
      <c r="V58" s="30">
        <f t="shared" ref="V58:Y58" si="296">U58+(($Z58-$U58)/5)</f>
        <v>5.6787608340509372</v>
      </c>
      <c r="W58" s="30">
        <f t="shared" si="296"/>
        <v>5.7189231981290636</v>
      </c>
      <c r="X58" s="30">
        <f t="shared" si="296"/>
        <v>5.7590855622071899</v>
      </c>
      <c r="Y58" s="30">
        <f t="shared" si="296"/>
        <v>5.7992479262853163</v>
      </c>
      <c r="Z58" s="30">
        <v>5.8394102903634417</v>
      </c>
      <c r="AA58" s="30">
        <f t="shared" ref="AA58:AD58" si="297">Z58+(($AE58-$Z58)/5)</f>
        <v>5.8756108437956094</v>
      </c>
      <c r="AB58" s="30">
        <f t="shared" si="297"/>
        <v>5.911811397227777</v>
      </c>
      <c r="AC58" s="30">
        <f t="shared" si="297"/>
        <v>5.9480119506599447</v>
      </c>
      <c r="AD58" s="30">
        <f t="shared" si="297"/>
        <v>5.9842125040921124</v>
      </c>
      <c r="AE58" s="30">
        <v>6.0204130575242809</v>
      </c>
      <c r="AF58" s="30">
        <f t="shared" ref="AF58:AI58" si="298">AE58+(($AJ58-$AE58)/5)</f>
        <v>6.0549580977012134</v>
      </c>
      <c r="AG58" s="30">
        <f t="shared" si="298"/>
        <v>6.0895031378781459</v>
      </c>
      <c r="AH58" s="30">
        <f t="shared" si="298"/>
        <v>6.1240481780550784</v>
      </c>
      <c r="AI58" s="30">
        <f t="shared" si="298"/>
        <v>6.1585932182320109</v>
      </c>
      <c r="AJ58" s="30">
        <v>6.1931382584089443</v>
      </c>
      <c r="AK58" s="31">
        <v>1.5825901921578733</v>
      </c>
      <c r="AL58" s="31">
        <v>0.65842842368537546</v>
      </c>
    </row>
    <row r="59" spans="1:38" x14ac:dyDescent="0.3">
      <c r="A59" t="str">
        <f>VLOOKUP(B59,'Country codes'!$A$1:$B$28,2,FALSE)</f>
        <v>RO</v>
      </c>
      <c r="B59" s="23" t="s">
        <v>113</v>
      </c>
      <c r="C59" s="24" t="s">
        <v>121</v>
      </c>
      <c r="D59" s="28" t="s">
        <v>125</v>
      </c>
      <c r="E59" s="29" t="s">
        <v>210</v>
      </c>
      <c r="F59" s="30">
        <v>11.848521140116564</v>
      </c>
      <c r="G59" s="30">
        <f t="shared" ref="G59:J59" si="299">F59+(($K59-$F59)/5)</f>
        <v>12.427366939714725</v>
      </c>
      <c r="H59" s="30">
        <f t="shared" si="299"/>
        <v>13.006212739312886</v>
      </c>
      <c r="I59" s="30">
        <f t="shared" si="299"/>
        <v>13.585058538911047</v>
      </c>
      <c r="J59" s="30">
        <f t="shared" si="299"/>
        <v>14.163904338509209</v>
      </c>
      <c r="K59" s="30">
        <v>14.742750138107374</v>
      </c>
      <c r="L59" s="30">
        <f t="shared" ref="L59:O59" si="300">K59+(($P59-$K59)/5)</f>
        <v>15.163815984680937</v>
      </c>
      <c r="M59" s="30">
        <f t="shared" si="300"/>
        <v>15.584881831254501</v>
      </c>
      <c r="N59" s="30">
        <f t="shared" si="300"/>
        <v>16.005947677828065</v>
      </c>
      <c r="O59" s="30">
        <f t="shared" si="300"/>
        <v>16.427013524401627</v>
      </c>
      <c r="P59" s="30">
        <v>16.848079370975189</v>
      </c>
      <c r="Q59" s="30">
        <f t="shared" ref="Q59:T59" si="301">P59+(($U59-$P59)/5)</f>
        <v>17.10178656148868</v>
      </c>
      <c r="R59" s="30">
        <f t="shared" si="301"/>
        <v>17.355493752002172</v>
      </c>
      <c r="S59" s="30">
        <f t="shared" si="301"/>
        <v>17.609200942515663</v>
      </c>
      <c r="T59" s="30">
        <f t="shared" si="301"/>
        <v>17.862908133029155</v>
      </c>
      <c r="U59" s="30">
        <v>18.116615323542643</v>
      </c>
      <c r="V59" s="30">
        <f t="shared" ref="V59:Y59" si="302">U59+(($Z59-$U59)/5)</f>
        <v>18.364535423245965</v>
      </c>
      <c r="W59" s="30">
        <f t="shared" si="302"/>
        <v>18.612455522949286</v>
      </c>
      <c r="X59" s="30">
        <f t="shared" si="302"/>
        <v>18.860375622652608</v>
      </c>
      <c r="Y59" s="30">
        <f t="shared" si="302"/>
        <v>19.10829572235593</v>
      </c>
      <c r="Z59" s="30">
        <v>19.356215822059244</v>
      </c>
      <c r="AA59" s="30">
        <f t="shared" ref="AA59:AD59" si="303">Z59+(($AE59-$Z59)/5)</f>
        <v>19.478670853061168</v>
      </c>
      <c r="AB59" s="30">
        <f t="shared" si="303"/>
        <v>19.601125884063091</v>
      </c>
      <c r="AC59" s="30">
        <f t="shared" si="303"/>
        <v>19.723580915065014</v>
      </c>
      <c r="AD59" s="30">
        <f t="shared" si="303"/>
        <v>19.846035946066937</v>
      </c>
      <c r="AE59" s="30">
        <v>19.968490977068864</v>
      </c>
      <c r="AF59" s="30">
        <f t="shared" ref="AF59:AI59" si="304">AE59+(($AJ59-$AE59)/5)</f>
        <v>20.092829354368227</v>
      </c>
      <c r="AG59" s="30">
        <f t="shared" si="304"/>
        <v>20.21716773166759</v>
      </c>
      <c r="AH59" s="30">
        <f t="shared" si="304"/>
        <v>20.341506108966954</v>
      </c>
      <c r="AI59" s="30">
        <f t="shared" si="304"/>
        <v>20.465844486266317</v>
      </c>
      <c r="AJ59" s="30">
        <v>20.590182863565673</v>
      </c>
      <c r="AK59" s="31">
        <v>3.5830334346016901</v>
      </c>
      <c r="AL59" s="31">
        <v>1.0079344612670349</v>
      </c>
    </row>
    <row r="60" spans="1:38" x14ac:dyDescent="0.3">
      <c r="A60" t="str">
        <f>VLOOKUP(B60,'Country codes'!$A$1:$B$28,2,FALSE)</f>
        <v>SE</v>
      </c>
      <c r="B60" s="23" t="s">
        <v>114</v>
      </c>
      <c r="C60" s="24" t="s">
        <v>121</v>
      </c>
      <c r="D60" s="28" t="s">
        <v>125</v>
      </c>
      <c r="E60" s="29" t="s">
        <v>210</v>
      </c>
      <c r="F60" s="30">
        <v>7.1436343290821522</v>
      </c>
      <c r="G60" s="30">
        <f t="shared" ref="G60:J60" si="305">F60+(($K60-$F60)/5)</f>
        <v>7.4098211409373507</v>
      </c>
      <c r="H60" s="30">
        <f t="shared" si="305"/>
        <v>7.6760079527925491</v>
      </c>
      <c r="I60" s="30">
        <f t="shared" si="305"/>
        <v>7.9421947646477475</v>
      </c>
      <c r="J60" s="30">
        <f t="shared" si="305"/>
        <v>8.208381576502946</v>
      </c>
      <c r="K60" s="30">
        <v>8.4745683883581453</v>
      </c>
      <c r="L60" s="30">
        <f t="shared" ref="L60:O60" si="306">K60+(($P60-$K60)/5)</f>
        <v>8.6117695511919248</v>
      </c>
      <c r="M60" s="30">
        <f t="shared" si="306"/>
        <v>8.7489707140257043</v>
      </c>
      <c r="N60" s="30">
        <f t="shared" si="306"/>
        <v>8.8861718768594837</v>
      </c>
      <c r="O60" s="30">
        <f t="shared" si="306"/>
        <v>9.0233730396932632</v>
      </c>
      <c r="P60" s="30">
        <v>9.1605742025270462</v>
      </c>
      <c r="Q60" s="30">
        <f t="shared" ref="Q60:T60" si="307">P60+(($U60-$P60)/5)</f>
        <v>9.3003041852725676</v>
      </c>
      <c r="R60" s="30">
        <f t="shared" si="307"/>
        <v>9.440034168018089</v>
      </c>
      <c r="S60" s="30">
        <f t="shared" si="307"/>
        <v>9.5797641507636104</v>
      </c>
      <c r="T60" s="30">
        <f t="shared" si="307"/>
        <v>9.7194941335091318</v>
      </c>
      <c r="U60" s="30">
        <v>9.8592241162546514</v>
      </c>
      <c r="V60" s="30">
        <f t="shared" ref="V60:Y60" si="308">U60+(($Z60-$U60)/5)</f>
        <v>9.99876472641105</v>
      </c>
      <c r="W60" s="30">
        <f t="shared" si="308"/>
        <v>10.138305336567448</v>
      </c>
      <c r="X60" s="30">
        <f t="shared" si="308"/>
        <v>10.277845946723847</v>
      </c>
      <c r="Y60" s="30">
        <f t="shared" si="308"/>
        <v>10.417386556880246</v>
      </c>
      <c r="Z60" s="30">
        <v>10.556927167036648</v>
      </c>
      <c r="AA60" s="30">
        <f t="shared" ref="AA60:AD60" si="309">Z60+(($AE60-$Z60)/5)</f>
        <v>10.646654502378858</v>
      </c>
      <c r="AB60" s="30">
        <f t="shared" si="309"/>
        <v>10.736381837721069</v>
      </c>
      <c r="AC60" s="30">
        <f t="shared" si="309"/>
        <v>10.82610917306328</v>
      </c>
      <c r="AD60" s="30">
        <f t="shared" si="309"/>
        <v>10.915836508405491</v>
      </c>
      <c r="AE60" s="30">
        <v>11.005563843747705</v>
      </c>
      <c r="AF60" s="30">
        <f t="shared" ref="AF60:AI60" si="310">AE60+(($AJ60-$AE60)/5)</f>
        <v>11.095957073161415</v>
      </c>
      <c r="AG60" s="30">
        <f t="shared" si="310"/>
        <v>11.186350302575125</v>
      </c>
      <c r="AH60" s="30">
        <f t="shared" si="310"/>
        <v>11.276743531988835</v>
      </c>
      <c r="AI60" s="30">
        <f t="shared" si="310"/>
        <v>11.367136761402545</v>
      </c>
      <c r="AJ60" s="30">
        <v>11.457529990816251</v>
      </c>
      <c r="AK60" s="31">
        <v>2.5180526611785492</v>
      </c>
      <c r="AL60" s="31">
        <v>1.1249722137377294</v>
      </c>
    </row>
    <row r="61" spans="1:38" x14ac:dyDescent="0.3">
      <c r="A61" t="str">
        <f>VLOOKUP(B61,'Country codes'!$A$1:$B$28,2,FALSE)</f>
        <v>SI</v>
      </c>
      <c r="B61" s="23" t="s">
        <v>115</v>
      </c>
      <c r="C61" s="24" t="s">
        <v>121</v>
      </c>
      <c r="D61" s="28" t="s">
        <v>125</v>
      </c>
      <c r="E61" s="29" t="s">
        <v>210</v>
      </c>
      <c r="F61" s="30">
        <v>0</v>
      </c>
      <c r="G61" s="30">
        <f t="shared" ref="G61:J61" si="311">F61+(($K61-$F61)/5)</f>
        <v>0</v>
      </c>
      <c r="H61" s="30">
        <f t="shared" si="311"/>
        <v>0</v>
      </c>
      <c r="I61" s="30">
        <f t="shared" si="311"/>
        <v>0</v>
      </c>
      <c r="J61" s="30">
        <f t="shared" si="311"/>
        <v>0</v>
      </c>
      <c r="K61" s="30">
        <v>0</v>
      </c>
      <c r="L61" s="30">
        <f t="shared" ref="L61:O61" si="312">K61+(($P61-$K61)/5)</f>
        <v>0</v>
      </c>
      <c r="M61" s="30">
        <f t="shared" si="312"/>
        <v>0</v>
      </c>
      <c r="N61" s="30">
        <f t="shared" si="312"/>
        <v>0</v>
      </c>
      <c r="O61" s="30">
        <f t="shared" si="312"/>
        <v>0</v>
      </c>
      <c r="P61" s="30">
        <v>0</v>
      </c>
      <c r="Q61" s="30">
        <f t="shared" ref="Q61:T61" si="313">P61+(($U61-$P61)/5)</f>
        <v>0</v>
      </c>
      <c r="R61" s="30">
        <f t="shared" si="313"/>
        <v>0</v>
      </c>
      <c r="S61" s="30">
        <f t="shared" si="313"/>
        <v>0</v>
      </c>
      <c r="T61" s="30">
        <f t="shared" si="313"/>
        <v>0</v>
      </c>
      <c r="U61" s="30">
        <v>0</v>
      </c>
      <c r="V61" s="30">
        <f t="shared" ref="V61:Y61" si="314">U61+(($Z61-$U61)/5)</f>
        <v>0</v>
      </c>
      <c r="W61" s="30">
        <f t="shared" si="314"/>
        <v>0</v>
      </c>
      <c r="X61" s="30">
        <f t="shared" si="314"/>
        <v>0</v>
      </c>
      <c r="Y61" s="30">
        <f t="shared" si="314"/>
        <v>0</v>
      </c>
      <c r="Z61" s="30">
        <v>0</v>
      </c>
      <c r="AA61" s="30">
        <f t="shared" ref="AA61:AD61" si="315">Z61+(($AE61-$Z61)/5)</f>
        <v>0</v>
      </c>
      <c r="AB61" s="30">
        <f t="shared" si="315"/>
        <v>0</v>
      </c>
      <c r="AC61" s="30">
        <f t="shared" si="315"/>
        <v>0</v>
      </c>
      <c r="AD61" s="30">
        <f t="shared" si="315"/>
        <v>0</v>
      </c>
      <c r="AE61" s="30">
        <v>0</v>
      </c>
      <c r="AF61" s="30">
        <f t="shared" ref="AF61:AI61" si="316">AE61+(($AJ61-$AE61)/5)</f>
        <v>0</v>
      </c>
      <c r="AG61" s="30">
        <f t="shared" si="316"/>
        <v>0</v>
      </c>
      <c r="AH61" s="30">
        <f t="shared" si="316"/>
        <v>0</v>
      </c>
      <c r="AI61" s="30">
        <f t="shared" si="316"/>
        <v>0</v>
      </c>
      <c r="AJ61" s="30">
        <v>0</v>
      </c>
      <c r="AK61" s="31" t="s">
        <v>124</v>
      </c>
      <c r="AL61" s="31" t="s">
        <v>124</v>
      </c>
    </row>
    <row r="62" spans="1:38" x14ac:dyDescent="0.3">
      <c r="A62" t="str">
        <f>VLOOKUP(B62,'Country codes'!$A$1:$B$28,2,FALSE)</f>
        <v>SK</v>
      </c>
      <c r="B62" s="23" t="s">
        <v>116</v>
      </c>
      <c r="C62" s="24" t="s">
        <v>121</v>
      </c>
      <c r="D62" s="28" t="s">
        <v>125</v>
      </c>
      <c r="E62" s="29" t="s">
        <v>210</v>
      </c>
      <c r="F62" s="30">
        <v>0.84689587463340166</v>
      </c>
      <c r="G62" s="30">
        <f t="shared" ref="G62:J62" si="317">F62+(($K62-$F62)/5)</f>
        <v>0.8665069878109205</v>
      </c>
      <c r="H62" s="30">
        <f t="shared" si="317"/>
        <v>0.88611810098843935</v>
      </c>
      <c r="I62" s="30">
        <f t="shared" si="317"/>
        <v>0.9057292141659582</v>
      </c>
      <c r="J62" s="30">
        <f t="shared" si="317"/>
        <v>0.92534032734347704</v>
      </c>
      <c r="K62" s="30">
        <v>0.944951440520996</v>
      </c>
      <c r="L62" s="30">
        <f t="shared" ref="L62:O62" si="318">K62+(($P62-$K62)/5)</f>
        <v>0.95509264638927627</v>
      </c>
      <c r="M62" s="30">
        <f t="shared" si="318"/>
        <v>0.96523385225755653</v>
      </c>
      <c r="N62" s="30">
        <f t="shared" si="318"/>
        <v>0.9753750581258368</v>
      </c>
      <c r="O62" s="30">
        <f t="shared" si="318"/>
        <v>0.98551626399411707</v>
      </c>
      <c r="P62" s="30">
        <v>0.99565746986239712</v>
      </c>
      <c r="Q62" s="30">
        <f t="shared" ref="Q62:T62" si="319">P62+(($U62-$P62)/5)</f>
        <v>1.0020951401409186</v>
      </c>
      <c r="R62" s="30">
        <f t="shared" si="319"/>
        <v>1.00853281041944</v>
      </c>
      <c r="S62" s="30">
        <f t="shared" si="319"/>
        <v>1.0149704806979614</v>
      </c>
      <c r="T62" s="30">
        <f t="shared" si="319"/>
        <v>1.0214081509764827</v>
      </c>
      <c r="U62" s="30">
        <v>1.0278458212550043</v>
      </c>
      <c r="V62" s="30">
        <f t="shared" ref="V62:Y62" si="320">U62+(($Z62-$U62)/5)</f>
        <v>1.0350990929477382</v>
      </c>
      <c r="W62" s="30">
        <f t="shared" si="320"/>
        <v>1.042352364640472</v>
      </c>
      <c r="X62" s="30">
        <f t="shared" si="320"/>
        <v>1.0496056363332058</v>
      </c>
      <c r="Y62" s="30">
        <f t="shared" si="320"/>
        <v>1.0568589080259396</v>
      </c>
      <c r="Z62" s="30">
        <v>1.0641121797186737</v>
      </c>
      <c r="AA62" s="30">
        <f t="shared" ref="AA62:AD62" si="321">Z62+(($AE62-$Z62)/5)</f>
        <v>1.0686058893442387</v>
      </c>
      <c r="AB62" s="30">
        <f t="shared" si="321"/>
        <v>1.0730995989698038</v>
      </c>
      <c r="AC62" s="30">
        <f t="shared" si="321"/>
        <v>1.0775933085953688</v>
      </c>
      <c r="AD62" s="30">
        <f t="shared" si="321"/>
        <v>1.0820870182209339</v>
      </c>
      <c r="AE62" s="30">
        <v>1.0865807278464992</v>
      </c>
      <c r="AF62" s="30">
        <f t="shared" ref="AF62:AI62" si="322">AE62+(($AJ62-$AE62)/5)</f>
        <v>1.090901389874315</v>
      </c>
      <c r="AG62" s="30">
        <f t="shared" si="322"/>
        <v>1.0952220519021307</v>
      </c>
      <c r="AH62" s="30">
        <f t="shared" si="322"/>
        <v>1.0995427139299465</v>
      </c>
      <c r="AI62" s="30">
        <f t="shared" si="322"/>
        <v>1.1038633759577623</v>
      </c>
      <c r="AJ62" s="30">
        <v>1.1081840379855776</v>
      </c>
      <c r="AK62" s="31">
        <v>1.6314200684417024</v>
      </c>
      <c r="AL62" s="31">
        <v>0.53680898432248991</v>
      </c>
    </row>
  </sheetData>
  <autoFilter ref="A2:AL29" xr:uid="{033BD0A5-7CC2-4F90-B7E8-C12C0C24D965}">
    <sortState xmlns:xlrd2="http://schemas.microsoft.com/office/spreadsheetml/2017/richdata2" ref="A3:AL29">
      <sortCondition ref="A2:A29"/>
    </sortState>
  </autoFilter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42EC9-3712-4109-A438-FAF3EB58B878}">
  <dimension ref="A1:BB183"/>
  <sheetViews>
    <sheetView topLeftCell="A73" zoomScaleNormal="100" workbookViewId="0">
      <selection activeCell="F156" sqref="F156:AH183"/>
    </sheetView>
  </sheetViews>
  <sheetFormatPr defaultRowHeight="14.4" x14ac:dyDescent="0.3"/>
  <cols>
    <col min="1" max="1" width="27.6640625" bestFit="1" customWidth="1"/>
    <col min="2" max="2" width="13.77734375" bestFit="1" customWidth="1"/>
    <col min="3" max="5" width="12" bestFit="1" customWidth="1"/>
  </cols>
  <sheetData>
    <row r="1" spans="1:6" x14ac:dyDescent="0.3">
      <c r="A1" s="1" t="s">
        <v>86</v>
      </c>
    </row>
    <row r="2" spans="1:6" s="3" customFormat="1" x14ac:dyDescent="0.3">
      <c r="A2" s="2" t="s">
        <v>89</v>
      </c>
    </row>
    <row r="3" spans="1:6" x14ac:dyDescent="0.3">
      <c r="A3" t="s">
        <v>1</v>
      </c>
      <c r="B3" t="s">
        <v>0</v>
      </c>
      <c r="C3">
        <v>2018</v>
      </c>
      <c r="D3">
        <v>2019</v>
      </c>
      <c r="E3">
        <v>2020</v>
      </c>
      <c r="F3">
        <v>2021</v>
      </c>
    </row>
    <row r="4" spans="1:6" x14ac:dyDescent="0.3">
      <c r="A4" t="s">
        <v>2</v>
      </c>
      <c r="B4" t="s">
        <v>30</v>
      </c>
      <c r="C4">
        <v>1.7379137659999999</v>
      </c>
      <c r="D4">
        <v>1.758164302</v>
      </c>
      <c r="E4">
        <v>1.0020567760000001</v>
      </c>
      <c r="F4">
        <v>1.0852177670000001</v>
      </c>
    </row>
    <row r="5" spans="1:6" x14ac:dyDescent="0.3">
      <c r="A5" t="s">
        <v>2</v>
      </c>
      <c r="B5" t="s">
        <v>31</v>
      </c>
      <c r="C5">
        <v>18.57604053</v>
      </c>
      <c r="D5">
        <v>18.862835700000002</v>
      </c>
      <c r="E5">
        <v>12.267943219999999</v>
      </c>
      <c r="F5">
        <v>13.48478223</v>
      </c>
    </row>
    <row r="6" spans="1:6" x14ac:dyDescent="0.3">
      <c r="A6" t="s">
        <v>3</v>
      </c>
      <c r="B6" t="s">
        <v>32</v>
      </c>
      <c r="C6">
        <v>0.26950621200000002</v>
      </c>
      <c r="D6">
        <v>0.207972411</v>
      </c>
      <c r="E6">
        <v>0.14769584899999999</v>
      </c>
      <c r="F6">
        <v>0.160475804</v>
      </c>
    </row>
    <row r="7" spans="1:6" x14ac:dyDescent="0.3">
      <c r="A7" t="s">
        <v>3</v>
      </c>
      <c r="B7" t="s">
        <v>33</v>
      </c>
      <c r="C7">
        <v>2.2914937879999999</v>
      </c>
      <c r="D7">
        <v>2.3660275890000002</v>
      </c>
      <c r="E7">
        <v>1.6603041510000001</v>
      </c>
      <c r="F7">
        <v>1.792524196</v>
      </c>
    </row>
    <row r="8" spans="1:6" x14ac:dyDescent="0.3">
      <c r="A8" t="s">
        <v>4</v>
      </c>
      <c r="B8" t="s">
        <v>34</v>
      </c>
      <c r="C8">
        <v>0.382609123</v>
      </c>
      <c r="D8">
        <v>0.39701318299999999</v>
      </c>
      <c r="E8">
        <v>0.27888418100000001</v>
      </c>
      <c r="F8">
        <v>0.249410828</v>
      </c>
    </row>
    <row r="9" spans="1:6" x14ac:dyDescent="0.3">
      <c r="A9" t="s">
        <v>4</v>
      </c>
      <c r="B9" t="s">
        <v>35</v>
      </c>
      <c r="C9">
        <v>11.54714631</v>
      </c>
      <c r="D9">
        <v>11.92409483</v>
      </c>
      <c r="E9">
        <v>8.0640246760000007</v>
      </c>
      <c r="F9">
        <v>7.6654980290000001</v>
      </c>
    </row>
    <row r="10" spans="1:6" x14ac:dyDescent="0.3">
      <c r="A10" t="s">
        <v>5</v>
      </c>
      <c r="B10" t="s">
        <v>36</v>
      </c>
      <c r="C10">
        <v>4.1699596379999999</v>
      </c>
      <c r="D10">
        <v>4.4090244939999996</v>
      </c>
      <c r="E10">
        <v>2.7767370969999998</v>
      </c>
      <c r="F10">
        <v>2.8455816669999998</v>
      </c>
    </row>
    <row r="11" spans="1:6" x14ac:dyDescent="0.3">
      <c r="A11" t="s">
        <v>5</v>
      </c>
      <c r="B11" t="s">
        <v>37</v>
      </c>
      <c r="C11">
        <v>16.78484036</v>
      </c>
      <c r="D11">
        <v>17.545775509999999</v>
      </c>
      <c r="E11">
        <v>7.6007629029999997</v>
      </c>
      <c r="F11">
        <v>7.5203183329999996</v>
      </c>
    </row>
    <row r="12" spans="1:6" x14ac:dyDescent="0.3">
      <c r="A12" t="s">
        <v>6</v>
      </c>
      <c r="B12" t="s">
        <v>38</v>
      </c>
      <c r="C12">
        <v>3.105909118</v>
      </c>
      <c r="D12">
        <v>3.092100544</v>
      </c>
      <c r="E12">
        <v>1.958292999</v>
      </c>
      <c r="F12">
        <v>1.890583466</v>
      </c>
    </row>
    <row r="13" spans="1:6" x14ac:dyDescent="0.3">
      <c r="A13" t="s">
        <v>6</v>
      </c>
      <c r="B13" t="s">
        <v>39</v>
      </c>
      <c r="C13">
        <v>3.4430908819999999</v>
      </c>
      <c r="D13">
        <v>3.4818994559999998</v>
      </c>
      <c r="E13">
        <v>2.2707070009999999</v>
      </c>
      <c r="F13">
        <v>2.6214165340000002</v>
      </c>
    </row>
    <row r="14" spans="1:6" x14ac:dyDescent="0.3">
      <c r="A14" t="s">
        <v>7</v>
      </c>
      <c r="B14" t="s">
        <v>40</v>
      </c>
      <c r="C14">
        <v>14.93844127</v>
      </c>
      <c r="D14">
        <v>16.79915381</v>
      </c>
      <c r="E14">
        <v>9.3661566629999999</v>
      </c>
      <c r="F14">
        <v>12.442752779999999</v>
      </c>
    </row>
    <row r="15" spans="1:6" x14ac:dyDescent="0.3">
      <c r="A15" t="s">
        <v>7</v>
      </c>
      <c r="B15" t="s">
        <v>41</v>
      </c>
      <c r="C15">
        <v>100.8615587</v>
      </c>
      <c r="D15">
        <v>101.0528462</v>
      </c>
      <c r="E15">
        <v>60.12084334</v>
      </c>
      <c r="F15">
        <v>56.275247219999997</v>
      </c>
    </row>
    <row r="16" spans="1:6" x14ac:dyDescent="0.3">
      <c r="A16" t="s">
        <v>8</v>
      </c>
      <c r="B16" t="s">
        <v>42</v>
      </c>
      <c r="C16">
        <v>0.32599041600000001</v>
      </c>
      <c r="D16">
        <v>0.31008643600000002</v>
      </c>
      <c r="E16">
        <v>0.204302967</v>
      </c>
      <c r="F16">
        <v>0.22091635100000001</v>
      </c>
    </row>
    <row r="17" spans="1:6" x14ac:dyDescent="0.3">
      <c r="A17" t="s">
        <v>8</v>
      </c>
      <c r="B17" t="s">
        <v>43</v>
      </c>
      <c r="C17">
        <v>0.174901584</v>
      </c>
      <c r="D17">
        <v>0.169261564</v>
      </c>
      <c r="E17">
        <v>0.109131033</v>
      </c>
      <c r="F17">
        <v>0.125983288</v>
      </c>
    </row>
    <row r="18" spans="1:6" x14ac:dyDescent="0.3">
      <c r="A18" t="s">
        <v>9</v>
      </c>
      <c r="B18" t="s">
        <v>44</v>
      </c>
      <c r="C18">
        <v>2.2372413889999998</v>
      </c>
      <c r="D18">
        <v>2.3557309389999999</v>
      </c>
      <c r="E18">
        <v>0.80026675899999999</v>
      </c>
      <c r="F18">
        <v>0.83628819499999996</v>
      </c>
    </row>
    <row r="19" spans="1:6" x14ac:dyDescent="0.3">
      <c r="A19" t="s">
        <v>9</v>
      </c>
      <c r="B19" t="s">
        <v>45</v>
      </c>
      <c r="C19">
        <v>0.36075861100000001</v>
      </c>
      <c r="D19">
        <v>0.34831695400000001</v>
      </c>
      <c r="E19">
        <v>0.15404142000000001</v>
      </c>
      <c r="F19">
        <v>0.155365425</v>
      </c>
    </row>
    <row r="20" spans="1:6" x14ac:dyDescent="0.3">
      <c r="A20" t="s">
        <v>10</v>
      </c>
      <c r="B20" t="s">
        <v>46</v>
      </c>
      <c r="C20">
        <v>0.86017294</v>
      </c>
      <c r="D20">
        <v>0.51948978899999998</v>
      </c>
      <c r="E20">
        <v>0.27069772600000003</v>
      </c>
      <c r="F20">
        <v>0.238072059</v>
      </c>
    </row>
    <row r="21" spans="1:6" x14ac:dyDescent="0.3">
      <c r="A21" t="s">
        <v>10</v>
      </c>
      <c r="B21" t="s">
        <v>47</v>
      </c>
      <c r="C21">
        <v>1.9392906240000001</v>
      </c>
      <c r="D21">
        <v>2.41037875</v>
      </c>
      <c r="E21">
        <v>1.4577623150000001</v>
      </c>
      <c r="F21">
        <v>1.5407079509999999</v>
      </c>
    </row>
    <row r="22" spans="1:6" x14ac:dyDescent="0.3">
      <c r="A22" t="s">
        <v>11</v>
      </c>
      <c r="B22" t="s">
        <v>48</v>
      </c>
      <c r="C22">
        <v>1.7714772679999999</v>
      </c>
      <c r="D22">
        <v>1.8768206549999999</v>
      </c>
      <c r="E22">
        <v>0.705410062</v>
      </c>
      <c r="F22">
        <v>0.39386991100000002</v>
      </c>
    </row>
    <row r="23" spans="1:6" x14ac:dyDescent="0.3">
      <c r="A23" t="s">
        <v>11</v>
      </c>
      <c r="B23" t="s">
        <v>49</v>
      </c>
      <c r="C23">
        <v>35.540522729999999</v>
      </c>
      <c r="D23">
        <v>35.168179340000002</v>
      </c>
      <c r="E23">
        <v>16.49191866</v>
      </c>
      <c r="F23">
        <v>23.029790989999999</v>
      </c>
    </row>
    <row r="24" spans="1:6" x14ac:dyDescent="0.3">
      <c r="A24" t="s">
        <v>12</v>
      </c>
      <c r="B24" t="s">
        <v>50</v>
      </c>
      <c r="C24">
        <v>5.8329082760000004</v>
      </c>
      <c r="D24">
        <v>6.2013367590000001</v>
      </c>
      <c r="E24">
        <v>3.1962535110000001</v>
      </c>
      <c r="F24">
        <v>4.6157158620000001</v>
      </c>
    </row>
    <row r="25" spans="1:6" x14ac:dyDescent="0.3">
      <c r="A25" t="s">
        <v>12</v>
      </c>
      <c r="B25" t="s">
        <v>51</v>
      </c>
      <c r="C25">
        <v>102.124788</v>
      </c>
      <c r="D25">
        <v>106.1828689</v>
      </c>
      <c r="E25">
        <v>61.662954190000001</v>
      </c>
      <c r="F25">
        <v>82.23688679</v>
      </c>
    </row>
    <row r="26" spans="1:6" x14ac:dyDescent="0.3">
      <c r="A26" t="s">
        <v>13</v>
      </c>
      <c r="B26" t="s">
        <v>52</v>
      </c>
      <c r="C26">
        <v>0.28147407200000002</v>
      </c>
      <c r="D26">
        <v>0.22837299</v>
      </c>
      <c r="E26">
        <v>0.168047319</v>
      </c>
      <c r="F26">
        <v>0.184363479</v>
      </c>
    </row>
    <row r="27" spans="1:6" x14ac:dyDescent="0.3">
      <c r="A27" t="s">
        <v>13</v>
      </c>
      <c r="B27" t="s">
        <v>53</v>
      </c>
      <c r="C27">
        <v>1.041690928</v>
      </c>
      <c r="D27">
        <v>0.87278701000000003</v>
      </c>
      <c r="E27">
        <v>0.674236681</v>
      </c>
      <c r="F27">
        <v>0.72285552099999995</v>
      </c>
    </row>
    <row r="28" spans="1:6" x14ac:dyDescent="0.3">
      <c r="A28" t="s">
        <v>14</v>
      </c>
      <c r="B28" t="s">
        <v>54</v>
      </c>
      <c r="C28">
        <v>3.3731891630000002</v>
      </c>
      <c r="D28">
        <v>3.5310811769999999</v>
      </c>
      <c r="E28">
        <v>1.5109457959999999</v>
      </c>
      <c r="F28">
        <v>1.6595752580000001</v>
      </c>
    </row>
    <row r="29" spans="1:6" x14ac:dyDescent="0.3">
      <c r="A29" t="s">
        <v>14</v>
      </c>
      <c r="B29" t="s">
        <v>55</v>
      </c>
      <c r="C29">
        <v>59.398810840000003</v>
      </c>
      <c r="D29">
        <v>60.668918820000002</v>
      </c>
      <c r="E29">
        <v>25.151054200000001</v>
      </c>
      <c r="F29">
        <v>31.742424740000001</v>
      </c>
    </row>
    <row r="30" spans="1:6" x14ac:dyDescent="0.3">
      <c r="A30" t="s">
        <v>15</v>
      </c>
      <c r="B30" t="s">
        <v>56</v>
      </c>
      <c r="C30">
        <v>0</v>
      </c>
      <c r="D30">
        <v>0</v>
      </c>
      <c r="E30">
        <v>0</v>
      </c>
      <c r="F30">
        <v>0</v>
      </c>
    </row>
    <row r="31" spans="1:6" x14ac:dyDescent="0.3">
      <c r="A31" t="s">
        <v>15</v>
      </c>
      <c r="B31" t="s">
        <v>57</v>
      </c>
      <c r="C31">
        <v>0</v>
      </c>
      <c r="D31">
        <v>0</v>
      </c>
      <c r="E31">
        <v>0</v>
      </c>
      <c r="F31">
        <v>0</v>
      </c>
    </row>
    <row r="32" spans="1:6" x14ac:dyDescent="0.3">
      <c r="A32" t="s">
        <v>16</v>
      </c>
      <c r="B32" t="s">
        <v>58</v>
      </c>
      <c r="C32">
        <v>0.17869028200000001</v>
      </c>
      <c r="D32">
        <v>0.18524342199999999</v>
      </c>
      <c r="E32">
        <v>0.115227285</v>
      </c>
      <c r="F32">
        <v>0.100199477</v>
      </c>
    </row>
    <row r="33" spans="1:6" x14ac:dyDescent="0.3">
      <c r="A33" t="s">
        <v>16</v>
      </c>
      <c r="B33" t="s">
        <v>59</v>
      </c>
      <c r="C33">
        <v>0.80150271799999995</v>
      </c>
      <c r="D33">
        <v>0.79398757799999997</v>
      </c>
      <c r="E33">
        <v>0.499429715</v>
      </c>
      <c r="F33">
        <v>0.31931252300000001</v>
      </c>
    </row>
    <row r="34" spans="1:6" x14ac:dyDescent="0.3">
      <c r="A34" t="s">
        <v>17</v>
      </c>
      <c r="B34" t="s">
        <v>60</v>
      </c>
      <c r="C34">
        <v>0.25086914100000002</v>
      </c>
      <c r="D34">
        <v>0.26312413299999998</v>
      </c>
      <c r="E34">
        <v>0.17701070999999999</v>
      </c>
      <c r="F34">
        <v>0.215793972</v>
      </c>
    </row>
    <row r="35" spans="1:6" x14ac:dyDescent="0.3">
      <c r="A35" t="s">
        <v>17</v>
      </c>
      <c r="B35" t="s">
        <v>61</v>
      </c>
      <c r="C35">
        <v>0.10313085900000001</v>
      </c>
      <c r="D35">
        <v>9.5875867000000004E-2</v>
      </c>
      <c r="E35">
        <v>5.9989290000000001E-2</v>
      </c>
      <c r="F35">
        <v>7.1206028000000005E-2</v>
      </c>
    </row>
    <row r="36" spans="1:6" x14ac:dyDescent="0.3">
      <c r="A36" t="s">
        <v>18</v>
      </c>
      <c r="B36" t="s">
        <v>62</v>
      </c>
      <c r="C36">
        <v>5.9627403000000002E-2</v>
      </c>
      <c r="D36">
        <v>6.0592993999999997E-2</v>
      </c>
      <c r="E36">
        <v>3.3218020000000001E-2</v>
      </c>
      <c r="F36">
        <v>4.3736260999999998E-2</v>
      </c>
    </row>
    <row r="37" spans="1:6" x14ac:dyDescent="0.3">
      <c r="A37" t="s">
        <v>18</v>
      </c>
      <c r="B37" t="s">
        <v>63</v>
      </c>
      <c r="C37">
        <v>0.402872597</v>
      </c>
      <c r="D37">
        <v>0.43360700600000002</v>
      </c>
      <c r="E37">
        <v>0.26651369200000002</v>
      </c>
      <c r="F37">
        <v>0.29439608299999998</v>
      </c>
    </row>
    <row r="38" spans="1:6" x14ac:dyDescent="0.3">
      <c r="A38" t="s">
        <v>19</v>
      </c>
      <c r="B38" t="s">
        <v>64</v>
      </c>
      <c r="C38">
        <v>2.2743259330000001</v>
      </c>
      <c r="D38">
        <v>2.154888176</v>
      </c>
      <c r="E38">
        <v>1.2344315189999999</v>
      </c>
      <c r="F38">
        <v>1.335359135</v>
      </c>
    </row>
    <row r="39" spans="1:6" x14ac:dyDescent="0.3">
      <c r="A39" t="s">
        <v>19</v>
      </c>
      <c r="B39" t="s">
        <v>65</v>
      </c>
      <c r="C39">
        <v>8.2033740670000004</v>
      </c>
      <c r="D39">
        <v>8.4044422240000003</v>
      </c>
      <c r="E39">
        <v>5.4645684809999997</v>
      </c>
      <c r="F39">
        <v>5.8664255650000001</v>
      </c>
    </row>
    <row r="40" spans="1:6" x14ac:dyDescent="0.3">
      <c r="A40" t="s">
        <v>20</v>
      </c>
      <c r="B40" t="s">
        <v>66</v>
      </c>
      <c r="C40">
        <v>0</v>
      </c>
      <c r="D40">
        <v>0</v>
      </c>
      <c r="E40">
        <v>0</v>
      </c>
      <c r="F40">
        <v>0</v>
      </c>
    </row>
    <row r="41" spans="1:6" x14ac:dyDescent="0.3">
      <c r="A41" t="s">
        <v>20</v>
      </c>
      <c r="B41" t="s">
        <v>67</v>
      </c>
      <c r="C41">
        <v>0</v>
      </c>
      <c r="D41">
        <v>0</v>
      </c>
      <c r="E41">
        <v>0</v>
      </c>
      <c r="F41">
        <v>0</v>
      </c>
    </row>
    <row r="42" spans="1:6" x14ac:dyDescent="0.3">
      <c r="A42" t="s">
        <v>21</v>
      </c>
      <c r="B42" t="s">
        <v>68</v>
      </c>
      <c r="C42">
        <v>1.4347734990000001</v>
      </c>
      <c r="D42">
        <v>1.304278077</v>
      </c>
      <c r="E42">
        <v>0.64421877299999997</v>
      </c>
      <c r="F42">
        <v>0.72376459599999998</v>
      </c>
    </row>
    <row r="43" spans="1:6" x14ac:dyDescent="0.3">
      <c r="A43" t="s">
        <v>21</v>
      </c>
      <c r="B43" t="s">
        <v>69</v>
      </c>
      <c r="C43">
        <v>18.489720640000002</v>
      </c>
      <c r="D43">
        <v>19.078216059999999</v>
      </c>
      <c r="E43">
        <v>8.9800939970000009</v>
      </c>
      <c r="F43">
        <v>10.6835784</v>
      </c>
    </row>
    <row r="44" spans="1:6" x14ac:dyDescent="0.3">
      <c r="A44" t="s">
        <v>22</v>
      </c>
      <c r="B44" t="s">
        <v>70</v>
      </c>
      <c r="C44">
        <v>2.6863439370000002</v>
      </c>
      <c r="D44">
        <v>2.8013912009999999</v>
      </c>
      <c r="E44">
        <v>1.6273326450000001</v>
      </c>
      <c r="F44">
        <v>2.0322635450000002</v>
      </c>
    </row>
    <row r="45" spans="1:6" x14ac:dyDescent="0.3">
      <c r="A45" t="s">
        <v>22</v>
      </c>
      <c r="B45" t="s">
        <v>71</v>
      </c>
      <c r="C45">
        <v>22.708930800000001</v>
      </c>
      <c r="D45">
        <v>23.682428229999999</v>
      </c>
      <c r="E45">
        <v>13.47024161</v>
      </c>
      <c r="F45">
        <v>16.68638773</v>
      </c>
    </row>
    <row r="46" spans="1:6" x14ac:dyDescent="0.3">
      <c r="A46" t="s">
        <v>23</v>
      </c>
      <c r="B46" t="s">
        <v>72</v>
      </c>
      <c r="C46">
        <v>0.48792114199999997</v>
      </c>
      <c r="D46">
        <v>0.53496818199999996</v>
      </c>
      <c r="E46">
        <v>0.30121529400000002</v>
      </c>
      <c r="F46">
        <v>0.32437218499999998</v>
      </c>
    </row>
    <row r="47" spans="1:6" x14ac:dyDescent="0.3">
      <c r="A47" t="s">
        <v>23</v>
      </c>
      <c r="B47" t="s">
        <v>73</v>
      </c>
      <c r="C47">
        <v>5.2580788580000002</v>
      </c>
      <c r="D47">
        <v>5.8116958179999996</v>
      </c>
      <c r="E47">
        <v>2.927284706</v>
      </c>
      <c r="F47">
        <v>3.2372818149999998</v>
      </c>
    </row>
    <row r="48" spans="1:6" x14ac:dyDescent="0.3">
      <c r="A48" t="s">
        <v>24</v>
      </c>
      <c r="B48" t="s">
        <v>76</v>
      </c>
      <c r="C48">
        <v>1.9458195970000001</v>
      </c>
      <c r="D48">
        <v>2.3072244560000001</v>
      </c>
      <c r="E48">
        <v>1.308204436</v>
      </c>
      <c r="F48">
        <v>1.386124817</v>
      </c>
    </row>
    <row r="49" spans="1:54" x14ac:dyDescent="0.3">
      <c r="A49" t="s">
        <v>24</v>
      </c>
      <c r="B49" t="s">
        <v>77</v>
      </c>
      <c r="C49">
        <v>8.6327374030000001</v>
      </c>
      <c r="D49">
        <v>8.5280065440000001</v>
      </c>
      <c r="E49">
        <v>5.8479045640000002</v>
      </c>
      <c r="F49">
        <v>6.0874881829999996</v>
      </c>
    </row>
    <row r="50" spans="1:54" x14ac:dyDescent="0.3">
      <c r="A50" t="s">
        <v>25</v>
      </c>
      <c r="B50" t="s">
        <v>78</v>
      </c>
      <c r="C50">
        <v>0.19424571099999999</v>
      </c>
      <c r="D50">
        <v>0.18293815099999999</v>
      </c>
      <c r="E50">
        <v>9.8886544000000007E-2</v>
      </c>
      <c r="F50">
        <v>0.17724722600000001</v>
      </c>
    </row>
    <row r="51" spans="1:54" x14ac:dyDescent="0.3">
      <c r="A51" t="s">
        <v>25</v>
      </c>
      <c r="B51" t="s">
        <v>79</v>
      </c>
      <c r="C51">
        <v>0.37375428900000002</v>
      </c>
      <c r="D51">
        <v>0.38906184900000002</v>
      </c>
      <c r="E51">
        <v>0.239113456</v>
      </c>
      <c r="F51">
        <v>0.32675277400000002</v>
      </c>
    </row>
    <row r="52" spans="1:54" x14ac:dyDescent="0.3">
      <c r="A52" t="s">
        <v>26</v>
      </c>
      <c r="B52" t="s">
        <v>80</v>
      </c>
      <c r="C52">
        <v>0</v>
      </c>
      <c r="D52">
        <v>0</v>
      </c>
      <c r="E52">
        <v>0</v>
      </c>
      <c r="F52">
        <v>0</v>
      </c>
    </row>
    <row r="53" spans="1:54" x14ac:dyDescent="0.3">
      <c r="A53" t="s">
        <v>26</v>
      </c>
      <c r="B53" t="s">
        <v>81</v>
      </c>
      <c r="C53">
        <v>4.072749</v>
      </c>
      <c r="D53">
        <v>4.2354090500000003</v>
      </c>
      <c r="E53">
        <v>2.3013864009999998</v>
      </c>
      <c r="F53">
        <v>2.1138969030000001</v>
      </c>
    </row>
    <row r="54" spans="1:54" x14ac:dyDescent="0.3">
      <c r="A54" t="s">
        <v>27</v>
      </c>
      <c r="B54" t="s">
        <v>82</v>
      </c>
      <c r="C54">
        <v>0.31116676199999999</v>
      </c>
      <c r="D54">
        <v>0.22342837500000001</v>
      </c>
      <c r="E54">
        <v>0.130217099</v>
      </c>
      <c r="F54">
        <v>0.14258827299999999</v>
      </c>
    </row>
    <row r="55" spans="1:54" x14ac:dyDescent="0.3">
      <c r="A55" t="s">
        <v>27</v>
      </c>
      <c r="B55" t="s">
        <v>83</v>
      </c>
      <c r="C55">
        <v>4.8785545360000002</v>
      </c>
      <c r="D55">
        <v>5.3531090619999997</v>
      </c>
      <c r="E55">
        <v>3.251460695</v>
      </c>
      <c r="F55">
        <v>3.2560097809999999</v>
      </c>
    </row>
    <row r="56" spans="1:54" x14ac:dyDescent="0.3">
      <c r="A56" t="s">
        <v>28</v>
      </c>
      <c r="B56" t="s">
        <v>84</v>
      </c>
      <c r="C56">
        <v>0.35851754400000002</v>
      </c>
      <c r="D56">
        <v>0.41224074900000002</v>
      </c>
      <c r="E56">
        <v>0.26030393200000002</v>
      </c>
      <c r="F56">
        <v>0.227529589</v>
      </c>
    </row>
    <row r="57" spans="1:54" x14ac:dyDescent="0.3">
      <c r="A57" t="s">
        <v>28</v>
      </c>
      <c r="B57" t="s">
        <v>85</v>
      </c>
      <c r="C57">
        <v>15.92548246</v>
      </c>
      <c r="D57">
        <v>16.908759249999999</v>
      </c>
      <c r="E57">
        <v>9.5566960680000008</v>
      </c>
      <c r="F57">
        <v>9.3914704110000002</v>
      </c>
    </row>
    <row r="59" spans="1:54" x14ac:dyDescent="0.3">
      <c r="A59" s="1" t="s">
        <v>89</v>
      </c>
    </row>
    <row r="60" spans="1:54" x14ac:dyDescent="0.3">
      <c r="A60" t="s">
        <v>87</v>
      </c>
      <c r="B60" s="1">
        <v>2018</v>
      </c>
      <c r="C60" s="1">
        <v>2019</v>
      </c>
      <c r="D60" s="1">
        <v>2020</v>
      </c>
      <c r="E60" s="1">
        <v>2021</v>
      </c>
      <c r="F60" s="1">
        <v>2022</v>
      </c>
      <c r="G60" s="1">
        <v>2023</v>
      </c>
      <c r="H60" s="1">
        <v>2024</v>
      </c>
      <c r="I60" s="1">
        <v>2025</v>
      </c>
      <c r="J60" s="1">
        <v>2026</v>
      </c>
      <c r="K60" s="1">
        <v>2027</v>
      </c>
      <c r="L60" s="1">
        <v>2028</v>
      </c>
      <c r="M60" s="1">
        <v>2029</v>
      </c>
      <c r="N60" s="1">
        <v>2030</v>
      </c>
      <c r="O60" s="1">
        <v>2031</v>
      </c>
      <c r="P60" s="1">
        <v>2032</v>
      </c>
      <c r="Q60" s="1">
        <v>2033</v>
      </c>
      <c r="R60" s="1">
        <v>2034</v>
      </c>
      <c r="S60" s="1">
        <v>2035</v>
      </c>
      <c r="T60" s="1">
        <v>2036</v>
      </c>
      <c r="U60" s="1">
        <v>2037</v>
      </c>
      <c r="V60" s="1">
        <v>2038</v>
      </c>
      <c r="W60" s="1">
        <v>2039</v>
      </c>
      <c r="X60" s="1">
        <v>2040</v>
      </c>
      <c r="Y60" s="1">
        <v>2041</v>
      </c>
      <c r="Z60" s="1">
        <v>2042</v>
      </c>
      <c r="AA60" s="1">
        <v>2043</v>
      </c>
      <c r="AB60" s="1">
        <v>2044</v>
      </c>
      <c r="AC60" s="1">
        <v>2045</v>
      </c>
      <c r="AD60" s="1">
        <v>2046</v>
      </c>
      <c r="AE60" s="1">
        <v>2047</v>
      </c>
      <c r="AF60" s="1">
        <v>2048</v>
      </c>
      <c r="AG60" s="1">
        <v>2049</v>
      </c>
      <c r="AH60" s="1">
        <v>2050</v>
      </c>
      <c r="AI60" s="1">
        <v>2051</v>
      </c>
      <c r="AJ60" s="1">
        <v>2052</v>
      </c>
      <c r="AK60" s="1">
        <v>2053</v>
      </c>
      <c r="AL60" s="1">
        <v>2054</v>
      </c>
      <c r="AM60" s="1">
        <v>2055</v>
      </c>
      <c r="AN60" s="1">
        <v>2056</v>
      </c>
      <c r="AO60" s="1">
        <v>2057</v>
      </c>
      <c r="AP60" s="1">
        <v>2058</v>
      </c>
      <c r="AQ60" s="1">
        <v>2059</v>
      </c>
      <c r="AR60" s="1">
        <v>2060</v>
      </c>
      <c r="AS60" s="1">
        <v>2061</v>
      </c>
      <c r="AT60" s="1">
        <v>2062</v>
      </c>
      <c r="AU60" s="1">
        <v>2063</v>
      </c>
      <c r="AV60" s="1">
        <v>2064</v>
      </c>
      <c r="AW60" s="1">
        <v>2065</v>
      </c>
      <c r="AX60" s="1">
        <v>2066</v>
      </c>
      <c r="AY60" s="1">
        <v>2067</v>
      </c>
      <c r="AZ60" s="1">
        <v>2068</v>
      </c>
      <c r="BA60" s="1">
        <v>2069</v>
      </c>
      <c r="BB60" s="1">
        <v>2070</v>
      </c>
    </row>
    <row r="61" spans="1:54" x14ac:dyDescent="0.3">
      <c r="A61" t="s">
        <v>2</v>
      </c>
      <c r="B61" s="4">
        <v>20.313954295999999</v>
      </c>
      <c r="C61" s="4">
        <v>20.621000002000002</v>
      </c>
      <c r="D61" s="4">
        <v>13.269999995999999</v>
      </c>
      <c r="E61" s="4">
        <v>14.569999997</v>
      </c>
      <c r="F61" s="6">
        <f>E61*('Rail EU Ref'!H2/'Rail EU Ref'!G2)</f>
        <v>16.756094480992825</v>
      </c>
      <c r="G61" s="6">
        <f>F61*('Rail EU Ref'!I2/'Rail EU Ref'!H2)</f>
        <v>18.942188964985647</v>
      </c>
      <c r="H61" s="6">
        <f>G61*('Rail EU Ref'!J2/'Rail EU Ref'!I2)</f>
        <v>21.128283448978468</v>
      </c>
      <c r="I61" s="6">
        <f>H61*('Rail EU Ref'!K2/'Rail EU Ref'!J2)</f>
        <v>23.314377932971297</v>
      </c>
      <c r="J61" s="6">
        <f>I61*('Rail EU Ref'!L2/'Rail EU Ref'!K2)</f>
        <v>23.623136265837381</v>
      </c>
      <c r="K61" s="6">
        <f>J61*('Rail EU Ref'!M2/'Rail EU Ref'!L2)</f>
        <v>23.931894598703465</v>
      </c>
      <c r="L61" s="6">
        <f>K61*('Rail EU Ref'!N2/'Rail EU Ref'!M2)</f>
        <v>24.240652931569549</v>
      </c>
      <c r="M61" s="6">
        <f>L61*('Rail EU Ref'!O2/'Rail EU Ref'!N2)</f>
        <v>24.549411264435633</v>
      </c>
      <c r="N61" s="6">
        <f>M61*('Rail EU Ref'!P2/'Rail EU Ref'!O2)</f>
        <v>24.858169597301728</v>
      </c>
      <c r="O61" s="6">
        <f>N61*('Rail EU Ref'!Q2/'Rail EU Ref'!P2)</f>
        <v>25.161121587456574</v>
      </c>
      <c r="P61" s="6">
        <f>O61*('Rail EU Ref'!R2/'Rail EU Ref'!Q2)</f>
        <v>25.464073577611423</v>
      </c>
      <c r="Q61" s="6">
        <f>P61*('Rail EU Ref'!S2/'Rail EU Ref'!R2)</f>
        <v>25.767025567766272</v>
      </c>
      <c r="R61" s="6">
        <f>Q61*('Rail EU Ref'!T2/'Rail EU Ref'!S2)</f>
        <v>26.069977557921121</v>
      </c>
      <c r="S61" s="6">
        <f>R61*('Rail EU Ref'!U2/'Rail EU Ref'!T2)</f>
        <v>26.372929548075966</v>
      </c>
      <c r="T61" s="6">
        <f>S61*('Rail EU Ref'!V2/'Rail EU Ref'!U2)</f>
        <v>26.586241488336007</v>
      </c>
      <c r="U61" s="6">
        <f>T61*('Rail EU Ref'!W2/'Rail EU Ref'!V2)</f>
        <v>26.799553428596049</v>
      </c>
      <c r="V61" s="6">
        <f>U61*('Rail EU Ref'!X2/'Rail EU Ref'!W2)</f>
        <v>27.01286536885609</v>
      </c>
      <c r="W61" s="6">
        <f>V61*('Rail EU Ref'!Y2/'Rail EU Ref'!X2)</f>
        <v>27.226177309116128</v>
      </c>
      <c r="X61" s="6">
        <f>W61*('Rail EU Ref'!Z2/'Rail EU Ref'!Y2)</f>
        <v>27.439489249376162</v>
      </c>
      <c r="Y61" s="6">
        <f>X61*('Rail EU Ref'!AA2/'Rail EU Ref'!Z2)</f>
        <v>27.614493804623127</v>
      </c>
      <c r="Z61" s="6">
        <f>Y61*('Rail EU Ref'!AB2/'Rail EU Ref'!AA2)</f>
        <v>27.789498359870095</v>
      </c>
      <c r="AA61" s="6">
        <f>Z61*('Rail EU Ref'!AC2/'Rail EU Ref'!AB2)</f>
        <v>27.964502915117063</v>
      </c>
      <c r="AB61" s="6">
        <f>AA61*('Rail EU Ref'!AD2/'Rail EU Ref'!AC2)</f>
        <v>28.13950747036403</v>
      </c>
      <c r="AC61" s="6">
        <f>AB61*('Rail EU Ref'!AE2/'Rail EU Ref'!AD2)</f>
        <v>28.314512025610995</v>
      </c>
      <c r="AD61" s="6">
        <f>AC61*('Rail EU Ref'!AF2/'Rail EU Ref'!AE2)</f>
        <v>28.445665153194685</v>
      </c>
      <c r="AE61" s="6">
        <f>AD61*('Rail EU Ref'!AG2/'Rail EU Ref'!AF2)</f>
        <v>28.576818280778376</v>
      </c>
      <c r="AF61" s="6">
        <f>AE61*('Rail EU Ref'!AH2/'Rail EU Ref'!AG2)</f>
        <v>28.70797140836207</v>
      </c>
      <c r="AG61" s="6">
        <f>AF61*('Rail EU Ref'!AI2/'Rail EU Ref'!AH2)</f>
        <v>28.839124535945764</v>
      </c>
      <c r="AH61" s="6">
        <f>AG61*('Rail EU Ref'!AJ2/'Rail EU Ref'!AI2)</f>
        <v>28.970277663529448</v>
      </c>
      <c r="AI61" s="7">
        <f>AH61</f>
        <v>28.970277663529448</v>
      </c>
      <c r="AJ61" s="7">
        <f t="shared" ref="AJ61:BB61" si="0">AI61</f>
        <v>28.970277663529448</v>
      </c>
      <c r="AK61" s="7">
        <f t="shared" si="0"/>
        <v>28.970277663529448</v>
      </c>
      <c r="AL61" s="7">
        <f t="shared" si="0"/>
        <v>28.970277663529448</v>
      </c>
      <c r="AM61" s="7">
        <f t="shared" si="0"/>
        <v>28.970277663529448</v>
      </c>
      <c r="AN61" s="7">
        <f t="shared" si="0"/>
        <v>28.970277663529448</v>
      </c>
      <c r="AO61" s="7">
        <f t="shared" si="0"/>
        <v>28.970277663529448</v>
      </c>
      <c r="AP61" s="7">
        <f t="shared" si="0"/>
        <v>28.970277663529448</v>
      </c>
      <c r="AQ61" s="7">
        <f t="shared" si="0"/>
        <v>28.970277663529448</v>
      </c>
      <c r="AR61" s="7">
        <f t="shared" si="0"/>
        <v>28.970277663529448</v>
      </c>
      <c r="AS61" s="7">
        <f t="shared" si="0"/>
        <v>28.970277663529448</v>
      </c>
      <c r="AT61" s="7">
        <f t="shared" si="0"/>
        <v>28.970277663529448</v>
      </c>
      <c r="AU61" s="7">
        <f t="shared" si="0"/>
        <v>28.970277663529448</v>
      </c>
      <c r="AV61" s="7">
        <f t="shared" si="0"/>
        <v>28.970277663529448</v>
      </c>
      <c r="AW61" s="7">
        <f t="shared" si="0"/>
        <v>28.970277663529448</v>
      </c>
      <c r="AX61" s="7">
        <f t="shared" si="0"/>
        <v>28.970277663529448</v>
      </c>
      <c r="AY61" s="7">
        <f t="shared" si="0"/>
        <v>28.970277663529448</v>
      </c>
      <c r="AZ61" s="7">
        <f t="shared" si="0"/>
        <v>28.970277663529448</v>
      </c>
      <c r="BA61" s="7">
        <f t="shared" si="0"/>
        <v>28.970277663529448</v>
      </c>
      <c r="BB61" s="7">
        <f t="shared" si="0"/>
        <v>28.970277663529448</v>
      </c>
    </row>
    <row r="62" spans="1:54" x14ac:dyDescent="0.3">
      <c r="A62" t="s">
        <v>4</v>
      </c>
      <c r="B62" s="4">
        <v>11.929755433</v>
      </c>
      <c r="C62" s="4">
        <v>12.321108013</v>
      </c>
      <c r="D62" s="4">
        <v>8.3429088570000012</v>
      </c>
      <c r="E62" s="4">
        <v>7.9149088570000004</v>
      </c>
      <c r="F62" s="6">
        <f>E62*('Rail EU Ref'!H3/'Rail EU Ref'!G3)</f>
        <v>9.4361376944657263</v>
      </c>
      <c r="G62" s="6">
        <f>F62*('Rail EU Ref'!I3/'Rail EU Ref'!H3)</f>
        <v>10.95736653193145</v>
      </c>
      <c r="H62" s="6">
        <f>G62*('Rail EU Ref'!J3/'Rail EU Ref'!I3)</f>
        <v>12.478595369397176</v>
      </c>
      <c r="I62" s="6">
        <f>H62*('Rail EU Ref'!K3/'Rail EU Ref'!J3)</f>
        <v>13.999824206862899</v>
      </c>
      <c r="J62" s="6">
        <f>I62*('Rail EU Ref'!L3/'Rail EU Ref'!K3)</f>
        <v>14.161684297379475</v>
      </c>
      <c r="K62" s="6">
        <f>J62*('Rail EU Ref'!M3/'Rail EU Ref'!L3)</f>
        <v>14.32354438789605</v>
      </c>
      <c r="L62" s="6">
        <f>K62*('Rail EU Ref'!N3/'Rail EU Ref'!M3)</f>
        <v>14.485404478412622</v>
      </c>
      <c r="M62" s="6">
        <f>L62*('Rail EU Ref'!O3/'Rail EU Ref'!N3)</f>
        <v>14.647264568929197</v>
      </c>
      <c r="N62" s="6">
        <f>M62*('Rail EU Ref'!P3/'Rail EU Ref'!O3)</f>
        <v>14.80912465944577</v>
      </c>
      <c r="O62" s="6">
        <f>N62*('Rail EU Ref'!Q3/'Rail EU Ref'!P3)</f>
        <v>14.947501766689237</v>
      </c>
      <c r="P62" s="6">
        <f>O62*('Rail EU Ref'!R3/'Rail EU Ref'!Q3)</f>
        <v>15.085878873932707</v>
      </c>
      <c r="Q62" s="6">
        <f>P62*('Rail EU Ref'!S3/'Rail EU Ref'!R3)</f>
        <v>15.224255981176176</v>
      </c>
      <c r="R62" s="6">
        <f>Q62*('Rail EU Ref'!T3/'Rail EU Ref'!S3)</f>
        <v>15.362633088419644</v>
      </c>
      <c r="S62" s="6">
        <f>R62*('Rail EU Ref'!U3/'Rail EU Ref'!T3)</f>
        <v>15.501010195663117</v>
      </c>
      <c r="T62" s="6">
        <f>S62*('Rail EU Ref'!V3/'Rail EU Ref'!U3)</f>
        <v>15.617347942367632</v>
      </c>
      <c r="U62" s="6">
        <f>T62*('Rail EU Ref'!W3/'Rail EU Ref'!V3)</f>
        <v>15.733685689072145</v>
      </c>
      <c r="V62" s="6">
        <f>U62*('Rail EU Ref'!X3/'Rail EU Ref'!W3)</f>
        <v>15.850023435776658</v>
      </c>
      <c r="W62" s="6">
        <f>V62*('Rail EU Ref'!Y3/'Rail EU Ref'!X3)</f>
        <v>15.966361182481172</v>
      </c>
      <c r="X62" s="6">
        <f>W62*('Rail EU Ref'!Z3/'Rail EU Ref'!Y3)</f>
        <v>16.082698929185689</v>
      </c>
      <c r="Y62" s="6">
        <f>X62*('Rail EU Ref'!AA3/'Rail EU Ref'!Z3)</f>
        <v>16.21260145507685</v>
      </c>
      <c r="Z62" s="6">
        <f>Y62*('Rail EU Ref'!AB3/'Rail EU Ref'!AA3)</f>
        <v>16.342503980968008</v>
      </c>
      <c r="AA62" s="6">
        <f>Z62*('Rail EU Ref'!AC3/'Rail EU Ref'!AB3)</f>
        <v>16.472406506859166</v>
      </c>
      <c r="AB62" s="6">
        <f>AA62*('Rail EU Ref'!AD3/'Rail EU Ref'!AC3)</f>
        <v>16.602309032750327</v>
      </c>
      <c r="AC62" s="6">
        <f>AB62*('Rail EU Ref'!AE3/'Rail EU Ref'!AD3)</f>
        <v>16.732211558641485</v>
      </c>
      <c r="AD62" s="6">
        <f>AC62*('Rail EU Ref'!AF3/'Rail EU Ref'!AE3)</f>
        <v>16.861317458348726</v>
      </c>
      <c r="AE62" s="6">
        <f>AD62*('Rail EU Ref'!AG3/'Rail EU Ref'!AF3)</f>
        <v>16.990423358055967</v>
      </c>
      <c r="AF62" s="6">
        <f>AE62*('Rail EU Ref'!AH3/'Rail EU Ref'!AG3)</f>
        <v>17.119529257763208</v>
      </c>
      <c r="AG62" s="6">
        <f>AF62*('Rail EU Ref'!AI3/'Rail EU Ref'!AH3)</f>
        <v>17.248635157470453</v>
      </c>
      <c r="AH62" s="6">
        <f>AG62*('Rail EU Ref'!AJ3/'Rail EU Ref'!AI3)</f>
        <v>17.37774105717769</v>
      </c>
      <c r="AI62" s="7">
        <f t="shared" ref="AI62:BB62" si="1">AH62</f>
        <v>17.37774105717769</v>
      </c>
      <c r="AJ62" s="7">
        <f t="shared" si="1"/>
        <v>17.37774105717769</v>
      </c>
      <c r="AK62" s="7">
        <f t="shared" si="1"/>
        <v>17.37774105717769</v>
      </c>
      <c r="AL62" s="7">
        <f t="shared" si="1"/>
        <v>17.37774105717769</v>
      </c>
      <c r="AM62" s="7">
        <f t="shared" si="1"/>
        <v>17.37774105717769</v>
      </c>
      <c r="AN62" s="7">
        <f t="shared" si="1"/>
        <v>17.37774105717769</v>
      </c>
      <c r="AO62" s="7">
        <f t="shared" si="1"/>
        <v>17.37774105717769</v>
      </c>
      <c r="AP62" s="7">
        <f t="shared" si="1"/>
        <v>17.37774105717769</v>
      </c>
      <c r="AQ62" s="7">
        <f t="shared" si="1"/>
        <v>17.37774105717769</v>
      </c>
      <c r="AR62" s="7">
        <f t="shared" si="1"/>
        <v>17.37774105717769</v>
      </c>
      <c r="AS62" s="7">
        <f t="shared" si="1"/>
        <v>17.37774105717769</v>
      </c>
      <c r="AT62" s="7">
        <f t="shared" si="1"/>
        <v>17.37774105717769</v>
      </c>
      <c r="AU62" s="7">
        <f t="shared" si="1"/>
        <v>17.37774105717769</v>
      </c>
      <c r="AV62" s="7">
        <f t="shared" si="1"/>
        <v>17.37774105717769</v>
      </c>
      <c r="AW62" s="7">
        <f t="shared" si="1"/>
        <v>17.37774105717769</v>
      </c>
      <c r="AX62" s="7">
        <f t="shared" si="1"/>
        <v>17.37774105717769</v>
      </c>
      <c r="AY62" s="7">
        <f t="shared" si="1"/>
        <v>17.37774105717769</v>
      </c>
      <c r="AZ62" s="7">
        <f t="shared" si="1"/>
        <v>17.37774105717769</v>
      </c>
      <c r="BA62" s="7">
        <f t="shared" si="1"/>
        <v>17.37774105717769</v>
      </c>
      <c r="BB62" s="7">
        <f t="shared" si="1"/>
        <v>17.37774105717769</v>
      </c>
    </row>
    <row r="63" spans="1:54" x14ac:dyDescent="0.3">
      <c r="A63" t="s">
        <v>3</v>
      </c>
      <c r="B63" s="4">
        <v>2.5609999999999999</v>
      </c>
      <c r="C63" s="4">
        <v>2.5740000000000003</v>
      </c>
      <c r="D63" s="4">
        <v>1.8080000000000001</v>
      </c>
      <c r="E63" s="4">
        <v>1.9530000000000001</v>
      </c>
      <c r="F63" s="6">
        <f>E63*('Rail EU Ref'!H4/'Rail EU Ref'!G4)</f>
        <v>2.1644021463608967</v>
      </c>
      <c r="G63" s="6">
        <f>F63*('Rail EU Ref'!I4/'Rail EU Ref'!H4)</f>
        <v>2.3758042927217935</v>
      </c>
      <c r="H63" s="6">
        <f>G63*('Rail EU Ref'!J4/'Rail EU Ref'!I4)</f>
        <v>2.5872064390826903</v>
      </c>
      <c r="I63" s="6">
        <f>H63*('Rail EU Ref'!K4/'Rail EU Ref'!J4)</f>
        <v>2.7986085854435871</v>
      </c>
      <c r="J63" s="6">
        <f>I63*('Rail EU Ref'!L4/'Rail EU Ref'!K4)</f>
        <v>2.8352518703740537</v>
      </c>
      <c r="K63" s="6">
        <f>J63*('Rail EU Ref'!M4/'Rail EU Ref'!L4)</f>
        <v>2.8718951553045202</v>
      </c>
      <c r="L63" s="6">
        <f>K63*('Rail EU Ref'!N4/'Rail EU Ref'!M4)</f>
        <v>2.9085384402349872</v>
      </c>
      <c r="M63" s="6">
        <f>L63*('Rail EU Ref'!O4/'Rail EU Ref'!N4)</f>
        <v>2.9451817251654542</v>
      </c>
      <c r="N63" s="6">
        <f>M63*('Rail EU Ref'!P4/'Rail EU Ref'!O4)</f>
        <v>2.9818250100959207</v>
      </c>
      <c r="O63" s="6">
        <f>N63*('Rail EU Ref'!Q4/'Rail EU Ref'!P4)</f>
        <v>3.0099683239266444</v>
      </c>
      <c r="P63" s="6">
        <f>O63*('Rail EU Ref'!R4/'Rail EU Ref'!Q4)</f>
        <v>3.038111637757368</v>
      </c>
      <c r="Q63" s="6">
        <f>P63*('Rail EU Ref'!S4/'Rail EU Ref'!R4)</f>
        <v>3.0662549515880917</v>
      </c>
      <c r="R63" s="6">
        <f>Q63*('Rail EU Ref'!T4/'Rail EU Ref'!S4)</f>
        <v>3.0943982654188154</v>
      </c>
      <c r="S63" s="6">
        <f>R63*('Rail EU Ref'!U4/'Rail EU Ref'!T4)</f>
        <v>3.122541579249539</v>
      </c>
      <c r="T63" s="6">
        <f>S63*('Rail EU Ref'!V4/'Rail EU Ref'!U4)</f>
        <v>3.1553442500329365</v>
      </c>
      <c r="U63" s="6">
        <f>T63*('Rail EU Ref'!W4/'Rail EU Ref'!V4)</f>
        <v>3.188146920816334</v>
      </c>
      <c r="V63" s="6">
        <f>U63*('Rail EU Ref'!X4/'Rail EU Ref'!W4)</f>
        <v>3.2209495915997319</v>
      </c>
      <c r="W63" s="6">
        <f>V63*('Rail EU Ref'!Y4/'Rail EU Ref'!X4)</f>
        <v>3.2537522623831294</v>
      </c>
      <c r="X63" s="6">
        <f>W63*('Rail EU Ref'!Z4/'Rail EU Ref'!Y4)</f>
        <v>3.2865549331665265</v>
      </c>
      <c r="Y63" s="6">
        <f>X63*('Rail EU Ref'!AA4/'Rail EU Ref'!Z4)</f>
        <v>3.3182211672653295</v>
      </c>
      <c r="Z63" s="6">
        <f>Y63*('Rail EU Ref'!AB4/'Rail EU Ref'!AA4)</f>
        <v>3.3498874013641324</v>
      </c>
      <c r="AA63" s="6">
        <f>Z63*('Rail EU Ref'!AC4/'Rail EU Ref'!AB4)</f>
        <v>3.3815536354629354</v>
      </c>
      <c r="AB63" s="6">
        <f>AA63*('Rail EU Ref'!AD4/'Rail EU Ref'!AC4)</f>
        <v>3.4132198695617384</v>
      </c>
      <c r="AC63" s="6">
        <f>AB63*('Rail EU Ref'!AE4/'Rail EU Ref'!AD4)</f>
        <v>3.4448861036605418</v>
      </c>
      <c r="AD63" s="6">
        <f>AC63*('Rail EU Ref'!AF4/'Rail EU Ref'!AE4)</f>
        <v>3.470492772442797</v>
      </c>
      <c r="AE63" s="6">
        <f>AD63*('Rail EU Ref'!AG4/'Rail EU Ref'!AF4)</f>
        <v>3.4960994412250517</v>
      </c>
      <c r="AF63" s="6">
        <f>AE63*('Rail EU Ref'!AH4/'Rail EU Ref'!AG4)</f>
        <v>3.5217061100073068</v>
      </c>
      <c r="AG63" s="6">
        <f>AF63*('Rail EU Ref'!AI4/'Rail EU Ref'!AH4)</f>
        <v>3.547312778789562</v>
      </c>
      <c r="AH63" s="6">
        <f>AG63*('Rail EU Ref'!AJ4/'Rail EU Ref'!AI4)</f>
        <v>3.572919447571818</v>
      </c>
      <c r="AI63" s="7">
        <f t="shared" ref="AI63:BB63" si="2">AH63</f>
        <v>3.572919447571818</v>
      </c>
      <c r="AJ63" s="7">
        <f t="shared" si="2"/>
        <v>3.572919447571818</v>
      </c>
      <c r="AK63" s="7">
        <f t="shared" si="2"/>
        <v>3.572919447571818</v>
      </c>
      <c r="AL63" s="7">
        <f t="shared" si="2"/>
        <v>3.572919447571818</v>
      </c>
      <c r="AM63" s="7">
        <f t="shared" si="2"/>
        <v>3.572919447571818</v>
      </c>
      <c r="AN63" s="7">
        <f t="shared" si="2"/>
        <v>3.572919447571818</v>
      </c>
      <c r="AO63" s="7">
        <f t="shared" si="2"/>
        <v>3.572919447571818</v>
      </c>
      <c r="AP63" s="7">
        <f t="shared" si="2"/>
        <v>3.572919447571818</v>
      </c>
      <c r="AQ63" s="7">
        <f t="shared" si="2"/>
        <v>3.572919447571818</v>
      </c>
      <c r="AR63" s="7">
        <f t="shared" si="2"/>
        <v>3.572919447571818</v>
      </c>
      <c r="AS63" s="7">
        <f t="shared" si="2"/>
        <v>3.572919447571818</v>
      </c>
      <c r="AT63" s="7">
        <f t="shared" si="2"/>
        <v>3.572919447571818</v>
      </c>
      <c r="AU63" s="7">
        <f t="shared" si="2"/>
        <v>3.572919447571818</v>
      </c>
      <c r="AV63" s="7">
        <f t="shared" si="2"/>
        <v>3.572919447571818</v>
      </c>
      <c r="AW63" s="7">
        <f t="shared" si="2"/>
        <v>3.572919447571818</v>
      </c>
      <c r="AX63" s="7">
        <f t="shared" si="2"/>
        <v>3.572919447571818</v>
      </c>
      <c r="AY63" s="7">
        <f t="shared" si="2"/>
        <v>3.572919447571818</v>
      </c>
      <c r="AZ63" s="7">
        <f t="shared" si="2"/>
        <v>3.572919447571818</v>
      </c>
      <c r="BA63" s="7">
        <f t="shared" si="2"/>
        <v>3.572919447571818</v>
      </c>
      <c r="BB63" s="7">
        <f t="shared" si="2"/>
        <v>3.572919447571818</v>
      </c>
    </row>
    <row r="64" spans="1:54" x14ac:dyDescent="0.3">
      <c r="A64" t="s">
        <v>15</v>
      </c>
      <c r="B64" s="4">
        <v>0</v>
      </c>
      <c r="C64" s="4">
        <v>0</v>
      </c>
      <c r="D64" s="4">
        <v>0</v>
      </c>
      <c r="E64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7">
        <f t="shared" ref="AI64:BB64" si="3">AH64</f>
        <v>0</v>
      </c>
      <c r="AJ64" s="7">
        <f t="shared" si="3"/>
        <v>0</v>
      </c>
      <c r="AK64" s="7">
        <f t="shared" si="3"/>
        <v>0</v>
      </c>
      <c r="AL64" s="7">
        <f t="shared" si="3"/>
        <v>0</v>
      </c>
      <c r="AM64" s="7">
        <f t="shared" si="3"/>
        <v>0</v>
      </c>
      <c r="AN64" s="7">
        <f t="shared" si="3"/>
        <v>0</v>
      </c>
      <c r="AO64" s="7">
        <f t="shared" si="3"/>
        <v>0</v>
      </c>
      <c r="AP64" s="7">
        <f t="shared" si="3"/>
        <v>0</v>
      </c>
      <c r="AQ64" s="7">
        <f t="shared" si="3"/>
        <v>0</v>
      </c>
      <c r="AR64" s="7">
        <f t="shared" si="3"/>
        <v>0</v>
      </c>
      <c r="AS64" s="7">
        <f t="shared" si="3"/>
        <v>0</v>
      </c>
      <c r="AT64" s="7">
        <f t="shared" si="3"/>
        <v>0</v>
      </c>
      <c r="AU64" s="7">
        <f t="shared" si="3"/>
        <v>0</v>
      </c>
      <c r="AV64" s="7">
        <f t="shared" si="3"/>
        <v>0</v>
      </c>
      <c r="AW64" s="7">
        <f t="shared" si="3"/>
        <v>0</v>
      </c>
      <c r="AX64" s="7">
        <f t="shared" si="3"/>
        <v>0</v>
      </c>
      <c r="AY64" s="7">
        <f t="shared" si="3"/>
        <v>0</v>
      </c>
      <c r="AZ64" s="7">
        <f t="shared" si="3"/>
        <v>0</v>
      </c>
      <c r="BA64" s="7">
        <f t="shared" si="3"/>
        <v>0</v>
      </c>
      <c r="BB64" s="7">
        <f t="shared" si="3"/>
        <v>0</v>
      </c>
    </row>
    <row r="65" spans="1:54" x14ac:dyDescent="0.3">
      <c r="A65" t="s">
        <v>5</v>
      </c>
      <c r="B65" s="4">
        <v>20.954799997999999</v>
      </c>
      <c r="C65" s="4">
        <v>21.954800003999999</v>
      </c>
      <c r="D65" s="4">
        <v>10.3775</v>
      </c>
      <c r="E65" s="4">
        <v>10.3659</v>
      </c>
      <c r="F65" s="6">
        <f>E65*('Rail EU Ref'!H6/'Rail EU Ref'!G6)</f>
        <v>11.401808661449099</v>
      </c>
      <c r="G65" s="6">
        <f>F65*('Rail EU Ref'!I6/'Rail EU Ref'!H6)</f>
        <v>12.437717322898196</v>
      </c>
      <c r="H65" s="6">
        <f>G65*('Rail EU Ref'!J6/'Rail EU Ref'!I6)</f>
        <v>13.473625984347295</v>
      </c>
      <c r="I65" s="6">
        <f>H65*('Rail EU Ref'!K6/'Rail EU Ref'!J6)</f>
        <v>14.509534645796393</v>
      </c>
      <c r="J65" s="6">
        <f>I65*('Rail EU Ref'!L6/'Rail EU Ref'!K6)</f>
        <v>14.711099694391731</v>
      </c>
      <c r="K65" s="6">
        <f>J65*('Rail EU Ref'!M6/'Rail EU Ref'!L6)</f>
        <v>14.912664742987067</v>
      </c>
      <c r="L65" s="6">
        <f>K65*('Rail EU Ref'!N6/'Rail EU Ref'!M6)</f>
        <v>15.114229791582405</v>
      </c>
      <c r="M65" s="6">
        <f>L65*('Rail EU Ref'!O6/'Rail EU Ref'!N6)</f>
        <v>15.315794840177743</v>
      </c>
      <c r="N65" s="6">
        <f>M65*('Rail EU Ref'!P6/'Rail EU Ref'!O6)</f>
        <v>15.517359888773077</v>
      </c>
      <c r="O65" s="6">
        <f>N65*('Rail EU Ref'!Q6/'Rail EU Ref'!P6)</f>
        <v>15.681252657981164</v>
      </c>
      <c r="P65" s="6">
        <f>O65*('Rail EU Ref'!R6/'Rail EU Ref'!Q6)</f>
        <v>15.845145427189252</v>
      </c>
      <c r="Q65" s="6">
        <f>P65*('Rail EU Ref'!S6/'Rail EU Ref'!R6)</f>
        <v>16.009038196397338</v>
      </c>
      <c r="R65" s="6">
        <f>Q65*('Rail EU Ref'!T6/'Rail EU Ref'!S6)</f>
        <v>16.172930965605424</v>
      </c>
      <c r="S65" s="6">
        <f>R65*('Rail EU Ref'!U6/'Rail EU Ref'!T6)</f>
        <v>16.33682373481351</v>
      </c>
      <c r="T65" s="6">
        <f>S65*('Rail EU Ref'!V6/'Rail EU Ref'!U6)</f>
        <v>16.522738905212044</v>
      </c>
      <c r="U65" s="6">
        <f>T65*('Rail EU Ref'!W6/'Rail EU Ref'!V6)</f>
        <v>16.708654075610578</v>
      </c>
      <c r="V65" s="6">
        <f>U65*('Rail EU Ref'!X6/'Rail EU Ref'!W6)</f>
        <v>16.894569246009116</v>
      </c>
      <c r="W65" s="6">
        <f>V65*('Rail EU Ref'!Y6/'Rail EU Ref'!X6)</f>
        <v>17.080484416407653</v>
      </c>
      <c r="X65" s="6">
        <f>W65*('Rail EU Ref'!Z6/'Rail EU Ref'!Y6)</f>
        <v>17.266399586806195</v>
      </c>
      <c r="Y65" s="6">
        <f>X65*('Rail EU Ref'!AA6/'Rail EU Ref'!Z6)</f>
        <v>17.408786292749937</v>
      </c>
      <c r="Z65" s="6">
        <f>Y65*('Rail EU Ref'!AB6/'Rail EU Ref'!AA6)</f>
        <v>17.551172998693684</v>
      </c>
      <c r="AA65" s="6">
        <f>Z65*('Rail EU Ref'!AC6/'Rail EU Ref'!AB6)</f>
        <v>17.69355970463743</v>
      </c>
      <c r="AB65" s="6">
        <f>AA65*('Rail EU Ref'!AD6/'Rail EU Ref'!AC6)</f>
        <v>17.835946410581176</v>
      </c>
      <c r="AC65" s="6">
        <f>AB65*('Rail EU Ref'!AE6/'Rail EU Ref'!AD6)</f>
        <v>17.978333116524922</v>
      </c>
      <c r="AD65" s="6">
        <f>AC65*('Rail EU Ref'!AF6/'Rail EU Ref'!AE6)</f>
        <v>18.098206248708141</v>
      </c>
      <c r="AE65" s="6">
        <f>AD65*('Rail EU Ref'!AG6/'Rail EU Ref'!AF6)</f>
        <v>18.218079380891361</v>
      </c>
      <c r="AF65" s="6">
        <f>AE65*('Rail EU Ref'!AH6/'Rail EU Ref'!AG6)</f>
        <v>18.33795251307458</v>
      </c>
      <c r="AG65" s="6">
        <f>AF65*('Rail EU Ref'!AI6/'Rail EU Ref'!AH6)</f>
        <v>18.457825645257802</v>
      </c>
      <c r="AH65" s="6">
        <f>AG65*('Rail EU Ref'!AJ6/'Rail EU Ref'!AI6)</f>
        <v>18.577698777441018</v>
      </c>
      <c r="AI65" s="7">
        <f t="shared" ref="AI65:BB65" si="4">AH65</f>
        <v>18.577698777441018</v>
      </c>
      <c r="AJ65" s="7">
        <f t="shared" si="4"/>
        <v>18.577698777441018</v>
      </c>
      <c r="AK65" s="7">
        <f t="shared" si="4"/>
        <v>18.577698777441018</v>
      </c>
      <c r="AL65" s="7">
        <f t="shared" si="4"/>
        <v>18.577698777441018</v>
      </c>
      <c r="AM65" s="7">
        <f t="shared" si="4"/>
        <v>18.577698777441018</v>
      </c>
      <c r="AN65" s="7">
        <f t="shared" si="4"/>
        <v>18.577698777441018</v>
      </c>
      <c r="AO65" s="7">
        <f t="shared" si="4"/>
        <v>18.577698777441018</v>
      </c>
      <c r="AP65" s="7">
        <f t="shared" si="4"/>
        <v>18.577698777441018</v>
      </c>
      <c r="AQ65" s="7">
        <f t="shared" si="4"/>
        <v>18.577698777441018</v>
      </c>
      <c r="AR65" s="7">
        <f t="shared" si="4"/>
        <v>18.577698777441018</v>
      </c>
      <c r="AS65" s="7">
        <f t="shared" si="4"/>
        <v>18.577698777441018</v>
      </c>
      <c r="AT65" s="7">
        <f t="shared" si="4"/>
        <v>18.577698777441018</v>
      </c>
      <c r="AU65" s="7">
        <f t="shared" si="4"/>
        <v>18.577698777441018</v>
      </c>
      <c r="AV65" s="7">
        <f t="shared" si="4"/>
        <v>18.577698777441018</v>
      </c>
      <c r="AW65" s="7">
        <f t="shared" si="4"/>
        <v>18.577698777441018</v>
      </c>
      <c r="AX65" s="7">
        <f t="shared" si="4"/>
        <v>18.577698777441018</v>
      </c>
      <c r="AY65" s="7">
        <f t="shared" si="4"/>
        <v>18.577698777441018</v>
      </c>
      <c r="AZ65" s="7">
        <f t="shared" si="4"/>
        <v>18.577698777441018</v>
      </c>
      <c r="BA65" s="7">
        <f t="shared" si="4"/>
        <v>18.577698777441018</v>
      </c>
      <c r="BB65" s="7">
        <f t="shared" si="4"/>
        <v>18.577698777441018</v>
      </c>
    </row>
    <row r="66" spans="1:54" x14ac:dyDescent="0.3">
      <c r="A66" t="s">
        <v>7</v>
      </c>
      <c r="B66" s="4">
        <v>115.79999997</v>
      </c>
      <c r="C66" s="4">
        <v>117.85200001000001</v>
      </c>
      <c r="D66" s="4">
        <v>69.487000003000006</v>
      </c>
      <c r="E66" s="4">
        <v>68.717999999999989</v>
      </c>
      <c r="F66" s="6">
        <f>E66*('Rail EU Ref'!H7/'Rail EU Ref'!G7)</f>
        <v>75.344343875099824</v>
      </c>
      <c r="G66" s="6">
        <f>F66*('Rail EU Ref'!I7/'Rail EU Ref'!H7)</f>
        <v>81.970687750199673</v>
      </c>
      <c r="H66" s="6">
        <f>G66*('Rail EU Ref'!J7/'Rail EU Ref'!I7)</f>
        <v>88.597031625299508</v>
      </c>
      <c r="I66" s="6">
        <f>H66*('Rail EU Ref'!K7/'Rail EU Ref'!J7)</f>
        <v>95.223375500399371</v>
      </c>
      <c r="J66" s="6">
        <f>I66*('Rail EU Ref'!L7/'Rail EU Ref'!K7)</f>
        <v>95.168092033142301</v>
      </c>
      <c r="K66" s="6">
        <f>J66*('Rail EU Ref'!M7/'Rail EU Ref'!L7)</f>
        <v>95.112808565885231</v>
      </c>
      <c r="L66" s="6">
        <f>K66*('Rail EU Ref'!N7/'Rail EU Ref'!M7)</f>
        <v>95.057525098628162</v>
      </c>
      <c r="M66" s="6">
        <f>L66*('Rail EU Ref'!O7/'Rail EU Ref'!N7)</f>
        <v>95.002241631371092</v>
      </c>
      <c r="N66" s="6">
        <f>M66*('Rail EU Ref'!P7/'Rail EU Ref'!O7)</f>
        <v>94.946958164114008</v>
      </c>
      <c r="O66" s="6">
        <f>N66*('Rail EU Ref'!Q7/'Rail EU Ref'!P7)</f>
        <v>97.914092162419593</v>
      </c>
      <c r="P66" s="6">
        <f>O66*('Rail EU Ref'!R7/'Rail EU Ref'!Q7)</f>
        <v>100.88122616072518</v>
      </c>
      <c r="Q66" s="6">
        <f>P66*('Rail EU Ref'!S7/'Rail EU Ref'!R7)</f>
        <v>103.84836015903075</v>
      </c>
      <c r="R66" s="6">
        <f>Q66*('Rail EU Ref'!T7/'Rail EU Ref'!S7)</f>
        <v>106.81549415733632</v>
      </c>
      <c r="S66" s="6">
        <f>R66*('Rail EU Ref'!U7/'Rail EU Ref'!T7)</f>
        <v>109.78262815564189</v>
      </c>
      <c r="T66" s="6">
        <f>S66*('Rail EU Ref'!V7/'Rail EU Ref'!U7)</f>
        <v>109.74315928270327</v>
      </c>
      <c r="U66" s="6">
        <f>T66*('Rail EU Ref'!W7/'Rail EU Ref'!V7)</f>
        <v>109.70369040976466</v>
      </c>
      <c r="V66" s="6">
        <f>U66*('Rail EU Ref'!X7/'Rail EU Ref'!W7)</f>
        <v>109.66422153682605</v>
      </c>
      <c r="W66" s="6">
        <f>V66*('Rail EU Ref'!Y7/'Rail EU Ref'!X7)</f>
        <v>109.62475266388743</v>
      </c>
      <c r="X66" s="6">
        <f>W66*('Rail EU Ref'!Z7/'Rail EU Ref'!Y7)</f>
        <v>109.58528379094885</v>
      </c>
      <c r="Y66" s="6">
        <f>X66*('Rail EU Ref'!AA7/'Rail EU Ref'!Z7)</f>
        <v>112.38509345853892</v>
      </c>
      <c r="Z66" s="6">
        <f>Y66*('Rail EU Ref'!AB7/'Rail EU Ref'!AA7)</f>
        <v>115.184903126129</v>
      </c>
      <c r="AA66" s="6">
        <f>Z66*('Rail EU Ref'!AC7/'Rail EU Ref'!AB7)</f>
        <v>117.98471279371908</v>
      </c>
      <c r="AB66" s="6">
        <f>AA66*('Rail EU Ref'!AD7/'Rail EU Ref'!AC7)</f>
        <v>120.78452246130917</v>
      </c>
      <c r="AC66" s="6">
        <f>AB66*('Rail EU Ref'!AE7/'Rail EU Ref'!AD7)</f>
        <v>123.58433212889925</v>
      </c>
      <c r="AD66" s="6">
        <f>AC66*('Rail EU Ref'!AF7/'Rail EU Ref'!AE7)</f>
        <v>124.99266523691205</v>
      </c>
      <c r="AE66" s="6">
        <f>AD66*('Rail EU Ref'!AG7/'Rail EU Ref'!AF7)</f>
        <v>126.40099834492486</v>
      </c>
      <c r="AF66" s="6">
        <f>AE66*('Rail EU Ref'!AH7/'Rail EU Ref'!AG7)</f>
        <v>127.80933145293767</v>
      </c>
      <c r="AG66" s="6">
        <f>AF66*('Rail EU Ref'!AI7/'Rail EU Ref'!AH7)</f>
        <v>129.21766456095048</v>
      </c>
      <c r="AH66" s="6">
        <f>AG66*('Rail EU Ref'!AJ7/'Rail EU Ref'!AI7)</f>
        <v>130.62599766896324</v>
      </c>
      <c r="AI66" s="7">
        <f t="shared" ref="AI66:BB66" si="5">AH66</f>
        <v>130.62599766896324</v>
      </c>
      <c r="AJ66" s="7">
        <f t="shared" si="5"/>
        <v>130.62599766896324</v>
      </c>
      <c r="AK66" s="7">
        <f t="shared" si="5"/>
        <v>130.62599766896324</v>
      </c>
      <c r="AL66" s="7">
        <f t="shared" si="5"/>
        <v>130.62599766896324</v>
      </c>
      <c r="AM66" s="7">
        <f t="shared" si="5"/>
        <v>130.62599766896324</v>
      </c>
      <c r="AN66" s="7">
        <f t="shared" si="5"/>
        <v>130.62599766896324</v>
      </c>
      <c r="AO66" s="7">
        <f t="shared" si="5"/>
        <v>130.62599766896324</v>
      </c>
      <c r="AP66" s="7">
        <f t="shared" si="5"/>
        <v>130.62599766896324</v>
      </c>
      <c r="AQ66" s="7">
        <f t="shared" si="5"/>
        <v>130.62599766896324</v>
      </c>
      <c r="AR66" s="7">
        <f t="shared" si="5"/>
        <v>130.62599766896324</v>
      </c>
      <c r="AS66" s="7">
        <f t="shared" si="5"/>
        <v>130.62599766896324</v>
      </c>
      <c r="AT66" s="7">
        <f t="shared" si="5"/>
        <v>130.62599766896324</v>
      </c>
      <c r="AU66" s="7">
        <f t="shared" si="5"/>
        <v>130.62599766896324</v>
      </c>
      <c r="AV66" s="7">
        <f t="shared" si="5"/>
        <v>130.62599766896324</v>
      </c>
      <c r="AW66" s="7">
        <f t="shared" si="5"/>
        <v>130.62599766896324</v>
      </c>
      <c r="AX66" s="7">
        <f t="shared" si="5"/>
        <v>130.62599766896324</v>
      </c>
      <c r="AY66" s="7">
        <f t="shared" si="5"/>
        <v>130.62599766896324</v>
      </c>
      <c r="AZ66" s="7">
        <f t="shared" si="5"/>
        <v>130.62599766896324</v>
      </c>
      <c r="BA66" s="7">
        <f t="shared" si="5"/>
        <v>130.62599766896324</v>
      </c>
      <c r="BB66" s="7">
        <f t="shared" si="5"/>
        <v>130.62599766896324</v>
      </c>
    </row>
    <row r="67" spans="1:54" x14ac:dyDescent="0.3">
      <c r="A67" t="s">
        <v>6</v>
      </c>
      <c r="B67" s="4">
        <v>6.5489999999999995</v>
      </c>
      <c r="C67" s="4">
        <v>6.5739999999999998</v>
      </c>
      <c r="D67" s="4">
        <v>4.2290000000000001</v>
      </c>
      <c r="E67" s="4">
        <v>4.5120000000000005</v>
      </c>
      <c r="F67" s="6">
        <f>E67*('Rail EU Ref'!H8/'Rail EU Ref'!G8)</f>
        <v>4.8443813749453692</v>
      </c>
      <c r="G67" s="6">
        <f>F67*('Rail EU Ref'!I8/'Rail EU Ref'!H8)</f>
        <v>5.176762749890738</v>
      </c>
      <c r="H67" s="6">
        <f>G67*('Rail EU Ref'!J8/'Rail EU Ref'!I8)</f>
        <v>5.5091441248361068</v>
      </c>
      <c r="I67" s="6">
        <f>H67*('Rail EU Ref'!K8/'Rail EU Ref'!J8)</f>
        <v>5.8415254997814747</v>
      </c>
      <c r="J67" s="6">
        <f>I67*('Rail EU Ref'!L8/'Rail EU Ref'!K8)</f>
        <v>5.9694834842815228</v>
      </c>
      <c r="K67" s="6">
        <f>J67*('Rail EU Ref'!M8/'Rail EU Ref'!L8)</f>
        <v>6.0974414687815708</v>
      </c>
      <c r="L67" s="6">
        <f>K67*('Rail EU Ref'!N8/'Rail EU Ref'!M8)</f>
        <v>6.2253994532816188</v>
      </c>
      <c r="M67" s="6">
        <f>L67*('Rail EU Ref'!O8/'Rail EU Ref'!N8)</f>
        <v>6.3533574377816668</v>
      </c>
      <c r="N67" s="6">
        <f>M67*('Rail EU Ref'!P8/'Rail EU Ref'!O8)</f>
        <v>6.481315422281714</v>
      </c>
      <c r="O67" s="6">
        <f>N67*('Rail EU Ref'!Q8/'Rail EU Ref'!P8)</f>
        <v>6.5585310857702455</v>
      </c>
      <c r="P67" s="6">
        <f>O67*('Rail EU Ref'!R8/'Rail EU Ref'!Q8)</f>
        <v>6.6357467492587761</v>
      </c>
      <c r="Q67" s="6">
        <f>P67*('Rail EU Ref'!S8/'Rail EU Ref'!R8)</f>
        <v>6.7129624127473075</v>
      </c>
      <c r="R67" s="6">
        <f>Q67*('Rail EU Ref'!T8/'Rail EU Ref'!S8)</f>
        <v>6.7901780762358381</v>
      </c>
      <c r="S67" s="6">
        <f>R67*('Rail EU Ref'!U8/'Rail EU Ref'!T8)</f>
        <v>6.8673937397243714</v>
      </c>
      <c r="T67" s="6">
        <f>S67*('Rail EU Ref'!V8/'Rail EU Ref'!U8)</f>
        <v>6.9264758421054671</v>
      </c>
      <c r="U67" s="6">
        <f>T67*('Rail EU Ref'!W8/'Rail EU Ref'!V8)</f>
        <v>6.9855579444865628</v>
      </c>
      <c r="V67" s="6">
        <f>U67*('Rail EU Ref'!X8/'Rail EU Ref'!W8)</f>
        <v>7.0446400468676575</v>
      </c>
      <c r="W67" s="6">
        <f>V67*('Rail EU Ref'!Y8/'Rail EU Ref'!X8)</f>
        <v>7.1037221492487523</v>
      </c>
      <c r="X67" s="6">
        <f>W67*('Rail EU Ref'!Z8/'Rail EU Ref'!Y8)</f>
        <v>7.1628042516298471</v>
      </c>
      <c r="Y67" s="6">
        <f>X67*('Rail EU Ref'!AA8/'Rail EU Ref'!Z8)</f>
        <v>7.2067492866926308</v>
      </c>
      <c r="Z67" s="6">
        <f>Y67*('Rail EU Ref'!AB8/'Rail EU Ref'!AA8)</f>
        <v>7.2506943217554136</v>
      </c>
      <c r="AA67" s="6">
        <f>Z67*('Rail EU Ref'!AC8/'Rail EU Ref'!AB8)</f>
        <v>7.2946393568181973</v>
      </c>
      <c r="AB67" s="6">
        <f>AA67*('Rail EU Ref'!AD8/'Rail EU Ref'!AC8)</f>
        <v>7.338584391880981</v>
      </c>
      <c r="AC67" s="6">
        <f>AB67*('Rail EU Ref'!AE8/'Rail EU Ref'!AD8)</f>
        <v>7.3825294269437656</v>
      </c>
      <c r="AD67" s="6">
        <f>AC67*('Rail EU Ref'!AF8/'Rail EU Ref'!AE8)</f>
        <v>7.4273577969263656</v>
      </c>
      <c r="AE67" s="6">
        <f>AD67*('Rail EU Ref'!AG8/'Rail EU Ref'!AF8)</f>
        <v>7.4721861669089673</v>
      </c>
      <c r="AF67" s="6">
        <f>AE67*('Rail EU Ref'!AH8/'Rail EU Ref'!AG8)</f>
        <v>7.5170145368915691</v>
      </c>
      <c r="AG67" s="6">
        <f>AF67*('Rail EU Ref'!AI8/'Rail EU Ref'!AH8)</f>
        <v>7.5618429068741699</v>
      </c>
      <c r="AH67" s="6">
        <f>AG67*('Rail EU Ref'!AJ8/'Rail EU Ref'!AI8)</f>
        <v>7.6066712768567717</v>
      </c>
      <c r="AI67" s="7">
        <f t="shared" ref="AI67:BB67" si="6">AH67</f>
        <v>7.6066712768567717</v>
      </c>
      <c r="AJ67" s="7">
        <f t="shared" si="6"/>
        <v>7.6066712768567717</v>
      </c>
      <c r="AK67" s="7">
        <f t="shared" si="6"/>
        <v>7.6066712768567717</v>
      </c>
      <c r="AL67" s="7">
        <f t="shared" si="6"/>
        <v>7.6066712768567717</v>
      </c>
      <c r="AM67" s="7">
        <f t="shared" si="6"/>
        <v>7.6066712768567717</v>
      </c>
      <c r="AN67" s="7">
        <f t="shared" si="6"/>
        <v>7.6066712768567717</v>
      </c>
      <c r="AO67" s="7">
        <f t="shared" si="6"/>
        <v>7.6066712768567717</v>
      </c>
      <c r="AP67" s="7">
        <f t="shared" si="6"/>
        <v>7.6066712768567717</v>
      </c>
      <c r="AQ67" s="7">
        <f t="shared" si="6"/>
        <v>7.6066712768567717</v>
      </c>
      <c r="AR67" s="7">
        <f t="shared" si="6"/>
        <v>7.6066712768567717</v>
      </c>
      <c r="AS67" s="7">
        <f t="shared" si="6"/>
        <v>7.6066712768567717</v>
      </c>
      <c r="AT67" s="7">
        <f t="shared" si="6"/>
        <v>7.6066712768567717</v>
      </c>
      <c r="AU67" s="7">
        <f t="shared" si="6"/>
        <v>7.6066712768567717</v>
      </c>
      <c r="AV67" s="7">
        <f t="shared" si="6"/>
        <v>7.6066712768567717</v>
      </c>
      <c r="AW67" s="7">
        <f t="shared" si="6"/>
        <v>7.6066712768567717</v>
      </c>
      <c r="AX67" s="7">
        <f t="shared" si="6"/>
        <v>7.6066712768567717</v>
      </c>
      <c r="AY67" s="7">
        <f t="shared" si="6"/>
        <v>7.6066712768567717</v>
      </c>
      <c r="AZ67" s="7">
        <f t="shared" si="6"/>
        <v>7.6066712768567717</v>
      </c>
      <c r="BA67" s="7">
        <f t="shared" si="6"/>
        <v>7.6066712768567717</v>
      </c>
      <c r="BB67" s="7">
        <f t="shared" si="6"/>
        <v>7.6066712768567717</v>
      </c>
    </row>
    <row r="68" spans="1:54" x14ac:dyDescent="0.3">
      <c r="A68" t="s">
        <v>8</v>
      </c>
      <c r="B68" s="4">
        <v>0.500892</v>
      </c>
      <c r="C68" s="4">
        <v>0.479348</v>
      </c>
      <c r="D68" s="4">
        <v>0.31343399999999999</v>
      </c>
      <c r="E68" s="4">
        <v>0.34689963899999998</v>
      </c>
      <c r="F68" s="6">
        <f>E68*('Rail EU Ref'!H9/'Rail EU Ref'!G9)</f>
        <v>0.38706984515385368</v>
      </c>
      <c r="G68" s="6">
        <f>F68*('Rail EU Ref'!I9/'Rail EU Ref'!H9)</f>
        <v>0.42724005130770731</v>
      </c>
      <c r="H68" s="6">
        <f>G68*('Rail EU Ref'!J9/'Rail EU Ref'!I9)</f>
        <v>0.46741025746156106</v>
      </c>
      <c r="I68" s="6">
        <f>H68*('Rail EU Ref'!K9/'Rail EU Ref'!J9)</f>
        <v>0.50758046361541487</v>
      </c>
      <c r="J68" s="6">
        <f>I68*('Rail EU Ref'!L9/'Rail EU Ref'!K9)</f>
        <v>0.52843333208160048</v>
      </c>
      <c r="K68" s="6">
        <f>J68*('Rail EU Ref'!M9/'Rail EU Ref'!L9)</f>
        <v>0.54928620054778621</v>
      </c>
      <c r="L68" s="6">
        <f>K68*('Rail EU Ref'!N9/'Rail EU Ref'!M9)</f>
        <v>0.57013906901397193</v>
      </c>
      <c r="M68" s="6">
        <f>L68*('Rail EU Ref'!O9/'Rail EU Ref'!N9)</f>
        <v>0.59099193748015755</v>
      </c>
      <c r="N68" s="6">
        <f>M68*('Rail EU Ref'!P9/'Rail EU Ref'!O9)</f>
        <v>0.61184480594634316</v>
      </c>
      <c r="O68" s="6">
        <f>N68*('Rail EU Ref'!Q9/'Rail EU Ref'!P9)</f>
        <v>0.62594079555271842</v>
      </c>
      <c r="P68" s="6">
        <f>O68*('Rail EU Ref'!R9/'Rail EU Ref'!Q9)</f>
        <v>0.64003678515909368</v>
      </c>
      <c r="Q68" s="6">
        <f>P68*('Rail EU Ref'!S9/'Rail EU Ref'!R9)</f>
        <v>0.65413277476546894</v>
      </c>
      <c r="R68" s="6">
        <f>Q68*('Rail EU Ref'!T9/'Rail EU Ref'!S9)</f>
        <v>0.6682287643718442</v>
      </c>
      <c r="S68" s="6">
        <f>R68*('Rail EU Ref'!U9/'Rail EU Ref'!T9)</f>
        <v>0.68232475397821934</v>
      </c>
      <c r="T68" s="6">
        <f>S68*('Rail EU Ref'!V9/'Rail EU Ref'!U9)</f>
        <v>0.69598145016129465</v>
      </c>
      <c r="U68" s="6">
        <f>T68*('Rail EU Ref'!W9/'Rail EU Ref'!V9)</f>
        <v>0.70963814634436995</v>
      </c>
      <c r="V68" s="6">
        <f>U68*('Rail EU Ref'!X9/'Rail EU Ref'!W9)</f>
        <v>0.72329484252744536</v>
      </c>
      <c r="W68" s="6">
        <f>V68*('Rail EU Ref'!Y9/'Rail EU Ref'!X9)</f>
        <v>0.73695153871052066</v>
      </c>
      <c r="X68" s="6">
        <f>W68*('Rail EU Ref'!Z9/'Rail EU Ref'!Y9)</f>
        <v>0.75060823489359618</v>
      </c>
      <c r="Y68" s="6">
        <f>X68*('Rail EU Ref'!AA9/'Rail EU Ref'!Z9)</f>
        <v>0.76047285708328949</v>
      </c>
      <c r="Z68" s="6">
        <f>Y68*('Rail EU Ref'!AB9/'Rail EU Ref'!AA9)</f>
        <v>0.77033747927298279</v>
      </c>
      <c r="AA68" s="6">
        <f>Z68*('Rail EU Ref'!AC9/'Rail EU Ref'!AB9)</f>
        <v>0.78020210146267621</v>
      </c>
      <c r="AB68" s="6">
        <f>AA68*('Rail EU Ref'!AD9/'Rail EU Ref'!AC9)</f>
        <v>0.79006672365236963</v>
      </c>
      <c r="AC68" s="6">
        <f>AB68*('Rail EU Ref'!AE9/'Rail EU Ref'!AD9)</f>
        <v>0.79993134584206294</v>
      </c>
      <c r="AD68" s="6">
        <f>AC68*('Rail EU Ref'!AF9/'Rail EU Ref'!AE9)</f>
        <v>0.80929706318355399</v>
      </c>
      <c r="AE68" s="6">
        <f>AD68*('Rail EU Ref'!AG9/'Rail EU Ref'!AF9)</f>
        <v>0.81866278052504515</v>
      </c>
      <c r="AF68" s="6">
        <f>AE68*('Rail EU Ref'!AH9/'Rail EU Ref'!AG9)</f>
        <v>0.82802849786653621</v>
      </c>
      <c r="AG68" s="6">
        <f>AF68*('Rail EU Ref'!AI9/'Rail EU Ref'!AH9)</f>
        <v>0.83739421520802737</v>
      </c>
      <c r="AH68" s="6">
        <f>AG68*('Rail EU Ref'!AJ9/'Rail EU Ref'!AI9)</f>
        <v>0.84675993254951842</v>
      </c>
      <c r="AI68" s="7">
        <f t="shared" ref="AI68:BB68" si="7">AH68</f>
        <v>0.84675993254951842</v>
      </c>
      <c r="AJ68" s="7">
        <f t="shared" si="7"/>
        <v>0.84675993254951842</v>
      </c>
      <c r="AK68" s="7">
        <f t="shared" si="7"/>
        <v>0.84675993254951842</v>
      </c>
      <c r="AL68" s="7">
        <f t="shared" si="7"/>
        <v>0.84675993254951842</v>
      </c>
      <c r="AM68" s="7">
        <f t="shared" si="7"/>
        <v>0.84675993254951842</v>
      </c>
      <c r="AN68" s="7">
        <f t="shared" si="7"/>
        <v>0.84675993254951842</v>
      </c>
      <c r="AO68" s="7">
        <f t="shared" si="7"/>
        <v>0.84675993254951842</v>
      </c>
      <c r="AP68" s="7">
        <f t="shared" si="7"/>
        <v>0.84675993254951842</v>
      </c>
      <c r="AQ68" s="7">
        <f t="shared" si="7"/>
        <v>0.84675993254951842</v>
      </c>
      <c r="AR68" s="7">
        <f t="shared" si="7"/>
        <v>0.84675993254951842</v>
      </c>
      <c r="AS68" s="7">
        <f t="shared" si="7"/>
        <v>0.84675993254951842</v>
      </c>
      <c r="AT68" s="7">
        <f t="shared" si="7"/>
        <v>0.84675993254951842</v>
      </c>
      <c r="AU68" s="7">
        <f t="shared" si="7"/>
        <v>0.84675993254951842</v>
      </c>
      <c r="AV68" s="7">
        <f t="shared" si="7"/>
        <v>0.84675993254951842</v>
      </c>
      <c r="AW68" s="7">
        <f t="shared" si="7"/>
        <v>0.84675993254951842</v>
      </c>
      <c r="AX68" s="7">
        <f t="shared" si="7"/>
        <v>0.84675993254951842</v>
      </c>
      <c r="AY68" s="7">
        <f t="shared" si="7"/>
        <v>0.84675993254951842</v>
      </c>
      <c r="AZ68" s="7">
        <f t="shared" si="7"/>
        <v>0.84675993254951842</v>
      </c>
      <c r="BA68" s="7">
        <f t="shared" si="7"/>
        <v>0.84675993254951842</v>
      </c>
      <c r="BB68" s="7">
        <f t="shared" si="7"/>
        <v>0.84675993254951842</v>
      </c>
    </row>
    <row r="69" spans="1:54" x14ac:dyDescent="0.3">
      <c r="A69" t="s">
        <v>11</v>
      </c>
      <c r="B69" s="4">
        <v>37.311999997999997</v>
      </c>
      <c r="C69" s="4">
        <v>37.044999995000005</v>
      </c>
      <c r="D69" s="4">
        <v>17.197328721999998</v>
      </c>
      <c r="E69" s="4">
        <v>23.423660900999998</v>
      </c>
      <c r="F69" s="6">
        <f>E69*('Rail EU Ref'!H10/'Rail EU Ref'!G10)</f>
        <v>29.131367490294888</v>
      </c>
      <c r="G69" s="6">
        <f>F69*('Rail EU Ref'!I10/'Rail EU Ref'!H10)</f>
        <v>34.839074079589778</v>
      </c>
      <c r="H69" s="6">
        <f>G69*('Rail EU Ref'!J10/'Rail EU Ref'!I10)</f>
        <v>40.546780668884665</v>
      </c>
      <c r="I69" s="6">
        <f>H69*('Rail EU Ref'!K10/'Rail EU Ref'!J10)</f>
        <v>46.254487258179559</v>
      </c>
      <c r="J69" s="6">
        <f>I69*('Rail EU Ref'!L10/'Rail EU Ref'!K10)</f>
        <v>47.646853018233678</v>
      </c>
      <c r="K69" s="6">
        <f>J69*('Rail EU Ref'!M10/'Rail EU Ref'!L10)</f>
        <v>49.039218778287797</v>
      </c>
      <c r="L69" s="6">
        <f>K69*('Rail EU Ref'!N10/'Rail EU Ref'!M10)</f>
        <v>50.431584538341923</v>
      </c>
      <c r="M69" s="6">
        <f>L69*('Rail EU Ref'!O10/'Rail EU Ref'!N10)</f>
        <v>51.823950298396042</v>
      </c>
      <c r="N69" s="6">
        <f>M69*('Rail EU Ref'!P10/'Rail EU Ref'!O10)</f>
        <v>53.216316058450147</v>
      </c>
      <c r="O69" s="6">
        <f>N69*('Rail EU Ref'!Q10/'Rail EU Ref'!P10)</f>
        <v>54.627389216725874</v>
      </c>
      <c r="P69" s="6">
        <f>O69*('Rail EU Ref'!R10/'Rail EU Ref'!Q10)</f>
        <v>56.0384623750016</v>
      </c>
      <c r="Q69" s="6">
        <f>P69*('Rail EU Ref'!S10/'Rail EU Ref'!R10)</f>
        <v>57.449535533277327</v>
      </c>
      <c r="R69" s="6">
        <f>Q69*('Rail EU Ref'!T10/'Rail EU Ref'!S10)</f>
        <v>58.860608691553061</v>
      </c>
      <c r="S69" s="6">
        <f>R69*('Rail EU Ref'!U10/'Rail EU Ref'!T10)</f>
        <v>60.271681849828795</v>
      </c>
      <c r="T69" s="6">
        <f>S69*('Rail EU Ref'!V10/'Rail EU Ref'!U10)</f>
        <v>61.975070532209706</v>
      </c>
      <c r="U69" s="6">
        <f>T69*('Rail EU Ref'!W10/'Rail EU Ref'!V10)</f>
        <v>63.678459214590617</v>
      </c>
      <c r="V69" s="6">
        <f>U69*('Rail EU Ref'!X10/'Rail EU Ref'!W10)</f>
        <v>65.381847896971522</v>
      </c>
      <c r="W69" s="6">
        <f>V69*('Rail EU Ref'!Y10/'Rail EU Ref'!X10)</f>
        <v>67.085236579352426</v>
      </c>
      <c r="X69" s="6">
        <f>W69*('Rail EU Ref'!Z10/'Rail EU Ref'!Y10)</f>
        <v>68.788625261733301</v>
      </c>
      <c r="Y69" s="6">
        <f>X69*('Rail EU Ref'!AA10/'Rail EU Ref'!Z10)</f>
        <v>69.72628893092751</v>
      </c>
      <c r="Z69" s="6">
        <f>Y69*('Rail EU Ref'!AB10/'Rail EU Ref'!AA10)</f>
        <v>70.663952600121732</v>
      </c>
      <c r="AA69" s="6">
        <f>Z69*('Rail EU Ref'!AC10/'Rail EU Ref'!AB10)</f>
        <v>71.601616269315954</v>
      </c>
      <c r="AB69" s="6">
        <f>AA69*('Rail EU Ref'!AD10/'Rail EU Ref'!AC10)</f>
        <v>72.539279938510177</v>
      </c>
      <c r="AC69" s="6">
        <f>AB69*('Rail EU Ref'!AE10/'Rail EU Ref'!AD10)</f>
        <v>73.476943607704399</v>
      </c>
      <c r="AD69" s="6">
        <f>AC69*('Rail EU Ref'!AF10/'Rail EU Ref'!AE10)</f>
        <v>74.204557144738146</v>
      </c>
      <c r="AE69" s="6">
        <f>AD69*('Rail EU Ref'!AG10/'Rail EU Ref'!AF10)</f>
        <v>74.932170681771893</v>
      </c>
      <c r="AF69" s="6">
        <f>AE69*('Rail EU Ref'!AH10/'Rail EU Ref'!AG10)</f>
        <v>75.65978421880564</v>
      </c>
      <c r="AG69" s="6">
        <f>AF69*('Rail EU Ref'!AI10/'Rail EU Ref'!AH10)</f>
        <v>76.387397755839388</v>
      </c>
      <c r="AH69" s="6">
        <f>AG69*('Rail EU Ref'!AJ10/'Rail EU Ref'!AI10)</f>
        <v>77.115011292873135</v>
      </c>
      <c r="AI69" s="7">
        <f t="shared" ref="AI69:BB69" si="8">AH69</f>
        <v>77.115011292873135</v>
      </c>
      <c r="AJ69" s="7">
        <f t="shared" si="8"/>
        <v>77.115011292873135</v>
      </c>
      <c r="AK69" s="7">
        <f t="shared" si="8"/>
        <v>77.115011292873135</v>
      </c>
      <c r="AL69" s="7">
        <f t="shared" si="8"/>
        <v>77.115011292873135</v>
      </c>
      <c r="AM69" s="7">
        <f t="shared" si="8"/>
        <v>77.115011292873135</v>
      </c>
      <c r="AN69" s="7">
        <f t="shared" si="8"/>
        <v>77.115011292873135</v>
      </c>
      <c r="AO69" s="7">
        <f t="shared" si="8"/>
        <v>77.115011292873135</v>
      </c>
      <c r="AP69" s="7">
        <f t="shared" si="8"/>
        <v>77.115011292873135</v>
      </c>
      <c r="AQ69" s="7">
        <f t="shared" si="8"/>
        <v>77.115011292873135</v>
      </c>
      <c r="AR69" s="7">
        <f t="shared" si="8"/>
        <v>77.115011292873135</v>
      </c>
      <c r="AS69" s="7">
        <f t="shared" si="8"/>
        <v>77.115011292873135</v>
      </c>
      <c r="AT69" s="7">
        <f t="shared" si="8"/>
        <v>77.115011292873135</v>
      </c>
      <c r="AU69" s="7">
        <f t="shared" si="8"/>
        <v>77.115011292873135</v>
      </c>
      <c r="AV69" s="7">
        <f t="shared" si="8"/>
        <v>77.115011292873135</v>
      </c>
      <c r="AW69" s="7">
        <f t="shared" si="8"/>
        <v>77.115011292873135</v>
      </c>
      <c r="AX69" s="7">
        <f t="shared" si="8"/>
        <v>77.115011292873135</v>
      </c>
      <c r="AY69" s="7">
        <f t="shared" si="8"/>
        <v>77.115011292873135</v>
      </c>
      <c r="AZ69" s="7">
        <f t="shared" si="8"/>
        <v>77.115011292873135</v>
      </c>
      <c r="BA69" s="7">
        <f t="shared" si="8"/>
        <v>77.115011292873135</v>
      </c>
      <c r="BB69" s="7">
        <f t="shared" si="8"/>
        <v>77.115011292873135</v>
      </c>
    </row>
    <row r="70" spans="1:54" x14ac:dyDescent="0.3">
      <c r="A70" t="s">
        <v>27</v>
      </c>
      <c r="B70" s="4">
        <v>5.1897212980000003</v>
      </c>
      <c r="C70" s="4">
        <v>5.5765374369999998</v>
      </c>
      <c r="D70" s="4">
        <v>3.3816777939999998</v>
      </c>
      <c r="E70" s="4">
        <v>3.3985980539999998</v>
      </c>
      <c r="F70" s="6">
        <f>E70*('Rail EU Ref'!H11/'Rail EU Ref'!G11)</f>
        <v>3.69326054479551</v>
      </c>
      <c r="G70" s="6">
        <f>F70*('Rail EU Ref'!I11/'Rail EU Ref'!H11)</f>
        <v>3.9879230355910207</v>
      </c>
      <c r="H70" s="6">
        <f>G70*('Rail EU Ref'!J11/'Rail EU Ref'!I11)</f>
        <v>4.2825855263865318</v>
      </c>
      <c r="I70" s="6">
        <f>H70*('Rail EU Ref'!K11/'Rail EU Ref'!J11)</f>
        <v>4.5772480171820416</v>
      </c>
      <c r="J70" s="6">
        <f>I70*('Rail EU Ref'!L11/'Rail EU Ref'!K11)</f>
        <v>4.6364884238814117</v>
      </c>
      <c r="K70" s="6">
        <f>J70*('Rail EU Ref'!M11/'Rail EU Ref'!L11)</f>
        <v>4.6957288305807818</v>
      </c>
      <c r="L70" s="6">
        <f>K70*('Rail EU Ref'!N11/'Rail EU Ref'!M11)</f>
        <v>4.7549692372801529</v>
      </c>
      <c r="M70" s="6">
        <f>L70*('Rail EU Ref'!O11/'Rail EU Ref'!N11)</f>
        <v>4.814209643979523</v>
      </c>
      <c r="N70" s="6">
        <f>M70*('Rail EU Ref'!P11/'Rail EU Ref'!O11)</f>
        <v>4.8734500506788949</v>
      </c>
      <c r="O70" s="6">
        <f>N70*('Rail EU Ref'!Q11/'Rail EU Ref'!P11)</f>
        <v>4.9201668733557735</v>
      </c>
      <c r="P70" s="6">
        <f>O70*('Rail EU Ref'!R11/'Rail EU Ref'!Q11)</f>
        <v>4.9668836960326512</v>
      </c>
      <c r="Q70" s="6">
        <f>P70*('Rail EU Ref'!S11/'Rail EU Ref'!R11)</f>
        <v>5.0136005187095289</v>
      </c>
      <c r="R70" s="6">
        <f>Q70*('Rail EU Ref'!T11/'Rail EU Ref'!S11)</f>
        <v>5.0603173413864067</v>
      </c>
      <c r="S70" s="6">
        <f>R70*('Rail EU Ref'!U11/'Rail EU Ref'!T11)</f>
        <v>5.1070341640632853</v>
      </c>
      <c r="T70" s="6">
        <f>S70*('Rail EU Ref'!V11/'Rail EU Ref'!U11)</f>
        <v>5.1525736004776155</v>
      </c>
      <c r="U70" s="6">
        <f>T70*('Rail EU Ref'!W11/'Rail EU Ref'!V11)</f>
        <v>5.1981130368919457</v>
      </c>
      <c r="V70" s="6">
        <f>U70*('Rail EU Ref'!X11/'Rail EU Ref'!W11)</f>
        <v>5.2436524733062759</v>
      </c>
      <c r="W70" s="6">
        <f>V70*('Rail EU Ref'!Y11/'Rail EU Ref'!X11)</f>
        <v>5.289191909720607</v>
      </c>
      <c r="X70" s="6">
        <f>W70*('Rail EU Ref'!Z11/'Rail EU Ref'!Y11)</f>
        <v>5.3347313461349382</v>
      </c>
      <c r="Y70" s="6">
        <f>X70*('Rail EU Ref'!AA11/'Rail EU Ref'!Z11)</f>
        <v>5.362815220713582</v>
      </c>
      <c r="Z70" s="6">
        <f>Y70*('Rail EU Ref'!AB11/'Rail EU Ref'!AA11)</f>
        <v>5.3908990952922249</v>
      </c>
      <c r="AA70" s="6">
        <f>Z70*('Rail EU Ref'!AC11/'Rail EU Ref'!AB11)</f>
        <v>5.4189829698708687</v>
      </c>
      <c r="AB70" s="6">
        <f>AA70*('Rail EU Ref'!AD11/'Rail EU Ref'!AC11)</f>
        <v>5.4470668444495116</v>
      </c>
      <c r="AC70" s="6">
        <f>AB70*('Rail EU Ref'!AE11/'Rail EU Ref'!AD11)</f>
        <v>5.4751507190281572</v>
      </c>
      <c r="AD70" s="6">
        <f>AC70*('Rail EU Ref'!AF11/'Rail EU Ref'!AE11)</f>
        <v>5.4991487644620634</v>
      </c>
      <c r="AE70" s="6">
        <f>AD70*('Rail EU Ref'!AG11/'Rail EU Ref'!AF11)</f>
        <v>5.5231468098959695</v>
      </c>
      <c r="AF70" s="6">
        <f>AE70*('Rail EU Ref'!AH11/'Rail EU Ref'!AG11)</f>
        <v>5.5471448553298757</v>
      </c>
      <c r="AG70" s="6">
        <f>AF70*('Rail EU Ref'!AI11/'Rail EU Ref'!AH11)</f>
        <v>5.5711429007637818</v>
      </c>
      <c r="AH70" s="6">
        <f>AG70*('Rail EU Ref'!AJ11/'Rail EU Ref'!AI11)</f>
        <v>5.595140946197688</v>
      </c>
      <c r="AI70" s="7">
        <f t="shared" ref="AI70:BB70" si="9">AH70</f>
        <v>5.595140946197688</v>
      </c>
      <c r="AJ70" s="7">
        <f t="shared" si="9"/>
        <v>5.595140946197688</v>
      </c>
      <c r="AK70" s="7">
        <f t="shared" si="9"/>
        <v>5.595140946197688</v>
      </c>
      <c r="AL70" s="7">
        <f t="shared" si="9"/>
        <v>5.595140946197688</v>
      </c>
      <c r="AM70" s="7">
        <f t="shared" si="9"/>
        <v>5.595140946197688</v>
      </c>
      <c r="AN70" s="7">
        <f t="shared" si="9"/>
        <v>5.595140946197688</v>
      </c>
      <c r="AO70" s="7">
        <f t="shared" si="9"/>
        <v>5.595140946197688</v>
      </c>
      <c r="AP70" s="7">
        <f t="shared" si="9"/>
        <v>5.595140946197688</v>
      </c>
      <c r="AQ70" s="7">
        <f t="shared" si="9"/>
        <v>5.595140946197688</v>
      </c>
      <c r="AR70" s="7">
        <f t="shared" si="9"/>
        <v>5.595140946197688</v>
      </c>
      <c r="AS70" s="7">
        <f t="shared" si="9"/>
        <v>5.595140946197688</v>
      </c>
      <c r="AT70" s="7">
        <f t="shared" si="9"/>
        <v>5.595140946197688</v>
      </c>
      <c r="AU70" s="7">
        <f t="shared" si="9"/>
        <v>5.595140946197688</v>
      </c>
      <c r="AV70" s="7">
        <f t="shared" si="9"/>
        <v>5.595140946197688</v>
      </c>
      <c r="AW70" s="7">
        <f t="shared" si="9"/>
        <v>5.595140946197688</v>
      </c>
      <c r="AX70" s="7">
        <f t="shared" si="9"/>
        <v>5.595140946197688</v>
      </c>
      <c r="AY70" s="7">
        <f t="shared" si="9"/>
        <v>5.595140946197688</v>
      </c>
      <c r="AZ70" s="7">
        <f t="shared" si="9"/>
        <v>5.595140946197688</v>
      </c>
      <c r="BA70" s="7">
        <f t="shared" si="9"/>
        <v>5.595140946197688</v>
      </c>
      <c r="BB70" s="7">
        <f t="shared" si="9"/>
        <v>5.595140946197688</v>
      </c>
    </row>
    <row r="71" spans="1:54" x14ac:dyDescent="0.3">
      <c r="A71" t="s">
        <v>12</v>
      </c>
      <c r="B71" s="4">
        <v>107.95769627599999</v>
      </c>
      <c r="C71" s="4">
        <v>112.384205659</v>
      </c>
      <c r="D71" s="4">
        <v>64.859207701000003</v>
      </c>
      <c r="E71" s="4">
        <v>86.852602652000002</v>
      </c>
      <c r="F71" s="6">
        <f>E71*('Rail EU Ref'!H12/'Rail EU Ref'!G12)</f>
        <v>109.40863272933075</v>
      </c>
      <c r="G71" s="6">
        <f>F71*('Rail EU Ref'!I12/'Rail EU Ref'!H12)</f>
        <v>131.96466280666149</v>
      </c>
      <c r="H71" s="6">
        <f>G71*('Rail EU Ref'!J12/'Rail EU Ref'!I12)</f>
        <v>154.52069288399224</v>
      </c>
      <c r="I71" s="6">
        <f>H71*('Rail EU Ref'!K12/'Rail EU Ref'!J12)</f>
        <v>177.07672296132301</v>
      </c>
      <c r="J71" s="6">
        <f>I71*('Rail EU Ref'!L12/'Rail EU Ref'!K12)</f>
        <v>179.38851621407889</v>
      </c>
      <c r="K71" s="6">
        <f>J71*('Rail EU Ref'!M12/'Rail EU Ref'!L12)</f>
        <v>181.7003094668348</v>
      </c>
      <c r="L71" s="6">
        <f>K71*('Rail EU Ref'!N12/'Rail EU Ref'!M12)</f>
        <v>184.0121027195907</v>
      </c>
      <c r="M71" s="6">
        <f>L71*('Rail EU Ref'!O12/'Rail EU Ref'!N12)</f>
        <v>186.32389597234658</v>
      </c>
      <c r="N71" s="6">
        <f>M71*('Rail EU Ref'!P12/'Rail EU Ref'!O12)</f>
        <v>188.63568922510248</v>
      </c>
      <c r="O71" s="6">
        <f>N71*('Rail EU Ref'!Q12/'Rail EU Ref'!P12)</f>
        <v>191.22922068975126</v>
      </c>
      <c r="P71" s="6">
        <f>O71*('Rail EU Ref'!R12/'Rail EU Ref'!Q12)</f>
        <v>193.82275215440004</v>
      </c>
      <c r="Q71" s="6">
        <f>P71*('Rail EU Ref'!S12/'Rail EU Ref'!R12)</f>
        <v>196.41628361904881</v>
      </c>
      <c r="R71" s="6">
        <f>Q71*('Rail EU Ref'!T12/'Rail EU Ref'!S12)</f>
        <v>199.00981508369756</v>
      </c>
      <c r="S71" s="6">
        <f>R71*('Rail EU Ref'!U12/'Rail EU Ref'!T12)</f>
        <v>201.60334654834634</v>
      </c>
      <c r="T71" s="6">
        <f>S71*('Rail EU Ref'!V12/'Rail EU Ref'!U12)</f>
        <v>204.29664400108612</v>
      </c>
      <c r="U71" s="6">
        <f>T71*('Rail EU Ref'!W12/'Rail EU Ref'!V12)</f>
        <v>206.98994145382591</v>
      </c>
      <c r="V71" s="6">
        <f>U71*('Rail EU Ref'!X12/'Rail EU Ref'!W12)</f>
        <v>209.68323890656569</v>
      </c>
      <c r="W71" s="6">
        <f>V71*('Rail EU Ref'!Y12/'Rail EU Ref'!X12)</f>
        <v>212.37653635930545</v>
      </c>
      <c r="X71" s="6">
        <f>W71*('Rail EU Ref'!Z12/'Rail EU Ref'!Y12)</f>
        <v>215.06983381204529</v>
      </c>
      <c r="Y71" s="6">
        <f>X71*('Rail EU Ref'!AA12/'Rail EU Ref'!Z12)</f>
        <v>217.6538334775201</v>
      </c>
      <c r="Z71" s="6">
        <f>Y71*('Rail EU Ref'!AB12/'Rail EU Ref'!AA12)</f>
        <v>220.23783314299493</v>
      </c>
      <c r="AA71" s="6">
        <f>Z71*('Rail EU Ref'!AC12/'Rail EU Ref'!AB12)</f>
        <v>222.82183280846976</v>
      </c>
      <c r="AB71" s="6">
        <f>AA71*('Rail EU Ref'!AD12/'Rail EU Ref'!AC12)</f>
        <v>225.4058324739446</v>
      </c>
      <c r="AC71" s="6">
        <f>AB71*('Rail EU Ref'!AE12/'Rail EU Ref'!AD12)</f>
        <v>227.98983213941952</v>
      </c>
      <c r="AD71" s="6">
        <f>AC71*('Rail EU Ref'!AF12/'Rail EU Ref'!AE12)</f>
        <v>230.61490471959419</v>
      </c>
      <c r="AE71" s="6">
        <f>AD71*('Rail EU Ref'!AG12/'Rail EU Ref'!AF12)</f>
        <v>233.23997729976884</v>
      </c>
      <c r="AF71" s="6">
        <f>AE71*('Rail EU Ref'!AH12/'Rail EU Ref'!AG12)</f>
        <v>235.86504987994348</v>
      </c>
      <c r="AG71" s="6">
        <f>AF71*('Rail EU Ref'!AI12/'Rail EU Ref'!AH12)</f>
        <v>238.49012246011813</v>
      </c>
      <c r="AH71" s="6">
        <f>AG71*('Rail EU Ref'!AJ12/'Rail EU Ref'!AI12)</f>
        <v>241.11519504029272</v>
      </c>
      <c r="AI71" s="7">
        <f t="shared" ref="AI71:BB71" si="10">AH71</f>
        <v>241.11519504029272</v>
      </c>
      <c r="AJ71" s="7">
        <f t="shared" si="10"/>
        <v>241.11519504029272</v>
      </c>
      <c r="AK71" s="7">
        <f t="shared" si="10"/>
        <v>241.11519504029272</v>
      </c>
      <c r="AL71" s="7">
        <f t="shared" si="10"/>
        <v>241.11519504029272</v>
      </c>
      <c r="AM71" s="7">
        <f t="shared" si="10"/>
        <v>241.11519504029272</v>
      </c>
      <c r="AN71" s="7">
        <f t="shared" si="10"/>
        <v>241.11519504029272</v>
      </c>
      <c r="AO71" s="7">
        <f t="shared" si="10"/>
        <v>241.11519504029272</v>
      </c>
      <c r="AP71" s="7">
        <f t="shared" si="10"/>
        <v>241.11519504029272</v>
      </c>
      <c r="AQ71" s="7">
        <f t="shared" si="10"/>
        <v>241.11519504029272</v>
      </c>
      <c r="AR71" s="7">
        <f t="shared" si="10"/>
        <v>241.11519504029272</v>
      </c>
      <c r="AS71" s="7">
        <f t="shared" si="10"/>
        <v>241.11519504029272</v>
      </c>
      <c r="AT71" s="7">
        <f t="shared" si="10"/>
        <v>241.11519504029272</v>
      </c>
      <c r="AU71" s="7">
        <f t="shared" si="10"/>
        <v>241.11519504029272</v>
      </c>
      <c r="AV71" s="7">
        <f t="shared" si="10"/>
        <v>241.11519504029272</v>
      </c>
      <c r="AW71" s="7">
        <f t="shared" si="10"/>
        <v>241.11519504029272</v>
      </c>
      <c r="AX71" s="7">
        <f t="shared" si="10"/>
        <v>241.11519504029272</v>
      </c>
      <c r="AY71" s="7">
        <f t="shared" si="10"/>
        <v>241.11519504029272</v>
      </c>
      <c r="AZ71" s="7">
        <f t="shared" si="10"/>
        <v>241.11519504029272</v>
      </c>
      <c r="BA71" s="7">
        <f t="shared" si="10"/>
        <v>241.11519504029272</v>
      </c>
      <c r="BB71" s="7">
        <f t="shared" si="10"/>
        <v>241.11519504029272</v>
      </c>
    </row>
    <row r="72" spans="1:54" x14ac:dyDescent="0.3">
      <c r="A72" t="s">
        <v>10</v>
      </c>
      <c r="B72" s="4">
        <v>2.7994635639999998</v>
      </c>
      <c r="C72" s="4">
        <v>2.9298685390000001</v>
      </c>
      <c r="D72" s="4">
        <v>1.7284600410000002</v>
      </c>
      <c r="E72" s="4">
        <v>1.77878001</v>
      </c>
      <c r="F72" s="6">
        <f>E72*('Rail EU Ref'!H13/'Rail EU Ref'!G13)</f>
        <v>2.0076251139234649</v>
      </c>
      <c r="G72" s="6">
        <f>F72*('Rail EU Ref'!I13/'Rail EU Ref'!H13)</f>
        <v>2.23647021784693</v>
      </c>
      <c r="H72" s="6">
        <f>G72*('Rail EU Ref'!J13/'Rail EU Ref'!I13)</f>
        <v>2.4653153217703947</v>
      </c>
      <c r="I72" s="6">
        <f>H72*('Rail EU Ref'!K13/'Rail EU Ref'!J13)</f>
        <v>2.6941604256938598</v>
      </c>
      <c r="J72" s="6">
        <f>I72*('Rail EU Ref'!L13/'Rail EU Ref'!K13)</f>
        <v>2.7377537176665201</v>
      </c>
      <c r="K72" s="6">
        <f>J72*('Rail EU Ref'!M13/'Rail EU Ref'!L13)</f>
        <v>2.7813470096391808</v>
      </c>
      <c r="L72" s="6">
        <f>K72*('Rail EU Ref'!N13/'Rail EU Ref'!M13)</f>
        <v>2.8249403016118411</v>
      </c>
      <c r="M72" s="6">
        <f>L72*('Rail EU Ref'!O13/'Rail EU Ref'!N13)</f>
        <v>2.8685335935845013</v>
      </c>
      <c r="N72" s="6">
        <f>M72*('Rail EU Ref'!P13/'Rail EU Ref'!O13)</f>
        <v>2.9121268855571616</v>
      </c>
      <c r="O72" s="6">
        <f>N72*('Rail EU Ref'!Q13/'Rail EU Ref'!P13)</f>
        <v>2.9694587524905831</v>
      </c>
      <c r="P72" s="6">
        <f>O72*('Rail EU Ref'!R13/'Rail EU Ref'!Q13)</f>
        <v>3.0267906194240051</v>
      </c>
      <c r="Q72" s="6">
        <f>P72*('Rail EU Ref'!S13/'Rail EU Ref'!R13)</f>
        <v>3.084122486357427</v>
      </c>
      <c r="R72" s="6">
        <f>Q72*('Rail EU Ref'!T13/'Rail EU Ref'!S13)</f>
        <v>3.1414543532908485</v>
      </c>
      <c r="S72" s="6">
        <f>R72*('Rail EU Ref'!U13/'Rail EU Ref'!T13)</f>
        <v>3.1987862202242709</v>
      </c>
      <c r="T72" s="6">
        <f>S72*('Rail EU Ref'!V13/'Rail EU Ref'!U13)</f>
        <v>3.2790153488336466</v>
      </c>
      <c r="U72" s="6">
        <f>T72*('Rail EU Ref'!W13/'Rail EU Ref'!V13)</f>
        <v>3.3592444774430223</v>
      </c>
      <c r="V72" s="6">
        <f>U72*('Rail EU Ref'!X13/'Rail EU Ref'!W13)</f>
        <v>3.4394736060523976</v>
      </c>
      <c r="W72" s="6">
        <f>V72*('Rail EU Ref'!Y13/'Rail EU Ref'!X13)</f>
        <v>3.5197027346617729</v>
      </c>
      <c r="X72" s="6">
        <f>W72*('Rail EU Ref'!Z13/'Rail EU Ref'!Y13)</f>
        <v>3.599931863271149</v>
      </c>
      <c r="Y72" s="6">
        <f>X72*('Rail EU Ref'!AA13/'Rail EU Ref'!Z13)</f>
        <v>3.6563527232308446</v>
      </c>
      <c r="Z72" s="6">
        <f>Y72*('Rail EU Ref'!AB13/'Rail EU Ref'!AA13)</f>
        <v>3.7127735831905397</v>
      </c>
      <c r="AA72" s="6">
        <f>Z72*('Rail EU Ref'!AC13/'Rail EU Ref'!AB13)</f>
        <v>3.7691944431502353</v>
      </c>
      <c r="AB72" s="6">
        <f>AA72*('Rail EU Ref'!AD13/'Rail EU Ref'!AC13)</f>
        <v>3.8256153031099309</v>
      </c>
      <c r="AC72" s="6">
        <f>AB72*('Rail EU Ref'!AE13/'Rail EU Ref'!AD13)</f>
        <v>3.8820361630696265</v>
      </c>
      <c r="AD72" s="6">
        <f>AC72*('Rail EU Ref'!AF13/'Rail EU Ref'!AE13)</f>
        <v>3.9345160584956984</v>
      </c>
      <c r="AE72" s="6">
        <f>AD72*('Rail EU Ref'!AG13/'Rail EU Ref'!AF13)</f>
        <v>3.9869959539217708</v>
      </c>
      <c r="AF72" s="6">
        <f>AE72*('Rail EU Ref'!AH13/'Rail EU Ref'!AG13)</f>
        <v>4.0394758493478431</v>
      </c>
      <c r="AG72" s="6">
        <f>AF72*('Rail EU Ref'!AI13/'Rail EU Ref'!AH13)</f>
        <v>4.0919557447739159</v>
      </c>
      <c r="AH72" s="6">
        <f>AG72*('Rail EU Ref'!AJ13/'Rail EU Ref'!AI13)</f>
        <v>4.1444356401999896</v>
      </c>
      <c r="AI72" s="7">
        <f t="shared" ref="AI72:BB72" si="11">AH72</f>
        <v>4.1444356401999896</v>
      </c>
      <c r="AJ72" s="7">
        <f t="shared" si="11"/>
        <v>4.1444356401999896</v>
      </c>
      <c r="AK72" s="7">
        <f t="shared" si="11"/>
        <v>4.1444356401999896</v>
      </c>
      <c r="AL72" s="7">
        <f t="shared" si="11"/>
        <v>4.1444356401999896</v>
      </c>
      <c r="AM72" s="7">
        <f t="shared" si="11"/>
        <v>4.1444356401999896</v>
      </c>
      <c r="AN72" s="7">
        <f t="shared" si="11"/>
        <v>4.1444356401999896</v>
      </c>
      <c r="AO72" s="7">
        <f t="shared" si="11"/>
        <v>4.1444356401999896</v>
      </c>
      <c r="AP72" s="7">
        <f t="shared" si="11"/>
        <v>4.1444356401999896</v>
      </c>
      <c r="AQ72" s="7">
        <f t="shared" si="11"/>
        <v>4.1444356401999896</v>
      </c>
      <c r="AR72" s="7">
        <f t="shared" si="11"/>
        <v>4.1444356401999896</v>
      </c>
      <c r="AS72" s="7">
        <f t="shared" si="11"/>
        <v>4.1444356401999896</v>
      </c>
      <c r="AT72" s="7">
        <f t="shared" si="11"/>
        <v>4.1444356401999896</v>
      </c>
      <c r="AU72" s="7">
        <f t="shared" si="11"/>
        <v>4.1444356401999896</v>
      </c>
      <c r="AV72" s="7">
        <f t="shared" si="11"/>
        <v>4.1444356401999896</v>
      </c>
      <c r="AW72" s="7">
        <f t="shared" si="11"/>
        <v>4.1444356401999896</v>
      </c>
      <c r="AX72" s="7">
        <f t="shared" si="11"/>
        <v>4.1444356401999896</v>
      </c>
      <c r="AY72" s="7">
        <f t="shared" si="11"/>
        <v>4.1444356401999896</v>
      </c>
      <c r="AZ72" s="7">
        <f t="shared" si="11"/>
        <v>4.1444356401999896</v>
      </c>
      <c r="BA72" s="7">
        <f t="shared" si="11"/>
        <v>4.1444356401999896</v>
      </c>
      <c r="BB72" s="7">
        <f t="shared" si="11"/>
        <v>4.1444356401999896</v>
      </c>
    </row>
    <row r="73" spans="1:54" x14ac:dyDescent="0.3">
      <c r="A73" t="s">
        <v>13</v>
      </c>
      <c r="B73" s="4">
        <v>1.3231649999999999</v>
      </c>
      <c r="C73" s="4">
        <v>1.1011600000000001</v>
      </c>
      <c r="D73" s="4">
        <v>0.84228400000000003</v>
      </c>
      <c r="E73" s="4">
        <v>0.907219</v>
      </c>
      <c r="F73" s="6">
        <f>E73*('Rail EU Ref'!H14/'Rail EU Ref'!G14)</f>
        <v>1.0039451023633505</v>
      </c>
      <c r="G73" s="6">
        <f>F73*('Rail EU Ref'!I14/'Rail EU Ref'!H14)</f>
        <v>1.1006712047267013</v>
      </c>
      <c r="H73" s="6">
        <f>G73*('Rail EU Ref'!J14/'Rail EU Ref'!I14)</f>
        <v>1.1973973070900519</v>
      </c>
      <c r="I73" s="6">
        <f>H73*('Rail EU Ref'!K14/'Rail EU Ref'!J14)</f>
        <v>1.2941234094534029</v>
      </c>
      <c r="J73" s="6">
        <f>I73*('Rail EU Ref'!L14/'Rail EU Ref'!K14)</f>
        <v>1.3109450594449417</v>
      </c>
      <c r="K73" s="6">
        <f>J73*('Rail EU Ref'!M14/'Rail EU Ref'!L14)</f>
        <v>1.3277667094364802</v>
      </c>
      <c r="L73" s="6">
        <f>K73*('Rail EU Ref'!N14/'Rail EU Ref'!M14)</f>
        <v>1.3445883594280188</v>
      </c>
      <c r="M73" s="6">
        <f>L73*('Rail EU Ref'!O14/'Rail EU Ref'!N14)</f>
        <v>1.3614100094195576</v>
      </c>
      <c r="N73" s="6">
        <f>M73*('Rail EU Ref'!P14/'Rail EU Ref'!O14)</f>
        <v>1.3782316594110957</v>
      </c>
      <c r="O73" s="6">
        <f>N73*('Rail EU Ref'!Q14/'Rail EU Ref'!P14)</f>
        <v>1.3887832498503945</v>
      </c>
      <c r="P73" s="6">
        <f>O73*('Rail EU Ref'!R14/'Rail EU Ref'!Q14)</f>
        <v>1.3993348402896932</v>
      </c>
      <c r="Q73" s="6">
        <f>P73*('Rail EU Ref'!S14/'Rail EU Ref'!R14)</f>
        <v>1.4098864307289922</v>
      </c>
      <c r="R73" s="6">
        <f>Q73*('Rail EU Ref'!T14/'Rail EU Ref'!S14)</f>
        <v>1.4204380211682912</v>
      </c>
      <c r="S73" s="6">
        <f>R73*('Rail EU Ref'!U14/'Rail EU Ref'!T14)</f>
        <v>1.4309896116075904</v>
      </c>
      <c r="T73" s="6">
        <f>S73*('Rail EU Ref'!V14/'Rail EU Ref'!U14)</f>
        <v>1.4380058532498841</v>
      </c>
      <c r="U73" s="6">
        <f>T73*('Rail EU Ref'!W14/'Rail EU Ref'!V14)</f>
        <v>1.4450220948921775</v>
      </c>
      <c r="V73" s="6">
        <f>U73*('Rail EU Ref'!X14/'Rail EU Ref'!W14)</f>
        <v>1.4520383365344709</v>
      </c>
      <c r="W73" s="6">
        <f>V73*('Rail EU Ref'!Y14/'Rail EU Ref'!X14)</f>
        <v>1.4590545781767645</v>
      </c>
      <c r="X73" s="6">
        <f>W73*('Rail EU Ref'!Z14/'Rail EU Ref'!Y14)</f>
        <v>1.4660708198190586</v>
      </c>
      <c r="Y73" s="6">
        <f>X73*('Rail EU Ref'!AA14/'Rail EU Ref'!Z14)</f>
        <v>1.470615973400105</v>
      </c>
      <c r="Z73" s="6">
        <f>Y73*('Rail EU Ref'!AB14/'Rail EU Ref'!AA14)</f>
        <v>1.4751611269811513</v>
      </c>
      <c r="AA73" s="6">
        <f>Z73*('Rail EU Ref'!AC14/'Rail EU Ref'!AB14)</f>
        <v>1.4797062805621977</v>
      </c>
      <c r="AB73" s="6">
        <f>AA73*('Rail EU Ref'!AD14/'Rail EU Ref'!AC14)</f>
        <v>1.4842514341432438</v>
      </c>
      <c r="AC73" s="6">
        <f>AB73*('Rail EU Ref'!AE14/'Rail EU Ref'!AD14)</f>
        <v>1.4887965877242899</v>
      </c>
      <c r="AD73" s="6">
        <f>AC73*('Rail EU Ref'!AF14/'Rail EU Ref'!AE14)</f>
        <v>1.4934974585230452</v>
      </c>
      <c r="AE73" s="6">
        <f>AD73*('Rail EU Ref'!AG14/'Rail EU Ref'!AF14)</f>
        <v>1.4981983293218004</v>
      </c>
      <c r="AF73" s="6">
        <f>AE73*('Rail EU Ref'!AH14/'Rail EU Ref'!AG14)</f>
        <v>1.5028992001205557</v>
      </c>
      <c r="AG73" s="6">
        <f>AF73*('Rail EU Ref'!AI14/'Rail EU Ref'!AH14)</f>
        <v>1.5076000709193109</v>
      </c>
      <c r="AH73" s="6">
        <f>AG73*('Rail EU Ref'!AJ14/'Rail EU Ref'!AI14)</f>
        <v>1.5123009417180666</v>
      </c>
      <c r="AI73" s="7">
        <f t="shared" ref="AI73:BB73" si="12">AH73</f>
        <v>1.5123009417180666</v>
      </c>
      <c r="AJ73" s="7">
        <f t="shared" si="12"/>
        <v>1.5123009417180666</v>
      </c>
      <c r="AK73" s="7">
        <f t="shared" si="12"/>
        <v>1.5123009417180666</v>
      </c>
      <c r="AL73" s="7">
        <f t="shared" si="12"/>
        <v>1.5123009417180666</v>
      </c>
      <c r="AM73" s="7">
        <f t="shared" si="12"/>
        <v>1.5123009417180666</v>
      </c>
      <c r="AN73" s="7">
        <f t="shared" si="12"/>
        <v>1.5123009417180666</v>
      </c>
      <c r="AO73" s="7">
        <f t="shared" si="12"/>
        <v>1.5123009417180666</v>
      </c>
      <c r="AP73" s="7">
        <f t="shared" si="12"/>
        <v>1.5123009417180666</v>
      </c>
      <c r="AQ73" s="7">
        <f t="shared" si="12"/>
        <v>1.5123009417180666</v>
      </c>
      <c r="AR73" s="7">
        <f t="shared" si="12"/>
        <v>1.5123009417180666</v>
      </c>
      <c r="AS73" s="7">
        <f t="shared" si="12"/>
        <v>1.5123009417180666</v>
      </c>
      <c r="AT73" s="7">
        <f t="shared" si="12"/>
        <v>1.5123009417180666</v>
      </c>
      <c r="AU73" s="7">
        <f t="shared" si="12"/>
        <v>1.5123009417180666</v>
      </c>
      <c r="AV73" s="7">
        <f t="shared" si="12"/>
        <v>1.5123009417180666</v>
      </c>
      <c r="AW73" s="7">
        <f t="shared" si="12"/>
        <v>1.5123009417180666</v>
      </c>
      <c r="AX73" s="7">
        <f t="shared" si="12"/>
        <v>1.5123009417180666</v>
      </c>
      <c r="AY73" s="7">
        <f t="shared" si="12"/>
        <v>1.5123009417180666</v>
      </c>
      <c r="AZ73" s="7">
        <f t="shared" si="12"/>
        <v>1.5123009417180666</v>
      </c>
      <c r="BA73" s="7">
        <f t="shared" si="12"/>
        <v>1.5123009417180666</v>
      </c>
      <c r="BB73" s="7">
        <f t="shared" si="12"/>
        <v>1.5123009417180666</v>
      </c>
    </row>
    <row r="74" spans="1:54" x14ac:dyDescent="0.3">
      <c r="A74" t="s">
        <v>19</v>
      </c>
      <c r="B74" s="4">
        <v>10.4777</v>
      </c>
      <c r="C74" s="4">
        <v>10.5593304</v>
      </c>
      <c r="D74" s="4">
        <v>6.6989999999999998</v>
      </c>
      <c r="E74" s="4">
        <v>7.2017847000000002</v>
      </c>
      <c r="F74" s="6">
        <f>E74*('Rail EU Ref'!H15/'Rail EU Ref'!G15)</f>
        <v>8.031326646213552</v>
      </c>
      <c r="G74" s="6">
        <f>F74*('Rail EU Ref'!I15/'Rail EU Ref'!H15)</f>
        <v>8.8608685924271029</v>
      </c>
      <c r="H74" s="6">
        <f>G74*('Rail EU Ref'!J15/'Rail EU Ref'!I15)</f>
        <v>9.6904105386406556</v>
      </c>
      <c r="I74" s="6">
        <f>H74*('Rail EU Ref'!K15/'Rail EU Ref'!J15)</f>
        <v>10.519952484854207</v>
      </c>
      <c r="J74" s="6">
        <f>I74*('Rail EU Ref'!L15/'Rail EU Ref'!K15)</f>
        <v>10.833246049851704</v>
      </c>
      <c r="K74" s="6">
        <f>J74*('Rail EU Ref'!M15/'Rail EU Ref'!L15)</f>
        <v>11.146539614849203</v>
      </c>
      <c r="L74" s="6">
        <f>K74*('Rail EU Ref'!N15/'Rail EU Ref'!M15)</f>
        <v>11.459833179846701</v>
      </c>
      <c r="M74" s="6">
        <f>L74*('Rail EU Ref'!O15/'Rail EU Ref'!N15)</f>
        <v>11.773126744844198</v>
      </c>
      <c r="N74" s="6">
        <f>M74*('Rail EU Ref'!P15/'Rail EU Ref'!O15)</f>
        <v>12.086420309841696</v>
      </c>
      <c r="O74" s="6">
        <f>N74*('Rail EU Ref'!Q15/'Rail EU Ref'!P15)</f>
        <v>12.368077233300953</v>
      </c>
      <c r="P74" s="6">
        <f>O74*('Rail EU Ref'!R15/'Rail EU Ref'!Q15)</f>
        <v>12.649734156760209</v>
      </c>
      <c r="Q74" s="6">
        <f>P74*('Rail EU Ref'!S15/'Rail EU Ref'!R15)</f>
        <v>12.931391080219464</v>
      </c>
      <c r="R74" s="6">
        <f>Q74*('Rail EU Ref'!T15/'Rail EU Ref'!S15)</f>
        <v>13.213048003678722</v>
      </c>
      <c r="S74" s="6">
        <f>R74*('Rail EU Ref'!U15/'Rail EU Ref'!T15)</f>
        <v>13.494704927137981</v>
      </c>
      <c r="T74" s="6">
        <f>S74*('Rail EU Ref'!V15/'Rail EU Ref'!U15)</f>
        <v>13.754881172867874</v>
      </c>
      <c r="U74" s="6">
        <f>T74*('Rail EU Ref'!W15/'Rail EU Ref'!V15)</f>
        <v>14.015057418597763</v>
      </c>
      <c r="V74" s="6">
        <f>U74*('Rail EU Ref'!X15/'Rail EU Ref'!W15)</f>
        <v>14.275233664327656</v>
      </c>
      <c r="W74" s="6">
        <f>V74*('Rail EU Ref'!Y15/'Rail EU Ref'!X15)</f>
        <v>14.535409910057547</v>
      </c>
      <c r="X74" s="6">
        <f>W74*('Rail EU Ref'!Z15/'Rail EU Ref'!Y15)</f>
        <v>14.795586155787442</v>
      </c>
      <c r="Y74" s="6">
        <f>X74*('Rail EU Ref'!AA15/'Rail EU Ref'!Z15)</f>
        <v>15.017199751818755</v>
      </c>
      <c r="Z74" s="6">
        <f>Y74*('Rail EU Ref'!AB15/'Rail EU Ref'!AA15)</f>
        <v>15.238813347850069</v>
      </c>
      <c r="AA74" s="6">
        <f>Z74*('Rail EU Ref'!AC15/'Rail EU Ref'!AB15)</f>
        <v>15.460426943881384</v>
      </c>
      <c r="AB74" s="6">
        <f>AA74*('Rail EU Ref'!AD15/'Rail EU Ref'!AC15)</f>
        <v>15.682040539912697</v>
      </c>
      <c r="AC74" s="6">
        <f>AB74*('Rail EU Ref'!AE15/'Rail EU Ref'!AD15)</f>
        <v>15.903654135944004</v>
      </c>
      <c r="AD74" s="6">
        <f>AC74*('Rail EU Ref'!AF15/'Rail EU Ref'!AE15)</f>
        <v>16.127693031098257</v>
      </c>
      <c r="AE74" s="6">
        <f>AD74*('Rail EU Ref'!AG15/'Rail EU Ref'!AF15)</f>
        <v>16.351731926252508</v>
      </c>
      <c r="AF74" s="6">
        <f>AE74*('Rail EU Ref'!AH15/'Rail EU Ref'!AG15)</f>
        <v>16.57577082140676</v>
      </c>
      <c r="AG74" s="6">
        <f>AF74*('Rail EU Ref'!AI15/'Rail EU Ref'!AH15)</f>
        <v>16.799809716561011</v>
      </c>
      <c r="AH74" s="6">
        <f>AG74*('Rail EU Ref'!AJ15/'Rail EU Ref'!AI15)</f>
        <v>17.023848611715266</v>
      </c>
      <c r="AI74" s="7">
        <f t="shared" ref="AI74:BB74" si="13">AH74</f>
        <v>17.023848611715266</v>
      </c>
      <c r="AJ74" s="7">
        <f t="shared" si="13"/>
        <v>17.023848611715266</v>
      </c>
      <c r="AK74" s="7">
        <f t="shared" si="13"/>
        <v>17.023848611715266</v>
      </c>
      <c r="AL74" s="7">
        <f t="shared" si="13"/>
        <v>17.023848611715266</v>
      </c>
      <c r="AM74" s="7">
        <f t="shared" si="13"/>
        <v>17.023848611715266</v>
      </c>
      <c r="AN74" s="7">
        <f t="shared" si="13"/>
        <v>17.023848611715266</v>
      </c>
      <c r="AO74" s="7">
        <f t="shared" si="13"/>
        <v>17.023848611715266</v>
      </c>
      <c r="AP74" s="7">
        <f t="shared" si="13"/>
        <v>17.023848611715266</v>
      </c>
      <c r="AQ74" s="7">
        <f t="shared" si="13"/>
        <v>17.023848611715266</v>
      </c>
      <c r="AR74" s="7">
        <f t="shared" si="13"/>
        <v>17.023848611715266</v>
      </c>
      <c r="AS74" s="7">
        <f t="shared" si="13"/>
        <v>17.023848611715266</v>
      </c>
      <c r="AT74" s="7">
        <f t="shared" si="13"/>
        <v>17.023848611715266</v>
      </c>
      <c r="AU74" s="7">
        <f t="shared" si="13"/>
        <v>17.023848611715266</v>
      </c>
      <c r="AV74" s="7">
        <f t="shared" si="13"/>
        <v>17.023848611715266</v>
      </c>
      <c r="AW74" s="7">
        <f t="shared" si="13"/>
        <v>17.023848611715266</v>
      </c>
      <c r="AX74" s="7">
        <f t="shared" si="13"/>
        <v>17.023848611715266</v>
      </c>
      <c r="AY74" s="7">
        <f t="shared" si="13"/>
        <v>17.023848611715266</v>
      </c>
      <c r="AZ74" s="7">
        <f t="shared" si="13"/>
        <v>17.023848611715266</v>
      </c>
      <c r="BA74" s="7">
        <f t="shared" si="13"/>
        <v>17.023848611715266</v>
      </c>
      <c r="BB74" s="7">
        <f t="shared" si="13"/>
        <v>17.023848611715266</v>
      </c>
    </row>
    <row r="75" spans="1:54" x14ac:dyDescent="0.3">
      <c r="A75" t="s">
        <v>9</v>
      </c>
      <c r="B75" s="4">
        <v>2.5979999999999999</v>
      </c>
      <c r="C75" s="4">
        <v>2.7040478929999998</v>
      </c>
      <c r="D75" s="4">
        <v>0.95430817899999998</v>
      </c>
      <c r="E75" s="4">
        <v>0.9916536199999999</v>
      </c>
      <c r="F75" s="6">
        <f>E75*('Rail EU Ref'!H16/'Rail EU Ref'!G16)</f>
        <v>1.2001346947138345</v>
      </c>
      <c r="G75" s="6">
        <f>F75*('Rail EU Ref'!I16/'Rail EU Ref'!H16)</f>
        <v>1.4086157694276691</v>
      </c>
      <c r="H75" s="6">
        <f>G75*('Rail EU Ref'!J16/'Rail EU Ref'!I16)</f>
        <v>1.6170968441415039</v>
      </c>
      <c r="I75" s="6">
        <f>H75*('Rail EU Ref'!K16/'Rail EU Ref'!J16)</f>
        <v>1.8255779188553383</v>
      </c>
      <c r="J75" s="6">
        <f>I75*('Rail EU Ref'!L16/'Rail EU Ref'!K16)</f>
        <v>1.8503241421199836</v>
      </c>
      <c r="K75" s="6">
        <f>J75*('Rail EU Ref'!M16/'Rail EU Ref'!L16)</f>
        <v>1.8750703653846292</v>
      </c>
      <c r="L75" s="6">
        <f>K75*('Rail EU Ref'!N16/'Rail EU Ref'!M16)</f>
        <v>1.8998165886492746</v>
      </c>
      <c r="M75" s="6">
        <f>L75*('Rail EU Ref'!O16/'Rail EU Ref'!N16)</f>
        <v>1.9245628119139202</v>
      </c>
      <c r="N75" s="6">
        <f>M75*('Rail EU Ref'!P16/'Rail EU Ref'!O16)</f>
        <v>1.9493090351785662</v>
      </c>
      <c r="O75" s="6">
        <f>N75*('Rail EU Ref'!Q16/'Rail EU Ref'!P16)</f>
        <v>1.9612059366248444</v>
      </c>
      <c r="P75" s="6">
        <f>O75*('Rail EU Ref'!R16/'Rail EU Ref'!Q16)</f>
        <v>1.9731028380711229</v>
      </c>
      <c r="Q75" s="6">
        <f>P75*('Rail EU Ref'!S16/'Rail EU Ref'!R16)</f>
        <v>1.9849997395174008</v>
      </c>
      <c r="R75" s="6">
        <f>Q75*('Rail EU Ref'!T16/'Rail EU Ref'!S16)</f>
        <v>1.9968966409636788</v>
      </c>
      <c r="S75" s="6">
        <f>R75*('Rail EU Ref'!U16/'Rail EU Ref'!T16)</f>
        <v>2.0087935424099568</v>
      </c>
      <c r="T75" s="6">
        <f>S75*('Rail EU Ref'!V16/'Rail EU Ref'!U16)</f>
        <v>2.0243817823453214</v>
      </c>
      <c r="U75" s="6">
        <f>T75*('Rail EU Ref'!W16/'Rail EU Ref'!V16)</f>
        <v>2.039970022280686</v>
      </c>
      <c r="V75" s="6">
        <f>U75*('Rail EU Ref'!X16/'Rail EU Ref'!W16)</f>
        <v>2.0555582622160506</v>
      </c>
      <c r="W75" s="6">
        <f>V75*('Rail EU Ref'!Y16/'Rail EU Ref'!X16)</f>
        <v>2.0711465021514153</v>
      </c>
      <c r="X75" s="6">
        <f>W75*('Rail EU Ref'!Z16/'Rail EU Ref'!Y16)</f>
        <v>2.086734742086779</v>
      </c>
      <c r="Y75" s="6">
        <f>X75*('Rail EU Ref'!AA16/'Rail EU Ref'!Z16)</f>
        <v>2.0954627095158775</v>
      </c>
      <c r="Z75" s="6">
        <f>Y75*('Rail EU Ref'!AB16/'Rail EU Ref'!AA16)</f>
        <v>2.1041906769449761</v>
      </c>
      <c r="AA75" s="6">
        <f>Z75*('Rail EU Ref'!AC16/'Rail EU Ref'!AB16)</f>
        <v>2.1129186443740746</v>
      </c>
      <c r="AB75" s="6">
        <f>AA75*('Rail EU Ref'!AD16/'Rail EU Ref'!AC16)</f>
        <v>2.1216466118031732</v>
      </c>
      <c r="AC75" s="6">
        <f>AB75*('Rail EU Ref'!AE16/'Rail EU Ref'!AD16)</f>
        <v>2.1303745792322726</v>
      </c>
      <c r="AD75" s="6">
        <f>AC75*('Rail EU Ref'!AF16/'Rail EU Ref'!AE16)</f>
        <v>2.1375464117209404</v>
      </c>
      <c r="AE75" s="6">
        <f>AD75*('Rail EU Ref'!AG16/'Rail EU Ref'!AF16)</f>
        <v>2.1447182442096082</v>
      </c>
      <c r="AF75" s="6">
        <f>AE75*('Rail EU Ref'!AH16/'Rail EU Ref'!AG16)</f>
        <v>2.151890076698276</v>
      </c>
      <c r="AG75" s="6">
        <f>AF75*('Rail EU Ref'!AI16/'Rail EU Ref'!AH16)</f>
        <v>2.1590619091869439</v>
      </c>
      <c r="AH75" s="6">
        <f>AG75*('Rail EU Ref'!AJ16/'Rail EU Ref'!AI16)</f>
        <v>2.1662337416756112</v>
      </c>
      <c r="AI75" s="7">
        <f t="shared" ref="AI75:BB75" si="14">AH75</f>
        <v>2.1662337416756112</v>
      </c>
      <c r="AJ75" s="7">
        <f t="shared" si="14"/>
        <v>2.1662337416756112</v>
      </c>
      <c r="AK75" s="7">
        <f t="shared" si="14"/>
        <v>2.1662337416756112</v>
      </c>
      <c r="AL75" s="7">
        <f t="shared" si="14"/>
        <v>2.1662337416756112</v>
      </c>
      <c r="AM75" s="7">
        <f t="shared" si="14"/>
        <v>2.1662337416756112</v>
      </c>
      <c r="AN75" s="7">
        <f t="shared" si="14"/>
        <v>2.1662337416756112</v>
      </c>
      <c r="AO75" s="7">
        <f t="shared" si="14"/>
        <v>2.1662337416756112</v>
      </c>
      <c r="AP75" s="7">
        <f t="shared" si="14"/>
        <v>2.1662337416756112</v>
      </c>
      <c r="AQ75" s="7">
        <f t="shared" si="14"/>
        <v>2.1662337416756112</v>
      </c>
      <c r="AR75" s="7">
        <f t="shared" si="14"/>
        <v>2.1662337416756112</v>
      </c>
      <c r="AS75" s="7">
        <f t="shared" si="14"/>
        <v>2.1662337416756112</v>
      </c>
      <c r="AT75" s="7">
        <f t="shared" si="14"/>
        <v>2.1662337416756112</v>
      </c>
      <c r="AU75" s="7">
        <f t="shared" si="14"/>
        <v>2.1662337416756112</v>
      </c>
      <c r="AV75" s="7">
        <f t="shared" si="14"/>
        <v>2.1662337416756112</v>
      </c>
      <c r="AW75" s="7">
        <f t="shared" si="14"/>
        <v>2.1662337416756112</v>
      </c>
      <c r="AX75" s="7">
        <f t="shared" si="14"/>
        <v>2.1662337416756112</v>
      </c>
      <c r="AY75" s="7">
        <f t="shared" si="14"/>
        <v>2.1662337416756112</v>
      </c>
      <c r="AZ75" s="7">
        <f t="shared" si="14"/>
        <v>2.1662337416756112</v>
      </c>
      <c r="BA75" s="7">
        <f t="shared" si="14"/>
        <v>2.1662337416756112</v>
      </c>
      <c r="BB75" s="7">
        <f t="shared" si="14"/>
        <v>2.1662337416756112</v>
      </c>
    </row>
    <row r="76" spans="1:54" x14ac:dyDescent="0.3">
      <c r="A76" t="s">
        <v>14</v>
      </c>
      <c r="B76" s="4">
        <v>62.772000003000002</v>
      </c>
      <c r="C76" s="4">
        <v>64.199999997000006</v>
      </c>
      <c r="D76" s="4">
        <v>26.661999996000002</v>
      </c>
      <c r="E76" s="4">
        <v>33.401999998000001</v>
      </c>
      <c r="F76" s="6">
        <f>E76*('Rail EU Ref'!H17/'Rail EU Ref'!G17)</f>
        <v>39.601752974904549</v>
      </c>
      <c r="G76" s="6">
        <f>F76*('Rail EU Ref'!I17/'Rail EU Ref'!H17)</f>
        <v>45.801505951809098</v>
      </c>
      <c r="H76" s="6">
        <f>G76*('Rail EU Ref'!J17/'Rail EU Ref'!I17)</f>
        <v>52.001258928713654</v>
      </c>
      <c r="I76" s="6">
        <f>H76*('Rail EU Ref'!K17/'Rail EU Ref'!J17)</f>
        <v>58.201011905618202</v>
      </c>
      <c r="J76" s="6">
        <f>I76*('Rail EU Ref'!L17/'Rail EU Ref'!K17)</f>
        <v>59.081510285110539</v>
      </c>
      <c r="K76" s="6">
        <f>J76*('Rail EU Ref'!M17/'Rail EU Ref'!L17)</f>
        <v>59.962008664602884</v>
      </c>
      <c r="L76" s="6">
        <f>K76*('Rail EU Ref'!N17/'Rail EU Ref'!M17)</f>
        <v>60.842507044095221</v>
      </c>
      <c r="M76" s="6">
        <f>L76*('Rail EU Ref'!O17/'Rail EU Ref'!N17)</f>
        <v>61.723005423587558</v>
      </c>
      <c r="N76" s="6">
        <f>M76*('Rail EU Ref'!P17/'Rail EU Ref'!O17)</f>
        <v>62.603503803079882</v>
      </c>
      <c r="O76" s="6">
        <f>N76*('Rail EU Ref'!Q17/'Rail EU Ref'!P17)</f>
        <v>64.25518160634897</v>
      </c>
      <c r="P76" s="6">
        <f>O76*('Rail EU Ref'!R17/'Rail EU Ref'!Q17)</f>
        <v>65.906859409618065</v>
      </c>
      <c r="Q76" s="6">
        <f>P76*('Rail EU Ref'!S17/'Rail EU Ref'!R17)</f>
        <v>67.55853721288716</v>
      </c>
      <c r="R76" s="6">
        <f>Q76*('Rail EU Ref'!T17/'Rail EU Ref'!S17)</f>
        <v>69.210215016156255</v>
      </c>
      <c r="S76" s="6">
        <f>R76*('Rail EU Ref'!U17/'Rail EU Ref'!T17)</f>
        <v>70.861892819425378</v>
      </c>
      <c r="T76" s="6">
        <f>S76*('Rail EU Ref'!V17/'Rail EU Ref'!U17)</f>
        <v>71.524773861583171</v>
      </c>
      <c r="U76" s="6">
        <f>T76*('Rail EU Ref'!W17/'Rail EU Ref'!V17)</f>
        <v>72.187654903740949</v>
      </c>
      <c r="V76" s="6">
        <f>U76*('Rail EU Ref'!X17/'Rail EU Ref'!W17)</f>
        <v>72.850535945898727</v>
      </c>
      <c r="W76" s="6">
        <f>V76*('Rail EU Ref'!Y17/'Rail EU Ref'!X17)</f>
        <v>73.513416988056505</v>
      </c>
      <c r="X76" s="6">
        <f>W76*('Rail EU Ref'!Z17/'Rail EU Ref'!Y17)</f>
        <v>74.176298030214241</v>
      </c>
      <c r="Y76" s="6">
        <f>X76*('Rail EU Ref'!AA17/'Rail EU Ref'!Z17)</f>
        <v>74.881943304933245</v>
      </c>
      <c r="Z76" s="6">
        <f>Y76*('Rail EU Ref'!AB17/'Rail EU Ref'!AA17)</f>
        <v>75.587588579652248</v>
      </c>
      <c r="AA76" s="6">
        <f>Z76*('Rail EU Ref'!AC17/'Rail EU Ref'!AB17)</f>
        <v>76.293233854371238</v>
      </c>
      <c r="AB76" s="6">
        <f>AA76*('Rail EU Ref'!AD17/'Rail EU Ref'!AC17)</f>
        <v>76.998879129090241</v>
      </c>
      <c r="AC76" s="6">
        <f>AB76*('Rail EU Ref'!AE17/'Rail EU Ref'!AD17)</f>
        <v>77.704524403809259</v>
      </c>
      <c r="AD76" s="6">
        <f>AC76*('Rail EU Ref'!AF17/'Rail EU Ref'!AE17)</f>
        <v>78.460194636838338</v>
      </c>
      <c r="AE76" s="6">
        <f>AD76*('Rail EU Ref'!AG17/'Rail EU Ref'!AF17)</f>
        <v>79.215864869867431</v>
      </c>
      <c r="AF76" s="6">
        <f>AE76*('Rail EU Ref'!AH17/'Rail EU Ref'!AG17)</f>
        <v>79.971535102896524</v>
      </c>
      <c r="AG76" s="6">
        <f>AF76*('Rail EU Ref'!AI17/'Rail EU Ref'!AH17)</f>
        <v>80.727205335925618</v>
      </c>
      <c r="AH76" s="6">
        <f>AG76*('Rail EU Ref'!AJ17/'Rail EU Ref'!AI17)</f>
        <v>81.482875568954711</v>
      </c>
      <c r="AI76" s="7">
        <f t="shared" ref="AI76:BB76" si="15">AH76</f>
        <v>81.482875568954711</v>
      </c>
      <c r="AJ76" s="7">
        <f t="shared" si="15"/>
        <v>81.482875568954711</v>
      </c>
      <c r="AK76" s="7">
        <f t="shared" si="15"/>
        <v>81.482875568954711</v>
      </c>
      <c r="AL76" s="7">
        <f t="shared" si="15"/>
        <v>81.482875568954711</v>
      </c>
      <c r="AM76" s="7">
        <f t="shared" si="15"/>
        <v>81.482875568954711</v>
      </c>
      <c r="AN76" s="7">
        <f t="shared" si="15"/>
        <v>81.482875568954711</v>
      </c>
      <c r="AO76" s="7">
        <f t="shared" si="15"/>
        <v>81.482875568954711</v>
      </c>
      <c r="AP76" s="7">
        <f t="shared" si="15"/>
        <v>81.482875568954711</v>
      </c>
      <c r="AQ76" s="7">
        <f t="shared" si="15"/>
        <v>81.482875568954711</v>
      </c>
      <c r="AR76" s="7">
        <f t="shared" si="15"/>
        <v>81.482875568954711</v>
      </c>
      <c r="AS76" s="7">
        <f t="shared" si="15"/>
        <v>81.482875568954711</v>
      </c>
      <c r="AT76" s="7">
        <f t="shared" si="15"/>
        <v>81.482875568954711</v>
      </c>
      <c r="AU76" s="7">
        <f t="shared" si="15"/>
        <v>81.482875568954711</v>
      </c>
      <c r="AV76" s="7">
        <f t="shared" si="15"/>
        <v>81.482875568954711</v>
      </c>
      <c r="AW76" s="7">
        <f t="shared" si="15"/>
        <v>81.482875568954711</v>
      </c>
      <c r="AX76" s="7">
        <f t="shared" si="15"/>
        <v>81.482875568954711</v>
      </c>
      <c r="AY76" s="7">
        <f t="shared" si="15"/>
        <v>81.482875568954711</v>
      </c>
      <c r="AZ76" s="7">
        <f t="shared" si="15"/>
        <v>81.482875568954711</v>
      </c>
      <c r="BA76" s="7">
        <f t="shared" si="15"/>
        <v>81.482875568954711</v>
      </c>
      <c r="BB76" s="7">
        <f t="shared" si="15"/>
        <v>81.482875568954711</v>
      </c>
    </row>
    <row r="77" spans="1:54" x14ac:dyDescent="0.3">
      <c r="A77" t="s">
        <v>17</v>
      </c>
      <c r="B77" s="4">
        <v>0.35400000000000004</v>
      </c>
      <c r="C77" s="4">
        <v>0.35899999999999999</v>
      </c>
      <c r="D77" s="4">
        <v>0.23699999999999999</v>
      </c>
      <c r="E77" s="4">
        <v>0.28700000000000003</v>
      </c>
      <c r="F77" s="6">
        <f>E77*('Rail EU Ref'!H18/'Rail EU Ref'!G18)</f>
        <v>0.35223807474906482</v>
      </c>
      <c r="G77" s="6">
        <f>F77*('Rail EU Ref'!I18/'Rail EU Ref'!H18)</f>
        <v>0.41747614949812961</v>
      </c>
      <c r="H77" s="6">
        <f>G77*('Rail EU Ref'!J18/'Rail EU Ref'!I18)</f>
        <v>0.48271422424719451</v>
      </c>
      <c r="I77" s="6">
        <f>H77*('Rail EU Ref'!K18/'Rail EU Ref'!J18)</f>
        <v>0.5479522989962593</v>
      </c>
      <c r="J77" s="6">
        <f>I77*('Rail EU Ref'!L18/'Rail EU Ref'!K18)</f>
        <v>0.61704658670551782</v>
      </c>
      <c r="K77" s="6">
        <f>J77*('Rail EU Ref'!M18/'Rail EU Ref'!L18)</f>
        <v>0.68614087441477634</v>
      </c>
      <c r="L77" s="6">
        <f>K77*('Rail EU Ref'!N18/'Rail EU Ref'!M18)</f>
        <v>0.75523516212403474</v>
      </c>
      <c r="M77" s="6">
        <f>L77*('Rail EU Ref'!O18/'Rail EU Ref'!N18)</f>
        <v>0.82432944983329315</v>
      </c>
      <c r="N77" s="6">
        <f>M77*('Rail EU Ref'!P18/'Rail EU Ref'!O18)</f>
        <v>0.89342373754255178</v>
      </c>
      <c r="O77" s="6">
        <f>N77*('Rail EU Ref'!Q18/'Rail EU Ref'!P18)</f>
        <v>0.91058709826416495</v>
      </c>
      <c r="P77" s="6">
        <f>O77*('Rail EU Ref'!R18/'Rail EU Ref'!Q18)</f>
        <v>0.92775045898577801</v>
      </c>
      <c r="Q77" s="6">
        <f>P77*('Rail EU Ref'!S18/'Rail EU Ref'!R18)</f>
        <v>0.94491381970739119</v>
      </c>
      <c r="R77" s="6">
        <f>Q77*('Rail EU Ref'!T18/'Rail EU Ref'!S18)</f>
        <v>0.96207718042900414</v>
      </c>
      <c r="S77" s="6">
        <f>R77*('Rail EU Ref'!U18/'Rail EU Ref'!T18)</f>
        <v>0.97924054115061732</v>
      </c>
      <c r="T77" s="6">
        <f>S77*('Rail EU Ref'!V18/'Rail EU Ref'!U18)</f>
        <v>0.98763276538494116</v>
      </c>
      <c r="U77" s="6">
        <f>T77*('Rail EU Ref'!W18/'Rail EU Ref'!V18)</f>
        <v>0.996024989619265</v>
      </c>
      <c r="V77" s="6">
        <f>U77*('Rail EU Ref'!X18/'Rail EU Ref'!W18)</f>
        <v>1.004417213853589</v>
      </c>
      <c r="W77" s="6">
        <f>V77*('Rail EU Ref'!Y18/'Rail EU Ref'!X18)</f>
        <v>1.0128094380879127</v>
      </c>
      <c r="X77" s="6">
        <f>W77*('Rail EU Ref'!Z18/'Rail EU Ref'!Y18)</f>
        <v>1.0212016623222364</v>
      </c>
      <c r="Y77" s="6">
        <f>X77*('Rail EU Ref'!AA18/'Rail EU Ref'!Z18)</f>
        <v>1.0273597508110173</v>
      </c>
      <c r="Z77" s="6">
        <f>Y77*('Rail EU Ref'!AB18/'Rail EU Ref'!AA18)</f>
        <v>1.0335178392997983</v>
      </c>
      <c r="AA77" s="6">
        <f>Z77*('Rail EU Ref'!AC18/'Rail EU Ref'!AB18)</f>
        <v>1.0396759277885794</v>
      </c>
      <c r="AB77" s="6">
        <f>AA77*('Rail EU Ref'!AD18/'Rail EU Ref'!AC18)</f>
        <v>1.0458340162773603</v>
      </c>
      <c r="AC77" s="6">
        <f>AB77*('Rail EU Ref'!AE18/'Rail EU Ref'!AD18)</f>
        <v>1.0519921047661414</v>
      </c>
      <c r="AD77" s="6">
        <f>AC77*('Rail EU Ref'!AF18/'Rail EU Ref'!AE18)</f>
        <v>1.0562991571767377</v>
      </c>
      <c r="AE77" s="6">
        <f>AD77*('Rail EU Ref'!AG18/'Rail EU Ref'!AF18)</f>
        <v>1.0606062095873339</v>
      </c>
      <c r="AF77" s="6">
        <f>AE77*('Rail EU Ref'!AH18/'Rail EU Ref'!AG18)</f>
        <v>1.0649132619979302</v>
      </c>
      <c r="AG77" s="6">
        <f>AF77*('Rail EU Ref'!AI18/'Rail EU Ref'!AH18)</f>
        <v>1.0692203144085266</v>
      </c>
      <c r="AH77" s="6">
        <f>AG77*('Rail EU Ref'!AJ18/'Rail EU Ref'!AI18)</f>
        <v>1.0735273668191234</v>
      </c>
      <c r="AI77" s="7">
        <f t="shared" ref="AI77:BB77" si="16">AH77</f>
        <v>1.0735273668191234</v>
      </c>
      <c r="AJ77" s="7">
        <f t="shared" si="16"/>
        <v>1.0735273668191234</v>
      </c>
      <c r="AK77" s="7">
        <f t="shared" si="16"/>
        <v>1.0735273668191234</v>
      </c>
      <c r="AL77" s="7">
        <f t="shared" si="16"/>
        <v>1.0735273668191234</v>
      </c>
      <c r="AM77" s="7">
        <f t="shared" si="16"/>
        <v>1.0735273668191234</v>
      </c>
      <c r="AN77" s="7">
        <f t="shared" si="16"/>
        <v>1.0735273668191234</v>
      </c>
      <c r="AO77" s="7">
        <f t="shared" si="16"/>
        <v>1.0735273668191234</v>
      </c>
      <c r="AP77" s="7">
        <f t="shared" si="16"/>
        <v>1.0735273668191234</v>
      </c>
      <c r="AQ77" s="7">
        <f t="shared" si="16"/>
        <v>1.0735273668191234</v>
      </c>
      <c r="AR77" s="7">
        <f t="shared" si="16"/>
        <v>1.0735273668191234</v>
      </c>
      <c r="AS77" s="7">
        <f t="shared" si="16"/>
        <v>1.0735273668191234</v>
      </c>
      <c r="AT77" s="7">
        <f t="shared" si="16"/>
        <v>1.0735273668191234</v>
      </c>
      <c r="AU77" s="7">
        <f t="shared" si="16"/>
        <v>1.0735273668191234</v>
      </c>
      <c r="AV77" s="7">
        <f t="shared" si="16"/>
        <v>1.0735273668191234</v>
      </c>
      <c r="AW77" s="7">
        <f t="shared" si="16"/>
        <v>1.0735273668191234</v>
      </c>
      <c r="AX77" s="7">
        <f t="shared" si="16"/>
        <v>1.0735273668191234</v>
      </c>
      <c r="AY77" s="7">
        <f t="shared" si="16"/>
        <v>1.0735273668191234</v>
      </c>
      <c r="AZ77" s="7">
        <f t="shared" si="16"/>
        <v>1.0735273668191234</v>
      </c>
      <c r="BA77" s="7">
        <f t="shared" si="16"/>
        <v>1.0735273668191234</v>
      </c>
      <c r="BB77" s="7">
        <f t="shared" si="16"/>
        <v>1.0735273668191234</v>
      </c>
    </row>
    <row r="78" spans="1:54" x14ac:dyDescent="0.3">
      <c r="A78" t="s">
        <v>18</v>
      </c>
      <c r="B78" s="4">
        <v>0.46250000000000002</v>
      </c>
      <c r="C78" s="4">
        <v>0.49420000000000003</v>
      </c>
      <c r="D78" s="4">
        <v>0.29973171200000004</v>
      </c>
      <c r="E78" s="4">
        <v>0.33813234399999997</v>
      </c>
      <c r="F78" s="6">
        <f>E78*('Rail EU Ref'!H19/'Rail EU Ref'!G19)</f>
        <v>0.41726557130251207</v>
      </c>
      <c r="G78" s="6">
        <f>F78*('Rail EU Ref'!I19/'Rail EU Ref'!H19)</f>
        <v>0.49639879860502417</v>
      </c>
      <c r="H78" s="6">
        <f>G78*('Rail EU Ref'!J19/'Rail EU Ref'!I19)</f>
        <v>0.57553202590753627</v>
      </c>
      <c r="I78" s="6">
        <f>H78*('Rail EU Ref'!K19/'Rail EU Ref'!J19)</f>
        <v>0.65466525321004831</v>
      </c>
      <c r="J78" s="6">
        <f>I78*('Rail EU Ref'!L19/'Rail EU Ref'!K19)</f>
        <v>0.66813430038134858</v>
      </c>
      <c r="K78" s="6">
        <f>J78*('Rail EU Ref'!M19/'Rail EU Ref'!L19)</f>
        <v>0.68160334755264884</v>
      </c>
      <c r="L78" s="6">
        <f>K78*('Rail EU Ref'!N19/'Rail EU Ref'!M19)</f>
        <v>0.69507239472394911</v>
      </c>
      <c r="M78" s="6">
        <f>L78*('Rail EU Ref'!O19/'Rail EU Ref'!N19)</f>
        <v>0.70854144189524937</v>
      </c>
      <c r="N78" s="6">
        <f>M78*('Rail EU Ref'!P19/'Rail EU Ref'!O19)</f>
        <v>0.72201048906654952</v>
      </c>
      <c r="O78" s="6">
        <f>N78*('Rail EU Ref'!Q19/'Rail EU Ref'!P19)</f>
        <v>0.73088147052347918</v>
      </c>
      <c r="P78" s="6">
        <f>O78*('Rail EU Ref'!R19/'Rail EU Ref'!Q19)</f>
        <v>0.73975245198040884</v>
      </c>
      <c r="Q78" s="6">
        <f>P78*('Rail EU Ref'!S19/'Rail EU Ref'!R19)</f>
        <v>0.74862343343733861</v>
      </c>
      <c r="R78" s="6">
        <f>Q78*('Rail EU Ref'!T19/'Rail EU Ref'!S19)</f>
        <v>0.75749441489426839</v>
      </c>
      <c r="S78" s="6">
        <f>R78*('Rail EU Ref'!U19/'Rail EU Ref'!T19)</f>
        <v>0.76636539635119771</v>
      </c>
      <c r="T78" s="6">
        <f>S78*('Rail EU Ref'!V19/'Rail EU Ref'!U19)</f>
        <v>0.77439112690666223</v>
      </c>
      <c r="U78" s="6">
        <f>T78*('Rail EU Ref'!W19/'Rail EU Ref'!V19)</f>
        <v>0.78241685746212675</v>
      </c>
      <c r="V78" s="6">
        <f>U78*('Rail EU Ref'!X19/'Rail EU Ref'!W19)</f>
        <v>0.79044258801759126</v>
      </c>
      <c r="W78" s="6">
        <f>V78*('Rail EU Ref'!Y19/'Rail EU Ref'!X19)</f>
        <v>0.79846831857305578</v>
      </c>
      <c r="X78" s="6">
        <f>W78*('Rail EU Ref'!Z19/'Rail EU Ref'!Y19)</f>
        <v>0.80649404912852041</v>
      </c>
      <c r="Y78" s="6">
        <f>X78*('Rail EU Ref'!AA19/'Rail EU Ref'!Z19)</f>
        <v>0.81369341200985046</v>
      </c>
      <c r="Z78" s="6">
        <f>Y78*('Rail EU Ref'!AB19/'Rail EU Ref'!AA19)</f>
        <v>0.82089277489118051</v>
      </c>
      <c r="AA78" s="6">
        <f>Z78*('Rail EU Ref'!AC19/'Rail EU Ref'!AB19)</f>
        <v>0.82809213777251056</v>
      </c>
      <c r="AB78" s="6">
        <f>AA78*('Rail EU Ref'!AD19/'Rail EU Ref'!AC19)</f>
        <v>0.83529150065384061</v>
      </c>
      <c r="AC78" s="6">
        <f>AB78*('Rail EU Ref'!AE19/'Rail EU Ref'!AD19)</f>
        <v>0.84249086353517066</v>
      </c>
      <c r="AD78" s="6">
        <f>AC78*('Rail EU Ref'!AF19/'Rail EU Ref'!AE19)</f>
        <v>0.84941193380902136</v>
      </c>
      <c r="AE78" s="6">
        <f>AD78*('Rail EU Ref'!AG19/'Rail EU Ref'!AF19)</f>
        <v>0.85633300408287194</v>
      </c>
      <c r="AF78" s="6">
        <f>AE78*('Rail EU Ref'!AH19/'Rail EU Ref'!AG19)</f>
        <v>0.86325407435672263</v>
      </c>
      <c r="AG78" s="6">
        <f>AF78*('Rail EU Ref'!AI19/'Rail EU Ref'!AH19)</f>
        <v>0.87017514463057322</v>
      </c>
      <c r="AH78" s="6">
        <f>AG78*('Rail EU Ref'!AJ19/'Rail EU Ref'!AI19)</f>
        <v>0.87709621490442358</v>
      </c>
      <c r="AI78" s="7">
        <f t="shared" ref="AI78:BB78" si="17">AH78</f>
        <v>0.87709621490442358</v>
      </c>
      <c r="AJ78" s="7">
        <f t="shared" si="17"/>
        <v>0.87709621490442358</v>
      </c>
      <c r="AK78" s="7">
        <f t="shared" si="17"/>
        <v>0.87709621490442358</v>
      </c>
      <c r="AL78" s="7">
        <f t="shared" si="17"/>
        <v>0.87709621490442358</v>
      </c>
      <c r="AM78" s="7">
        <f t="shared" si="17"/>
        <v>0.87709621490442358</v>
      </c>
      <c r="AN78" s="7">
        <f t="shared" si="17"/>
        <v>0.87709621490442358</v>
      </c>
      <c r="AO78" s="7">
        <f t="shared" si="17"/>
        <v>0.87709621490442358</v>
      </c>
      <c r="AP78" s="7">
        <f t="shared" si="17"/>
        <v>0.87709621490442358</v>
      </c>
      <c r="AQ78" s="7">
        <f t="shared" si="17"/>
        <v>0.87709621490442358</v>
      </c>
      <c r="AR78" s="7">
        <f t="shared" si="17"/>
        <v>0.87709621490442358</v>
      </c>
      <c r="AS78" s="7">
        <f t="shared" si="17"/>
        <v>0.87709621490442358</v>
      </c>
      <c r="AT78" s="7">
        <f t="shared" si="17"/>
        <v>0.87709621490442358</v>
      </c>
      <c r="AU78" s="7">
        <f t="shared" si="17"/>
        <v>0.87709621490442358</v>
      </c>
      <c r="AV78" s="7">
        <f t="shared" si="17"/>
        <v>0.87709621490442358</v>
      </c>
      <c r="AW78" s="7">
        <f t="shared" si="17"/>
        <v>0.87709621490442358</v>
      </c>
      <c r="AX78" s="7">
        <f t="shared" si="17"/>
        <v>0.87709621490442358</v>
      </c>
      <c r="AY78" s="7">
        <f t="shared" si="17"/>
        <v>0.87709621490442358</v>
      </c>
      <c r="AZ78" s="7">
        <f t="shared" si="17"/>
        <v>0.87709621490442358</v>
      </c>
      <c r="BA78" s="7">
        <f t="shared" si="17"/>
        <v>0.87709621490442358</v>
      </c>
      <c r="BB78" s="7">
        <f t="shared" si="17"/>
        <v>0.87709621490442358</v>
      </c>
    </row>
    <row r="79" spans="1:54" x14ac:dyDescent="0.3">
      <c r="A79" t="s">
        <v>16</v>
      </c>
      <c r="B79" s="4">
        <v>0.98019299999999998</v>
      </c>
      <c r="C79" s="4">
        <v>0.97923099999999996</v>
      </c>
      <c r="D79" s="4">
        <v>0.61465700000000001</v>
      </c>
      <c r="E79" s="4">
        <v>0.419512</v>
      </c>
      <c r="F79" s="6">
        <f>E79*('Rail EU Ref'!H20/'Rail EU Ref'!G20)</f>
        <v>0.45402706674843357</v>
      </c>
      <c r="G79" s="6">
        <f>F79*('Rail EU Ref'!I20/'Rail EU Ref'!H20)</f>
        <v>0.4885421334968672</v>
      </c>
      <c r="H79" s="6">
        <f>G79*('Rail EU Ref'!J20/'Rail EU Ref'!I20)</f>
        <v>0.52305720024530078</v>
      </c>
      <c r="I79" s="6">
        <f>H79*('Rail EU Ref'!K20/'Rail EU Ref'!J20)</f>
        <v>0.55757226699373463</v>
      </c>
      <c r="J79" s="6">
        <f>I79*('Rail EU Ref'!L20/'Rail EU Ref'!K20)</f>
        <v>0.57630592717446227</v>
      </c>
      <c r="K79" s="6">
        <f>J79*('Rail EU Ref'!M20/'Rail EU Ref'!L20)</f>
        <v>0.5950395873551898</v>
      </c>
      <c r="L79" s="6">
        <f>K79*('Rail EU Ref'!N20/'Rail EU Ref'!M20)</f>
        <v>0.61377324753591733</v>
      </c>
      <c r="M79" s="6">
        <f>L79*('Rail EU Ref'!O20/'Rail EU Ref'!N20)</f>
        <v>0.63250690771664497</v>
      </c>
      <c r="N79" s="6">
        <f>M79*('Rail EU Ref'!P20/'Rail EU Ref'!O20)</f>
        <v>0.65124056789737239</v>
      </c>
      <c r="O79" s="6">
        <f>N79*('Rail EU Ref'!Q20/'Rail EU Ref'!P20)</f>
        <v>0.65875530511789582</v>
      </c>
      <c r="P79" s="6">
        <f>O79*('Rail EU Ref'!R20/'Rail EU Ref'!Q20)</f>
        <v>0.66627004233841935</v>
      </c>
      <c r="Q79" s="6">
        <f>P79*('Rail EU Ref'!S20/'Rail EU Ref'!R20)</f>
        <v>0.67378477955894289</v>
      </c>
      <c r="R79" s="6">
        <f>Q79*('Rail EU Ref'!T20/'Rail EU Ref'!S20)</f>
        <v>0.68129951677946632</v>
      </c>
      <c r="S79" s="6">
        <f>R79*('Rail EU Ref'!U20/'Rail EU Ref'!T20)</f>
        <v>0.68881425399998986</v>
      </c>
      <c r="T79" s="6">
        <f>S79*('Rail EU Ref'!V20/'Rail EU Ref'!U20)</f>
        <v>0.69599235801589332</v>
      </c>
      <c r="U79" s="6">
        <f>T79*('Rail EU Ref'!W20/'Rail EU Ref'!V20)</f>
        <v>0.70317046203179678</v>
      </c>
      <c r="V79" s="6">
        <f>U79*('Rail EU Ref'!X20/'Rail EU Ref'!W20)</f>
        <v>0.71034856604770036</v>
      </c>
      <c r="W79" s="6">
        <f>V79*('Rail EU Ref'!Y20/'Rail EU Ref'!X20)</f>
        <v>0.71752667006360393</v>
      </c>
      <c r="X79" s="6">
        <f>W79*('Rail EU Ref'!Z20/'Rail EU Ref'!Y20)</f>
        <v>0.72470477407950751</v>
      </c>
      <c r="Y79" s="6">
        <f>X79*('Rail EU Ref'!AA20/'Rail EU Ref'!Z20)</f>
        <v>0.72885391282696133</v>
      </c>
      <c r="Z79" s="6">
        <f>Y79*('Rail EU Ref'!AB20/'Rail EU Ref'!AA20)</f>
        <v>0.73300305157441525</v>
      </c>
      <c r="AA79" s="6">
        <f>Z79*('Rail EU Ref'!AC20/'Rail EU Ref'!AB20)</f>
        <v>0.73715219032186907</v>
      </c>
      <c r="AB79" s="6">
        <f>AA79*('Rail EU Ref'!AD20/'Rail EU Ref'!AC20)</f>
        <v>0.74130132906932289</v>
      </c>
      <c r="AC79" s="6">
        <f>AB79*('Rail EU Ref'!AE20/'Rail EU Ref'!AD20)</f>
        <v>0.74545046781677704</v>
      </c>
      <c r="AD79" s="6">
        <f>AC79*('Rail EU Ref'!AF20/'Rail EU Ref'!AE20)</f>
        <v>0.7489558908826871</v>
      </c>
      <c r="AE79" s="6">
        <f>AD79*('Rail EU Ref'!AG20/'Rail EU Ref'!AF20)</f>
        <v>0.75246131394859728</v>
      </c>
      <c r="AF79" s="6">
        <f>AE79*('Rail EU Ref'!AH20/'Rail EU Ref'!AG20)</f>
        <v>0.75596673701450745</v>
      </c>
      <c r="AG79" s="6">
        <f>AF79*('Rail EU Ref'!AI20/'Rail EU Ref'!AH20)</f>
        <v>0.75947216008041751</v>
      </c>
      <c r="AH79" s="6">
        <f>AG79*('Rail EU Ref'!AJ20/'Rail EU Ref'!AI20)</f>
        <v>0.76297758314632769</v>
      </c>
      <c r="AI79" s="7">
        <f t="shared" ref="AI79:BB79" si="18">AH79</f>
        <v>0.76297758314632769</v>
      </c>
      <c r="AJ79" s="7">
        <f t="shared" si="18"/>
        <v>0.76297758314632769</v>
      </c>
      <c r="AK79" s="7">
        <f t="shared" si="18"/>
        <v>0.76297758314632769</v>
      </c>
      <c r="AL79" s="7">
        <f t="shared" si="18"/>
        <v>0.76297758314632769</v>
      </c>
      <c r="AM79" s="7">
        <f t="shared" si="18"/>
        <v>0.76297758314632769</v>
      </c>
      <c r="AN79" s="7">
        <f t="shared" si="18"/>
        <v>0.76297758314632769</v>
      </c>
      <c r="AO79" s="7">
        <f t="shared" si="18"/>
        <v>0.76297758314632769</v>
      </c>
      <c r="AP79" s="7">
        <f t="shared" si="18"/>
        <v>0.76297758314632769</v>
      </c>
      <c r="AQ79" s="7">
        <f t="shared" si="18"/>
        <v>0.76297758314632769</v>
      </c>
      <c r="AR79" s="7">
        <f t="shared" si="18"/>
        <v>0.76297758314632769</v>
      </c>
      <c r="AS79" s="7">
        <f t="shared" si="18"/>
        <v>0.76297758314632769</v>
      </c>
      <c r="AT79" s="7">
        <f t="shared" si="18"/>
        <v>0.76297758314632769</v>
      </c>
      <c r="AU79" s="7">
        <f t="shared" si="18"/>
        <v>0.76297758314632769</v>
      </c>
      <c r="AV79" s="7">
        <f t="shared" si="18"/>
        <v>0.76297758314632769</v>
      </c>
      <c r="AW79" s="7">
        <f t="shared" si="18"/>
        <v>0.76297758314632769</v>
      </c>
      <c r="AX79" s="7">
        <f t="shared" si="18"/>
        <v>0.76297758314632769</v>
      </c>
      <c r="AY79" s="7">
        <f t="shared" si="18"/>
        <v>0.76297758314632769</v>
      </c>
      <c r="AZ79" s="7">
        <f t="shared" si="18"/>
        <v>0.76297758314632769</v>
      </c>
      <c r="BA79" s="7">
        <f t="shared" si="18"/>
        <v>0.76297758314632769</v>
      </c>
      <c r="BB79" s="7">
        <f t="shared" si="18"/>
        <v>0.76297758314632769</v>
      </c>
    </row>
    <row r="80" spans="1:54" x14ac:dyDescent="0.3">
      <c r="A80" t="s">
        <v>20</v>
      </c>
      <c r="B80" s="4">
        <v>0</v>
      </c>
      <c r="C80" s="4">
        <v>0</v>
      </c>
      <c r="D80" s="4">
        <v>0</v>
      </c>
      <c r="E80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  <c r="AI80" s="7">
        <f t="shared" ref="AI80:BB80" si="19">AH80</f>
        <v>0</v>
      </c>
      <c r="AJ80" s="7">
        <f t="shared" si="19"/>
        <v>0</v>
      </c>
      <c r="AK80" s="7">
        <f t="shared" si="19"/>
        <v>0</v>
      </c>
      <c r="AL80" s="7">
        <f t="shared" si="19"/>
        <v>0</v>
      </c>
      <c r="AM80" s="7">
        <f t="shared" si="19"/>
        <v>0</v>
      </c>
      <c r="AN80" s="7">
        <f t="shared" si="19"/>
        <v>0</v>
      </c>
      <c r="AO80" s="7">
        <f t="shared" si="19"/>
        <v>0</v>
      </c>
      <c r="AP80" s="7">
        <f t="shared" si="19"/>
        <v>0</v>
      </c>
      <c r="AQ80" s="7">
        <f t="shared" si="19"/>
        <v>0</v>
      </c>
      <c r="AR80" s="7">
        <f t="shared" si="19"/>
        <v>0</v>
      </c>
      <c r="AS80" s="7">
        <f t="shared" si="19"/>
        <v>0</v>
      </c>
      <c r="AT80" s="7">
        <f t="shared" si="19"/>
        <v>0</v>
      </c>
      <c r="AU80" s="7">
        <f t="shared" si="19"/>
        <v>0</v>
      </c>
      <c r="AV80" s="7">
        <f t="shared" si="19"/>
        <v>0</v>
      </c>
      <c r="AW80" s="7">
        <f t="shared" si="19"/>
        <v>0</v>
      </c>
      <c r="AX80" s="7">
        <f t="shared" si="19"/>
        <v>0</v>
      </c>
      <c r="AY80" s="7">
        <f t="shared" si="19"/>
        <v>0</v>
      </c>
      <c r="AZ80" s="7">
        <f t="shared" si="19"/>
        <v>0</v>
      </c>
      <c r="BA80" s="7">
        <f t="shared" si="19"/>
        <v>0</v>
      </c>
      <c r="BB80" s="7">
        <f t="shared" si="19"/>
        <v>0</v>
      </c>
    </row>
    <row r="81" spans="1:54" x14ac:dyDescent="0.3">
      <c r="A81" t="s">
        <v>21</v>
      </c>
      <c r="B81" s="4">
        <v>19.924494139</v>
      </c>
      <c r="C81" s="4">
        <v>20.382494136999998</v>
      </c>
      <c r="D81" s="4">
        <v>9.6243127700000013</v>
      </c>
      <c r="E81" s="4">
        <v>11.407342996000001</v>
      </c>
      <c r="F81" s="6">
        <f>E81*('Rail EU Ref'!H22/'Rail EU Ref'!G22)</f>
        <v>12.61063368953767</v>
      </c>
      <c r="G81" s="6">
        <f>F81*('Rail EU Ref'!I22/'Rail EU Ref'!H22)</f>
        <v>13.813924383075339</v>
      </c>
      <c r="H81" s="6">
        <f>G81*('Rail EU Ref'!J22/'Rail EU Ref'!I22)</f>
        <v>15.017215076613006</v>
      </c>
      <c r="I81" s="6">
        <f>H81*('Rail EU Ref'!K22/'Rail EU Ref'!J22)</f>
        <v>16.220505770150677</v>
      </c>
      <c r="J81" s="6">
        <f>I81*('Rail EU Ref'!L22/'Rail EU Ref'!K22)</f>
        <v>16.464372530599526</v>
      </c>
      <c r="K81" s="6">
        <f>J81*('Rail EU Ref'!M22/'Rail EU Ref'!L22)</f>
        <v>16.708239291048375</v>
      </c>
      <c r="L81" s="6">
        <f>K81*('Rail EU Ref'!N22/'Rail EU Ref'!M22)</f>
        <v>16.952106051497228</v>
      </c>
      <c r="M81" s="6">
        <f>L81*('Rail EU Ref'!O22/'Rail EU Ref'!N22)</f>
        <v>17.195972811946078</v>
      </c>
      <c r="N81" s="6">
        <f>M81*('Rail EU Ref'!P22/'Rail EU Ref'!O22)</f>
        <v>17.439839572394927</v>
      </c>
      <c r="O81" s="6">
        <f>N81*('Rail EU Ref'!Q22/'Rail EU Ref'!P22)</f>
        <v>17.642165660347732</v>
      </c>
      <c r="P81" s="6">
        <f>O81*('Rail EU Ref'!R22/'Rail EU Ref'!Q22)</f>
        <v>17.844491748300541</v>
      </c>
      <c r="Q81" s="6">
        <f>P81*('Rail EU Ref'!S22/'Rail EU Ref'!R22)</f>
        <v>18.04681783625335</v>
      </c>
      <c r="R81" s="6">
        <f>Q81*('Rail EU Ref'!T22/'Rail EU Ref'!S22)</f>
        <v>18.249143924206155</v>
      </c>
      <c r="S81" s="6">
        <f>R81*('Rail EU Ref'!U22/'Rail EU Ref'!T22)</f>
        <v>18.451470012158971</v>
      </c>
      <c r="T81" s="6">
        <f>S81*('Rail EU Ref'!V22/'Rail EU Ref'!U22)</f>
        <v>18.642983102065799</v>
      </c>
      <c r="U81" s="6">
        <f>T81*('Rail EU Ref'!W22/'Rail EU Ref'!V22)</f>
        <v>18.834496191972626</v>
      </c>
      <c r="V81" s="6">
        <f>U81*('Rail EU Ref'!X22/'Rail EU Ref'!W22)</f>
        <v>19.026009281879457</v>
      </c>
      <c r="W81" s="6">
        <f>V81*('Rail EU Ref'!Y22/'Rail EU Ref'!X22)</f>
        <v>19.217522371786288</v>
      </c>
      <c r="X81" s="6">
        <f>W81*('Rail EU Ref'!Z22/'Rail EU Ref'!Y22)</f>
        <v>19.409035461693115</v>
      </c>
      <c r="Y81" s="6">
        <f>X81*('Rail EU Ref'!AA22/'Rail EU Ref'!Z22)</f>
        <v>19.569482780286556</v>
      </c>
      <c r="Z81" s="6">
        <f>Y81*('Rail EU Ref'!AB22/'Rail EU Ref'!AA22)</f>
        <v>19.729930098879993</v>
      </c>
      <c r="AA81" s="6">
        <f>Z81*('Rail EU Ref'!AC22/'Rail EU Ref'!AB22)</f>
        <v>19.890377417473431</v>
      </c>
      <c r="AB81" s="6">
        <f>AA81*('Rail EU Ref'!AD22/'Rail EU Ref'!AC22)</f>
        <v>20.050824736066868</v>
      </c>
      <c r="AC81" s="6">
        <f>AB81*('Rail EU Ref'!AE22/'Rail EU Ref'!AD22)</f>
        <v>20.211272054660313</v>
      </c>
      <c r="AD81" s="6">
        <f>AC81*('Rail EU Ref'!AF22/'Rail EU Ref'!AE22)</f>
        <v>20.358068680138015</v>
      </c>
      <c r="AE81" s="6">
        <f>AD81*('Rail EU Ref'!AG22/'Rail EU Ref'!AF22)</f>
        <v>20.504865305615713</v>
      </c>
      <c r="AF81" s="6">
        <f>AE81*('Rail EU Ref'!AH22/'Rail EU Ref'!AG22)</f>
        <v>20.651661931093411</v>
      </c>
      <c r="AG81" s="6">
        <f>AF81*('Rail EU Ref'!AI22/'Rail EU Ref'!AH22)</f>
        <v>20.798458556571113</v>
      </c>
      <c r="AH81" s="6">
        <f>AG81*('Rail EU Ref'!AJ22/'Rail EU Ref'!AI22)</f>
        <v>20.945255182048811</v>
      </c>
      <c r="AI81" s="7">
        <f t="shared" ref="AI81:BB81" si="20">AH81</f>
        <v>20.945255182048811</v>
      </c>
      <c r="AJ81" s="7">
        <f t="shared" si="20"/>
        <v>20.945255182048811</v>
      </c>
      <c r="AK81" s="7">
        <f t="shared" si="20"/>
        <v>20.945255182048811</v>
      </c>
      <c r="AL81" s="7">
        <f t="shared" si="20"/>
        <v>20.945255182048811</v>
      </c>
      <c r="AM81" s="7">
        <f t="shared" si="20"/>
        <v>20.945255182048811</v>
      </c>
      <c r="AN81" s="7">
        <f t="shared" si="20"/>
        <v>20.945255182048811</v>
      </c>
      <c r="AO81" s="7">
        <f t="shared" si="20"/>
        <v>20.945255182048811</v>
      </c>
      <c r="AP81" s="7">
        <f t="shared" si="20"/>
        <v>20.945255182048811</v>
      </c>
      <c r="AQ81" s="7">
        <f t="shared" si="20"/>
        <v>20.945255182048811</v>
      </c>
      <c r="AR81" s="7">
        <f t="shared" si="20"/>
        <v>20.945255182048811</v>
      </c>
      <c r="AS81" s="7">
        <f t="shared" si="20"/>
        <v>20.945255182048811</v>
      </c>
      <c r="AT81" s="7">
        <f t="shared" si="20"/>
        <v>20.945255182048811</v>
      </c>
      <c r="AU81" s="7">
        <f t="shared" si="20"/>
        <v>20.945255182048811</v>
      </c>
      <c r="AV81" s="7">
        <f t="shared" si="20"/>
        <v>20.945255182048811</v>
      </c>
      <c r="AW81" s="7">
        <f t="shared" si="20"/>
        <v>20.945255182048811</v>
      </c>
      <c r="AX81" s="7">
        <f t="shared" si="20"/>
        <v>20.945255182048811</v>
      </c>
      <c r="AY81" s="7">
        <f t="shared" si="20"/>
        <v>20.945255182048811</v>
      </c>
      <c r="AZ81" s="7">
        <f t="shared" si="20"/>
        <v>20.945255182048811</v>
      </c>
      <c r="BA81" s="7">
        <f t="shared" si="20"/>
        <v>20.945255182048811</v>
      </c>
      <c r="BB81" s="7">
        <f t="shared" si="20"/>
        <v>20.945255182048811</v>
      </c>
    </row>
    <row r="82" spans="1:54" x14ac:dyDescent="0.3">
      <c r="A82" t="s">
        <v>22</v>
      </c>
      <c r="B82" s="4">
        <v>25.395274737000001</v>
      </c>
      <c r="C82" s="4">
        <v>26.483819431000001</v>
      </c>
      <c r="D82" s="4">
        <v>15.097574255000001</v>
      </c>
      <c r="E82" s="4">
        <v>18.718651274999999</v>
      </c>
      <c r="F82" s="6">
        <f>E82*('Rail EU Ref'!H23/'Rail EU Ref'!G23)</f>
        <v>21.744021725287961</v>
      </c>
      <c r="G82" s="6">
        <f>F82*('Rail EU Ref'!I23/'Rail EU Ref'!H23)</f>
        <v>24.769392175575927</v>
      </c>
      <c r="H82" s="6">
        <f>G82*('Rail EU Ref'!J23/'Rail EU Ref'!I23)</f>
        <v>27.794762625863889</v>
      </c>
      <c r="I82" s="6">
        <f>H82*('Rail EU Ref'!K23/'Rail EU Ref'!J23)</f>
        <v>30.820133076151855</v>
      </c>
      <c r="J82" s="6">
        <f>I82*('Rail EU Ref'!L23/'Rail EU Ref'!K23)</f>
        <v>32.343255359042473</v>
      </c>
      <c r="K82" s="6">
        <f>J82*('Rail EU Ref'!M23/'Rail EU Ref'!L23)</f>
        <v>33.866377641933099</v>
      </c>
      <c r="L82" s="6">
        <f>K82*('Rail EU Ref'!N23/'Rail EU Ref'!M23)</f>
        <v>35.389499924823717</v>
      </c>
      <c r="M82" s="6">
        <f>L82*('Rail EU Ref'!O23/'Rail EU Ref'!N23)</f>
        <v>36.912622207714342</v>
      </c>
      <c r="N82" s="6">
        <f>M82*('Rail EU Ref'!P23/'Rail EU Ref'!O23)</f>
        <v>38.435744490604968</v>
      </c>
      <c r="O82" s="6">
        <f>N82*('Rail EU Ref'!Q23/'Rail EU Ref'!P23)</f>
        <v>39.230961204875825</v>
      </c>
      <c r="P82" s="6">
        <f>O82*('Rail EU Ref'!R23/'Rail EU Ref'!Q23)</f>
        <v>40.026177919146683</v>
      </c>
      <c r="Q82" s="6">
        <f>P82*('Rail EU Ref'!S23/'Rail EU Ref'!R23)</f>
        <v>40.821394633417533</v>
      </c>
      <c r="R82" s="6">
        <f>Q82*('Rail EU Ref'!T23/'Rail EU Ref'!S23)</f>
        <v>41.616611347688391</v>
      </c>
      <c r="S82" s="6">
        <f>R82*('Rail EU Ref'!U23/'Rail EU Ref'!T23)</f>
        <v>42.411828061959234</v>
      </c>
      <c r="T82" s="6">
        <f>S82*('Rail EU Ref'!V23/'Rail EU Ref'!U23)</f>
        <v>43.184463888416907</v>
      </c>
      <c r="U82" s="6">
        <f>T82*('Rail EU Ref'!W23/'Rail EU Ref'!V23)</f>
        <v>43.957099714874573</v>
      </c>
      <c r="V82" s="6">
        <f>U82*('Rail EU Ref'!X23/'Rail EU Ref'!W23)</f>
        <v>44.729735541332246</v>
      </c>
      <c r="W82" s="6">
        <f>V82*('Rail EU Ref'!Y23/'Rail EU Ref'!X23)</f>
        <v>45.50237136778992</v>
      </c>
      <c r="X82" s="6">
        <f>W82*('Rail EU Ref'!Z23/'Rail EU Ref'!Y23)</f>
        <v>46.275007194247578</v>
      </c>
      <c r="Y82" s="6">
        <f>X82*('Rail EU Ref'!AA23/'Rail EU Ref'!Z23)</f>
        <v>46.665527509015476</v>
      </c>
      <c r="Z82" s="6">
        <f>Y82*('Rail EU Ref'!AB23/'Rail EU Ref'!AA23)</f>
        <v>47.056047823783373</v>
      </c>
      <c r="AA82" s="6">
        <f>Z82*('Rail EU Ref'!AC23/'Rail EU Ref'!AB23)</f>
        <v>47.446568138551264</v>
      </c>
      <c r="AB82" s="6">
        <f>AA82*('Rail EU Ref'!AD23/'Rail EU Ref'!AC23)</f>
        <v>47.837088453319161</v>
      </c>
      <c r="AC82" s="6">
        <f>AB82*('Rail EU Ref'!AE23/'Rail EU Ref'!AD23)</f>
        <v>48.227608768087073</v>
      </c>
      <c r="AD82" s="6">
        <f>AC82*('Rail EU Ref'!AF23/'Rail EU Ref'!AE23)</f>
        <v>48.58573271713847</v>
      </c>
      <c r="AE82" s="6">
        <f>AD82*('Rail EU Ref'!AG23/'Rail EU Ref'!AF23)</f>
        <v>48.943856666189866</v>
      </c>
      <c r="AF82" s="6">
        <f>AE82*('Rail EU Ref'!AH23/'Rail EU Ref'!AG23)</f>
        <v>49.301980615241256</v>
      </c>
      <c r="AG82" s="6">
        <f>AF82*('Rail EU Ref'!AI23/'Rail EU Ref'!AH23)</f>
        <v>49.660104564292652</v>
      </c>
      <c r="AH82" s="6">
        <f>AG82*('Rail EU Ref'!AJ23/'Rail EU Ref'!AI23)</f>
        <v>50.018228513344056</v>
      </c>
      <c r="AI82" s="7">
        <f t="shared" ref="AI82:BB82" si="21">AH82</f>
        <v>50.018228513344056</v>
      </c>
      <c r="AJ82" s="7">
        <f t="shared" si="21"/>
        <v>50.018228513344056</v>
      </c>
      <c r="AK82" s="7">
        <f t="shared" si="21"/>
        <v>50.018228513344056</v>
      </c>
      <c r="AL82" s="7">
        <f t="shared" si="21"/>
        <v>50.018228513344056</v>
      </c>
      <c r="AM82" s="7">
        <f t="shared" si="21"/>
        <v>50.018228513344056</v>
      </c>
      <c r="AN82" s="7">
        <f t="shared" si="21"/>
        <v>50.018228513344056</v>
      </c>
      <c r="AO82" s="7">
        <f t="shared" si="21"/>
        <v>50.018228513344056</v>
      </c>
      <c r="AP82" s="7">
        <f t="shared" si="21"/>
        <v>50.018228513344056</v>
      </c>
      <c r="AQ82" s="7">
        <f t="shared" si="21"/>
        <v>50.018228513344056</v>
      </c>
      <c r="AR82" s="7">
        <f t="shared" si="21"/>
        <v>50.018228513344056</v>
      </c>
      <c r="AS82" s="7">
        <f t="shared" si="21"/>
        <v>50.018228513344056</v>
      </c>
      <c r="AT82" s="7">
        <f t="shared" si="21"/>
        <v>50.018228513344056</v>
      </c>
      <c r="AU82" s="7">
        <f t="shared" si="21"/>
        <v>50.018228513344056</v>
      </c>
      <c r="AV82" s="7">
        <f t="shared" si="21"/>
        <v>50.018228513344056</v>
      </c>
      <c r="AW82" s="7">
        <f t="shared" si="21"/>
        <v>50.018228513344056</v>
      </c>
      <c r="AX82" s="7">
        <f t="shared" si="21"/>
        <v>50.018228513344056</v>
      </c>
      <c r="AY82" s="7">
        <f t="shared" si="21"/>
        <v>50.018228513344056</v>
      </c>
      <c r="AZ82" s="7">
        <f t="shared" si="21"/>
        <v>50.018228513344056</v>
      </c>
      <c r="BA82" s="7">
        <f t="shared" si="21"/>
        <v>50.018228513344056</v>
      </c>
      <c r="BB82" s="7">
        <f t="shared" si="21"/>
        <v>50.018228513344056</v>
      </c>
    </row>
    <row r="83" spans="1:54" x14ac:dyDescent="0.3">
      <c r="A83" t="s">
        <v>23</v>
      </c>
      <c r="B83" s="4">
        <v>5.7460000000000004</v>
      </c>
      <c r="C83" s="4">
        <v>6.3466639999999996</v>
      </c>
      <c r="D83" s="4">
        <v>3.2284999999999999</v>
      </c>
      <c r="E83" s="4">
        <v>3.5616539999999999</v>
      </c>
      <c r="F83" s="6">
        <f>E83*('Rail EU Ref'!H24/'Rail EU Ref'!G24)</f>
        <v>4.4532657629036621</v>
      </c>
      <c r="G83" s="6">
        <f>F83*('Rail EU Ref'!I24/'Rail EU Ref'!H24)</f>
        <v>5.3448775258073242</v>
      </c>
      <c r="H83" s="6">
        <f>G83*('Rail EU Ref'!J24/'Rail EU Ref'!I24)</f>
        <v>6.2364892887109855</v>
      </c>
      <c r="I83" s="6">
        <f>H83*('Rail EU Ref'!K24/'Rail EU Ref'!J24)</f>
        <v>7.1281010516146486</v>
      </c>
      <c r="J83" s="6">
        <f>I83*('Rail EU Ref'!L24/'Rail EU Ref'!K24)</f>
        <v>7.2386460843334515</v>
      </c>
      <c r="K83" s="6">
        <f>J83*('Rail EU Ref'!M24/'Rail EU Ref'!L24)</f>
        <v>7.3491911170522544</v>
      </c>
      <c r="L83" s="6">
        <f>K83*('Rail EU Ref'!N24/'Rail EU Ref'!M24)</f>
        <v>7.4597361497710581</v>
      </c>
      <c r="M83" s="6">
        <f>L83*('Rail EU Ref'!O24/'Rail EU Ref'!N24)</f>
        <v>7.570281182489861</v>
      </c>
      <c r="N83" s="6">
        <f>M83*('Rail EU Ref'!P24/'Rail EU Ref'!O24)</f>
        <v>7.6808262152086639</v>
      </c>
      <c r="O83" s="6">
        <f>N83*('Rail EU Ref'!Q24/'Rail EU Ref'!P24)</f>
        <v>7.8146055324902663</v>
      </c>
      <c r="P83" s="6">
        <f>O83*('Rail EU Ref'!R24/'Rail EU Ref'!Q24)</f>
        <v>7.9483848497718688</v>
      </c>
      <c r="Q83" s="6">
        <f>P83*('Rail EU Ref'!S24/'Rail EU Ref'!R24)</f>
        <v>8.0821641670534703</v>
      </c>
      <c r="R83" s="6">
        <f>Q83*('Rail EU Ref'!T24/'Rail EU Ref'!S24)</f>
        <v>8.2159434843350727</v>
      </c>
      <c r="S83" s="6">
        <f>R83*('Rail EU Ref'!U24/'Rail EU Ref'!T24)</f>
        <v>8.3497228016166769</v>
      </c>
      <c r="T83" s="6">
        <f>S83*('Rail EU Ref'!V24/'Rail EU Ref'!U24)</f>
        <v>8.4810468532439351</v>
      </c>
      <c r="U83" s="6">
        <f>T83*('Rail EU Ref'!W24/'Rail EU Ref'!V24)</f>
        <v>8.6123709048711934</v>
      </c>
      <c r="V83" s="6">
        <f>U83*('Rail EU Ref'!X24/'Rail EU Ref'!W24)</f>
        <v>8.7436949564984516</v>
      </c>
      <c r="W83" s="6">
        <f>V83*('Rail EU Ref'!Y24/'Rail EU Ref'!X24)</f>
        <v>8.8750190081257099</v>
      </c>
      <c r="X83" s="6">
        <f>W83*('Rail EU Ref'!Z24/'Rail EU Ref'!Y24)</f>
        <v>9.0063430597529681</v>
      </c>
      <c r="Y83" s="6">
        <f>X83*('Rail EU Ref'!AA24/'Rail EU Ref'!Z24)</f>
        <v>9.1631887538248549</v>
      </c>
      <c r="Z83" s="6">
        <f>Y83*('Rail EU Ref'!AB24/'Rail EU Ref'!AA24)</f>
        <v>9.3200344478967398</v>
      </c>
      <c r="AA83" s="6">
        <f>Z83*('Rail EU Ref'!AC24/'Rail EU Ref'!AB24)</f>
        <v>9.4768801419686266</v>
      </c>
      <c r="AB83" s="6">
        <f>AA83*('Rail EU Ref'!AD24/'Rail EU Ref'!AC24)</f>
        <v>9.6337258360405134</v>
      </c>
      <c r="AC83" s="6">
        <f>AB83*('Rail EU Ref'!AE24/'Rail EU Ref'!AD24)</f>
        <v>9.7905715301124001</v>
      </c>
      <c r="AD83" s="6">
        <f>AC83*('Rail EU Ref'!AF24/'Rail EU Ref'!AE24)</f>
        <v>9.9389570761074051</v>
      </c>
      <c r="AE83" s="6">
        <f>AD83*('Rail EU Ref'!AG24/'Rail EU Ref'!AF24)</f>
        <v>10.08734262210241</v>
      </c>
      <c r="AF83" s="6">
        <f>AE83*('Rail EU Ref'!AH24/'Rail EU Ref'!AG24)</f>
        <v>10.235728168097417</v>
      </c>
      <c r="AG83" s="6">
        <f>AF83*('Rail EU Ref'!AI24/'Rail EU Ref'!AH24)</f>
        <v>10.384113714092422</v>
      </c>
      <c r="AH83" s="6">
        <f>AG83*('Rail EU Ref'!AJ24/'Rail EU Ref'!AI24)</f>
        <v>10.532499260087423</v>
      </c>
      <c r="AI83" s="7">
        <f t="shared" ref="AI83:BB83" si="22">AH83</f>
        <v>10.532499260087423</v>
      </c>
      <c r="AJ83" s="7">
        <f t="shared" si="22"/>
        <v>10.532499260087423</v>
      </c>
      <c r="AK83" s="7">
        <f t="shared" si="22"/>
        <v>10.532499260087423</v>
      </c>
      <c r="AL83" s="7">
        <f t="shared" si="22"/>
        <v>10.532499260087423</v>
      </c>
      <c r="AM83" s="7">
        <f t="shared" si="22"/>
        <v>10.532499260087423</v>
      </c>
      <c r="AN83" s="7">
        <f t="shared" si="22"/>
        <v>10.532499260087423</v>
      </c>
      <c r="AO83" s="7">
        <f t="shared" si="22"/>
        <v>10.532499260087423</v>
      </c>
      <c r="AP83" s="7">
        <f t="shared" si="22"/>
        <v>10.532499260087423</v>
      </c>
      <c r="AQ83" s="7">
        <f t="shared" si="22"/>
        <v>10.532499260087423</v>
      </c>
      <c r="AR83" s="7">
        <f t="shared" si="22"/>
        <v>10.532499260087423</v>
      </c>
      <c r="AS83" s="7">
        <f t="shared" si="22"/>
        <v>10.532499260087423</v>
      </c>
      <c r="AT83" s="7">
        <f t="shared" si="22"/>
        <v>10.532499260087423</v>
      </c>
      <c r="AU83" s="7">
        <f t="shared" si="22"/>
        <v>10.532499260087423</v>
      </c>
      <c r="AV83" s="7">
        <f t="shared" si="22"/>
        <v>10.532499260087423</v>
      </c>
      <c r="AW83" s="7">
        <f t="shared" si="22"/>
        <v>10.532499260087423</v>
      </c>
      <c r="AX83" s="7">
        <f t="shared" si="22"/>
        <v>10.532499260087423</v>
      </c>
      <c r="AY83" s="7">
        <f t="shared" si="22"/>
        <v>10.532499260087423</v>
      </c>
      <c r="AZ83" s="7">
        <f t="shared" si="22"/>
        <v>10.532499260087423</v>
      </c>
      <c r="BA83" s="7">
        <f t="shared" si="22"/>
        <v>10.532499260087423</v>
      </c>
      <c r="BB83" s="7">
        <f t="shared" si="22"/>
        <v>10.532499260087423</v>
      </c>
    </row>
    <row r="84" spans="1:54" x14ac:dyDescent="0.3">
      <c r="A84" t="s">
        <v>24</v>
      </c>
      <c r="B84" s="4">
        <v>10.578557</v>
      </c>
      <c r="C84" s="4">
        <v>10.835231</v>
      </c>
      <c r="D84" s="4">
        <v>7.1561090000000007</v>
      </c>
      <c r="E84" s="4">
        <v>7.4736129999999994</v>
      </c>
      <c r="F84" s="6">
        <f>E84*('Rail EU Ref'!H25/'Rail EU Ref'!G25)</f>
        <v>8.8160948685364282</v>
      </c>
      <c r="G84" s="6">
        <f>F84*('Rail EU Ref'!I25/'Rail EU Ref'!H25)</f>
        <v>10.158576737072856</v>
      </c>
      <c r="H84" s="6">
        <f>G84*('Rail EU Ref'!J25/'Rail EU Ref'!I25)</f>
        <v>11.501058605609286</v>
      </c>
      <c r="I84" s="6">
        <f>H84*('Rail EU Ref'!K25/'Rail EU Ref'!J25)</f>
        <v>12.843540474145716</v>
      </c>
      <c r="J84" s="6">
        <f>I84*('Rail EU Ref'!L25/'Rail EU Ref'!K25)</f>
        <v>13.144897520773279</v>
      </c>
      <c r="K84" s="6">
        <f>J84*('Rail EU Ref'!M25/'Rail EU Ref'!L25)</f>
        <v>13.446254567400841</v>
      </c>
      <c r="L84" s="6">
        <f>K84*('Rail EU Ref'!N25/'Rail EU Ref'!M25)</f>
        <v>13.747611614028402</v>
      </c>
      <c r="M84" s="6">
        <f>L84*('Rail EU Ref'!O25/'Rail EU Ref'!N25)</f>
        <v>14.048968660655964</v>
      </c>
      <c r="N84" s="6">
        <f>M84*('Rail EU Ref'!P25/'Rail EU Ref'!O25)</f>
        <v>14.350325707283528</v>
      </c>
      <c r="O84" s="6">
        <f>N84*('Rail EU Ref'!Q25/'Rail EU Ref'!P25)</f>
        <v>14.545433239029178</v>
      </c>
      <c r="P84" s="6">
        <f>O84*('Rail EU Ref'!R25/'Rail EU Ref'!Q25)</f>
        <v>14.740540770774828</v>
      </c>
      <c r="Q84" s="6">
        <f>P84*('Rail EU Ref'!S25/'Rail EU Ref'!R25)</f>
        <v>14.935648302520477</v>
      </c>
      <c r="R84" s="6">
        <f>Q84*('Rail EU Ref'!T25/'Rail EU Ref'!S25)</f>
        <v>15.130755834266127</v>
      </c>
      <c r="S84" s="6">
        <f>R84*('Rail EU Ref'!U25/'Rail EU Ref'!T25)</f>
        <v>15.32586336601177</v>
      </c>
      <c r="T84" s="6">
        <f>S84*('Rail EU Ref'!V25/'Rail EU Ref'!U25)</f>
        <v>15.556857305488309</v>
      </c>
      <c r="U84" s="6">
        <f>T84*('Rail EU Ref'!W25/'Rail EU Ref'!V25)</f>
        <v>15.787851244964852</v>
      </c>
      <c r="V84" s="6">
        <f>U84*('Rail EU Ref'!X25/'Rail EU Ref'!W25)</f>
        <v>16.018845184441389</v>
      </c>
      <c r="W84" s="6">
        <f>V84*('Rail EU Ref'!Y25/'Rail EU Ref'!X25)</f>
        <v>16.24983912391793</v>
      </c>
      <c r="X84" s="6">
        <f>W84*('Rail EU Ref'!Z25/'Rail EU Ref'!Y25)</f>
        <v>16.480833063394464</v>
      </c>
      <c r="Y84" s="6">
        <f>X84*('Rail EU Ref'!AA25/'Rail EU Ref'!Z25)</f>
        <v>16.610950392216402</v>
      </c>
      <c r="Z84" s="6">
        <f>Y84*('Rail EU Ref'!AB25/'Rail EU Ref'!AA25)</f>
        <v>16.741067721038341</v>
      </c>
      <c r="AA84" s="6">
        <f>Z84*('Rail EU Ref'!AC25/'Rail EU Ref'!AB25)</f>
        <v>16.871185049860284</v>
      </c>
      <c r="AB84" s="6">
        <f>AA84*('Rail EU Ref'!AD25/'Rail EU Ref'!AC25)</f>
        <v>17.001302378682222</v>
      </c>
      <c r="AC84" s="6">
        <f>AB84*('Rail EU Ref'!AE25/'Rail EU Ref'!AD25)</f>
        <v>17.131419707504161</v>
      </c>
      <c r="AD84" s="6">
        <f>AC84*('Rail EU Ref'!AF25/'Rail EU Ref'!AE25)</f>
        <v>17.239056156689514</v>
      </c>
      <c r="AE84" s="6">
        <f>AD84*('Rail EU Ref'!AG25/'Rail EU Ref'!AF25)</f>
        <v>17.346692605874868</v>
      </c>
      <c r="AF84" s="6">
        <f>AE84*('Rail EU Ref'!AH25/'Rail EU Ref'!AG25)</f>
        <v>17.454329055060221</v>
      </c>
      <c r="AG84" s="6">
        <f>AF84*('Rail EU Ref'!AI25/'Rail EU Ref'!AH25)</f>
        <v>17.561965504245574</v>
      </c>
      <c r="AH84" s="6">
        <f>AG84*('Rail EU Ref'!AJ25/'Rail EU Ref'!AI25)</f>
        <v>17.669601953430927</v>
      </c>
      <c r="AI84" s="7">
        <f t="shared" ref="AI84:BB84" si="23">AH84</f>
        <v>17.669601953430927</v>
      </c>
      <c r="AJ84" s="7">
        <f t="shared" si="23"/>
        <v>17.669601953430927</v>
      </c>
      <c r="AK84" s="7">
        <f t="shared" si="23"/>
        <v>17.669601953430927</v>
      </c>
      <c r="AL84" s="7">
        <f t="shared" si="23"/>
        <v>17.669601953430927</v>
      </c>
      <c r="AM84" s="7">
        <f t="shared" si="23"/>
        <v>17.669601953430927</v>
      </c>
      <c r="AN84" s="7">
        <f t="shared" si="23"/>
        <v>17.669601953430927</v>
      </c>
      <c r="AO84" s="7">
        <f t="shared" si="23"/>
        <v>17.669601953430927</v>
      </c>
      <c r="AP84" s="7">
        <f t="shared" si="23"/>
        <v>17.669601953430927</v>
      </c>
      <c r="AQ84" s="7">
        <f t="shared" si="23"/>
        <v>17.669601953430927</v>
      </c>
      <c r="AR84" s="7">
        <f t="shared" si="23"/>
        <v>17.669601953430927</v>
      </c>
      <c r="AS84" s="7">
        <f t="shared" si="23"/>
        <v>17.669601953430927</v>
      </c>
      <c r="AT84" s="7">
        <f t="shared" si="23"/>
        <v>17.669601953430927</v>
      </c>
      <c r="AU84" s="7">
        <f t="shared" si="23"/>
        <v>17.669601953430927</v>
      </c>
      <c r="AV84" s="7">
        <f t="shared" si="23"/>
        <v>17.669601953430927</v>
      </c>
      <c r="AW84" s="7">
        <f t="shared" si="23"/>
        <v>17.669601953430927</v>
      </c>
      <c r="AX84" s="7">
        <f t="shared" si="23"/>
        <v>17.669601953430927</v>
      </c>
      <c r="AY84" s="7">
        <f t="shared" si="23"/>
        <v>17.669601953430927</v>
      </c>
      <c r="AZ84" s="7">
        <f t="shared" si="23"/>
        <v>17.669601953430927</v>
      </c>
      <c r="BA84" s="7">
        <f t="shared" si="23"/>
        <v>17.669601953430927</v>
      </c>
      <c r="BB84" s="7">
        <f t="shared" si="23"/>
        <v>17.669601953430927</v>
      </c>
    </row>
    <row r="85" spans="1:54" x14ac:dyDescent="0.3">
      <c r="A85" t="s">
        <v>28</v>
      </c>
      <c r="B85" s="4">
        <v>16.284000003999999</v>
      </c>
      <c r="C85" s="4">
        <v>17.320999998999998</v>
      </c>
      <c r="D85" s="4">
        <v>9.8170000000000002</v>
      </c>
      <c r="E85" s="4">
        <v>9.6189999999999998</v>
      </c>
      <c r="F85" s="6">
        <f>E85*('Rail EU Ref'!H26/'Rail EU Ref'!G26)</f>
        <v>10.233530861650031</v>
      </c>
      <c r="G85" s="6">
        <f>F85*('Rail EU Ref'!I26/'Rail EU Ref'!H26)</f>
        <v>10.848061723300065</v>
      </c>
      <c r="H85" s="6">
        <f>G85*('Rail EU Ref'!J26/'Rail EU Ref'!I26)</f>
        <v>11.462592584950098</v>
      </c>
      <c r="I85" s="6">
        <f>H85*('Rail EU Ref'!K26/'Rail EU Ref'!J26)</f>
        <v>12.077123446600133</v>
      </c>
      <c r="J85" s="6">
        <f>I85*('Rail EU Ref'!L26/'Rail EU Ref'!K26)</f>
        <v>12.305890599901602</v>
      </c>
      <c r="K85" s="6">
        <f>J85*('Rail EU Ref'!M26/'Rail EU Ref'!L26)</f>
        <v>12.534657753203069</v>
      </c>
      <c r="L85" s="6">
        <f>K85*('Rail EU Ref'!N26/'Rail EU Ref'!M26)</f>
        <v>12.763424906504538</v>
      </c>
      <c r="M85" s="6">
        <f>L85*('Rail EU Ref'!O26/'Rail EU Ref'!N26)</f>
        <v>12.992192059806005</v>
      </c>
      <c r="N85" s="6">
        <f>M85*('Rail EU Ref'!P26/'Rail EU Ref'!O26)</f>
        <v>13.22095921310747</v>
      </c>
      <c r="O85" s="6">
        <f>N85*('Rail EU Ref'!Q26/'Rail EU Ref'!P26)</f>
        <v>13.355297564886714</v>
      </c>
      <c r="P85" s="6">
        <f>O85*('Rail EU Ref'!R26/'Rail EU Ref'!Q26)</f>
        <v>13.489635916665954</v>
      </c>
      <c r="Q85" s="6">
        <f>P85*('Rail EU Ref'!S26/'Rail EU Ref'!R26)</f>
        <v>13.623974268445194</v>
      </c>
      <c r="R85" s="6">
        <f>Q85*('Rail EU Ref'!T26/'Rail EU Ref'!S26)</f>
        <v>13.758312620224434</v>
      </c>
      <c r="S85" s="6">
        <f>R85*('Rail EU Ref'!U26/'Rail EU Ref'!T26)</f>
        <v>13.89265097200367</v>
      </c>
      <c r="T85" s="6">
        <f>S85*('Rail EU Ref'!V26/'Rail EU Ref'!U26)</f>
        <v>14.024413196199543</v>
      </c>
      <c r="U85" s="6">
        <f>T85*('Rail EU Ref'!W26/'Rail EU Ref'!V26)</f>
        <v>14.156175420395416</v>
      </c>
      <c r="V85" s="6">
        <f>U85*('Rail EU Ref'!X26/'Rail EU Ref'!W26)</f>
        <v>14.287937644591288</v>
      </c>
      <c r="W85" s="6">
        <f>V85*('Rail EU Ref'!Y26/'Rail EU Ref'!X26)</f>
        <v>14.419699868787159</v>
      </c>
      <c r="X85" s="6">
        <f>W85*('Rail EU Ref'!Z26/'Rail EU Ref'!Y26)</f>
        <v>14.551462092983028</v>
      </c>
      <c r="Y85" s="6">
        <f>X85*('Rail EU Ref'!AA26/'Rail EU Ref'!Z26)</f>
        <v>14.658202573595842</v>
      </c>
      <c r="Z85" s="6">
        <f>Y85*('Rail EU Ref'!AB26/'Rail EU Ref'!AA26)</f>
        <v>14.764943054208656</v>
      </c>
      <c r="AA85" s="6">
        <f>Z85*('Rail EU Ref'!AC26/'Rail EU Ref'!AB26)</f>
        <v>14.871683534821468</v>
      </c>
      <c r="AB85" s="6">
        <f>AA85*('Rail EU Ref'!AD26/'Rail EU Ref'!AC26)</f>
        <v>14.978424015434282</v>
      </c>
      <c r="AC85" s="6">
        <f>AB85*('Rail EU Ref'!AE26/'Rail EU Ref'!AD26)</f>
        <v>15.085164496047092</v>
      </c>
      <c r="AD85" s="6">
        <f>AC85*('Rail EU Ref'!AF26/'Rail EU Ref'!AE26)</f>
        <v>15.19035772216484</v>
      </c>
      <c r="AE85" s="6">
        <f>AD85*('Rail EU Ref'!AG26/'Rail EU Ref'!AF26)</f>
        <v>15.295550948282591</v>
      </c>
      <c r="AF85" s="6">
        <f>AE85*('Rail EU Ref'!AH26/'Rail EU Ref'!AG26)</f>
        <v>15.400744174400339</v>
      </c>
      <c r="AG85" s="6">
        <f>AF85*('Rail EU Ref'!AI26/'Rail EU Ref'!AH26)</f>
        <v>15.505937400518091</v>
      </c>
      <c r="AH85" s="6">
        <f>AG85*('Rail EU Ref'!AJ26/'Rail EU Ref'!AI26)</f>
        <v>15.611130626635845</v>
      </c>
      <c r="AI85" s="7">
        <f t="shared" ref="AI85:BB85" si="24">AH85</f>
        <v>15.611130626635845</v>
      </c>
      <c r="AJ85" s="7">
        <f t="shared" si="24"/>
        <v>15.611130626635845</v>
      </c>
      <c r="AK85" s="7">
        <f t="shared" si="24"/>
        <v>15.611130626635845</v>
      </c>
      <c r="AL85" s="7">
        <f t="shared" si="24"/>
        <v>15.611130626635845</v>
      </c>
      <c r="AM85" s="7">
        <f t="shared" si="24"/>
        <v>15.611130626635845</v>
      </c>
      <c r="AN85" s="7">
        <f t="shared" si="24"/>
        <v>15.611130626635845</v>
      </c>
      <c r="AO85" s="7">
        <f t="shared" si="24"/>
        <v>15.611130626635845</v>
      </c>
      <c r="AP85" s="7">
        <f t="shared" si="24"/>
        <v>15.611130626635845</v>
      </c>
      <c r="AQ85" s="7">
        <f t="shared" si="24"/>
        <v>15.611130626635845</v>
      </c>
      <c r="AR85" s="7">
        <f t="shared" si="24"/>
        <v>15.611130626635845</v>
      </c>
      <c r="AS85" s="7">
        <f t="shared" si="24"/>
        <v>15.611130626635845</v>
      </c>
      <c r="AT85" s="7">
        <f t="shared" si="24"/>
        <v>15.611130626635845</v>
      </c>
      <c r="AU85" s="7">
        <f t="shared" si="24"/>
        <v>15.611130626635845</v>
      </c>
      <c r="AV85" s="7">
        <f t="shared" si="24"/>
        <v>15.611130626635845</v>
      </c>
      <c r="AW85" s="7">
        <f t="shared" si="24"/>
        <v>15.611130626635845</v>
      </c>
      <c r="AX85" s="7">
        <f t="shared" si="24"/>
        <v>15.611130626635845</v>
      </c>
      <c r="AY85" s="7">
        <f t="shared" si="24"/>
        <v>15.611130626635845</v>
      </c>
      <c r="AZ85" s="7">
        <f t="shared" si="24"/>
        <v>15.611130626635845</v>
      </c>
      <c r="BA85" s="7">
        <f t="shared" si="24"/>
        <v>15.611130626635845</v>
      </c>
      <c r="BB85" s="7">
        <f t="shared" si="24"/>
        <v>15.611130626635845</v>
      </c>
    </row>
    <row r="86" spans="1:54" x14ac:dyDescent="0.3">
      <c r="A86" t="s">
        <v>25</v>
      </c>
      <c r="B86" s="4">
        <v>0.56800000000000006</v>
      </c>
      <c r="C86" s="4">
        <v>0.57200000000000006</v>
      </c>
      <c r="D86" s="4">
        <v>0.33800000000000002</v>
      </c>
      <c r="E86" s="4">
        <v>0.504</v>
      </c>
      <c r="F86" s="6">
        <f>E86*('Rail EU Ref'!H27/'Rail EU Ref'!G27)</f>
        <v>0.60124895580084148</v>
      </c>
      <c r="G86" s="6">
        <f>F86*('Rail EU Ref'!I27/'Rail EU Ref'!H27)</f>
        <v>0.69849791160168295</v>
      </c>
      <c r="H86" s="6">
        <f>G86*('Rail EU Ref'!J27/'Rail EU Ref'!I27)</f>
        <v>0.79574686740252454</v>
      </c>
      <c r="I86" s="6">
        <f>H86*('Rail EU Ref'!K27/'Rail EU Ref'!J27)</f>
        <v>0.89299582320336612</v>
      </c>
      <c r="J86" s="6">
        <f>I86*('Rail EU Ref'!L27/'Rail EU Ref'!K27)</f>
        <v>0.93951383364828267</v>
      </c>
      <c r="K86" s="6">
        <f>J86*('Rail EU Ref'!M27/'Rail EU Ref'!L27)</f>
        <v>0.98603184409319911</v>
      </c>
      <c r="L86" s="6">
        <f>K86*('Rail EU Ref'!N27/'Rail EU Ref'!M27)</f>
        <v>1.0325498545381158</v>
      </c>
      <c r="M86" s="6">
        <f>L86*('Rail EU Ref'!O27/'Rail EU Ref'!N27)</f>
        <v>1.0790678649830323</v>
      </c>
      <c r="N86" s="6">
        <f>M86*('Rail EU Ref'!P27/'Rail EU Ref'!O27)</f>
        <v>1.1255858754279489</v>
      </c>
      <c r="O86" s="6">
        <f>N86*('Rail EU Ref'!Q27/'Rail EU Ref'!P27)</f>
        <v>1.1533452150432792</v>
      </c>
      <c r="P86" s="6">
        <f>O86*('Rail EU Ref'!R27/'Rail EU Ref'!Q27)</f>
        <v>1.1811045546586096</v>
      </c>
      <c r="Q86" s="6">
        <f>P86*('Rail EU Ref'!S27/'Rail EU Ref'!R27)</f>
        <v>1.20886389427394</v>
      </c>
      <c r="R86" s="6">
        <f>Q86*('Rail EU Ref'!T27/'Rail EU Ref'!S27)</f>
        <v>1.2366232338892704</v>
      </c>
      <c r="S86" s="6">
        <f>R86*('Rail EU Ref'!U27/'Rail EU Ref'!T27)</f>
        <v>1.2643825735046008</v>
      </c>
      <c r="T86" s="6">
        <f>S86*('Rail EU Ref'!V27/'Rail EU Ref'!U27)</f>
        <v>1.2936878068045596</v>
      </c>
      <c r="U86" s="6">
        <f>T86*('Rail EU Ref'!W27/'Rail EU Ref'!V27)</f>
        <v>1.3229930401045185</v>
      </c>
      <c r="V86" s="6">
        <f>U86*('Rail EU Ref'!X27/'Rail EU Ref'!W27)</f>
        <v>1.3522982734044775</v>
      </c>
      <c r="W86" s="6">
        <f>V86*('Rail EU Ref'!Y27/'Rail EU Ref'!X27)</f>
        <v>1.3816035067044365</v>
      </c>
      <c r="X86" s="6">
        <f>W86*('Rail EU Ref'!Z27/'Rail EU Ref'!Y27)</f>
        <v>1.4109087400043954</v>
      </c>
      <c r="Y86" s="6">
        <f>X86*('Rail EU Ref'!AA27/'Rail EU Ref'!Z27)</f>
        <v>1.4239556406251073</v>
      </c>
      <c r="Z86" s="6">
        <f>Y86*('Rail EU Ref'!AB27/'Rail EU Ref'!AA27)</f>
        <v>1.4370025412458189</v>
      </c>
      <c r="AA86" s="6">
        <f>Z86*('Rail EU Ref'!AC27/'Rail EU Ref'!AB27)</f>
        <v>1.4500494418665306</v>
      </c>
      <c r="AB86" s="6">
        <f>AA86*('Rail EU Ref'!AD27/'Rail EU Ref'!AC27)</f>
        <v>1.4630963424872423</v>
      </c>
      <c r="AC86" s="6">
        <f>AB86*('Rail EU Ref'!AE27/'Rail EU Ref'!AD27)</f>
        <v>1.4761432431079544</v>
      </c>
      <c r="AD86" s="6">
        <f>AC86*('Rail EU Ref'!AF27/'Rail EU Ref'!AE27)</f>
        <v>1.4911616688798131</v>
      </c>
      <c r="AE86" s="6">
        <f>AD86*('Rail EU Ref'!AG27/'Rail EU Ref'!AF27)</f>
        <v>1.5061800946516719</v>
      </c>
      <c r="AF86" s="6">
        <f>AE86*('Rail EU Ref'!AH27/'Rail EU Ref'!AG27)</f>
        <v>1.521198520423531</v>
      </c>
      <c r="AG86" s="6">
        <f>AF86*('Rail EU Ref'!AI27/'Rail EU Ref'!AH27)</f>
        <v>1.5362169461953898</v>
      </c>
      <c r="AH86" s="6">
        <f>AG86*('Rail EU Ref'!AJ27/'Rail EU Ref'!AI27)</f>
        <v>1.5512353719672483</v>
      </c>
      <c r="AI86" s="7">
        <f t="shared" ref="AI86:BB86" si="25">AH86</f>
        <v>1.5512353719672483</v>
      </c>
      <c r="AJ86" s="7">
        <f t="shared" si="25"/>
        <v>1.5512353719672483</v>
      </c>
      <c r="AK86" s="7">
        <f t="shared" si="25"/>
        <v>1.5512353719672483</v>
      </c>
      <c r="AL86" s="7">
        <f t="shared" si="25"/>
        <v>1.5512353719672483</v>
      </c>
      <c r="AM86" s="7">
        <f t="shared" si="25"/>
        <v>1.5512353719672483</v>
      </c>
      <c r="AN86" s="7">
        <f t="shared" si="25"/>
        <v>1.5512353719672483</v>
      </c>
      <c r="AO86" s="7">
        <f t="shared" si="25"/>
        <v>1.5512353719672483</v>
      </c>
      <c r="AP86" s="7">
        <f t="shared" si="25"/>
        <v>1.5512353719672483</v>
      </c>
      <c r="AQ86" s="7">
        <f t="shared" si="25"/>
        <v>1.5512353719672483</v>
      </c>
      <c r="AR86" s="7">
        <f t="shared" si="25"/>
        <v>1.5512353719672483</v>
      </c>
      <c r="AS86" s="7">
        <f t="shared" si="25"/>
        <v>1.5512353719672483</v>
      </c>
      <c r="AT86" s="7">
        <f t="shared" si="25"/>
        <v>1.5512353719672483</v>
      </c>
      <c r="AU86" s="7">
        <f t="shared" si="25"/>
        <v>1.5512353719672483</v>
      </c>
      <c r="AV86" s="7">
        <f t="shared" si="25"/>
        <v>1.5512353719672483</v>
      </c>
      <c r="AW86" s="7">
        <f t="shared" si="25"/>
        <v>1.5512353719672483</v>
      </c>
      <c r="AX86" s="7">
        <f t="shared" si="25"/>
        <v>1.5512353719672483</v>
      </c>
      <c r="AY86" s="7">
        <f t="shared" si="25"/>
        <v>1.5512353719672483</v>
      </c>
      <c r="AZ86" s="7">
        <f t="shared" si="25"/>
        <v>1.5512353719672483</v>
      </c>
      <c r="BA86" s="7">
        <f t="shared" si="25"/>
        <v>1.5512353719672483</v>
      </c>
      <c r="BB86" s="7">
        <f t="shared" si="25"/>
        <v>1.5512353719672483</v>
      </c>
    </row>
    <row r="87" spans="1:54" x14ac:dyDescent="0.3">
      <c r="A87" t="s">
        <v>26</v>
      </c>
      <c r="B87" s="4">
        <v>4.072749</v>
      </c>
      <c r="C87" s="4">
        <v>4.2354090500000003</v>
      </c>
      <c r="D87" s="4">
        <v>2.3013864009999998</v>
      </c>
      <c r="E87" s="4">
        <v>2.1138969030000001</v>
      </c>
      <c r="F87" s="6">
        <f>E87*('Rail EU Ref'!H28/'Rail EU Ref'!G28)</f>
        <v>2.3869815916623929</v>
      </c>
      <c r="G87" s="6">
        <f>F87*('Rail EU Ref'!I28/'Rail EU Ref'!H28)</f>
        <v>2.6600662803247856</v>
      </c>
      <c r="H87" s="6">
        <f>G87*('Rail EU Ref'!J28/'Rail EU Ref'!I28)</f>
        <v>2.9331509689871784</v>
      </c>
      <c r="I87" s="6">
        <f>H87*('Rail EU Ref'!K28/'Rail EU Ref'!J28)</f>
        <v>3.2062356576495716</v>
      </c>
      <c r="J87" s="6">
        <f>I87*('Rail EU Ref'!L28/'Rail EU Ref'!K28)</f>
        <v>3.3256034582664848</v>
      </c>
      <c r="K87" s="6">
        <f>J87*('Rail EU Ref'!M28/'Rail EU Ref'!L28)</f>
        <v>3.4449712588833981</v>
      </c>
      <c r="L87" s="6">
        <f>K87*('Rail EU Ref'!N28/'Rail EU Ref'!M28)</f>
        <v>3.5643390595003113</v>
      </c>
      <c r="M87" s="6">
        <f>L87*('Rail EU Ref'!O28/'Rail EU Ref'!N28)</f>
        <v>3.6837068601172245</v>
      </c>
      <c r="N87" s="6">
        <f>M87*('Rail EU Ref'!P28/'Rail EU Ref'!O28)</f>
        <v>3.803074660734139</v>
      </c>
      <c r="O87" s="6">
        <f>N87*('Rail EU Ref'!Q28/'Rail EU Ref'!P28)</f>
        <v>3.8981567789375728</v>
      </c>
      <c r="P87" s="6">
        <f>O87*('Rail EU Ref'!R28/'Rail EU Ref'!Q28)</f>
        <v>3.9932388971410071</v>
      </c>
      <c r="Q87" s="6">
        <f>P87*('Rail EU Ref'!S28/'Rail EU Ref'!R28)</f>
        <v>4.0883210153444409</v>
      </c>
      <c r="R87" s="6">
        <f>Q87*('Rail EU Ref'!T28/'Rail EU Ref'!S28)</f>
        <v>4.1834031335478743</v>
      </c>
      <c r="S87" s="6">
        <f>R87*('Rail EU Ref'!U28/'Rail EU Ref'!T28)</f>
        <v>4.2784852517513077</v>
      </c>
      <c r="T87" s="6">
        <f>S87*('Rail EU Ref'!V28/'Rail EU Ref'!U28)</f>
        <v>4.3678661500826337</v>
      </c>
      <c r="U87" s="6">
        <f>T87*('Rail EU Ref'!W28/'Rail EU Ref'!V28)</f>
        <v>4.4572470484139606</v>
      </c>
      <c r="V87" s="6">
        <f>U87*('Rail EU Ref'!X28/'Rail EU Ref'!W28)</f>
        <v>4.5466279467452875</v>
      </c>
      <c r="W87" s="6">
        <f>V87*('Rail EU Ref'!Y28/'Rail EU Ref'!X28)</f>
        <v>4.6360088450766144</v>
      </c>
      <c r="X87" s="6">
        <f>W87*('Rail EU Ref'!Z28/'Rail EU Ref'!Y28)</f>
        <v>4.7253897434079422</v>
      </c>
      <c r="Y87" s="6">
        <f>X87*('Rail EU Ref'!AA28/'Rail EU Ref'!Z28)</f>
        <v>4.7765338429425626</v>
      </c>
      <c r="Z87" s="6">
        <f>Y87*('Rail EU Ref'!AB28/'Rail EU Ref'!AA28)</f>
        <v>4.8276779424771838</v>
      </c>
      <c r="AA87" s="6">
        <f>Z87*('Rail EU Ref'!AC28/'Rail EU Ref'!AB28)</f>
        <v>4.8788220420118051</v>
      </c>
      <c r="AB87" s="6">
        <f>AA87*('Rail EU Ref'!AD28/'Rail EU Ref'!AC28)</f>
        <v>4.9299661415464264</v>
      </c>
      <c r="AC87" s="6">
        <f>AB87*('Rail EU Ref'!AE28/'Rail EU Ref'!AD28)</f>
        <v>4.9811102410810477</v>
      </c>
      <c r="AD87" s="6">
        <f>AC87*('Rail EU Ref'!AF28/'Rail EU Ref'!AE28)</f>
        <v>5.0308870156234917</v>
      </c>
      <c r="AE87" s="6">
        <f>AD87*('Rail EU Ref'!AG28/'Rail EU Ref'!AF28)</f>
        <v>5.0806637901659348</v>
      </c>
      <c r="AF87" s="6">
        <f>AE87*('Rail EU Ref'!AH28/'Rail EU Ref'!AG28)</f>
        <v>5.1304405647083779</v>
      </c>
      <c r="AG87" s="6">
        <f>AF87*('Rail EU Ref'!AI28/'Rail EU Ref'!AH28)</f>
        <v>5.1802173392508211</v>
      </c>
      <c r="AH87" s="6">
        <f>AG87*('Rail EU Ref'!AJ28/'Rail EU Ref'!AI28)</f>
        <v>5.2299941137932651</v>
      </c>
      <c r="AI87" s="7">
        <f t="shared" ref="AI87:BB87" si="26">AH87</f>
        <v>5.2299941137932651</v>
      </c>
      <c r="AJ87" s="7">
        <f t="shared" si="26"/>
        <v>5.2299941137932651</v>
      </c>
      <c r="AK87" s="7">
        <f t="shared" si="26"/>
        <v>5.2299941137932651</v>
      </c>
      <c r="AL87" s="7">
        <f t="shared" si="26"/>
        <v>5.2299941137932651</v>
      </c>
      <c r="AM87" s="7">
        <f t="shared" si="26"/>
        <v>5.2299941137932651</v>
      </c>
      <c r="AN87" s="7">
        <f t="shared" si="26"/>
        <v>5.2299941137932651</v>
      </c>
      <c r="AO87" s="7">
        <f t="shared" si="26"/>
        <v>5.2299941137932651</v>
      </c>
      <c r="AP87" s="7">
        <f t="shared" si="26"/>
        <v>5.2299941137932651</v>
      </c>
      <c r="AQ87" s="7">
        <f t="shared" si="26"/>
        <v>5.2299941137932651</v>
      </c>
      <c r="AR87" s="7">
        <f t="shared" si="26"/>
        <v>5.2299941137932651</v>
      </c>
      <c r="AS87" s="7">
        <f t="shared" si="26"/>
        <v>5.2299941137932651</v>
      </c>
      <c r="AT87" s="7">
        <f t="shared" si="26"/>
        <v>5.2299941137932651</v>
      </c>
      <c r="AU87" s="7">
        <f t="shared" si="26"/>
        <v>5.2299941137932651</v>
      </c>
      <c r="AV87" s="7">
        <f t="shared" si="26"/>
        <v>5.2299941137932651</v>
      </c>
      <c r="AW87" s="7">
        <f t="shared" si="26"/>
        <v>5.2299941137932651</v>
      </c>
      <c r="AX87" s="7">
        <f t="shared" si="26"/>
        <v>5.2299941137932651</v>
      </c>
      <c r="AY87" s="7">
        <f t="shared" si="26"/>
        <v>5.2299941137932651</v>
      </c>
      <c r="AZ87" s="7">
        <f t="shared" si="26"/>
        <v>5.2299941137932651</v>
      </c>
      <c r="BA87" s="7">
        <f t="shared" si="26"/>
        <v>5.2299941137932651</v>
      </c>
      <c r="BB87" s="7">
        <f t="shared" si="26"/>
        <v>5.2299941137932651</v>
      </c>
    </row>
    <row r="88" spans="1:54" x14ac:dyDescent="0.3">
      <c r="A88" t="s">
        <v>88</v>
      </c>
      <c r="B88" s="9">
        <v>493.404915716</v>
      </c>
      <c r="C88" s="9">
        <v>506.88545456599996</v>
      </c>
      <c r="D88" s="9">
        <v>278.86638042700008</v>
      </c>
      <c r="E88" s="9">
        <v>320.77980994599994</v>
      </c>
      <c r="F88" s="10">
        <f>SUM(F61:F87)</f>
        <v>376.48159154318637</v>
      </c>
      <c r="G88" s="10">
        <f t="shared" ref="G88:BB88" si="27">SUM(G61:G87)</f>
        <v>432.18337314037302</v>
      </c>
      <c r="H88" s="10">
        <f t="shared" si="27"/>
        <v>487.88515473755945</v>
      </c>
      <c r="I88" s="10">
        <f t="shared" si="27"/>
        <v>543.58693633474616</v>
      </c>
      <c r="J88" s="10">
        <f t="shared" si="27"/>
        <v>552.10648408870213</v>
      </c>
      <c r="K88" s="10">
        <f t="shared" si="27"/>
        <v>560.62603184265822</v>
      </c>
      <c r="L88" s="10">
        <f t="shared" si="27"/>
        <v>569.14557959661443</v>
      </c>
      <c r="M88" s="10">
        <f t="shared" si="27"/>
        <v>577.66512735057051</v>
      </c>
      <c r="N88" s="10">
        <f t="shared" si="27"/>
        <v>586.1846751045266</v>
      </c>
      <c r="O88" s="10">
        <f t="shared" si="27"/>
        <v>597.55808100776107</v>
      </c>
      <c r="P88" s="10">
        <f t="shared" si="27"/>
        <v>608.9314869109952</v>
      </c>
      <c r="Q88" s="10">
        <f t="shared" si="27"/>
        <v>620.30489281422956</v>
      </c>
      <c r="R88" s="10">
        <f t="shared" si="27"/>
        <v>631.6782987174638</v>
      </c>
      <c r="S88" s="10">
        <f t="shared" si="27"/>
        <v>643.05170462069816</v>
      </c>
      <c r="T88" s="10">
        <f t="shared" si="27"/>
        <v>650.701969866181</v>
      </c>
      <c r="U88" s="10">
        <f t="shared" si="27"/>
        <v>658.3522351116643</v>
      </c>
      <c r="V88" s="10">
        <f t="shared" si="27"/>
        <v>666.00250035714703</v>
      </c>
      <c r="W88" s="10">
        <f t="shared" si="27"/>
        <v>673.65276560262998</v>
      </c>
      <c r="X88" s="10">
        <f t="shared" si="27"/>
        <v>681.30303084811283</v>
      </c>
      <c r="Y88" s="10">
        <f t="shared" si="27"/>
        <v>690.20867898224458</v>
      </c>
      <c r="Z88" s="10">
        <f t="shared" si="27"/>
        <v>699.11432711637678</v>
      </c>
      <c r="AA88" s="10">
        <f t="shared" si="27"/>
        <v>708.01997525050888</v>
      </c>
      <c r="AB88" s="10">
        <f t="shared" si="27"/>
        <v>716.92562338464052</v>
      </c>
      <c r="AC88" s="10">
        <f t="shared" si="27"/>
        <v>725.83127151877261</v>
      </c>
      <c r="AD88" s="10">
        <f t="shared" si="27"/>
        <v>733.06594797379705</v>
      </c>
      <c r="AE88" s="10">
        <f t="shared" si="27"/>
        <v>740.30062442882115</v>
      </c>
      <c r="AF88" s="10">
        <f t="shared" si="27"/>
        <v>747.53530088384559</v>
      </c>
      <c r="AG88" s="10">
        <f t="shared" si="27"/>
        <v>754.76997733886992</v>
      </c>
      <c r="AH88" s="10">
        <f t="shared" si="27"/>
        <v>762.00465379389425</v>
      </c>
      <c r="AI88" s="10">
        <f t="shared" si="27"/>
        <v>762.00465379389425</v>
      </c>
      <c r="AJ88" s="10">
        <f t="shared" si="27"/>
        <v>762.00465379389425</v>
      </c>
      <c r="AK88" s="10">
        <f t="shared" si="27"/>
        <v>762.00465379389425</v>
      </c>
      <c r="AL88" s="10">
        <f t="shared" si="27"/>
        <v>762.00465379389425</v>
      </c>
      <c r="AM88" s="10">
        <f t="shared" si="27"/>
        <v>762.00465379389425</v>
      </c>
      <c r="AN88" s="10">
        <f t="shared" si="27"/>
        <v>762.00465379389425</v>
      </c>
      <c r="AO88" s="10">
        <f t="shared" si="27"/>
        <v>762.00465379389425</v>
      </c>
      <c r="AP88" s="10">
        <f t="shared" si="27"/>
        <v>762.00465379389425</v>
      </c>
      <c r="AQ88" s="10">
        <f t="shared" si="27"/>
        <v>762.00465379389425</v>
      </c>
      <c r="AR88" s="10">
        <f t="shared" si="27"/>
        <v>762.00465379389425</v>
      </c>
      <c r="AS88" s="10">
        <f t="shared" si="27"/>
        <v>762.00465379389425</v>
      </c>
      <c r="AT88" s="10">
        <f t="shared" si="27"/>
        <v>762.00465379389425</v>
      </c>
      <c r="AU88" s="10">
        <f t="shared" si="27"/>
        <v>762.00465379389425</v>
      </c>
      <c r="AV88" s="10">
        <f t="shared" si="27"/>
        <v>762.00465379389425</v>
      </c>
      <c r="AW88" s="10">
        <f t="shared" si="27"/>
        <v>762.00465379389425</v>
      </c>
      <c r="AX88" s="10">
        <f t="shared" si="27"/>
        <v>762.00465379389425</v>
      </c>
      <c r="AY88" s="10">
        <f t="shared" si="27"/>
        <v>762.00465379389425</v>
      </c>
      <c r="AZ88" s="10">
        <f t="shared" si="27"/>
        <v>762.00465379389425</v>
      </c>
      <c r="BA88" s="10">
        <f t="shared" si="27"/>
        <v>762.00465379389425</v>
      </c>
      <c r="BB88" s="10">
        <f t="shared" si="27"/>
        <v>762.00465379389425</v>
      </c>
    </row>
    <row r="94" spans="1:54" s="3" customFormat="1" x14ac:dyDescent="0.3">
      <c r="A94" s="2" t="s">
        <v>126</v>
      </c>
    </row>
    <row r="96" spans="1:54" x14ac:dyDescent="0.3">
      <c r="A96" t="s">
        <v>1</v>
      </c>
      <c r="B96" t="s">
        <v>0</v>
      </c>
      <c r="C96">
        <v>2018</v>
      </c>
      <c r="D96">
        <v>2019</v>
      </c>
      <c r="E96">
        <v>2020</v>
      </c>
      <c r="F96">
        <v>2021</v>
      </c>
    </row>
    <row r="97" spans="1:6" x14ac:dyDescent="0.3">
      <c r="A97" t="s">
        <v>2</v>
      </c>
      <c r="B97" t="s">
        <v>127</v>
      </c>
      <c r="C97">
        <v>1.1427385050000001</v>
      </c>
      <c r="D97">
        <v>1.144976075</v>
      </c>
      <c r="E97">
        <v>1.40832055</v>
      </c>
      <c r="F97">
        <v>1.40987051</v>
      </c>
    </row>
    <row r="98" spans="1:6" x14ac:dyDescent="0.3">
      <c r="A98" t="s">
        <v>2</v>
      </c>
      <c r="B98" t="s">
        <v>128</v>
      </c>
      <c r="C98">
        <v>20.853261499999999</v>
      </c>
      <c r="D98">
        <v>20.591023929999999</v>
      </c>
      <c r="E98">
        <v>19.089679449999998</v>
      </c>
      <c r="F98">
        <v>20.369129489999999</v>
      </c>
    </row>
    <row r="99" spans="1:6" x14ac:dyDescent="0.3">
      <c r="A99" t="s">
        <v>3</v>
      </c>
      <c r="B99" t="s">
        <v>129</v>
      </c>
      <c r="C99">
        <v>0.79717544900000004</v>
      </c>
      <c r="D99">
        <v>0.60378181799999997</v>
      </c>
      <c r="E99">
        <v>0.71472401200000002</v>
      </c>
      <c r="F99">
        <v>0.74962373299999996</v>
      </c>
    </row>
    <row r="100" spans="1:6" x14ac:dyDescent="0.3">
      <c r="A100" t="s">
        <v>3</v>
      </c>
      <c r="B100" t="s">
        <v>130</v>
      </c>
      <c r="C100">
        <v>3.0268245509999998</v>
      </c>
      <c r="D100">
        <v>3.2982181819999998</v>
      </c>
      <c r="E100">
        <v>3.7882759880000001</v>
      </c>
      <c r="F100">
        <v>3.9073762670000001</v>
      </c>
    </row>
    <row r="101" spans="1:6" x14ac:dyDescent="0.3">
      <c r="A101" t="s">
        <v>4</v>
      </c>
      <c r="B101" t="s">
        <v>131</v>
      </c>
      <c r="C101">
        <v>1.071718486</v>
      </c>
      <c r="D101">
        <v>1.0594853230000001</v>
      </c>
      <c r="E101">
        <v>0.93112161599999999</v>
      </c>
      <c r="F101">
        <v>0.92747327300000004</v>
      </c>
    </row>
    <row r="102" spans="1:6" x14ac:dyDescent="0.3">
      <c r="A102" t="s">
        <v>4</v>
      </c>
      <c r="B102" t="s">
        <v>132</v>
      </c>
      <c r="C102">
        <v>6.428281514</v>
      </c>
      <c r="D102">
        <v>6.3405146769999998</v>
      </c>
      <c r="E102">
        <v>5.7688783839999997</v>
      </c>
      <c r="F102">
        <v>5.8425092730000001</v>
      </c>
    </row>
    <row r="103" spans="1:6" x14ac:dyDescent="0.3">
      <c r="A103" t="s">
        <v>5</v>
      </c>
      <c r="B103" t="s">
        <v>133</v>
      </c>
      <c r="C103">
        <v>3.5535798509999998</v>
      </c>
      <c r="D103">
        <v>3.475783259</v>
      </c>
      <c r="E103">
        <v>3.327762479</v>
      </c>
      <c r="F103">
        <v>3.4294005099999998</v>
      </c>
    </row>
    <row r="104" spans="1:6" x14ac:dyDescent="0.3">
      <c r="A104" t="s">
        <v>5</v>
      </c>
      <c r="B104" t="s">
        <v>134</v>
      </c>
      <c r="C104">
        <v>13.01042015</v>
      </c>
      <c r="D104">
        <v>12.70421674</v>
      </c>
      <c r="E104">
        <v>11.923237520000001</v>
      </c>
      <c r="F104">
        <v>12.89659949</v>
      </c>
    </row>
    <row r="105" spans="1:6" x14ac:dyDescent="0.3">
      <c r="A105" t="s">
        <v>6</v>
      </c>
      <c r="B105" t="s">
        <v>135</v>
      </c>
      <c r="C105">
        <v>1.3919097949999999</v>
      </c>
      <c r="D105">
        <v>1.34508578</v>
      </c>
      <c r="E105">
        <v>1.2384287789999999</v>
      </c>
      <c r="F105">
        <v>0.95812025700000003</v>
      </c>
    </row>
    <row r="106" spans="1:6" x14ac:dyDescent="0.3">
      <c r="A106" t="s">
        <v>6</v>
      </c>
      <c r="B106" t="s">
        <v>136</v>
      </c>
      <c r="C106">
        <v>1.202090205</v>
      </c>
      <c r="D106">
        <v>1.1799142199999999</v>
      </c>
      <c r="E106">
        <v>1.211571221</v>
      </c>
      <c r="F106">
        <v>1.027879743</v>
      </c>
    </row>
    <row r="107" spans="1:6" x14ac:dyDescent="0.3">
      <c r="A107" t="s">
        <v>7</v>
      </c>
      <c r="B107" t="s">
        <v>137</v>
      </c>
      <c r="C107">
        <v>15.83848832</v>
      </c>
      <c r="D107">
        <v>17.963404730000001</v>
      </c>
      <c r="E107">
        <v>15.94180029</v>
      </c>
      <c r="F107">
        <v>24.879888300000001</v>
      </c>
    </row>
    <row r="108" spans="1:6" x14ac:dyDescent="0.3">
      <c r="A108" t="s">
        <v>7</v>
      </c>
      <c r="B108" t="s">
        <v>138</v>
      </c>
      <c r="C108">
        <v>102.0925117</v>
      </c>
      <c r="D108">
        <v>101.5065953</v>
      </c>
      <c r="E108">
        <v>93.277199710000005</v>
      </c>
      <c r="F108">
        <v>99.055111699999998</v>
      </c>
    </row>
    <row r="109" spans="1:6" x14ac:dyDescent="0.3">
      <c r="A109" t="s">
        <v>8</v>
      </c>
      <c r="B109" t="s">
        <v>139</v>
      </c>
      <c r="C109">
        <v>2.5880000000000001</v>
      </c>
      <c r="D109">
        <v>2.1549999999999998</v>
      </c>
      <c r="E109">
        <v>1.7290000000000001</v>
      </c>
      <c r="F109">
        <v>2.1240000000000001</v>
      </c>
    </row>
    <row r="110" spans="1:6" x14ac:dyDescent="0.3">
      <c r="A110" t="s">
        <v>8</v>
      </c>
      <c r="B110" t="s">
        <v>140</v>
      </c>
      <c r="C110">
        <v>0</v>
      </c>
      <c r="D110">
        <v>0</v>
      </c>
      <c r="E110">
        <v>0</v>
      </c>
      <c r="F110">
        <v>0</v>
      </c>
    </row>
    <row r="111" spans="1:6" x14ac:dyDescent="0.3">
      <c r="A111" t="s">
        <v>9</v>
      </c>
      <c r="B111" t="s">
        <v>141</v>
      </c>
      <c r="C111">
        <v>8.3372945000000004E-2</v>
      </c>
      <c r="D111">
        <v>6.7246190999999997E-2</v>
      </c>
      <c r="E111">
        <v>6.8062432000000006E-2</v>
      </c>
      <c r="F111">
        <v>6.4776167999999995E-2</v>
      </c>
    </row>
    <row r="112" spans="1:6" x14ac:dyDescent="0.3">
      <c r="A112" t="s">
        <v>9</v>
      </c>
      <c r="B112" t="s">
        <v>142</v>
      </c>
      <c r="C112">
        <v>5.6270549999999997E-3</v>
      </c>
      <c r="D112">
        <v>4.7538090000000003E-3</v>
      </c>
      <c r="E112">
        <v>5.9375679999999998E-3</v>
      </c>
      <c r="F112">
        <v>5.2238320000000003E-3</v>
      </c>
    </row>
    <row r="113" spans="1:6" x14ac:dyDescent="0.3">
      <c r="A113" t="s">
        <v>10</v>
      </c>
      <c r="B113" t="s">
        <v>143</v>
      </c>
      <c r="C113">
        <v>0.20651997499999999</v>
      </c>
      <c r="D113">
        <v>0.14430642399999999</v>
      </c>
      <c r="E113">
        <v>0.14157402899999999</v>
      </c>
      <c r="F113">
        <v>0.12717397699999999</v>
      </c>
    </row>
    <row r="114" spans="1:6" x14ac:dyDescent="0.3">
      <c r="A114" t="s">
        <v>10</v>
      </c>
      <c r="B114" t="s">
        <v>144</v>
      </c>
      <c r="C114">
        <v>0.20148002500000001</v>
      </c>
      <c r="D114">
        <v>0.346693576</v>
      </c>
      <c r="E114">
        <v>0.413425971</v>
      </c>
      <c r="F114">
        <v>0.45082602300000002</v>
      </c>
    </row>
    <row r="115" spans="1:6" x14ac:dyDescent="0.3">
      <c r="A115" t="s">
        <v>11</v>
      </c>
      <c r="B115" t="s">
        <v>145</v>
      </c>
      <c r="C115">
        <v>2.0008906980000001</v>
      </c>
      <c r="D115">
        <v>2.1288513139999998</v>
      </c>
      <c r="E115">
        <v>1.2260766940000001</v>
      </c>
      <c r="F115">
        <v>0.62745077699999996</v>
      </c>
    </row>
    <row r="116" spans="1:6" x14ac:dyDescent="0.3">
      <c r="A116" t="s">
        <v>11</v>
      </c>
      <c r="B116" t="s">
        <v>146</v>
      </c>
      <c r="C116">
        <v>8.6491093019999994</v>
      </c>
      <c r="D116">
        <v>8.5811486860000006</v>
      </c>
      <c r="E116">
        <v>7.6939233060000003</v>
      </c>
      <c r="F116">
        <v>9.6715492229999995</v>
      </c>
    </row>
    <row r="117" spans="1:6" x14ac:dyDescent="0.3">
      <c r="A117" t="s">
        <v>12</v>
      </c>
      <c r="B117" t="s">
        <v>147</v>
      </c>
      <c r="C117">
        <v>2.8214673609999998</v>
      </c>
      <c r="D117">
        <v>2.8063902490000001</v>
      </c>
      <c r="E117">
        <v>2.6821058029999998</v>
      </c>
      <c r="F117">
        <v>3.1240561140000001</v>
      </c>
    </row>
    <row r="118" spans="1:6" x14ac:dyDescent="0.3">
      <c r="A118" t="s">
        <v>12</v>
      </c>
      <c r="B118" t="s">
        <v>148</v>
      </c>
      <c r="C118">
        <v>31.23953264</v>
      </c>
      <c r="D118">
        <v>30.86460975</v>
      </c>
      <c r="E118">
        <v>28.876894199999999</v>
      </c>
      <c r="F118">
        <v>32.62694389</v>
      </c>
    </row>
    <row r="119" spans="1:6" x14ac:dyDescent="0.3">
      <c r="A119" t="s">
        <v>13</v>
      </c>
      <c r="B119" t="s">
        <v>149</v>
      </c>
      <c r="C119">
        <v>1.0151895129999999</v>
      </c>
      <c r="D119">
        <v>1.0555672869999999</v>
      </c>
      <c r="E119">
        <v>1.186991438</v>
      </c>
      <c r="F119">
        <v>1.152114074</v>
      </c>
    </row>
    <row r="120" spans="1:6" x14ac:dyDescent="0.3">
      <c r="A120" t="s">
        <v>13</v>
      </c>
      <c r="B120" t="s">
        <v>150</v>
      </c>
      <c r="C120">
        <v>1.727810487</v>
      </c>
      <c r="D120">
        <v>1.8554327129999999</v>
      </c>
      <c r="E120">
        <v>2.0920085620000002</v>
      </c>
      <c r="F120">
        <v>2.0198859260000002</v>
      </c>
    </row>
    <row r="121" spans="1:6" x14ac:dyDescent="0.3">
      <c r="A121" t="s">
        <v>14</v>
      </c>
      <c r="B121" t="s">
        <v>151</v>
      </c>
      <c r="C121">
        <v>0.86798105199999998</v>
      </c>
      <c r="D121">
        <v>0.84107321199999996</v>
      </c>
      <c r="E121">
        <v>0.96970617000000003</v>
      </c>
      <c r="F121">
        <v>0.89902553799999996</v>
      </c>
    </row>
    <row r="122" spans="1:6" x14ac:dyDescent="0.3">
      <c r="A122" t="s">
        <v>14</v>
      </c>
      <c r="B122" t="s">
        <v>152</v>
      </c>
      <c r="C122">
        <v>21.202018949999999</v>
      </c>
      <c r="D122">
        <v>20.46792679</v>
      </c>
      <c r="E122">
        <v>19.780293830000002</v>
      </c>
      <c r="F122">
        <v>23.36297446</v>
      </c>
    </row>
    <row r="123" spans="1:6" x14ac:dyDescent="0.3">
      <c r="A123" t="s">
        <v>15</v>
      </c>
      <c r="B123" t="s">
        <v>153</v>
      </c>
      <c r="C123">
        <v>0</v>
      </c>
      <c r="D123">
        <v>0</v>
      </c>
      <c r="E123">
        <v>0</v>
      </c>
      <c r="F123">
        <v>0</v>
      </c>
    </row>
    <row r="124" spans="1:6" x14ac:dyDescent="0.3">
      <c r="A124" t="s">
        <v>15</v>
      </c>
      <c r="B124" t="s">
        <v>154</v>
      </c>
      <c r="C124">
        <v>0</v>
      </c>
      <c r="D124">
        <v>0</v>
      </c>
      <c r="E124">
        <v>0</v>
      </c>
      <c r="F124">
        <v>0</v>
      </c>
    </row>
    <row r="125" spans="1:6" x14ac:dyDescent="0.3">
      <c r="A125" t="s">
        <v>16</v>
      </c>
      <c r="B125" t="s">
        <v>155</v>
      </c>
      <c r="C125">
        <v>17.859000000000002</v>
      </c>
      <c r="D125">
        <v>15.019</v>
      </c>
      <c r="E125">
        <v>7.9790000000000001</v>
      </c>
      <c r="F125">
        <v>7.367</v>
      </c>
    </row>
    <row r="126" spans="1:6" x14ac:dyDescent="0.3">
      <c r="A126" t="s">
        <v>16</v>
      </c>
      <c r="B126" t="s">
        <v>156</v>
      </c>
      <c r="C126">
        <v>0</v>
      </c>
      <c r="D126">
        <v>0</v>
      </c>
      <c r="E126">
        <v>0</v>
      </c>
      <c r="F126">
        <v>0</v>
      </c>
    </row>
    <row r="127" spans="1:6" x14ac:dyDescent="0.3">
      <c r="A127" t="s">
        <v>17</v>
      </c>
      <c r="B127" t="s">
        <v>157</v>
      </c>
      <c r="C127">
        <v>16.885000000000002</v>
      </c>
      <c r="D127">
        <v>16.181000000000001</v>
      </c>
      <c r="E127">
        <v>15.865</v>
      </c>
      <c r="F127">
        <v>14.566000000000001</v>
      </c>
    </row>
    <row r="128" spans="1:6" x14ac:dyDescent="0.3">
      <c r="A128" t="s">
        <v>17</v>
      </c>
      <c r="B128" t="s">
        <v>158</v>
      </c>
      <c r="C128">
        <v>0</v>
      </c>
      <c r="D128">
        <v>0</v>
      </c>
      <c r="E128">
        <v>0</v>
      </c>
      <c r="F128">
        <v>0</v>
      </c>
    </row>
    <row r="129" spans="1:6" x14ac:dyDescent="0.3">
      <c r="A129" t="s">
        <v>18</v>
      </c>
      <c r="B129" t="s">
        <v>159</v>
      </c>
      <c r="C129">
        <v>2.0483233999999999E-2</v>
      </c>
      <c r="D129">
        <v>1.6736925E-2</v>
      </c>
      <c r="E129">
        <v>1.5661181E-2</v>
      </c>
      <c r="F129">
        <v>1.6352682E-2</v>
      </c>
    </row>
    <row r="130" spans="1:6" x14ac:dyDescent="0.3">
      <c r="A130" t="s">
        <v>18</v>
      </c>
      <c r="B130" t="s">
        <v>160</v>
      </c>
      <c r="C130">
        <v>0.20251676599999999</v>
      </c>
      <c r="D130">
        <v>0.17426307499999999</v>
      </c>
      <c r="E130">
        <v>0.14633881900000001</v>
      </c>
      <c r="F130">
        <v>0.15964731800000001</v>
      </c>
    </row>
    <row r="131" spans="1:6" x14ac:dyDescent="0.3">
      <c r="A131" t="s">
        <v>19</v>
      </c>
      <c r="B131" t="s">
        <v>161</v>
      </c>
      <c r="C131">
        <v>1.529522432</v>
      </c>
      <c r="D131">
        <v>1.4490927840000001</v>
      </c>
      <c r="E131">
        <v>1.4318839269999999</v>
      </c>
      <c r="F131">
        <v>1.393182557</v>
      </c>
    </row>
    <row r="132" spans="1:6" x14ac:dyDescent="0.3">
      <c r="A132" t="s">
        <v>19</v>
      </c>
      <c r="B132" t="s">
        <v>162</v>
      </c>
      <c r="C132">
        <v>9.0544775679999994</v>
      </c>
      <c r="D132">
        <v>9.1759072160000006</v>
      </c>
      <c r="E132">
        <v>10.163116069999999</v>
      </c>
      <c r="F132">
        <v>9.9538174430000002</v>
      </c>
    </row>
    <row r="133" spans="1:6" x14ac:dyDescent="0.3">
      <c r="A133" t="s">
        <v>20</v>
      </c>
      <c r="B133" t="s">
        <v>163</v>
      </c>
      <c r="C133">
        <v>0</v>
      </c>
      <c r="D133">
        <v>0</v>
      </c>
      <c r="E133">
        <v>0</v>
      </c>
      <c r="F133">
        <v>0</v>
      </c>
    </row>
    <row r="134" spans="1:6" x14ac:dyDescent="0.3">
      <c r="A134" t="s">
        <v>20</v>
      </c>
      <c r="B134" t="s">
        <v>164</v>
      </c>
      <c r="C134">
        <v>0</v>
      </c>
      <c r="D134">
        <v>0</v>
      </c>
      <c r="E134">
        <v>0</v>
      </c>
      <c r="F134">
        <v>0</v>
      </c>
    </row>
    <row r="135" spans="1:6" x14ac:dyDescent="0.3">
      <c r="A135" t="s">
        <v>21</v>
      </c>
      <c r="B135" t="s">
        <v>165</v>
      </c>
      <c r="C135">
        <v>0.61834081399999996</v>
      </c>
      <c r="D135">
        <v>0.54880269599999998</v>
      </c>
      <c r="E135">
        <v>0.56756298400000005</v>
      </c>
      <c r="F135">
        <v>0.57936555599999995</v>
      </c>
    </row>
    <row r="136" spans="1:6" x14ac:dyDescent="0.3">
      <c r="A136" t="s">
        <v>21</v>
      </c>
      <c r="B136" t="s">
        <v>166</v>
      </c>
      <c r="C136">
        <v>6.4046591859999999</v>
      </c>
      <c r="D136">
        <v>6.531197304</v>
      </c>
      <c r="E136">
        <v>6.0974370159999998</v>
      </c>
      <c r="F136">
        <v>6.6086344439999998</v>
      </c>
    </row>
    <row r="137" spans="1:6" x14ac:dyDescent="0.3">
      <c r="A137" t="s">
        <v>22</v>
      </c>
      <c r="B137" t="s">
        <v>167</v>
      </c>
      <c r="C137">
        <v>13.36249389</v>
      </c>
      <c r="D137">
        <v>13.24944313</v>
      </c>
      <c r="E137">
        <v>10.400831419999999</v>
      </c>
      <c r="F137">
        <v>11.661714119999999</v>
      </c>
    </row>
    <row r="138" spans="1:6" x14ac:dyDescent="0.3">
      <c r="A138" t="s">
        <v>22</v>
      </c>
      <c r="B138" t="s">
        <v>168</v>
      </c>
      <c r="C138">
        <v>46.025506110000002</v>
      </c>
      <c r="D138">
        <v>41.33455687</v>
      </c>
      <c r="E138">
        <v>40.695168580000001</v>
      </c>
      <c r="F138">
        <v>42.725285880000001</v>
      </c>
    </row>
    <row r="139" spans="1:6" x14ac:dyDescent="0.3">
      <c r="A139" t="s">
        <v>23</v>
      </c>
      <c r="B139" t="s">
        <v>74</v>
      </c>
      <c r="C139">
        <v>0.67190616400000003</v>
      </c>
      <c r="D139">
        <v>0.77376789800000001</v>
      </c>
      <c r="E139">
        <v>0.60141164999999996</v>
      </c>
      <c r="F139">
        <v>0.64345041000000003</v>
      </c>
    </row>
    <row r="140" spans="1:6" x14ac:dyDescent="0.3">
      <c r="A140" t="s">
        <v>23</v>
      </c>
      <c r="B140" t="s">
        <v>75</v>
      </c>
      <c r="C140">
        <v>2.093093836</v>
      </c>
      <c r="D140">
        <v>1.704232102</v>
      </c>
      <c r="E140">
        <v>1.7005883500000001</v>
      </c>
      <c r="F140">
        <v>1.23754959</v>
      </c>
    </row>
    <row r="141" spans="1:6" x14ac:dyDescent="0.3">
      <c r="A141" t="s">
        <v>24</v>
      </c>
      <c r="B141" t="s">
        <v>169</v>
      </c>
      <c r="C141">
        <v>3.277500855</v>
      </c>
      <c r="D141">
        <v>3.8191573189999999</v>
      </c>
      <c r="E141">
        <v>3.0215437770000002</v>
      </c>
      <c r="F141">
        <v>3.4425962929999998</v>
      </c>
    </row>
    <row r="142" spans="1:6" x14ac:dyDescent="0.3">
      <c r="A142" t="s">
        <v>24</v>
      </c>
      <c r="B142" t="s">
        <v>170</v>
      </c>
      <c r="C142">
        <v>9.7984991449999992</v>
      </c>
      <c r="D142">
        <v>9.4928426810000008</v>
      </c>
      <c r="E142">
        <v>9.2694562230000006</v>
      </c>
      <c r="F142">
        <v>10.182403710000001</v>
      </c>
    </row>
    <row r="143" spans="1:6" x14ac:dyDescent="0.3">
      <c r="A143" t="s">
        <v>25</v>
      </c>
      <c r="B143" t="s">
        <v>171</v>
      </c>
      <c r="C143">
        <v>0.60646552099999995</v>
      </c>
      <c r="D143">
        <v>0.527140202</v>
      </c>
      <c r="E143">
        <v>0.38346153399999999</v>
      </c>
      <c r="F143">
        <v>0.36397405700000002</v>
      </c>
    </row>
    <row r="144" spans="1:6" x14ac:dyDescent="0.3">
      <c r="A144" t="s">
        <v>25</v>
      </c>
      <c r="B144" t="s">
        <v>172</v>
      </c>
      <c r="C144">
        <v>4.5445344790000002</v>
      </c>
      <c r="D144">
        <v>4.7648597979999998</v>
      </c>
      <c r="E144">
        <v>4.3425384659999997</v>
      </c>
      <c r="F144">
        <v>4.5730259430000002</v>
      </c>
    </row>
    <row r="145" spans="1:54" x14ac:dyDescent="0.3">
      <c r="A145" t="s">
        <v>26</v>
      </c>
      <c r="B145" t="s">
        <v>173</v>
      </c>
      <c r="C145">
        <v>0</v>
      </c>
      <c r="D145">
        <v>0</v>
      </c>
      <c r="E145">
        <v>0</v>
      </c>
      <c r="F145">
        <v>0</v>
      </c>
    </row>
    <row r="146" spans="1:54" x14ac:dyDescent="0.3">
      <c r="A146" t="s">
        <v>26</v>
      </c>
      <c r="B146" t="s">
        <v>174</v>
      </c>
      <c r="C146">
        <v>8.3729999999999993</v>
      </c>
      <c r="D146">
        <v>8.1340000000000003</v>
      </c>
      <c r="E146">
        <v>6.9080000000000004</v>
      </c>
      <c r="F146">
        <v>8.19</v>
      </c>
    </row>
    <row r="147" spans="1:54" x14ac:dyDescent="0.3">
      <c r="A147" t="s">
        <v>27</v>
      </c>
      <c r="B147" t="s">
        <v>175</v>
      </c>
      <c r="C147">
        <v>2.8279982609999998</v>
      </c>
      <c r="D147">
        <v>2.624639116</v>
      </c>
      <c r="E147">
        <v>2.4791874279999999</v>
      </c>
      <c r="F147">
        <v>3.0677495050000001</v>
      </c>
    </row>
    <row r="148" spans="1:54" x14ac:dyDescent="0.3">
      <c r="A148" t="s">
        <v>27</v>
      </c>
      <c r="B148" t="s">
        <v>176</v>
      </c>
      <c r="C148">
        <v>8.3470017389999995</v>
      </c>
      <c r="D148">
        <v>7.6463608839999999</v>
      </c>
      <c r="E148">
        <v>7.6578125720000001</v>
      </c>
      <c r="F148">
        <v>7.6822504949999999</v>
      </c>
    </row>
    <row r="149" spans="1:54" x14ac:dyDescent="0.3">
      <c r="A149" t="s">
        <v>28</v>
      </c>
      <c r="B149" t="s">
        <v>177</v>
      </c>
      <c r="C149">
        <v>1.4139225959999999</v>
      </c>
      <c r="D149">
        <v>1.3580907710000001</v>
      </c>
      <c r="E149">
        <v>1.1737306160000001</v>
      </c>
      <c r="F149">
        <v>0.84809698700000002</v>
      </c>
    </row>
    <row r="150" spans="1:54" x14ac:dyDescent="0.3">
      <c r="A150" t="s">
        <v>28</v>
      </c>
      <c r="B150" t="s">
        <v>178</v>
      </c>
      <c r="C150">
        <v>21.380077400000001</v>
      </c>
      <c r="D150">
        <v>20.863909230000001</v>
      </c>
      <c r="E150">
        <v>20.920269380000001</v>
      </c>
      <c r="F150">
        <v>22.60090301</v>
      </c>
    </row>
    <row r="154" spans="1:54" x14ac:dyDescent="0.3">
      <c r="A154" s="1" t="s">
        <v>126</v>
      </c>
    </row>
    <row r="155" spans="1:54" x14ac:dyDescent="0.3">
      <c r="A155" t="s">
        <v>87</v>
      </c>
      <c r="B155" s="1">
        <v>2018</v>
      </c>
      <c r="C155" s="1">
        <v>2019</v>
      </c>
      <c r="D155" s="1">
        <v>2020</v>
      </c>
      <c r="E155" s="1">
        <v>2021</v>
      </c>
      <c r="F155" s="1">
        <v>2022</v>
      </c>
      <c r="G155" s="1">
        <v>2023</v>
      </c>
      <c r="H155" s="1">
        <v>2024</v>
      </c>
      <c r="I155" s="1">
        <v>2025</v>
      </c>
      <c r="J155" s="1">
        <v>2026</v>
      </c>
      <c r="K155" s="1">
        <v>2027</v>
      </c>
      <c r="L155" s="1">
        <v>2028</v>
      </c>
      <c r="M155" s="1">
        <v>2029</v>
      </c>
      <c r="N155" s="1">
        <v>2030</v>
      </c>
      <c r="O155" s="1">
        <v>2031</v>
      </c>
      <c r="P155" s="1">
        <v>2032</v>
      </c>
      <c r="Q155" s="1">
        <v>2033</v>
      </c>
      <c r="R155" s="1">
        <v>2034</v>
      </c>
      <c r="S155" s="1">
        <v>2035</v>
      </c>
      <c r="T155" s="1">
        <v>2036</v>
      </c>
      <c r="U155" s="1">
        <v>2037</v>
      </c>
      <c r="V155" s="1">
        <v>2038</v>
      </c>
      <c r="W155" s="1">
        <v>2039</v>
      </c>
      <c r="X155" s="1">
        <v>2040</v>
      </c>
      <c r="Y155" s="1">
        <v>2041</v>
      </c>
      <c r="Z155" s="1">
        <v>2042</v>
      </c>
      <c r="AA155" s="1">
        <v>2043</v>
      </c>
      <c r="AB155" s="1">
        <v>2044</v>
      </c>
      <c r="AC155" s="1">
        <v>2045</v>
      </c>
      <c r="AD155" s="1">
        <v>2046</v>
      </c>
      <c r="AE155" s="1">
        <v>2047</v>
      </c>
      <c r="AF155" s="1">
        <v>2048</v>
      </c>
      <c r="AG155" s="1">
        <v>2049</v>
      </c>
      <c r="AH155" s="1">
        <v>2050</v>
      </c>
      <c r="AI155" s="1">
        <v>2051</v>
      </c>
      <c r="AJ155" s="1">
        <v>2052</v>
      </c>
      <c r="AK155" s="1">
        <v>2053</v>
      </c>
      <c r="AL155" s="1">
        <v>2054</v>
      </c>
      <c r="AM155" s="1">
        <v>2055</v>
      </c>
      <c r="AN155" s="1">
        <v>2056</v>
      </c>
      <c r="AO155" s="1">
        <v>2057</v>
      </c>
      <c r="AP155" s="1">
        <v>2058</v>
      </c>
      <c r="AQ155" s="1">
        <v>2059</v>
      </c>
      <c r="AR155" s="1">
        <v>2060</v>
      </c>
      <c r="AS155" s="1">
        <v>2061</v>
      </c>
      <c r="AT155" s="1">
        <v>2062</v>
      </c>
      <c r="AU155" s="1">
        <v>2063</v>
      </c>
      <c r="AV155" s="1">
        <v>2064</v>
      </c>
      <c r="AW155" s="1">
        <v>2065</v>
      </c>
      <c r="AX155" s="1">
        <v>2066</v>
      </c>
      <c r="AY155" s="1">
        <v>2067</v>
      </c>
      <c r="AZ155" s="1">
        <v>2068</v>
      </c>
      <c r="BA155" s="1">
        <v>2069</v>
      </c>
      <c r="BB155" s="1">
        <v>2070</v>
      </c>
    </row>
    <row r="156" spans="1:54" x14ac:dyDescent="0.3">
      <c r="A156" t="s">
        <v>2</v>
      </c>
      <c r="B156">
        <v>21.996000004999999</v>
      </c>
      <c r="C156">
        <v>21.736000004999998</v>
      </c>
      <c r="D156">
        <v>20.497999999999998</v>
      </c>
      <c r="E156">
        <v>21.779</v>
      </c>
      <c r="F156" s="6">
        <f>E156*('Rail EU Ref'!H37/'Rail EU Ref'!G37)</f>
        <v>22.590590704179334</v>
      </c>
      <c r="G156" s="6">
        <f>F156*('Rail EU Ref'!I37/'Rail EU Ref'!H37)</f>
        <v>23.402181408358668</v>
      </c>
      <c r="H156" s="6">
        <f>G156*('Rail EU Ref'!J37/'Rail EU Ref'!I37)</f>
        <v>24.213772112538003</v>
      </c>
      <c r="I156" s="6">
        <f>H156*('Rail EU Ref'!K37/'Rail EU Ref'!J37)</f>
        <v>25.025362816717344</v>
      </c>
      <c r="J156" s="6">
        <f>I156*('Rail EU Ref'!L37/'Rail EU Ref'!K37)</f>
        <v>25.695344037882489</v>
      </c>
      <c r="K156" s="6">
        <f>J156*('Rail EU Ref'!M37/'Rail EU Ref'!L37)</f>
        <v>26.365325259047637</v>
      </c>
      <c r="L156" s="6">
        <f>K156*('Rail EU Ref'!N37/'Rail EU Ref'!M37)</f>
        <v>27.035306480212778</v>
      </c>
      <c r="M156" s="6">
        <f>L156*('Rail EU Ref'!O37/'Rail EU Ref'!N37)</f>
        <v>27.705287701377927</v>
      </c>
      <c r="N156" s="6">
        <f>M156*('Rail EU Ref'!P37/'Rail EU Ref'!O37)</f>
        <v>28.375268922543071</v>
      </c>
      <c r="O156" s="6">
        <f>N156*('Rail EU Ref'!Q37/'Rail EU Ref'!P37)</f>
        <v>28.964700625899081</v>
      </c>
      <c r="P156" s="6">
        <f>O156*('Rail EU Ref'!R37/'Rail EU Ref'!Q37)</f>
        <v>29.554132329255093</v>
      </c>
      <c r="Q156" s="6">
        <f>P156*('Rail EU Ref'!S37/'Rail EU Ref'!R37)</f>
        <v>30.143564032611103</v>
      </c>
      <c r="R156" s="6">
        <f>Q156*('Rail EU Ref'!T37/'Rail EU Ref'!S37)</f>
        <v>30.732995735967112</v>
      </c>
      <c r="S156" s="6">
        <f>R156*('Rail EU Ref'!U37/'Rail EU Ref'!T37)</f>
        <v>31.322427439323132</v>
      </c>
      <c r="T156" s="6">
        <f>S156*('Rail EU Ref'!V37/'Rail EU Ref'!U37)</f>
        <v>31.912729233943562</v>
      </c>
      <c r="U156" s="6">
        <f>T156*('Rail EU Ref'!W37/'Rail EU Ref'!V37)</f>
        <v>32.503031028563996</v>
      </c>
      <c r="V156" s="6">
        <f>U156*('Rail EU Ref'!X37/'Rail EU Ref'!W37)</f>
        <v>33.093332823184426</v>
      </c>
      <c r="W156" s="6">
        <f>V156*('Rail EU Ref'!Y37/'Rail EU Ref'!X37)</f>
        <v>33.683634617804856</v>
      </c>
      <c r="X156" s="6">
        <f>W156*('Rail EU Ref'!Z37/'Rail EU Ref'!Y37)</f>
        <v>34.273936412425293</v>
      </c>
      <c r="Y156" s="6">
        <f>X156*('Rail EU Ref'!AA37/'Rail EU Ref'!Z37)</f>
        <v>34.796874174438841</v>
      </c>
      <c r="Z156" s="6">
        <f>Y156*('Rail EU Ref'!AB37/'Rail EU Ref'!AA37)</f>
        <v>35.319811936452389</v>
      </c>
      <c r="AA156" s="6">
        <f>Z156*('Rail EU Ref'!AC37/'Rail EU Ref'!AB37)</f>
        <v>35.84274969846593</v>
      </c>
      <c r="AB156" s="6">
        <f>AA156*('Rail EU Ref'!AD37/'Rail EU Ref'!AC37)</f>
        <v>36.365687460479478</v>
      </c>
      <c r="AC156" s="6">
        <f>AB156*('Rail EU Ref'!AE37/'Rail EU Ref'!AD37)</f>
        <v>36.88862522249304</v>
      </c>
      <c r="AD156" s="6">
        <f>AC156*('Rail EU Ref'!AF37/'Rail EU Ref'!AE37)</f>
        <v>37.349230850561746</v>
      </c>
      <c r="AE156" s="6">
        <f>AD156*('Rail EU Ref'!AG37/'Rail EU Ref'!AF37)</f>
        <v>37.809836478630444</v>
      </c>
      <c r="AF156" s="6">
        <f>AE156*('Rail EU Ref'!AH37/'Rail EU Ref'!AG37)</f>
        <v>38.270442106699143</v>
      </c>
      <c r="AG156" s="6">
        <f>AF156*('Rail EU Ref'!AI37/'Rail EU Ref'!AH37)</f>
        <v>38.731047734767849</v>
      </c>
      <c r="AH156" s="6">
        <f>AG156*('Rail EU Ref'!AJ37/'Rail EU Ref'!AI37)</f>
        <v>39.19165336283654</v>
      </c>
      <c r="AI156" s="7">
        <f>AH156</f>
        <v>39.19165336283654</v>
      </c>
      <c r="AJ156" s="7">
        <f t="shared" ref="AJ156:BB156" si="28">AI156</f>
        <v>39.19165336283654</v>
      </c>
      <c r="AK156" s="7">
        <f t="shared" si="28"/>
        <v>39.19165336283654</v>
      </c>
      <c r="AL156" s="7">
        <f t="shared" si="28"/>
        <v>39.19165336283654</v>
      </c>
      <c r="AM156" s="7">
        <f t="shared" si="28"/>
        <v>39.19165336283654</v>
      </c>
      <c r="AN156" s="7">
        <f t="shared" si="28"/>
        <v>39.19165336283654</v>
      </c>
      <c r="AO156" s="7">
        <f t="shared" si="28"/>
        <v>39.19165336283654</v>
      </c>
      <c r="AP156" s="7">
        <f t="shared" si="28"/>
        <v>39.19165336283654</v>
      </c>
      <c r="AQ156" s="7">
        <f t="shared" si="28"/>
        <v>39.19165336283654</v>
      </c>
      <c r="AR156" s="7">
        <f t="shared" si="28"/>
        <v>39.19165336283654</v>
      </c>
      <c r="AS156" s="7">
        <f t="shared" si="28"/>
        <v>39.19165336283654</v>
      </c>
      <c r="AT156" s="7">
        <f t="shared" si="28"/>
        <v>39.19165336283654</v>
      </c>
      <c r="AU156" s="7">
        <f t="shared" si="28"/>
        <v>39.19165336283654</v>
      </c>
      <c r="AV156" s="7">
        <f t="shared" si="28"/>
        <v>39.19165336283654</v>
      </c>
      <c r="AW156" s="7">
        <f t="shared" si="28"/>
        <v>39.19165336283654</v>
      </c>
      <c r="AX156" s="7">
        <f t="shared" si="28"/>
        <v>39.19165336283654</v>
      </c>
      <c r="AY156" s="7">
        <f t="shared" si="28"/>
        <v>39.19165336283654</v>
      </c>
      <c r="AZ156" s="7">
        <f t="shared" si="28"/>
        <v>39.19165336283654</v>
      </c>
      <c r="BA156" s="7">
        <f t="shared" si="28"/>
        <v>39.19165336283654</v>
      </c>
      <c r="BB156" s="7">
        <f t="shared" si="28"/>
        <v>39.19165336283654</v>
      </c>
    </row>
    <row r="157" spans="1:54" x14ac:dyDescent="0.3">
      <c r="A157" t="s">
        <v>4</v>
      </c>
      <c r="B157">
        <v>7.5</v>
      </c>
      <c r="C157">
        <v>7.4</v>
      </c>
      <c r="D157">
        <v>6.6999999999999993</v>
      </c>
      <c r="E157">
        <v>6.7699825460000005</v>
      </c>
      <c r="F157" s="6">
        <f>E157*('Rail EU Ref'!H38/'Rail EU Ref'!G38)</f>
        <v>7.1262835609123965</v>
      </c>
      <c r="G157" s="6">
        <f>F157*('Rail EU Ref'!I38/'Rail EU Ref'!H38)</f>
        <v>7.4825845758247933</v>
      </c>
      <c r="H157" s="6">
        <f>G157*('Rail EU Ref'!J38/'Rail EU Ref'!I38)</f>
        <v>7.8388855907371884</v>
      </c>
      <c r="I157" s="6">
        <f>H157*('Rail EU Ref'!K38/'Rail EU Ref'!J38)</f>
        <v>8.1951866056495852</v>
      </c>
      <c r="J157" s="6">
        <f>I157*('Rail EU Ref'!L38/'Rail EU Ref'!K38)</f>
        <v>8.4778679027708392</v>
      </c>
      <c r="K157" s="6">
        <f>J157*('Rail EU Ref'!M38/'Rail EU Ref'!L38)</f>
        <v>8.7605491998920932</v>
      </c>
      <c r="L157" s="6">
        <f>K157*('Rail EU Ref'!N38/'Rail EU Ref'!M38)</f>
        <v>9.0432304970133472</v>
      </c>
      <c r="M157" s="6">
        <f>L157*('Rail EU Ref'!O38/'Rail EU Ref'!N38)</f>
        <v>9.3259117941346013</v>
      </c>
      <c r="N157" s="6">
        <f>M157*('Rail EU Ref'!P38/'Rail EU Ref'!O38)</f>
        <v>9.6085930912558535</v>
      </c>
      <c r="O157" s="6">
        <f>N157*('Rail EU Ref'!Q38/'Rail EU Ref'!P38)</f>
        <v>9.8008059390232134</v>
      </c>
      <c r="P157" s="6">
        <f>O157*('Rail EU Ref'!R38/'Rail EU Ref'!Q38)</f>
        <v>9.9930187867905733</v>
      </c>
      <c r="Q157" s="6">
        <f>P157*('Rail EU Ref'!S38/'Rail EU Ref'!R38)</f>
        <v>10.185231634557933</v>
      </c>
      <c r="R157" s="6">
        <f>Q157*('Rail EU Ref'!T38/'Rail EU Ref'!S38)</f>
        <v>10.377444482325291</v>
      </c>
      <c r="S157" s="6">
        <f>R157*('Rail EU Ref'!U38/'Rail EU Ref'!T38)</f>
        <v>10.569657330092651</v>
      </c>
      <c r="T157" s="6">
        <f>S157*('Rail EU Ref'!V38/'Rail EU Ref'!U38)</f>
        <v>10.718207164136235</v>
      </c>
      <c r="U157" s="6">
        <f>T157*('Rail EU Ref'!W38/'Rail EU Ref'!V38)</f>
        <v>10.866756998179818</v>
      </c>
      <c r="V157" s="6">
        <f>U157*('Rail EU Ref'!X38/'Rail EU Ref'!W38)</f>
        <v>11.015306832223402</v>
      </c>
      <c r="W157" s="6">
        <f>V157*('Rail EU Ref'!Y38/'Rail EU Ref'!X38)</f>
        <v>11.163856666266986</v>
      </c>
      <c r="X157" s="6">
        <f>W157*('Rail EU Ref'!Z38/'Rail EU Ref'!Y38)</f>
        <v>11.312406500310567</v>
      </c>
      <c r="Y157" s="6">
        <f>X157*('Rail EU Ref'!AA38/'Rail EU Ref'!Z38)</f>
        <v>11.480815612826278</v>
      </c>
      <c r="Z157" s="6">
        <f>Y157*('Rail EU Ref'!AB38/'Rail EU Ref'!AA38)</f>
        <v>11.649224725341989</v>
      </c>
      <c r="AA157" s="6">
        <f>Z157*('Rail EU Ref'!AC38/'Rail EU Ref'!AB38)</f>
        <v>11.8176338378577</v>
      </c>
      <c r="AB157" s="6">
        <f>AA157*('Rail EU Ref'!AD38/'Rail EU Ref'!AC38)</f>
        <v>11.986042950373411</v>
      </c>
      <c r="AC157" s="6">
        <f>AB157*('Rail EU Ref'!AE38/'Rail EU Ref'!AD38)</f>
        <v>12.154452062889121</v>
      </c>
      <c r="AD157" s="6">
        <f>AC157*('Rail EU Ref'!AF38/'Rail EU Ref'!AE38)</f>
        <v>12.324422747072973</v>
      </c>
      <c r="AE157" s="6">
        <f>AD157*('Rail EU Ref'!AG38/'Rail EU Ref'!AF38)</f>
        <v>12.494393431256823</v>
      </c>
      <c r="AF157" s="6">
        <f>AE157*('Rail EU Ref'!AH38/'Rail EU Ref'!AG38)</f>
        <v>12.664364115440673</v>
      </c>
      <c r="AG157" s="6">
        <f>AF157*('Rail EU Ref'!AI38/'Rail EU Ref'!AH38)</f>
        <v>12.834334799624525</v>
      </c>
      <c r="AH157" s="6">
        <f>AG157*('Rail EU Ref'!AJ38/'Rail EU Ref'!AI38)</f>
        <v>13.004305483808377</v>
      </c>
      <c r="AI157" s="7">
        <f t="shared" ref="AI157:BB157" si="29">AH157</f>
        <v>13.004305483808377</v>
      </c>
      <c r="AJ157" s="7">
        <f t="shared" si="29"/>
        <v>13.004305483808377</v>
      </c>
      <c r="AK157" s="7">
        <f t="shared" si="29"/>
        <v>13.004305483808377</v>
      </c>
      <c r="AL157" s="7">
        <f t="shared" si="29"/>
        <v>13.004305483808377</v>
      </c>
      <c r="AM157" s="7">
        <f t="shared" si="29"/>
        <v>13.004305483808377</v>
      </c>
      <c r="AN157" s="7">
        <f t="shared" si="29"/>
        <v>13.004305483808377</v>
      </c>
      <c r="AO157" s="7">
        <f t="shared" si="29"/>
        <v>13.004305483808377</v>
      </c>
      <c r="AP157" s="7">
        <f t="shared" si="29"/>
        <v>13.004305483808377</v>
      </c>
      <c r="AQ157" s="7">
        <f t="shared" si="29"/>
        <v>13.004305483808377</v>
      </c>
      <c r="AR157" s="7">
        <f t="shared" si="29"/>
        <v>13.004305483808377</v>
      </c>
      <c r="AS157" s="7">
        <f t="shared" si="29"/>
        <v>13.004305483808377</v>
      </c>
      <c r="AT157" s="7">
        <f t="shared" si="29"/>
        <v>13.004305483808377</v>
      </c>
      <c r="AU157" s="7">
        <f t="shared" si="29"/>
        <v>13.004305483808377</v>
      </c>
      <c r="AV157" s="7">
        <f t="shared" si="29"/>
        <v>13.004305483808377</v>
      </c>
      <c r="AW157" s="7">
        <f t="shared" si="29"/>
        <v>13.004305483808377</v>
      </c>
      <c r="AX157" s="7">
        <f t="shared" si="29"/>
        <v>13.004305483808377</v>
      </c>
      <c r="AY157" s="7">
        <f t="shared" si="29"/>
        <v>13.004305483808377</v>
      </c>
      <c r="AZ157" s="7">
        <f t="shared" si="29"/>
        <v>13.004305483808377</v>
      </c>
      <c r="BA157" s="7">
        <f t="shared" si="29"/>
        <v>13.004305483808377</v>
      </c>
      <c r="BB157" s="7">
        <f t="shared" si="29"/>
        <v>13.004305483808377</v>
      </c>
    </row>
    <row r="158" spans="1:54" x14ac:dyDescent="0.3">
      <c r="A158" t="s">
        <v>3</v>
      </c>
      <c r="B158">
        <v>3.8239999999999998</v>
      </c>
      <c r="C158">
        <v>3.9019999999999997</v>
      </c>
      <c r="D158">
        <v>4.5030000000000001</v>
      </c>
      <c r="E158">
        <v>4.657</v>
      </c>
      <c r="F158" s="6">
        <f>E158*('Rail EU Ref'!H39/'Rail EU Ref'!G39)</f>
        <v>4.8527863926557799</v>
      </c>
      <c r="G158" s="6">
        <f>F158*('Rail EU Ref'!I39/'Rail EU Ref'!H39)</f>
        <v>5.0485727853115598</v>
      </c>
      <c r="H158" s="6">
        <f>G158*('Rail EU Ref'!J39/'Rail EU Ref'!I39)</f>
        <v>5.2443591779673397</v>
      </c>
      <c r="I158" s="6">
        <f>H158*('Rail EU Ref'!K39/'Rail EU Ref'!J39)</f>
        <v>5.4401455706231214</v>
      </c>
      <c r="J158" s="6">
        <f>I158*('Rail EU Ref'!L39/'Rail EU Ref'!K39)</f>
        <v>5.603920010942903</v>
      </c>
      <c r="K158" s="6">
        <f>J158*('Rail EU Ref'!M39/'Rail EU Ref'!L39)</f>
        <v>5.7676944512626847</v>
      </c>
      <c r="L158" s="6">
        <f>K158*('Rail EU Ref'!N39/'Rail EU Ref'!M39)</f>
        <v>5.9314688915824663</v>
      </c>
      <c r="M158" s="6">
        <f>L158*('Rail EU Ref'!O39/'Rail EU Ref'!N39)</f>
        <v>6.0952433319022479</v>
      </c>
      <c r="N158" s="6">
        <f>M158*('Rail EU Ref'!P39/'Rail EU Ref'!O39)</f>
        <v>6.2590177722220295</v>
      </c>
      <c r="O158" s="6">
        <f>N158*('Rail EU Ref'!Q39/'Rail EU Ref'!P39)</f>
        <v>6.402041884740699</v>
      </c>
      <c r="P158" s="6">
        <f>O158*('Rail EU Ref'!R39/'Rail EU Ref'!Q39)</f>
        <v>6.5450659972593694</v>
      </c>
      <c r="Q158" s="6">
        <f>P158*('Rail EU Ref'!S39/'Rail EU Ref'!R39)</f>
        <v>6.688090109778039</v>
      </c>
      <c r="R158" s="6">
        <f>Q158*('Rail EU Ref'!T39/'Rail EU Ref'!S39)</f>
        <v>6.8311142222967094</v>
      </c>
      <c r="S158" s="6">
        <f>R158*('Rail EU Ref'!U39/'Rail EU Ref'!T39)</f>
        <v>6.9741383348153816</v>
      </c>
      <c r="T158" s="6">
        <f>S158*('Rail EU Ref'!V39/'Rail EU Ref'!U39)</f>
        <v>7.1536522156828202</v>
      </c>
      <c r="U158" s="6">
        <f>T158*('Rail EU Ref'!W39/'Rail EU Ref'!V39)</f>
        <v>7.3331660965502579</v>
      </c>
      <c r="V158" s="6">
        <f>U158*('Rail EU Ref'!X39/'Rail EU Ref'!W39)</f>
        <v>7.5126799774176964</v>
      </c>
      <c r="W158" s="6">
        <f>V158*('Rail EU Ref'!Y39/'Rail EU Ref'!X39)</f>
        <v>7.692193858285135</v>
      </c>
      <c r="X158" s="6">
        <f>W158*('Rail EU Ref'!Z39/'Rail EU Ref'!Y39)</f>
        <v>7.8717077391525727</v>
      </c>
      <c r="Y158" s="6">
        <f>X158*('Rail EU Ref'!AA39/'Rail EU Ref'!Z39)</f>
        <v>8.0049064461302954</v>
      </c>
      <c r="Z158" s="6">
        <f>Y158*('Rail EU Ref'!AB39/'Rail EU Ref'!AA39)</f>
        <v>8.1381051531080182</v>
      </c>
      <c r="AA158" s="6">
        <f>Z158*('Rail EU Ref'!AC39/'Rail EU Ref'!AB39)</f>
        <v>8.2713038600857409</v>
      </c>
      <c r="AB158" s="6">
        <f>AA158*('Rail EU Ref'!AD39/'Rail EU Ref'!AC39)</f>
        <v>8.4045025670634637</v>
      </c>
      <c r="AC158" s="6">
        <f>AB158*('Rail EU Ref'!AE39/'Rail EU Ref'!AD39)</f>
        <v>8.5377012740411864</v>
      </c>
      <c r="AD158" s="6">
        <f>AC158*('Rail EU Ref'!AF39/'Rail EU Ref'!AE39)</f>
        <v>8.6772524163762679</v>
      </c>
      <c r="AE158" s="6">
        <f>AD158*('Rail EU Ref'!AG39/'Rail EU Ref'!AF39)</f>
        <v>8.8168035587113494</v>
      </c>
      <c r="AF158" s="6">
        <f>AE158*('Rail EU Ref'!AH39/'Rail EU Ref'!AG39)</f>
        <v>8.9563547010464308</v>
      </c>
      <c r="AG158" s="6">
        <f>AF158*('Rail EU Ref'!AI39/'Rail EU Ref'!AH39)</f>
        <v>9.0959058433815123</v>
      </c>
      <c r="AH158" s="6">
        <f>AG158*('Rail EU Ref'!AJ39/'Rail EU Ref'!AI39)</f>
        <v>9.235456985716592</v>
      </c>
      <c r="AI158" s="7">
        <f t="shared" ref="AI158:BB158" si="30">AH158</f>
        <v>9.235456985716592</v>
      </c>
      <c r="AJ158" s="7">
        <f t="shared" si="30"/>
        <v>9.235456985716592</v>
      </c>
      <c r="AK158" s="7">
        <f t="shared" si="30"/>
        <v>9.235456985716592</v>
      </c>
      <c r="AL158" s="7">
        <f t="shared" si="30"/>
        <v>9.235456985716592</v>
      </c>
      <c r="AM158" s="7">
        <f t="shared" si="30"/>
        <v>9.235456985716592</v>
      </c>
      <c r="AN158" s="7">
        <f t="shared" si="30"/>
        <v>9.235456985716592</v>
      </c>
      <c r="AO158" s="7">
        <f t="shared" si="30"/>
        <v>9.235456985716592</v>
      </c>
      <c r="AP158" s="7">
        <f t="shared" si="30"/>
        <v>9.235456985716592</v>
      </c>
      <c r="AQ158" s="7">
        <f t="shared" si="30"/>
        <v>9.235456985716592</v>
      </c>
      <c r="AR158" s="7">
        <f t="shared" si="30"/>
        <v>9.235456985716592</v>
      </c>
      <c r="AS158" s="7">
        <f t="shared" si="30"/>
        <v>9.235456985716592</v>
      </c>
      <c r="AT158" s="7">
        <f t="shared" si="30"/>
        <v>9.235456985716592</v>
      </c>
      <c r="AU158" s="7">
        <f t="shared" si="30"/>
        <v>9.235456985716592</v>
      </c>
      <c r="AV158" s="7">
        <f t="shared" si="30"/>
        <v>9.235456985716592</v>
      </c>
      <c r="AW158" s="7">
        <f t="shared" si="30"/>
        <v>9.235456985716592</v>
      </c>
      <c r="AX158" s="7">
        <f t="shared" si="30"/>
        <v>9.235456985716592</v>
      </c>
      <c r="AY158" s="7">
        <f t="shared" si="30"/>
        <v>9.235456985716592</v>
      </c>
      <c r="AZ158" s="7">
        <f t="shared" si="30"/>
        <v>9.235456985716592</v>
      </c>
      <c r="BA158" s="7">
        <f t="shared" si="30"/>
        <v>9.235456985716592</v>
      </c>
      <c r="BB158" s="7">
        <f t="shared" si="30"/>
        <v>9.235456985716592</v>
      </c>
    </row>
    <row r="159" spans="1:54" x14ac:dyDescent="0.3">
      <c r="A159" t="s">
        <v>15</v>
      </c>
      <c r="B159">
        <v>0</v>
      </c>
      <c r="C159">
        <v>0</v>
      </c>
      <c r="D159">
        <v>0</v>
      </c>
      <c r="E159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7">
        <f t="shared" ref="AI159:BB159" si="31">AH159</f>
        <v>0</v>
      </c>
      <c r="AJ159" s="7">
        <f t="shared" si="31"/>
        <v>0</v>
      </c>
      <c r="AK159" s="7">
        <f t="shared" si="31"/>
        <v>0</v>
      </c>
      <c r="AL159" s="7">
        <f t="shared" si="31"/>
        <v>0</v>
      </c>
      <c r="AM159" s="7">
        <f t="shared" si="31"/>
        <v>0</v>
      </c>
      <c r="AN159" s="7">
        <f t="shared" si="31"/>
        <v>0</v>
      </c>
      <c r="AO159" s="7">
        <f t="shared" si="31"/>
        <v>0</v>
      </c>
      <c r="AP159" s="7">
        <f t="shared" si="31"/>
        <v>0</v>
      </c>
      <c r="AQ159" s="7">
        <f t="shared" si="31"/>
        <v>0</v>
      </c>
      <c r="AR159" s="7">
        <f t="shared" si="31"/>
        <v>0</v>
      </c>
      <c r="AS159" s="7">
        <f t="shared" si="31"/>
        <v>0</v>
      </c>
      <c r="AT159" s="7">
        <f t="shared" si="31"/>
        <v>0</v>
      </c>
      <c r="AU159" s="7">
        <f t="shared" si="31"/>
        <v>0</v>
      </c>
      <c r="AV159" s="7">
        <f t="shared" si="31"/>
        <v>0</v>
      </c>
      <c r="AW159" s="7">
        <f t="shared" si="31"/>
        <v>0</v>
      </c>
      <c r="AX159" s="7">
        <f t="shared" si="31"/>
        <v>0</v>
      </c>
      <c r="AY159" s="7">
        <f t="shared" si="31"/>
        <v>0</v>
      </c>
      <c r="AZ159" s="7">
        <f t="shared" si="31"/>
        <v>0</v>
      </c>
      <c r="BA159" s="7">
        <f t="shared" si="31"/>
        <v>0</v>
      </c>
      <c r="BB159" s="7">
        <f t="shared" si="31"/>
        <v>0</v>
      </c>
    </row>
    <row r="160" spans="1:54" x14ac:dyDescent="0.3">
      <c r="A160" t="s">
        <v>5</v>
      </c>
      <c r="B160">
        <v>16.564000001</v>
      </c>
      <c r="C160">
        <v>16.179999999</v>
      </c>
      <c r="D160">
        <v>15.250999999000001</v>
      </c>
      <c r="E160">
        <v>16.326000000000001</v>
      </c>
      <c r="F160" s="6">
        <f>E160*('Rail EU Ref'!H41/'Rail EU Ref'!G41)</f>
        <v>16.981899567255933</v>
      </c>
      <c r="G160" s="6">
        <f>F160*('Rail EU Ref'!I41/'Rail EU Ref'!H41)</f>
        <v>17.637799134511862</v>
      </c>
      <c r="H160" s="6">
        <f>G160*('Rail EU Ref'!J41/'Rail EU Ref'!I41)</f>
        <v>18.293698701767791</v>
      </c>
      <c r="I160" s="6">
        <f>H160*('Rail EU Ref'!K41/'Rail EU Ref'!J41)</f>
        <v>18.949598269023724</v>
      </c>
      <c r="J160" s="6">
        <f>I160*('Rail EU Ref'!L41/'Rail EU Ref'!K41)</f>
        <v>19.511657559420875</v>
      </c>
      <c r="K160" s="6">
        <f>J160*('Rail EU Ref'!M41/'Rail EU Ref'!L41)</f>
        <v>20.073716849818027</v>
      </c>
      <c r="L160" s="6">
        <f>K160*('Rail EU Ref'!N41/'Rail EU Ref'!M41)</f>
        <v>20.635776140215178</v>
      </c>
      <c r="M160" s="6">
        <f>L160*('Rail EU Ref'!O41/'Rail EU Ref'!N41)</f>
        <v>21.197835430612329</v>
      </c>
      <c r="N160" s="6">
        <f>M160*('Rail EU Ref'!P41/'Rail EU Ref'!O41)</f>
        <v>21.759894721009484</v>
      </c>
      <c r="O160" s="6">
        <f>N160*('Rail EU Ref'!Q41/'Rail EU Ref'!P41)</f>
        <v>22.183526575861517</v>
      </c>
      <c r="P160" s="6">
        <f>O160*('Rail EU Ref'!R41/'Rail EU Ref'!Q41)</f>
        <v>22.607158430713554</v>
      </c>
      <c r="Q160" s="6">
        <f>P160*('Rail EU Ref'!S41/'Rail EU Ref'!R41)</f>
        <v>23.03079028556559</v>
      </c>
      <c r="R160" s="6">
        <f>Q160*('Rail EU Ref'!T41/'Rail EU Ref'!S41)</f>
        <v>23.454422140417623</v>
      </c>
      <c r="S160" s="6">
        <f>R160*('Rail EU Ref'!U41/'Rail EU Ref'!T41)</f>
        <v>23.878053995269667</v>
      </c>
      <c r="T160" s="6">
        <f>S160*('Rail EU Ref'!V41/'Rail EU Ref'!U41)</f>
        <v>24.232532379486123</v>
      </c>
      <c r="U160" s="6">
        <f>T160*('Rail EU Ref'!W41/'Rail EU Ref'!V41)</f>
        <v>24.587010763702583</v>
      </c>
      <c r="V160" s="6">
        <f>U160*('Rail EU Ref'!X41/'Rail EU Ref'!W41)</f>
        <v>24.941489147919043</v>
      </c>
      <c r="W160" s="6">
        <f>V160*('Rail EU Ref'!Y41/'Rail EU Ref'!X41)</f>
        <v>25.295967532135503</v>
      </c>
      <c r="X160" s="6">
        <f>W160*('Rail EU Ref'!Z41/'Rail EU Ref'!Y41)</f>
        <v>25.650445916351959</v>
      </c>
      <c r="Y160" s="6">
        <f>X160*('Rail EU Ref'!AA41/'Rail EU Ref'!Z41)</f>
        <v>25.918480395653308</v>
      </c>
      <c r="Z160" s="6">
        <f>Y160*('Rail EU Ref'!AB41/'Rail EU Ref'!AA41)</f>
        <v>26.186514874954657</v>
      </c>
      <c r="AA160" s="6">
        <f>Z160*('Rail EU Ref'!AC41/'Rail EU Ref'!AB41)</f>
        <v>26.454549354256002</v>
      </c>
      <c r="AB160" s="6">
        <f>AA160*('Rail EU Ref'!AD41/'Rail EU Ref'!AC41)</f>
        <v>26.722583833557348</v>
      </c>
      <c r="AC160" s="6">
        <f>AB160*('Rail EU Ref'!AE41/'Rail EU Ref'!AD41)</f>
        <v>26.9906183128587</v>
      </c>
      <c r="AD160" s="6">
        <f>AC160*('Rail EU Ref'!AF41/'Rail EU Ref'!AE41)</f>
        <v>27.209510534470709</v>
      </c>
      <c r="AE160" s="6">
        <f>AD160*('Rail EU Ref'!AG41/'Rail EU Ref'!AF41)</f>
        <v>27.428402756082715</v>
      </c>
      <c r="AF160" s="6">
        <f>AE160*('Rail EU Ref'!AH41/'Rail EU Ref'!AG41)</f>
        <v>27.647294977694727</v>
      </c>
      <c r="AG160" s="6">
        <f>AF160*('Rail EU Ref'!AI41/'Rail EU Ref'!AH41)</f>
        <v>27.866187199306736</v>
      </c>
      <c r="AH160" s="6">
        <f>AG160*('Rail EU Ref'!AJ41/'Rail EU Ref'!AI41)</f>
        <v>28.085079420918753</v>
      </c>
      <c r="AI160" s="7">
        <f t="shared" ref="AI160:BB160" si="32">AH160</f>
        <v>28.085079420918753</v>
      </c>
      <c r="AJ160" s="7">
        <f t="shared" si="32"/>
        <v>28.085079420918753</v>
      </c>
      <c r="AK160" s="7">
        <f t="shared" si="32"/>
        <v>28.085079420918753</v>
      </c>
      <c r="AL160" s="7">
        <f t="shared" si="32"/>
        <v>28.085079420918753</v>
      </c>
      <c r="AM160" s="7">
        <f t="shared" si="32"/>
        <v>28.085079420918753</v>
      </c>
      <c r="AN160" s="7">
        <f t="shared" si="32"/>
        <v>28.085079420918753</v>
      </c>
      <c r="AO160" s="7">
        <f t="shared" si="32"/>
        <v>28.085079420918753</v>
      </c>
      <c r="AP160" s="7">
        <f t="shared" si="32"/>
        <v>28.085079420918753</v>
      </c>
      <c r="AQ160" s="7">
        <f t="shared" si="32"/>
        <v>28.085079420918753</v>
      </c>
      <c r="AR160" s="7">
        <f t="shared" si="32"/>
        <v>28.085079420918753</v>
      </c>
      <c r="AS160" s="7">
        <f t="shared" si="32"/>
        <v>28.085079420918753</v>
      </c>
      <c r="AT160" s="7">
        <f t="shared" si="32"/>
        <v>28.085079420918753</v>
      </c>
      <c r="AU160" s="7">
        <f t="shared" si="32"/>
        <v>28.085079420918753</v>
      </c>
      <c r="AV160" s="7">
        <f t="shared" si="32"/>
        <v>28.085079420918753</v>
      </c>
      <c r="AW160" s="7">
        <f t="shared" si="32"/>
        <v>28.085079420918753</v>
      </c>
      <c r="AX160" s="7">
        <f t="shared" si="32"/>
        <v>28.085079420918753</v>
      </c>
      <c r="AY160" s="7">
        <f t="shared" si="32"/>
        <v>28.085079420918753</v>
      </c>
      <c r="AZ160" s="7">
        <f t="shared" si="32"/>
        <v>28.085079420918753</v>
      </c>
      <c r="BA160" s="7">
        <f t="shared" si="32"/>
        <v>28.085079420918753</v>
      </c>
      <c r="BB160" s="7">
        <f t="shared" si="32"/>
        <v>28.085079420918753</v>
      </c>
    </row>
    <row r="161" spans="1:54" x14ac:dyDescent="0.3">
      <c r="A161" t="s">
        <v>7</v>
      </c>
      <c r="B161">
        <v>117.93100002</v>
      </c>
      <c r="C161">
        <v>119.47000002999999</v>
      </c>
      <c r="D161">
        <v>109.21900000000001</v>
      </c>
      <c r="E161">
        <v>123.935</v>
      </c>
      <c r="F161" s="6">
        <f>E161*('Rail EU Ref'!H42/'Rail EU Ref'!G42)</f>
        <v>129.49748381358947</v>
      </c>
      <c r="G161" s="6">
        <f>F161*('Rail EU Ref'!I42/'Rail EU Ref'!H42)</f>
        <v>135.05996762717893</v>
      </c>
      <c r="H161" s="6">
        <f>G161*('Rail EU Ref'!J42/'Rail EU Ref'!I42)</f>
        <v>140.6224514407684</v>
      </c>
      <c r="I161" s="6">
        <f>H161*('Rail EU Ref'!K42/'Rail EU Ref'!J42)</f>
        <v>146.1849352543579</v>
      </c>
      <c r="J161" s="6">
        <f>I161*('Rail EU Ref'!L42/'Rail EU Ref'!K42)</f>
        <v>150.64779925017052</v>
      </c>
      <c r="K161" s="6">
        <f>J161*('Rail EU Ref'!M42/'Rail EU Ref'!L42)</f>
        <v>155.11066324598315</v>
      </c>
      <c r="L161" s="6">
        <f>K161*('Rail EU Ref'!N42/'Rail EU Ref'!M42)</f>
        <v>159.57352724179577</v>
      </c>
      <c r="M161" s="6">
        <f>L161*('Rail EU Ref'!O42/'Rail EU Ref'!N42)</f>
        <v>164.0363912376084</v>
      </c>
      <c r="N161" s="6">
        <f>M161*('Rail EU Ref'!P42/'Rail EU Ref'!O42)</f>
        <v>168.499255233421</v>
      </c>
      <c r="O161" s="6">
        <f>N161*('Rail EU Ref'!Q42/'Rail EU Ref'!P42)</f>
        <v>171.61360856722339</v>
      </c>
      <c r="P161" s="6">
        <f>O161*('Rail EU Ref'!R42/'Rail EU Ref'!Q42)</f>
        <v>174.72796190102579</v>
      </c>
      <c r="Q161" s="6">
        <f>P161*('Rail EU Ref'!S42/'Rail EU Ref'!R42)</f>
        <v>177.84231523482819</v>
      </c>
      <c r="R161" s="6">
        <f>Q161*('Rail EU Ref'!T42/'Rail EU Ref'!S42)</f>
        <v>180.95666856863062</v>
      </c>
      <c r="S161" s="6">
        <f>R161*('Rail EU Ref'!U42/'Rail EU Ref'!T42)</f>
        <v>184.07102190243296</v>
      </c>
      <c r="T161" s="6">
        <f>S161*('Rail EU Ref'!V42/'Rail EU Ref'!U42)</f>
        <v>186.80944820517729</v>
      </c>
      <c r="U161" s="6">
        <f>T161*('Rail EU Ref'!W42/'Rail EU Ref'!V42)</f>
        <v>189.54787450792162</v>
      </c>
      <c r="V161" s="6">
        <f>U161*('Rail EU Ref'!X42/'Rail EU Ref'!W42)</f>
        <v>192.28630081066592</v>
      </c>
      <c r="W161" s="6">
        <f>V161*('Rail EU Ref'!Y42/'Rail EU Ref'!X42)</f>
        <v>195.02472711341025</v>
      </c>
      <c r="X161" s="6">
        <f>W161*('Rail EU Ref'!Z42/'Rail EU Ref'!Y42)</f>
        <v>197.76315341615455</v>
      </c>
      <c r="Y161" s="6">
        <f>X161*('Rail EU Ref'!AA42/'Rail EU Ref'!Z42)</f>
        <v>200.17793877251748</v>
      </c>
      <c r="Z161" s="6">
        <f>Y161*('Rail EU Ref'!AB42/'Rail EU Ref'!AA42)</f>
        <v>202.59272412888043</v>
      </c>
      <c r="AA161" s="6">
        <f>Z161*('Rail EU Ref'!AC42/'Rail EU Ref'!AB42)</f>
        <v>205.00750948524336</v>
      </c>
      <c r="AB161" s="6">
        <f>AA161*('Rail EU Ref'!AD42/'Rail EU Ref'!AC42)</f>
        <v>207.42229484160632</v>
      </c>
      <c r="AC161" s="6">
        <f>AB161*('Rail EU Ref'!AE42/'Rail EU Ref'!AD42)</f>
        <v>209.8370801979693</v>
      </c>
      <c r="AD161" s="6">
        <f>AC161*('Rail EU Ref'!AF42/'Rail EU Ref'!AE42)</f>
        <v>212.29779888364317</v>
      </c>
      <c r="AE161" s="6">
        <f>AD161*('Rail EU Ref'!AG42/'Rail EU Ref'!AF42)</f>
        <v>214.75851756931704</v>
      </c>
      <c r="AF161" s="6">
        <f>AE161*('Rail EU Ref'!AH42/'Rail EU Ref'!AG42)</f>
        <v>217.21923625499088</v>
      </c>
      <c r="AG161" s="6">
        <f>AF161*('Rail EU Ref'!AI42/'Rail EU Ref'!AH42)</f>
        <v>219.67995494066474</v>
      </c>
      <c r="AH161" s="6">
        <f>AG161*('Rail EU Ref'!AJ42/'Rail EU Ref'!AI42)</f>
        <v>222.14067362633855</v>
      </c>
      <c r="AI161" s="7">
        <f t="shared" ref="AI161:BB161" si="33">AH161</f>
        <v>222.14067362633855</v>
      </c>
      <c r="AJ161" s="7">
        <f t="shared" si="33"/>
        <v>222.14067362633855</v>
      </c>
      <c r="AK161" s="7">
        <f t="shared" si="33"/>
        <v>222.14067362633855</v>
      </c>
      <c r="AL161" s="7">
        <f t="shared" si="33"/>
        <v>222.14067362633855</v>
      </c>
      <c r="AM161" s="7">
        <f t="shared" si="33"/>
        <v>222.14067362633855</v>
      </c>
      <c r="AN161" s="7">
        <f t="shared" si="33"/>
        <v>222.14067362633855</v>
      </c>
      <c r="AO161" s="7">
        <f t="shared" si="33"/>
        <v>222.14067362633855</v>
      </c>
      <c r="AP161" s="7">
        <f t="shared" si="33"/>
        <v>222.14067362633855</v>
      </c>
      <c r="AQ161" s="7">
        <f t="shared" si="33"/>
        <v>222.14067362633855</v>
      </c>
      <c r="AR161" s="7">
        <f t="shared" si="33"/>
        <v>222.14067362633855</v>
      </c>
      <c r="AS161" s="7">
        <f t="shared" si="33"/>
        <v>222.14067362633855</v>
      </c>
      <c r="AT161" s="7">
        <f t="shared" si="33"/>
        <v>222.14067362633855</v>
      </c>
      <c r="AU161" s="7">
        <f t="shared" si="33"/>
        <v>222.14067362633855</v>
      </c>
      <c r="AV161" s="7">
        <f t="shared" si="33"/>
        <v>222.14067362633855</v>
      </c>
      <c r="AW161" s="7">
        <f t="shared" si="33"/>
        <v>222.14067362633855</v>
      </c>
      <c r="AX161" s="7">
        <f t="shared" si="33"/>
        <v>222.14067362633855</v>
      </c>
      <c r="AY161" s="7">
        <f t="shared" si="33"/>
        <v>222.14067362633855</v>
      </c>
      <c r="AZ161" s="7">
        <f t="shared" si="33"/>
        <v>222.14067362633855</v>
      </c>
      <c r="BA161" s="7">
        <f t="shared" si="33"/>
        <v>222.14067362633855</v>
      </c>
      <c r="BB161" s="7">
        <f t="shared" si="33"/>
        <v>222.14067362633855</v>
      </c>
    </row>
    <row r="162" spans="1:54" x14ac:dyDescent="0.3">
      <c r="A162" t="s">
        <v>6</v>
      </c>
      <c r="B162">
        <v>2.5939999999999999</v>
      </c>
      <c r="C162">
        <v>2.5249999999999999</v>
      </c>
      <c r="D162">
        <v>2.4500000000000002</v>
      </c>
      <c r="E162">
        <v>1.986</v>
      </c>
      <c r="F162" s="6">
        <f>E162*('Rail EU Ref'!H43/'Rail EU Ref'!G43)</f>
        <v>2.0686514194818031</v>
      </c>
      <c r="G162" s="6">
        <f>F162*('Rail EU Ref'!I43/'Rail EU Ref'!H43)</f>
        <v>2.151302838963606</v>
      </c>
      <c r="H162" s="6">
        <f>G162*('Rail EU Ref'!J43/'Rail EU Ref'!I43)</f>
        <v>2.2339542584454088</v>
      </c>
      <c r="I162" s="6">
        <f>H162*('Rail EU Ref'!K43/'Rail EU Ref'!J43)</f>
        <v>2.3166056779272108</v>
      </c>
      <c r="J162" s="6">
        <f>I162*('Rail EU Ref'!L43/'Rail EU Ref'!K43)</f>
        <v>2.3811193913024287</v>
      </c>
      <c r="K162" s="6">
        <f>J162*('Rail EU Ref'!M43/'Rail EU Ref'!L43)</f>
        <v>2.4456331046776465</v>
      </c>
      <c r="L162" s="6">
        <f>K162*('Rail EU Ref'!N43/'Rail EU Ref'!M43)</f>
        <v>2.5101468180528643</v>
      </c>
      <c r="M162" s="6">
        <f>L162*('Rail EU Ref'!O43/'Rail EU Ref'!N43)</f>
        <v>2.5746605314280826</v>
      </c>
      <c r="N162" s="6">
        <f>M162*('Rail EU Ref'!P43/'Rail EU Ref'!O43)</f>
        <v>2.6391742448033</v>
      </c>
      <c r="O162" s="6">
        <f>N162*('Rail EU Ref'!Q43/'Rail EU Ref'!P43)</f>
        <v>2.684102767440451</v>
      </c>
      <c r="P162" s="6">
        <f>O162*('Rail EU Ref'!R43/'Rail EU Ref'!Q43)</f>
        <v>2.7290312900776015</v>
      </c>
      <c r="Q162" s="6">
        <f>P162*('Rail EU Ref'!S43/'Rail EU Ref'!R43)</f>
        <v>2.773959812714752</v>
      </c>
      <c r="R162" s="6">
        <f>Q162*('Rail EU Ref'!T43/'Rail EU Ref'!S43)</f>
        <v>2.8188883353519025</v>
      </c>
      <c r="S162" s="6">
        <f>R162*('Rail EU Ref'!U43/'Rail EU Ref'!T43)</f>
        <v>2.8638168579890531</v>
      </c>
      <c r="T162" s="6">
        <f>S162*('Rail EU Ref'!V43/'Rail EU Ref'!U43)</f>
        <v>2.8930194837031658</v>
      </c>
      <c r="U162" s="6">
        <f>T162*('Rail EU Ref'!W43/'Rail EU Ref'!V43)</f>
        <v>2.9222221094172784</v>
      </c>
      <c r="V162" s="6">
        <f>U162*('Rail EU Ref'!X43/'Rail EU Ref'!W43)</f>
        <v>2.9514247351313911</v>
      </c>
      <c r="W162" s="6">
        <f>V162*('Rail EU Ref'!Y43/'Rail EU Ref'!X43)</f>
        <v>2.9806273608455038</v>
      </c>
      <c r="X162" s="6">
        <f>W162*('Rail EU Ref'!Z43/'Rail EU Ref'!Y43)</f>
        <v>3.0098299865596161</v>
      </c>
      <c r="Y162" s="6">
        <f>X162*('Rail EU Ref'!AA43/'Rail EU Ref'!Z43)</f>
        <v>3.0418871534578003</v>
      </c>
      <c r="Z162" s="6">
        <f>Y162*('Rail EU Ref'!AB43/'Rail EU Ref'!AA43)</f>
        <v>3.0739443203559844</v>
      </c>
      <c r="AA162" s="6">
        <f>Z162*('Rail EU Ref'!AC43/'Rail EU Ref'!AB43)</f>
        <v>3.1060014872541686</v>
      </c>
      <c r="AB162" s="6">
        <f>AA162*('Rail EU Ref'!AD43/'Rail EU Ref'!AC43)</f>
        <v>3.1380586541523527</v>
      </c>
      <c r="AC162" s="6">
        <f>AB162*('Rail EU Ref'!AE43/'Rail EU Ref'!AD43)</f>
        <v>3.1701158210505369</v>
      </c>
      <c r="AD162" s="6">
        <f>AC162*('Rail EU Ref'!AF43/'Rail EU Ref'!AE43)</f>
        <v>3.194219522808226</v>
      </c>
      <c r="AE162" s="6">
        <f>AD162*('Rail EU Ref'!AG43/'Rail EU Ref'!AF43)</f>
        <v>3.218323224565915</v>
      </c>
      <c r="AF162" s="6">
        <f>AE162*('Rail EU Ref'!AH43/'Rail EU Ref'!AG43)</f>
        <v>3.2424269263236045</v>
      </c>
      <c r="AG162" s="6">
        <f>AF162*('Rail EU Ref'!AI43/'Rail EU Ref'!AH43)</f>
        <v>3.2665306280812936</v>
      </c>
      <c r="AH162" s="6">
        <f>AG162*('Rail EU Ref'!AJ43/'Rail EU Ref'!AI43)</f>
        <v>3.290634329838984</v>
      </c>
      <c r="AI162" s="7">
        <f t="shared" ref="AI162:BB162" si="34">AH162</f>
        <v>3.290634329838984</v>
      </c>
      <c r="AJ162" s="7">
        <f t="shared" si="34"/>
        <v>3.290634329838984</v>
      </c>
      <c r="AK162" s="7">
        <f t="shared" si="34"/>
        <v>3.290634329838984</v>
      </c>
      <c r="AL162" s="7">
        <f t="shared" si="34"/>
        <v>3.290634329838984</v>
      </c>
      <c r="AM162" s="7">
        <f t="shared" si="34"/>
        <v>3.290634329838984</v>
      </c>
      <c r="AN162" s="7">
        <f t="shared" si="34"/>
        <v>3.290634329838984</v>
      </c>
      <c r="AO162" s="7">
        <f t="shared" si="34"/>
        <v>3.290634329838984</v>
      </c>
      <c r="AP162" s="7">
        <f t="shared" si="34"/>
        <v>3.290634329838984</v>
      </c>
      <c r="AQ162" s="7">
        <f t="shared" si="34"/>
        <v>3.290634329838984</v>
      </c>
      <c r="AR162" s="7">
        <f t="shared" si="34"/>
        <v>3.290634329838984</v>
      </c>
      <c r="AS162" s="7">
        <f t="shared" si="34"/>
        <v>3.290634329838984</v>
      </c>
      <c r="AT162" s="7">
        <f t="shared" si="34"/>
        <v>3.290634329838984</v>
      </c>
      <c r="AU162" s="7">
        <f t="shared" si="34"/>
        <v>3.290634329838984</v>
      </c>
      <c r="AV162" s="7">
        <f t="shared" si="34"/>
        <v>3.290634329838984</v>
      </c>
      <c r="AW162" s="7">
        <f t="shared" si="34"/>
        <v>3.290634329838984</v>
      </c>
      <c r="AX162" s="7">
        <f t="shared" si="34"/>
        <v>3.290634329838984</v>
      </c>
      <c r="AY162" s="7">
        <f t="shared" si="34"/>
        <v>3.290634329838984</v>
      </c>
      <c r="AZ162" s="7">
        <f t="shared" si="34"/>
        <v>3.290634329838984</v>
      </c>
      <c r="BA162" s="7">
        <f t="shared" si="34"/>
        <v>3.290634329838984</v>
      </c>
      <c r="BB162" s="7">
        <f t="shared" si="34"/>
        <v>3.290634329838984</v>
      </c>
    </row>
    <row r="163" spans="1:54" x14ac:dyDescent="0.3">
      <c r="A163" t="s">
        <v>8</v>
      </c>
      <c r="B163">
        <v>2.5880000000000001</v>
      </c>
      <c r="C163">
        <v>2.1549999999999998</v>
      </c>
      <c r="D163">
        <v>1.7290000000000001</v>
      </c>
      <c r="E163">
        <v>2.1240000000000001</v>
      </c>
      <c r="F163" s="6">
        <f>E163*('Rail EU Ref'!H44/'Rail EU Ref'!G44)</f>
        <v>2.2781535292260071</v>
      </c>
      <c r="G163" s="6">
        <f>F163*('Rail EU Ref'!I44/'Rail EU Ref'!H44)</f>
        <v>2.4323070584520141</v>
      </c>
      <c r="H163" s="6">
        <f>G163*('Rail EU Ref'!J44/'Rail EU Ref'!I44)</f>
        <v>2.5864605876780211</v>
      </c>
      <c r="I163" s="6">
        <f>H163*('Rail EU Ref'!K44/'Rail EU Ref'!J44)</f>
        <v>2.7406141169040277</v>
      </c>
      <c r="J163" s="6">
        <f>I163*('Rail EU Ref'!L44/'Rail EU Ref'!K44)</f>
        <v>2.8819622266288865</v>
      </c>
      <c r="K163" s="6">
        <f>J163*('Rail EU Ref'!M44/'Rail EU Ref'!L44)</f>
        <v>3.0233103363537448</v>
      </c>
      <c r="L163" s="6">
        <f>K163*('Rail EU Ref'!N44/'Rail EU Ref'!M44)</f>
        <v>3.1646584460786031</v>
      </c>
      <c r="M163" s="6">
        <f>L163*('Rail EU Ref'!O44/'Rail EU Ref'!N44)</f>
        <v>3.3060065558034615</v>
      </c>
      <c r="N163" s="6">
        <f>M163*('Rail EU Ref'!P44/'Rail EU Ref'!O44)</f>
        <v>3.4473546655283194</v>
      </c>
      <c r="O163" s="6">
        <f>N163*('Rail EU Ref'!Q44/'Rail EU Ref'!P44)</f>
        <v>3.5568387639264727</v>
      </c>
      <c r="P163" s="6">
        <f>O163*('Rail EU Ref'!R44/'Rail EU Ref'!Q44)</f>
        <v>3.6663228623246265</v>
      </c>
      <c r="Q163" s="6">
        <f>P163*('Rail EU Ref'!S44/'Rail EU Ref'!R44)</f>
        <v>3.7758069607227802</v>
      </c>
      <c r="R163" s="6">
        <f>Q163*('Rail EU Ref'!T44/'Rail EU Ref'!S44)</f>
        <v>3.885291059120934</v>
      </c>
      <c r="S163" s="6">
        <f>R163*('Rail EU Ref'!U44/'Rail EU Ref'!T44)</f>
        <v>3.9947751575190877</v>
      </c>
      <c r="T163" s="6">
        <f>S163*('Rail EU Ref'!V44/'Rail EU Ref'!U44)</f>
        <v>4.0881058145217173</v>
      </c>
      <c r="U163" s="6">
        <f>T163*('Rail EU Ref'!W44/'Rail EU Ref'!V44)</f>
        <v>4.1814364715243473</v>
      </c>
      <c r="V163" s="6">
        <f>U163*('Rail EU Ref'!X44/'Rail EU Ref'!W44)</f>
        <v>4.2747671285269764</v>
      </c>
      <c r="W163" s="6">
        <f>V163*('Rail EU Ref'!Y44/'Rail EU Ref'!X44)</f>
        <v>4.3680977855296064</v>
      </c>
      <c r="X163" s="6">
        <f>W163*('Rail EU Ref'!Z44/'Rail EU Ref'!Y44)</f>
        <v>4.4614284425322355</v>
      </c>
      <c r="Y163" s="6">
        <f>X163*('Rail EU Ref'!AA44/'Rail EU Ref'!Z44)</f>
        <v>4.5358485789634946</v>
      </c>
      <c r="Z163" s="6">
        <f>Y163*('Rail EU Ref'!AB44/'Rail EU Ref'!AA44)</f>
        <v>4.6102687153947528</v>
      </c>
      <c r="AA163" s="6">
        <f>Z163*('Rail EU Ref'!AC44/'Rail EU Ref'!AB44)</f>
        <v>4.6846888518260119</v>
      </c>
      <c r="AB163" s="6">
        <f>AA163*('Rail EU Ref'!AD44/'Rail EU Ref'!AC44)</f>
        <v>4.7591089882572701</v>
      </c>
      <c r="AC163" s="6">
        <f>AB163*('Rail EU Ref'!AE44/'Rail EU Ref'!AD44)</f>
        <v>4.8335291246885292</v>
      </c>
      <c r="AD163" s="6">
        <f>AC163*('Rail EU Ref'!AF44/'Rail EU Ref'!AE44)</f>
        <v>4.9089050596962549</v>
      </c>
      <c r="AE163" s="6">
        <f>AD163*('Rail EU Ref'!AG44/'Rail EU Ref'!AF44)</f>
        <v>4.9842809947039806</v>
      </c>
      <c r="AF163" s="6">
        <f>AE163*('Rail EU Ref'!AH44/'Rail EU Ref'!AG44)</f>
        <v>5.0596569297117062</v>
      </c>
      <c r="AG163" s="6">
        <f>AF163*('Rail EU Ref'!AI44/'Rail EU Ref'!AH44)</f>
        <v>5.1350328647194319</v>
      </c>
      <c r="AH163" s="6">
        <f>AG163*('Rail EU Ref'!AJ44/'Rail EU Ref'!AI44)</f>
        <v>5.2104087997271575</v>
      </c>
      <c r="AI163" s="7">
        <f t="shared" ref="AI163:BB163" si="35">AH163</f>
        <v>5.2104087997271575</v>
      </c>
      <c r="AJ163" s="7">
        <f t="shared" si="35"/>
        <v>5.2104087997271575</v>
      </c>
      <c r="AK163" s="7">
        <f t="shared" si="35"/>
        <v>5.2104087997271575</v>
      </c>
      <c r="AL163" s="7">
        <f t="shared" si="35"/>
        <v>5.2104087997271575</v>
      </c>
      <c r="AM163" s="7">
        <f t="shared" si="35"/>
        <v>5.2104087997271575</v>
      </c>
      <c r="AN163" s="7">
        <f t="shared" si="35"/>
        <v>5.2104087997271575</v>
      </c>
      <c r="AO163" s="7">
        <f t="shared" si="35"/>
        <v>5.2104087997271575</v>
      </c>
      <c r="AP163" s="7">
        <f t="shared" si="35"/>
        <v>5.2104087997271575</v>
      </c>
      <c r="AQ163" s="7">
        <f t="shared" si="35"/>
        <v>5.2104087997271575</v>
      </c>
      <c r="AR163" s="7">
        <f t="shared" si="35"/>
        <v>5.2104087997271575</v>
      </c>
      <c r="AS163" s="7">
        <f t="shared" si="35"/>
        <v>5.2104087997271575</v>
      </c>
      <c r="AT163" s="7">
        <f t="shared" si="35"/>
        <v>5.2104087997271575</v>
      </c>
      <c r="AU163" s="7">
        <f t="shared" si="35"/>
        <v>5.2104087997271575</v>
      </c>
      <c r="AV163" s="7">
        <f t="shared" si="35"/>
        <v>5.2104087997271575</v>
      </c>
      <c r="AW163" s="7">
        <f t="shared" si="35"/>
        <v>5.2104087997271575</v>
      </c>
      <c r="AX163" s="7">
        <f t="shared" si="35"/>
        <v>5.2104087997271575</v>
      </c>
      <c r="AY163" s="7">
        <f t="shared" si="35"/>
        <v>5.2104087997271575</v>
      </c>
      <c r="AZ163" s="7">
        <f t="shared" si="35"/>
        <v>5.2104087997271575</v>
      </c>
      <c r="BA163" s="7">
        <f t="shared" si="35"/>
        <v>5.2104087997271575</v>
      </c>
      <c r="BB163" s="7">
        <f t="shared" si="35"/>
        <v>5.2104087997271575</v>
      </c>
    </row>
    <row r="164" spans="1:54" x14ac:dyDescent="0.3">
      <c r="A164" t="s">
        <v>11</v>
      </c>
      <c r="B164">
        <v>10.649999999999999</v>
      </c>
      <c r="C164">
        <v>10.71</v>
      </c>
      <c r="D164">
        <v>8.92</v>
      </c>
      <c r="E164">
        <v>10.298999999999999</v>
      </c>
      <c r="F164" s="6">
        <f>E164*('Rail EU Ref'!H45/'Rail EU Ref'!G45)</f>
        <v>10.706677623269929</v>
      </c>
      <c r="G164" s="6">
        <f>F164*('Rail EU Ref'!I45/'Rail EU Ref'!H45)</f>
        <v>11.114355246539859</v>
      </c>
      <c r="H164" s="6">
        <f>G164*('Rail EU Ref'!J45/'Rail EU Ref'!I45)</f>
        <v>11.522032869809786</v>
      </c>
      <c r="I164" s="6">
        <f>H164*('Rail EU Ref'!K45/'Rail EU Ref'!J45)</f>
        <v>11.929710493079712</v>
      </c>
      <c r="J164" s="6">
        <f>I164*('Rail EU Ref'!L45/'Rail EU Ref'!K45)</f>
        <v>12.188186838881093</v>
      </c>
      <c r="K164" s="6">
        <f>J164*('Rail EU Ref'!M45/'Rail EU Ref'!L45)</f>
        <v>12.446663184682475</v>
      </c>
      <c r="L164" s="6">
        <f>K164*('Rail EU Ref'!N45/'Rail EU Ref'!M45)</f>
        <v>12.705139530483857</v>
      </c>
      <c r="M164" s="6">
        <f>L164*('Rail EU Ref'!O45/'Rail EU Ref'!N45)</f>
        <v>12.963615876285239</v>
      </c>
      <c r="N164" s="6">
        <f>M164*('Rail EU Ref'!P45/'Rail EU Ref'!O45)</f>
        <v>13.222092222086617</v>
      </c>
      <c r="O164" s="6">
        <f>N164*('Rail EU Ref'!Q45/'Rail EU Ref'!P45)</f>
        <v>13.40883315298235</v>
      </c>
      <c r="P164" s="6">
        <f>O164*('Rail EU Ref'!R45/'Rail EU Ref'!Q45)</f>
        <v>13.595574083878082</v>
      </c>
      <c r="Q164" s="6">
        <f>P164*('Rail EU Ref'!S45/'Rail EU Ref'!R45)</f>
        <v>13.782315014773815</v>
      </c>
      <c r="R164" s="6">
        <f>Q164*('Rail EU Ref'!T45/'Rail EU Ref'!S45)</f>
        <v>13.969055945669545</v>
      </c>
      <c r="S164" s="6">
        <f>R164*('Rail EU Ref'!U45/'Rail EU Ref'!T45)</f>
        <v>14.155796876565274</v>
      </c>
      <c r="T164" s="6">
        <f>S164*('Rail EU Ref'!V45/'Rail EU Ref'!U45)</f>
        <v>14.319661488577808</v>
      </c>
      <c r="U164" s="6">
        <f>T164*('Rail EU Ref'!W45/'Rail EU Ref'!V45)</f>
        <v>14.483526100590343</v>
      </c>
      <c r="V164" s="6">
        <f>U164*('Rail EU Ref'!X45/'Rail EU Ref'!W45)</f>
        <v>14.647390712602876</v>
      </c>
      <c r="W164" s="6">
        <f>V164*('Rail EU Ref'!Y45/'Rail EU Ref'!X45)</f>
        <v>14.811255324615409</v>
      </c>
      <c r="X164" s="6">
        <f>W164*('Rail EU Ref'!Z45/'Rail EU Ref'!Y45)</f>
        <v>14.975119936627944</v>
      </c>
      <c r="Y164" s="6">
        <f>X164*('Rail EU Ref'!AA45/'Rail EU Ref'!Z45)</f>
        <v>15.132569211470571</v>
      </c>
      <c r="Z164" s="6">
        <f>Y164*('Rail EU Ref'!AB45/'Rail EU Ref'!AA45)</f>
        <v>15.290018486313198</v>
      </c>
      <c r="AA164" s="6">
        <f>Z164*('Rail EU Ref'!AC45/'Rail EU Ref'!AB45)</f>
        <v>15.447467761155824</v>
      </c>
      <c r="AB164" s="6">
        <f>AA164*('Rail EU Ref'!AD45/'Rail EU Ref'!AC45)</f>
        <v>15.604917035998451</v>
      </c>
      <c r="AC164" s="6">
        <f>AB164*('Rail EU Ref'!AE45/'Rail EU Ref'!AD45)</f>
        <v>15.762366310841074</v>
      </c>
      <c r="AD164" s="6">
        <f>AC164*('Rail EU Ref'!AF45/'Rail EU Ref'!AE45)</f>
        <v>15.918392735500053</v>
      </c>
      <c r="AE164" s="6">
        <f>AD164*('Rail EU Ref'!AG45/'Rail EU Ref'!AF45)</f>
        <v>16.074419160159032</v>
      </c>
      <c r="AF164" s="6">
        <f>AE164*('Rail EU Ref'!AH45/'Rail EU Ref'!AG45)</f>
        <v>16.23044558481801</v>
      </c>
      <c r="AG164" s="6">
        <f>AF164*('Rail EU Ref'!AI45/'Rail EU Ref'!AH45)</f>
        <v>16.386472009476986</v>
      </c>
      <c r="AH164" s="6">
        <f>AG164*('Rail EU Ref'!AJ45/'Rail EU Ref'!AI45)</f>
        <v>16.542498434135958</v>
      </c>
      <c r="AI164" s="7">
        <f t="shared" ref="AI164:BB164" si="36">AH164</f>
        <v>16.542498434135958</v>
      </c>
      <c r="AJ164" s="7">
        <f t="shared" si="36"/>
        <v>16.542498434135958</v>
      </c>
      <c r="AK164" s="7">
        <f t="shared" si="36"/>
        <v>16.542498434135958</v>
      </c>
      <c r="AL164" s="7">
        <f t="shared" si="36"/>
        <v>16.542498434135958</v>
      </c>
      <c r="AM164" s="7">
        <f t="shared" si="36"/>
        <v>16.542498434135958</v>
      </c>
      <c r="AN164" s="7">
        <f t="shared" si="36"/>
        <v>16.542498434135958</v>
      </c>
      <c r="AO164" s="7">
        <f t="shared" si="36"/>
        <v>16.542498434135958</v>
      </c>
      <c r="AP164" s="7">
        <f t="shared" si="36"/>
        <v>16.542498434135958</v>
      </c>
      <c r="AQ164" s="7">
        <f t="shared" si="36"/>
        <v>16.542498434135958</v>
      </c>
      <c r="AR164" s="7">
        <f t="shared" si="36"/>
        <v>16.542498434135958</v>
      </c>
      <c r="AS164" s="7">
        <f t="shared" si="36"/>
        <v>16.542498434135958</v>
      </c>
      <c r="AT164" s="7">
        <f t="shared" si="36"/>
        <v>16.542498434135958</v>
      </c>
      <c r="AU164" s="7">
        <f t="shared" si="36"/>
        <v>16.542498434135958</v>
      </c>
      <c r="AV164" s="7">
        <f t="shared" si="36"/>
        <v>16.542498434135958</v>
      </c>
      <c r="AW164" s="7">
        <f t="shared" si="36"/>
        <v>16.542498434135958</v>
      </c>
      <c r="AX164" s="7">
        <f t="shared" si="36"/>
        <v>16.542498434135958</v>
      </c>
      <c r="AY164" s="7">
        <f t="shared" si="36"/>
        <v>16.542498434135958</v>
      </c>
      <c r="AZ164" s="7">
        <f t="shared" si="36"/>
        <v>16.542498434135958</v>
      </c>
      <c r="BA164" s="7">
        <f t="shared" si="36"/>
        <v>16.542498434135958</v>
      </c>
      <c r="BB164" s="7">
        <f t="shared" si="36"/>
        <v>16.542498434135958</v>
      </c>
    </row>
    <row r="165" spans="1:54" x14ac:dyDescent="0.3">
      <c r="A165" t="s">
        <v>27</v>
      </c>
      <c r="B165">
        <v>11.174999999999999</v>
      </c>
      <c r="C165">
        <v>10.271000000000001</v>
      </c>
      <c r="D165">
        <v>10.137</v>
      </c>
      <c r="E165">
        <v>10.75</v>
      </c>
      <c r="F165" s="6">
        <f>E165*('Rail EU Ref'!H46/'Rail EU Ref'!G46)</f>
        <v>11.134748856471878</v>
      </c>
      <c r="G165" s="6">
        <f>F165*('Rail EU Ref'!I46/'Rail EU Ref'!H46)</f>
        <v>11.519497712943757</v>
      </c>
      <c r="H165" s="6">
        <f>G165*('Rail EU Ref'!J46/'Rail EU Ref'!I46)</f>
        <v>11.904246569415633</v>
      </c>
      <c r="I165" s="6">
        <f>H165*('Rail EU Ref'!K46/'Rail EU Ref'!J46)</f>
        <v>12.288995425887512</v>
      </c>
      <c r="J165" s="6">
        <f>I165*('Rail EU Ref'!L46/'Rail EU Ref'!K46)</f>
        <v>12.560756382560399</v>
      </c>
      <c r="K165" s="6">
        <f>J165*('Rail EU Ref'!M46/'Rail EU Ref'!L46)</f>
        <v>12.832517339233284</v>
      </c>
      <c r="L165" s="6">
        <f>K165*('Rail EU Ref'!N46/'Rail EU Ref'!M46)</f>
        <v>13.10427829590617</v>
      </c>
      <c r="M165" s="6">
        <f>L165*('Rail EU Ref'!O46/'Rail EU Ref'!N46)</f>
        <v>13.376039252579055</v>
      </c>
      <c r="N165" s="6">
        <f>M165*('Rail EU Ref'!P46/'Rail EU Ref'!O46)</f>
        <v>13.647800209251942</v>
      </c>
      <c r="O165" s="6">
        <f>N165*('Rail EU Ref'!Q46/'Rail EU Ref'!P46)</f>
        <v>13.907154417409529</v>
      </c>
      <c r="P165" s="6">
        <f>O165*('Rail EU Ref'!R46/'Rail EU Ref'!Q46)</f>
        <v>14.166508625567117</v>
      </c>
      <c r="Q165" s="6">
        <f>P165*('Rail EU Ref'!S46/'Rail EU Ref'!R46)</f>
        <v>14.425862833724702</v>
      </c>
      <c r="R165" s="6">
        <f>Q165*('Rail EU Ref'!T46/'Rail EU Ref'!S46)</f>
        <v>14.685217041882289</v>
      </c>
      <c r="S165" s="6">
        <f>R165*('Rail EU Ref'!U46/'Rail EU Ref'!T46)</f>
        <v>14.944571250039871</v>
      </c>
      <c r="T165" s="6">
        <f>S165*('Rail EU Ref'!V46/'Rail EU Ref'!U46)</f>
        <v>15.18981726561719</v>
      </c>
      <c r="U165" s="6">
        <f>T165*('Rail EU Ref'!W46/'Rail EU Ref'!V46)</f>
        <v>15.435063281194511</v>
      </c>
      <c r="V165" s="6">
        <f>U165*('Rail EU Ref'!X46/'Rail EU Ref'!W46)</f>
        <v>15.680309296771831</v>
      </c>
      <c r="W165" s="6">
        <f>V165*('Rail EU Ref'!Y46/'Rail EU Ref'!X46)</f>
        <v>15.925555312349152</v>
      </c>
      <c r="X165" s="6">
        <f>W165*('Rail EU Ref'!Z46/'Rail EU Ref'!Y46)</f>
        <v>16.170801327926473</v>
      </c>
      <c r="Y165" s="6">
        <f>X165*('Rail EU Ref'!AA46/'Rail EU Ref'!Z46)</f>
        <v>16.341996826388193</v>
      </c>
      <c r="Z165" s="6">
        <f>Y165*('Rail EU Ref'!AB46/'Rail EU Ref'!AA46)</f>
        <v>16.513192324849914</v>
      </c>
      <c r="AA165" s="6">
        <f>Z165*('Rail EU Ref'!AC46/'Rail EU Ref'!AB46)</f>
        <v>16.684387823311635</v>
      </c>
      <c r="AB165" s="6">
        <f>AA165*('Rail EU Ref'!AD46/'Rail EU Ref'!AC46)</f>
        <v>16.855583321773356</v>
      </c>
      <c r="AC165" s="6">
        <f>AB165*('Rail EU Ref'!AE46/'Rail EU Ref'!AD46)</f>
        <v>17.026778820235073</v>
      </c>
      <c r="AD165" s="6">
        <f>AC165*('Rail EU Ref'!AF46/'Rail EU Ref'!AE46)</f>
        <v>17.190771033445131</v>
      </c>
      <c r="AE165" s="6">
        <f>AD165*('Rail EU Ref'!AG46/'Rail EU Ref'!AF46)</f>
        <v>17.354763246655185</v>
      </c>
      <c r="AF165" s="6">
        <f>AE165*('Rail EU Ref'!AH46/'Rail EU Ref'!AG46)</f>
        <v>17.518755459865243</v>
      </c>
      <c r="AG165" s="6">
        <f>AF165*('Rail EU Ref'!AI46/'Rail EU Ref'!AH46)</f>
        <v>17.682747673075301</v>
      </c>
      <c r="AH165" s="6">
        <f>AG165*('Rail EU Ref'!AJ46/'Rail EU Ref'!AI46)</f>
        <v>17.846739886285359</v>
      </c>
      <c r="AI165" s="7">
        <f t="shared" ref="AI165:BB165" si="37">AH165</f>
        <v>17.846739886285359</v>
      </c>
      <c r="AJ165" s="7">
        <f t="shared" si="37"/>
        <v>17.846739886285359</v>
      </c>
      <c r="AK165" s="7">
        <f t="shared" si="37"/>
        <v>17.846739886285359</v>
      </c>
      <c r="AL165" s="7">
        <f t="shared" si="37"/>
        <v>17.846739886285359</v>
      </c>
      <c r="AM165" s="7">
        <f t="shared" si="37"/>
        <v>17.846739886285359</v>
      </c>
      <c r="AN165" s="7">
        <f t="shared" si="37"/>
        <v>17.846739886285359</v>
      </c>
      <c r="AO165" s="7">
        <f t="shared" si="37"/>
        <v>17.846739886285359</v>
      </c>
      <c r="AP165" s="7">
        <f t="shared" si="37"/>
        <v>17.846739886285359</v>
      </c>
      <c r="AQ165" s="7">
        <f t="shared" si="37"/>
        <v>17.846739886285359</v>
      </c>
      <c r="AR165" s="7">
        <f t="shared" si="37"/>
        <v>17.846739886285359</v>
      </c>
      <c r="AS165" s="7">
        <f t="shared" si="37"/>
        <v>17.846739886285359</v>
      </c>
      <c r="AT165" s="7">
        <f t="shared" si="37"/>
        <v>17.846739886285359</v>
      </c>
      <c r="AU165" s="7">
        <f t="shared" si="37"/>
        <v>17.846739886285359</v>
      </c>
      <c r="AV165" s="7">
        <f t="shared" si="37"/>
        <v>17.846739886285359</v>
      </c>
      <c r="AW165" s="7">
        <f t="shared" si="37"/>
        <v>17.846739886285359</v>
      </c>
      <c r="AX165" s="7">
        <f t="shared" si="37"/>
        <v>17.846739886285359</v>
      </c>
      <c r="AY165" s="7">
        <f t="shared" si="37"/>
        <v>17.846739886285359</v>
      </c>
      <c r="AZ165" s="7">
        <f t="shared" si="37"/>
        <v>17.846739886285359</v>
      </c>
      <c r="BA165" s="7">
        <f t="shared" si="37"/>
        <v>17.846739886285359</v>
      </c>
      <c r="BB165" s="7">
        <f t="shared" si="37"/>
        <v>17.846739886285359</v>
      </c>
    </row>
    <row r="166" spans="1:54" x14ac:dyDescent="0.3">
      <c r="A166" t="s">
        <v>12</v>
      </c>
      <c r="B166">
        <v>34.061000000999996</v>
      </c>
      <c r="C166">
        <v>33.670999999000003</v>
      </c>
      <c r="D166">
        <v>31.559000002999998</v>
      </c>
      <c r="E166">
        <v>35.751000003999998</v>
      </c>
      <c r="F166" s="6">
        <f>E166*('Rail EU Ref'!H47/'Rail EU Ref'!G47)</f>
        <v>37.279805160618224</v>
      </c>
      <c r="G166" s="6">
        <f>F166*('Rail EU Ref'!I47/'Rail EU Ref'!H47)</f>
        <v>38.80861031723645</v>
      </c>
      <c r="H166" s="6">
        <f>G166*('Rail EU Ref'!J47/'Rail EU Ref'!I47)</f>
        <v>40.337415473854676</v>
      </c>
      <c r="I166" s="6">
        <f>H166*('Rail EU Ref'!K47/'Rail EU Ref'!J47)</f>
        <v>41.866220630472895</v>
      </c>
      <c r="J166" s="6">
        <f>I166*('Rail EU Ref'!L47/'Rail EU Ref'!K47)</f>
        <v>43.082884313852794</v>
      </c>
      <c r="K166" s="6">
        <f>J166*('Rail EU Ref'!M47/'Rail EU Ref'!L47)</f>
        <v>44.2995479972327</v>
      </c>
      <c r="L166" s="6">
        <f>K166*('Rail EU Ref'!N47/'Rail EU Ref'!M47)</f>
        <v>45.516211680612599</v>
      </c>
      <c r="M166" s="6">
        <f>L166*('Rail EU Ref'!O47/'Rail EU Ref'!N47)</f>
        <v>46.732875363992498</v>
      </c>
      <c r="N166" s="6">
        <f>M166*('Rail EU Ref'!P47/'Rail EU Ref'!O47)</f>
        <v>47.949539047372397</v>
      </c>
      <c r="O166" s="6">
        <f>N166*('Rail EU Ref'!Q47/'Rail EU Ref'!P47)</f>
        <v>49.014567168402124</v>
      </c>
      <c r="P166" s="6">
        <f>O166*('Rail EU Ref'!R47/'Rail EU Ref'!Q47)</f>
        <v>50.079595289431857</v>
      </c>
      <c r="Q166" s="6">
        <f>P166*('Rail EU Ref'!S47/'Rail EU Ref'!R47)</f>
        <v>51.144623410461584</v>
      </c>
      <c r="R166" s="6">
        <f>Q166*('Rail EU Ref'!T47/'Rail EU Ref'!S47)</f>
        <v>52.209651531491318</v>
      </c>
      <c r="S166" s="6">
        <f>R166*('Rail EU Ref'!U47/'Rail EU Ref'!T47)</f>
        <v>53.274679652521044</v>
      </c>
      <c r="T166" s="6">
        <f>S166*('Rail EU Ref'!V47/'Rail EU Ref'!U47)</f>
        <v>54.35509225255106</v>
      </c>
      <c r="U166" s="6">
        <f>T166*('Rail EU Ref'!W47/'Rail EU Ref'!V47)</f>
        <v>55.435504852581083</v>
      </c>
      <c r="V166" s="6">
        <f>U166*('Rail EU Ref'!X47/'Rail EU Ref'!W47)</f>
        <v>56.515917452611099</v>
      </c>
      <c r="W166" s="6">
        <f>V166*('Rail EU Ref'!Y47/'Rail EU Ref'!X47)</f>
        <v>57.596330052641115</v>
      </c>
      <c r="X166" s="6">
        <f>W166*('Rail EU Ref'!Z47/'Rail EU Ref'!Y47)</f>
        <v>58.676742652671145</v>
      </c>
      <c r="Y166" s="6">
        <f>X166*('Rail EU Ref'!AA47/'Rail EU Ref'!Z47)</f>
        <v>59.436458508054656</v>
      </c>
      <c r="Z166" s="6">
        <f>Y166*('Rail EU Ref'!AB47/'Rail EU Ref'!AA47)</f>
        <v>60.196174363438168</v>
      </c>
      <c r="AA166" s="6">
        <f>Z166*('Rail EU Ref'!AC47/'Rail EU Ref'!AB47)</f>
        <v>60.955890218821679</v>
      </c>
      <c r="AB166" s="6">
        <f>AA166*('Rail EU Ref'!AD47/'Rail EU Ref'!AC47)</f>
        <v>61.715606074205191</v>
      </c>
      <c r="AC166" s="6">
        <f>AB166*('Rail EU Ref'!AE47/'Rail EU Ref'!AD47)</f>
        <v>62.475321929588702</v>
      </c>
      <c r="AD166" s="6">
        <f>AC166*('Rail EU Ref'!AF47/'Rail EU Ref'!AE47)</f>
        <v>63.231540166717721</v>
      </c>
      <c r="AE166" s="6">
        <f>AD166*('Rail EU Ref'!AG47/'Rail EU Ref'!AF47)</f>
        <v>63.98775840384674</v>
      </c>
      <c r="AF166" s="6">
        <f>AE166*('Rail EU Ref'!AH47/'Rail EU Ref'!AG47)</f>
        <v>64.74397664097576</v>
      </c>
      <c r="AG166" s="6">
        <f>AF166*('Rail EU Ref'!AI47/'Rail EU Ref'!AH47)</f>
        <v>65.500194878104779</v>
      </c>
      <c r="AH166" s="6">
        <f>AG166*('Rail EU Ref'!AJ47/'Rail EU Ref'!AI47)</f>
        <v>66.256413115233812</v>
      </c>
      <c r="AI166" s="7">
        <f t="shared" ref="AI166:BB166" si="38">AH166</f>
        <v>66.256413115233812</v>
      </c>
      <c r="AJ166" s="7">
        <f t="shared" si="38"/>
        <v>66.256413115233812</v>
      </c>
      <c r="AK166" s="7">
        <f t="shared" si="38"/>
        <v>66.256413115233812</v>
      </c>
      <c r="AL166" s="7">
        <f t="shared" si="38"/>
        <v>66.256413115233812</v>
      </c>
      <c r="AM166" s="7">
        <f t="shared" si="38"/>
        <v>66.256413115233812</v>
      </c>
      <c r="AN166" s="7">
        <f t="shared" si="38"/>
        <v>66.256413115233812</v>
      </c>
      <c r="AO166" s="7">
        <f t="shared" si="38"/>
        <v>66.256413115233812</v>
      </c>
      <c r="AP166" s="7">
        <f t="shared" si="38"/>
        <v>66.256413115233812</v>
      </c>
      <c r="AQ166" s="7">
        <f t="shared" si="38"/>
        <v>66.256413115233812</v>
      </c>
      <c r="AR166" s="7">
        <f t="shared" si="38"/>
        <v>66.256413115233812</v>
      </c>
      <c r="AS166" s="7">
        <f t="shared" si="38"/>
        <v>66.256413115233812</v>
      </c>
      <c r="AT166" s="7">
        <f t="shared" si="38"/>
        <v>66.256413115233812</v>
      </c>
      <c r="AU166" s="7">
        <f t="shared" si="38"/>
        <v>66.256413115233812</v>
      </c>
      <c r="AV166" s="7">
        <f t="shared" si="38"/>
        <v>66.256413115233812</v>
      </c>
      <c r="AW166" s="7">
        <f t="shared" si="38"/>
        <v>66.256413115233812</v>
      </c>
      <c r="AX166" s="7">
        <f t="shared" si="38"/>
        <v>66.256413115233812</v>
      </c>
      <c r="AY166" s="7">
        <f t="shared" si="38"/>
        <v>66.256413115233812</v>
      </c>
      <c r="AZ166" s="7">
        <f t="shared" si="38"/>
        <v>66.256413115233812</v>
      </c>
      <c r="BA166" s="7">
        <f t="shared" si="38"/>
        <v>66.256413115233812</v>
      </c>
      <c r="BB166" s="7">
        <f t="shared" si="38"/>
        <v>66.256413115233812</v>
      </c>
    </row>
    <row r="167" spans="1:54" x14ac:dyDescent="0.3">
      <c r="A167" t="s">
        <v>10</v>
      </c>
      <c r="B167">
        <v>0.40800000000000003</v>
      </c>
      <c r="C167">
        <v>0.49099999999999999</v>
      </c>
      <c r="D167">
        <v>0.55499999999999994</v>
      </c>
      <c r="E167">
        <v>0.57800000000000007</v>
      </c>
      <c r="F167" s="6">
        <f>E167*('Rail EU Ref'!H48/'Rail EU Ref'!G48)</f>
        <v>0.59920577729994295</v>
      </c>
      <c r="G167" s="6">
        <f>F167*('Rail EU Ref'!I48/'Rail EU Ref'!H48)</f>
        <v>0.62041155459988584</v>
      </c>
      <c r="H167" s="6">
        <f>G167*('Rail EU Ref'!J48/'Rail EU Ref'!I48)</f>
        <v>0.64161733189982872</v>
      </c>
      <c r="I167" s="6">
        <f>H167*('Rail EU Ref'!K48/'Rail EU Ref'!J48)</f>
        <v>0.66282310919977161</v>
      </c>
      <c r="J167" s="6">
        <f>I167*('Rail EU Ref'!L48/'Rail EU Ref'!K48)</f>
        <v>0.66704085462409335</v>
      </c>
      <c r="K167" s="6">
        <f>J167*('Rail EU Ref'!M48/'Rail EU Ref'!L48)</f>
        <v>0.67125860004841509</v>
      </c>
      <c r="L167" s="6">
        <f>K167*('Rail EU Ref'!N48/'Rail EU Ref'!M48)</f>
        <v>0.67547634547273694</v>
      </c>
      <c r="M167" s="6">
        <f>L167*('Rail EU Ref'!O48/'Rail EU Ref'!N48)</f>
        <v>0.67969409089705879</v>
      </c>
      <c r="N167" s="6">
        <f>M167*('Rail EU Ref'!P48/'Rail EU Ref'!O48)</f>
        <v>0.68391183632138042</v>
      </c>
      <c r="O167" s="6">
        <f>N167*('Rail EU Ref'!Q48/'Rail EU Ref'!P48)</f>
        <v>0.69127578342976903</v>
      </c>
      <c r="P167" s="6">
        <f>O167*('Rail EU Ref'!R48/'Rail EU Ref'!Q48)</f>
        <v>0.69863973053815764</v>
      </c>
      <c r="Q167" s="6">
        <f>P167*('Rail EU Ref'!S48/'Rail EU Ref'!R48)</f>
        <v>0.70600367764654626</v>
      </c>
      <c r="R167" s="6">
        <f>Q167*('Rail EU Ref'!T48/'Rail EU Ref'!S48)</f>
        <v>0.71336762475493487</v>
      </c>
      <c r="S167" s="6">
        <f>R167*('Rail EU Ref'!U48/'Rail EU Ref'!T48)</f>
        <v>0.72073157186332359</v>
      </c>
      <c r="T167" s="6">
        <f>S167*('Rail EU Ref'!V48/'Rail EU Ref'!U48)</f>
        <v>0.72820615898129881</v>
      </c>
      <c r="U167" s="6">
        <f>T167*('Rail EU Ref'!W48/'Rail EU Ref'!V48)</f>
        <v>0.73568074609927392</v>
      </c>
      <c r="V167" s="6">
        <f>U167*('Rail EU Ref'!X48/'Rail EU Ref'!W48)</f>
        <v>0.74315533321724914</v>
      </c>
      <c r="W167" s="6">
        <f>V167*('Rail EU Ref'!Y48/'Rail EU Ref'!X48)</f>
        <v>0.75062992033522424</v>
      </c>
      <c r="X167" s="6">
        <f>W167*('Rail EU Ref'!Z48/'Rail EU Ref'!Y48)</f>
        <v>0.75810450745319924</v>
      </c>
      <c r="Y167" s="6">
        <f>X167*('Rail EU Ref'!AA48/'Rail EU Ref'!Z48)</f>
        <v>0.76400474923207995</v>
      </c>
      <c r="Z167" s="6">
        <f>Y167*('Rail EU Ref'!AB48/'Rail EU Ref'!AA48)</f>
        <v>0.76990499101096077</v>
      </c>
      <c r="AA167" s="6">
        <f>Z167*('Rail EU Ref'!AC48/'Rail EU Ref'!AB48)</f>
        <v>0.77580523278984159</v>
      </c>
      <c r="AB167" s="6">
        <f>AA167*('Rail EU Ref'!AD48/'Rail EU Ref'!AC48)</f>
        <v>0.7817054745687223</v>
      </c>
      <c r="AC167" s="6">
        <f>AB167*('Rail EU Ref'!AE48/'Rail EU Ref'!AD48)</f>
        <v>0.7876057163476029</v>
      </c>
      <c r="AD167" s="6">
        <f>AC167*('Rail EU Ref'!AF48/'Rail EU Ref'!AE48)</f>
        <v>0.79441496943186063</v>
      </c>
      <c r="AE167" s="6">
        <f>AD167*('Rail EU Ref'!AG48/'Rail EU Ref'!AF48)</f>
        <v>0.80122422251611847</v>
      </c>
      <c r="AF167" s="6">
        <f>AE167*('Rail EU Ref'!AH48/'Rail EU Ref'!AG48)</f>
        <v>0.80803347560037631</v>
      </c>
      <c r="AG167" s="6">
        <f>AF167*('Rail EU Ref'!AI48/'Rail EU Ref'!AH48)</f>
        <v>0.81484272868463403</v>
      </c>
      <c r="AH167" s="6">
        <f>AG167*('Rail EU Ref'!AJ48/'Rail EU Ref'!AI48)</f>
        <v>0.82165198176889198</v>
      </c>
      <c r="AI167" s="7">
        <f t="shared" ref="AI167:BB167" si="39">AH167</f>
        <v>0.82165198176889198</v>
      </c>
      <c r="AJ167" s="7">
        <f t="shared" si="39"/>
        <v>0.82165198176889198</v>
      </c>
      <c r="AK167" s="7">
        <f t="shared" si="39"/>
        <v>0.82165198176889198</v>
      </c>
      <c r="AL167" s="7">
        <f t="shared" si="39"/>
        <v>0.82165198176889198</v>
      </c>
      <c r="AM167" s="7">
        <f t="shared" si="39"/>
        <v>0.82165198176889198</v>
      </c>
      <c r="AN167" s="7">
        <f t="shared" si="39"/>
        <v>0.82165198176889198</v>
      </c>
      <c r="AO167" s="7">
        <f t="shared" si="39"/>
        <v>0.82165198176889198</v>
      </c>
      <c r="AP167" s="7">
        <f t="shared" si="39"/>
        <v>0.82165198176889198</v>
      </c>
      <c r="AQ167" s="7">
        <f t="shared" si="39"/>
        <v>0.82165198176889198</v>
      </c>
      <c r="AR167" s="7">
        <f t="shared" si="39"/>
        <v>0.82165198176889198</v>
      </c>
      <c r="AS167" s="7">
        <f t="shared" si="39"/>
        <v>0.82165198176889198</v>
      </c>
      <c r="AT167" s="7">
        <f t="shared" si="39"/>
        <v>0.82165198176889198</v>
      </c>
      <c r="AU167" s="7">
        <f t="shared" si="39"/>
        <v>0.82165198176889198</v>
      </c>
      <c r="AV167" s="7">
        <f t="shared" si="39"/>
        <v>0.82165198176889198</v>
      </c>
      <c r="AW167" s="7">
        <f t="shared" si="39"/>
        <v>0.82165198176889198</v>
      </c>
      <c r="AX167" s="7">
        <f t="shared" si="39"/>
        <v>0.82165198176889198</v>
      </c>
      <c r="AY167" s="7">
        <f t="shared" si="39"/>
        <v>0.82165198176889198</v>
      </c>
      <c r="AZ167" s="7">
        <f t="shared" si="39"/>
        <v>0.82165198176889198</v>
      </c>
      <c r="BA167" s="7">
        <f t="shared" si="39"/>
        <v>0.82165198176889198</v>
      </c>
      <c r="BB167" s="7">
        <f t="shared" si="39"/>
        <v>0.82165198176889198</v>
      </c>
    </row>
    <row r="168" spans="1:54" x14ac:dyDescent="0.3">
      <c r="A168" t="s">
        <v>13</v>
      </c>
      <c r="B168">
        <v>2.7429999999999999</v>
      </c>
      <c r="C168">
        <v>2.9109999999999996</v>
      </c>
      <c r="D168">
        <v>3.2789999999999999</v>
      </c>
      <c r="E168">
        <v>3.1720000000000002</v>
      </c>
      <c r="F168" s="6">
        <f>E168*('Rail EU Ref'!H49/'Rail EU Ref'!G49)</f>
        <v>3.263218553756122</v>
      </c>
      <c r="G168" s="6">
        <f>F168*('Rail EU Ref'!I49/'Rail EU Ref'!H49)</f>
        <v>3.3544371075122443</v>
      </c>
      <c r="H168" s="6">
        <f>G168*('Rail EU Ref'!J49/'Rail EU Ref'!I49)</f>
        <v>3.4456556612683666</v>
      </c>
      <c r="I168" s="6">
        <f>H168*('Rail EU Ref'!K49/'Rail EU Ref'!J49)</f>
        <v>3.5368742150244881</v>
      </c>
      <c r="J168" s="6">
        <f>I168*('Rail EU Ref'!L49/'Rail EU Ref'!K49)</f>
        <v>3.6102309313737599</v>
      </c>
      <c r="K168" s="6">
        <f>J168*('Rail EU Ref'!M49/'Rail EU Ref'!L49)</f>
        <v>3.6835876477230314</v>
      </c>
      <c r="L168" s="6">
        <f>K168*('Rail EU Ref'!N49/'Rail EU Ref'!M49)</f>
        <v>3.7569443640723033</v>
      </c>
      <c r="M168" s="6">
        <f>L168*('Rail EU Ref'!O49/'Rail EU Ref'!N49)</f>
        <v>3.8303010804215747</v>
      </c>
      <c r="N168" s="6">
        <f>M168*('Rail EU Ref'!P49/'Rail EU Ref'!O49)</f>
        <v>3.9036577967708475</v>
      </c>
      <c r="O168" s="6">
        <f>N168*('Rail EU Ref'!Q49/'Rail EU Ref'!P49)</f>
        <v>3.9453920134995299</v>
      </c>
      <c r="P168" s="6">
        <f>O168*('Rail EU Ref'!R49/'Rail EU Ref'!Q49)</f>
        <v>3.9871262302282124</v>
      </c>
      <c r="Q168" s="6">
        <f>P168*('Rail EU Ref'!S49/'Rail EU Ref'!R49)</f>
        <v>4.0288604469568945</v>
      </c>
      <c r="R168" s="6">
        <f>Q168*('Rail EU Ref'!T49/'Rail EU Ref'!S49)</f>
        <v>4.0705946636855765</v>
      </c>
      <c r="S168" s="6">
        <f>R168*('Rail EU Ref'!U49/'Rail EU Ref'!T49)</f>
        <v>4.1123288804142586</v>
      </c>
      <c r="T168" s="6">
        <f>S168*('Rail EU Ref'!V49/'Rail EU Ref'!U49)</f>
        <v>4.142995729265353</v>
      </c>
      <c r="U168" s="6">
        <f>T168*('Rail EU Ref'!W49/'Rail EU Ref'!V49)</f>
        <v>4.1736625781164483</v>
      </c>
      <c r="V168" s="6">
        <f>U168*('Rail EU Ref'!X49/'Rail EU Ref'!W49)</f>
        <v>4.2043294269675435</v>
      </c>
      <c r="W168" s="6">
        <f>V168*('Rail EU Ref'!Y49/'Rail EU Ref'!X49)</f>
        <v>4.2349962758186388</v>
      </c>
      <c r="X168" s="6">
        <f>W168*('Rail EU Ref'!Z49/'Rail EU Ref'!Y49)</f>
        <v>4.2656631246697332</v>
      </c>
      <c r="Y168" s="6">
        <f>X168*('Rail EU Ref'!AA49/'Rail EU Ref'!Z49)</f>
        <v>4.2962186727353942</v>
      </c>
      <c r="Z168" s="6">
        <f>Y168*('Rail EU Ref'!AB49/'Rail EU Ref'!AA49)</f>
        <v>4.3267742208010542</v>
      </c>
      <c r="AA168" s="6">
        <f>Z168*('Rail EU Ref'!AC49/'Rail EU Ref'!AB49)</f>
        <v>4.3573297688667152</v>
      </c>
      <c r="AB168" s="6">
        <f>AA168*('Rail EU Ref'!AD49/'Rail EU Ref'!AC49)</f>
        <v>4.3878853169323753</v>
      </c>
      <c r="AC168" s="6">
        <f>AB168*('Rail EU Ref'!AE49/'Rail EU Ref'!AD49)</f>
        <v>4.4184408649980362</v>
      </c>
      <c r="AD168" s="6">
        <f>AC168*('Rail EU Ref'!AF49/'Rail EU Ref'!AE49)</f>
        <v>4.442967805108621</v>
      </c>
      <c r="AE168" s="6">
        <f>AD168*('Rail EU Ref'!AG49/'Rail EU Ref'!AF49)</f>
        <v>4.4674947452192058</v>
      </c>
      <c r="AF168" s="6">
        <f>AE168*('Rail EU Ref'!AH49/'Rail EU Ref'!AG49)</f>
        <v>4.4920216853297905</v>
      </c>
      <c r="AG168" s="6">
        <f>AF168*('Rail EU Ref'!AI49/'Rail EU Ref'!AH49)</f>
        <v>4.5165486254403753</v>
      </c>
      <c r="AH168" s="6">
        <f>AG168*('Rail EU Ref'!AJ49/'Rail EU Ref'!AI49)</f>
        <v>4.5410755655509609</v>
      </c>
      <c r="AI168" s="7">
        <f t="shared" ref="AI168:BB168" si="40">AH168</f>
        <v>4.5410755655509609</v>
      </c>
      <c r="AJ168" s="7">
        <f t="shared" si="40"/>
        <v>4.5410755655509609</v>
      </c>
      <c r="AK168" s="7">
        <f t="shared" si="40"/>
        <v>4.5410755655509609</v>
      </c>
      <c r="AL168" s="7">
        <f t="shared" si="40"/>
        <v>4.5410755655509609</v>
      </c>
      <c r="AM168" s="7">
        <f t="shared" si="40"/>
        <v>4.5410755655509609</v>
      </c>
      <c r="AN168" s="7">
        <f t="shared" si="40"/>
        <v>4.5410755655509609</v>
      </c>
      <c r="AO168" s="7">
        <f t="shared" si="40"/>
        <v>4.5410755655509609</v>
      </c>
      <c r="AP168" s="7">
        <f t="shared" si="40"/>
        <v>4.5410755655509609</v>
      </c>
      <c r="AQ168" s="7">
        <f t="shared" si="40"/>
        <v>4.5410755655509609</v>
      </c>
      <c r="AR168" s="7">
        <f t="shared" si="40"/>
        <v>4.5410755655509609</v>
      </c>
      <c r="AS168" s="7">
        <f t="shared" si="40"/>
        <v>4.5410755655509609</v>
      </c>
      <c r="AT168" s="7">
        <f t="shared" si="40"/>
        <v>4.5410755655509609</v>
      </c>
      <c r="AU168" s="7">
        <f t="shared" si="40"/>
        <v>4.5410755655509609</v>
      </c>
      <c r="AV168" s="7">
        <f t="shared" si="40"/>
        <v>4.5410755655509609</v>
      </c>
      <c r="AW168" s="7">
        <f t="shared" si="40"/>
        <v>4.5410755655509609</v>
      </c>
      <c r="AX168" s="7">
        <f t="shared" si="40"/>
        <v>4.5410755655509609</v>
      </c>
      <c r="AY168" s="7">
        <f t="shared" si="40"/>
        <v>4.5410755655509609</v>
      </c>
      <c r="AZ168" s="7">
        <f t="shared" si="40"/>
        <v>4.5410755655509609</v>
      </c>
      <c r="BA168" s="7">
        <f t="shared" si="40"/>
        <v>4.5410755655509609</v>
      </c>
      <c r="BB168" s="7">
        <f t="shared" si="40"/>
        <v>4.5410755655509609</v>
      </c>
    </row>
    <row r="169" spans="1:54" x14ac:dyDescent="0.3">
      <c r="A169" t="s">
        <v>19</v>
      </c>
      <c r="B169">
        <v>10.584</v>
      </c>
      <c r="C169">
        <v>10.625</v>
      </c>
      <c r="D169">
        <v>11.594999996999999</v>
      </c>
      <c r="E169">
        <v>11.347</v>
      </c>
      <c r="F169" s="6">
        <f>E169*('Rail EU Ref'!H50/'Rail EU Ref'!G50)</f>
        <v>11.960078243574072</v>
      </c>
      <c r="G169" s="6">
        <f>F169*('Rail EU Ref'!I50/'Rail EU Ref'!H50)</f>
        <v>12.573156487148143</v>
      </c>
      <c r="H169" s="6">
        <f>G169*('Rail EU Ref'!J50/'Rail EU Ref'!I50)</f>
        <v>13.186234730722212</v>
      </c>
      <c r="I169" s="6">
        <f>H169*('Rail EU Ref'!K50/'Rail EU Ref'!J50)</f>
        <v>13.799312974296281</v>
      </c>
      <c r="J169" s="6">
        <f>I169*('Rail EU Ref'!L50/'Rail EU Ref'!K50)</f>
        <v>14.328280317119752</v>
      </c>
      <c r="K169" s="6">
        <f>J169*('Rail EU Ref'!M50/'Rail EU Ref'!L50)</f>
        <v>14.857247659943221</v>
      </c>
      <c r="L169" s="6">
        <f>K169*('Rail EU Ref'!N50/'Rail EU Ref'!M50)</f>
        <v>15.386215002766692</v>
      </c>
      <c r="M169" s="6">
        <f>L169*('Rail EU Ref'!O50/'Rail EU Ref'!N50)</f>
        <v>15.915182345590161</v>
      </c>
      <c r="N169" s="6">
        <f>M169*('Rail EU Ref'!P50/'Rail EU Ref'!O50)</f>
        <v>16.444149688413628</v>
      </c>
      <c r="O169" s="6">
        <f>N169*('Rail EU Ref'!Q50/'Rail EU Ref'!P50)</f>
        <v>16.932772869538628</v>
      </c>
      <c r="P169" s="6">
        <f>O169*('Rail EU Ref'!R50/'Rail EU Ref'!Q50)</f>
        <v>17.421396050663628</v>
      </c>
      <c r="Q169" s="6">
        <f>P169*('Rail EU Ref'!S50/'Rail EU Ref'!R50)</f>
        <v>17.910019231788631</v>
      </c>
      <c r="R169" s="6">
        <f>Q169*('Rail EU Ref'!T50/'Rail EU Ref'!S50)</f>
        <v>18.398642412913635</v>
      </c>
      <c r="S169" s="6">
        <f>R169*('Rail EU Ref'!U50/'Rail EU Ref'!T50)</f>
        <v>18.887265594038627</v>
      </c>
      <c r="T169" s="6">
        <f>S169*('Rail EU Ref'!V50/'Rail EU Ref'!U50)</f>
        <v>19.277167446989445</v>
      </c>
      <c r="U169" s="6">
        <f>T169*('Rail EU Ref'!W50/'Rail EU Ref'!V50)</f>
        <v>19.667069299940266</v>
      </c>
      <c r="V169" s="6">
        <f>U169*('Rail EU Ref'!X50/'Rail EU Ref'!W50)</f>
        <v>20.056971152891084</v>
      </c>
      <c r="W169" s="6">
        <f>V169*('Rail EU Ref'!Y50/'Rail EU Ref'!X50)</f>
        <v>20.446873005841901</v>
      </c>
      <c r="X169" s="6">
        <f>W169*('Rail EU Ref'!Z50/'Rail EU Ref'!Y50)</f>
        <v>20.836774858792715</v>
      </c>
      <c r="Y169" s="6">
        <f>X169*('Rail EU Ref'!AA50/'Rail EU Ref'!Z50)</f>
        <v>21.090845449175976</v>
      </c>
      <c r="Z169" s="6">
        <f>Y169*('Rail EU Ref'!AB50/'Rail EU Ref'!AA50)</f>
        <v>21.344916039559234</v>
      </c>
      <c r="AA169" s="6">
        <f>Z169*('Rail EU Ref'!AC50/'Rail EU Ref'!AB50)</f>
        <v>21.598986629942491</v>
      </c>
      <c r="AB169" s="6">
        <f>AA169*('Rail EU Ref'!AD50/'Rail EU Ref'!AC50)</f>
        <v>21.853057220325748</v>
      </c>
      <c r="AC169" s="6">
        <f>AB169*('Rail EU Ref'!AE50/'Rail EU Ref'!AD50)</f>
        <v>22.107127810709002</v>
      </c>
      <c r="AD169" s="6">
        <f>AC169*('Rail EU Ref'!AF50/'Rail EU Ref'!AE50)</f>
        <v>22.370045400986456</v>
      </c>
      <c r="AE169" s="6">
        <f>AD169*('Rail EU Ref'!AG50/'Rail EU Ref'!AF50)</f>
        <v>22.632962991263913</v>
      </c>
      <c r="AF169" s="6">
        <f>AE169*('Rail EU Ref'!AH50/'Rail EU Ref'!AG50)</f>
        <v>22.89588058154137</v>
      </c>
      <c r="AG169" s="6">
        <f>AF169*('Rail EU Ref'!AI50/'Rail EU Ref'!AH50)</f>
        <v>23.158798171818827</v>
      </c>
      <c r="AH169" s="6">
        <f>AG169*('Rail EU Ref'!AJ50/'Rail EU Ref'!AI50)</f>
        <v>23.42171576209628</v>
      </c>
      <c r="AI169" s="7">
        <f t="shared" ref="AI169:BB169" si="41">AH169</f>
        <v>23.42171576209628</v>
      </c>
      <c r="AJ169" s="7">
        <f t="shared" si="41"/>
        <v>23.42171576209628</v>
      </c>
      <c r="AK169" s="7">
        <f t="shared" si="41"/>
        <v>23.42171576209628</v>
      </c>
      <c r="AL169" s="7">
        <f t="shared" si="41"/>
        <v>23.42171576209628</v>
      </c>
      <c r="AM169" s="7">
        <f t="shared" si="41"/>
        <v>23.42171576209628</v>
      </c>
      <c r="AN169" s="7">
        <f t="shared" si="41"/>
        <v>23.42171576209628</v>
      </c>
      <c r="AO169" s="7">
        <f t="shared" si="41"/>
        <v>23.42171576209628</v>
      </c>
      <c r="AP169" s="7">
        <f t="shared" si="41"/>
        <v>23.42171576209628</v>
      </c>
      <c r="AQ169" s="7">
        <f t="shared" si="41"/>
        <v>23.42171576209628</v>
      </c>
      <c r="AR169" s="7">
        <f t="shared" si="41"/>
        <v>23.42171576209628</v>
      </c>
      <c r="AS169" s="7">
        <f t="shared" si="41"/>
        <v>23.42171576209628</v>
      </c>
      <c r="AT169" s="7">
        <f t="shared" si="41"/>
        <v>23.42171576209628</v>
      </c>
      <c r="AU169" s="7">
        <f t="shared" si="41"/>
        <v>23.42171576209628</v>
      </c>
      <c r="AV169" s="7">
        <f t="shared" si="41"/>
        <v>23.42171576209628</v>
      </c>
      <c r="AW169" s="7">
        <f t="shared" si="41"/>
        <v>23.42171576209628</v>
      </c>
      <c r="AX169" s="7">
        <f t="shared" si="41"/>
        <v>23.42171576209628</v>
      </c>
      <c r="AY169" s="7">
        <f t="shared" si="41"/>
        <v>23.42171576209628</v>
      </c>
      <c r="AZ169" s="7">
        <f t="shared" si="41"/>
        <v>23.42171576209628</v>
      </c>
      <c r="BA169" s="7">
        <f t="shared" si="41"/>
        <v>23.42171576209628</v>
      </c>
      <c r="BB169" s="7">
        <f t="shared" si="41"/>
        <v>23.42171576209628</v>
      </c>
    </row>
    <row r="170" spans="1:54" x14ac:dyDescent="0.3">
      <c r="A170" t="s">
        <v>9</v>
      </c>
      <c r="B170">
        <v>8.900000000000001E-2</v>
      </c>
      <c r="C170">
        <v>7.1999999999999995E-2</v>
      </c>
      <c r="D170">
        <v>7.400000000000001E-2</v>
      </c>
      <c r="E170">
        <v>6.9999999999999993E-2</v>
      </c>
      <c r="F170" s="6">
        <f>E170*('Rail EU Ref'!H51/'Rail EU Ref'!G51)</f>
        <v>7.2723315194063221E-2</v>
      </c>
      <c r="G170" s="6">
        <f>F170*('Rail EU Ref'!I51/'Rail EU Ref'!H51)</f>
        <v>7.5446630388126434E-2</v>
      </c>
      <c r="H170" s="6">
        <f>G170*('Rail EU Ref'!J51/'Rail EU Ref'!I51)</f>
        <v>7.8169945582189648E-2</v>
      </c>
      <c r="I170" s="6">
        <f>H170*('Rail EU Ref'!K51/'Rail EU Ref'!J51)</f>
        <v>8.089326077625289E-2</v>
      </c>
      <c r="J170" s="6">
        <f>I170*('Rail EU Ref'!L51/'Rail EU Ref'!K51)</f>
        <v>8.2443045393004316E-2</v>
      </c>
      <c r="K170" s="6">
        <f>J170*('Rail EU Ref'!M51/'Rail EU Ref'!L51)</f>
        <v>8.3992830009755742E-2</v>
      </c>
      <c r="L170" s="6">
        <f>K170*('Rail EU Ref'!N51/'Rail EU Ref'!M51)</f>
        <v>8.5542614626507155E-2</v>
      </c>
      <c r="M170" s="6">
        <f>L170*('Rail EU Ref'!O51/'Rail EU Ref'!N51)</f>
        <v>8.7092399243258567E-2</v>
      </c>
      <c r="N170" s="6">
        <f>M170*('Rail EU Ref'!P51/'Rail EU Ref'!O51)</f>
        <v>8.8642183860009965E-2</v>
      </c>
      <c r="O170" s="6">
        <f>N170*('Rail EU Ref'!Q51/'Rail EU Ref'!P51)</f>
        <v>9.0242346439017337E-2</v>
      </c>
      <c r="P170" s="6">
        <f>O170*('Rail EU Ref'!R51/'Rail EU Ref'!Q51)</f>
        <v>9.1842509018024696E-2</v>
      </c>
      <c r="Q170" s="6">
        <f>P170*('Rail EU Ref'!S51/'Rail EU Ref'!R51)</f>
        <v>9.3442671597032068E-2</v>
      </c>
      <c r="R170" s="6">
        <f>Q170*('Rail EU Ref'!T51/'Rail EU Ref'!S51)</f>
        <v>9.504283417603944E-2</v>
      </c>
      <c r="S170" s="6">
        <f>R170*('Rail EU Ref'!U51/'Rail EU Ref'!T51)</f>
        <v>9.6642996755046784E-2</v>
      </c>
      <c r="T170" s="6">
        <f>S170*('Rail EU Ref'!V51/'Rail EU Ref'!U51)</f>
        <v>9.8167177625418059E-2</v>
      </c>
      <c r="U170" s="6">
        <f>T170*('Rail EU Ref'!W51/'Rail EU Ref'!V51)</f>
        <v>9.9691358495789334E-2</v>
      </c>
      <c r="V170" s="6">
        <f>U170*('Rail EU Ref'!X51/'Rail EU Ref'!W51)</f>
        <v>0.10121553936616061</v>
      </c>
      <c r="W170" s="6">
        <f>V170*('Rail EU Ref'!Y51/'Rail EU Ref'!X51)</f>
        <v>0.10273972023653188</v>
      </c>
      <c r="X170" s="6">
        <f>W170*('Rail EU Ref'!Z51/'Rail EU Ref'!Y51)</f>
        <v>0.10426390110690316</v>
      </c>
      <c r="Y170" s="6">
        <f>X170*('Rail EU Ref'!AA51/'Rail EU Ref'!Z51)</f>
        <v>0.10549888847572797</v>
      </c>
      <c r="Z170" s="6">
        <f>Y170*('Rail EU Ref'!AB51/'Rail EU Ref'!AA51)</f>
        <v>0.10673387584455277</v>
      </c>
      <c r="AA170" s="6">
        <f>Z170*('Rail EU Ref'!AC51/'Rail EU Ref'!AB51)</f>
        <v>0.10796886321337759</v>
      </c>
      <c r="AB170" s="6">
        <f>AA170*('Rail EU Ref'!AD51/'Rail EU Ref'!AC51)</f>
        <v>0.1092038505822024</v>
      </c>
      <c r="AC170" s="6">
        <f>AB170*('Rail EU Ref'!AE51/'Rail EU Ref'!AD51)</f>
        <v>0.11043883795102716</v>
      </c>
      <c r="AD170" s="6">
        <f>AC170*('Rail EU Ref'!AF51/'Rail EU Ref'!AE51)</f>
        <v>0.11090696122634919</v>
      </c>
      <c r="AE170" s="6">
        <f>AD170*('Rail EU Ref'!AG51/'Rail EU Ref'!AF51)</f>
        <v>0.11137508450167122</v>
      </c>
      <c r="AF170" s="6">
        <f>AE170*('Rail EU Ref'!AH51/'Rail EU Ref'!AG51)</f>
        <v>0.11184320777699325</v>
      </c>
      <c r="AG170" s="6">
        <f>AF170*('Rail EU Ref'!AI51/'Rail EU Ref'!AH51)</f>
        <v>0.11231133105231526</v>
      </c>
      <c r="AH170" s="6">
        <f>AG170*('Rail EU Ref'!AJ51/'Rail EU Ref'!AI51)</f>
        <v>0.11277945432763734</v>
      </c>
      <c r="AI170" s="7">
        <f t="shared" ref="AI170:BB170" si="42">AH170</f>
        <v>0.11277945432763734</v>
      </c>
      <c r="AJ170" s="7">
        <f t="shared" si="42"/>
        <v>0.11277945432763734</v>
      </c>
      <c r="AK170" s="7">
        <f t="shared" si="42"/>
        <v>0.11277945432763734</v>
      </c>
      <c r="AL170" s="7">
        <f t="shared" si="42"/>
        <v>0.11277945432763734</v>
      </c>
      <c r="AM170" s="7">
        <f t="shared" si="42"/>
        <v>0.11277945432763734</v>
      </c>
      <c r="AN170" s="7">
        <f t="shared" si="42"/>
        <v>0.11277945432763734</v>
      </c>
      <c r="AO170" s="7">
        <f t="shared" si="42"/>
        <v>0.11277945432763734</v>
      </c>
      <c r="AP170" s="7">
        <f t="shared" si="42"/>
        <v>0.11277945432763734</v>
      </c>
      <c r="AQ170" s="7">
        <f t="shared" si="42"/>
        <v>0.11277945432763734</v>
      </c>
      <c r="AR170" s="7">
        <f t="shared" si="42"/>
        <v>0.11277945432763734</v>
      </c>
      <c r="AS170" s="7">
        <f t="shared" si="42"/>
        <v>0.11277945432763734</v>
      </c>
      <c r="AT170" s="7">
        <f t="shared" si="42"/>
        <v>0.11277945432763734</v>
      </c>
      <c r="AU170" s="7">
        <f t="shared" si="42"/>
        <v>0.11277945432763734</v>
      </c>
      <c r="AV170" s="7">
        <f t="shared" si="42"/>
        <v>0.11277945432763734</v>
      </c>
      <c r="AW170" s="7">
        <f t="shared" si="42"/>
        <v>0.11277945432763734</v>
      </c>
      <c r="AX170" s="7">
        <f t="shared" si="42"/>
        <v>0.11277945432763734</v>
      </c>
      <c r="AY170" s="7">
        <f t="shared" si="42"/>
        <v>0.11277945432763734</v>
      </c>
      <c r="AZ170" s="7">
        <f t="shared" si="42"/>
        <v>0.11277945432763734</v>
      </c>
      <c r="BA170" s="7">
        <f t="shared" si="42"/>
        <v>0.11277945432763734</v>
      </c>
      <c r="BB170" s="7">
        <f t="shared" si="42"/>
        <v>0.11277945432763734</v>
      </c>
    </row>
    <row r="171" spans="1:54" x14ac:dyDescent="0.3">
      <c r="A171" t="s">
        <v>14</v>
      </c>
      <c r="B171">
        <v>22.070000002</v>
      </c>
      <c r="C171">
        <v>21.309000002000001</v>
      </c>
      <c r="D171">
        <v>20.75</v>
      </c>
      <c r="E171">
        <v>24.261999998</v>
      </c>
      <c r="F171" s="6">
        <f>E171*('Rail EU Ref'!H52/'Rail EU Ref'!G52)</f>
        <v>25.082292969704078</v>
      </c>
      <c r="G171" s="6">
        <f>F171*('Rail EU Ref'!I52/'Rail EU Ref'!H52)</f>
        <v>25.902585941408159</v>
      </c>
      <c r="H171" s="6">
        <f>G171*('Rail EU Ref'!J52/'Rail EU Ref'!I52)</f>
        <v>26.722878913112236</v>
      </c>
      <c r="I171" s="6">
        <f>H171*('Rail EU Ref'!K52/'Rail EU Ref'!J52)</f>
        <v>27.543171884816314</v>
      </c>
      <c r="J171" s="6">
        <f>I171*('Rail EU Ref'!L52/'Rail EU Ref'!K52)</f>
        <v>27.956676915481811</v>
      </c>
      <c r="K171" s="6">
        <f>J171*('Rail EU Ref'!M52/'Rail EU Ref'!L52)</f>
        <v>28.370181946147305</v>
      </c>
      <c r="L171" s="6">
        <f>K171*('Rail EU Ref'!N52/'Rail EU Ref'!M52)</f>
        <v>28.783686976812806</v>
      </c>
      <c r="M171" s="6">
        <f>L171*('Rail EU Ref'!O52/'Rail EU Ref'!N52)</f>
        <v>29.197192007478304</v>
      </c>
      <c r="N171" s="6">
        <f>M171*('Rail EU Ref'!P52/'Rail EU Ref'!O52)</f>
        <v>29.610697038143808</v>
      </c>
      <c r="O171" s="6">
        <f>N171*('Rail EU Ref'!Q52/'Rail EU Ref'!P52)</f>
        <v>29.961001415456423</v>
      </c>
      <c r="P171" s="6">
        <f>O171*('Rail EU Ref'!R52/'Rail EU Ref'!Q52)</f>
        <v>30.311305792769037</v>
      </c>
      <c r="Q171" s="6">
        <f>P171*('Rail EU Ref'!S52/'Rail EU Ref'!R52)</f>
        <v>30.661610170081651</v>
      </c>
      <c r="R171" s="6">
        <f>Q171*('Rail EU Ref'!T52/'Rail EU Ref'!S52)</f>
        <v>31.011914547394269</v>
      </c>
      <c r="S171" s="6">
        <f>R171*('Rail EU Ref'!U52/'Rail EU Ref'!T52)</f>
        <v>31.362218924706887</v>
      </c>
      <c r="T171" s="6">
        <f>S171*('Rail EU Ref'!V52/'Rail EU Ref'!U52)</f>
        <v>31.674383555001292</v>
      </c>
      <c r="U171" s="6">
        <f>T171*('Rail EU Ref'!W52/'Rail EU Ref'!V52)</f>
        <v>31.986548185295689</v>
      </c>
      <c r="V171" s="6">
        <f>U171*('Rail EU Ref'!X52/'Rail EU Ref'!W52)</f>
        <v>32.298712815590086</v>
      </c>
      <c r="W171" s="6">
        <f>V171*('Rail EU Ref'!Y52/'Rail EU Ref'!X52)</f>
        <v>32.610877445884483</v>
      </c>
      <c r="X171" s="6">
        <f>W171*('Rail EU Ref'!Z52/'Rail EU Ref'!Y52)</f>
        <v>32.923042076178888</v>
      </c>
      <c r="Y171" s="6">
        <f>X171*('Rail EU Ref'!AA52/'Rail EU Ref'!Z52)</f>
        <v>33.065528893027256</v>
      </c>
      <c r="Z171" s="6">
        <f>Y171*('Rail EU Ref'!AB52/'Rail EU Ref'!AA52)</f>
        <v>33.208015709875617</v>
      </c>
      <c r="AA171" s="6">
        <f>Z171*('Rail EU Ref'!AC52/'Rail EU Ref'!AB52)</f>
        <v>33.350502526723986</v>
      </c>
      <c r="AB171" s="6">
        <f>AA171*('Rail EU Ref'!AD52/'Rail EU Ref'!AC52)</f>
        <v>33.492989343572347</v>
      </c>
      <c r="AC171" s="6">
        <f>AB171*('Rail EU Ref'!AE52/'Rail EU Ref'!AD52)</f>
        <v>33.635476160420708</v>
      </c>
      <c r="AD171" s="6">
        <f>AC171*('Rail EU Ref'!AF52/'Rail EU Ref'!AE52)</f>
        <v>33.801605740330864</v>
      </c>
      <c r="AE171" s="6">
        <f>AD171*('Rail EU Ref'!AG52/'Rail EU Ref'!AF52)</f>
        <v>33.967735320241012</v>
      </c>
      <c r="AF171" s="6">
        <f>AE171*('Rail EU Ref'!AH52/'Rail EU Ref'!AG52)</f>
        <v>34.13386490015116</v>
      </c>
      <c r="AG171" s="6">
        <f>AF171*('Rail EU Ref'!AI52/'Rail EU Ref'!AH52)</f>
        <v>34.299994480061308</v>
      </c>
      <c r="AH171" s="6">
        <f>AG171*('Rail EU Ref'!AJ52/'Rail EU Ref'!AI52)</f>
        <v>34.466124059971456</v>
      </c>
      <c r="AI171" s="7">
        <f t="shared" ref="AI171:BB171" si="43">AH171</f>
        <v>34.466124059971456</v>
      </c>
      <c r="AJ171" s="7">
        <f t="shared" si="43"/>
        <v>34.466124059971456</v>
      </c>
      <c r="AK171" s="7">
        <f t="shared" si="43"/>
        <v>34.466124059971456</v>
      </c>
      <c r="AL171" s="7">
        <f t="shared" si="43"/>
        <v>34.466124059971456</v>
      </c>
      <c r="AM171" s="7">
        <f t="shared" si="43"/>
        <v>34.466124059971456</v>
      </c>
      <c r="AN171" s="7">
        <f t="shared" si="43"/>
        <v>34.466124059971456</v>
      </c>
      <c r="AO171" s="7">
        <f t="shared" si="43"/>
        <v>34.466124059971456</v>
      </c>
      <c r="AP171" s="7">
        <f t="shared" si="43"/>
        <v>34.466124059971456</v>
      </c>
      <c r="AQ171" s="7">
        <f t="shared" si="43"/>
        <v>34.466124059971456</v>
      </c>
      <c r="AR171" s="7">
        <f t="shared" si="43"/>
        <v>34.466124059971456</v>
      </c>
      <c r="AS171" s="7">
        <f t="shared" si="43"/>
        <v>34.466124059971456</v>
      </c>
      <c r="AT171" s="7">
        <f t="shared" si="43"/>
        <v>34.466124059971456</v>
      </c>
      <c r="AU171" s="7">
        <f t="shared" si="43"/>
        <v>34.466124059971456</v>
      </c>
      <c r="AV171" s="7">
        <f t="shared" si="43"/>
        <v>34.466124059971456</v>
      </c>
      <c r="AW171" s="7">
        <f t="shared" si="43"/>
        <v>34.466124059971456</v>
      </c>
      <c r="AX171" s="7">
        <f t="shared" si="43"/>
        <v>34.466124059971456</v>
      </c>
      <c r="AY171" s="7">
        <f t="shared" si="43"/>
        <v>34.466124059971456</v>
      </c>
      <c r="AZ171" s="7">
        <f t="shared" si="43"/>
        <v>34.466124059971456</v>
      </c>
      <c r="BA171" s="7">
        <f t="shared" si="43"/>
        <v>34.466124059971456</v>
      </c>
      <c r="BB171" s="7">
        <f t="shared" si="43"/>
        <v>34.466124059971456</v>
      </c>
    </row>
    <row r="172" spans="1:54" x14ac:dyDescent="0.3">
      <c r="A172" t="s">
        <v>17</v>
      </c>
      <c r="B172">
        <v>16.885000000000002</v>
      </c>
      <c r="C172">
        <v>16.181000000000001</v>
      </c>
      <c r="D172">
        <v>15.865</v>
      </c>
      <c r="E172">
        <v>14.566000000000001</v>
      </c>
      <c r="F172" s="6">
        <f>E172*('Rail EU Ref'!H53/'Rail EU Ref'!G53)</f>
        <v>15.222395345035057</v>
      </c>
      <c r="G172" s="6">
        <f>F172*('Rail EU Ref'!I53/'Rail EU Ref'!H53)</f>
        <v>15.87879069007011</v>
      </c>
      <c r="H172" s="6">
        <f>G172*('Rail EU Ref'!J53/'Rail EU Ref'!I53)</f>
        <v>16.535186035105163</v>
      </c>
      <c r="I172" s="6">
        <f>H172*('Rail EU Ref'!K53/'Rail EU Ref'!J53)</f>
        <v>17.191581380140217</v>
      </c>
      <c r="J172" s="6">
        <f>I172*('Rail EU Ref'!L53/'Rail EU Ref'!K53)</f>
        <v>17.803207820611874</v>
      </c>
      <c r="K172" s="6">
        <f>J172*('Rail EU Ref'!M53/'Rail EU Ref'!L53)</f>
        <v>18.414834261083531</v>
      </c>
      <c r="L172" s="6">
        <f>K172*('Rail EU Ref'!N53/'Rail EU Ref'!M53)</f>
        <v>19.026460701555187</v>
      </c>
      <c r="M172" s="6">
        <f>L172*('Rail EU Ref'!O53/'Rail EU Ref'!N53)</f>
        <v>19.638087142026844</v>
      </c>
      <c r="N172" s="6">
        <f>M172*('Rail EU Ref'!P53/'Rail EU Ref'!O53)</f>
        <v>20.249713582498501</v>
      </c>
      <c r="O172" s="6">
        <f>N172*('Rail EU Ref'!Q53/'Rail EU Ref'!P53)</f>
        <v>20.660805778395034</v>
      </c>
      <c r="P172" s="6">
        <f>O172*('Rail EU Ref'!R53/'Rail EU Ref'!Q53)</f>
        <v>21.071897974291566</v>
      </c>
      <c r="Q172" s="6">
        <f>P172*('Rail EU Ref'!S53/'Rail EU Ref'!R53)</f>
        <v>21.482990170188103</v>
      </c>
      <c r="R172" s="6">
        <f>Q172*('Rail EU Ref'!T53/'Rail EU Ref'!S53)</f>
        <v>21.894082366084636</v>
      </c>
      <c r="S172" s="6">
        <f>R172*('Rail EU Ref'!U53/'Rail EU Ref'!T53)</f>
        <v>22.305174561981179</v>
      </c>
      <c r="T172" s="6">
        <f>S172*('Rail EU Ref'!V53/'Rail EU Ref'!U53)</f>
        <v>22.641564773397661</v>
      </c>
      <c r="U172" s="6">
        <f>T172*('Rail EU Ref'!W53/'Rail EU Ref'!V53)</f>
        <v>22.977954984814144</v>
      </c>
      <c r="V172" s="6">
        <f>U172*('Rail EU Ref'!X53/'Rail EU Ref'!W53)</f>
        <v>23.314345196230626</v>
      </c>
      <c r="W172" s="6">
        <f>V172*('Rail EU Ref'!Y53/'Rail EU Ref'!X53)</f>
        <v>23.650735407647105</v>
      </c>
      <c r="X172" s="6">
        <f>W172*('Rail EU Ref'!Z53/'Rail EU Ref'!Y53)</f>
        <v>23.987125619063583</v>
      </c>
      <c r="Y172" s="6">
        <f>X172*('Rail EU Ref'!AA53/'Rail EU Ref'!Z53)</f>
        <v>24.239714091247759</v>
      </c>
      <c r="Z172" s="6">
        <f>Y172*('Rail EU Ref'!AB53/'Rail EU Ref'!AA53)</f>
        <v>24.492302563431934</v>
      </c>
      <c r="AA172" s="6">
        <f>Z172*('Rail EU Ref'!AC53/'Rail EU Ref'!AB53)</f>
        <v>24.74489103561611</v>
      </c>
      <c r="AB172" s="6">
        <f>AA172*('Rail EU Ref'!AD53/'Rail EU Ref'!AC53)</f>
        <v>24.997479507800282</v>
      </c>
      <c r="AC172" s="6">
        <f>AB172*('Rail EU Ref'!AE53/'Rail EU Ref'!AD53)</f>
        <v>25.250067979984447</v>
      </c>
      <c r="AD172" s="6">
        <f>AC172*('Rail EU Ref'!AF53/'Rail EU Ref'!AE53)</f>
        <v>25.511752089951802</v>
      </c>
      <c r="AE172" s="6">
        <f>AD172*('Rail EU Ref'!AG53/'Rail EU Ref'!AF53)</f>
        <v>25.773436199919153</v>
      </c>
      <c r="AF172" s="6">
        <f>AE172*('Rail EU Ref'!AH53/'Rail EU Ref'!AG53)</f>
        <v>26.035120309886505</v>
      </c>
      <c r="AG172" s="6">
        <f>AF172*('Rail EU Ref'!AI53/'Rail EU Ref'!AH53)</f>
        <v>26.29680441985386</v>
      </c>
      <c r="AH172" s="6">
        <f>AG172*('Rail EU Ref'!AJ53/'Rail EU Ref'!AI53)</f>
        <v>26.558488529821215</v>
      </c>
      <c r="AI172" s="7">
        <f t="shared" ref="AI172:BB172" si="44">AH172</f>
        <v>26.558488529821215</v>
      </c>
      <c r="AJ172" s="7">
        <f t="shared" si="44"/>
        <v>26.558488529821215</v>
      </c>
      <c r="AK172" s="7">
        <f t="shared" si="44"/>
        <v>26.558488529821215</v>
      </c>
      <c r="AL172" s="7">
        <f t="shared" si="44"/>
        <v>26.558488529821215</v>
      </c>
      <c r="AM172" s="7">
        <f t="shared" si="44"/>
        <v>26.558488529821215</v>
      </c>
      <c r="AN172" s="7">
        <f t="shared" si="44"/>
        <v>26.558488529821215</v>
      </c>
      <c r="AO172" s="7">
        <f t="shared" si="44"/>
        <v>26.558488529821215</v>
      </c>
      <c r="AP172" s="7">
        <f t="shared" si="44"/>
        <v>26.558488529821215</v>
      </c>
      <c r="AQ172" s="7">
        <f t="shared" si="44"/>
        <v>26.558488529821215</v>
      </c>
      <c r="AR172" s="7">
        <f t="shared" si="44"/>
        <v>26.558488529821215</v>
      </c>
      <c r="AS172" s="7">
        <f t="shared" si="44"/>
        <v>26.558488529821215</v>
      </c>
      <c r="AT172" s="7">
        <f t="shared" si="44"/>
        <v>26.558488529821215</v>
      </c>
      <c r="AU172" s="7">
        <f t="shared" si="44"/>
        <v>26.558488529821215</v>
      </c>
      <c r="AV172" s="7">
        <f t="shared" si="44"/>
        <v>26.558488529821215</v>
      </c>
      <c r="AW172" s="7">
        <f t="shared" si="44"/>
        <v>26.558488529821215</v>
      </c>
      <c r="AX172" s="7">
        <f t="shared" si="44"/>
        <v>26.558488529821215</v>
      </c>
      <c r="AY172" s="7">
        <f t="shared" si="44"/>
        <v>26.558488529821215</v>
      </c>
      <c r="AZ172" s="7">
        <f t="shared" si="44"/>
        <v>26.558488529821215</v>
      </c>
      <c r="BA172" s="7">
        <f t="shared" si="44"/>
        <v>26.558488529821215</v>
      </c>
      <c r="BB172" s="7">
        <f t="shared" si="44"/>
        <v>26.558488529821215</v>
      </c>
    </row>
    <row r="173" spans="1:54" x14ac:dyDescent="0.3">
      <c r="A173" t="s">
        <v>18</v>
      </c>
      <c r="B173">
        <v>0.22299999999999998</v>
      </c>
      <c r="C173">
        <v>0.191</v>
      </c>
      <c r="D173">
        <v>0.16200000000000001</v>
      </c>
      <c r="E173">
        <v>0.17600000000000002</v>
      </c>
      <c r="F173" s="6">
        <f>E173*('Rail EU Ref'!H54/'Rail EU Ref'!G54)</f>
        <v>0.1843534394707049</v>
      </c>
      <c r="G173" s="6">
        <f>F173*('Rail EU Ref'!I54/'Rail EU Ref'!H54)</f>
        <v>0.19270687894140978</v>
      </c>
      <c r="H173" s="6">
        <f>G173*('Rail EU Ref'!J54/'Rail EU Ref'!I54)</f>
        <v>0.20106031841211466</v>
      </c>
      <c r="I173" s="6">
        <f>H173*('Rail EU Ref'!K54/'Rail EU Ref'!J54)</f>
        <v>0.2094137578828196</v>
      </c>
      <c r="J173" s="6">
        <f>I173*('Rail EU Ref'!L54/'Rail EU Ref'!K54)</f>
        <v>0.21627153082470382</v>
      </c>
      <c r="K173" s="6">
        <f>J173*('Rail EU Ref'!M54/'Rail EU Ref'!L54)</f>
        <v>0.22312930376658802</v>
      </c>
      <c r="L173" s="6">
        <f>K173*('Rail EU Ref'!N54/'Rail EU Ref'!M54)</f>
        <v>0.22998707670847218</v>
      </c>
      <c r="M173" s="6">
        <f>L173*('Rail EU Ref'!O54/'Rail EU Ref'!N54)</f>
        <v>0.2368448496503564</v>
      </c>
      <c r="N173" s="6">
        <f>M173*('Rail EU Ref'!P54/'Rail EU Ref'!O54)</f>
        <v>0.24370262259224063</v>
      </c>
      <c r="O173" s="6">
        <f>N173*('Rail EU Ref'!Q54/'Rail EU Ref'!P54)</f>
        <v>0.25118234318020516</v>
      </c>
      <c r="P173" s="6">
        <f>O173*('Rail EU Ref'!R54/'Rail EU Ref'!Q54)</f>
        <v>0.25866206376816969</v>
      </c>
      <c r="Q173" s="6">
        <f>P173*('Rail EU Ref'!S54/'Rail EU Ref'!R54)</f>
        <v>0.26614178435613423</v>
      </c>
      <c r="R173" s="6">
        <f>Q173*('Rail EU Ref'!T54/'Rail EU Ref'!S54)</f>
        <v>0.27362150494409876</v>
      </c>
      <c r="S173" s="6">
        <f>R173*('Rail EU Ref'!U54/'Rail EU Ref'!T54)</f>
        <v>0.28110122553206318</v>
      </c>
      <c r="T173" s="6">
        <f>S173*('Rail EU Ref'!V54/'Rail EU Ref'!U54)</f>
        <v>0.28805527056835672</v>
      </c>
      <c r="U173" s="6">
        <f>T173*('Rail EU Ref'!W54/'Rail EU Ref'!V54)</f>
        <v>0.29500931560465027</v>
      </c>
      <c r="V173" s="6">
        <f>U173*('Rail EU Ref'!X54/'Rail EU Ref'!W54)</f>
        <v>0.30196336064094381</v>
      </c>
      <c r="W173" s="6">
        <f>V173*('Rail EU Ref'!Y54/'Rail EU Ref'!X54)</f>
        <v>0.30891740567723736</v>
      </c>
      <c r="X173" s="6">
        <f>W173*('Rail EU Ref'!Z54/'Rail EU Ref'!Y54)</f>
        <v>0.31587145071353073</v>
      </c>
      <c r="Y173" s="6">
        <f>X173*('Rail EU Ref'!AA54/'Rail EU Ref'!Z54)</f>
        <v>0.32314492997467337</v>
      </c>
      <c r="Z173" s="6">
        <f>Y173*('Rail EU Ref'!AB54/'Rail EU Ref'!AA54)</f>
        <v>0.33041840923581606</v>
      </c>
      <c r="AA173" s="6">
        <f>Z173*('Rail EU Ref'!AC54/'Rail EU Ref'!AB54)</f>
        <v>0.33769188849695875</v>
      </c>
      <c r="AB173" s="6">
        <f>AA173*('Rail EU Ref'!AD54/'Rail EU Ref'!AC54)</f>
        <v>0.34496536775810144</v>
      </c>
      <c r="AC173" s="6">
        <f>AB173*('Rail EU Ref'!AE54/'Rail EU Ref'!AD54)</f>
        <v>0.35223884701924407</v>
      </c>
      <c r="AD173" s="6">
        <f>AC173*('Rail EU Ref'!AF54/'Rail EU Ref'!AE54)</f>
        <v>0.35960441934345844</v>
      </c>
      <c r="AE173" s="6">
        <f>AD173*('Rail EU Ref'!AG54/'Rail EU Ref'!AF54)</f>
        <v>0.3669699916676728</v>
      </c>
      <c r="AF173" s="6">
        <f>AE173*('Rail EU Ref'!AH54/'Rail EU Ref'!AG54)</f>
        <v>0.37433556399188717</v>
      </c>
      <c r="AG173" s="6">
        <f>AF173*('Rail EU Ref'!AI54/'Rail EU Ref'!AH54)</f>
        <v>0.38170113631610153</v>
      </c>
      <c r="AH173" s="6">
        <f>AG173*('Rail EU Ref'!AJ54/'Rail EU Ref'!AI54)</f>
        <v>0.38906670864031595</v>
      </c>
      <c r="AI173" s="7">
        <f t="shared" ref="AI173:BB173" si="45">AH173</f>
        <v>0.38906670864031595</v>
      </c>
      <c r="AJ173" s="7">
        <f t="shared" si="45"/>
        <v>0.38906670864031595</v>
      </c>
      <c r="AK173" s="7">
        <f t="shared" si="45"/>
        <v>0.38906670864031595</v>
      </c>
      <c r="AL173" s="7">
        <f t="shared" si="45"/>
        <v>0.38906670864031595</v>
      </c>
      <c r="AM173" s="7">
        <f t="shared" si="45"/>
        <v>0.38906670864031595</v>
      </c>
      <c r="AN173" s="7">
        <f t="shared" si="45"/>
        <v>0.38906670864031595</v>
      </c>
      <c r="AO173" s="7">
        <f t="shared" si="45"/>
        <v>0.38906670864031595</v>
      </c>
      <c r="AP173" s="7">
        <f t="shared" si="45"/>
        <v>0.38906670864031595</v>
      </c>
      <c r="AQ173" s="7">
        <f t="shared" si="45"/>
        <v>0.38906670864031595</v>
      </c>
      <c r="AR173" s="7">
        <f t="shared" si="45"/>
        <v>0.38906670864031595</v>
      </c>
      <c r="AS173" s="7">
        <f t="shared" si="45"/>
        <v>0.38906670864031595</v>
      </c>
      <c r="AT173" s="7">
        <f t="shared" si="45"/>
        <v>0.38906670864031595</v>
      </c>
      <c r="AU173" s="7">
        <f t="shared" si="45"/>
        <v>0.38906670864031595</v>
      </c>
      <c r="AV173" s="7">
        <f t="shared" si="45"/>
        <v>0.38906670864031595</v>
      </c>
      <c r="AW173" s="7">
        <f t="shared" si="45"/>
        <v>0.38906670864031595</v>
      </c>
      <c r="AX173" s="7">
        <f t="shared" si="45"/>
        <v>0.38906670864031595</v>
      </c>
      <c r="AY173" s="7">
        <f t="shared" si="45"/>
        <v>0.38906670864031595</v>
      </c>
      <c r="AZ173" s="7">
        <f t="shared" si="45"/>
        <v>0.38906670864031595</v>
      </c>
      <c r="BA173" s="7">
        <f t="shared" si="45"/>
        <v>0.38906670864031595</v>
      </c>
      <c r="BB173" s="7">
        <f t="shared" si="45"/>
        <v>0.38906670864031595</v>
      </c>
    </row>
    <row r="174" spans="1:54" x14ac:dyDescent="0.3">
      <c r="A174" t="s">
        <v>16</v>
      </c>
      <c r="B174">
        <v>17.859000000000002</v>
      </c>
      <c r="C174">
        <v>15.019</v>
      </c>
      <c r="D174">
        <v>7.9790000000000001</v>
      </c>
      <c r="E174">
        <v>7.367</v>
      </c>
      <c r="F174" s="6">
        <f>E174*('Rail EU Ref'!H55/'Rail EU Ref'!G55)</f>
        <v>7.7543496690312912</v>
      </c>
      <c r="G174" s="6">
        <f>F174*('Rail EU Ref'!I55/'Rail EU Ref'!H55)</f>
        <v>8.1416993380625815</v>
      </c>
      <c r="H174" s="6">
        <f>G174*('Rail EU Ref'!J55/'Rail EU Ref'!I55)</f>
        <v>8.5290490070938727</v>
      </c>
      <c r="I174" s="6">
        <f>H174*('Rail EU Ref'!K55/'Rail EU Ref'!J55)</f>
        <v>8.9163986761251603</v>
      </c>
      <c r="J174" s="6">
        <f>I174*('Rail EU Ref'!L55/'Rail EU Ref'!K55)</f>
        <v>9.2585162856962757</v>
      </c>
      <c r="K174" s="6">
        <f>J174*('Rail EU Ref'!M55/'Rail EU Ref'!L55)</f>
        <v>9.6006338952673911</v>
      </c>
      <c r="L174" s="6">
        <f>K174*('Rail EU Ref'!N55/'Rail EU Ref'!M55)</f>
        <v>9.9427515048385047</v>
      </c>
      <c r="M174" s="6">
        <f>L174*('Rail EU Ref'!O55/'Rail EU Ref'!N55)</f>
        <v>10.284869114409618</v>
      </c>
      <c r="N174" s="6">
        <f>M174*('Rail EU Ref'!P55/'Rail EU Ref'!O55)</f>
        <v>10.62698672398073</v>
      </c>
      <c r="O174" s="6">
        <f>N174*('Rail EU Ref'!Q55/'Rail EU Ref'!P55)</f>
        <v>10.943290000397809</v>
      </c>
      <c r="P174" s="6">
        <f>O174*('Rail EU Ref'!R55/'Rail EU Ref'!Q55)</f>
        <v>11.259593276814888</v>
      </c>
      <c r="Q174" s="6">
        <f>P174*('Rail EU Ref'!S55/'Rail EU Ref'!R55)</f>
        <v>11.575896553231969</v>
      </c>
      <c r="R174" s="6">
        <f>Q174*('Rail EU Ref'!T55/'Rail EU Ref'!S55)</f>
        <v>11.892199829649048</v>
      </c>
      <c r="S174" s="6">
        <f>R174*('Rail EU Ref'!U55/'Rail EU Ref'!T55)</f>
        <v>12.208503106066123</v>
      </c>
      <c r="T174" s="6">
        <f>S174*('Rail EU Ref'!V55/'Rail EU Ref'!U55)</f>
        <v>12.503864727296083</v>
      </c>
      <c r="U174" s="6">
        <f>T174*('Rail EU Ref'!W55/'Rail EU Ref'!V55)</f>
        <v>12.799226348526041</v>
      </c>
      <c r="V174" s="6">
        <f>U174*('Rail EU Ref'!X55/'Rail EU Ref'!W55)</f>
        <v>13.094587969756001</v>
      </c>
      <c r="W174" s="6">
        <f>V174*('Rail EU Ref'!Y55/'Rail EU Ref'!X55)</f>
        <v>13.389949590985962</v>
      </c>
      <c r="X174" s="6">
        <f>W174*('Rail EU Ref'!Z55/'Rail EU Ref'!Y55)</f>
        <v>13.685311212215922</v>
      </c>
      <c r="Y174" s="6">
        <f>X174*('Rail EU Ref'!AA55/'Rail EU Ref'!Z55)</f>
        <v>13.785918119855493</v>
      </c>
      <c r="Z174" s="6">
        <f>Y174*('Rail EU Ref'!AB55/'Rail EU Ref'!AA55)</f>
        <v>13.886525027495066</v>
      </c>
      <c r="AA174" s="6">
        <f>Z174*('Rail EU Ref'!AC55/'Rail EU Ref'!AB55)</f>
        <v>13.987131935134641</v>
      </c>
      <c r="AB174" s="6">
        <f>AA174*('Rail EU Ref'!AD55/'Rail EU Ref'!AC55)</f>
        <v>14.087738842774215</v>
      </c>
      <c r="AC174" s="6">
        <f>AB174*('Rail EU Ref'!AE55/'Rail EU Ref'!AD55)</f>
        <v>14.188345750413786</v>
      </c>
      <c r="AD174" s="6">
        <f>AC174*('Rail EU Ref'!AF55/'Rail EU Ref'!AE55)</f>
        <v>14.280115915604133</v>
      </c>
      <c r="AE174" s="6">
        <f>AD174*('Rail EU Ref'!AG55/'Rail EU Ref'!AF55)</f>
        <v>14.371886080794482</v>
      </c>
      <c r="AF174" s="6">
        <f>AE174*('Rail EU Ref'!AH55/'Rail EU Ref'!AG55)</f>
        <v>14.463656245984831</v>
      </c>
      <c r="AG174" s="6">
        <f>AF174*('Rail EU Ref'!AI55/'Rail EU Ref'!AH55)</f>
        <v>14.55542641117518</v>
      </c>
      <c r="AH174" s="6">
        <f>AG174*('Rail EU Ref'!AJ55/'Rail EU Ref'!AI55)</f>
        <v>14.647196576365527</v>
      </c>
      <c r="AI174" s="7">
        <f t="shared" ref="AI174:BB174" si="46">AH174</f>
        <v>14.647196576365527</v>
      </c>
      <c r="AJ174" s="7">
        <f t="shared" si="46"/>
        <v>14.647196576365527</v>
      </c>
      <c r="AK174" s="7">
        <f t="shared" si="46"/>
        <v>14.647196576365527</v>
      </c>
      <c r="AL174" s="7">
        <f t="shared" si="46"/>
        <v>14.647196576365527</v>
      </c>
      <c r="AM174" s="7">
        <f t="shared" si="46"/>
        <v>14.647196576365527</v>
      </c>
      <c r="AN174" s="7">
        <f t="shared" si="46"/>
        <v>14.647196576365527</v>
      </c>
      <c r="AO174" s="7">
        <f t="shared" si="46"/>
        <v>14.647196576365527</v>
      </c>
      <c r="AP174" s="7">
        <f t="shared" si="46"/>
        <v>14.647196576365527</v>
      </c>
      <c r="AQ174" s="7">
        <f t="shared" si="46"/>
        <v>14.647196576365527</v>
      </c>
      <c r="AR174" s="7">
        <f t="shared" si="46"/>
        <v>14.647196576365527</v>
      </c>
      <c r="AS174" s="7">
        <f t="shared" si="46"/>
        <v>14.647196576365527</v>
      </c>
      <c r="AT174" s="7">
        <f t="shared" si="46"/>
        <v>14.647196576365527</v>
      </c>
      <c r="AU174" s="7">
        <f t="shared" si="46"/>
        <v>14.647196576365527</v>
      </c>
      <c r="AV174" s="7">
        <f t="shared" si="46"/>
        <v>14.647196576365527</v>
      </c>
      <c r="AW174" s="7">
        <f t="shared" si="46"/>
        <v>14.647196576365527</v>
      </c>
      <c r="AX174" s="7">
        <f t="shared" si="46"/>
        <v>14.647196576365527</v>
      </c>
      <c r="AY174" s="7">
        <f t="shared" si="46"/>
        <v>14.647196576365527</v>
      </c>
      <c r="AZ174" s="7">
        <f t="shared" si="46"/>
        <v>14.647196576365527</v>
      </c>
      <c r="BA174" s="7">
        <f t="shared" si="46"/>
        <v>14.647196576365527</v>
      </c>
      <c r="BB174" s="7">
        <f t="shared" si="46"/>
        <v>14.647196576365527</v>
      </c>
    </row>
    <row r="175" spans="1:54" x14ac:dyDescent="0.3">
      <c r="A175" t="s">
        <v>20</v>
      </c>
      <c r="B175">
        <v>0</v>
      </c>
      <c r="C175">
        <v>0</v>
      </c>
      <c r="D175">
        <v>0</v>
      </c>
      <c r="E17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7">
        <f t="shared" ref="AI175:BB175" si="47">AH175</f>
        <v>0</v>
      </c>
      <c r="AJ175" s="7">
        <f t="shared" si="47"/>
        <v>0</v>
      </c>
      <c r="AK175" s="7">
        <f t="shared" si="47"/>
        <v>0</v>
      </c>
      <c r="AL175" s="7">
        <f t="shared" si="47"/>
        <v>0</v>
      </c>
      <c r="AM175" s="7">
        <f t="shared" si="47"/>
        <v>0</v>
      </c>
      <c r="AN175" s="7">
        <f t="shared" si="47"/>
        <v>0</v>
      </c>
      <c r="AO175" s="7">
        <f t="shared" si="47"/>
        <v>0</v>
      </c>
      <c r="AP175" s="7">
        <f t="shared" si="47"/>
        <v>0</v>
      </c>
      <c r="AQ175" s="7">
        <f t="shared" si="47"/>
        <v>0</v>
      </c>
      <c r="AR175" s="7">
        <f t="shared" si="47"/>
        <v>0</v>
      </c>
      <c r="AS175" s="7">
        <f t="shared" si="47"/>
        <v>0</v>
      </c>
      <c r="AT175" s="7">
        <f t="shared" si="47"/>
        <v>0</v>
      </c>
      <c r="AU175" s="7">
        <f t="shared" si="47"/>
        <v>0</v>
      </c>
      <c r="AV175" s="7">
        <f t="shared" si="47"/>
        <v>0</v>
      </c>
      <c r="AW175" s="7">
        <f t="shared" si="47"/>
        <v>0</v>
      </c>
      <c r="AX175" s="7">
        <f t="shared" si="47"/>
        <v>0</v>
      </c>
      <c r="AY175" s="7">
        <f t="shared" si="47"/>
        <v>0</v>
      </c>
      <c r="AZ175" s="7">
        <f t="shared" si="47"/>
        <v>0</v>
      </c>
      <c r="BA175" s="7">
        <f t="shared" si="47"/>
        <v>0</v>
      </c>
      <c r="BB175" s="7">
        <f t="shared" si="47"/>
        <v>0</v>
      </c>
    </row>
    <row r="176" spans="1:54" x14ac:dyDescent="0.3">
      <c r="A176" t="s">
        <v>21</v>
      </c>
      <c r="B176">
        <v>7.0229999999999997</v>
      </c>
      <c r="C176">
        <v>7.08</v>
      </c>
      <c r="D176">
        <v>6.665</v>
      </c>
      <c r="E176">
        <v>7.1879999999999997</v>
      </c>
      <c r="F176" s="6">
        <f>E176*('Rail EU Ref'!H57/'Rail EU Ref'!G57)</f>
        <v>7.5608747877332734</v>
      </c>
      <c r="G176" s="6">
        <f>F176*('Rail EU Ref'!I57/'Rail EU Ref'!H57)</f>
        <v>7.9337495754665461</v>
      </c>
      <c r="H176" s="6">
        <f>G176*('Rail EU Ref'!J57/'Rail EU Ref'!I57)</f>
        <v>8.3066243631998198</v>
      </c>
      <c r="I176" s="6">
        <f>H176*('Rail EU Ref'!K57/'Rail EU Ref'!J57)</f>
        <v>8.6794991509330934</v>
      </c>
      <c r="J176" s="6">
        <f>I176*('Rail EU Ref'!L57/'Rail EU Ref'!K57)</f>
        <v>8.9370710260567048</v>
      </c>
      <c r="K176" s="6">
        <f>J176*('Rail EU Ref'!M57/'Rail EU Ref'!L57)</f>
        <v>9.1946429011803161</v>
      </c>
      <c r="L176" s="6">
        <f>K176*('Rail EU Ref'!N57/'Rail EU Ref'!M57)</f>
        <v>9.4522147763039275</v>
      </c>
      <c r="M176" s="6">
        <f>L176*('Rail EU Ref'!O57/'Rail EU Ref'!N57)</f>
        <v>9.7097866514275388</v>
      </c>
      <c r="N176" s="6">
        <f>M176*('Rail EU Ref'!P57/'Rail EU Ref'!O57)</f>
        <v>9.9673585265511466</v>
      </c>
      <c r="O176" s="6">
        <f>N176*('Rail EU Ref'!Q57/'Rail EU Ref'!P57)</f>
        <v>10.113198503146931</v>
      </c>
      <c r="P176" s="6">
        <f>O176*('Rail EU Ref'!R57/'Rail EU Ref'!Q57)</f>
        <v>10.259038479742715</v>
      </c>
      <c r="Q176" s="6">
        <f>P176*('Rail EU Ref'!S57/'Rail EU Ref'!R57)</f>
        <v>10.404878456338498</v>
      </c>
      <c r="R176" s="6">
        <f>Q176*('Rail EU Ref'!T57/'Rail EU Ref'!S57)</f>
        <v>10.55071843293428</v>
      </c>
      <c r="S176" s="6">
        <f>R176*('Rail EU Ref'!U57/'Rail EU Ref'!T57)</f>
        <v>10.696558409530068</v>
      </c>
      <c r="T176" s="6">
        <f>S176*('Rail EU Ref'!V57/'Rail EU Ref'!U57)</f>
        <v>10.795149410622537</v>
      </c>
      <c r="U176" s="6">
        <f>T176*('Rail EU Ref'!W57/'Rail EU Ref'!V57)</f>
        <v>10.893740411715006</v>
      </c>
      <c r="V176" s="6">
        <f>U176*('Rail EU Ref'!X57/'Rail EU Ref'!W57)</f>
        <v>10.992331412807474</v>
      </c>
      <c r="W176" s="6">
        <f>V176*('Rail EU Ref'!Y57/'Rail EU Ref'!X57)</f>
        <v>11.090922413899941</v>
      </c>
      <c r="X176" s="6">
        <f>W176*('Rail EU Ref'!Z57/'Rail EU Ref'!Y57)</f>
        <v>11.18951341499241</v>
      </c>
      <c r="Y176" s="6">
        <f>X176*('Rail EU Ref'!AA57/'Rail EU Ref'!Z57)</f>
        <v>11.305158506074003</v>
      </c>
      <c r="Z176" s="6">
        <f>Y176*('Rail EU Ref'!AB57/'Rail EU Ref'!AA57)</f>
        <v>11.420803597155595</v>
      </c>
      <c r="AA176" s="6">
        <f>Z176*('Rail EU Ref'!AC57/'Rail EU Ref'!AB57)</f>
        <v>11.536448688237186</v>
      </c>
      <c r="AB176" s="6">
        <f>AA176*('Rail EU Ref'!AD57/'Rail EU Ref'!AC57)</f>
        <v>11.652093779318781</v>
      </c>
      <c r="AC176" s="6">
        <f>AB176*('Rail EU Ref'!AE57/'Rail EU Ref'!AD57)</f>
        <v>11.767738870400377</v>
      </c>
      <c r="AD176" s="6">
        <f>AC176*('Rail EU Ref'!AF57/'Rail EU Ref'!AE57)</f>
        <v>11.893681790692659</v>
      </c>
      <c r="AE176" s="6">
        <f>AD176*('Rail EU Ref'!AG57/'Rail EU Ref'!AF57)</f>
        <v>12.019624710984941</v>
      </c>
      <c r="AF176" s="6">
        <f>AE176*('Rail EU Ref'!AH57/'Rail EU Ref'!AG57)</f>
        <v>12.145567631277222</v>
      </c>
      <c r="AG176" s="6">
        <f>AF176*('Rail EU Ref'!AI57/'Rail EU Ref'!AH57)</f>
        <v>12.271510551569504</v>
      </c>
      <c r="AH176" s="6">
        <f>AG176*('Rail EU Ref'!AJ57/'Rail EU Ref'!AI57)</f>
        <v>12.39745347186178</v>
      </c>
      <c r="AI176" s="7">
        <f t="shared" ref="AI176:BB176" si="48">AH176</f>
        <v>12.39745347186178</v>
      </c>
      <c r="AJ176" s="7">
        <f t="shared" si="48"/>
        <v>12.39745347186178</v>
      </c>
      <c r="AK176" s="7">
        <f t="shared" si="48"/>
        <v>12.39745347186178</v>
      </c>
      <c r="AL176" s="7">
        <f t="shared" si="48"/>
        <v>12.39745347186178</v>
      </c>
      <c r="AM176" s="7">
        <f t="shared" si="48"/>
        <v>12.39745347186178</v>
      </c>
      <c r="AN176" s="7">
        <f t="shared" si="48"/>
        <v>12.39745347186178</v>
      </c>
      <c r="AO176" s="7">
        <f t="shared" si="48"/>
        <v>12.39745347186178</v>
      </c>
      <c r="AP176" s="7">
        <f t="shared" si="48"/>
        <v>12.39745347186178</v>
      </c>
      <c r="AQ176" s="7">
        <f t="shared" si="48"/>
        <v>12.39745347186178</v>
      </c>
      <c r="AR176" s="7">
        <f t="shared" si="48"/>
        <v>12.39745347186178</v>
      </c>
      <c r="AS176" s="7">
        <f t="shared" si="48"/>
        <v>12.39745347186178</v>
      </c>
      <c r="AT176" s="7">
        <f t="shared" si="48"/>
        <v>12.39745347186178</v>
      </c>
      <c r="AU176" s="7">
        <f t="shared" si="48"/>
        <v>12.39745347186178</v>
      </c>
      <c r="AV176" s="7">
        <f t="shared" si="48"/>
        <v>12.39745347186178</v>
      </c>
      <c r="AW176" s="7">
        <f t="shared" si="48"/>
        <v>12.39745347186178</v>
      </c>
      <c r="AX176" s="7">
        <f t="shared" si="48"/>
        <v>12.39745347186178</v>
      </c>
      <c r="AY176" s="7">
        <f t="shared" si="48"/>
        <v>12.39745347186178</v>
      </c>
      <c r="AZ176" s="7">
        <f t="shared" si="48"/>
        <v>12.39745347186178</v>
      </c>
      <c r="BA176" s="7">
        <f t="shared" si="48"/>
        <v>12.39745347186178</v>
      </c>
      <c r="BB176" s="7">
        <f t="shared" si="48"/>
        <v>12.39745347186178</v>
      </c>
    </row>
    <row r="177" spans="1:54" x14ac:dyDescent="0.3">
      <c r="A177" t="s">
        <v>22</v>
      </c>
      <c r="B177">
        <v>59.388000000000005</v>
      </c>
      <c r="C177">
        <v>54.584000000000003</v>
      </c>
      <c r="D177">
        <v>51.096000000000004</v>
      </c>
      <c r="E177">
        <v>54.387</v>
      </c>
      <c r="F177" s="6">
        <f>E177*('Rail EU Ref'!H58/'Rail EU Ref'!G58)</f>
        <v>56.938339837890155</v>
      </c>
      <c r="G177" s="6">
        <f>F177*('Rail EU Ref'!I58/'Rail EU Ref'!H58)</f>
        <v>59.489679675780302</v>
      </c>
      <c r="H177" s="6">
        <f>G177*('Rail EU Ref'!J58/'Rail EU Ref'!I58)</f>
        <v>62.041019513670442</v>
      </c>
      <c r="I177" s="6">
        <f>H177*('Rail EU Ref'!K58/'Rail EU Ref'!J58)</f>
        <v>64.592359351560589</v>
      </c>
      <c r="J177" s="6">
        <f>I177*('Rail EU Ref'!L58/'Rail EU Ref'!K58)</f>
        <v>66.892329511511292</v>
      </c>
      <c r="K177" s="6">
        <f>J177*('Rail EU Ref'!M58/'Rail EU Ref'!L58)</f>
        <v>69.192299671461996</v>
      </c>
      <c r="L177" s="6">
        <f>K177*('Rail EU Ref'!N58/'Rail EU Ref'!M58)</f>
        <v>71.492269831412699</v>
      </c>
      <c r="M177" s="6">
        <f>L177*('Rail EU Ref'!O58/'Rail EU Ref'!N58)</f>
        <v>73.792239991363402</v>
      </c>
      <c r="N177" s="6">
        <f>M177*('Rail EU Ref'!P58/'Rail EU Ref'!O58)</f>
        <v>76.092210151314077</v>
      </c>
      <c r="O177" s="6">
        <f>N177*('Rail EU Ref'!Q58/'Rail EU Ref'!P58)</f>
        <v>77.751130023264579</v>
      </c>
      <c r="P177" s="6">
        <f>O177*('Rail EU Ref'!R58/'Rail EU Ref'!Q58)</f>
        <v>79.410049895215082</v>
      </c>
      <c r="Q177" s="6">
        <f>P177*('Rail EU Ref'!S58/'Rail EU Ref'!R58)</f>
        <v>81.068969767165569</v>
      </c>
      <c r="R177" s="6">
        <f>Q177*('Rail EU Ref'!T58/'Rail EU Ref'!S58)</f>
        <v>82.727889639116071</v>
      </c>
      <c r="S177" s="6">
        <f>R177*('Rail EU Ref'!U58/'Rail EU Ref'!T58)</f>
        <v>84.386809511066559</v>
      </c>
      <c r="T177" s="6">
        <f>S177*('Rail EU Ref'!V58/'Rail EU Ref'!U58)</f>
        <v>85.833639036669837</v>
      </c>
      <c r="U177" s="6">
        <f>T177*('Rail EU Ref'!W58/'Rail EU Ref'!V58)</f>
        <v>87.2804685622731</v>
      </c>
      <c r="V177" s="6">
        <f>U177*('Rail EU Ref'!X58/'Rail EU Ref'!W58)</f>
        <v>88.727298087876363</v>
      </c>
      <c r="W177" s="6">
        <f>V177*('Rail EU Ref'!Y58/'Rail EU Ref'!X58)</f>
        <v>90.174127613479627</v>
      </c>
      <c r="X177" s="6">
        <f>W177*('Rail EU Ref'!Z58/'Rail EU Ref'!Y58)</f>
        <v>91.620957139082876</v>
      </c>
      <c r="Y177" s="6">
        <f>X177*('Rail EU Ref'!AA58/'Rail EU Ref'!Z58)</f>
        <v>92.283058313934902</v>
      </c>
      <c r="Z177" s="6">
        <f>Y177*('Rail EU Ref'!AB58/'Rail EU Ref'!AA58)</f>
        <v>92.945159488786928</v>
      </c>
      <c r="AA177" s="6">
        <f>Z177*('Rail EU Ref'!AC58/'Rail EU Ref'!AB58)</f>
        <v>93.607260663638939</v>
      </c>
      <c r="AB177" s="6">
        <f>AA177*('Rail EU Ref'!AD58/'Rail EU Ref'!AC58)</f>
        <v>94.269361838490966</v>
      </c>
      <c r="AC177" s="6">
        <f>AB177*('Rail EU Ref'!AE58/'Rail EU Ref'!AD58)</f>
        <v>94.931463013342963</v>
      </c>
      <c r="AD177" s="6">
        <f>AC177*('Rail EU Ref'!AF58/'Rail EU Ref'!AE58)</f>
        <v>95.642474993981025</v>
      </c>
      <c r="AE177" s="6">
        <f>AD177*('Rail EU Ref'!AG58/'Rail EU Ref'!AF58)</f>
        <v>96.353486974619102</v>
      </c>
      <c r="AF177" s="6">
        <f>AE177*('Rail EU Ref'!AH58/'Rail EU Ref'!AG58)</f>
        <v>97.064498955257179</v>
      </c>
      <c r="AG177" s="6">
        <f>AF177*('Rail EU Ref'!AI58/'Rail EU Ref'!AH58)</f>
        <v>97.775510935895241</v>
      </c>
      <c r="AH177" s="6">
        <f>AG177*('Rail EU Ref'!AJ58/'Rail EU Ref'!AI58)</f>
        <v>98.486522916533275</v>
      </c>
      <c r="AI177" s="7">
        <f t="shared" ref="AI177:BB177" si="49">AH177</f>
        <v>98.486522916533275</v>
      </c>
      <c r="AJ177" s="7">
        <f t="shared" si="49"/>
        <v>98.486522916533275</v>
      </c>
      <c r="AK177" s="7">
        <f t="shared" si="49"/>
        <v>98.486522916533275</v>
      </c>
      <c r="AL177" s="7">
        <f t="shared" si="49"/>
        <v>98.486522916533275</v>
      </c>
      <c r="AM177" s="7">
        <f t="shared" si="49"/>
        <v>98.486522916533275</v>
      </c>
      <c r="AN177" s="7">
        <f t="shared" si="49"/>
        <v>98.486522916533275</v>
      </c>
      <c r="AO177" s="7">
        <f t="shared" si="49"/>
        <v>98.486522916533275</v>
      </c>
      <c r="AP177" s="7">
        <f t="shared" si="49"/>
        <v>98.486522916533275</v>
      </c>
      <c r="AQ177" s="7">
        <f t="shared" si="49"/>
        <v>98.486522916533275</v>
      </c>
      <c r="AR177" s="7">
        <f t="shared" si="49"/>
        <v>98.486522916533275</v>
      </c>
      <c r="AS177" s="7">
        <f t="shared" si="49"/>
        <v>98.486522916533275</v>
      </c>
      <c r="AT177" s="7">
        <f t="shared" si="49"/>
        <v>98.486522916533275</v>
      </c>
      <c r="AU177" s="7">
        <f t="shared" si="49"/>
        <v>98.486522916533275</v>
      </c>
      <c r="AV177" s="7">
        <f t="shared" si="49"/>
        <v>98.486522916533275</v>
      </c>
      <c r="AW177" s="7">
        <f t="shared" si="49"/>
        <v>98.486522916533275</v>
      </c>
      <c r="AX177" s="7">
        <f t="shared" si="49"/>
        <v>98.486522916533275</v>
      </c>
      <c r="AY177" s="7">
        <f t="shared" si="49"/>
        <v>98.486522916533275</v>
      </c>
      <c r="AZ177" s="7">
        <f t="shared" si="49"/>
        <v>98.486522916533275</v>
      </c>
      <c r="BA177" s="7">
        <f t="shared" si="49"/>
        <v>98.486522916533275</v>
      </c>
      <c r="BB177" s="7">
        <f t="shared" si="49"/>
        <v>98.486522916533275</v>
      </c>
    </row>
    <row r="178" spans="1:54" x14ac:dyDescent="0.3">
      <c r="A178" t="s">
        <v>23</v>
      </c>
      <c r="B178">
        <v>2.7650000000000001</v>
      </c>
      <c r="C178">
        <v>2.4779999999999998</v>
      </c>
      <c r="D178">
        <v>2.302</v>
      </c>
      <c r="E178">
        <v>1.881</v>
      </c>
      <c r="F178" s="6">
        <f>E178*('Rail EU Ref'!H59/'Rail EU Ref'!G59)</f>
        <v>1.9442167958196228</v>
      </c>
      <c r="G178" s="6">
        <f>F178*('Rail EU Ref'!I59/'Rail EU Ref'!H59)</f>
        <v>2.0074335916392454</v>
      </c>
      <c r="H178" s="6">
        <f>G178*('Rail EU Ref'!J59/'Rail EU Ref'!I59)</f>
        <v>2.0706503874588682</v>
      </c>
      <c r="I178" s="6">
        <f>H178*('Rail EU Ref'!K59/'Rail EU Ref'!J59)</f>
        <v>2.1338671832784915</v>
      </c>
      <c r="J178" s="6">
        <f>I178*('Rail EU Ref'!L59/'Rail EU Ref'!K59)</f>
        <v>2.1833684497806658</v>
      </c>
      <c r="K178" s="6">
        <f>J178*('Rail EU Ref'!M59/'Rail EU Ref'!L59)</f>
        <v>2.2328697162828401</v>
      </c>
      <c r="L178" s="6">
        <f>K178*('Rail EU Ref'!N59/'Rail EU Ref'!M59)</f>
        <v>2.282370982785014</v>
      </c>
      <c r="M178" s="6">
        <f>L178*('Rail EU Ref'!O59/'Rail EU Ref'!N59)</f>
        <v>2.3318722492871884</v>
      </c>
      <c r="N178" s="6">
        <f>M178*('Rail EU Ref'!P59/'Rail EU Ref'!O59)</f>
        <v>2.3813735157893623</v>
      </c>
      <c r="O178" s="6">
        <f>N178*('Rail EU Ref'!Q59/'Rail EU Ref'!P59)</f>
        <v>2.4202521727028992</v>
      </c>
      <c r="P178" s="6">
        <f>O178*('Rail EU Ref'!R59/'Rail EU Ref'!Q59)</f>
        <v>2.459130829616436</v>
      </c>
      <c r="Q178" s="6">
        <f>P178*('Rail EU Ref'!S59/'Rail EU Ref'!R59)</f>
        <v>2.4980094865299725</v>
      </c>
      <c r="R178" s="6">
        <f>Q178*('Rail EU Ref'!T59/'Rail EU Ref'!S59)</f>
        <v>2.5368881434435093</v>
      </c>
      <c r="S178" s="6">
        <f>R178*('Rail EU Ref'!U59/'Rail EU Ref'!T59)</f>
        <v>2.5757668003570462</v>
      </c>
      <c r="T178" s="6">
        <f>S178*('Rail EU Ref'!V59/'Rail EU Ref'!U59)</f>
        <v>2.6101212985407849</v>
      </c>
      <c r="U178" s="6">
        <f>T178*('Rail EU Ref'!W59/'Rail EU Ref'!V59)</f>
        <v>2.6444757967245236</v>
      </c>
      <c r="V178" s="6">
        <f>U178*('Rail EU Ref'!X59/'Rail EU Ref'!W59)</f>
        <v>2.6788302949082623</v>
      </c>
      <c r="W178" s="6">
        <f>V178*('Rail EU Ref'!Y59/'Rail EU Ref'!X59)</f>
        <v>2.713184793092001</v>
      </c>
      <c r="X178" s="6">
        <f>W178*('Rail EU Ref'!Z59/'Rail EU Ref'!Y59)</f>
        <v>2.7475392912757401</v>
      </c>
      <c r="Y178" s="6">
        <f>X178*('Rail EU Ref'!AA59/'Rail EU Ref'!Z59)</f>
        <v>2.781624956882498</v>
      </c>
      <c r="Z178" s="6">
        <f>Y178*('Rail EU Ref'!AB59/'Rail EU Ref'!AA59)</f>
        <v>2.8157106224892559</v>
      </c>
      <c r="AA178" s="6">
        <f>Z178*('Rail EU Ref'!AC59/'Rail EU Ref'!AB59)</f>
        <v>2.8497962880960133</v>
      </c>
      <c r="AB178" s="6">
        <f>AA178*('Rail EU Ref'!AD59/'Rail EU Ref'!AC59)</f>
        <v>2.8838819537027707</v>
      </c>
      <c r="AC178" s="6">
        <f>AB178*('Rail EU Ref'!AE59/'Rail EU Ref'!AD59)</f>
        <v>2.9179676193095281</v>
      </c>
      <c r="AD178" s="6">
        <f>AC178*('Rail EU Ref'!AF59/'Rail EU Ref'!AE59)</f>
        <v>2.9502634168591935</v>
      </c>
      <c r="AE178" s="6">
        <f>AD178*('Rail EU Ref'!AG59/'Rail EU Ref'!AF59)</f>
        <v>2.9825592144088593</v>
      </c>
      <c r="AF178" s="6">
        <f>AE178*('Rail EU Ref'!AH59/'Rail EU Ref'!AG59)</f>
        <v>3.0148550119585251</v>
      </c>
      <c r="AG178" s="6">
        <f>AF178*('Rail EU Ref'!AI59/'Rail EU Ref'!AH59)</f>
        <v>3.0471508095081909</v>
      </c>
      <c r="AH178" s="6">
        <f>AG178*('Rail EU Ref'!AJ59/'Rail EU Ref'!AI59)</f>
        <v>3.0794466070578559</v>
      </c>
      <c r="AI178" s="7">
        <f t="shared" ref="AI178:BB178" si="50">AH178</f>
        <v>3.0794466070578559</v>
      </c>
      <c r="AJ178" s="7">
        <f t="shared" si="50"/>
        <v>3.0794466070578559</v>
      </c>
      <c r="AK178" s="7">
        <f t="shared" si="50"/>
        <v>3.0794466070578559</v>
      </c>
      <c r="AL178" s="7">
        <f t="shared" si="50"/>
        <v>3.0794466070578559</v>
      </c>
      <c r="AM178" s="7">
        <f t="shared" si="50"/>
        <v>3.0794466070578559</v>
      </c>
      <c r="AN178" s="7">
        <f t="shared" si="50"/>
        <v>3.0794466070578559</v>
      </c>
      <c r="AO178" s="7">
        <f t="shared" si="50"/>
        <v>3.0794466070578559</v>
      </c>
      <c r="AP178" s="7">
        <f t="shared" si="50"/>
        <v>3.0794466070578559</v>
      </c>
      <c r="AQ178" s="7">
        <f t="shared" si="50"/>
        <v>3.0794466070578559</v>
      </c>
      <c r="AR178" s="7">
        <f t="shared" si="50"/>
        <v>3.0794466070578559</v>
      </c>
      <c r="AS178" s="7">
        <f t="shared" si="50"/>
        <v>3.0794466070578559</v>
      </c>
      <c r="AT178" s="7">
        <f t="shared" si="50"/>
        <v>3.0794466070578559</v>
      </c>
      <c r="AU178" s="7">
        <f t="shared" si="50"/>
        <v>3.0794466070578559</v>
      </c>
      <c r="AV178" s="7">
        <f t="shared" si="50"/>
        <v>3.0794466070578559</v>
      </c>
      <c r="AW178" s="7">
        <f t="shared" si="50"/>
        <v>3.0794466070578559</v>
      </c>
      <c r="AX178" s="7">
        <f t="shared" si="50"/>
        <v>3.0794466070578559</v>
      </c>
      <c r="AY178" s="7">
        <f t="shared" si="50"/>
        <v>3.0794466070578559</v>
      </c>
      <c r="AZ178" s="7">
        <f t="shared" si="50"/>
        <v>3.0794466070578559</v>
      </c>
      <c r="BA178" s="7">
        <f t="shared" si="50"/>
        <v>3.0794466070578559</v>
      </c>
      <c r="BB178" s="7">
        <f t="shared" si="50"/>
        <v>3.0794466070578559</v>
      </c>
    </row>
    <row r="179" spans="1:54" x14ac:dyDescent="0.3">
      <c r="A179" t="s">
        <v>24</v>
      </c>
      <c r="B179">
        <v>13.075999999999999</v>
      </c>
      <c r="C179">
        <v>13.312000000000001</v>
      </c>
      <c r="D179">
        <v>12.291</v>
      </c>
      <c r="E179">
        <v>13.625000003</v>
      </c>
      <c r="F179" s="6">
        <f>E179*('Rail EU Ref'!H60/'Rail EU Ref'!G60)</f>
        <v>14.448797588718872</v>
      </c>
      <c r="G179" s="6">
        <f>F179*('Rail EU Ref'!I60/'Rail EU Ref'!H60)</f>
        <v>15.272595174437745</v>
      </c>
      <c r="H179" s="6">
        <f>G179*('Rail EU Ref'!J60/'Rail EU Ref'!I60)</f>
        <v>16.096392760156618</v>
      </c>
      <c r="I179" s="6">
        <f>H179*('Rail EU Ref'!K60/'Rail EU Ref'!J60)</f>
        <v>16.92019034587549</v>
      </c>
      <c r="J179" s="6">
        <f>I179*('Rail EU Ref'!L60/'Rail EU Ref'!K60)</f>
        <v>17.698100780722886</v>
      </c>
      <c r="K179" s="6">
        <f>J179*('Rail EU Ref'!M60/'Rail EU Ref'!L60)</f>
        <v>18.476011215570285</v>
      </c>
      <c r="L179" s="6">
        <f>K179*('Rail EU Ref'!N60/'Rail EU Ref'!M60)</f>
        <v>19.253921650417684</v>
      </c>
      <c r="M179" s="6">
        <f>L179*('Rail EU Ref'!O60/'Rail EU Ref'!N60)</f>
        <v>20.031832085265084</v>
      </c>
      <c r="N179" s="6">
        <f>M179*('Rail EU Ref'!P60/'Rail EU Ref'!O60)</f>
        <v>20.809742520112486</v>
      </c>
      <c r="O179" s="6">
        <f>N179*('Rail EU Ref'!Q60/'Rail EU Ref'!P60)</f>
        <v>21.309648560809187</v>
      </c>
      <c r="P179" s="6">
        <f>O179*('Rail EU Ref'!R60/'Rail EU Ref'!Q60)</f>
        <v>21.809554601505887</v>
      </c>
      <c r="Q179" s="6">
        <f>P179*('Rail EU Ref'!S60/'Rail EU Ref'!R60)</f>
        <v>22.309460642202588</v>
      </c>
      <c r="R179" s="6">
        <f>Q179*('Rail EU Ref'!T60/'Rail EU Ref'!S60)</f>
        <v>22.809366682899288</v>
      </c>
      <c r="S179" s="6">
        <f>R179*('Rail EU Ref'!U60/'Rail EU Ref'!T60)</f>
        <v>23.309272723595981</v>
      </c>
      <c r="T179" s="6">
        <f>S179*('Rail EU Ref'!V60/'Rail EU Ref'!U60)</f>
        <v>23.786253648732856</v>
      </c>
      <c r="U179" s="6">
        <f>T179*('Rail EU Ref'!W60/'Rail EU Ref'!V60)</f>
        <v>24.263234573869731</v>
      </c>
      <c r="V179" s="6">
        <f>U179*('Rail EU Ref'!X60/'Rail EU Ref'!W60)</f>
        <v>24.740215499006606</v>
      </c>
      <c r="W179" s="6">
        <f>V179*('Rail EU Ref'!Y60/'Rail EU Ref'!X60)</f>
        <v>25.217196424143481</v>
      </c>
      <c r="X179" s="6">
        <f>W179*('Rail EU Ref'!Z60/'Rail EU Ref'!Y60)</f>
        <v>25.694177349280359</v>
      </c>
      <c r="Y179" s="6">
        <f>X179*('Rail EU Ref'!AA60/'Rail EU Ref'!Z60)</f>
        <v>25.972813120896038</v>
      </c>
      <c r="Z179" s="6">
        <f>Y179*('Rail EU Ref'!AB60/'Rail EU Ref'!AA60)</f>
        <v>26.251448892511718</v>
      </c>
      <c r="AA179" s="6">
        <f>Z179*('Rail EU Ref'!AC60/'Rail EU Ref'!AB60)</f>
        <v>26.530084664127401</v>
      </c>
      <c r="AB179" s="6">
        <f>AA179*('Rail EU Ref'!AD60/'Rail EU Ref'!AC60)</f>
        <v>26.808720435743083</v>
      </c>
      <c r="AC179" s="6">
        <f>AB179*('Rail EU Ref'!AE60/'Rail EU Ref'!AD60)</f>
        <v>27.087356207358763</v>
      </c>
      <c r="AD179" s="6">
        <f>AC179*('Rail EU Ref'!AF60/'Rail EU Ref'!AE60)</f>
        <v>27.366438668420052</v>
      </c>
      <c r="AE179" s="6">
        <f>AD179*('Rail EU Ref'!AG60/'Rail EU Ref'!AF60)</f>
        <v>27.645521129481342</v>
      </c>
      <c r="AF179" s="6">
        <f>AE179*('Rail EU Ref'!AH60/'Rail EU Ref'!AG60)</f>
        <v>27.924603590542631</v>
      </c>
      <c r="AG179" s="6">
        <f>AF179*('Rail EU Ref'!AI60/'Rail EU Ref'!AH60)</f>
        <v>28.203686051603921</v>
      </c>
      <c r="AH179" s="6">
        <f>AG179*('Rail EU Ref'!AJ60/'Rail EU Ref'!AI60)</f>
        <v>28.482768512665213</v>
      </c>
      <c r="AI179" s="7">
        <f t="shared" ref="AI179:BB179" si="51">AH179</f>
        <v>28.482768512665213</v>
      </c>
      <c r="AJ179" s="7">
        <f t="shared" si="51"/>
        <v>28.482768512665213</v>
      </c>
      <c r="AK179" s="7">
        <f t="shared" si="51"/>
        <v>28.482768512665213</v>
      </c>
      <c r="AL179" s="7">
        <f t="shared" si="51"/>
        <v>28.482768512665213</v>
      </c>
      <c r="AM179" s="7">
        <f t="shared" si="51"/>
        <v>28.482768512665213</v>
      </c>
      <c r="AN179" s="7">
        <f t="shared" si="51"/>
        <v>28.482768512665213</v>
      </c>
      <c r="AO179" s="7">
        <f t="shared" si="51"/>
        <v>28.482768512665213</v>
      </c>
      <c r="AP179" s="7">
        <f t="shared" si="51"/>
        <v>28.482768512665213</v>
      </c>
      <c r="AQ179" s="7">
        <f t="shared" si="51"/>
        <v>28.482768512665213</v>
      </c>
      <c r="AR179" s="7">
        <f t="shared" si="51"/>
        <v>28.482768512665213</v>
      </c>
      <c r="AS179" s="7">
        <f t="shared" si="51"/>
        <v>28.482768512665213</v>
      </c>
      <c r="AT179" s="7">
        <f t="shared" si="51"/>
        <v>28.482768512665213</v>
      </c>
      <c r="AU179" s="7">
        <f t="shared" si="51"/>
        <v>28.482768512665213</v>
      </c>
      <c r="AV179" s="7">
        <f t="shared" si="51"/>
        <v>28.482768512665213</v>
      </c>
      <c r="AW179" s="7">
        <f t="shared" si="51"/>
        <v>28.482768512665213</v>
      </c>
      <c r="AX179" s="7">
        <f t="shared" si="51"/>
        <v>28.482768512665213</v>
      </c>
      <c r="AY179" s="7">
        <f t="shared" si="51"/>
        <v>28.482768512665213</v>
      </c>
      <c r="AZ179" s="7">
        <f t="shared" si="51"/>
        <v>28.482768512665213</v>
      </c>
      <c r="BA179" s="7">
        <f t="shared" si="51"/>
        <v>28.482768512665213</v>
      </c>
      <c r="BB179" s="7">
        <f t="shared" si="51"/>
        <v>28.482768512665213</v>
      </c>
    </row>
    <row r="180" spans="1:54" x14ac:dyDescent="0.3">
      <c r="A180" t="s">
        <v>28</v>
      </c>
      <c r="B180">
        <v>22.793999996</v>
      </c>
      <c r="C180">
        <v>22.222000001000001</v>
      </c>
      <c r="D180">
        <v>22.093999996000001</v>
      </c>
      <c r="E180">
        <v>23.448999997000001</v>
      </c>
      <c r="F180" s="6">
        <f>E180*('Rail EU Ref'!H61/'Rail EU Ref'!G61)</f>
        <v>24.564833744412354</v>
      </c>
      <c r="G180" s="6">
        <f>F180*('Rail EU Ref'!I61/'Rail EU Ref'!H61)</f>
        <v>25.680667491824703</v>
      </c>
      <c r="H180" s="6">
        <f>G180*('Rail EU Ref'!J61/'Rail EU Ref'!I61)</f>
        <v>26.796501239237053</v>
      </c>
      <c r="I180" s="6">
        <f>H180*('Rail EU Ref'!K61/'Rail EU Ref'!J61)</f>
        <v>27.912334986649409</v>
      </c>
      <c r="J180" s="6">
        <f>I180*('Rail EU Ref'!L61/'Rail EU Ref'!K61)</f>
        <v>28.775510627950926</v>
      </c>
      <c r="K180" s="6">
        <f>J180*('Rail EU Ref'!M61/'Rail EU Ref'!L61)</f>
        <v>29.638686269252442</v>
      </c>
      <c r="L180" s="6">
        <f>K180*('Rail EU Ref'!N61/'Rail EU Ref'!M61)</f>
        <v>30.501861910553956</v>
      </c>
      <c r="M180" s="6">
        <f>L180*('Rail EU Ref'!O61/'Rail EU Ref'!N61)</f>
        <v>31.365037551855469</v>
      </c>
      <c r="N180" s="6">
        <f>M180*('Rail EU Ref'!P61/'Rail EU Ref'!O61)</f>
        <v>32.228213193156982</v>
      </c>
      <c r="O180" s="6">
        <f>N180*('Rail EU Ref'!Q61/'Rail EU Ref'!P61)</f>
        <v>32.692110772850711</v>
      </c>
      <c r="P180" s="6">
        <f>O180*('Rail EU Ref'!R61/'Rail EU Ref'!Q61)</f>
        <v>33.15600835254444</v>
      </c>
      <c r="Q180" s="6">
        <f>P180*('Rail EU Ref'!S61/'Rail EU Ref'!R61)</f>
        <v>33.619905932238161</v>
      </c>
      <c r="R180" s="6">
        <f>Q180*('Rail EU Ref'!T61/'Rail EU Ref'!S61)</f>
        <v>34.08380351193189</v>
      </c>
      <c r="S180" s="6">
        <f>R180*('Rail EU Ref'!U61/'Rail EU Ref'!T61)</f>
        <v>34.547701091625612</v>
      </c>
      <c r="T180" s="6">
        <f>S180*('Rail EU Ref'!V61/'Rail EU Ref'!U61)</f>
        <v>35.038850896709711</v>
      </c>
      <c r="U180" s="6">
        <f>T180*('Rail EU Ref'!W61/'Rail EU Ref'!V61)</f>
        <v>35.53000070179381</v>
      </c>
      <c r="V180" s="6">
        <f>U180*('Rail EU Ref'!X61/'Rail EU Ref'!W61)</f>
        <v>36.021150506877909</v>
      </c>
      <c r="W180" s="6">
        <f>V180*('Rail EU Ref'!Y61/'Rail EU Ref'!X61)</f>
        <v>36.512300311962015</v>
      </c>
      <c r="X180" s="6">
        <f>W180*('Rail EU Ref'!Z61/'Rail EU Ref'!Y61)</f>
        <v>37.003450117046107</v>
      </c>
      <c r="Y180" s="6">
        <f>X180*('Rail EU Ref'!AA61/'Rail EU Ref'!Z61)</f>
        <v>37.408434562697408</v>
      </c>
      <c r="Z180" s="6">
        <f>Y180*('Rail EU Ref'!AB61/'Rail EU Ref'!AA61)</f>
        <v>37.81341900834871</v>
      </c>
      <c r="AA180" s="6">
        <f>Z180*('Rail EU Ref'!AC61/'Rail EU Ref'!AB61)</f>
        <v>38.218403454000011</v>
      </c>
      <c r="AB180" s="6">
        <f>AA180*('Rail EU Ref'!AD61/'Rail EU Ref'!AC61)</f>
        <v>38.623387899651313</v>
      </c>
      <c r="AC180" s="6">
        <f>AB180*('Rail EU Ref'!AE61/'Rail EU Ref'!AD61)</f>
        <v>39.028372345302628</v>
      </c>
      <c r="AD180" s="6">
        <f>AC180*('Rail EU Ref'!AF61/'Rail EU Ref'!AE61)</f>
        <v>39.442627258882787</v>
      </c>
      <c r="AE180" s="6">
        <f>AD180*('Rail EU Ref'!AG61/'Rail EU Ref'!AF61)</f>
        <v>39.856882172462946</v>
      </c>
      <c r="AF180" s="6">
        <f>AE180*('Rail EU Ref'!AH61/'Rail EU Ref'!AG61)</f>
        <v>40.271137086043105</v>
      </c>
      <c r="AG180" s="6">
        <f>AF180*('Rail EU Ref'!AI61/'Rail EU Ref'!AH61)</f>
        <v>40.685391999623263</v>
      </c>
      <c r="AH180" s="6">
        <f>AG180*('Rail EU Ref'!AJ61/'Rail EU Ref'!AI61)</f>
        <v>41.099646913203422</v>
      </c>
      <c r="AI180" s="7">
        <f t="shared" ref="AI180:BB180" si="52">AH180</f>
        <v>41.099646913203422</v>
      </c>
      <c r="AJ180" s="7">
        <f t="shared" si="52"/>
        <v>41.099646913203422</v>
      </c>
      <c r="AK180" s="7">
        <f t="shared" si="52"/>
        <v>41.099646913203422</v>
      </c>
      <c r="AL180" s="7">
        <f t="shared" si="52"/>
        <v>41.099646913203422</v>
      </c>
      <c r="AM180" s="7">
        <f t="shared" si="52"/>
        <v>41.099646913203422</v>
      </c>
      <c r="AN180" s="7">
        <f t="shared" si="52"/>
        <v>41.099646913203422</v>
      </c>
      <c r="AO180" s="7">
        <f t="shared" si="52"/>
        <v>41.099646913203422</v>
      </c>
      <c r="AP180" s="7">
        <f t="shared" si="52"/>
        <v>41.099646913203422</v>
      </c>
      <c r="AQ180" s="7">
        <f t="shared" si="52"/>
        <v>41.099646913203422</v>
      </c>
      <c r="AR180" s="7">
        <f t="shared" si="52"/>
        <v>41.099646913203422</v>
      </c>
      <c r="AS180" s="7">
        <f t="shared" si="52"/>
        <v>41.099646913203422</v>
      </c>
      <c r="AT180" s="7">
        <f t="shared" si="52"/>
        <v>41.099646913203422</v>
      </c>
      <c r="AU180" s="7">
        <f t="shared" si="52"/>
        <v>41.099646913203422</v>
      </c>
      <c r="AV180" s="7">
        <f t="shared" si="52"/>
        <v>41.099646913203422</v>
      </c>
      <c r="AW180" s="7">
        <f t="shared" si="52"/>
        <v>41.099646913203422</v>
      </c>
      <c r="AX180" s="7">
        <f t="shared" si="52"/>
        <v>41.099646913203422</v>
      </c>
      <c r="AY180" s="7">
        <f t="shared" si="52"/>
        <v>41.099646913203422</v>
      </c>
      <c r="AZ180" s="7">
        <f t="shared" si="52"/>
        <v>41.099646913203422</v>
      </c>
      <c r="BA180" s="7">
        <f t="shared" si="52"/>
        <v>41.099646913203422</v>
      </c>
      <c r="BB180" s="7">
        <f t="shared" si="52"/>
        <v>41.099646913203422</v>
      </c>
    </row>
    <row r="181" spans="1:54" x14ac:dyDescent="0.3">
      <c r="A181" t="s">
        <v>25</v>
      </c>
      <c r="B181">
        <v>5.1509999999999998</v>
      </c>
      <c r="C181">
        <v>5.2919999999999998</v>
      </c>
      <c r="D181">
        <v>4.726</v>
      </c>
      <c r="E181">
        <v>4.9370000000000003</v>
      </c>
      <c r="F181" s="6">
        <f>E181*('Rail EU Ref'!H62/'Rail EU Ref'!G62)</f>
        <v>5.3780261155722364</v>
      </c>
      <c r="G181" s="6">
        <f>F181*('Rail EU Ref'!I62/'Rail EU Ref'!H62)</f>
        <v>5.8190522311444735</v>
      </c>
      <c r="H181" s="6">
        <f>G181*('Rail EU Ref'!J62/'Rail EU Ref'!I62)</f>
        <v>6.2600783467167105</v>
      </c>
      <c r="I181" s="6">
        <f>H181*('Rail EU Ref'!K62/'Rail EU Ref'!J62)</f>
        <v>6.7011044622889449</v>
      </c>
      <c r="J181" s="6">
        <f>I181*('Rail EU Ref'!L62/'Rail EU Ref'!K62)</f>
        <v>7.1455939438364542</v>
      </c>
      <c r="K181" s="6">
        <f>J181*('Rail EU Ref'!M62/'Rail EU Ref'!L62)</f>
        <v>7.5900834253839653</v>
      </c>
      <c r="L181" s="6">
        <f>K181*('Rail EU Ref'!N62/'Rail EU Ref'!M62)</f>
        <v>8.0345729069314764</v>
      </c>
      <c r="M181" s="6">
        <f>L181*('Rail EU Ref'!O62/'Rail EU Ref'!N62)</f>
        <v>8.4790623884789866</v>
      </c>
      <c r="N181" s="6">
        <f>M181*('Rail EU Ref'!P62/'Rail EU Ref'!O62)</f>
        <v>8.9235518700264951</v>
      </c>
      <c r="O181" s="6">
        <f>N181*('Rail EU Ref'!Q62/'Rail EU Ref'!P62)</f>
        <v>9.1776531925867015</v>
      </c>
      <c r="P181" s="6">
        <f>O181*('Rail EU Ref'!R62/'Rail EU Ref'!Q62)</f>
        <v>9.4317545151469098</v>
      </c>
      <c r="Q181" s="6">
        <f>P181*('Rail EU Ref'!S62/'Rail EU Ref'!R62)</f>
        <v>9.685855837707118</v>
      </c>
      <c r="R181" s="6">
        <f>Q181*('Rail EU Ref'!T62/'Rail EU Ref'!S62)</f>
        <v>9.9399571602673245</v>
      </c>
      <c r="S181" s="6">
        <f>R181*('Rail EU Ref'!U62/'Rail EU Ref'!T62)</f>
        <v>10.194058482827533</v>
      </c>
      <c r="T181" s="6">
        <f>S181*('Rail EU Ref'!V62/'Rail EU Ref'!U62)</f>
        <v>10.429935593696159</v>
      </c>
      <c r="U181" s="6">
        <f>T181*('Rail EU Ref'!W62/'Rail EU Ref'!V62)</f>
        <v>10.665812704564786</v>
      </c>
      <c r="V181" s="6">
        <f>U181*('Rail EU Ref'!X62/'Rail EU Ref'!W62)</f>
        <v>10.901689815433413</v>
      </c>
      <c r="W181" s="6">
        <f>V181*('Rail EU Ref'!Y62/'Rail EU Ref'!X62)</f>
        <v>11.137566926302039</v>
      </c>
      <c r="X181" s="6">
        <f>W181*('Rail EU Ref'!Z62/'Rail EU Ref'!Y62)</f>
        <v>11.373444037170666</v>
      </c>
      <c r="Y181" s="6">
        <f>X181*('Rail EU Ref'!AA62/'Rail EU Ref'!Z62)</f>
        <v>11.537459604378832</v>
      </c>
      <c r="Z181" s="6">
        <f>Y181*('Rail EU Ref'!AB62/'Rail EU Ref'!AA62)</f>
        <v>11.701475171586996</v>
      </c>
      <c r="AA181" s="6">
        <f>Z181*('Rail EU Ref'!AC62/'Rail EU Ref'!AB62)</f>
        <v>11.86549073879516</v>
      </c>
      <c r="AB181" s="6">
        <f>AA181*('Rail EU Ref'!AD62/'Rail EU Ref'!AC62)</f>
        <v>12.029506306003324</v>
      </c>
      <c r="AC181" s="6">
        <f>AB181*('Rail EU Ref'!AE62/'Rail EU Ref'!AD62)</f>
        <v>12.193521873211491</v>
      </c>
      <c r="AD181" s="6">
        <f>AC181*('Rail EU Ref'!AF62/'Rail EU Ref'!AE62)</f>
        <v>12.337308533629644</v>
      </c>
      <c r="AE181" s="6">
        <f>AD181*('Rail EU Ref'!AG62/'Rail EU Ref'!AF62)</f>
        <v>12.481095194047798</v>
      </c>
      <c r="AF181" s="6">
        <f>AE181*('Rail EU Ref'!AH62/'Rail EU Ref'!AG62)</f>
        <v>12.624881854465951</v>
      </c>
      <c r="AG181" s="6">
        <f>AF181*('Rail EU Ref'!AI62/'Rail EU Ref'!AH62)</f>
        <v>12.768668514884103</v>
      </c>
      <c r="AH181" s="6">
        <f>AG181*('Rail EU Ref'!AJ62/'Rail EU Ref'!AI62)</f>
        <v>12.912455175302259</v>
      </c>
      <c r="AI181" s="7">
        <f t="shared" ref="AI181:BB181" si="53">AH181</f>
        <v>12.912455175302259</v>
      </c>
      <c r="AJ181" s="7">
        <f t="shared" si="53"/>
        <v>12.912455175302259</v>
      </c>
      <c r="AK181" s="7">
        <f t="shared" si="53"/>
        <v>12.912455175302259</v>
      </c>
      <c r="AL181" s="7">
        <f t="shared" si="53"/>
        <v>12.912455175302259</v>
      </c>
      <c r="AM181" s="7">
        <f t="shared" si="53"/>
        <v>12.912455175302259</v>
      </c>
      <c r="AN181" s="7">
        <f t="shared" si="53"/>
        <v>12.912455175302259</v>
      </c>
      <c r="AO181" s="7">
        <f t="shared" si="53"/>
        <v>12.912455175302259</v>
      </c>
      <c r="AP181" s="7">
        <f t="shared" si="53"/>
        <v>12.912455175302259</v>
      </c>
      <c r="AQ181" s="7">
        <f t="shared" si="53"/>
        <v>12.912455175302259</v>
      </c>
      <c r="AR181" s="7">
        <f t="shared" si="53"/>
        <v>12.912455175302259</v>
      </c>
      <c r="AS181" s="7">
        <f t="shared" si="53"/>
        <v>12.912455175302259</v>
      </c>
      <c r="AT181" s="7">
        <f t="shared" si="53"/>
        <v>12.912455175302259</v>
      </c>
      <c r="AU181" s="7">
        <f t="shared" si="53"/>
        <v>12.912455175302259</v>
      </c>
      <c r="AV181" s="7">
        <f t="shared" si="53"/>
        <v>12.912455175302259</v>
      </c>
      <c r="AW181" s="7">
        <f t="shared" si="53"/>
        <v>12.912455175302259</v>
      </c>
      <c r="AX181" s="7">
        <f t="shared" si="53"/>
        <v>12.912455175302259</v>
      </c>
      <c r="AY181" s="7">
        <f t="shared" si="53"/>
        <v>12.912455175302259</v>
      </c>
      <c r="AZ181" s="7">
        <f t="shared" si="53"/>
        <v>12.912455175302259</v>
      </c>
      <c r="BA181" s="7">
        <f t="shared" si="53"/>
        <v>12.912455175302259</v>
      </c>
      <c r="BB181" s="7">
        <f t="shared" si="53"/>
        <v>12.912455175302259</v>
      </c>
    </row>
    <row r="182" spans="1:54" x14ac:dyDescent="0.3">
      <c r="A182" t="s">
        <v>26</v>
      </c>
      <c r="B182">
        <v>8.3729999999999993</v>
      </c>
      <c r="C182">
        <v>8.1340000000000003</v>
      </c>
      <c r="D182">
        <v>6.9080000000000004</v>
      </c>
      <c r="E182">
        <v>8.19</v>
      </c>
      <c r="F182" s="6">
        <f>E182*('Rail EU Ref'!H63/'Rail EU Ref'!G63)</f>
        <v>8.532085248003261</v>
      </c>
      <c r="G182" s="6">
        <f>F182*('Rail EU Ref'!I63/'Rail EU Ref'!H63)</f>
        <v>8.8741704960065242</v>
      </c>
      <c r="H182" s="6">
        <f>G182*('Rail EU Ref'!J63/'Rail EU Ref'!I63)</f>
        <v>9.2162557440097856</v>
      </c>
      <c r="I182" s="6">
        <f>H182*('Rail EU Ref'!K63/'Rail EU Ref'!J63)</f>
        <v>9.5583409920130453</v>
      </c>
      <c r="J182" s="6">
        <f>I182*('Rail EU Ref'!L63/'Rail EU Ref'!K63)</f>
        <v>9.9103588500815825</v>
      </c>
      <c r="K182" s="6">
        <f>J182*('Rail EU Ref'!M63/'Rail EU Ref'!L63)</f>
        <v>10.26237670815012</v>
      </c>
      <c r="L182" s="6">
        <f>K182*('Rail EU Ref'!N63/'Rail EU Ref'!M63)</f>
        <v>10.614394566218657</v>
      </c>
      <c r="M182" s="6">
        <f>L182*('Rail EU Ref'!O63/'Rail EU Ref'!N63)</f>
        <v>10.966412424287194</v>
      </c>
      <c r="N182" s="6">
        <f>M182*('Rail EU Ref'!P63/'Rail EU Ref'!O63)</f>
        <v>11.318430282355735</v>
      </c>
      <c r="O182" s="6">
        <f>N182*('Rail EU Ref'!Q63/'Rail EU Ref'!P63)</f>
        <v>11.569238342698407</v>
      </c>
      <c r="P182" s="6">
        <f>O182*('Rail EU Ref'!R63/'Rail EU Ref'!Q63)</f>
        <v>11.820046403041079</v>
      </c>
      <c r="Q182" s="6">
        <f>P182*('Rail EU Ref'!S63/'Rail EU Ref'!R63)</f>
        <v>12.070854463383752</v>
      </c>
      <c r="R182" s="6">
        <f>Q182*('Rail EU Ref'!T63/'Rail EU Ref'!S63)</f>
        <v>12.321662523726424</v>
      </c>
      <c r="S182" s="6">
        <f>R182*('Rail EU Ref'!U63/'Rail EU Ref'!T63)</f>
        <v>12.572470584069098</v>
      </c>
      <c r="T182" s="6">
        <f>S182*('Rail EU Ref'!V63/'Rail EU Ref'!U63)</f>
        <v>12.802983822131061</v>
      </c>
      <c r="U182" s="6">
        <f>T182*('Rail EU Ref'!W63/'Rail EU Ref'!V63)</f>
        <v>13.033497060193026</v>
      </c>
      <c r="V182" s="6">
        <f>U182*('Rail EU Ref'!X63/'Rail EU Ref'!W63)</f>
        <v>13.264010298254989</v>
      </c>
      <c r="W182" s="6">
        <f>V182*('Rail EU Ref'!Y63/'Rail EU Ref'!X63)</f>
        <v>13.494523536316951</v>
      </c>
      <c r="X182" s="6">
        <f>W182*('Rail EU Ref'!Z63/'Rail EU Ref'!Y63)</f>
        <v>13.725036774378912</v>
      </c>
      <c r="Y182" s="6">
        <f>X182*('Rail EU Ref'!AA63/'Rail EU Ref'!Z63)</f>
        <v>13.854465269650422</v>
      </c>
      <c r="Z182" s="6">
        <f>Y182*('Rail EU Ref'!AB63/'Rail EU Ref'!AA63)</f>
        <v>13.98389376492193</v>
      </c>
      <c r="AA182" s="6">
        <f>Z182*('Rail EU Ref'!AC63/'Rail EU Ref'!AB63)</f>
        <v>14.11332226019344</v>
      </c>
      <c r="AB182" s="6">
        <f>AA182*('Rail EU Ref'!AD63/'Rail EU Ref'!AC63)</f>
        <v>14.24275075546495</v>
      </c>
      <c r="AC182" s="6">
        <f>AB182*('Rail EU Ref'!AE63/'Rail EU Ref'!AD63)</f>
        <v>14.372179250736455</v>
      </c>
      <c r="AD182" s="6">
        <f>AC182*('Rail EU Ref'!AF63/'Rail EU Ref'!AE63)</f>
        <v>14.520706651847787</v>
      </c>
      <c r="AE182" s="6">
        <f>AD182*('Rail EU Ref'!AG63/'Rail EU Ref'!AF63)</f>
        <v>14.669234052959117</v>
      </c>
      <c r="AF182" s="6">
        <f>AE182*('Rail EU Ref'!AH63/'Rail EU Ref'!AG63)</f>
        <v>14.817761454070451</v>
      </c>
      <c r="AG182" s="6">
        <f>AF182*('Rail EU Ref'!AI63/'Rail EU Ref'!AH63)</f>
        <v>14.966288855181784</v>
      </c>
      <c r="AH182" s="6">
        <f>AG182*('Rail EU Ref'!AJ63/'Rail EU Ref'!AI63)</f>
        <v>15.114816256293118</v>
      </c>
      <c r="AI182" s="7">
        <f t="shared" ref="AI182:BB182" si="54">AH182</f>
        <v>15.114816256293118</v>
      </c>
      <c r="AJ182" s="7">
        <f t="shared" si="54"/>
        <v>15.114816256293118</v>
      </c>
      <c r="AK182" s="7">
        <f t="shared" si="54"/>
        <v>15.114816256293118</v>
      </c>
      <c r="AL182" s="7">
        <f t="shared" si="54"/>
        <v>15.114816256293118</v>
      </c>
      <c r="AM182" s="7">
        <f t="shared" si="54"/>
        <v>15.114816256293118</v>
      </c>
      <c r="AN182" s="7">
        <f t="shared" si="54"/>
        <v>15.114816256293118</v>
      </c>
      <c r="AO182" s="7">
        <f t="shared" si="54"/>
        <v>15.114816256293118</v>
      </c>
      <c r="AP182" s="7">
        <f t="shared" si="54"/>
        <v>15.114816256293118</v>
      </c>
      <c r="AQ182" s="7">
        <f t="shared" si="54"/>
        <v>15.114816256293118</v>
      </c>
      <c r="AR182" s="7">
        <f t="shared" si="54"/>
        <v>15.114816256293118</v>
      </c>
      <c r="AS182" s="7">
        <f t="shared" si="54"/>
        <v>15.114816256293118</v>
      </c>
      <c r="AT182" s="7">
        <f t="shared" si="54"/>
        <v>15.114816256293118</v>
      </c>
      <c r="AU182" s="7">
        <f t="shared" si="54"/>
        <v>15.114816256293118</v>
      </c>
      <c r="AV182" s="7">
        <f t="shared" si="54"/>
        <v>15.114816256293118</v>
      </c>
      <c r="AW182" s="7">
        <f t="shared" si="54"/>
        <v>15.114816256293118</v>
      </c>
      <c r="AX182" s="7">
        <f t="shared" si="54"/>
        <v>15.114816256293118</v>
      </c>
      <c r="AY182" s="7">
        <f t="shared" si="54"/>
        <v>15.114816256293118</v>
      </c>
      <c r="AZ182" s="7">
        <f t="shared" si="54"/>
        <v>15.114816256293118</v>
      </c>
      <c r="BA182" s="7">
        <f t="shared" si="54"/>
        <v>15.114816256293118</v>
      </c>
      <c r="BB182" s="7">
        <f t="shared" si="54"/>
        <v>15.114816256293118</v>
      </c>
    </row>
    <row r="183" spans="1:54" x14ac:dyDescent="0.3">
      <c r="A183" t="s">
        <v>88</v>
      </c>
      <c r="B183" s="9">
        <v>493.404915716</v>
      </c>
      <c r="C183" s="9">
        <v>506.88545456599996</v>
      </c>
      <c r="D183" s="9">
        <v>278.86638042700008</v>
      </c>
      <c r="E183" s="9">
        <v>320.77980994599994</v>
      </c>
      <c r="F183" s="10">
        <f>SUM(F156:F182)</f>
        <v>428.02287205887598</v>
      </c>
      <c r="G183" s="10">
        <f t="shared" ref="G183" si="55">SUM(G156:G182)</f>
        <v>446.47376156975173</v>
      </c>
      <c r="H183" s="10">
        <f t="shared" ref="H183" si="56">SUM(H156:H182)</f>
        <v>464.92465108062754</v>
      </c>
      <c r="I183" s="10">
        <f t="shared" ref="I183" si="57">SUM(I156:I182)</f>
        <v>483.37554059150341</v>
      </c>
      <c r="J183" s="10">
        <f t="shared" ref="J183" si="58">SUM(J156:J182)</f>
        <v>498.49649880547901</v>
      </c>
      <c r="K183" s="10">
        <f t="shared" ref="K183" si="59">SUM(K156:K182)</f>
        <v>513.6174570194546</v>
      </c>
      <c r="L183" s="10">
        <f t="shared" ref="L183" si="60">SUM(L156:L182)</f>
        <v>528.73841523343026</v>
      </c>
      <c r="M183" s="10">
        <f t="shared" ref="M183" si="61">SUM(M156:M182)</f>
        <v>543.85937344740591</v>
      </c>
      <c r="N183" s="10">
        <f t="shared" ref="N183" si="62">SUM(N156:N182)</f>
        <v>558.98033166138146</v>
      </c>
      <c r="O183" s="10">
        <f t="shared" ref="O183" si="63">SUM(O156:O182)</f>
        <v>570.04537398130469</v>
      </c>
      <c r="P183" s="10">
        <f t="shared" ref="P183" si="64">SUM(P156:P182)</f>
        <v>581.11041630122781</v>
      </c>
      <c r="Q183" s="10">
        <f t="shared" ref="Q183" si="65">SUM(Q156:Q182)</f>
        <v>592.17545862115105</v>
      </c>
      <c r="R183" s="10">
        <f t="shared" ref="R183" si="66">SUM(R156:R182)</f>
        <v>603.24050094107452</v>
      </c>
      <c r="S183" s="10">
        <f t="shared" ref="S183" si="67">SUM(S156:S182)</f>
        <v>614.30554326099775</v>
      </c>
      <c r="T183" s="10">
        <f t="shared" ref="T183" si="68">SUM(T156:T182)</f>
        <v>624.32360404962492</v>
      </c>
      <c r="U183" s="10">
        <f t="shared" ref="U183" si="69">SUM(U156:U182)</f>
        <v>634.34166483825197</v>
      </c>
      <c r="V183" s="10">
        <f t="shared" ref="V183" si="70">SUM(V156:V182)</f>
        <v>644.35972562687959</v>
      </c>
      <c r="W183" s="10">
        <f t="shared" ref="W183" si="71">SUM(W156:W182)</f>
        <v>654.37778641550642</v>
      </c>
      <c r="X183" s="10">
        <f t="shared" ref="X183" si="72">SUM(X156:X182)</f>
        <v>664.39584720413393</v>
      </c>
      <c r="Y183" s="10">
        <f t="shared" ref="Y183" si="73">SUM(Y156:Y182)</f>
        <v>671.68166380813932</v>
      </c>
      <c r="Z183" s="10">
        <f t="shared" ref="Z183" si="74">SUM(Z156:Z182)</f>
        <v>678.96748041214482</v>
      </c>
      <c r="AA183" s="10">
        <f t="shared" ref="AA183" si="75">SUM(AA156:AA182)</f>
        <v>686.25329701615033</v>
      </c>
      <c r="AB183" s="10">
        <f t="shared" ref="AB183" si="76">SUM(AB156:AB182)</f>
        <v>693.53911362015583</v>
      </c>
      <c r="AC183" s="10">
        <f t="shared" ref="AC183" si="77">SUM(AC156:AC182)</f>
        <v>700.82493022416133</v>
      </c>
      <c r="AD183" s="10">
        <f t="shared" ref="AD183" si="78">SUM(AD156:AD182)</f>
        <v>708.12695856658911</v>
      </c>
      <c r="AE183" s="10">
        <f t="shared" ref="AE183" si="79">SUM(AE156:AE182)</f>
        <v>715.42898690901654</v>
      </c>
      <c r="AF183" s="10">
        <f t="shared" ref="AF183" si="80">SUM(AF156:AF182)</f>
        <v>722.73101525144421</v>
      </c>
      <c r="AG183" s="10">
        <f t="shared" ref="AG183" si="81">SUM(AG156:AG182)</f>
        <v>730.03304359387153</v>
      </c>
      <c r="AH183" s="10">
        <f t="shared" ref="AH183" si="82">SUM(AH156:AH182)</f>
        <v>737.3350719362993</v>
      </c>
      <c r="AI183" s="10">
        <f t="shared" ref="AI183" si="83">SUM(AI156:AI182)</f>
        <v>737.3350719362993</v>
      </c>
      <c r="AJ183" s="10">
        <f t="shared" ref="AJ183" si="84">SUM(AJ156:AJ182)</f>
        <v>737.3350719362993</v>
      </c>
      <c r="AK183" s="10">
        <f t="shared" ref="AK183" si="85">SUM(AK156:AK182)</f>
        <v>737.3350719362993</v>
      </c>
      <c r="AL183" s="10">
        <f t="shared" ref="AL183" si="86">SUM(AL156:AL182)</f>
        <v>737.3350719362993</v>
      </c>
      <c r="AM183" s="10">
        <f t="shared" ref="AM183" si="87">SUM(AM156:AM182)</f>
        <v>737.3350719362993</v>
      </c>
      <c r="AN183" s="10">
        <f t="shared" ref="AN183" si="88">SUM(AN156:AN182)</f>
        <v>737.3350719362993</v>
      </c>
      <c r="AO183" s="10">
        <f t="shared" ref="AO183" si="89">SUM(AO156:AO182)</f>
        <v>737.3350719362993</v>
      </c>
      <c r="AP183" s="10">
        <f t="shared" ref="AP183" si="90">SUM(AP156:AP182)</f>
        <v>737.3350719362993</v>
      </c>
      <c r="AQ183" s="10">
        <f t="shared" ref="AQ183" si="91">SUM(AQ156:AQ182)</f>
        <v>737.3350719362993</v>
      </c>
      <c r="AR183" s="10">
        <f t="shared" ref="AR183" si="92">SUM(AR156:AR182)</f>
        <v>737.3350719362993</v>
      </c>
      <c r="AS183" s="10">
        <f t="shared" ref="AS183" si="93">SUM(AS156:AS182)</f>
        <v>737.3350719362993</v>
      </c>
      <c r="AT183" s="10">
        <f t="shared" ref="AT183" si="94">SUM(AT156:AT182)</f>
        <v>737.3350719362993</v>
      </c>
      <c r="AU183" s="10">
        <f t="shared" ref="AU183" si="95">SUM(AU156:AU182)</f>
        <v>737.3350719362993</v>
      </c>
      <c r="AV183" s="10">
        <f t="shared" ref="AV183" si="96">SUM(AV156:AV182)</f>
        <v>737.3350719362993</v>
      </c>
      <c r="AW183" s="10">
        <f t="shared" ref="AW183" si="97">SUM(AW156:AW182)</f>
        <v>737.3350719362993</v>
      </c>
      <c r="AX183" s="10">
        <f t="shared" ref="AX183" si="98">SUM(AX156:AX182)</f>
        <v>737.3350719362993</v>
      </c>
      <c r="AY183" s="10">
        <f t="shared" ref="AY183" si="99">SUM(AY156:AY182)</f>
        <v>737.3350719362993</v>
      </c>
      <c r="AZ183" s="10">
        <f t="shared" ref="AZ183" si="100">SUM(AZ156:AZ182)</f>
        <v>737.3350719362993</v>
      </c>
      <c r="BA183" s="10">
        <f t="shared" ref="BA183" si="101">SUM(BA156:BA182)</f>
        <v>737.3350719362993</v>
      </c>
      <c r="BB183" s="10">
        <f t="shared" ref="BB183" si="102">SUM(BB156:BB182)</f>
        <v>737.3350719362993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7D95D-7092-4FC6-A012-5E6421842C76}">
  <dimension ref="A1:AL63"/>
  <sheetViews>
    <sheetView workbookViewId="0">
      <selection sqref="A1:XFD1"/>
    </sheetView>
  </sheetViews>
  <sheetFormatPr defaultRowHeight="14.4" x14ac:dyDescent="0.3"/>
  <cols>
    <col min="2" max="2" width="10.6640625" bestFit="1" customWidth="1"/>
    <col min="3" max="3" width="28.109375" bestFit="1" customWidth="1"/>
    <col min="4" max="4" width="24.5546875" bestFit="1" customWidth="1"/>
  </cols>
  <sheetData>
    <row r="1" spans="1:38" x14ac:dyDescent="0.3">
      <c r="A1" t="s">
        <v>1</v>
      </c>
      <c r="B1" s="25" t="s">
        <v>118</v>
      </c>
      <c r="C1" s="26"/>
      <c r="D1" s="26"/>
      <c r="E1" s="26"/>
      <c r="F1" s="27">
        <v>2020</v>
      </c>
      <c r="G1" s="27">
        <v>2021</v>
      </c>
      <c r="H1" s="27">
        <v>2022</v>
      </c>
      <c r="I1" s="27">
        <v>2023</v>
      </c>
      <c r="J1" s="27">
        <v>2024</v>
      </c>
      <c r="K1" s="27">
        <v>2025</v>
      </c>
      <c r="L1" s="27">
        <v>2026</v>
      </c>
      <c r="M1" s="27">
        <v>2027</v>
      </c>
      <c r="N1" s="27">
        <v>2028</v>
      </c>
      <c r="O1" s="27">
        <v>2029</v>
      </c>
      <c r="P1" s="27">
        <v>2030</v>
      </c>
      <c r="Q1" s="27">
        <v>2031</v>
      </c>
      <c r="R1" s="27">
        <v>2032</v>
      </c>
      <c r="S1" s="27">
        <v>2033</v>
      </c>
      <c r="T1" s="27">
        <v>2034</v>
      </c>
      <c r="U1" s="27">
        <v>2035</v>
      </c>
      <c r="V1" s="27">
        <v>2036</v>
      </c>
      <c r="W1" s="27">
        <v>2037</v>
      </c>
      <c r="X1" s="27">
        <v>2038</v>
      </c>
      <c r="Y1" s="27">
        <v>2039</v>
      </c>
      <c r="Z1" s="27">
        <v>2040</v>
      </c>
      <c r="AA1" s="27">
        <v>2041</v>
      </c>
      <c r="AB1" s="27">
        <v>2042</v>
      </c>
      <c r="AC1" s="27">
        <v>2043</v>
      </c>
      <c r="AD1" s="27">
        <v>2044</v>
      </c>
      <c r="AE1" s="27">
        <v>2045</v>
      </c>
      <c r="AF1" s="27">
        <v>2046</v>
      </c>
      <c r="AG1" s="27">
        <v>2047</v>
      </c>
      <c r="AH1" s="27">
        <v>2048</v>
      </c>
      <c r="AI1" s="27">
        <v>2049</v>
      </c>
      <c r="AJ1" s="27">
        <v>2050</v>
      </c>
      <c r="AK1" s="27" t="s">
        <v>119</v>
      </c>
      <c r="AL1" s="27" t="s">
        <v>120</v>
      </c>
    </row>
    <row r="2" spans="1:38" x14ac:dyDescent="0.3">
      <c r="A2" t="str">
        <f>VLOOKUP(B2,'Country codes'!$A$1:$B$28,2,FALSE)</f>
        <v>AT</v>
      </c>
      <c r="B2" s="23" t="s">
        <v>90</v>
      </c>
      <c r="C2" s="24" t="s">
        <v>121</v>
      </c>
      <c r="D2" s="28" t="s">
        <v>122</v>
      </c>
      <c r="E2" s="29" t="s">
        <v>123</v>
      </c>
      <c r="F2" s="30">
        <v>11.408612097858541</v>
      </c>
      <c r="G2" s="30">
        <f>F2+(($K2-$F2)/5)</f>
        <v>13.42254089850603</v>
      </c>
      <c r="H2" s="30">
        <f t="shared" ref="H2:J2" si="0">G2+(($K2-$F2)/5)</f>
        <v>15.43646969915352</v>
      </c>
      <c r="I2" s="30">
        <f t="shared" si="0"/>
        <v>17.450398499801008</v>
      </c>
      <c r="J2" s="30">
        <f t="shared" si="0"/>
        <v>19.464327300448495</v>
      </c>
      <c r="K2" s="30">
        <v>21.478256101095987</v>
      </c>
      <c r="L2" s="30">
        <f>K2+(($P2-$K2)/5)</f>
        <v>21.762698197973329</v>
      </c>
      <c r="M2" s="30">
        <f t="shared" ref="M2:O2" si="1">L2+(($P2-$K2)/5)</f>
        <v>22.047140294850671</v>
      </c>
      <c r="N2" s="30">
        <f t="shared" si="1"/>
        <v>22.331582391728013</v>
      </c>
      <c r="O2" s="30">
        <f t="shared" si="1"/>
        <v>22.616024488605355</v>
      </c>
      <c r="P2" s="30">
        <v>22.900466585482704</v>
      </c>
      <c r="Q2" s="30">
        <f>P2+(($U2-$P2)/5)</f>
        <v>23.179559617670385</v>
      </c>
      <c r="R2" s="30">
        <f t="shared" ref="R2:T2" si="2">Q2+(($U2-$P2)/5)</f>
        <v>23.458652649858067</v>
      </c>
      <c r="S2" s="30">
        <f t="shared" si="2"/>
        <v>23.737745682045748</v>
      </c>
      <c r="T2" s="30">
        <f t="shared" si="2"/>
        <v>24.01683871423343</v>
      </c>
      <c r="U2" s="30">
        <v>24.295931746421108</v>
      </c>
      <c r="V2" s="30">
        <f>U2+(($Z2-$U2)/5)</f>
        <v>24.492444323145172</v>
      </c>
      <c r="W2" s="30">
        <f t="shared" ref="W2:Y2" si="3">V2+(($Z2-$U2)/5)</f>
        <v>24.688956899869236</v>
      </c>
      <c r="X2" s="30">
        <f t="shared" si="3"/>
        <v>24.8854694765933</v>
      </c>
      <c r="Y2" s="30">
        <f t="shared" si="3"/>
        <v>25.081982053317365</v>
      </c>
      <c r="Z2" s="30">
        <v>25.278494630041422</v>
      </c>
      <c r="AA2" s="30">
        <f>Z2+(($AE2-$Z2)/5)</f>
        <v>25.439716716569283</v>
      </c>
      <c r="AB2" s="30">
        <f t="shared" ref="AB2:AD2" si="4">AA2+(($AE2-$Z2)/5)</f>
        <v>25.600938803097144</v>
      </c>
      <c r="AC2" s="30">
        <f t="shared" si="4"/>
        <v>25.762160889625005</v>
      </c>
      <c r="AD2" s="30">
        <f t="shared" si="4"/>
        <v>25.923382976152865</v>
      </c>
      <c r="AE2" s="30">
        <v>26.084605062680726</v>
      </c>
      <c r="AF2" s="30">
        <f>AE2+(($AJ2-$AE2)/5)</f>
        <v>26.205429236964978</v>
      </c>
      <c r="AG2" s="30">
        <f t="shared" ref="AG2:AI2" si="5">AF2+(($AJ2-$AE2)/5)</f>
        <v>26.32625341124923</v>
      </c>
      <c r="AH2" s="30">
        <f t="shared" si="5"/>
        <v>26.447077585533481</v>
      </c>
      <c r="AI2" s="30">
        <f t="shared" si="5"/>
        <v>26.567901759817733</v>
      </c>
      <c r="AJ2" s="30">
        <v>26.688725934101981</v>
      </c>
      <c r="AK2" s="31">
        <v>7.2163829275905256</v>
      </c>
      <c r="AL2" s="31">
        <v>0.76835653141649196</v>
      </c>
    </row>
    <row r="3" spans="1:38" x14ac:dyDescent="0.3">
      <c r="A3" t="str">
        <f>VLOOKUP(B3,'Country codes'!$A$1:$B$28,2,FALSE)</f>
        <v>BE</v>
      </c>
      <c r="B3" s="23" t="s">
        <v>91</v>
      </c>
      <c r="C3" s="24" t="s">
        <v>121</v>
      </c>
      <c r="D3" s="28" t="s">
        <v>122</v>
      </c>
      <c r="E3" s="29" t="s">
        <v>123</v>
      </c>
      <c r="F3" s="30">
        <v>5.5644554259218788</v>
      </c>
      <c r="G3" s="30">
        <f t="shared" ref="G3:J3" si="6">F3+(($K3-$F3)/5)</f>
        <v>6.8883893783315848</v>
      </c>
      <c r="H3" s="30">
        <f t="shared" si="6"/>
        <v>8.2123233307412917</v>
      </c>
      <c r="I3" s="30">
        <f t="shared" si="6"/>
        <v>9.5362572831509986</v>
      </c>
      <c r="J3" s="30">
        <f t="shared" si="6"/>
        <v>10.860191235560706</v>
      </c>
      <c r="K3" s="30">
        <v>12.184125187970411</v>
      </c>
      <c r="L3" s="30">
        <f t="shared" ref="L3:O3" si="7">K3+(($P3-$K3)/5)</f>
        <v>12.324992928639855</v>
      </c>
      <c r="M3" s="30">
        <f t="shared" si="7"/>
        <v>12.465860669309299</v>
      </c>
      <c r="N3" s="30">
        <f t="shared" si="7"/>
        <v>12.606728409978743</v>
      </c>
      <c r="O3" s="30">
        <f t="shared" si="7"/>
        <v>12.747596150648187</v>
      </c>
      <c r="P3" s="30">
        <v>12.888463891317629</v>
      </c>
      <c r="Q3" s="30">
        <f t="shared" ref="Q3:T3" si="8">P3+(($U3-$P3)/5)</f>
        <v>13.008894260505917</v>
      </c>
      <c r="R3" s="30">
        <f t="shared" si="8"/>
        <v>13.129324629694205</v>
      </c>
      <c r="S3" s="30">
        <f t="shared" si="8"/>
        <v>13.249754998882493</v>
      </c>
      <c r="T3" s="30">
        <f t="shared" si="8"/>
        <v>13.37018536807078</v>
      </c>
      <c r="U3" s="30">
        <v>13.490615737259072</v>
      </c>
      <c r="V3" s="30">
        <f t="shared" ref="V3:Y3" si="9">U3+(($Z3-$U3)/5)</f>
        <v>13.591865127893515</v>
      </c>
      <c r="W3" s="30">
        <f t="shared" si="9"/>
        <v>13.693114518527958</v>
      </c>
      <c r="X3" s="30">
        <f t="shared" si="9"/>
        <v>13.794363909162401</v>
      </c>
      <c r="Y3" s="30">
        <f t="shared" si="9"/>
        <v>13.895613299796844</v>
      </c>
      <c r="Z3" s="30">
        <v>13.996862690431289</v>
      </c>
      <c r="AA3" s="30">
        <f t="shared" ref="AA3:AD3" si="10">Z3+(($AE3-$Z3)/5)</f>
        <v>14.109917584143139</v>
      </c>
      <c r="AB3" s="30">
        <f t="shared" si="10"/>
        <v>14.222972477854988</v>
      </c>
      <c r="AC3" s="30">
        <f t="shared" si="10"/>
        <v>14.336027371566837</v>
      </c>
      <c r="AD3" s="30">
        <f t="shared" si="10"/>
        <v>14.449082265278687</v>
      </c>
      <c r="AE3" s="30">
        <v>14.562137158990534</v>
      </c>
      <c r="AF3" s="30">
        <f t="shared" ref="AF3:AI3" si="11">AE3+(($AJ3-$AE3)/5)</f>
        <v>14.674498744485835</v>
      </c>
      <c r="AG3" s="30">
        <f t="shared" si="11"/>
        <v>14.786860329981135</v>
      </c>
      <c r="AH3" s="30">
        <f t="shared" si="11"/>
        <v>14.899221915476435</v>
      </c>
      <c r="AI3" s="30">
        <f t="shared" si="11"/>
        <v>15.011583500971735</v>
      </c>
      <c r="AJ3" s="30">
        <v>15.123945086467032</v>
      </c>
      <c r="AK3" s="31">
        <v>8.7621662875185571</v>
      </c>
      <c r="AL3" s="31">
        <v>0.80293948614762467</v>
      </c>
    </row>
    <row r="4" spans="1:38" x14ac:dyDescent="0.3">
      <c r="A4" t="str">
        <f>VLOOKUP(B4,'Country codes'!$A$1:$B$28,2,FALSE)</f>
        <v>BG</v>
      </c>
      <c r="B4" s="23" t="s">
        <v>92</v>
      </c>
      <c r="C4" s="24" t="s">
        <v>121</v>
      </c>
      <c r="D4" s="28" t="s">
        <v>122</v>
      </c>
      <c r="E4" s="29" t="s">
        <v>123</v>
      </c>
      <c r="F4" s="30">
        <v>1.7002145312565466</v>
      </c>
      <c r="G4" s="30">
        <f t="shared" ref="G4:J4" si="12">F4+(($K4-$F4)/5)</f>
        <v>1.9065934036412284</v>
      </c>
      <c r="H4" s="30">
        <f t="shared" si="12"/>
        <v>2.1129722760259102</v>
      </c>
      <c r="I4" s="30">
        <f t="shared" si="12"/>
        <v>2.319351148410592</v>
      </c>
      <c r="J4" s="30">
        <f t="shared" si="12"/>
        <v>2.5257300207952738</v>
      </c>
      <c r="K4" s="30">
        <v>2.732108893179956</v>
      </c>
      <c r="L4" s="30">
        <f t="shared" ref="L4:O4" si="13">K4+(($P4-$K4)/5)</f>
        <v>2.7678814714370854</v>
      </c>
      <c r="M4" s="30">
        <f t="shared" si="13"/>
        <v>2.8036540496942148</v>
      </c>
      <c r="N4" s="30">
        <f t="shared" si="13"/>
        <v>2.8394266279513443</v>
      </c>
      <c r="O4" s="30">
        <f t="shared" si="13"/>
        <v>2.8751992062084737</v>
      </c>
      <c r="P4" s="30">
        <v>2.9109717844656027</v>
      </c>
      <c r="Q4" s="30">
        <f t="shared" ref="Q4:T4" si="14">P4+(($U4-$P4)/5)</f>
        <v>2.938446365369987</v>
      </c>
      <c r="R4" s="30">
        <f t="shared" si="14"/>
        <v>2.9659209462743714</v>
      </c>
      <c r="S4" s="30">
        <f t="shared" si="14"/>
        <v>2.9933955271787558</v>
      </c>
      <c r="T4" s="30">
        <f t="shared" si="14"/>
        <v>3.0208701080831402</v>
      </c>
      <c r="U4" s="30">
        <v>3.0483446889875245</v>
      </c>
      <c r="V4" s="30">
        <f t="shared" ref="V4:Y4" si="15">U4+(($Z4-$U4)/5)</f>
        <v>3.0803679126114063</v>
      </c>
      <c r="W4" s="30">
        <f t="shared" si="15"/>
        <v>3.1123911362352881</v>
      </c>
      <c r="X4" s="30">
        <f t="shared" si="15"/>
        <v>3.1444143598591698</v>
      </c>
      <c r="Y4" s="30">
        <f t="shared" si="15"/>
        <v>3.1764375834830516</v>
      </c>
      <c r="Z4" s="30">
        <v>3.2084608071069329</v>
      </c>
      <c r="AA4" s="30">
        <f t="shared" ref="AA4:AD4" si="16">Z4+(($AE4-$Z4)/5)</f>
        <v>3.2393745977116111</v>
      </c>
      <c r="AB4" s="30">
        <f t="shared" si="16"/>
        <v>3.2702883883162892</v>
      </c>
      <c r="AC4" s="30">
        <f t="shared" si="16"/>
        <v>3.3012021789209673</v>
      </c>
      <c r="AD4" s="30">
        <f t="shared" si="16"/>
        <v>3.3321159695256455</v>
      </c>
      <c r="AE4" s="30">
        <v>3.3630297601303245</v>
      </c>
      <c r="AF4" s="30">
        <f t="shared" ref="AF4:AI4" si="17">AE4+(($AJ4-$AE4)/5)</f>
        <v>3.3880279709800294</v>
      </c>
      <c r="AG4" s="30">
        <f t="shared" si="17"/>
        <v>3.4130261818297343</v>
      </c>
      <c r="AH4" s="30">
        <f t="shared" si="17"/>
        <v>3.4380243926794392</v>
      </c>
      <c r="AI4" s="30">
        <f t="shared" si="17"/>
        <v>3.463022603529144</v>
      </c>
      <c r="AJ4" s="30">
        <v>3.4880208143788494</v>
      </c>
      <c r="AK4" s="31">
        <v>5.5245301744694997</v>
      </c>
      <c r="AL4" s="31">
        <v>0.90833808501635804</v>
      </c>
    </row>
    <row r="5" spans="1:38" x14ac:dyDescent="0.3">
      <c r="A5" t="str">
        <f>VLOOKUP(B5,'Country codes'!$A$1:$B$28,2,FALSE)</f>
        <v>CY</v>
      </c>
      <c r="B5" s="23" t="s">
        <v>93</v>
      </c>
      <c r="C5" s="24" t="s">
        <v>121</v>
      </c>
      <c r="D5" s="28" t="s">
        <v>122</v>
      </c>
      <c r="E5" s="29" t="s">
        <v>123</v>
      </c>
      <c r="F5" s="30">
        <v>0</v>
      </c>
      <c r="G5" s="30">
        <f t="shared" ref="G5:J5" si="18">F5+(($K5-$F5)/5)</f>
        <v>0</v>
      </c>
      <c r="H5" s="30">
        <f t="shared" si="18"/>
        <v>0</v>
      </c>
      <c r="I5" s="30">
        <f t="shared" si="18"/>
        <v>0</v>
      </c>
      <c r="J5" s="30">
        <f t="shared" si="18"/>
        <v>0</v>
      </c>
      <c r="K5" s="30">
        <v>0</v>
      </c>
      <c r="L5" s="30">
        <f t="shared" ref="L5:O5" si="19">K5+(($P5-$K5)/5)</f>
        <v>0</v>
      </c>
      <c r="M5" s="30">
        <f t="shared" si="19"/>
        <v>0</v>
      </c>
      <c r="N5" s="30">
        <f t="shared" si="19"/>
        <v>0</v>
      </c>
      <c r="O5" s="30">
        <f t="shared" si="19"/>
        <v>0</v>
      </c>
      <c r="P5" s="30">
        <v>0</v>
      </c>
      <c r="Q5" s="30">
        <f t="shared" ref="Q5:T5" si="20">P5+(($U5-$P5)/5)</f>
        <v>0</v>
      </c>
      <c r="R5" s="30">
        <f t="shared" si="20"/>
        <v>0</v>
      </c>
      <c r="S5" s="30">
        <f t="shared" si="20"/>
        <v>0</v>
      </c>
      <c r="T5" s="30">
        <f t="shared" si="20"/>
        <v>0</v>
      </c>
      <c r="U5" s="30">
        <v>0</v>
      </c>
      <c r="V5" s="30">
        <f t="shared" ref="V5:Y5" si="21">U5+(($Z5-$U5)/5)</f>
        <v>0</v>
      </c>
      <c r="W5" s="30">
        <f t="shared" si="21"/>
        <v>0</v>
      </c>
      <c r="X5" s="30">
        <f t="shared" si="21"/>
        <v>0</v>
      </c>
      <c r="Y5" s="30">
        <f t="shared" si="21"/>
        <v>0</v>
      </c>
      <c r="Z5" s="30">
        <v>0</v>
      </c>
      <c r="AA5" s="30">
        <f t="shared" ref="AA5:AD5" si="22">Z5+(($AE5-$Z5)/5)</f>
        <v>0</v>
      </c>
      <c r="AB5" s="30">
        <f t="shared" si="22"/>
        <v>0</v>
      </c>
      <c r="AC5" s="30">
        <f t="shared" si="22"/>
        <v>0</v>
      </c>
      <c r="AD5" s="30">
        <f t="shared" si="22"/>
        <v>0</v>
      </c>
      <c r="AE5" s="30">
        <v>0</v>
      </c>
      <c r="AF5" s="30">
        <f t="shared" ref="AF5:AI5" si="23">AE5+(($AJ5-$AE5)/5)</f>
        <v>0</v>
      </c>
      <c r="AG5" s="30">
        <f t="shared" si="23"/>
        <v>0</v>
      </c>
      <c r="AH5" s="30">
        <f t="shared" si="23"/>
        <v>0</v>
      </c>
      <c r="AI5" s="30">
        <f t="shared" si="23"/>
        <v>0</v>
      </c>
      <c r="AJ5" s="30">
        <v>0</v>
      </c>
      <c r="AK5" s="31" t="s">
        <v>124</v>
      </c>
      <c r="AL5" s="31" t="s">
        <v>124</v>
      </c>
    </row>
    <row r="6" spans="1:38" x14ac:dyDescent="0.3">
      <c r="A6" t="str">
        <f>VLOOKUP(B6,'Country codes'!$A$1:$B$28,2,FALSE)</f>
        <v>CZ</v>
      </c>
      <c r="B6" s="23" t="s">
        <v>94</v>
      </c>
      <c r="C6" s="24" t="s">
        <v>121</v>
      </c>
      <c r="D6" s="28" t="s">
        <v>122</v>
      </c>
      <c r="E6" s="29" t="s">
        <v>123</v>
      </c>
      <c r="F6" s="30">
        <v>14.812685244563074</v>
      </c>
      <c r="G6" s="30">
        <f t="shared" ref="G6:J6" si="24">F6+(($K6-$F6)/5)</f>
        <v>16.457337247696167</v>
      </c>
      <c r="H6" s="30">
        <f t="shared" si="24"/>
        <v>18.101989250829259</v>
      </c>
      <c r="I6" s="30">
        <f t="shared" si="24"/>
        <v>19.746641253962352</v>
      </c>
      <c r="J6" s="30">
        <f t="shared" si="24"/>
        <v>21.391293257095445</v>
      </c>
      <c r="K6" s="30">
        <v>23.035945260228537</v>
      </c>
      <c r="L6" s="30">
        <f t="shared" ref="L6:O6" si="25">K6+(($P6-$K6)/5)</f>
        <v>23.355958378441304</v>
      </c>
      <c r="M6" s="30">
        <f t="shared" si="25"/>
        <v>23.675971496654071</v>
      </c>
      <c r="N6" s="30">
        <f t="shared" si="25"/>
        <v>23.995984614866838</v>
      </c>
      <c r="O6" s="30">
        <f t="shared" si="25"/>
        <v>24.315997733079605</v>
      </c>
      <c r="P6" s="30">
        <v>24.636010851292369</v>
      </c>
      <c r="Q6" s="30">
        <f t="shared" ref="Q6:T6" si="26">P6+(($U6-$P6)/5)</f>
        <v>24.896213880003462</v>
      </c>
      <c r="R6" s="30">
        <f t="shared" si="26"/>
        <v>25.156416908714554</v>
      </c>
      <c r="S6" s="30">
        <f t="shared" si="26"/>
        <v>25.416619937425647</v>
      </c>
      <c r="T6" s="30">
        <f t="shared" si="26"/>
        <v>25.67682296613674</v>
      </c>
      <c r="U6" s="30">
        <v>25.937025994847829</v>
      </c>
      <c r="V6" s="30">
        <f t="shared" ref="V6:Y6" si="27">U6+(($Z6-$U6)/5)</f>
        <v>26.232192710589985</v>
      </c>
      <c r="W6" s="30">
        <f t="shared" si="27"/>
        <v>26.52735942633214</v>
      </c>
      <c r="X6" s="30">
        <f t="shared" si="27"/>
        <v>26.822526142074295</v>
      </c>
      <c r="Y6" s="30">
        <f t="shared" si="27"/>
        <v>27.117692857816451</v>
      </c>
      <c r="Z6" s="30">
        <v>27.412859573558613</v>
      </c>
      <c r="AA6" s="30">
        <f t="shared" ref="AA6:AD6" si="28">Z6+(($AE6-$Z6)/5)</f>
        <v>27.638918674968501</v>
      </c>
      <c r="AB6" s="30">
        <f t="shared" si="28"/>
        <v>27.864977776378389</v>
      </c>
      <c r="AC6" s="30">
        <f t="shared" si="28"/>
        <v>28.091036877788277</v>
      </c>
      <c r="AD6" s="30">
        <f t="shared" si="28"/>
        <v>28.317095979198164</v>
      </c>
      <c r="AE6" s="30">
        <v>28.543155080608056</v>
      </c>
      <c r="AF6" s="30">
        <f t="shared" ref="AF6:AI6" si="29">AE6+(($AJ6-$AE6)/5)</f>
        <v>28.733470688830874</v>
      </c>
      <c r="AG6" s="30">
        <f t="shared" si="29"/>
        <v>28.923786297053692</v>
      </c>
      <c r="AH6" s="30">
        <f t="shared" si="29"/>
        <v>29.11410190527651</v>
      </c>
      <c r="AI6" s="30">
        <f t="shared" si="29"/>
        <v>29.304417513499327</v>
      </c>
      <c r="AJ6" s="30">
        <v>29.494733121722138</v>
      </c>
      <c r="AK6" s="31">
        <v>5.2188762602376038</v>
      </c>
      <c r="AL6" s="31">
        <v>0.90407469387885353</v>
      </c>
    </row>
    <row r="7" spans="1:38" x14ac:dyDescent="0.3">
      <c r="A7" t="str">
        <f>VLOOKUP(B7,'Country codes'!$A$1:$B$28,2,FALSE)</f>
        <v>DE</v>
      </c>
      <c r="B7" s="23" t="s">
        <v>95</v>
      </c>
      <c r="C7" s="24" t="s">
        <v>121</v>
      </c>
      <c r="D7" s="28" t="s">
        <v>122</v>
      </c>
      <c r="E7" s="29" t="s">
        <v>123</v>
      </c>
      <c r="F7" s="30">
        <v>78.78734205220762</v>
      </c>
      <c r="G7" s="30">
        <f t="shared" ref="G7:J7" si="30">F7+(($K7-$F7)/5)</f>
        <v>87.195428645885698</v>
      </c>
      <c r="H7" s="30">
        <f t="shared" si="30"/>
        <v>95.603515239563777</v>
      </c>
      <c r="I7" s="30">
        <f t="shared" si="30"/>
        <v>104.01160183324185</v>
      </c>
      <c r="J7" s="30">
        <f t="shared" si="30"/>
        <v>112.41968842691993</v>
      </c>
      <c r="K7" s="30">
        <v>120.82777502059803</v>
      </c>
      <c r="L7" s="30">
        <f t="shared" ref="L7:O7" si="31">K7+(($P7-$K7)/5)</f>
        <v>120.75762650602381</v>
      </c>
      <c r="M7" s="30">
        <f t="shared" si="31"/>
        <v>120.6874779914496</v>
      </c>
      <c r="N7" s="30">
        <f t="shared" si="31"/>
        <v>120.61732947687538</v>
      </c>
      <c r="O7" s="30">
        <f t="shared" si="31"/>
        <v>120.54718096230117</v>
      </c>
      <c r="P7" s="30">
        <v>120.47703244772693</v>
      </c>
      <c r="Q7" s="30">
        <f t="shared" ref="Q7:T7" si="32">P7+(($U7-$P7)/5)</f>
        <v>124.24199244120804</v>
      </c>
      <c r="R7" s="30">
        <f t="shared" si="32"/>
        <v>128.00695243468917</v>
      </c>
      <c r="S7" s="30">
        <f t="shared" si="32"/>
        <v>131.77191242817028</v>
      </c>
      <c r="T7" s="30">
        <f t="shared" si="32"/>
        <v>135.5368724216514</v>
      </c>
      <c r="U7" s="30">
        <v>139.30183241513251</v>
      </c>
      <c r="V7" s="30">
        <f t="shared" ref="V7:Y7" si="33">U7+(($Z7-$U7)/5)</f>
        <v>139.25175084561576</v>
      </c>
      <c r="W7" s="30">
        <f t="shared" si="33"/>
        <v>139.20166927609901</v>
      </c>
      <c r="X7" s="30">
        <f t="shared" si="33"/>
        <v>139.15158770658226</v>
      </c>
      <c r="Y7" s="30">
        <f t="shared" si="33"/>
        <v>139.10150613706551</v>
      </c>
      <c r="Z7" s="30">
        <v>139.05142456754879</v>
      </c>
      <c r="AA7" s="30">
        <f t="shared" ref="AA7:AD7" si="34">Z7+(($AE7-$Z7)/5)</f>
        <v>142.60406876692031</v>
      </c>
      <c r="AB7" s="30">
        <f t="shared" si="34"/>
        <v>146.15671296629182</v>
      </c>
      <c r="AC7" s="30">
        <f t="shared" si="34"/>
        <v>149.70935716566333</v>
      </c>
      <c r="AD7" s="30">
        <f t="shared" si="34"/>
        <v>153.26200136503485</v>
      </c>
      <c r="AE7" s="30">
        <v>156.81464556440636</v>
      </c>
      <c r="AF7" s="30">
        <f t="shared" ref="AF7:AI7" si="35">AE7+(($AJ7-$AE7)/5)</f>
        <v>158.60166219803028</v>
      </c>
      <c r="AG7" s="30">
        <f t="shared" si="35"/>
        <v>160.3886788316542</v>
      </c>
      <c r="AH7" s="30">
        <f t="shared" si="35"/>
        <v>162.17569546527812</v>
      </c>
      <c r="AI7" s="30">
        <f t="shared" si="35"/>
        <v>163.96271209890205</v>
      </c>
      <c r="AJ7" s="30">
        <v>165.74972873252591</v>
      </c>
      <c r="AK7" s="31">
        <v>4.3385462044216672</v>
      </c>
      <c r="AL7" s="31">
        <v>1.6078889197039148</v>
      </c>
    </row>
    <row r="8" spans="1:38" x14ac:dyDescent="0.3">
      <c r="A8" t="str">
        <f>VLOOKUP(B8,'Country codes'!$A$1:$B$28,2,FALSE)</f>
        <v>DK</v>
      </c>
      <c r="B8" s="23" t="s">
        <v>96</v>
      </c>
      <c r="C8" s="24" t="s">
        <v>121</v>
      </c>
      <c r="D8" s="28" t="s">
        <v>122</v>
      </c>
      <c r="E8" s="29" t="s">
        <v>123</v>
      </c>
      <c r="F8" s="30">
        <v>5.2688136301221364</v>
      </c>
      <c r="G8" s="30">
        <f t="shared" ref="G8:J8" si="36">F8+(($K8-$F8)/5)</f>
        <v>5.6878125091617298</v>
      </c>
      <c r="H8" s="30">
        <f t="shared" si="36"/>
        <v>6.1068113882013231</v>
      </c>
      <c r="I8" s="30">
        <f t="shared" si="36"/>
        <v>6.5258102672409164</v>
      </c>
      <c r="J8" s="30">
        <f t="shared" si="36"/>
        <v>6.9448091462805097</v>
      </c>
      <c r="K8" s="30">
        <v>7.3638080253201021</v>
      </c>
      <c r="L8" s="30">
        <f t="shared" ref="L8:O8" si="37">K8+(($P8-$K8)/5)</f>
        <v>7.5251114439562938</v>
      </c>
      <c r="M8" s="30">
        <f t="shared" si="37"/>
        <v>7.6864148625924855</v>
      </c>
      <c r="N8" s="30">
        <f t="shared" si="37"/>
        <v>7.8477182812286772</v>
      </c>
      <c r="O8" s="30">
        <f t="shared" si="37"/>
        <v>8.0090216998648689</v>
      </c>
      <c r="P8" s="30">
        <v>8.1703251185010597</v>
      </c>
      <c r="Q8" s="30">
        <f t="shared" ref="Q8:T8" si="38">P8+(($U8-$P8)/5)</f>
        <v>8.2676629324845017</v>
      </c>
      <c r="R8" s="30">
        <f t="shared" si="38"/>
        <v>8.3650007464679437</v>
      </c>
      <c r="S8" s="30">
        <f t="shared" si="38"/>
        <v>8.4623385604513857</v>
      </c>
      <c r="T8" s="30">
        <f t="shared" si="38"/>
        <v>8.5596763744348277</v>
      </c>
      <c r="U8" s="30">
        <v>8.6570141884182732</v>
      </c>
      <c r="V8" s="30">
        <f t="shared" ref="V8:Y8" si="39">U8+(($Z8-$U8)/5)</f>
        <v>8.7314928943116179</v>
      </c>
      <c r="W8" s="30">
        <f t="shared" si="39"/>
        <v>8.8059716002049626</v>
      </c>
      <c r="X8" s="30">
        <f t="shared" si="39"/>
        <v>8.8804503060983073</v>
      </c>
      <c r="Y8" s="30">
        <f t="shared" si="39"/>
        <v>8.954929011991652</v>
      </c>
      <c r="Z8" s="30">
        <v>9.0294077178849967</v>
      </c>
      <c r="AA8" s="30">
        <f t="shared" ref="AA8:AD8" si="40">Z8+(($AE8-$Z8)/5)</f>
        <v>9.0848046860023839</v>
      </c>
      <c r="AB8" s="30">
        <f t="shared" si="40"/>
        <v>9.140201654119771</v>
      </c>
      <c r="AC8" s="30">
        <f t="shared" si="40"/>
        <v>9.1955986222371582</v>
      </c>
      <c r="AD8" s="30">
        <f t="shared" si="40"/>
        <v>9.2509955903545453</v>
      </c>
      <c r="AE8" s="30">
        <v>9.3063925584719343</v>
      </c>
      <c r="AF8" s="30">
        <f t="shared" ref="AF8:AI8" si="41">AE8+(($AJ8-$AE8)/5)</f>
        <v>9.3629030557131507</v>
      </c>
      <c r="AG8" s="30">
        <f t="shared" si="41"/>
        <v>9.4194135529543672</v>
      </c>
      <c r="AH8" s="30">
        <f t="shared" si="41"/>
        <v>9.4759240501955837</v>
      </c>
      <c r="AI8" s="30">
        <f t="shared" si="41"/>
        <v>9.5324345474368002</v>
      </c>
      <c r="AJ8" s="30">
        <v>9.5889450446780184</v>
      </c>
      <c r="AK8" s="31">
        <v>4.484687989866587</v>
      </c>
      <c r="AL8" s="31">
        <v>0.80372352917297274</v>
      </c>
    </row>
    <row r="9" spans="1:38" x14ac:dyDescent="0.3">
      <c r="A9" t="str">
        <f>VLOOKUP(B9,'Country codes'!$A$1:$B$28,2,FALSE)</f>
        <v>EE</v>
      </c>
      <c r="B9" s="23" t="s">
        <v>97</v>
      </c>
      <c r="C9" s="24" t="s">
        <v>121</v>
      </c>
      <c r="D9" s="28" t="s">
        <v>122</v>
      </c>
      <c r="E9" s="29" t="s">
        <v>123</v>
      </c>
      <c r="F9" s="30">
        <v>0.37226315404534965</v>
      </c>
      <c r="G9" s="30">
        <f t="shared" ref="G9:J9" si="42">F9+(($K9-$F9)/5)</f>
        <v>0.42101585280897397</v>
      </c>
      <c r="H9" s="30">
        <f t="shared" si="42"/>
        <v>0.46976855157259828</v>
      </c>
      <c r="I9" s="30">
        <f t="shared" si="42"/>
        <v>0.51852125033622254</v>
      </c>
      <c r="J9" s="30">
        <f t="shared" si="42"/>
        <v>0.56727394909984685</v>
      </c>
      <c r="K9" s="30">
        <v>0.61602664786347117</v>
      </c>
      <c r="L9" s="30">
        <f t="shared" ref="L9:O9" si="43">K9+(($P9-$K9)/5)</f>
        <v>0.64133479815763883</v>
      </c>
      <c r="M9" s="30">
        <f t="shared" si="43"/>
        <v>0.66664294845180649</v>
      </c>
      <c r="N9" s="30">
        <f t="shared" si="43"/>
        <v>0.69195109874597416</v>
      </c>
      <c r="O9" s="30">
        <f t="shared" si="43"/>
        <v>0.71725924904014182</v>
      </c>
      <c r="P9" s="30">
        <v>0.74256739933430937</v>
      </c>
      <c r="Q9" s="30">
        <f t="shared" ref="Q9:T9" si="44">P9+(($U9-$P9)/5)</f>
        <v>0.75967504205893754</v>
      </c>
      <c r="R9" s="30">
        <f t="shared" si="44"/>
        <v>0.77678268478356571</v>
      </c>
      <c r="S9" s="30">
        <f t="shared" si="44"/>
        <v>0.79389032750819388</v>
      </c>
      <c r="T9" s="30">
        <f t="shared" si="44"/>
        <v>0.81099797023282205</v>
      </c>
      <c r="U9" s="30">
        <v>0.82810561295745011</v>
      </c>
      <c r="V9" s="30">
        <f t="shared" ref="V9:Y9" si="45">U9+(($Z9-$U9)/5)</f>
        <v>0.84468010581839692</v>
      </c>
      <c r="W9" s="30">
        <f t="shared" si="45"/>
        <v>0.86125459867934373</v>
      </c>
      <c r="X9" s="30">
        <f t="shared" si="45"/>
        <v>0.87782909154029054</v>
      </c>
      <c r="Y9" s="30">
        <f t="shared" si="45"/>
        <v>0.89440358440123735</v>
      </c>
      <c r="Z9" s="30">
        <v>0.91097807726218438</v>
      </c>
      <c r="AA9" s="30">
        <f t="shared" ref="AA9:AD9" si="46">Z9+(($AE9-$Z9)/5)</f>
        <v>0.92295030743170636</v>
      </c>
      <c r="AB9" s="30">
        <f t="shared" si="46"/>
        <v>0.93492253760122834</v>
      </c>
      <c r="AC9" s="30">
        <f t="shared" si="46"/>
        <v>0.94689476777075032</v>
      </c>
      <c r="AD9" s="30">
        <f t="shared" si="46"/>
        <v>0.9588669979402723</v>
      </c>
      <c r="AE9" s="30">
        <v>0.97083922810979428</v>
      </c>
      <c r="AF9" s="30">
        <f t="shared" ref="AF9:AI9" si="47">AE9+(($AJ9-$AE9)/5)</f>
        <v>0.98220596081975731</v>
      </c>
      <c r="AG9" s="30">
        <f t="shared" si="47"/>
        <v>0.99357269352972033</v>
      </c>
      <c r="AH9" s="30">
        <f t="shared" si="47"/>
        <v>1.0049394262396834</v>
      </c>
      <c r="AI9" s="30">
        <f t="shared" si="47"/>
        <v>1.0163061589496465</v>
      </c>
      <c r="AJ9" s="30">
        <v>1.0276728916596094</v>
      </c>
      <c r="AK9" s="31">
        <v>7.1491135862982613</v>
      </c>
      <c r="AL9" s="31">
        <v>1.6379626834916117</v>
      </c>
    </row>
    <row r="10" spans="1:38" x14ac:dyDescent="0.3">
      <c r="A10" t="str">
        <f>VLOOKUP(B10,'Country codes'!$A$1:$B$28,2,FALSE)</f>
        <v>ES</v>
      </c>
      <c r="B10" s="23" t="s">
        <v>98</v>
      </c>
      <c r="C10" s="24" t="s">
        <v>121</v>
      </c>
      <c r="D10" s="28" t="s">
        <v>122</v>
      </c>
      <c r="E10" s="29" t="s">
        <v>123</v>
      </c>
      <c r="F10" s="30">
        <v>14.778214683761721</v>
      </c>
      <c r="G10" s="30">
        <f t="shared" ref="G10:J10" si="48">F10+(($K10-$F10)/5)</f>
        <v>19.539443565052672</v>
      </c>
      <c r="H10" s="30">
        <f t="shared" si="48"/>
        <v>24.300672446343619</v>
      </c>
      <c r="I10" s="30">
        <f t="shared" si="48"/>
        <v>29.061901327634565</v>
      </c>
      <c r="J10" s="30">
        <f t="shared" si="48"/>
        <v>33.823130208925512</v>
      </c>
      <c r="K10" s="30">
        <v>38.584359090216466</v>
      </c>
      <c r="L10" s="30">
        <f t="shared" ref="L10:O10" si="49">K10+(($P10-$K10)/5)</f>
        <v>39.745836465827196</v>
      </c>
      <c r="M10" s="30">
        <f t="shared" si="49"/>
        <v>40.907313841437926</v>
      </c>
      <c r="N10" s="30">
        <f t="shared" si="49"/>
        <v>42.068791217048656</v>
      </c>
      <c r="O10" s="30">
        <f t="shared" si="49"/>
        <v>43.230268592659385</v>
      </c>
      <c r="P10" s="30">
        <v>44.391745968270101</v>
      </c>
      <c r="Q10" s="30">
        <f t="shared" ref="Q10:T10" si="50">P10+(($U10-$P10)/5)</f>
        <v>45.568828596763588</v>
      </c>
      <c r="R10" s="30">
        <f t="shared" si="50"/>
        <v>46.745911225257075</v>
      </c>
      <c r="S10" s="30">
        <f t="shared" si="50"/>
        <v>47.922993853750562</v>
      </c>
      <c r="T10" s="30">
        <f t="shared" si="50"/>
        <v>49.100076482244049</v>
      </c>
      <c r="U10" s="30">
        <v>50.277159110737543</v>
      </c>
      <c r="V10" s="30">
        <f t="shared" ref="V10:Y10" si="51">U10+(($Z10-$U10)/5)</f>
        <v>51.698084181733179</v>
      </c>
      <c r="W10" s="30">
        <f t="shared" si="51"/>
        <v>53.119009252728816</v>
      </c>
      <c r="X10" s="30">
        <f t="shared" si="51"/>
        <v>54.539934323724452</v>
      </c>
      <c r="Y10" s="30">
        <f t="shared" si="51"/>
        <v>55.960859394720089</v>
      </c>
      <c r="Z10" s="30">
        <v>57.381784465715711</v>
      </c>
      <c r="AA10" s="30">
        <f t="shared" ref="AA10:AD10" si="52">Z10+(($AE10-$Z10)/5)</f>
        <v>58.163960506628186</v>
      </c>
      <c r="AB10" s="30">
        <f t="shared" si="52"/>
        <v>58.946136547540661</v>
      </c>
      <c r="AC10" s="30">
        <f t="shared" si="52"/>
        <v>59.728312588453136</v>
      </c>
      <c r="AD10" s="30">
        <f t="shared" si="52"/>
        <v>60.510488629365611</v>
      </c>
      <c r="AE10" s="30">
        <v>61.292664670278086</v>
      </c>
      <c r="AF10" s="30">
        <f t="shared" ref="AF10:AI10" si="53">AE10+(($AJ10-$AE10)/5)</f>
        <v>61.899622041464767</v>
      </c>
      <c r="AG10" s="30">
        <f t="shared" si="53"/>
        <v>62.506579412651448</v>
      </c>
      <c r="AH10" s="30">
        <f t="shared" si="53"/>
        <v>63.113536783838128</v>
      </c>
      <c r="AI10" s="30">
        <f t="shared" si="53"/>
        <v>63.720494155024809</v>
      </c>
      <c r="AJ10" s="30">
        <v>64.32745152621149</v>
      </c>
      <c r="AK10" s="31">
        <v>11.626684466777238</v>
      </c>
      <c r="AL10" s="31">
        <v>1.8719703182269676</v>
      </c>
    </row>
    <row r="11" spans="1:38" x14ac:dyDescent="0.3">
      <c r="A11" t="str">
        <f>VLOOKUP(B11,'Country codes'!$A$1:$B$28,2,FALSE)</f>
        <v>FI</v>
      </c>
      <c r="B11" s="23" t="s">
        <v>99</v>
      </c>
      <c r="C11" s="24" t="s">
        <v>121</v>
      </c>
      <c r="D11" s="28" t="s">
        <v>122</v>
      </c>
      <c r="E11" s="29" t="s">
        <v>123</v>
      </c>
      <c r="F11" s="30">
        <v>3.3599854467348087</v>
      </c>
      <c r="G11" s="30">
        <f t="shared" ref="G11:J11" si="54">F11+(($K11-$F11)/5)</f>
        <v>3.678955238668701</v>
      </c>
      <c r="H11" s="30">
        <f t="shared" si="54"/>
        <v>3.9979250306025933</v>
      </c>
      <c r="I11" s="30">
        <f t="shared" si="54"/>
        <v>4.3168948225364856</v>
      </c>
      <c r="J11" s="30">
        <f t="shared" si="54"/>
        <v>4.6358646144703783</v>
      </c>
      <c r="K11" s="30">
        <v>4.9548344064042702</v>
      </c>
      <c r="L11" s="30">
        <f t="shared" ref="L11:O11" si="55">K11+(($P11-$K11)/5)</f>
        <v>5.018961673325701</v>
      </c>
      <c r="M11" s="30">
        <f t="shared" si="55"/>
        <v>5.0830889402471318</v>
      </c>
      <c r="N11" s="30">
        <f t="shared" si="55"/>
        <v>5.1472162071685625</v>
      </c>
      <c r="O11" s="30">
        <f t="shared" si="55"/>
        <v>5.2113434740899933</v>
      </c>
      <c r="P11" s="30">
        <v>5.2754707410114259</v>
      </c>
      <c r="Q11" s="30">
        <f t="shared" ref="Q11:T11" si="56">P11+(($U11-$P11)/5)</f>
        <v>5.3260413282919004</v>
      </c>
      <c r="R11" s="30">
        <f t="shared" si="56"/>
        <v>5.3766119155723748</v>
      </c>
      <c r="S11" s="30">
        <f t="shared" si="56"/>
        <v>5.4271825028528493</v>
      </c>
      <c r="T11" s="30">
        <f t="shared" si="56"/>
        <v>5.4777530901333238</v>
      </c>
      <c r="U11" s="30">
        <v>5.5283236774137983</v>
      </c>
      <c r="V11" s="30">
        <f t="shared" ref="V11:Y11" si="57">U11+(($Z11-$U11)/5)</f>
        <v>5.5776197534723773</v>
      </c>
      <c r="W11" s="30">
        <f t="shared" si="57"/>
        <v>5.6269158295309563</v>
      </c>
      <c r="X11" s="30">
        <f t="shared" si="57"/>
        <v>5.6762119055895353</v>
      </c>
      <c r="Y11" s="30">
        <f t="shared" si="57"/>
        <v>5.7255079816481143</v>
      </c>
      <c r="Z11" s="30">
        <v>5.7748040577066941</v>
      </c>
      <c r="AA11" s="30">
        <f t="shared" ref="AA11:AD11" si="58">Z11+(($AE11-$Z11)/5)</f>
        <v>5.8052046275480178</v>
      </c>
      <c r="AB11" s="30">
        <f t="shared" si="58"/>
        <v>5.8356051973893415</v>
      </c>
      <c r="AC11" s="30">
        <f t="shared" si="58"/>
        <v>5.8660057672306651</v>
      </c>
      <c r="AD11" s="30">
        <f t="shared" si="58"/>
        <v>5.8964063370719888</v>
      </c>
      <c r="AE11" s="30">
        <v>5.9268069069133142</v>
      </c>
      <c r="AF11" s="30">
        <f t="shared" ref="AF11:AI11" si="59">AE11+(($AJ11-$AE11)/5)</f>
        <v>5.9527845993512205</v>
      </c>
      <c r="AG11" s="30">
        <f t="shared" si="59"/>
        <v>5.9787622917891268</v>
      </c>
      <c r="AH11" s="30">
        <f t="shared" si="59"/>
        <v>6.004739984227033</v>
      </c>
      <c r="AI11" s="30">
        <f t="shared" si="59"/>
        <v>6.0307176766649393</v>
      </c>
      <c r="AJ11" s="30">
        <v>6.0566953691028464</v>
      </c>
      <c r="AK11" s="31">
        <v>4.614620088331689</v>
      </c>
      <c r="AL11" s="31">
        <v>0.69287141032012833</v>
      </c>
    </row>
    <row r="12" spans="1:38" x14ac:dyDescent="0.3">
      <c r="A12" t="str">
        <f>VLOOKUP(B12,'Country codes'!$A$1:$B$28,2,FALSE)</f>
        <v>FR</v>
      </c>
      <c r="B12" s="23" t="s">
        <v>100</v>
      </c>
      <c r="C12" s="24" t="s">
        <v>121</v>
      </c>
      <c r="D12" s="28" t="s">
        <v>122</v>
      </c>
      <c r="E12" s="29" t="s">
        <v>123</v>
      </c>
      <c r="F12" s="30">
        <v>44.23788048143463</v>
      </c>
      <c r="G12" s="30">
        <f t="shared" ref="G12:J12" si="60">F12+(($K12-$F12)/5)</f>
        <v>59.757074160659059</v>
      </c>
      <c r="H12" s="30">
        <f t="shared" si="60"/>
        <v>75.276267839883488</v>
      </c>
      <c r="I12" s="30">
        <f t="shared" si="60"/>
        <v>90.795461519107917</v>
      </c>
      <c r="J12" s="30">
        <f t="shared" si="60"/>
        <v>106.31465519833235</v>
      </c>
      <c r="K12" s="30">
        <v>121.83384887755679</v>
      </c>
      <c r="L12" s="30">
        <f t="shared" ref="L12:O12" si="61">K12+(($P12-$K12)/5)</f>
        <v>123.42442874080587</v>
      </c>
      <c r="M12" s="30">
        <f t="shared" si="61"/>
        <v>125.01500860405494</v>
      </c>
      <c r="N12" s="30">
        <f t="shared" si="61"/>
        <v>126.60558846730402</v>
      </c>
      <c r="O12" s="30">
        <f t="shared" si="61"/>
        <v>128.19616833055309</v>
      </c>
      <c r="P12" s="30">
        <v>129.7867481938022</v>
      </c>
      <c r="Q12" s="30">
        <f t="shared" ref="Q12:T12" si="62">P12+(($U12-$P12)/5)</f>
        <v>131.57117200309204</v>
      </c>
      <c r="R12" s="30">
        <f t="shared" si="62"/>
        <v>133.35559581238189</v>
      </c>
      <c r="S12" s="30">
        <f t="shared" si="62"/>
        <v>135.14001962167174</v>
      </c>
      <c r="T12" s="30">
        <f t="shared" si="62"/>
        <v>136.92444343096159</v>
      </c>
      <c r="U12" s="30">
        <v>138.70886724025144</v>
      </c>
      <c r="V12" s="30">
        <f t="shared" ref="V12:Y12" si="63">U12+(($Z12-$U12)/5)</f>
        <v>140.56193290214014</v>
      </c>
      <c r="W12" s="30">
        <f t="shared" si="63"/>
        <v>142.41499856402885</v>
      </c>
      <c r="X12" s="30">
        <f t="shared" si="63"/>
        <v>144.26806422591756</v>
      </c>
      <c r="Y12" s="30">
        <f t="shared" si="63"/>
        <v>146.12112988780626</v>
      </c>
      <c r="Z12" s="30">
        <v>147.97419554969503</v>
      </c>
      <c r="AA12" s="30">
        <f t="shared" ref="AA12:AD12" si="64">Z12+(($AE12-$Z12)/5)</f>
        <v>149.75206120859295</v>
      </c>
      <c r="AB12" s="30">
        <f t="shared" si="64"/>
        <v>151.52992686749087</v>
      </c>
      <c r="AC12" s="30">
        <f t="shared" si="64"/>
        <v>153.30779252638879</v>
      </c>
      <c r="AD12" s="30">
        <f t="shared" si="64"/>
        <v>155.08565818528672</v>
      </c>
      <c r="AE12" s="30">
        <v>156.8635238441847</v>
      </c>
      <c r="AF12" s="30">
        <f t="shared" ref="AF12:AI12" si="65">AE12+(($AJ12-$AE12)/5)</f>
        <v>158.66964884286944</v>
      </c>
      <c r="AG12" s="30">
        <f t="shared" si="65"/>
        <v>160.47577384155417</v>
      </c>
      <c r="AH12" s="30">
        <f t="shared" si="65"/>
        <v>162.28189884023891</v>
      </c>
      <c r="AI12" s="30">
        <f t="shared" si="65"/>
        <v>164.08802383892365</v>
      </c>
      <c r="AJ12" s="30">
        <v>165.89414883760833</v>
      </c>
      <c r="AK12" s="31">
        <v>11.363687775574771</v>
      </c>
      <c r="AL12" s="31">
        <v>1.2348481720843685</v>
      </c>
    </row>
    <row r="13" spans="1:38" x14ac:dyDescent="0.3">
      <c r="A13" t="str">
        <f>VLOOKUP(B13,'Country codes'!$A$1:$B$28,2,FALSE)</f>
        <v>GR</v>
      </c>
      <c r="B13" s="23" t="s">
        <v>101</v>
      </c>
      <c r="C13" s="24" t="s">
        <v>121</v>
      </c>
      <c r="D13" s="28" t="s">
        <v>122</v>
      </c>
      <c r="E13" s="29" t="s">
        <v>123</v>
      </c>
      <c r="F13" s="30">
        <v>1.7907459885754828</v>
      </c>
      <c r="G13" s="30">
        <f t="shared" ref="G13:J13" si="66">F13+(($K13-$F13)/5)</f>
        <v>2.0551464161350186</v>
      </c>
      <c r="H13" s="30">
        <f t="shared" si="66"/>
        <v>2.3195468436945541</v>
      </c>
      <c r="I13" s="30">
        <f t="shared" si="66"/>
        <v>2.5839472712540896</v>
      </c>
      <c r="J13" s="30">
        <f t="shared" si="66"/>
        <v>2.8483476988136252</v>
      </c>
      <c r="K13" s="30">
        <v>3.1127481263731607</v>
      </c>
      <c r="L13" s="30">
        <f t="shared" ref="L13:O13" si="67">K13+(($P13-$K13)/5)</f>
        <v>3.1631144433215623</v>
      </c>
      <c r="M13" s="30">
        <f t="shared" si="67"/>
        <v>3.213480760269964</v>
      </c>
      <c r="N13" s="30">
        <f t="shared" si="67"/>
        <v>3.2638470772183656</v>
      </c>
      <c r="O13" s="30">
        <f t="shared" si="67"/>
        <v>3.3142133941667673</v>
      </c>
      <c r="P13" s="30">
        <v>3.3645797111151681</v>
      </c>
      <c r="Q13" s="30">
        <f t="shared" ref="Q13:T13" si="68">P13+(($U13-$P13)/5)</f>
        <v>3.4308191449946568</v>
      </c>
      <c r="R13" s="30">
        <f t="shared" si="68"/>
        <v>3.4970585788741455</v>
      </c>
      <c r="S13" s="30">
        <f t="shared" si="68"/>
        <v>3.5632980127536342</v>
      </c>
      <c r="T13" s="30">
        <f t="shared" si="68"/>
        <v>3.6295374466331229</v>
      </c>
      <c r="U13" s="30">
        <v>3.6957768805126125</v>
      </c>
      <c r="V13" s="30">
        <f t="shared" ref="V13:Y13" si="69">U13+(($Z13-$U13)/5)</f>
        <v>3.7884710895796423</v>
      </c>
      <c r="W13" s="30">
        <f t="shared" si="69"/>
        <v>3.881165298646672</v>
      </c>
      <c r="X13" s="30">
        <f t="shared" si="69"/>
        <v>3.9738595077137018</v>
      </c>
      <c r="Y13" s="30">
        <f t="shared" si="69"/>
        <v>4.0665537167807315</v>
      </c>
      <c r="Z13" s="30">
        <v>4.1592479258477617</v>
      </c>
      <c r="AA13" s="30">
        <f t="shared" ref="AA13:AD13" si="70">Z13+(($AE13-$Z13)/5)</f>
        <v>4.2244348109541576</v>
      </c>
      <c r="AB13" s="30">
        <f t="shared" si="70"/>
        <v>4.2896216960605535</v>
      </c>
      <c r="AC13" s="30">
        <f t="shared" si="70"/>
        <v>4.3548085811669495</v>
      </c>
      <c r="AD13" s="30">
        <f t="shared" si="70"/>
        <v>4.4199954662733454</v>
      </c>
      <c r="AE13" s="30">
        <v>4.4851823513797413</v>
      </c>
      <c r="AF13" s="30">
        <f t="shared" ref="AF13:AI13" si="71">AE13+(($AJ13-$AE13)/5)</f>
        <v>4.5458159701508638</v>
      </c>
      <c r="AG13" s="30">
        <f t="shared" si="71"/>
        <v>4.6064495889219863</v>
      </c>
      <c r="AH13" s="30">
        <f t="shared" si="71"/>
        <v>4.6670832076931088</v>
      </c>
      <c r="AI13" s="30">
        <f t="shared" si="71"/>
        <v>4.7277168264642313</v>
      </c>
      <c r="AJ13" s="30">
        <v>4.7883504452353556</v>
      </c>
      <c r="AK13" s="31">
        <v>6.5098280299727751</v>
      </c>
      <c r="AL13" s="31">
        <v>1.7800723594417978</v>
      </c>
    </row>
    <row r="14" spans="1:38" x14ac:dyDescent="0.3">
      <c r="A14" t="str">
        <f>VLOOKUP(B14,'Country codes'!$A$1:$B$28,2,FALSE)</f>
        <v>HR</v>
      </c>
      <c r="B14" s="23" t="s">
        <v>102</v>
      </c>
      <c r="C14" s="24" t="s">
        <v>121</v>
      </c>
      <c r="D14" s="28" t="s">
        <v>122</v>
      </c>
      <c r="E14" s="29" t="s">
        <v>123</v>
      </c>
      <c r="F14" s="30">
        <v>0.80814927459332853</v>
      </c>
      <c r="G14" s="30">
        <f t="shared" ref="G14:J14" si="72">F14+(($K14-$F14)/5)</f>
        <v>0.90459568354659448</v>
      </c>
      <c r="H14" s="30">
        <f t="shared" si="72"/>
        <v>1.0010420924998604</v>
      </c>
      <c r="I14" s="30">
        <f t="shared" si="72"/>
        <v>1.0974885014531264</v>
      </c>
      <c r="J14" s="30">
        <f t="shared" si="72"/>
        <v>1.1939349104063923</v>
      </c>
      <c r="K14" s="30">
        <v>1.2903813193596585</v>
      </c>
      <c r="L14" s="30">
        <f t="shared" ref="L14:O14" si="73">K14+(($P14-$K14)/5)</f>
        <v>1.3071543278311273</v>
      </c>
      <c r="M14" s="30">
        <f t="shared" si="73"/>
        <v>1.3239273363025961</v>
      </c>
      <c r="N14" s="30">
        <f t="shared" si="73"/>
        <v>1.3407003447740649</v>
      </c>
      <c r="O14" s="30">
        <f t="shared" si="73"/>
        <v>1.3574733532455336</v>
      </c>
      <c r="P14" s="30">
        <v>1.374246361717002</v>
      </c>
      <c r="Q14" s="30">
        <f t="shared" ref="Q14:T14" si="74">P14+(($U14-$P14)/5)</f>
        <v>1.3847674411542066</v>
      </c>
      <c r="R14" s="30">
        <f t="shared" si="74"/>
        <v>1.3952885205914112</v>
      </c>
      <c r="S14" s="30">
        <f t="shared" si="74"/>
        <v>1.4058096000286158</v>
      </c>
      <c r="T14" s="30">
        <f t="shared" si="74"/>
        <v>1.4163306794658204</v>
      </c>
      <c r="U14" s="30">
        <v>1.4268517589030252</v>
      </c>
      <c r="V14" s="30">
        <f t="shared" ref="V14:Y14" si="75">U14+(($Z14-$U14)/5)</f>
        <v>1.4338477123655724</v>
      </c>
      <c r="W14" s="30">
        <f t="shared" si="75"/>
        <v>1.4408436658281196</v>
      </c>
      <c r="X14" s="30">
        <f t="shared" si="75"/>
        <v>1.4478396192906668</v>
      </c>
      <c r="Y14" s="30">
        <f t="shared" si="75"/>
        <v>1.4548355727532141</v>
      </c>
      <c r="Z14" s="30">
        <v>1.4618315262157617</v>
      </c>
      <c r="AA14" s="30">
        <f t="shared" ref="AA14:AD14" si="76">Z14+(($AE14-$Z14)/5)</f>
        <v>1.4663635370207282</v>
      </c>
      <c r="AB14" s="30">
        <f t="shared" si="76"/>
        <v>1.4708955478256946</v>
      </c>
      <c r="AC14" s="30">
        <f t="shared" si="76"/>
        <v>1.4754275586306611</v>
      </c>
      <c r="AD14" s="30">
        <f t="shared" si="76"/>
        <v>1.4799595694356276</v>
      </c>
      <c r="AE14" s="30">
        <v>1.4844915802405938</v>
      </c>
      <c r="AF14" s="30">
        <f t="shared" ref="AF14:AI14" si="77">AE14+(($AJ14-$AE14)/5)</f>
        <v>1.4891788579910203</v>
      </c>
      <c r="AG14" s="30">
        <f t="shared" si="77"/>
        <v>1.4938661357414469</v>
      </c>
      <c r="AH14" s="30">
        <f t="shared" si="77"/>
        <v>1.4985534134918734</v>
      </c>
      <c r="AI14" s="30">
        <f t="shared" si="77"/>
        <v>1.5032406912423</v>
      </c>
      <c r="AJ14" s="30">
        <v>1.5079279689927267</v>
      </c>
      <c r="AK14" s="31">
        <v>5.4526021443631167</v>
      </c>
      <c r="AL14" s="31">
        <v>0.46523397958766477</v>
      </c>
    </row>
    <row r="15" spans="1:38" x14ac:dyDescent="0.3">
      <c r="A15" t="str">
        <f>VLOOKUP(B15,'Country codes'!$A$1:$B$28,2,FALSE)</f>
        <v>HU</v>
      </c>
      <c r="B15" s="23" t="s">
        <v>103</v>
      </c>
      <c r="C15" s="24" t="s">
        <v>121</v>
      </c>
      <c r="D15" s="28" t="s">
        <v>122</v>
      </c>
      <c r="E15" s="29" t="s">
        <v>123</v>
      </c>
      <c r="F15" s="30">
        <v>6.9638622665579639</v>
      </c>
      <c r="G15" s="30">
        <f t="shared" ref="G15:J15" si="78">F15+(($K15-$F15)/5)</f>
        <v>7.8704215551743566</v>
      </c>
      <c r="H15" s="30">
        <f t="shared" si="78"/>
        <v>8.7769808437907493</v>
      </c>
      <c r="I15" s="30">
        <f t="shared" si="78"/>
        <v>9.683540132407142</v>
      </c>
      <c r="J15" s="30">
        <f t="shared" si="78"/>
        <v>10.590099421023535</v>
      </c>
      <c r="K15" s="30">
        <v>11.496658709639926</v>
      </c>
      <c r="L15" s="30">
        <f t="shared" ref="L15:O15" si="79">K15+(($P15-$K15)/5)</f>
        <v>11.839039456880776</v>
      </c>
      <c r="M15" s="30">
        <f t="shared" si="79"/>
        <v>12.181420204121627</v>
      </c>
      <c r="N15" s="30">
        <f t="shared" si="79"/>
        <v>12.523800951362478</v>
      </c>
      <c r="O15" s="30">
        <f t="shared" si="79"/>
        <v>12.866181698603329</v>
      </c>
      <c r="P15" s="30">
        <v>13.208562445844178</v>
      </c>
      <c r="Q15" s="30">
        <f t="shared" ref="Q15:T15" si="80">P15+(($U15-$P15)/5)</f>
        <v>13.516369303991135</v>
      </c>
      <c r="R15" s="30">
        <f t="shared" si="80"/>
        <v>13.824176162138093</v>
      </c>
      <c r="S15" s="30">
        <f t="shared" si="80"/>
        <v>14.13198302028505</v>
      </c>
      <c r="T15" s="30">
        <f t="shared" si="80"/>
        <v>14.439789878432007</v>
      </c>
      <c r="U15" s="30">
        <v>14.747596736578966</v>
      </c>
      <c r="V15" s="30">
        <f t="shared" ref="V15:Y15" si="81">U15+(($Z15-$U15)/5)</f>
        <v>15.031928581786291</v>
      </c>
      <c r="W15" s="30">
        <f t="shared" si="81"/>
        <v>15.316260426993615</v>
      </c>
      <c r="X15" s="30">
        <f t="shared" si="81"/>
        <v>15.60059227220094</v>
      </c>
      <c r="Y15" s="30">
        <f t="shared" si="81"/>
        <v>15.884924117408264</v>
      </c>
      <c r="Z15" s="30">
        <v>16.169255962615591</v>
      </c>
      <c r="AA15" s="30">
        <f t="shared" ref="AA15:AD15" si="82">Z15+(($AE15-$Z15)/5)</f>
        <v>16.411444877694453</v>
      </c>
      <c r="AB15" s="30">
        <f t="shared" si="82"/>
        <v>16.653633792773316</v>
      </c>
      <c r="AC15" s="30">
        <f t="shared" si="82"/>
        <v>16.895822707852179</v>
      </c>
      <c r="AD15" s="30">
        <f t="shared" si="82"/>
        <v>17.138011622931042</v>
      </c>
      <c r="AE15" s="30">
        <v>17.380200538009898</v>
      </c>
      <c r="AF15" s="30">
        <f t="shared" ref="AF15:AI15" si="83">AE15+(($AJ15-$AE15)/5)</f>
        <v>17.625039924782939</v>
      </c>
      <c r="AG15" s="30">
        <f t="shared" si="83"/>
        <v>17.86987931155598</v>
      </c>
      <c r="AH15" s="30">
        <f t="shared" si="83"/>
        <v>18.114718698329021</v>
      </c>
      <c r="AI15" s="30">
        <f t="shared" si="83"/>
        <v>18.359558085102062</v>
      </c>
      <c r="AJ15" s="30">
        <v>18.604397471875107</v>
      </c>
      <c r="AK15" s="31">
        <v>6.6106369529879139</v>
      </c>
      <c r="AL15" s="31">
        <v>1.7274135995463569</v>
      </c>
    </row>
    <row r="16" spans="1:38" x14ac:dyDescent="0.3">
      <c r="A16" t="str">
        <f>VLOOKUP(B16,'Country codes'!$A$1:$B$28,2,FALSE)</f>
        <v>IE</v>
      </c>
      <c r="B16" s="23" t="s">
        <v>104</v>
      </c>
      <c r="C16" s="24" t="s">
        <v>121</v>
      </c>
      <c r="D16" s="28" t="s">
        <v>122</v>
      </c>
      <c r="E16" s="29" t="s">
        <v>123</v>
      </c>
      <c r="F16" s="30">
        <v>1.0554670358415501</v>
      </c>
      <c r="G16" s="30">
        <f t="shared" ref="G16:J16" si="84">F16+(($K16-$F16)/5)</f>
        <v>1.3364330927873653</v>
      </c>
      <c r="H16" s="30">
        <f t="shared" si="84"/>
        <v>1.6173991497331806</v>
      </c>
      <c r="I16" s="30">
        <f t="shared" si="84"/>
        <v>1.8983652066789958</v>
      </c>
      <c r="J16" s="30">
        <f t="shared" si="84"/>
        <v>2.1793312636248112</v>
      </c>
      <c r="K16" s="30">
        <v>2.4602973205706262</v>
      </c>
      <c r="L16" s="30">
        <f t="shared" ref="L16:O16" si="85">K16+(($P16-$K16)/5)</f>
        <v>2.4936473442335023</v>
      </c>
      <c r="M16" s="30">
        <f t="shared" si="85"/>
        <v>2.5269973678963784</v>
      </c>
      <c r="N16" s="30">
        <f t="shared" si="85"/>
        <v>2.5603473915592545</v>
      </c>
      <c r="O16" s="30">
        <f t="shared" si="85"/>
        <v>2.5936974152221306</v>
      </c>
      <c r="P16" s="30">
        <v>2.6270474388850076</v>
      </c>
      <c r="Q16" s="30">
        <f t="shared" ref="Q16:T16" si="86">P16+(($U16-$P16)/5)</f>
        <v>2.643080671128375</v>
      </c>
      <c r="R16" s="30">
        <f t="shared" si="86"/>
        <v>2.6591139033717424</v>
      </c>
      <c r="S16" s="30">
        <f t="shared" si="86"/>
        <v>2.6751471356151098</v>
      </c>
      <c r="T16" s="30">
        <f t="shared" si="86"/>
        <v>2.6911803678584771</v>
      </c>
      <c r="U16" s="30">
        <v>2.7072136001018441</v>
      </c>
      <c r="V16" s="30">
        <f t="shared" ref="V16:Y16" si="87">U16+(($Z16-$U16)/5)</f>
        <v>2.7282215803963452</v>
      </c>
      <c r="W16" s="30">
        <f t="shared" si="87"/>
        <v>2.7492295606908463</v>
      </c>
      <c r="X16" s="30">
        <f t="shared" si="87"/>
        <v>2.7702375409853475</v>
      </c>
      <c r="Y16" s="30">
        <f t="shared" si="87"/>
        <v>2.7912455212798486</v>
      </c>
      <c r="Z16" s="30">
        <v>2.8122535015743488</v>
      </c>
      <c r="AA16" s="30">
        <f t="shared" ref="AA16:AD16" si="88">Z16+(($AE16-$Z16)/5)</f>
        <v>2.8240160205323472</v>
      </c>
      <c r="AB16" s="30">
        <f t="shared" si="88"/>
        <v>2.8357785394903456</v>
      </c>
      <c r="AC16" s="30">
        <f t="shared" si="88"/>
        <v>2.847541058448344</v>
      </c>
      <c r="AD16" s="30">
        <f t="shared" si="88"/>
        <v>2.8593035774063424</v>
      </c>
      <c r="AE16" s="30">
        <v>2.8710660963643417</v>
      </c>
      <c r="AF16" s="30">
        <f t="shared" ref="AF16:AI16" si="89">AE16+(($AJ16-$AE16)/5)</f>
        <v>2.880731441279619</v>
      </c>
      <c r="AG16" s="30">
        <f t="shared" si="89"/>
        <v>2.8903967861948963</v>
      </c>
      <c r="AH16" s="30">
        <f t="shared" si="89"/>
        <v>2.9000621311101735</v>
      </c>
      <c r="AI16" s="30">
        <f t="shared" si="89"/>
        <v>2.9097274760254508</v>
      </c>
      <c r="AJ16" s="30">
        <v>2.9193928209407276</v>
      </c>
      <c r="AK16" s="31">
        <v>9.5474629744240822</v>
      </c>
      <c r="AL16" s="31">
        <v>0.52896956926953287</v>
      </c>
    </row>
    <row r="17" spans="1:38" x14ac:dyDescent="0.3">
      <c r="A17" t="str">
        <f>VLOOKUP(B17,'Country codes'!$A$1:$B$28,2,FALSE)</f>
        <v>IT</v>
      </c>
      <c r="B17" s="23" t="s">
        <v>105</v>
      </c>
      <c r="C17" s="24" t="s">
        <v>121</v>
      </c>
      <c r="D17" s="28" t="s">
        <v>122</v>
      </c>
      <c r="E17" s="29" t="s">
        <v>123</v>
      </c>
      <c r="F17" s="30">
        <v>27.974084963533649</v>
      </c>
      <c r="G17" s="30">
        <f t="shared" ref="G17:J17" si="90">F17+(($K17-$F17)/5)</f>
        <v>34.349750047169977</v>
      </c>
      <c r="H17" s="30">
        <f t="shared" si="90"/>
        <v>40.725415130806304</v>
      </c>
      <c r="I17" s="30">
        <f t="shared" si="90"/>
        <v>47.101080214442632</v>
      </c>
      <c r="J17" s="30">
        <f t="shared" si="90"/>
        <v>53.47674529807896</v>
      </c>
      <c r="K17" s="30">
        <v>59.852410381715281</v>
      </c>
      <c r="L17" s="30">
        <f t="shared" ref="L17:O17" si="91">K17+(($P17-$K17)/5)</f>
        <v>60.757892067072774</v>
      </c>
      <c r="M17" s="30">
        <f t="shared" si="91"/>
        <v>61.663373752430267</v>
      </c>
      <c r="N17" s="30">
        <f t="shared" si="91"/>
        <v>62.568855437787761</v>
      </c>
      <c r="O17" s="30">
        <f t="shared" si="91"/>
        <v>63.474337123145254</v>
      </c>
      <c r="P17" s="30">
        <v>64.379818808502733</v>
      </c>
      <c r="Q17" s="30">
        <f t="shared" ref="Q17:T17" si="92">P17+(($U17-$P17)/5)</f>
        <v>66.078361401884848</v>
      </c>
      <c r="R17" s="30">
        <f t="shared" si="92"/>
        <v>67.776903995266963</v>
      </c>
      <c r="S17" s="30">
        <f t="shared" si="92"/>
        <v>69.475446588649078</v>
      </c>
      <c r="T17" s="30">
        <f t="shared" si="92"/>
        <v>71.173989182031193</v>
      </c>
      <c r="U17" s="30">
        <v>72.872531775413321</v>
      </c>
      <c r="V17" s="30">
        <f t="shared" ref="V17:Y17" si="93">U17+(($Z17-$U17)/5)</f>
        <v>73.554221438023063</v>
      </c>
      <c r="W17" s="30">
        <f t="shared" si="93"/>
        <v>74.235911100632805</v>
      </c>
      <c r="X17" s="30">
        <f t="shared" si="93"/>
        <v>74.917600763242547</v>
      </c>
      <c r="Y17" s="30">
        <f t="shared" si="93"/>
        <v>75.599290425852288</v>
      </c>
      <c r="Z17" s="30">
        <v>76.280980088462002</v>
      </c>
      <c r="AA17" s="30">
        <f t="shared" ref="AA17:AD17" si="94">Z17+(($AE17-$Z17)/5)</f>
        <v>77.006647378145715</v>
      </c>
      <c r="AB17" s="30">
        <f t="shared" si="94"/>
        <v>77.732314667829428</v>
      </c>
      <c r="AC17" s="30">
        <f t="shared" si="94"/>
        <v>78.457981957513141</v>
      </c>
      <c r="AD17" s="30">
        <f t="shared" si="94"/>
        <v>79.183649247196854</v>
      </c>
      <c r="AE17" s="30">
        <v>79.909316536880596</v>
      </c>
      <c r="AF17" s="30">
        <f t="shared" ref="AF17:AI17" si="95">AE17+(($AJ17-$AE17)/5)</f>
        <v>80.686428195589357</v>
      </c>
      <c r="AG17" s="30">
        <f t="shared" si="95"/>
        <v>81.463539854298119</v>
      </c>
      <c r="AH17" s="30">
        <f t="shared" si="95"/>
        <v>82.240651513006881</v>
      </c>
      <c r="AI17" s="30">
        <f t="shared" si="95"/>
        <v>83.017763171715643</v>
      </c>
      <c r="AJ17" s="30">
        <v>83.794874830424405</v>
      </c>
      <c r="AK17" s="31">
        <v>8.6924519762942474</v>
      </c>
      <c r="AL17" s="31">
        <v>1.3265801964203572</v>
      </c>
    </row>
    <row r="18" spans="1:38" x14ac:dyDescent="0.3">
      <c r="A18" t="str">
        <f>VLOOKUP(B18,'Country codes'!$A$1:$B$28,2,FALSE)</f>
        <v>LT</v>
      </c>
      <c r="B18" s="23" t="s">
        <v>106</v>
      </c>
      <c r="C18" s="24" t="s">
        <v>121</v>
      </c>
      <c r="D18" s="28" t="s">
        <v>122</v>
      </c>
      <c r="E18" s="29" t="s">
        <v>123</v>
      </c>
      <c r="F18" s="30">
        <v>0.23781815010049603</v>
      </c>
      <c r="G18" s="30">
        <f t="shared" ref="G18:J18" si="96">F18+(($K18-$F18)/5)</f>
        <v>0.3077796560505579</v>
      </c>
      <c r="H18" s="30">
        <f t="shared" si="96"/>
        <v>0.37774116200061975</v>
      </c>
      <c r="I18" s="30">
        <f t="shared" si="96"/>
        <v>0.44770266795068159</v>
      </c>
      <c r="J18" s="30">
        <f t="shared" si="96"/>
        <v>0.51766417390074349</v>
      </c>
      <c r="K18" s="30">
        <v>0.58762567985080527</v>
      </c>
      <c r="L18" s="30">
        <f t="shared" ref="L18:O18" si="97">K18+(($P18-$K18)/5)</f>
        <v>0.66172260008151562</v>
      </c>
      <c r="M18" s="30">
        <f t="shared" si="97"/>
        <v>0.73581952031222597</v>
      </c>
      <c r="N18" s="30">
        <f t="shared" si="97"/>
        <v>0.80991644054293632</v>
      </c>
      <c r="O18" s="30">
        <f t="shared" si="97"/>
        <v>0.88401336077364667</v>
      </c>
      <c r="P18" s="30">
        <v>0.95811028100435724</v>
      </c>
      <c r="Q18" s="30">
        <f t="shared" ref="Q18:T18" si="98">P18+(($U18-$P18)/5)</f>
        <v>0.97651632023630752</v>
      </c>
      <c r="R18" s="30">
        <f t="shared" si="98"/>
        <v>0.9949223594682578</v>
      </c>
      <c r="S18" s="30">
        <f t="shared" si="98"/>
        <v>1.0133283987002082</v>
      </c>
      <c r="T18" s="30">
        <f t="shared" si="98"/>
        <v>1.0317344379321585</v>
      </c>
      <c r="U18" s="30">
        <v>1.0501404771641087</v>
      </c>
      <c r="V18" s="30">
        <f t="shared" ref="V18:Y18" si="99">U18+(($Z18-$U18)/5)</f>
        <v>1.0591403234649428</v>
      </c>
      <c r="W18" s="30">
        <f t="shared" si="99"/>
        <v>1.0681401697657769</v>
      </c>
      <c r="X18" s="30">
        <f t="shared" si="99"/>
        <v>1.0771400160666109</v>
      </c>
      <c r="Y18" s="30">
        <f t="shared" si="99"/>
        <v>1.086139862367445</v>
      </c>
      <c r="Z18" s="30">
        <v>1.095139708668279</v>
      </c>
      <c r="AA18" s="30">
        <f t="shared" ref="AA18:AD18" si="100">Z18+(($AE18-$Z18)/5)</f>
        <v>1.1017436611317142</v>
      </c>
      <c r="AB18" s="30">
        <f t="shared" si="100"/>
        <v>1.1083476135951493</v>
      </c>
      <c r="AC18" s="30">
        <f t="shared" si="100"/>
        <v>1.1149515660585845</v>
      </c>
      <c r="AD18" s="30">
        <f t="shared" si="100"/>
        <v>1.1215555185220196</v>
      </c>
      <c r="AE18" s="30">
        <v>1.1281594709854548</v>
      </c>
      <c r="AF18" s="30">
        <f t="shared" ref="AF18:AI18" si="101">AE18+(($AJ18-$AE18)/5)</f>
        <v>1.1327783668374585</v>
      </c>
      <c r="AG18" s="30">
        <f t="shared" si="101"/>
        <v>1.1373972626894622</v>
      </c>
      <c r="AH18" s="30">
        <f t="shared" si="101"/>
        <v>1.1420161585414659</v>
      </c>
      <c r="AI18" s="30">
        <f t="shared" si="101"/>
        <v>1.1466350543934696</v>
      </c>
      <c r="AJ18" s="30">
        <v>1.1512539502454737</v>
      </c>
      <c r="AK18" s="31">
        <v>14.952137269082755</v>
      </c>
      <c r="AL18" s="31">
        <v>0.92244923660347311</v>
      </c>
    </row>
    <row r="19" spans="1:38" x14ac:dyDescent="0.3">
      <c r="A19" t="str">
        <f>VLOOKUP(B19,'Country codes'!$A$1:$B$28,2,FALSE)</f>
        <v>LU</v>
      </c>
      <c r="B19" s="23" t="s">
        <v>107</v>
      </c>
      <c r="C19" s="24" t="s">
        <v>121</v>
      </c>
      <c r="D19" s="28" t="s">
        <v>122</v>
      </c>
      <c r="E19" s="29" t="s">
        <v>123</v>
      </c>
      <c r="F19" s="30">
        <v>0.18831002037205</v>
      </c>
      <c r="G19" s="30">
        <f t="shared" ref="G19:J19" si="102">F19+(($K19-$F19)/5)</f>
        <v>0.24584527313836435</v>
      </c>
      <c r="H19" s="30">
        <f t="shared" si="102"/>
        <v>0.30338052590467873</v>
      </c>
      <c r="I19" s="30">
        <f t="shared" si="102"/>
        <v>0.36091577867099311</v>
      </c>
      <c r="J19" s="30">
        <f t="shared" si="102"/>
        <v>0.4184510314373075</v>
      </c>
      <c r="K19" s="30">
        <v>0.47598628420362188</v>
      </c>
      <c r="L19" s="30">
        <f t="shared" ref="L19:O19" si="103">K19+(($P19-$K19)/5)</f>
        <v>0.48577920002341646</v>
      </c>
      <c r="M19" s="30">
        <f t="shared" si="103"/>
        <v>0.49557211584321104</v>
      </c>
      <c r="N19" s="30">
        <f t="shared" si="103"/>
        <v>0.50536503166300561</v>
      </c>
      <c r="O19" s="30">
        <f t="shared" si="103"/>
        <v>0.51515794748280019</v>
      </c>
      <c r="P19" s="30">
        <v>0.52495086330259477</v>
      </c>
      <c r="Q19" s="30">
        <f t="shared" ref="Q19:T19" si="104">P19+(($U19-$P19)/5)</f>
        <v>0.5314006717813845</v>
      </c>
      <c r="R19" s="30">
        <f t="shared" si="104"/>
        <v>0.53785048026017424</v>
      </c>
      <c r="S19" s="30">
        <f t="shared" si="104"/>
        <v>0.54430028873896397</v>
      </c>
      <c r="T19" s="30">
        <f t="shared" si="104"/>
        <v>0.5507500972177537</v>
      </c>
      <c r="U19" s="30">
        <v>0.55719990569654321</v>
      </c>
      <c r="V19" s="30">
        <f t="shared" ref="V19:Y19" si="105">U19+(($Z19-$U19)/5)</f>
        <v>0.56303515912779467</v>
      </c>
      <c r="W19" s="30">
        <f t="shared" si="105"/>
        <v>0.56887041255904613</v>
      </c>
      <c r="X19" s="30">
        <f t="shared" si="105"/>
        <v>0.5747056659902976</v>
      </c>
      <c r="Y19" s="30">
        <f t="shared" si="105"/>
        <v>0.58054091942154906</v>
      </c>
      <c r="Z19" s="30">
        <v>0.58637617285280053</v>
      </c>
      <c r="AA19" s="30">
        <f t="shared" ref="AA19:AD19" si="106">Z19+(($AE19-$Z19)/5)</f>
        <v>0.59161060063053128</v>
      </c>
      <c r="AB19" s="30">
        <f t="shared" si="106"/>
        <v>0.59684502840826203</v>
      </c>
      <c r="AC19" s="30">
        <f t="shared" si="106"/>
        <v>0.60207945618599279</v>
      </c>
      <c r="AD19" s="30">
        <f t="shared" si="106"/>
        <v>0.60731388396372354</v>
      </c>
      <c r="AE19" s="30">
        <v>0.6125483117414543</v>
      </c>
      <c r="AF19" s="30">
        <f t="shared" ref="AF19:AI19" si="107">AE19+(($AJ19-$AE19)/5)</f>
        <v>0.61758040181528828</v>
      </c>
      <c r="AG19" s="30">
        <f t="shared" si="107"/>
        <v>0.62261249188912227</v>
      </c>
      <c r="AH19" s="30">
        <f t="shared" si="107"/>
        <v>0.62764458196295625</v>
      </c>
      <c r="AI19" s="30">
        <f t="shared" si="107"/>
        <v>0.63267667203679023</v>
      </c>
      <c r="AJ19" s="30">
        <v>0.63770876211062399</v>
      </c>
      <c r="AK19" s="31">
        <v>10.796112451537599</v>
      </c>
      <c r="AL19" s="31">
        <v>0.97763305678182366</v>
      </c>
    </row>
    <row r="20" spans="1:38" x14ac:dyDescent="0.3">
      <c r="A20" t="str">
        <f>VLOOKUP(B20,'Country codes'!$A$1:$B$28,2,FALSE)</f>
        <v>LV</v>
      </c>
      <c r="B20" s="23" t="s">
        <v>108</v>
      </c>
      <c r="C20" s="24" t="s">
        <v>121</v>
      </c>
      <c r="D20" s="28" t="s">
        <v>122</v>
      </c>
      <c r="E20" s="29" t="s">
        <v>123</v>
      </c>
      <c r="F20" s="30">
        <v>0.56157683206166065</v>
      </c>
      <c r="G20" s="30">
        <f t="shared" ref="G20:J20" si="108">F20+(($K20-$F20)/5)</f>
        <v>0.61192232878881736</v>
      </c>
      <c r="H20" s="30">
        <f t="shared" si="108"/>
        <v>0.66226782551597407</v>
      </c>
      <c r="I20" s="30">
        <f t="shared" si="108"/>
        <v>0.71261332224313079</v>
      </c>
      <c r="J20" s="30">
        <f t="shared" si="108"/>
        <v>0.7629588189702875</v>
      </c>
      <c r="K20" s="30">
        <v>0.81330431569744444</v>
      </c>
      <c r="L20" s="30">
        <f t="shared" ref="L20:O20" si="109">K20+(($P20-$K20)/5)</f>
        <v>0.84063022047377778</v>
      </c>
      <c r="M20" s="30">
        <f t="shared" si="109"/>
        <v>0.86795612525011112</v>
      </c>
      <c r="N20" s="30">
        <f t="shared" si="109"/>
        <v>0.89528203002644446</v>
      </c>
      <c r="O20" s="30">
        <f t="shared" si="109"/>
        <v>0.92260793480277781</v>
      </c>
      <c r="P20" s="30">
        <v>0.94993383957911104</v>
      </c>
      <c r="Q20" s="30">
        <f t="shared" ref="Q20:T20" si="110">P20+(($U20-$P20)/5)</f>
        <v>0.96089523162562873</v>
      </c>
      <c r="R20" s="30">
        <f t="shared" si="110"/>
        <v>0.97185662367214642</v>
      </c>
      <c r="S20" s="30">
        <f t="shared" si="110"/>
        <v>0.98281801571866412</v>
      </c>
      <c r="T20" s="30">
        <f t="shared" si="110"/>
        <v>0.99377940776518181</v>
      </c>
      <c r="U20" s="30">
        <v>1.0047407998116995</v>
      </c>
      <c r="V20" s="30">
        <f t="shared" ref="V20:Y20" si="111">U20+(($Z20-$U20)/5)</f>
        <v>1.0152111609115013</v>
      </c>
      <c r="W20" s="30">
        <f t="shared" si="111"/>
        <v>1.0256815220113031</v>
      </c>
      <c r="X20" s="30">
        <f t="shared" si="111"/>
        <v>1.036151883111105</v>
      </c>
      <c r="Y20" s="30">
        <f t="shared" si="111"/>
        <v>1.0466222442109068</v>
      </c>
      <c r="Z20" s="30">
        <v>1.0570926053107086</v>
      </c>
      <c r="AA20" s="30">
        <f t="shared" ref="AA20:AD20" si="112">Z20+(($AE20-$Z20)/5)</f>
        <v>1.063144757918524</v>
      </c>
      <c r="AB20" s="30">
        <f t="shared" si="112"/>
        <v>1.0691969105263395</v>
      </c>
      <c r="AC20" s="30">
        <f t="shared" si="112"/>
        <v>1.0752490631341549</v>
      </c>
      <c r="AD20" s="30">
        <f t="shared" si="112"/>
        <v>1.0813012157419704</v>
      </c>
      <c r="AE20" s="30">
        <v>1.0873533683497862</v>
      </c>
      <c r="AF20" s="30">
        <f t="shared" ref="AF20:AI20" si="113">AE20+(($AJ20-$AE20)/5)</f>
        <v>1.0924665633141299</v>
      </c>
      <c r="AG20" s="30">
        <f t="shared" si="113"/>
        <v>1.0975797582784736</v>
      </c>
      <c r="AH20" s="30">
        <f t="shared" si="113"/>
        <v>1.1026929532428174</v>
      </c>
      <c r="AI20" s="30">
        <f t="shared" si="113"/>
        <v>1.1078061482071611</v>
      </c>
      <c r="AJ20" s="30">
        <v>1.1129193431715048</v>
      </c>
      <c r="AK20" s="31">
        <v>5.397040831354194</v>
      </c>
      <c r="AL20" s="31">
        <v>0.79489031591055692</v>
      </c>
    </row>
    <row r="21" spans="1:38" x14ac:dyDescent="0.3">
      <c r="A21" t="str">
        <f>VLOOKUP(B21,'Country codes'!$A$1:$B$28,2,FALSE)</f>
        <v>MT</v>
      </c>
      <c r="B21" s="23" t="s">
        <v>109</v>
      </c>
      <c r="C21" s="24" t="s">
        <v>121</v>
      </c>
      <c r="D21" s="28" t="s">
        <v>122</v>
      </c>
      <c r="E21" s="29" t="s">
        <v>123</v>
      </c>
      <c r="F21" s="30">
        <v>0</v>
      </c>
      <c r="G21" s="30">
        <f t="shared" ref="G21:J21" si="114">F21+(($K21-$F21)/5)</f>
        <v>0</v>
      </c>
      <c r="H21" s="30">
        <f t="shared" si="114"/>
        <v>0</v>
      </c>
      <c r="I21" s="30">
        <f t="shared" si="114"/>
        <v>0</v>
      </c>
      <c r="J21" s="30">
        <f t="shared" si="114"/>
        <v>0</v>
      </c>
      <c r="K21" s="30">
        <v>0</v>
      </c>
      <c r="L21" s="30">
        <f t="shared" ref="L21:O21" si="115">K21+(($P21-$K21)/5)</f>
        <v>0</v>
      </c>
      <c r="M21" s="30">
        <f t="shared" si="115"/>
        <v>0</v>
      </c>
      <c r="N21" s="30">
        <f t="shared" si="115"/>
        <v>0</v>
      </c>
      <c r="O21" s="30">
        <f t="shared" si="115"/>
        <v>0</v>
      </c>
      <c r="P21" s="30">
        <v>0</v>
      </c>
      <c r="Q21" s="30">
        <f t="shared" ref="Q21:T21" si="116">P21+(($U21-$P21)/5)</f>
        <v>0</v>
      </c>
      <c r="R21" s="30">
        <f t="shared" si="116"/>
        <v>0</v>
      </c>
      <c r="S21" s="30">
        <f t="shared" si="116"/>
        <v>0</v>
      </c>
      <c r="T21" s="30">
        <f t="shared" si="116"/>
        <v>0</v>
      </c>
      <c r="U21" s="30">
        <v>0</v>
      </c>
      <c r="V21" s="30">
        <f t="shared" ref="V21:Y21" si="117">U21+(($Z21-$U21)/5)</f>
        <v>0</v>
      </c>
      <c r="W21" s="30">
        <f t="shared" si="117"/>
        <v>0</v>
      </c>
      <c r="X21" s="30">
        <f t="shared" si="117"/>
        <v>0</v>
      </c>
      <c r="Y21" s="30">
        <f t="shared" si="117"/>
        <v>0</v>
      </c>
      <c r="Z21" s="30">
        <v>0</v>
      </c>
      <c r="AA21" s="30">
        <f t="shared" ref="AA21:AD21" si="118">Z21+(($AE21-$Z21)/5)</f>
        <v>0</v>
      </c>
      <c r="AB21" s="30">
        <f t="shared" si="118"/>
        <v>0</v>
      </c>
      <c r="AC21" s="30">
        <f t="shared" si="118"/>
        <v>0</v>
      </c>
      <c r="AD21" s="30">
        <f t="shared" si="118"/>
        <v>0</v>
      </c>
      <c r="AE21" s="30">
        <v>0</v>
      </c>
      <c r="AF21" s="30">
        <f t="shared" ref="AF21:AI21" si="119">AE21+(($AJ21-$AE21)/5)</f>
        <v>0</v>
      </c>
      <c r="AG21" s="30">
        <f t="shared" si="119"/>
        <v>0</v>
      </c>
      <c r="AH21" s="30">
        <f t="shared" si="119"/>
        <v>0</v>
      </c>
      <c r="AI21" s="30">
        <f t="shared" si="119"/>
        <v>0</v>
      </c>
      <c r="AJ21" s="30">
        <v>0</v>
      </c>
      <c r="AK21" s="31" t="s">
        <v>124</v>
      </c>
      <c r="AL21" s="31" t="s">
        <v>124</v>
      </c>
    </row>
    <row r="22" spans="1:38" x14ac:dyDescent="0.3">
      <c r="A22" t="str">
        <f>VLOOKUP(B22,'Country codes'!$A$1:$B$28,2,FALSE)</f>
        <v>NL</v>
      </c>
      <c r="B22" s="23" t="s">
        <v>110</v>
      </c>
      <c r="C22" s="24" t="s">
        <v>121</v>
      </c>
      <c r="D22" s="28" t="s">
        <v>122</v>
      </c>
      <c r="E22" s="29" t="s">
        <v>123</v>
      </c>
      <c r="F22" s="30">
        <v>12.828176569941974</v>
      </c>
      <c r="G22" s="30">
        <f t="shared" ref="G22:J22" si="120">F22+(($K22-$F22)/5)</f>
        <v>14.340911415288103</v>
      </c>
      <c r="H22" s="30">
        <f t="shared" si="120"/>
        <v>15.853646260634232</v>
      </c>
      <c r="I22" s="30">
        <f t="shared" si="120"/>
        <v>17.366381105980359</v>
      </c>
      <c r="J22" s="30">
        <f t="shared" si="120"/>
        <v>18.879115951326487</v>
      </c>
      <c r="K22" s="30">
        <v>20.391850796672617</v>
      </c>
      <c r="L22" s="30">
        <f t="shared" ref="L22:O22" si="121">K22+(($P22-$K22)/5)</f>
        <v>20.698431532428224</v>
      </c>
      <c r="M22" s="30">
        <f t="shared" si="121"/>
        <v>21.00501226818383</v>
      </c>
      <c r="N22" s="30">
        <f t="shared" si="121"/>
        <v>21.311593003939436</v>
      </c>
      <c r="O22" s="30">
        <f t="shared" si="121"/>
        <v>21.618173739695042</v>
      </c>
      <c r="P22" s="30">
        <v>21.924754475450648</v>
      </c>
      <c r="Q22" s="30">
        <f t="shared" ref="Q22:T22" si="122">P22+(($U22-$P22)/5)</f>
        <v>22.179111735099141</v>
      </c>
      <c r="R22" s="30">
        <f t="shared" si="122"/>
        <v>22.433468994747635</v>
      </c>
      <c r="S22" s="30">
        <f t="shared" si="122"/>
        <v>22.687826254396128</v>
      </c>
      <c r="T22" s="30">
        <f t="shared" si="122"/>
        <v>22.942183514044622</v>
      </c>
      <c r="U22" s="30">
        <v>23.196540773693123</v>
      </c>
      <c r="V22" s="30">
        <f t="shared" ref="V22:Y22" si="123">U22+(($Z22-$U22)/5)</f>
        <v>23.437304311546328</v>
      </c>
      <c r="W22" s="30">
        <f t="shared" si="123"/>
        <v>23.678067849399532</v>
      </c>
      <c r="X22" s="30">
        <f t="shared" si="123"/>
        <v>23.918831387252737</v>
      </c>
      <c r="Y22" s="30">
        <f t="shared" si="123"/>
        <v>24.159594925105942</v>
      </c>
      <c r="Z22" s="30">
        <v>24.400358462959147</v>
      </c>
      <c r="AA22" s="30">
        <f t="shared" ref="AA22:AD22" si="124">Z22+(($AE22-$Z22)/5)</f>
        <v>24.602067202985275</v>
      </c>
      <c r="AB22" s="30">
        <f t="shared" si="124"/>
        <v>24.803775943011402</v>
      </c>
      <c r="AC22" s="30">
        <f t="shared" si="124"/>
        <v>25.00548468303753</v>
      </c>
      <c r="AD22" s="30">
        <f t="shared" si="124"/>
        <v>25.207193423063657</v>
      </c>
      <c r="AE22" s="30">
        <v>25.408902163089788</v>
      </c>
      <c r="AF22" s="30">
        <f t="shared" ref="AF22:AI22" si="125">AE22+(($AJ22-$AE22)/5)</f>
        <v>25.593449730632649</v>
      </c>
      <c r="AG22" s="30">
        <f t="shared" si="125"/>
        <v>25.77799729817551</v>
      </c>
      <c r="AH22" s="30">
        <f t="shared" si="125"/>
        <v>25.962544865718371</v>
      </c>
      <c r="AI22" s="30">
        <f t="shared" si="125"/>
        <v>26.147092433261232</v>
      </c>
      <c r="AJ22" s="30">
        <v>26.331640000804097</v>
      </c>
      <c r="AK22" s="31">
        <v>5.5059569553681076</v>
      </c>
      <c r="AL22" s="31">
        <v>0.91998063575806643</v>
      </c>
    </row>
    <row r="23" spans="1:38" x14ac:dyDescent="0.3">
      <c r="A23" t="str">
        <f>VLOOKUP(B23,'Country codes'!$A$1:$B$28,2,FALSE)</f>
        <v>PL</v>
      </c>
      <c r="B23" s="23" t="s">
        <v>111</v>
      </c>
      <c r="C23" s="24" t="s">
        <v>121</v>
      </c>
      <c r="D23" s="28" t="s">
        <v>122</v>
      </c>
      <c r="E23" s="29" t="s">
        <v>123</v>
      </c>
      <c r="F23" s="30">
        <v>16.108067243028486</v>
      </c>
      <c r="G23" s="30">
        <f t="shared" ref="G23:J23" si="126">F23+(($K23-$F23)/5)</f>
        <v>19.213400741653629</v>
      </c>
      <c r="H23" s="30">
        <f t="shared" si="126"/>
        <v>22.318734240278772</v>
      </c>
      <c r="I23" s="30">
        <f t="shared" si="126"/>
        <v>25.424067738903915</v>
      </c>
      <c r="J23" s="30">
        <f t="shared" si="126"/>
        <v>28.529401237529058</v>
      </c>
      <c r="K23" s="30">
        <v>31.634734736154204</v>
      </c>
      <c r="L23" s="30">
        <f t="shared" ref="L23:O23" si="127">K23+(($P23-$K23)/5)</f>
        <v>33.198114403299577</v>
      </c>
      <c r="M23" s="30">
        <f t="shared" si="127"/>
        <v>34.761494070444954</v>
      </c>
      <c r="N23" s="30">
        <f t="shared" si="127"/>
        <v>36.32487373759033</v>
      </c>
      <c r="O23" s="30">
        <f t="shared" si="127"/>
        <v>37.888253404735707</v>
      </c>
      <c r="P23" s="30">
        <v>39.451633071881083</v>
      </c>
      <c r="Q23" s="30">
        <f t="shared" ref="Q23:T23" si="128">P23+(($U23-$P23)/5)</f>
        <v>40.267868022961821</v>
      </c>
      <c r="R23" s="30">
        <f t="shared" si="128"/>
        <v>41.084102974042558</v>
      </c>
      <c r="S23" s="30">
        <f t="shared" si="128"/>
        <v>41.900337925123296</v>
      </c>
      <c r="T23" s="30">
        <f t="shared" si="128"/>
        <v>42.716572876204033</v>
      </c>
      <c r="U23" s="30">
        <v>43.532807827284756</v>
      </c>
      <c r="V23" s="30">
        <f t="shared" ref="V23:Y23" si="129">U23+(($Z23-$U23)/5)</f>
        <v>44.325865058973044</v>
      </c>
      <c r="W23" s="30">
        <f t="shared" si="129"/>
        <v>45.118922290661331</v>
      </c>
      <c r="X23" s="30">
        <f t="shared" si="129"/>
        <v>45.911979522349618</v>
      </c>
      <c r="Y23" s="30">
        <f t="shared" si="129"/>
        <v>46.705036754037906</v>
      </c>
      <c r="Z23" s="30">
        <v>47.498093985726186</v>
      </c>
      <c r="AA23" s="30">
        <f t="shared" ref="AA23:AD23" si="130">Z23+(($AE23-$Z23)/5)</f>
        <v>47.898936076064892</v>
      </c>
      <c r="AB23" s="30">
        <f t="shared" si="130"/>
        <v>48.299778166403598</v>
      </c>
      <c r="AC23" s="30">
        <f t="shared" si="130"/>
        <v>48.700620256742305</v>
      </c>
      <c r="AD23" s="30">
        <f t="shared" si="130"/>
        <v>49.101462347081011</v>
      </c>
      <c r="AE23" s="30">
        <v>49.502304437419731</v>
      </c>
      <c r="AF23" s="30">
        <f t="shared" ref="AF23:AI23" si="131">AE23+(($AJ23-$AE23)/5)</f>
        <v>49.869893899246911</v>
      </c>
      <c r="AG23" s="30">
        <f t="shared" si="131"/>
        <v>50.237483361074091</v>
      </c>
      <c r="AH23" s="30">
        <f t="shared" si="131"/>
        <v>50.605072822901271</v>
      </c>
      <c r="AI23" s="30">
        <f t="shared" si="131"/>
        <v>50.97266228472845</v>
      </c>
      <c r="AJ23" s="30">
        <v>51.340251746555637</v>
      </c>
      <c r="AK23" s="31">
        <v>9.3709929894453268</v>
      </c>
      <c r="AL23" s="31">
        <v>1.3257088012273543</v>
      </c>
    </row>
    <row r="24" spans="1:38" x14ac:dyDescent="0.3">
      <c r="A24" t="str">
        <f>VLOOKUP(B24,'Country codes'!$A$1:$B$28,2,FALSE)</f>
        <v>PT</v>
      </c>
      <c r="B24" s="23" t="s">
        <v>112</v>
      </c>
      <c r="C24" s="24" t="s">
        <v>121</v>
      </c>
      <c r="D24" s="28" t="s">
        <v>122</v>
      </c>
      <c r="E24" s="29" t="s">
        <v>123</v>
      </c>
      <c r="F24" s="30">
        <v>2.3373189802962626</v>
      </c>
      <c r="G24" s="30">
        <f t="shared" ref="G24:J24" si="132">F24+(($K24-$F24)/5)</f>
        <v>3.1178238979849291</v>
      </c>
      <c r="H24" s="30">
        <f t="shared" si="132"/>
        <v>3.8983288156735956</v>
      </c>
      <c r="I24" s="30">
        <f t="shared" si="132"/>
        <v>4.6788337333622616</v>
      </c>
      <c r="J24" s="30">
        <f t="shared" si="132"/>
        <v>5.4593386510509276</v>
      </c>
      <c r="K24" s="30">
        <v>6.2398435687395946</v>
      </c>
      <c r="L24" s="30">
        <f t="shared" ref="L24:O24" si="133">K24+(($P24-$K24)/5)</f>
        <v>6.3366132001564051</v>
      </c>
      <c r="M24" s="30">
        <f t="shared" si="133"/>
        <v>6.4333828315732156</v>
      </c>
      <c r="N24" s="30">
        <f t="shared" si="133"/>
        <v>6.5301524629900261</v>
      </c>
      <c r="O24" s="30">
        <f t="shared" si="133"/>
        <v>6.6269220944068365</v>
      </c>
      <c r="P24" s="30">
        <v>6.7236917258236479</v>
      </c>
      <c r="Q24" s="30">
        <f t="shared" ref="Q24:T24" si="134">P24+(($U24-$P24)/5)</f>
        <v>6.8408003367321433</v>
      </c>
      <c r="R24" s="30">
        <f t="shared" si="134"/>
        <v>6.9579089476406386</v>
      </c>
      <c r="S24" s="30">
        <f t="shared" si="134"/>
        <v>7.0750175585491339</v>
      </c>
      <c r="T24" s="30">
        <f t="shared" si="134"/>
        <v>7.1921261694576293</v>
      </c>
      <c r="U24" s="30">
        <v>7.3092347803661255</v>
      </c>
      <c r="V24" s="30">
        <f t="shared" ref="V24:Y24" si="135">U24+(($Z24-$U24)/5)</f>
        <v>7.4241940848195265</v>
      </c>
      <c r="W24" s="30">
        <f t="shared" si="135"/>
        <v>7.5391533892729274</v>
      </c>
      <c r="X24" s="30">
        <f t="shared" si="135"/>
        <v>7.6541126937263284</v>
      </c>
      <c r="Y24" s="30">
        <f t="shared" si="135"/>
        <v>7.7690719981797294</v>
      </c>
      <c r="Z24" s="30">
        <v>7.8840313026331312</v>
      </c>
      <c r="AA24" s="30">
        <f t="shared" ref="AA24:AD24" si="136">Z24+(($AE24-$Z24)/5)</f>
        <v>8.0213319088327673</v>
      </c>
      <c r="AB24" s="30">
        <f t="shared" si="136"/>
        <v>8.1586325150324033</v>
      </c>
      <c r="AC24" s="30">
        <f t="shared" si="136"/>
        <v>8.2959331212320393</v>
      </c>
      <c r="AD24" s="30">
        <f t="shared" si="136"/>
        <v>8.4332337274316753</v>
      </c>
      <c r="AE24" s="30">
        <v>8.5705343336313131</v>
      </c>
      <c r="AF24" s="30">
        <f t="shared" ref="AF24:AI24" si="137">AE24+(($AJ24-$AE24)/5)</f>
        <v>8.7004290402532281</v>
      </c>
      <c r="AG24" s="30">
        <f t="shared" si="137"/>
        <v>8.830323746875143</v>
      </c>
      <c r="AH24" s="30">
        <f t="shared" si="137"/>
        <v>8.9602184534970579</v>
      </c>
      <c r="AI24" s="30">
        <f t="shared" si="137"/>
        <v>9.0901131601189729</v>
      </c>
      <c r="AJ24" s="30">
        <v>9.2200078667408842</v>
      </c>
      <c r="AK24" s="31">
        <v>11.144757020695994</v>
      </c>
      <c r="AL24" s="31">
        <v>1.5912198026935442</v>
      </c>
    </row>
    <row r="25" spans="1:38" x14ac:dyDescent="0.3">
      <c r="A25" t="str">
        <f>VLOOKUP(B25,'Country codes'!$A$1:$B$28,2,FALSE)</f>
        <v>RO</v>
      </c>
      <c r="B25" s="23" t="s">
        <v>113</v>
      </c>
      <c r="C25" s="24" t="s">
        <v>121</v>
      </c>
      <c r="D25" s="28" t="s">
        <v>122</v>
      </c>
      <c r="E25" s="29" t="s">
        <v>123</v>
      </c>
      <c r="F25" s="30">
        <v>7.0164441936768407</v>
      </c>
      <c r="G25" s="30">
        <f t="shared" ref="G25:J25" si="138">F25+(($K25-$F25)/5)</f>
        <v>8.5527755670624792</v>
      </c>
      <c r="H25" s="30">
        <f t="shared" si="138"/>
        <v>10.089106940448117</v>
      </c>
      <c r="I25" s="30">
        <f t="shared" si="138"/>
        <v>11.625438313833754</v>
      </c>
      <c r="J25" s="30">
        <f t="shared" si="138"/>
        <v>13.161769687219392</v>
      </c>
      <c r="K25" s="30">
        <v>14.69810106060503</v>
      </c>
      <c r="L25" s="30">
        <f t="shared" ref="L25:O25" si="139">K25+(($P25-$K25)/5)</f>
        <v>15.042972969995885</v>
      </c>
      <c r="M25" s="30">
        <f t="shared" si="139"/>
        <v>15.387844879386741</v>
      </c>
      <c r="N25" s="30">
        <f t="shared" si="139"/>
        <v>15.732716788777596</v>
      </c>
      <c r="O25" s="30">
        <f t="shared" si="139"/>
        <v>16.077588698168451</v>
      </c>
      <c r="P25" s="30">
        <v>16.422460607559309</v>
      </c>
      <c r="Q25" s="30">
        <f t="shared" ref="Q25:T25" si="140">P25+(($U25-$P25)/5)</f>
        <v>16.645740958102486</v>
      </c>
      <c r="R25" s="30">
        <f t="shared" si="140"/>
        <v>16.869021308645664</v>
      </c>
      <c r="S25" s="30">
        <f t="shared" si="140"/>
        <v>17.092301659188841</v>
      </c>
      <c r="T25" s="30">
        <f t="shared" si="140"/>
        <v>17.315582009732019</v>
      </c>
      <c r="U25" s="30">
        <v>17.538862360275189</v>
      </c>
      <c r="V25" s="30">
        <f t="shared" ref="V25:Y25" si="141">U25+(($Z25-$U25)/5)</f>
        <v>17.803210985457476</v>
      </c>
      <c r="W25" s="30">
        <f t="shared" si="141"/>
        <v>18.067559610639762</v>
      </c>
      <c r="X25" s="30">
        <f t="shared" si="141"/>
        <v>18.331908235822048</v>
      </c>
      <c r="Y25" s="30">
        <f t="shared" si="141"/>
        <v>18.596256861004335</v>
      </c>
      <c r="Z25" s="30">
        <v>18.860605486186614</v>
      </c>
      <c r="AA25" s="30">
        <f t="shared" ref="AA25:AD25" si="142">Z25+(($AE25-$Z25)/5)</f>
        <v>19.009511284600276</v>
      </c>
      <c r="AB25" s="30">
        <f t="shared" si="142"/>
        <v>19.158417083013937</v>
      </c>
      <c r="AC25" s="30">
        <f t="shared" si="142"/>
        <v>19.307322881427599</v>
      </c>
      <c r="AD25" s="30">
        <f t="shared" si="142"/>
        <v>19.45622867984126</v>
      </c>
      <c r="AE25" s="30">
        <v>19.605134478254922</v>
      </c>
      <c r="AF25" s="30">
        <f t="shared" ref="AF25:AI25" si="143">AE25+(($AJ25-$AE25)/5)</f>
        <v>19.728313239681004</v>
      </c>
      <c r="AG25" s="30">
        <f t="shared" si="143"/>
        <v>19.851492001107086</v>
      </c>
      <c r="AH25" s="30">
        <f t="shared" si="143"/>
        <v>19.974670762533169</v>
      </c>
      <c r="AI25" s="30">
        <f t="shared" si="143"/>
        <v>20.097849523959251</v>
      </c>
      <c r="AJ25" s="30">
        <v>20.221028285385334</v>
      </c>
      <c r="AK25" s="31">
        <v>8.875989576507525</v>
      </c>
      <c r="AL25" s="31">
        <v>1.0457962196913639</v>
      </c>
    </row>
    <row r="26" spans="1:38" x14ac:dyDescent="0.3">
      <c r="A26" t="str">
        <f>VLOOKUP(B26,'Country codes'!$A$1:$B$28,2,FALSE)</f>
        <v>SE</v>
      </c>
      <c r="B26" s="23" t="s">
        <v>114</v>
      </c>
      <c r="C26" s="24" t="s">
        <v>121</v>
      </c>
      <c r="D26" s="28" t="s">
        <v>122</v>
      </c>
      <c r="E26" s="29" t="s">
        <v>123</v>
      </c>
      <c r="F26" s="30">
        <v>13.456913823490801</v>
      </c>
      <c r="G26" s="30">
        <f t="shared" ref="G26:J26" si="144">F26+(($K26-$F26)/5)</f>
        <v>14.375312089956005</v>
      </c>
      <c r="H26" s="30">
        <f t="shared" si="144"/>
        <v>15.293710356421208</v>
      </c>
      <c r="I26" s="30">
        <f t="shared" si="144"/>
        <v>16.212108622886412</v>
      </c>
      <c r="J26" s="30">
        <f t="shared" si="144"/>
        <v>17.130506889351615</v>
      </c>
      <c r="K26" s="30">
        <v>18.048905155816822</v>
      </c>
      <c r="L26" s="30">
        <f t="shared" ref="L26:O26" si="145">K26+(($P26-$K26)/5)</f>
        <v>18.390790926129682</v>
      </c>
      <c r="M26" s="30">
        <f t="shared" si="145"/>
        <v>18.732676696442542</v>
      </c>
      <c r="N26" s="30">
        <f t="shared" si="145"/>
        <v>19.074562466755403</v>
      </c>
      <c r="O26" s="30">
        <f t="shared" si="145"/>
        <v>19.416448237068263</v>
      </c>
      <c r="P26" s="30">
        <v>19.758334007381119</v>
      </c>
      <c r="Q26" s="30">
        <f t="shared" ref="Q26:T26" si="146">P26+(($U26-$P26)/5)</f>
        <v>19.959098716028265</v>
      </c>
      <c r="R26" s="30">
        <f t="shared" si="146"/>
        <v>20.159863424675411</v>
      </c>
      <c r="S26" s="30">
        <f t="shared" si="146"/>
        <v>20.360628133322557</v>
      </c>
      <c r="T26" s="30">
        <f t="shared" si="146"/>
        <v>20.561392841969703</v>
      </c>
      <c r="U26" s="30">
        <v>20.762157550616841</v>
      </c>
      <c r="V26" s="30">
        <f t="shared" ref="V26:Y26" si="147">U26+(($Z26-$U26)/5)</f>
        <v>20.959072312492548</v>
      </c>
      <c r="W26" s="30">
        <f t="shared" si="147"/>
        <v>21.155987074368255</v>
      </c>
      <c r="X26" s="30">
        <f t="shared" si="147"/>
        <v>21.352901836243962</v>
      </c>
      <c r="Y26" s="30">
        <f t="shared" si="147"/>
        <v>21.549816598119669</v>
      </c>
      <c r="Z26" s="30">
        <v>21.746731359995373</v>
      </c>
      <c r="AA26" s="30">
        <f t="shared" ref="AA26:AD26" si="148">Z26+(($AE26-$Z26)/5)</f>
        <v>21.906251863315997</v>
      </c>
      <c r="AB26" s="30">
        <f t="shared" si="148"/>
        <v>22.065772366636622</v>
      </c>
      <c r="AC26" s="30">
        <f t="shared" si="148"/>
        <v>22.225292869957247</v>
      </c>
      <c r="AD26" s="30">
        <f t="shared" si="148"/>
        <v>22.384813373277872</v>
      </c>
      <c r="AE26" s="30">
        <v>22.54433387659849</v>
      </c>
      <c r="AF26" s="30">
        <f t="shared" ref="AF26:AI26" si="149">AE26+(($AJ26-$AE26)/5)</f>
        <v>22.701542053663879</v>
      </c>
      <c r="AG26" s="30">
        <f t="shared" si="149"/>
        <v>22.858750230729267</v>
      </c>
      <c r="AH26" s="30">
        <f t="shared" si="149"/>
        <v>23.015958407794656</v>
      </c>
      <c r="AI26" s="30">
        <f t="shared" si="149"/>
        <v>23.173166584860045</v>
      </c>
      <c r="AJ26" s="30">
        <v>23.330374761925437</v>
      </c>
      <c r="AK26" s="31">
        <v>3.9155367397375018</v>
      </c>
      <c r="AL26" s="31">
        <v>0.83436544710084881</v>
      </c>
    </row>
    <row r="27" spans="1:38" x14ac:dyDescent="0.3">
      <c r="A27" t="str">
        <f>VLOOKUP(B27,'Country codes'!$A$1:$B$28,2,FALSE)</f>
        <v>SI</v>
      </c>
      <c r="B27" s="23" t="s">
        <v>115</v>
      </c>
      <c r="C27" s="24" t="s">
        <v>121</v>
      </c>
      <c r="D27" s="28" t="s">
        <v>122</v>
      </c>
      <c r="E27" s="29" t="s">
        <v>123</v>
      </c>
      <c r="F27" s="30">
        <v>0.37866081560937048</v>
      </c>
      <c r="G27" s="30">
        <f t="shared" ref="G27:J27" si="150">F27+(($K27-$F27)/5)</f>
        <v>0.46919375816937992</v>
      </c>
      <c r="H27" s="30">
        <f t="shared" si="150"/>
        <v>0.55972670072938935</v>
      </c>
      <c r="I27" s="30">
        <f t="shared" si="150"/>
        <v>0.65025964328939878</v>
      </c>
      <c r="J27" s="30">
        <f t="shared" si="150"/>
        <v>0.74079258584940821</v>
      </c>
      <c r="K27" s="30">
        <v>0.83132552840941776</v>
      </c>
      <c r="L27" s="30">
        <f t="shared" ref="L27:O27" si="151">K27+(($P27-$K27)/5)</f>
        <v>0.87463100488404644</v>
      </c>
      <c r="M27" s="30">
        <f t="shared" si="151"/>
        <v>0.91793648135867512</v>
      </c>
      <c r="N27" s="30">
        <f t="shared" si="151"/>
        <v>0.9612419578333038</v>
      </c>
      <c r="O27" s="30">
        <f t="shared" si="151"/>
        <v>1.0045474343079324</v>
      </c>
      <c r="P27" s="30">
        <v>1.0478529107825612</v>
      </c>
      <c r="Q27" s="30">
        <f t="shared" ref="Q27:T27" si="152">P27+(($U27-$P27)/5)</f>
        <v>1.0736951903032299</v>
      </c>
      <c r="R27" s="30">
        <f t="shared" si="152"/>
        <v>1.0995374698238987</v>
      </c>
      <c r="S27" s="30">
        <f t="shared" si="152"/>
        <v>1.1253797493445674</v>
      </c>
      <c r="T27" s="30">
        <f t="shared" si="152"/>
        <v>1.1512220288652362</v>
      </c>
      <c r="U27" s="30">
        <v>1.1770643083859049</v>
      </c>
      <c r="V27" s="30">
        <f t="shared" ref="V27:Y27" si="153">U27+(($Z27-$U27)/5)</f>
        <v>1.2043457221677267</v>
      </c>
      <c r="W27" s="30">
        <f t="shared" si="153"/>
        <v>1.2316271359495485</v>
      </c>
      <c r="X27" s="30">
        <f t="shared" si="153"/>
        <v>1.2589085497313703</v>
      </c>
      <c r="Y27" s="30">
        <f t="shared" si="153"/>
        <v>1.2861899635131921</v>
      </c>
      <c r="Z27" s="30">
        <v>1.313471377295014</v>
      </c>
      <c r="AA27" s="30">
        <f t="shared" ref="AA27:AD27" si="154">Z27+(($AE27-$Z27)/5)</f>
        <v>1.3256172589114705</v>
      </c>
      <c r="AB27" s="30">
        <f t="shared" si="154"/>
        <v>1.3377631405279271</v>
      </c>
      <c r="AC27" s="30">
        <f t="shared" si="154"/>
        <v>1.3499090221443837</v>
      </c>
      <c r="AD27" s="30">
        <f t="shared" si="154"/>
        <v>1.3620549037608403</v>
      </c>
      <c r="AE27" s="30">
        <v>1.3742007853772973</v>
      </c>
      <c r="AF27" s="30">
        <f t="shared" ref="AF27:AI27" si="155">AE27+(($AJ27-$AE27)/5)</f>
        <v>1.3881820386108019</v>
      </c>
      <c r="AG27" s="30">
        <f t="shared" si="155"/>
        <v>1.4021632918443065</v>
      </c>
      <c r="AH27" s="30">
        <f t="shared" si="155"/>
        <v>1.4161445450778112</v>
      </c>
      <c r="AI27" s="30">
        <f t="shared" si="155"/>
        <v>1.4301257983113158</v>
      </c>
      <c r="AJ27" s="30">
        <v>1.4441070515448202</v>
      </c>
      <c r="AK27" s="31">
        <v>10.714625617260797</v>
      </c>
      <c r="AL27" s="31">
        <v>1.6166686758684268</v>
      </c>
    </row>
    <row r="28" spans="1:38" x14ac:dyDescent="0.3">
      <c r="A28" t="str">
        <f>VLOOKUP(B28,'Country codes'!$A$1:$B$28,2,FALSE)</f>
        <v>SK</v>
      </c>
      <c r="B28" s="23" t="s">
        <v>116</v>
      </c>
      <c r="C28" s="24" t="s">
        <v>121</v>
      </c>
      <c r="D28" s="28" t="s">
        <v>122</v>
      </c>
      <c r="E28" s="29" t="s">
        <v>123</v>
      </c>
      <c r="F28" s="30">
        <v>2.5282709793501983</v>
      </c>
      <c r="G28" s="30">
        <f t="shared" ref="G28:J28" si="156">F28+(($K28-$F28)/5)</f>
        <v>2.9033402492477012</v>
      </c>
      <c r="H28" s="30">
        <f t="shared" si="156"/>
        <v>3.2784095191452041</v>
      </c>
      <c r="I28" s="30">
        <f t="shared" si="156"/>
        <v>3.653478789042707</v>
      </c>
      <c r="J28" s="30">
        <f t="shared" si="156"/>
        <v>4.0285480589402098</v>
      </c>
      <c r="K28" s="30">
        <v>4.4036173288377132</v>
      </c>
      <c r="L28" s="30">
        <f t="shared" ref="L28:O28" si="157">K28+(($P28-$K28)/5)</f>
        <v>4.5675635172745386</v>
      </c>
      <c r="M28" s="30">
        <f t="shared" si="157"/>
        <v>4.731509705711364</v>
      </c>
      <c r="N28" s="30">
        <f t="shared" si="157"/>
        <v>4.8954558941481894</v>
      </c>
      <c r="O28" s="30">
        <f t="shared" si="157"/>
        <v>5.0594020825850148</v>
      </c>
      <c r="P28" s="30">
        <v>5.223348271021842</v>
      </c>
      <c r="Q28" s="30">
        <f t="shared" ref="Q28:T28" si="158">P28+(($U28-$P28)/5)</f>
        <v>5.3539391907454981</v>
      </c>
      <c r="R28" s="30">
        <f t="shared" si="158"/>
        <v>5.4845301104691542</v>
      </c>
      <c r="S28" s="30">
        <f t="shared" si="158"/>
        <v>5.6151210301928103</v>
      </c>
      <c r="T28" s="30">
        <f t="shared" si="158"/>
        <v>5.7457119499164664</v>
      </c>
      <c r="U28" s="30">
        <v>5.8763028696401216</v>
      </c>
      <c r="V28" s="30">
        <f t="shared" ref="V28:Y28" si="159">U28+(($Z28-$U28)/5)</f>
        <v>5.999063425876793</v>
      </c>
      <c r="W28" s="30">
        <f t="shared" si="159"/>
        <v>6.1218239821134643</v>
      </c>
      <c r="X28" s="30">
        <f t="shared" si="159"/>
        <v>6.2445845383501357</v>
      </c>
      <c r="Y28" s="30">
        <f t="shared" si="159"/>
        <v>6.3673450945868071</v>
      </c>
      <c r="Z28" s="30">
        <v>6.4901056508234802</v>
      </c>
      <c r="AA28" s="30">
        <f t="shared" ref="AA28:AD28" si="160">Z28+(($AE28-$Z28)/5)</f>
        <v>6.5603497211372517</v>
      </c>
      <c r="AB28" s="30">
        <f t="shared" si="160"/>
        <v>6.6305937914510231</v>
      </c>
      <c r="AC28" s="30">
        <f t="shared" si="160"/>
        <v>6.7008378617647946</v>
      </c>
      <c r="AD28" s="30">
        <f t="shared" si="160"/>
        <v>6.771081932078566</v>
      </c>
      <c r="AE28" s="30">
        <v>6.8413260023923383</v>
      </c>
      <c r="AF28" s="30">
        <f t="shared" ref="AF28:AI28" si="161">AE28+(($AJ28-$AE28)/5)</f>
        <v>6.9096921146666439</v>
      </c>
      <c r="AG28" s="30">
        <f t="shared" si="161"/>
        <v>6.9780582269409495</v>
      </c>
      <c r="AH28" s="30">
        <f t="shared" si="161"/>
        <v>7.046424339215255</v>
      </c>
      <c r="AI28" s="30">
        <f t="shared" si="161"/>
        <v>7.1147904514895606</v>
      </c>
      <c r="AJ28" s="30">
        <v>7.1831565637638661</v>
      </c>
      <c r="AK28" s="31">
        <v>7.5257638489145684</v>
      </c>
      <c r="AL28" s="31">
        <v>1.6057573711367068</v>
      </c>
    </row>
    <row r="36" spans="1:38" x14ac:dyDescent="0.3">
      <c r="A36" t="s">
        <v>1</v>
      </c>
      <c r="B36" s="25" t="s">
        <v>118</v>
      </c>
      <c r="C36" s="26"/>
      <c r="D36" s="26"/>
      <c r="E36" s="26"/>
      <c r="F36" s="27">
        <v>2020</v>
      </c>
      <c r="G36" s="27">
        <v>2021</v>
      </c>
      <c r="H36" s="27">
        <v>2022</v>
      </c>
      <c r="I36" s="27">
        <v>2023</v>
      </c>
      <c r="J36" s="27">
        <v>2024</v>
      </c>
      <c r="K36" s="27">
        <v>2025</v>
      </c>
      <c r="L36" s="27">
        <v>2026</v>
      </c>
      <c r="M36" s="27">
        <v>2027</v>
      </c>
      <c r="N36" s="27">
        <v>2028</v>
      </c>
      <c r="O36" s="27">
        <v>2029</v>
      </c>
      <c r="P36" s="27">
        <v>2030</v>
      </c>
      <c r="Q36" s="27">
        <v>2031</v>
      </c>
      <c r="R36" s="27">
        <v>2032</v>
      </c>
      <c r="S36" s="27">
        <v>2033</v>
      </c>
      <c r="T36" s="27">
        <v>2034</v>
      </c>
      <c r="U36" s="27">
        <v>2035</v>
      </c>
      <c r="V36" s="27">
        <v>2036</v>
      </c>
      <c r="W36" s="27">
        <v>2037</v>
      </c>
      <c r="X36" s="27">
        <v>2038</v>
      </c>
      <c r="Y36" s="27">
        <v>2039</v>
      </c>
      <c r="Z36" s="27">
        <v>2040</v>
      </c>
      <c r="AA36" s="27">
        <v>2041</v>
      </c>
      <c r="AB36" s="27">
        <v>2042</v>
      </c>
      <c r="AC36" s="27">
        <v>2043</v>
      </c>
      <c r="AD36" s="27">
        <v>2044</v>
      </c>
      <c r="AE36" s="27">
        <v>2045</v>
      </c>
      <c r="AF36" s="27">
        <v>2046</v>
      </c>
      <c r="AG36" s="27">
        <v>2047</v>
      </c>
      <c r="AH36" s="27">
        <v>2048</v>
      </c>
      <c r="AI36" s="27">
        <v>2049</v>
      </c>
      <c r="AJ36" s="27">
        <v>2050</v>
      </c>
      <c r="AK36" s="27" t="s">
        <v>119</v>
      </c>
      <c r="AL36" s="27" t="s">
        <v>120</v>
      </c>
    </row>
    <row r="37" spans="1:38" x14ac:dyDescent="0.3">
      <c r="A37" t="str">
        <f>VLOOKUP(B37,'Country codes'!$A$1:$B$28,2,FALSE)</f>
        <v>AT</v>
      </c>
      <c r="B37" s="23" t="s">
        <v>90</v>
      </c>
      <c r="C37" s="24" t="s">
        <v>121</v>
      </c>
      <c r="D37" s="28" t="s">
        <v>125</v>
      </c>
      <c r="E37" s="29" t="s">
        <v>123</v>
      </c>
      <c r="F37" s="30">
        <v>20.681094290348305</v>
      </c>
      <c r="G37" s="30">
        <f>F37+(($K37-$F37)/5)</f>
        <v>21.481602528705086</v>
      </c>
      <c r="H37" s="30">
        <f t="shared" ref="H37:J37" si="162">G37+(($K37-$F37)/5)</f>
        <v>22.282110767061866</v>
      </c>
      <c r="I37" s="30">
        <f t="shared" si="162"/>
        <v>23.082619005418646</v>
      </c>
      <c r="J37" s="30">
        <f t="shared" si="162"/>
        <v>23.883127243775427</v>
      </c>
      <c r="K37" s="30">
        <v>24.683635482132214</v>
      </c>
      <c r="L37" s="30">
        <f>K37+(($P37-$K37)/5)</f>
        <v>25.344467948947315</v>
      </c>
      <c r="M37" s="30">
        <f t="shared" ref="M37:O37" si="163">L37+(($P37-$K37)/5)</f>
        <v>26.005300415762417</v>
      </c>
      <c r="N37" s="30">
        <f t="shared" si="163"/>
        <v>26.666132882577518</v>
      </c>
      <c r="O37" s="30">
        <f t="shared" si="163"/>
        <v>27.326965349392619</v>
      </c>
      <c r="P37" s="30">
        <v>27.987797816207721</v>
      </c>
      <c r="Q37" s="30">
        <f>P37+(($U37-$P37)/5)</f>
        <v>28.569180688208796</v>
      </c>
      <c r="R37" s="30">
        <f t="shared" ref="R37:T37" si="164">Q37+(($U37-$P37)/5)</f>
        <v>29.150563560209871</v>
      </c>
      <c r="S37" s="30">
        <f t="shared" si="164"/>
        <v>29.731946432210947</v>
      </c>
      <c r="T37" s="30">
        <f t="shared" si="164"/>
        <v>30.313329304212022</v>
      </c>
      <c r="U37" s="30">
        <v>30.894712176213105</v>
      </c>
      <c r="V37" s="30">
        <f>U37+(($Z37-$U37)/5)</f>
        <v>31.476953258173587</v>
      </c>
      <c r="W37" s="30">
        <f t="shared" ref="W37:Y37" si="165">V37+(($Z37-$U37)/5)</f>
        <v>32.05919434013407</v>
      </c>
      <c r="X37" s="30">
        <f t="shared" si="165"/>
        <v>32.641435422094553</v>
      </c>
      <c r="Y37" s="30">
        <f t="shared" si="165"/>
        <v>33.223676504055035</v>
      </c>
      <c r="Z37" s="30">
        <v>33.805917586015525</v>
      </c>
      <c r="AA37" s="30">
        <f>Z37+(($AE37-$Z37)/5)</f>
        <v>34.321714507399683</v>
      </c>
      <c r="AB37" s="30">
        <f t="shared" ref="AB37:AD37" si="166">AA37+(($AE37-$Z37)/5)</f>
        <v>34.837511428783841</v>
      </c>
      <c r="AC37" s="30">
        <f t="shared" si="166"/>
        <v>35.353308350168</v>
      </c>
      <c r="AD37" s="30">
        <f t="shared" si="166"/>
        <v>35.869105271552158</v>
      </c>
      <c r="AE37" s="30">
        <v>36.38490219293633</v>
      </c>
      <c r="AF37" s="30">
        <f>AE37+(($AJ37-$AE37)/5)</f>
        <v>36.839218140622471</v>
      </c>
      <c r="AG37" s="30">
        <f t="shared" ref="AG37:AI37" si="167">AF37+(($AJ37-$AE37)/5)</f>
        <v>37.293534088308611</v>
      </c>
      <c r="AH37" s="30">
        <f t="shared" si="167"/>
        <v>37.747850035994752</v>
      </c>
      <c r="AI37" s="30">
        <f t="shared" si="167"/>
        <v>38.202165983680892</v>
      </c>
      <c r="AJ37" s="30">
        <v>38.656481931367018</v>
      </c>
      <c r="AK37" s="31">
        <v>3.0717195174601475</v>
      </c>
      <c r="AL37" s="31">
        <v>1.6278364385895472</v>
      </c>
    </row>
    <row r="38" spans="1:38" x14ac:dyDescent="0.3">
      <c r="A38" t="str">
        <f>VLOOKUP(B38,'Country codes'!$A$1:$B$28,2,FALSE)</f>
        <v>BE</v>
      </c>
      <c r="B38" s="23" t="s">
        <v>91</v>
      </c>
      <c r="C38" s="24" t="s">
        <v>121</v>
      </c>
      <c r="D38" s="28" t="s">
        <v>125</v>
      </c>
      <c r="E38" s="29" t="s">
        <v>123</v>
      </c>
      <c r="F38" s="30">
        <v>6.6066266994475145</v>
      </c>
      <c r="G38" s="30">
        <f t="shared" ref="G38:J38" si="168">F38+(($K38-$F38)/5)</f>
        <v>6.9736464503894213</v>
      </c>
      <c r="H38" s="30">
        <f t="shared" si="168"/>
        <v>7.3406662013313282</v>
      </c>
      <c r="I38" s="30">
        <f t="shared" si="168"/>
        <v>7.7076859522732351</v>
      </c>
      <c r="J38" s="30">
        <f t="shared" si="168"/>
        <v>8.074705703215141</v>
      </c>
      <c r="K38" s="30">
        <v>8.4417254541570479</v>
      </c>
      <c r="L38" s="30">
        <f t="shared" ref="L38:O38" si="169">K38+(($P38-$K38)/5)</f>
        <v>8.7329107579398251</v>
      </c>
      <c r="M38" s="30">
        <f t="shared" si="169"/>
        <v>9.0240960617226023</v>
      </c>
      <c r="N38" s="30">
        <f t="shared" si="169"/>
        <v>9.3152813655053794</v>
      </c>
      <c r="O38" s="30">
        <f t="shared" si="169"/>
        <v>9.6064666692881566</v>
      </c>
      <c r="P38" s="30">
        <v>9.897651973070932</v>
      </c>
      <c r="Q38" s="30">
        <f t="shared" ref="Q38:T38" si="170">P38+(($U38-$P38)/5)</f>
        <v>10.095647231469947</v>
      </c>
      <c r="R38" s="30">
        <f t="shared" si="170"/>
        <v>10.293642489868962</v>
      </c>
      <c r="S38" s="30">
        <f t="shared" si="170"/>
        <v>10.491637748267976</v>
      </c>
      <c r="T38" s="30">
        <f t="shared" si="170"/>
        <v>10.689633006666991</v>
      </c>
      <c r="U38" s="30">
        <v>10.887628265066008</v>
      </c>
      <c r="V38" s="30">
        <f t="shared" ref="V38:Y38" si="171">U38+(($Z38-$U38)/5)</f>
        <v>11.040646979050145</v>
      </c>
      <c r="W38" s="30">
        <f t="shared" si="171"/>
        <v>11.193665693034282</v>
      </c>
      <c r="X38" s="30">
        <f t="shared" si="171"/>
        <v>11.346684407018419</v>
      </c>
      <c r="Y38" s="30">
        <f t="shared" si="171"/>
        <v>11.499703121002556</v>
      </c>
      <c r="Z38" s="30">
        <v>11.652721834986689</v>
      </c>
      <c r="AA38" s="30">
        <f t="shared" ref="AA38:AD38" si="172">Z38+(($AE38-$Z38)/5)</f>
        <v>11.826197261507888</v>
      </c>
      <c r="AB38" s="30">
        <f t="shared" si="172"/>
        <v>11.999672688029086</v>
      </c>
      <c r="AC38" s="30">
        <f t="shared" si="172"/>
        <v>12.173148114550285</v>
      </c>
      <c r="AD38" s="30">
        <f t="shared" si="172"/>
        <v>12.346623541071484</v>
      </c>
      <c r="AE38" s="30">
        <v>12.520098967592679</v>
      </c>
      <c r="AF38" s="30">
        <f t="shared" ref="AF38:AI38" si="173">AE38+(($AJ38-$AE38)/5)</f>
        <v>12.695182943123651</v>
      </c>
      <c r="AG38" s="30">
        <f t="shared" si="173"/>
        <v>12.870266918654623</v>
      </c>
      <c r="AH38" s="30">
        <f t="shared" si="173"/>
        <v>13.045350894185596</v>
      </c>
      <c r="AI38" s="30">
        <f t="shared" si="173"/>
        <v>13.220434869716568</v>
      </c>
      <c r="AJ38" s="30">
        <v>13.39551884524754</v>
      </c>
      <c r="AK38" s="31">
        <v>4.1250543417792107</v>
      </c>
      <c r="AL38" s="31">
        <v>1.524618927824295</v>
      </c>
    </row>
    <row r="39" spans="1:38" x14ac:dyDescent="0.3">
      <c r="A39" t="str">
        <f>VLOOKUP(B39,'Country codes'!$A$1:$B$28,2,FALSE)</f>
        <v>BG</v>
      </c>
      <c r="B39" s="23" t="s">
        <v>92</v>
      </c>
      <c r="C39" s="24" t="s">
        <v>121</v>
      </c>
      <c r="D39" s="28" t="s">
        <v>125</v>
      </c>
      <c r="E39" s="29" t="s">
        <v>123</v>
      </c>
      <c r="F39" s="30">
        <v>3.8016105150590542</v>
      </c>
      <c r="G39" s="30">
        <f t="shared" ref="G39:J39" si="174">F39+(($K39-$F39)/5)</f>
        <v>3.9684493339401747</v>
      </c>
      <c r="H39" s="30">
        <f t="shared" si="174"/>
        <v>4.1352881528212952</v>
      </c>
      <c r="I39" s="30">
        <f t="shared" si="174"/>
        <v>4.3021269717024158</v>
      </c>
      <c r="J39" s="30">
        <f t="shared" si="174"/>
        <v>4.4689657905835363</v>
      </c>
      <c r="K39" s="30">
        <v>4.6358046094646577</v>
      </c>
      <c r="L39" s="30">
        <f t="shared" ref="L39:O39" si="175">K39+(($P39-$K39)/5)</f>
        <v>4.7753645340090989</v>
      </c>
      <c r="M39" s="30">
        <f t="shared" si="175"/>
        <v>4.9149244585535401</v>
      </c>
      <c r="N39" s="30">
        <f t="shared" si="175"/>
        <v>5.0544843830979813</v>
      </c>
      <c r="O39" s="30">
        <f t="shared" si="175"/>
        <v>5.1940443076424225</v>
      </c>
      <c r="P39" s="30">
        <v>5.3336042321868637</v>
      </c>
      <c r="Q39" s="30">
        <f t="shared" ref="Q39:T39" si="176">P39+(($U39-$P39)/5)</f>
        <v>5.4554818237827627</v>
      </c>
      <c r="R39" s="30">
        <f t="shared" si="176"/>
        <v>5.5773594153786616</v>
      </c>
      <c r="S39" s="30">
        <f t="shared" si="176"/>
        <v>5.6992370069745606</v>
      </c>
      <c r="T39" s="30">
        <f t="shared" si="176"/>
        <v>5.8211145985704595</v>
      </c>
      <c r="U39" s="30">
        <v>5.9429921901663603</v>
      </c>
      <c r="V39" s="30">
        <f t="shared" ref="V39:Y39" si="177">U39+(($Z39-$U39)/5)</f>
        <v>6.0959644343066657</v>
      </c>
      <c r="W39" s="30">
        <f t="shared" si="177"/>
        <v>6.2489366784469711</v>
      </c>
      <c r="X39" s="30">
        <f t="shared" si="177"/>
        <v>6.4019089225872765</v>
      </c>
      <c r="Y39" s="30">
        <f t="shared" si="177"/>
        <v>6.5548811667275819</v>
      </c>
      <c r="Z39" s="30">
        <v>6.7078534108678864</v>
      </c>
      <c r="AA39" s="30">
        <f t="shared" ref="AA39:AD39" si="178">Z39+(($AE39-$Z39)/5)</f>
        <v>6.8213583110155005</v>
      </c>
      <c r="AB39" s="30">
        <f t="shared" si="178"/>
        <v>6.9348632111631145</v>
      </c>
      <c r="AC39" s="30">
        <f t="shared" si="178"/>
        <v>7.0483681113107286</v>
      </c>
      <c r="AD39" s="30">
        <f t="shared" si="178"/>
        <v>7.1618730114583427</v>
      </c>
      <c r="AE39" s="30">
        <v>7.2753779116059567</v>
      </c>
      <c r="AF39" s="30">
        <f t="shared" ref="AF39:AI39" si="179">AE39+(($AJ39-$AE39)/5)</f>
        <v>7.3942960215158227</v>
      </c>
      <c r="AG39" s="30">
        <f t="shared" si="179"/>
        <v>7.5132141314256886</v>
      </c>
      <c r="AH39" s="30">
        <f t="shared" si="179"/>
        <v>7.6321322413355546</v>
      </c>
      <c r="AI39" s="30">
        <f t="shared" si="179"/>
        <v>7.7510503512454205</v>
      </c>
      <c r="AJ39" s="30">
        <v>7.8699684611552856</v>
      </c>
      <c r="AK39" s="31">
        <v>3.4440026299317195</v>
      </c>
      <c r="AL39" s="31">
        <v>1.9641751370914839</v>
      </c>
    </row>
    <row r="40" spans="1:38" x14ac:dyDescent="0.3">
      <c r="A40" t="str">
        <f>VLOOKUP(B40,'Country codes'!$A$1:$B$28,2,FALSE)</f>
        <v>CY</v>
      </c>
      <c r="B40" s="23" t="s">
        <v>93</v>
      </c>
      <c r="C40" s="24" t="s">
        <v>121</v>
      </c>
      <c r="D40" s="28" t="s">
        <v>125</v>
      </c>
      <c r="E40" s="29" t="s">
        <v>123</v>
      </c>
      <c r="F40" s="30">
        <v>0</v>
      </c>
      <c r="G40" s="30">
        <f t="shared" ref="G40:J40" si="180">F40+(($K40-$F40)/5)</f>
        <v>0</v>
      </c>
      <c r="H40" s="30">
        <f t="shared" si="180"/>
        <v>0</v>
      </c>
      <c r="I40" s="30">
        <f t="shared" si="180"/>
        <v>0</v>
      </c>
      <c r="J40" s="30">
        <f t="shared" si="180"/>
        <v>0</v>
      </c>
      <c r="K40" s="30">
        <v>0</v>
      </c>
      <c r="L40" s="30">
        <f t="shared" ref="L40:O40" si="181">K40+(($P40-$K40)/5)</f>
        <v>0</v>
      </c>
      <c r="M40" s="30">
        <f t="shared" si="181"/>
        <v>0</v>
      </c>
      <c r="N40" s="30">
        <f t="shared" si="181"/>
        <v>0</v>
      </c>
      <c r="O40" s="30">
        <f t="shared" si="181"/>
        <v>0</v>
      </c>
      <c r="P40" s="30">
        <v>0</v>
      </c>
      <c r="Q40" s="30">
        <f t="shared" ref="Q40:T40" si="182">P40+(($U40-$P40)/5)</f>
        <v>0</v>
      </c>
      <c r="R40" s="30">
        <f t="shared" si="182"/>
        <v>0</v>
      </c>
      <c r="S40" s="30">
        <f t="shared" si="182"/>
        <v>0</v>
      </c>
      <c r="T40" s="30">
        <f t="shared" si="182"/>
        <v>0</v>
      </c>
      <c r="U40" s="30">
        <v>0</v>
      </c>
      <c r="V40" s="30">
        <f t="shared" ref="V40:Y40" si="183">U40+(($Z40-$U40)/5)</f>
        <v>0</v>
      </c>
      <c r="W40" s="30">
        <f t="shared" si="183"/>
        <v>0</v>
      </c>
      <c r="X40" s="30">
        <f t="shared" si="183"/>
        <v>0</v>
      </c>
      <c r="Y40" s="30">
        <f t="shared" si="183"/>
        <v>0</v>
      </c>
      <c r="Z40" s="30">
        <v>0</v>
      </c>
      <c r="AA40" s="30">
        <f t="shared" ref="AA40:AD40" si="184">Z40+(($AE40-$Z40)/5)</f>
        <v>0</v>
      </c>
      <c r="AB40" s="30">
        <f t="shared" si="184"/>
        <v>0</v>
      </c>
      <c r="AC40" s="30">
        <f t="shared" si="184"/>
        <v>0</v>
      </c>
      <c r="AD40" s="30">
        <f t="shared" si="184"/>
        <v>0</v>
      </c>
      <c r="AE40" s="30">
        <v>0</v>
      </c>
      <c r="AF40" s="30">
        <f t="shared" ref="AF40:AI40" si="185">AE40+(($AJ40-$AE40)/5)</f>
        <v>0</v>
      </c>
      <c r="AG40" s="30">
        <f t="shared" si="185"/>
        <v>0</v>
      </c>
      <c r="AH40" s="30">
        <f t="shared" si="185"/>
        <v>0</v>
      </c>
      <c r="AI40" s="30">
        <f t="shared" si="185"/>
        <v>0</v>
      </c>
      <c r="AJ40" s="30">
        <v>0</v>
      </c>
      <c r="AK40" s="31" t="s">
        <v>124</v>
      </c>
      <c r="AL40" s="31" t="s">
        <v>124</v>
      </c>
    </row>
    <row r="41" spans="1:38" x14ac:dyDescent="0.3">
      <c r="A41" t="str">
        <f>VLOOKUP(B41,'Country codes'!$A$1:$B$28,2,FALSE)</f>
        <v>CZ</v>
      </c>
      <c r="B41" s="23" t="s">
        <v>94</v>
      </c>
      <c r="C41" s="24" t="s">
        <v>121</v>
      </c>
      <c r="D41" s="28" t="s">
        <v>125</v>
      </c>
      <c r="E41" s="29" t="s">
        <v>123</v>
      </c>
      <c r="F41" s="30">
        <v>15.014658963874185</v>
      </c>
      <c r="G41" s="30">
        <f t="shared" ref="G41:J41" si="186">F41+(($K41-$F41)/5)</f>
        <v>15.643123877623044</v>
      </c>
      <c r="H41" s="30">
        <f t="shared" si="186"/>
        <v>16.271588791371904</v>
      </c>
      <c r="I41" s="30">
        <f t="shared" si="186"/>
        <v>16.900053705120762</v>
      </c>
      <c r="J41" s="30">
        <f t="shared" si="186"/>
        <v>17.528518618869619</v>
      </c>
      <c r="K41" s="30">
        <v>18.156983532618479</v>
      </c>
      <c r="L41" s="30">
        <f t="shared" ref="L41:O41" si="187">K41+(($P41-$K41)/5)</f>
        <v>18.695533275743038</v>
      </c>
      <c r="M41" s="30">
        <f t="shared" si="187"/>
        <v>19.234083018867597</v>
      </c>
      <c r="N41" s="30">
        <f t="shared" si="187"/>
        <v>19.772632761992156</v>
      </c>
      <c r="O41" s="30">
        <f t="shared" si="187"/>
        <v>20.311182505116715</v>
      </c>
      <c r="P41" s="30">
        <v>20.849732248241278</v>
      </c>
      <c r="Q41" s="30">
        <f t="shared" ref="Q41:T41" si="188">P41+(($U41-$P41)/5)</f>
        <v>21.255644632411165</v>
      </c>
      <c r="R41" s="30">
        <f t="shared" si="188"/>
        <v>21.661557016581053</v>
      </c>
      <c r="S41" s="30">
        <f t="shared" si="188"/>
        <v>22.067469400750941</v>
      </c>
      <c r="T41" s="30">
        <f t="shared" si="188"/>
        <v>22.473381784920829</v>
      </c>
      <c r="U41" s="30">
        <v>22.879294169090723</v>
      </c>
      <c r="V41" s="30">
        <f t="shared" ref="V41:Y41" si="189">U41+(($Z41-$U41)/5)</f>
        <v>23.218945600931818</v>
      </c>
      <c r="W41" s="30">
        <f t="shared" si="189"/>
        <v>23.558597032772912</v>
      </c>
      <c r="X41" s="30">
        <f t="shared" si="189"/>
        <v>23.898248464614007</v>
      </c>
      <c r="Y41" s="30">
        <f t="shared" si="189"/>
        <v>24.237899896455101</v>
      </c>
      <c r="Z41" s="30">
        <v>24.577551328296195</v>
      </c>
      <c r="AA41" s="30">
        <f t="shared" ref="AA41:AD41" si="190">Z41+(($AE41-$Z41)/5)</f>
        <v>24.834374589547277</v>
      </c>
      <c r="AB41" s="30">
        <f t="shared" si="190"/>
        <v>25.091197850798359</v>
      </c>
      <c r="AC41" s="30">
        <f t="shared" si="190"/>
        <v>25.348021112049441</v>
      </c>
      <c r="AD41" s="30">
        <f t="shared" si="190"/>
        <v>25.604844373300523</v>
      </c>
      <c r="AE41" s="30">
        <v>25.861667634551608</v>
      </c>
      <c r="AF41" s="30">
        <f t="shared" ref="AF41:AI41" si="191">AE41+(($AJ41-$AE41)/5)</f>
        <v>26.071404136972578</v>
      </c>
      <c r="AG41" s="30">
        <f t="shared" si="191"/>
        <v>26.281140639393548</v>
      </c>
      <c r="AH41" s="30">
        <f t="shared" si="191"/>
        <v>26.490877141814519</v>
      </c>
      <c r="AI41" s="30">
        <f t="shared" si="191"/>
        <v>26.700613644235489</v>
      </c>
      <c r="AJ41" s="30">
        <v>26.910350146656466</v>
      </c>
      <c r="AK41" s="31">
        <v>3.3376309524186798</v>
      </c>
      <c r="AL41" s="31">
        <v>1.2840230324742574</v>
      </c>
    </row>
    <row r="42" spans="1:38" x14ac:dyDescent="0.3">
      <c r="A42" t="str">
        <f>VLOOKUP(B42,'Country codes'!$A$1:$B$28,2,FALSE)</f>
        <v>DE</v>
      </c>
      <c r="B42" s="23" t="s">
        <v>95</v>
      </c>
      <c r="C42" s="24" t="s">
        <v>121</v>
      </c>
      <c r="D42" s="28" t="s">
        <v>125</v>
      </c>
      <c r="E42" s="29" t="s">
        <v>123</v>
      </c>
      <c r="F42" s="30">
        <v>105.10042745176469</v>
      </c>
      <c r="G42" s="30">
        <f t="shared" ref="G42:J42" si="192">F42+(($K42-$F42)/5)</f>
        <v>110.03923795724663</v>
      </c>
      <c r="H42" s="30">
        <f t="shared" si="192"/>
        <v>114.97804846272857</v>
      </c>
      <c r="I42" s="30">
        <f t="shared" si="192"/>
        <v>119.91685896821051</v>
      </c>
      <c r="J42" s="30">
        <f t="shared" si="192"/>
        <v>124.85566947369244</v>
      </c>
      <c r="K42" s="30">
        <v>129.79447997917441</v>
      </c>
      <c r="L42" s="30">
        <f t="shared" ref="L42:O42" si="193">K42+(($P42-$K42)/5)</f>
        <v>133.75696154778743</v>
      </c>
      <c r="M42" s="30">
        <f t="shared" si="193"/>
        <v>137.71944311640044</v>
      </c>
      <c r="N42" s="30">
        <f t="shared" si="193"/>
        <v>141.68192468501346</v>
      </c>
      <c r="O42" s="30">
        <f t="shared" si="193"/>
        <v>145.64440625362647</v>
      </c>
      <c r="P42" s="30">
        <v>149.60688782223946</v>
      </c>
      <c r="Q42" s="30">
        <f t="shared" ref="Q42:T42" si="194">P42+(($U42-$P42)/5)</f>
        <v>152.37205559229011</v>
      </c>
      <c r="R42" s="30">
        <f t="shared" si="194"/>
        <v>155.13722336234076</v>
      </c>
      <c r="S42" s="30">
        <f t="shared" si="194"/>
        <v>157.90239113239141</v>
      </c>
      <c r="T42" s="30">
        <f t="shared" si="194"/>
        <v>160.66755890244207</v>
      </c>
      <c r="U42" s="30">
        <v>163.43272667249266</v>
      </c>
      <c r="V42" s="30">
        <f t="shared" ref="V42:Y42" si="195">U42+(($Z42-$U42)/5)</f>
        <v>165.86411686538463</v>
      </c>
      <c r="W42" s="30">
        <f t="shared" si="195"/>
        <v>168.2955070582766</v>
      </c>
      <c r="X42" s="30">
        <f t="shared" si="195"/>
        <v>170.72689725116857</v>
      </c>
      <c r="Y42" s="30">
        <f t="shared" si="195"/>
        <v>173.15828744406053</v>
      </c>
      <c r="Z42" s="30">
        <v>175.58967763695247</v>
      </c>
      <c r="AA42" s="30">
        <f t="shared" ref="AA42:AD42" si="196">Z42+(($AE42-$Z42)/5)</f>
        <v>177.73371394989471</v>
      </c>
      <c r="AB42" s="30">
        <f t="shared" si="196"/>
        <v>179.87775026283694</v>
      </c>
      <c r="AC42" s="30">
        <f t="shared" si="196"/>
        <v>182.02178657577917</v>
      </c>
      <c r="AD42" s="30">
        <f t="shared" si="196"/>
        <v>184.16582288872141</v>
      </c>
      <c r="AE42" s="30">
        <v>186.30985920166367</v>
      </c>
      <c r="AF42" s="30">
        <f t="shared" ref="AF42:AI42" si="197">AE42+(($AJ42-$AE42)/5)</f>
        <v>188.49467873608663</v>
      </c>
      <c r="AG42" s="30">
        <f t="shared" si="197"/>
        <v>190.67949827050958</v>
      </c>
      <c r="AH42" s="30">
        <f t="shared" si="197"/>
        <v>192.86431780493254</v>
      </c>
      <c r="AI42" s="30">
        <f t="shared" si="197"/>
        <v>195.0491373393555</v>
      </c>
      <c r="AJ42" s="30">
        <v>197.2339568737784</v>
      </c>
      <c r="AK42" s="31">
        <v>3.5940257957406851</v>
      </c>
      <c r="AL42" s="31">
        <v>1.3914899209977571</v>
      </c>
    </row>
    <row r="43" spans="1:38" x14ac:dyDescent="0.3">
      <c r="A43" t="str">
        <f>VLOOKUP(B43,'Country codes'!$A$1:$B$28,2,FALSE)</f>
        <v>DK</v>
      </c>
      <c r="B43" s="23" t="s">
        <v>96</v>
      </c>
      <c r="C43" s="24" t="s">
        <v>121</v>
      </c>
      <c r="D43" s="28" t="s">
        <v>125</v>
      </c>
      <c r="E43" s="29" t="s">
        <v>123</v>
      </c>
      <c r="F43" s="30">
        <v>2.4448704812499829</v>
      </c>
      <c r="G43" s="30">
        <f t="shared" ref="G43:J43" si="198">F43+(($K43-$F43)/5)</f>
        <v>2.5510370646035452</v>
      </c>
      <c r="H43" s="30">
        <f t="shared" si="198"/>
        <v>2.6572036479571075</v>
      </c>
      <c r="I43" s="30">
        <f t="shared" si="198"/>
        <v>2.7633702313106698</v>
      </c>
      <c r="J43" s="30">
        <f t="shared" si="198"/>
        <v>2.8695368146642322</v>
      </c>
      <c r="K43" s="30">
        <v>2.9757033980177936</v>
      </c>
      <c r="L43" s="30">
        <f t="shared" ref="L43:O43" si="199">K43+(($P43-$K43)/5)</f>
        <v>3.0585719146317869</v>
      </c>
      <c r="M43" s="30">
        <f t="shared" si="199"/>
        <v>3.1414404312457802</v>
      </c>
      <c r="N43" s="30">
        <f t="shared" si="199"/>
        <v>3.2243089478597735</v>
      </c>
      <c r="O43" s="30">
        <f t="shared" si="199"/>
        <v>3.3071774644737668</v>
      </c>
      <c r="P43" s="30">
        <v>3.3900459810877592</v>
      </c>
      <c r="Q43" s="30">
        <f t="shared" ref="Q43:T43" si="200">P43+(($U43-$P43)/5)</f>
        <v>3.4477571223290737</v>
      </c>
      <c r="R43" s="30">
        <f t="shared" si="200"/>
        <v>3.5054682635703882</v>
      </c>
      <c r="S43" s="30">
        <f t="shared" si="200"/>
        <v>3.5631794048117027</v>
      </c>
      <c r="T43" s="30">
        <f t="shared" si="200"/>
        <v>3.6208905460530172</v>
      </c>
      <c r="U43" s="30">
        <v>3.6786016872943312</v>
      </c>
      <c r="V43" s="30">
        <f t="shared" ref="V43:Y43" si="201">U43+(($Z43-$U43)/5)</f>
        <v>3.7161127550589064</v>
      </c>
      <c r="W43" s="30">
        <f t="shared" si="201"/>
        <v>3.7536238228234815</v>
      </c>
      <c r="X43" s="30">
        <f t="shared" si="201"/>
        <v>3.7911348905880566</v>
      </c>
      <c r="Y43" s="30">
        <f t="shared" si="201"/>
        <v>3.8286459583526318</v>
      </c>
      <c r="Z43" s="30">
        <v>3.8661570261172065</v>
      </c>
      <c r="AA43" s="30">
        <f t="shared" ref="AA43:AD43" si="202">Z43+(($AE43-$Z43)/5)</f>
        <v>3.9073347808722163</v>
      </c>
      <c r="AB43" s="30">
        <f t="shared" si="202"/>
        <v>3.9485125356272261</v>
      </c>
      <c r="AC43" s="30">
        <f t="shared" si="202"/>
        <v>3.989690290382236</v>
      </c>
      <c r="AD43" s="30">
        <f t="shared" si="202"/>
        <v>4.0308680451372458</v>
      </c>
      <c r="AE43" s="30">
        <v>4.0720457998922557</v>
      </c>
      <c r="AF43" s="30">
        <f t="shared" ref="AF43:AI43" si="203">AE43+(($AJ43-$AE43)/5)</f>
        <v>4.1030072483202593</v>
      </c>
      <c r="AG43" s="30">
        <f t="shared" si="203"/>
        <v>4.1339686967482629</v>
      </c>
      <c r="AH43" s="30">
        <f t="shared" si="203"/>
        <v>4.1649301451762666</v>
      </c>
      <c r="AI43" s="30">
        <f t="shared" si="203"/>
        <v>4.1958915936042702</v>
      </c>
      <c r="AJ43" s="30">
        <v>4.2268530420322756</v>
      </c>
      <c r="AK43" s="31">
        <v>3.3225160175689883</v>
      </c>
      <c r="AL43" s="31">
        <v>1.10917761069802</v>
      </c>
    </row>
    <row r="44" spans="1:38" x14ac:dyDescent="0.3">
      <c r="A44" t="str">
        <f>VLOOKUP(B44,'Country codes'!$A$1:$B$28,2,FALSE)</f>
        <v>EE</v>
      </c>
      <c r="B44" s="23" t="s">
        <v>97</v>
      </c>
      <c r="C44" s="24" t="s">
        <v>121</v>
      </c>
      <c r="D44" s="28" t="s">
        <v>125</v>
      </c>
      <c r="E44" s="29" t="s">
        <v>123</v>
      </c>
      <c r="F44" s="30">
        <v>2.5674541255773935</v>
      </c>
      <c r="G44" s="30">
        <f t="shared" ref="G44:J44" si="204">F44+(($K44-$F44)/5)</f>
        <v>2.7683744107141921</v>
      </c>
      <c r="H44" s="30">
        <f t="shared" si="204"/>
        <v>2.9692946958509907</v>
      </c>
      <c r="I44" s="30">
        <f t="shared" si="204"/>
        <v>3.1702149809877893</v>
      </c>
      <c r="J44" s="30">
        <f t="shared" si="204"/>
        <v>3.3711352661245879</v>
      </c>
      <c r="K44" s="30">
        <v>3.5720555512613856</v>
      </c>
      <c r="L44" s="30">
        <f t="shared" ref="L44:O44" si="205">K44+(($P44-$K44)/5)</f>
        <v>3.7562855371206698</v>
      </c>
      <c r="M44" s="30">
        <f t="shared" si="205"/>
        <v>3.940515522979954</v>
      </c>
      <c r="N44" s="30">
        <f t="shared" si="205"/>
        <v>4.1247455088392382</v>
      </c>
      <c r="O44" s="30">
        <f t="shared" si="205"/>
        <v>4.3089754946985224</v>
      </c>
      <c r="P44" s="30">
        <v>4.4932054805578066</v>
      </c>
      <c r="Q44" s="30">
        <f t="shared" ref="Q44:T44" si="206">P44+(($U44-$P44)/5)</f>
        <v>4.635904621982271</v>
      </c>
      <c r="R44" s="30">
        <f t="shared" si="206"/>
        <v>4.7786037634067355</v>
      </c>
      <c r="S44" s="30">
        <f t="shared" si="206"/>
        <v>4.9213029048312</v>
      </c>
      <c r="T44" s="30">
        <f t="shared" si="206"/>
        <v>5.0640020462556645</v>
      </c>
      <c r="U44" s="30">
        <v>5.2067011876801299</v>
      </c>
      <c r="V44" s="30">
        <f t="shared" ref="V44:Y44" si="207">U44+(($Z44-$U44)/5)</f>
        <v>5.3283462924735492</v>
      </c>
      <c r="W44" s="30">
        <f t="shared" si="207"/>
        <v>5.4499913972669685</v>
      </c>
      <c r="X44" s="30">
        <f t="shared" si="207"/>
        <v>5.5716365020603877</v>
      </c>
      <c r="Y44" s="30">
        <f t="shared" si="207"/>
        <v>5.693281606853807</v>
      </c>
      <c r="Z44" s="30">
        <v>5.8149267116472263</v>
      </c>
      <c r="AA44" s="30">
        <f t="shared" ref="AA44:AD44" si="208">Z44+(($AE44-$Z44)/5)</f>
        <v>5.9119242640663199</v>
      </c>
      <c r="AB44" s="30">
        <f t="shared" si="208"/>
        <v>6.0089218164854135</v>
      </c>
      <c r="AC44" s="30">
        <f t="shared" si="208"/>
        <v>6.105919368904507</v>
      </c>
      <c r="AD44" s="30">
        <f t="shared" si="208"/>
        <v>6.2029169213236006</v>
      </c>
      <c r="AE44" s="30">
        <v>6.299914473742696</v>
      </c>
      <c r="AF44" s="30">
        <f t="shared" ref="AF44:AI44" si="209">AE44+(($AJ44-$AE44)/5)</f>
        <v>6.3981577927912099</v>
      </c>
      <c r="AG44" s="30">
        <f t="shared" si="209"/>
        <v>6.4964011118397238</v>
      </c>
      <c r="AH44" s="30">
        <f t="shared" si="209"/>
        <v>6.5946444308882377</v>
      </c>
      <c r="AI44" s="30">
        <f t="shared" si="209"/>
        <v>6.6928877499367516</v>
      </c>
      <c r="AJ44" s="30">
        <v>6.7911310689852655</v>
      </c>
      <c r="AK44" s="31">
        <v>5.7560834208388423</v>
      </c>
      <c r="AL44" s="31">
        <v>2.0867297010895625</v>
      </c>
    </row>
    <row r="45" spans="1:38" x14ac:dyDescent="0.3">
      <c r="A45" t="str">
        <f>VLOOKUP(B45,'Country codes'!$A$1:$B$28,2,FALSE)</f>
        <v>ES</v>
      </c>
      <c r="B45" s="23" t="s">
        <v>98</v>
      </c>
      <c r="C45" s="24" t="s">
        <v>121</v>
      </c>
      <c r="D45" s="28" t="s">
        <v>125</v>
      </c>
      <c r="E45" s="29" t="s">
        <v>123</v>
      </c>
      <c r="F45" s="30">
        <v>9.8826705463538502</v>
      </c>
      <c r="G45" s="30">
        <f t="shared" ref="G45:J45" si="210">F45+(($K45-$F45)/5)</f>
        <v>10.289991578511856</v>
      </c>
      <c r="H45" s="30">
        <f t="shared" si="210"/>
        <v>10.697312610669861</v>
      </c>
      <c r="I45" s="30">
        <f t="shared" si="210"/>
        <v>11.104633642827867</v>
      </c>
      <c r="J45" s="30">
        <f t="shared" si="210"/>
        <v>11.511954674985873</v>
      </c>
      <c r="K45" s="30">
        <v>11.919275707143875</v>
      </c>
      <c r="L45" s="30">
        <f t="shared" ref="L45:O45" si="211">K45+(($P45-$K45)/5)</f>
        <v>12.177525966541946</v>
      </c>
      <c r="M45" s="30">
        <f t="shared" si="211"/>
        <v>12.435776225940018</v>
      </c>
      <c r="N45" s="30">
        <f t="shared" si="211"/>
        <v>12.694026485338089</v>
      </c>
      <c r="O45" s="30">
        <f t="shared" si="211"/>
        <v>12.95227674473616</v>
      </c>
      <c r="P45" s="30">
        <v>13.21052700413423</v>
      </c>
      <c r="Q45" s="30">
        <f t="shared" ref="Q45:T45" si="212">P45+(($U45-$P45)/5)</f>
        <v>13.397104594801338</v>
      </c>
      <c r="R45" s="30">
        <f t="shared" si="212"/>
        <v>13.583682185468446</v>
      </c>
      <c r="S45" s="30">
        <f t="shared" si="212"/>
        <v>13.770259776135553</v>
      </c>
      <c r="T45" s="30">
        <f t="shared" si="212"/>
        <v>13.956837366802661</v>
      </c>
      <c r="U45" s="30">
        <v>14.143414957469767</v>
      </c>
      <c r="V45" s="30">
        <f t="shared" ref="V45:Y45" si="213">U45+(($Z45-$U45)/5)</f>
        <v>14.307136238917003</v>
      </c>
      <c r="W45" s="30">
        <f t="shared" si="213"/>
        <v>14.470857520364239</v>
      </c>
      <c r="X45" s="30">
        <f t="shared" si="213"/>
        <v>14.634578801811475</v>
      </c>
      <c r="Y45" s="30">
        <f t="shared" si="213"/>
        <v>14.798300083258711</v>
      </c>
      <c r="Z45" s="30">
        <v>14.962021364705949</v>
      </c>
      <c r="AA45" s="30">
        <f t="shared" ref="AA45:AD45" si="214">Z45+(($AE45-$Z45)/5)</f>
        <v>15.119332920407805</v>
      </c>
      <c r="AB45" s="30">
        <f t="shared" si="214"/>
        <v>15.276644476109661</v>
      </c>
      <c r="AC45" s="30">
        <f t="shared" si="214"/>
        <v>15.433956031811517</v>
      </c>
      <c r="AD45" s="30">
        <f t="shared" si="214"/>
        <v>15.591267587513373</v>
      </c>
      <c r="AE45" s="30">
        <v>15.748579143215228</v>
      </c>
      <c r="AF45" s="30">
        <f t="shared" ref="AF45:AI45" si="215">AE45+(($AJ45-$AE45)/5)</f>
        <v>15.904469093284767</v>
      </c>
      <c r="AG45" s="30">
        <f t="shared" si="215"/>
        <v>16.060359043354307</v>
      </c>
      <c r="AH45" s="30">
        <f t="shared" si="215"/>
        <v>16.216248993423847</v>
      </c>
      <c r="AI45" s="30">
        <f t="shared" si="215"/>
        <v>16.372138943493386</v>
      </c>
      <c r="AJ45" s="30">
        <v>16.528028893562922</v>
      </c>
      <c r="AK45" s="31">
        <v>2.9448399022759641</v>
      </c>
      <c r="AL45" s="31">
        <v>1.1265161817867186</v>
      </c>
    </row>
    <row r="46" spans="1:38" x14ac:dyDescent="0.3">
      <c r="A46" t="str">
        <f>VLOOKUP(B46,'Country codes'!$A$1:$B$28,2,FALSE)</f>
        <v>FI</v>
      </c>
      <c r="B46" s="23" t="s">
        <v>99</v>
      </c>
      <c r="C46" s="24" t="s">
        <v>121</v>
      </c>
      <c r="D46" s="28" t="s">
        <v>125</v>
      </c>
      <c r="E46" s="29" t="s">
        <v>123</v>
      </c>
      <c r="F46" s="30">
        <v>9.8247642153799823</v>
      </c>
      <c r="G46" s="30">
        <f t="shared" ref="G46:J46" si="216">F46+(($K46-$F46)/5)</f>
        <v>10.189450680245185</v>
      </c>
      <c r="H46" s="30">
        <f t="shared" si="216"/>
        <v>10.554137145110388</v>
      </c>
      <c r="I46" s="30">
        <f t="shared" si="216"/>
        <v>10.918823609975592</v>
      </c>
      <c r="J46" s="30">
        <f t="shared" si="216"/>
        <v>11.283510074840795</v>
      </c>
      <c r="K46" s="30">
        <v>11.648196539705998</v>
      </c>
      <c r="L46" s="30">
        <f t="shared" ref="L46:O46" si="217">K46+(($P46-$K46)/5)</f>
        <v>11.905786759690614</v>
      </c>
      <c r="M46" s="30">
        <f t="shared" si="217"/>
        <v>12.163376979675229</v>
      </c>
      <c r="N46" s="30">
        <f t="shared" si="217"/>
        <v>12.420967199659845</v>
      </c>
      <c r="O46" s="30">
        <f t="shared" si="217"/>
        <v>12.678557419644461</v>
      </c>
      <c r="P46" s="30">
        <v>12.936147639629077</v>
      </c>
      <c r="Q46" s="30">
        <f t="shared" ref="Q46:T46" si="218">P46+(($U46-$P46)/5)</f>
        <v>13.181978050116125</v>
      </c>
      <c r="R46" s="30">
        <f t="shared" si="218"/>
        <v>13.427808460603174</v>
      </c>
      <c r="S46" s="30">
        <f t="shared" si="218"/>
        <v>13.673638871090223</v>
      </c>
      <c r="T46" s="30">
        <f t="shared" si="218"/>
        <v>13.919469281577271</v>
      </c>
      <c r="U46" s="30">
        <v>14.165299692064316</v>
      </c>
      <c r="V46" s="30">
        <f t="shared" ref="V46:Y46" si="219">U46+(($Z46-$U46)/5)</f>
        <v>14.397757569297037</v>
      </c>
      <c r="W46" s="30">
        <f t="shared" si="219"/>
        <v>14.630215446529757</v>
      </c>
      <c r="X46" s="30">
        <f t="shared" si="219"/>
        <v>14.862673323762477</v>
      </c>
      <c r="Y46" s="30">
        <f t="shared" si="219"/>
        <v>15.095131200995198</v>
      </c>
      <c r="Z46" s="30">
        <v>15.327589078227918</v>
      </c>
      <c r="AA46" s="30">
        <f t="shared" ref="AA46:AD46" si="220">Z46+(($AE46-$Z46)/5)</f>
        <v>15.48985773760054</v>
      </c>
      <c r="AB46" s="30">
        <f t="shared" si="220"/>
        <v>15.652126396973161</v>
      </c>
      <c r="AC46" s="30">
        <f t="shared" si="220"/>
        <v>15.814395056345782</v>
      </c>
      <c r="AD46" s="30">
        <f t="shared" si="220"/>
        <v>15.976663715718404</v>
      </c>
      <c r="AE46" s="30">
        <v>16.138932375091024</v>
      </c>
      <c r="AF46" s="30">
        <f t="shared" ref="AF46:AI46" si="221">AE46+(($AJ46-$AE46)/5)</f>
        <v>16.294373358202478</v>
      </c>
      <c r="AG46" s="30">
        <f t="shared" si="221"/>
        <v>16.449814341313932</v>
      </c>
      <c r="AH46" s="30">
        <f t="shared" si="221"/>
        <v>16.605255324425386</v>
      </c>
      <c r="AI46" s="30">
        <f t="shared" si="221"/>
        <v>16.76069630753684</v>
      </c>
      <c r="AJ46" s="30">
        <v>16.916137290648294</v>
      </c>
      <c r="AK46" s="31">
        <v>2.7893885646678829</v>
      </c>
      <c r="AL46" s="31">
        <v>1.3502471022958984</v>
      </c>
    </row>
    <row r="47" spans="1:38" x14ac:dyDescent="0.3">
      <c r="A47" t="str">
        <f>VLOOKUP(B47,'Country codes'!$A$1:$B$28,2,FALSE)</f>
        <v>FR</v>
      </c>
      <c r="B47" s="23" t="s">
        <v>100</v>
      </c>
      <c r="C47" s="24" t="s">
        <v>121</v>
      </c>
      <c r="D47" s="28" t="s">
        <v>125</v>
      </c>
      <c r="E47" s="29" t="s">
        <v>123</v>
      </c>
      <c r="F47" s="30">
        <v>30.76933645920932</v>
      </c>
      <c r="G47" s="30">
        <f t="shared" ref="G47:J47" si="222">F47+(($K47-$F47)/5)</f>
        <v>32.143892371077122</v>
      </c>
      <c r="H47" s="30">
        <f t="shared" si="222"/>
        <v>33.518448282944924</v>
      </c>
      <c r="I47" s="30">
        <f t="shared" si="222"/>
        <v>34.893004194812725</v>
      </c>
      <c r="J47" s="30">
        <f t="shared" si="222"/>
        <v>36.267560106680527</v>
      </c>
      <c r="K47" s="30">
        <v>37.642116018548322</v>
      </c>
      <c r="L47" s="30">
        <f t="shared" ref="L47:O47" si="223">K47+(($P47-$K47)/5)</f>
        <v>38.73602406268656</v>
      </c>
      <c r="M47" s="30">
        <f t="shared" si="223"/>
        <v>39.829932106824799</v>
      </c>
      <c r="N47" s="30">
        <f t="shared" si="223"/>
        <v>40.923840150963038</v>
      </c>
      <c r="O47" s="30">
        <f t="shared" si="223"/>
        <v>42.017748195101277</v>
      </c>
      <c r="P47" s="30">
        <v>43.111656239239515</v>
      </c>
      <c r="Q47" s="30">
        <f t="shared" ref="Q47:T47" si="224">P47+(($U47-$P47)/5)</f>
        <v>44.06922803557304</v>
      </c>
      <c r="R47" s="30">
        <f t="shared" si="224"/>
        <v>45.026799831906565</v>
      </c>
      <c r="S47" s="30">
        <f t="shared" si="224"/>
        <v>45.984371628240091</v>
      </c>
      <c r="T47" s="30">
        <f t="shared" si="224"/>
        <v>46.941943424573616</v>
      </c>
      <c r="U47" s="30">
        <v>47.899515220907141</v>
      </c>
      <c r="V47" s="30">
        <f t="shared" ref="V47:Y47" si="225">U47+(($Z47-$U47)/5)</f>
        <v>48.870919274719199</v>
      </c>
      <c r="W47" s="30">
        <f t="shared" si="225"/>
        <v>49.842323328531258</v>
      </c>
      <c r="X47" s="30">
        <f t="shared" si="225"/>
        <v>50.813727382343316</v>
      </c>
      <c r="Y47" s="30">
        <f t="shared" si="225"/>
        <v>51.785131436155375</v>
      </c>
      <c r="Z47" s="30">
        <v>52.756535489967447</v>
      </c>
      <c r="AA47" s="30">
        <f t="shared" ref="AA47:AD47" si="226">Z47+(($AE47-$Z47)/5)</f>
        <v>53.439599591260169</v>
      </c>
      <c r="AB47" s="30">
        <f t="shared" si="226"/>
        <v>54.122663692552891</v>
      </c>
      <c r="AC47" s="30">
        <f t="shared" si="226"/>
        <v>54.805727793845612</v>
      </c>
      <c r="AD47" s="30">
        <f t="shared" si="226"/>
        <v>55.488791895138334</v>
      </c>
      <c r="AE47" s="30">
        <v>56.171855996431056</v>
      </c>
      <c r="AF47" s="30">
        <f t="shared" ref="AF47:AI47" si="227">AE47+(($AJ47-$AE47)/5)</f>
        <v>56.851775372689097</v>
      </c>
      <c r="AG47" s="30">
        <f t="shared" si="227"/>
        <v>57.531694748947139</v>
      </c>
      <c r="AH47" s="30">
        <f t="shared" si="227"/>
        <v>58.21161412520518</v>
      </c>
      <c r="AI47" s="30">
        <f t="shared" si="227"/>
        <v>58.891533501463222</v>
      </c>
      <c r="AJ47" s="30">
        <v>59.571452877721278</v>
      </c>
      <c r="AK47" s="31">
        <v>3.4302698321630576</v>
      </c>
      <c r="AL47" s="31">
        <v>1.6300581862369823</v>
      </c>
    </row>
    <row r="48" spans="1:38" x14ac:dyDescent="0.3">
      <c r="A48" t="str">
        <f>VLOOKUP(B48,'Country codes'!$A$1:$B$28,2,FALSE)</f>
        <v>GR</v>
      </c>
      <c r="B48" s="23" t="s">
        <v>101</v>
      </c>
      <c r="C48" s="24" t="s">
        <v>121</v>
      </c>
      <c r="D48" s="28" t="s">
        <v>125</v>
      </c>
      <c r="E48" s="29" t="s">
        <v>123</v>
      </c>
      <c r="F48" s="30">
        <v>0.34522455134474445</v>
      </c>
      <c r="G48" s="30">
        <f t="shared" ref="G48:J48" si="228">F48+(($K48-$F48)/5)</f>
        <v>0.35837259537219301</v>
      </c>
      <c r="H48" s="30">
        <f t="shared" si="228"/>
        <v>0.37152063939964158</v>
      </c>
      <c r="I48" s="30">
        <f t="shared" si="228"/>
        <v>0.38466868342709015</v>
      </c>
      <c r="J48" s="30">
        <f t="shared" si="228"/>
        <v>0.39781672745453872</v>
      </c>
      <c r="K48" s="30">
        <v>0.41096477148198729</v>
      </c>
      <c r="L48" s="30">
        <f t="shared" ref="L48:O48" si="229">K48+(($P48-$K48)/5)</f>
        <v>0.41357986555522847</v>
      </c>
      <c r="M48" s="30">
        <f t="shared" si="229"/>
        <v>0.41619495962846964</v>
      </c>
      <c r="N48" s="30">
        <f t="shared" si="229"/>
        <v>0.41881005370171082</v>
      </c>
      <c r="O48" s="30">
        <f t="shared" si="229"/>
        <v>0.42142514777495199</v>
      </c>
      <c r="P48" s="30">
        <v>0.42404024184819306</v>
      </c>
      <c r="Q48" s="30">
        <f t="shared" ref="Q48:T48" si="230">P48+(($U48-$P48)/5)</f>
        <v>0.42860604952538472</v>
      </c>
      <c r="R48" s="30">
        <f t="shared" si="230"/>
        <v>0.43317185720257639</v>
      </c>
      <c r="S48" s="30">
        <f t="shared" si="230"/>
        <v>0.43773766487976806</v>
      </c>
      <c r="T48" s="30">
        <f t="shared" si="230"/>
        <v>0.44230347255695973</v>
      </c>
      <c r="U48" s="30">
        <v>0.44686928023415146</v>
      </c>
      <c r="V48" s="30">
        <f t="shared" ref="V48:Y48" si="231">U48+(($Z48-$U48)/5)</f>
        <v>0.4515036871282766</v>
      </c>
      <c r="W48" s="30">
        <f t="shared" si="231"/>
        <v>0.45613809402240174</v>
      </c>
      <c r="X48" s="30">
        <f t="shared" si="231"/>
        <v>0.46077250091652688</v>
      </c>
      <c r="Y48" s="30">
        <f t="shared" si="231"/>
        <v>0.46540690781065203</v>
      </c>
      <c r="Z48" s="30">
        <v>0.47004131470477706</v>
      </c>
      <c r="AA48" s="30">
        <f t="shared" ref="AA48:AD48" si="232">Z48+(($AE48-$Z48)/5)</f>
        <v>0.47369959318162991</v>
      </c>
      <c r="AB48" s="30">
        <f t="shared" si="232"/>
        <v>0.47735787165848276</v>
      </c>
      <c r="AC48" s="30">
        <f t="shared" si="232"/>
        <v>0.48101615013533561</v>
      </c>
      <c r="AD48" s="30">
        <f t="shared" si="232"/>
        <v>0.48467442861218846</v>
      </c>
      <c r="AE48" s="30">
        <v>0.4883327070890412</v>
      </c>
      <c r="AF48" s="30">
        <f t="shared" ref="AF48:AI48" si="233">AE48+(($AJ48-$AE48)/5)</f>
        <v>0.49255459238376709</v>
      </c>
      <c r="AG48" s="30">
        <f t="shared" si="233"/>
        <v>0.49677647767849298</v>
      </c>
      <c r="AH48" s="30">
        <f t="shared" si="233"/>
        <v>0.50099836297321887</v>
      </c>
      <c r="AI48" s="30">
        <f t="shared" si="233"/>
        <v>0.50522024826794476</v>
      </c>
      <c r="AJ48" s="30">
        <v>0.50944213356267076</v>
      </c>
      <c r="AK48" s="31">
        <v>2.0776210114241023</v>
      </c>
      <c r="AL48" s="31">
        <v>0.92166092888490425</v>
      </c>
    </row>
    <row r="49" spans="1:38" x14ac:dyDescent="0.3">
      <c r="A49" t="str">
        <f>VLOOKUP(B49,'Country codes'!$A$1:$B$28,2,FALSE)</f>
        <v>HR</v>
      </c>
      <c r="B49" s="23" t="s">
        <v>102</v>
      </c>
      <c r="C49" s="24" t="s">
        <v>121</v>
      </c>
      <c r="D49" s="28" t="s">
        <v>125</v>
      </c>
      <c r="E49" s="29" t="s">
        <v>123</v>
      </c>
      <c r="F49" s="30">
        <v>2.5183633694890317</v>
      </c>
      <c r="G49" s="30">
        <f t="shared" ref="G49:J49" si="234">F49+(($K49-$F49)/5)</f>
        <v>2.5929293419234813</v>
      </c>
      <c r="H49" s="30">
        <f t="shared" si="234"/>
        <v>2.667495314357931</v>
      </c>
      <c r="I49" s="30">
        <f t="shared" si="234"/>
        <v>2.7420612867923806</v>
      </c>
      <c r="J49" s="30">
        <f t="shared" si="234"/>
        <v>2.8166272592268302</v>
      </c>
      <c r="K49" s="30">
        <v>2.8911932316612794</v>
      </c>
      <c r="L49" s="30">
        <f t="shared" ref="L49:O49" si="235">K49+(($P49-$K49)/5)</f>
        <v>2.9511581693186515</v>
      </c>
      <c r="M49" s="30">
        <f t="shared" si="235"/>
        <v>3.0111231069760236</v>
      </c>
      <c r="N49" s="30">
        <f t="shared" si="235"/>
        <v>3.0710880446333957</v>
      </c>
      <c r="O49" s="30">
        <f t="shared" si="235"/>
        <v>3.1310529822907678</v>
      </c>
      <c r="P49" s="30">
        <v>3.1910179199481408</v>
      </c>
      <c r="Q49" s="30">
        <f t="shared" ref="Q49:T49" si="236">P49+(($U49-$P49)/5)</f>
        <v>3.2251332651934099</v>
      </c>
      <c r="R49" s="30">
        <f t="shared" si="236"/>
        <v>3.2592486104386791</v>
      </c>
      <c r="S49" s="30">
        <f t="shared" si="236"/>
        <v>3.2933639556839482</v>
      </c>
      <c r="T49" s="30">
        <f t="shared" si="236"/>
        <v>3.3274793009292174</v>
      </c>
      <c r="U49" s="30">
        <v>3.3615946461744861</v>
      </c>
      <c r="V49" s="30">
        <f t="shared" ref="V49:Y49" si="237">U49+(($Z49-$U49)/5)</f>
        <v>3.3866630485106577</v>
      </c>
      <c r="W49" s="30">
        <f t="shared" si="237"/>
        <v>3.4117314508468293</v>
      </c>
      <c r="X49" s="30">
        <f t="shared" si="237"/>
        <v>3.4367998531830009</v>
      </c>
      <c r="Y49" s="30">
        <f t="shared" si="237"/>
        <v>3.4618682555191724</v>
      </c>
      <c r="Z49" s="30">
        <v>3.4869366578553436</v>
      </c>
      <c r="AA49" s="30">
        <f t="shared" ref="AA49:AD49" si="238">Z49+(($AE49-$Z49)/5)</f>
        <v>3.5119140781384472</v>
      </c>
      <c r="AB49" s="30">
        <f t="shared" si="238"/>
        <v>3.5368914984215509</v>
      </c>
      <c r="AC49" s="30">
        <f t="shared" si="238"/>
        <v>3.5618689187046546</v>
      </c>
      <c r="AD49" s="30">
        <f t="shared" si="238"/>
        <v>3.5868463389877583</v>
      </c>
      <c r="AE49" s="30">
        <v>3.6118237592708624</v>
      </c>
      <c r="AF49" s="30">
        <f t="shared" ref="AF49:AI49" si="239">AE49+(($AJ49-$AE49)/5)</f>
        <v>3.6318731359040068</v>
      </c>
      <c r="AG49" s="30">
        <f t="shared" si="239"/>
        <v>3.6519225125371513</v>
      </c>
      <c r="AH49" s="30">
        <f t="shared" si="239"/>
        <v>3.6719718891702957</v>
      </c>
      <c r="AI49" s="30">
        <f t="shared" si="239"/>
        <v>3.6920212658034401</v>
      </c>
      <c r="AJ49" s="30">
        <v>3.7120706424365855</v>
      </c>
      <c r="AK49" s="31">
        <v>2.3955504367947578</v>
      </c>
      <c r="AL49" s="31">
        <v>0.75911620056847706</v>
      </c>
    </row>
    <row r="50" spans="1:38" x14ac:dyDescent="0.3">
      <c r="A50" t="str">
        <f>VLOOKUP(B50,'Country codes'!$A$1:$B$28,2,FALSE)</f>
        <v>HU</v>
      </c>
      <c r="B50" s="23" t="s">
        <v>103</v>
      </c>
      <c r="C50" s="24" t="s">
        <v>121</v>
      </c>
      <c r="D50" s="28" t="s">
        <v>125</v>
      </c>
      <c r="E50" s="29" t="s">
        <v>123</v>
      </c>
      <c r="F50" s="30">
        <v>13.358567561037761</v>
      </c>
      <c r="G50" s="30">
        <f t="shared" ref="G50:J50" si="240">F50+(($K50-$F50)/5)</f>
        <v>14.1215549688865</v>
      </c>
      <c r="H50" s="30">
        <f t="shared" si="240"/>
        <v>14.884542376735238</v>
      </c>
      <c r="I50" s="30">
        <f t="shared" si="240"/>
        <v>15.647529784583977</v>
      </c>
      <c r="J50" s="30">
        <f t="shared" si="240"/>
        <v>16.410517192432714</v>
      </c>
      <c r="K50" s="30">
        <v>17.173504600281451</v>
      </c>
      <c r="L50" s="30">
        <f t="shared" ref="L50:O50" si="241">K50+(($P50-$K50)/5)</f>
        <v>17.83181440978418</v>
      </c>
      <c r="M50" s="30">
        <f t="shared" si="241"/>
        <v>18.490124219286908</v>
      </c>
      <c r="N50" s="30">
        <f t="shared" si="241"/>
        <v>19.148434028789637</v>
      </c>
      <c r="O50" s="30">
        <f t="shared" si="241"/>
        <v>19.806743838292366</v>
      </c>
      <c r="P50" s="30">
        <v>20.465053647795088</v>
      </c>
      <c r="Q50" s="30">
        <f t="shared" ref="Q50:T50" si="242">P50+(($U50-$P50)/5)</f>
        <v>21.073154389077267</v>
      </c>
      <c r="R50" s="30">
        <f t="shared" si="242"/>
        <v>21.681255130359446</v>
      </c>
      <c r="S50" s="30">
        <f t="shared" si="242"/>
        <v>22.289355871641625</v>
      </c>
      <c r="T50" s="30">
        <f t="shared" si="242"/>
        <v>22.897456612923804</v>
      </c>
      <c r="U50" s="30">
        <v>23.505557354205976</v>
      </c>
      <c r="V50" s="30">
        <f t="shared" ref="V50:Y50" si="243">U50+(($Z50-$U50)/5)</f>
        <v>23.990797545350393</v>
      </c>
      <c r="W50" s="30">
        <f t="shared" si="243"/>
        <v>24.47603773649481</v>
      </c>
      <c r="X50" s="30">
        <f t="shared" si="243"/>
        <v>24.961277927639227</v>
      </c>
      <c r="Y50" s="30">
        <f t="shared" si="243"/>
        <v>25.446518118783644</v>
      </c>
      <c r="Z50" s="30">
        <v>25.931758309928057</v>
      </c>
      <c r="AA50" s="30">
        <f t="shared" ref="AA50:AD50" si="244">Z50+(($AE50-$Z50)/5)</f>
        <v>26.247953939440229</v>
      </c>
      <c r="AB50" s="30">
        <f t="shared" si="244"/>
        <v>26.564149568952402</v>
      </c>
      <c r="AC50" s="30">
        <f t="shared" si="244"/>
        <v>26.880345198464575</v>
      </c>
      <c r="AD50" s="30">
        <f t="shared" si="244"/>
        <v>27.196540827976747</v>
      </c>
      <c r="AE50" s="30">
        <v>27.512736457488913</v>
      </c>
      <c r="AF50" s="30">
        <f t="shared" ref="AF50:AI50" si="245">AE50+(($AJ50-$AE50)/5)</f>
        <v>27.839942344806289</v>
      </c>
      <c r="AG50" s="30">
        <f t="shared" si="245"/>
        <v>28.167148232123665</v>
      </c>
      <c r="AH50" s="30">
        <f t="shared" si="245"/>
        <v>28.494354119441041</v>
      </c>
      <c r="AI50" s="30">
        <f t="shared" si="245"/>
        <v>28.821560006758418</v>
      </c>
      <c r="AJ50" s="30">
        <v>29.14876589407579</v>
      </c>
      <c r="AK50" s="31">
        <v>4.3578924158006238</v>
      </c>
      <c r="AL50" s="31">
        <v>1.7841992274972851</v>
      </c>
    </row>
    <row r="51" spans="1:38" x14ac:dyDescent="0.3">
      <c r="A51" t="str">
        <f>VLOOKUP(B51,'Country codes'!$A$1:$B$28,2,FALSE)</f>
        <v>IE</v>
      </c>
      <c r="B51" s="23" t="s">
        <v>104</v>
      </c>
      <c r="C51" s="24" t="s">
        <v>121</v>
      </c>
      <c r="D51" s="28" t="s">
        <v>125</v>
      </c>
      <c r="E51" s="29" t="s">
        <v>123</v>
      </c>
      <c r="F51" s="30">
        <v>9.3743141889843576E-2</v>
      </c>
      <c r="G51" s="30">
        <f t="shared" ref="G51:J51" si="246">F51+(($K51-$F51)/5)</f>
        <v>9.7537801561083909E-2</v>
      </c>
      <c r="H51" s="30">
        <f t="shared" si="246"/>
        <v>0.10133246123232424</v>
      </c>
      <c r="I51" s="30">
        <f t="shared" si="246"/>
        <v>0.10512712090356457</v>
      </c>
      <c r="J51" s="30">
        <f t="shared" si="246"/>
        <v>0.10892178057480491</v>
      </c>
      <c r="K51" s="30">
        <v>0.11271644024604527</v>
      </c>
      <c r="L51" s="30">
        <f t="shared" ref="L51:O51" si="247">K51+(($P51-$K51)/5)</f>
        <v>0.11487590573763271</v>
      </c>
      <c r="M51" s="30">
        <f t="shared" si="247"/>
        <v>0.11703537122922014</v>
      </c>
      <c r="N51" s="30">
        <f t="shared" si="247"/>
        <v>0.11919483672080758</v>
      </c>
      <c r="O51" s="30">
        <f t="shared" si="247"/>
        <v>0.12135430221239502</v>
      </c>
      <c r="P51" s="30">
        <v>0.12351376770398242</v>
      </c>
      <c r="Q51" s="30">
        <f t="shared" ref="Q51:T51" si="248">P51+(($U51-$P51)/5)</f>
        <v>0.12574342970536376</v>
      </c>
      <c r="R51" s="30">
        <f t="shared" si="248"/>
        <v>0.12797309170674509</v>
      </c>
      <c r="S51" s="30">
        <f t="shared" si="248"/>
        <v>0.13020275370812642</v>
      </c>
      <c r="T51" s="30">
        <f t="shared" si="248"/>
        <v>0.13243241570950776</v>
      </c>
      <c r="U51" s="30">
        <v>0.13466207771088906</v>
      </c>
      <c r="V51" s="30">
        <f t="shared" ref="V51:Y51" si="249">U51+(($Z51-$U51)/5)</f>
        <v>0.13678586701485299</v>
      </c>
      <c r="W51" s="30">
        <f t="shared" si="249"/>
        <v>0.13890965631881691</v>
      </c>
      <c r="X51" s="30">
        <f t="shared" si="249"/>
        <v>0.14103344562278083</v>
      </c>
      <c r="Y51" s="30">
        <f t="shared" si="249"/>
        <v>0.14315723492674476</v>
      </c>
      <c r="Z51" s="30">
        <v>0.14528102423070866</v>
      </c>
      <c r="AA51" s="30">
        <f t="shared" ref="AA51:AD51" si="250">Z51+(($AE51-$Z51)/5)</f>
        <v>0.14700185212943551</v>
      </c>
      <c r="AB51" s="30">
        <f t="shared" si="250"/>
        <v>0.14872268002816236</v>
      </c>
      <c r="AC51" s="30">
        <f t="shared" si="250"/>
        <v>0.15044350792688921</v>
      </c>
      <c r="AD51" s="30">
        <f t="shared" si="250"/>
        <v>0.15216433582561606</v>
      </c>
      <c r="AE51" s="30">
        <v>0.15388516372434285</v>
      </c>
      <c r="AF51" s="30">
        <f t="shared" ref="AF51:AI51" si="251">AE51+(($AJ51-$AE51)/5)</f>
        <v>0.1545374453691212</v>
      </c>
      <c r="AG51" s="30">
        <f t="shared" si="251"/>
        <v>0.15518972701389955</v>
      </c>
      <c r="AH51" s="30">
        <f t="shared" si="251"/>
        <v>0.15584200865867789</v>
      </c>
      <c r="AI51" s="30">
        <f t="shared" si="251"/>
        <v>0.15649429030345624</v>
      </c>
      <c r="AJ51" s="30">
        <v>0.15714657194823464</v>
      </c>
      <c r="AK51" s="31">
        <v>2.7963244507818841</v>
      </c>
      <c r="AL51" s="31">
        <v>1.2114104502674472</v>
      </c>
    </row>
    <row r="52" spans="1:38" x14ac:dyDescent="0.3">
      <c r="A52" t="str">
        <f>VLOOKUP(B52,'Country codes'!$A$1:$B$28,2,FALSE)</f>
        <v>IT</v>
      </c>
      <c r="B52" s="23" t="s">
        <v>105</v>
      </c>
      <c r="C52" s="24" t="s">
        <v>121</v>
      </c>
      <c r="D52" s="28" t="s">
        <v>125</v>
      </c>
      <c r="E52" s="29" t="s">
        <v>123</v>
      </c>
      <c r="F52" s="30">
        <v>20.578575083486854</v>
      </c>
      <c r="G52" s="30">
        <f t="shared" ref="G52:J52" si="252">F52+(($K52-$F52)/5)</f>
        <v>21.298678806723952</v>
      </c>
      <c r="H52" s="30">
        <f t="shared" si="252"/>
        <v>22.018782529961051</v>
      </c>
      <c r="I52" s="30">
        <f t="shared" si="252"/>
        <v>22.738886253198149</v>
      </c>
      <c r="J52" s="30">
        <f t="shared" si="252"/>
        <v>23.458989976435248</v>
      </c>
      <c r="K52" s="30">
        <v>24.179093699672347</v>
      </c>
      <c r="L52" s="30">
        <f t="shared" ref="L52:O52" si="253">K52+(($P52-$K52)/5)</f>
        <v>24.542093898907158</v>
      </c>
      <c r="M52" s="30">
        <f t="shared" si="253"/>
        <v>24.905094098141969</v>
      </c>
      <c r="N52" s="30">
        <f t="shared" si="253"/>
        <v>25.268094297376781</v>
      </c>
      <c r="O52" s="30">
        <f t="shared" si="253"/>
        <v>25.631094496611592</v>
      </c>
      <c r="P52" s="30">
        <v>25.994094695846407</v>
      </c>
      <c r="Q52" s="30">
        <f t="shared" ref="Q52:T52" si="254">P52+(($U52-$P52)/5)</f>
        <v>26.301613466664389</v>
      </c>
      <c r="R52" s="30">
        <f t="shared" si="254"/>
        <v>26.60913223748237</v>
      </c>
      <c r="S52" s="30">
        <f t="shared" si="254"/>
        <v>26.916651008300352</v>
      </c>
      <c r="T52" s="30">
        <f t="shared" si="254"/>
        <v>27.224169779118334</v>
      </c>
      <c r="U52" s="30">
        <v>27.53168854993632</v>
      </c>
      <c r="V52" s="30">
        <f t="shared" ref="V52:Y52" si="255">U52+(($Z52-$U52)/5)</f>
        <v>27.805725900361193</v>
      </c>
      <c r="W52" s="30">
        <f t="shared" si="255"/>
        <v>28.079763250786065</v>
      </c>
      <c r="X52" s="30">
        <f t="shared" si="255"/>
        <v>28.353800601210938</v>
      </c>
      <c r="Y52" s="30">
        <f t="shared" si="255"/>
        <v>28.627837951635811</v>
      </c>
      <c r="Z52" s="30">
        <v>28.901875302060684</v>
      </c>
      <c r="AA52" s="30">
        <f t="shared" ref="AA52:AD52" si="256">Z52+(($AE52-$Z52)/5)</f>
        <v>29.026959011008671</v>
      </c>
      <c r="AB52" s="30">
        <f t="shared" si="256"/>
        <v>29.152042719956658</v>
      </c>
      <c r="AC52" s="30">
        <f t="shared" si="256"/>
        <v>29.277126428904644</v>
      </c>
      <c r="AD52" s="30">
        <f t="shared" si="256"/>
        <v>29.402210137852631</v>
      </c>
      <c r="AE52" s="30">
        <v>29.527293846800614</v>
      </c>
      <c r="AF52" s="30">
        <f t="shared" ref="AF52:AI52" si="257">AE52+(($AJ52-$AE52)/5)</f>
        <v>29.673132630210635</v>
      </c>
      <c r="AG52" s="30">
        <f t="shared" si="257"/>
        <v>29.818971413620655</v>
      </c>
      <c r="AH52" s="30">
        <f t="shared" si="257"/>
        <v>29.964810197030676</v>
      </c>
      <c r="AI52" s="30">
        <f t="shared" si="257"/>
        <v>30.110648980440697</v>
      </c>
      <c r="AJ52" s="30">
        <v>30.256487763850721</v>
      </c>
      <c r="AK52" s="31">
        <v>2.3636915983182183</v>
      </c>
      <c r="AL52" s="31">
        <v>0.7620955171601107</v>
      </c>
    </row>
    <row r="53" spans="1:38" x14ac:dyDescent="0.3">
      <c r="A53" t="str">
        <f>VLOOKUP(B53,'Country codes'!$A$1:$B$28,2,FALSE)</f>
        <v>LT</v>
      </c>
      <c r="B53" s="23" t="s">
        <v>106</v>
      </c>
      <c r="C53" s="24" t="s">
        <v>121</v>
      </c>
      <c r="D53" s="28" t="s">
        <v>125</v>
      </c>
      <c r="E53" s="29" t="s">
        <v>123</v>
      </c>
      <c r="F53" s="30">
        <v>14.83127831382841</v>
      </c>
      <c r="G53" s="30">
        <f t="shared" ref="G53:J53" si="258">F53+(($K53-$F53)/5)</f>
        <v>15.531167511803668</v>
      </c>
      <c r="H53" s="30">
        <f t="shared" si="258"/>
        <v>16.231056709778926</v>
      </c>
      <c r="I53" s="30">
        <f t="shared" si="258"/>
        <v>16.930945907754182</v>
      </c>
      <c r="J53" s="30">
        <f t="shared" si="258"/>
        <v>17.630835105729439</v>
      </c>
      <c r="K53" s="30">
        <v>18.330724303704699</v>
      </c>
      <c r="L53" s="30">
        <f t="shared" ref="L53:O53" si="259">K53+(($P53-$K53)/5)</f>
        <v>18.98287813465441</v>
      </c>
      <c r="M53" s="30">
        <f t="shared" si="259"/>
        <v>19.635031965604121</v>
      </c>
      <c r="N53" s="30">
        <f t="shared" si="259"/>
        <v>20.287185796553832</v>
      </c>
      <c r="O53" s="30">
        <f t="shared" si="259"/>
        <v>20.939339627503543</v>
      </c>
      <c r="P53" s="30">
        <v>21.591493458453254</v>
      </c>
      <c r="Q53" s="30">
        <f t="shared" ref="Q53:T53" si="260">P53+(($U53-$P53)/5)</f>
        <v>22.029825310524124</v>
      </c>
      <c r="R53" s="30">
        <f t="shared" si="260"/>
        <v>22.468157162594995</v>
      </c>
      <c r="S53" s="30">
        <f t="shared" si="260"/>
        <v>22.906489014665866</v>
      </c>
      <c r="T53" s="30">
        <f t="shared" si="260"/>
        <v>23.344820866736736</v>
      </c>
      <c r="U53" s="30">
        <v>23.783152718807614</v>
      </c>
      <c r="V53" s="30">
        <f t="shared" ref="V53:Y53" si="261">U53+(($Z53-$U53)/5)</f>
        <v>24.141832708018132</v>
      </c>
      <c r="W53" s="30">
        <f t="shared" si="261"/>
        <v>24.50051269722865</v>
      </c>
      <c r="X53" s="30">
        <f t="shared" si="261"/>
        <v>24.859192686439169</v>
      </c>
      <c r="Y53" s="30">
        <f t="shared" si="261"/>
        <v>25.217872675649687</v>
      </c>
      <c r="Z53" s="30">
        <v>25.576552664860206</v>
      </c>
      <c r="AA53" s="30">
        <f t="shared" ref="AA53:AD53" si="262">Z53+(($AE53-$Z53)/5)</f>
        <v>25.845878071495036</v>
      </c>
      <c r="AB53" s="30">
        <f t="shared" si="262"/>
        <v>26.115203478129867</v>
      </c>
      <c r="AC53" s="30">
        <f t="shared" si="262"/>
        <v>26.384528884764698</v>
      </c>
      <c r="AD53" s="30">
        <f t="shared" si="262"/>
        <v>26.653854291399529</v>
      </c>
      <c r="AE53" s="30">
        <v>26.923179698034353</v>
      </c>
      <c r="AF53" s="30">
        <f t="shared" ref="AF53:AI53" si="263">AE53+(($AJ53-$AE53)/5)</f>
        <v>27.202203434618195</v>
      </c>
      <c r="AG53" s="30">
        <f t="shared" si="263"/>
        <v>27.481227171202036</v>
      </c>
      <c r="AH53" s="30">
        <f t="shared" si="263"/>
        <v>27.760250907785878</v>
      </c>
      <c r="AI53" s="30">
        <f t="shared" si="263"/>
        <v>28.039274644369719</v>
      </c>
      <c r="AJ53" s="30">
        <v>28.318298380953564</v>
      </c>
      <c r="AK53" s="31">
        <v>3.8270249208108842</v>
      </c>
      <c r="AL53" s="31">
        <v>1.3652798043104264</v>
      </c>
    </row>
    <row r="54" spans="1:38" x14ac:dyDescent="0.3">
      <c r="A54" t="str">
        <f>VLOOKUP(B54,'Country codes'!$A$1:$B$28,2,FALSE)</f>
        <v>LU</v>
      </c>
      <c r="B54" s="23" t="s">
        <v>107</v>
      </c>
      <c r="C54" s="24" t="s">
        <v>121</v>
      </c>
      <c r="D54" s="28" t="s">
        <v>125</v>
      </c>
      <c r="E54" s="29" t="s">
        <v>123</v>
      </c>
      <c r="F54" s="30">
        <v>0.18836120255131711</v>
      </c>
      <c r="G54" s="30">
        <f t="shared" ref="G54:J54" si="264">F54+(($K54-$F54)/5)</f>
        <v>0.19774680461302274</v>
      </c>
      <c r="H54" s="30">
        <f t="shared" si="264"/>
        <v>0.20713240667472838</v>
      </c>
      <c r="I54" s="30">
        <f t="shared" si="264"/>
        <v>0.21651800873643401</v>
      </c>
      <c r="J54" s="30">
        <f t="shared" si="264"/>
        <v>0.22590361079813964</v>
      </c>
      <c r="K54" s="30">
        <v>0.23528921285984533</v>
      </c>
      <c r="L54" s="30">
        <f t="shared" ref="L54:O54" si="265">K54+(($P54-$K54)/5)</f>
        <v>0.24299434175768198</v>
      </c>
      <c r="M54" s="30">
        <f t="shared" si="265"/>
        <v>0.25069947065551862</v>
      </c>
      <c r="N54" s="30">
        <f t="shared" si="265"/>
        <v>0.25840459955335526</v>
      </c>
      <c r="O54" s="30">
        <f t="shared" si="265"/>
        <v>0.26610972845119191</v>
      </c>
      <c r="P54" s="30">
        <v>0.27381485734902855</v>
      </c>
      <c r="Q54" s="30">
        <f t="shared" ref="Q54:T54" si="266">P54+(($U54-$P54)/5)</f>
        <v>0.28221878260850708</v>
      </c>
      <c r="R54" s="30">
        <f t="shared" si="266"/>
        <v>0.29062270786798561</v>
      </c>
      <c r="S54" s="30">
        <f t="shared" si="266"/>
        <v>0.29902663312746414</v>
      </c>
      <c r="T54" s="30">
        <f t="shared" si="266"/>
        <v>0.30743055838694267</v>
      </c>
      <c r="U54" s="30">
        <v>0.31583448364642108</v>
      </c>
      <c r="V54" s="30">
        <f t="shared" ref="V54:Y54" si="267">U54+(($Z54-$U54)/5)</f>
        <v>0.32364778015245571</v>
      </c>
      <c r="W54" s="30">
        <f t="shared" si="267"/>
        <v>0.33146107665849034</v>
      </c>
      <c r="X54" s="30">
        <f t="shared" si="267"/>
        <v>0.33927437316452497</v>
      </c>
      <c r="Y54" s="30">
        <f t="shared" si="267"/>
        <v>0.3470876696705596</v>
      </c>
      <c r="Z54" s="30">
        <v>0.35490096617659411</v>
      </c>
      <c r="AA54" s="30">
        <f t="shared" ref="AA54:AD54" si="268">Z54+(($AE54-$Z54)/5)</f>
        <v>0.36307316664426487</v>
      </c>
      <c r="AB54" s="30">
        <f t="shared" si="268"/>
        <v>0.37124536711193562</v>
      </c>
      <c r="AC54" s="30">
        <f t="shared" si="268"/>
        <v>0.37941756757960637</v>
      </c>
      <c r="AD54" s="30">
        <f t="shared" si="268"/>
        <v>0.38758976804727713</v>
      </c>
      <c r="AE54" s="30">
        <v>0.39576196851494783</v>
      </c>
      <c r="AF54" s="30">
        <f t="shared" ref="AF54:AI54" si="269">AE54+(($AJ54-$AE54)/5)</f>
        <v>0.40403764119255864</v>
      </c>
      <c r="AG54" s="30">
        <f t="shared" si="269"/>
        <v>0.41231331387016945</v>
      </c>
      <c r="AH54" s="30">
        <f t="shared" si="269"/>
        <v>0.42058898654778026</v>
      </c>
      <c r="AI54" s="30">
        <f t="shared" si="269"/>
        <v>0.42886465922539108</v>
      </c>
      <c r="AJ54" s="30">
        <v>0.43714033190300194</v>
      </c>
      <c r="AK54" s="31">
        <v>3.8117603526769184</v>
      </c>
      <c r="AL54" s="31">
        <v>2.3665798519817427</v>
      </c>
    </row>
    <row r="55" spans="1:38" x14ac:dyDescent="0.3">
      <c r="A55" t="str">
        <f>VLOOKUP(B55,'Country codes'!$A$1:$B$28,2,FALSE)</f>
        <v>LV</v>
      </c>
      <c r="B55" s="23" t="s">
        <v>108</v>
      </c>
      <c r="C55" s="24" t="s">
        <v>121</v>
      </c>
      <c r="D55" s="28" t="s">
        <v>125</v>
      </c>
      <c r="E55" s="29" t="s">
        <v>123</v>
      </c>
      <c r="F55" s="30">
        <v>16.114139306143976</v>
      </c>
      <c r="G55" s="30">
        <f t="shared" ref="G55:J55" si="270">F55+(($K55-$F55)/5)</f>
        <v>17.008425728955743</v>
      </c>
      <c r="H55" s="30">
        <f t="shared" si="270"/>
        <v>17.90271215176751</v>
      </c>
      <c r="I55" s="30">
        <f t="shared" si="270"/>
        <v>18.796998574579277</v>
      </c>
      <c r="J55" s="30">
        <f t="shared" si="270"/>
        <v>19.691284997391044</v>
      </c>
      <c r="K55" s="30">
        <v>20.585571420202804</v>
      </c>
      <c r="L55" s="30">
        <f t="shared" ref="L55:O55" si="271">K55+(($P55-$K55)/5)</f>
        <v>21.37542915781081</v>
      </c>
      <c r="M55" s="30">
        <f t="shared" si="271"/>
        <v>22.165286895418816</v>
      </c>
      <c r="N55" s="30">
        <f t="shared" si="271"/>
        <v>22.955144633026823</v>
      </c>
      <c r="O55" s="30">
        <f t="shared" si="271"/>
        <v>23.745002370634829</v>
      </c>
      <c r="P55" s="30">
        <v>24.534860108242832</v>
      </c>
      <c r="Q55" s="30">
        <f t="shared" ref="Q55:T55" si="272">P55+(($U55-$P55)/5)</f>
        <v>25.265119479053915</v>
      </c>
      <c r="R55" s="30">
        <f t="shared" si="272"/>
        <v>25.995378849864998</v>
      </c>
      <c r="S55" s="30">
        <f t="shared" si="272"/>
        <v>26.725638220676082</v>
      </c>
      <c r="T55" s="30">
        <f t="shared" si="272"/>
        <v>27.455897591487165</v>
      </c>
      <c r="U55" s="30">
        <v>28.186156962298242</v>
      </c>
      <c r="V55" s="30">
        <f t="shared" ref="V55:Y55" si="273">U55+(($Z55-$U55)/5)</f>
        <v>28.868067671932248</v>
      </c>
      <c r="W55" s="30">
        <f t="shared" si="273"/>
        <v>29.549978381566255</v>
      </c>
      <c r="X55" s="30">
        <f t="shared" si="273"/>
        <v>30.231889091200262</v>
      </c>
      <c r="Y55" s="30">
        <f t="shared" si="273"/>
        <v>30.913799800834269</v>
      </c>
      <c r="Z55" s="30">
        <v>31.595710510468276</v>
      </c>
      <c r="AA55" s="30">
        <f t="shared" ref="AA55:AD55" si="274">Z55+(($AE55-$Z55)/5)</f>
        <v>31.827984857747708</v>
      </c>
      <c r="AB55" s="30">
        <f t="shared" si="274"/>
        <v>32.060259205027144</v>
      </c>
      <c r="AC55" s="30">
        <f t="shared" si="274"/>
        <v>32.29253355230658</v>
      </c>
      <c r="AD55" s="30">
        <f t="shared" si="274"/>
        <v>32.524807899586015</v>
      </c>
      <c r="AE55" s="30">
        <v>32.757082246865444</v>
      </c>
      <c r="AF55" s="30">
        <f t="shared" ref="AF55:AI55" si="275">AE55+(($AJ55-$AE55)/5)</f>
        <v>32.968954927573201</v>
      </c>
      <c r="AG55" s="30">
        <f t="shared" si="275"/>
        <v>33.180827608280957</v>
      </c>
      <c r="AH55" s="30">
        <f t="shared" si="275"/>
        <v>33.392700288988713</v>
      </c>
      <c r="AI55" s="30">
        <f t="shared" si="275"/>
        <v>33.60457296969647</v>
      </c>
      <c r="AJ55" s="30">
        <v>33.816445650404226</v>
      </c>
      <c r="AK55" s="31">
        <v>4.2935972535475653</v>
      </c>
      <c r="AL55" s="31">
        <v>1.6171987334681504</v>
      </c>
    </row>
    <row r="56" spans="1:38" x14ac:dyDescent="0.3">
      <c r="A56" t="str">
        <f>VLOOKUP(B56,'Country codes'!$A$1:$B$28,2,FALSE)</f>
        <v>MT</v>
      </c>
      <c r="B56" s="23" t="s">
        <v>109</v>
      </c>
      <c r="C56" s="24" t="s">
        <v>121</v>
      </c>
      <c r="D56" s="28" t="s">
        <v>125</v>
      </c>
      <c r="E56" s="29" t="s">
        <v>123</v>
      </c>
      <c r="F56" s="30">
        <v>0</v>
      </c>
      <c r="G56" s="30">
        <f t="shared" ref="G56:J56" si="276">F56+(($K56-$F56)/5)</f>
        <v>0</v>
      </c>
      <c r="H56" s="30">
        <f t="shared" si="276"/>
        <v>0</v>
      </c>
      <c r="I56" s="30">
        <f t="shared" si="276"/>
        <v>0</v>
      </c>
      <c r="J56" s="30">
        <f t="shared" si="276"/>
        <v>0</v>
      </c>
      <c r="K56" s="30">
        <v>0</v>
      </c>
      <c r="L56" s="30">
        <f t="shared" ref="L56:O56" si="277">K56+(($P56-$K56)/5)</f>
        <v>0</v>
      </c>
      <c r="M56" s="30">
        <f t="shared" si="277"/>
        <v>0</v>
      </c>
      <c r="N56" s="30">
        <f t="shared" si="277"/>
        <v>0</v>
      </c>
      <c r="O56" s="30">
        <f t="shared" si="277"/>
        <v>0</v>
      </c>
      <c r="P56" s="30">
        <v>0</v>
      </c>
      <c r="Q56" s="30">
        <f t="shared" ref="Q56:T56" si="278">P56+(($U56-$P56)/5)</f>
        <v>0</v>
      </c>
      <c r="R56" s="30">
        <f t="shared" si="278"/>
        <v>0</v>
      </c>
      <c r="S56" s="30">
        <f t="shared" si="278"/>
        <v>0</v>
      </c>
      <c r="T56" s="30">
        <f t="shared" si="278"/>
        <v>0</v>
      </c>
      <c r="U56" s="30">
        <v>0</v>
      </c>
      <c r="V56" s="30">
        <f t="shared" ref="V56:Y56" si="279">U56+(($Z56-$U56)/5)</f>
        <v>0</v>
      </c>
      <c r="W56" s="30">
        <f t="shared" si="279"/>
        <v>0</v>
      </c>
      <c r="X56" s="30">
        <f t="shared" si="279"/>
        <v>0</v>
      </c>
      <c r="Y56" s="30">
        <f t="shared" si="279"/>
        <v>0</v>
      </c>
      <c r="Z56" s="30">
        <v>0</v>
      </c>
      <c r="AA56" s="30">
        <f t="shared" ref="AA56:AD56" si="280">Z56+(($AE56-$Z56)/5)</f>
        <v>0</v>
      </c>
      <c r="AB56" s="30">
        <f t="shared" si="280"/>
        <v>0</v>
      </c>
      <c r="AC56" s="30">
        <f t="shared" si="280"/>
        <v>0</v>
      </c>
      <c r="AD56" s="30">
        <f t="shared" si="280"/>
        <v>0</v>
      </c>
      <c r="AE56" s="30">
        <v>0</v>
      </c>
      <c r="AF56" s="30">
        <f t="shared" ref="AF56:AI56" si="281">AE56+(($AJ56-$AE56)/5)</f>
        <v>0</v>
      </c>
      <c r="AG56" s="30">
        <f t="shared" si="281"/>
        <v>0</v>
      </c>
      <c r="AH56" s="30">
        <f t="shared" si="281"/>
        <v>0</v>
      </c>
      <c r="AI56" s="30">
        <f t="shared" si="281"/>
        <v>0</v>
      </c>
      <c r="AJ56" s="30">
        <v>0</v>
      </c>
      <c r="AK56" s="31" t="s">
        <v>124</v>
      </c>
      <c r="AL56" s="31" t="s">
        <v>124</v>
      </c>
    </row>
    <row r="57" spans="1:38" x14ac:dyDescent="0.3">
      <c r="A57" t="str">
        <f>VLOOKUP(B57,'Country codes'!$A$1:$B$28,2,FALSE)</f>
        <v>NL</v>
      </c>
      <c r="B57" s="23" t="s">
        <v>110</v>
      </c>
      <c r="C57" s="24" t="s">
        <v>121</v>
      </c>
      <c r="D57" s="28" t="s">
        <v>125</v>
      </c>
      <c r="E57" s="29" t="s">
        <v>123</v>
      </c>
      <c r="F57" s="30">
        <v>5.9772295419484287</v>
      </c>
      <c r="G57" s="30">
        <f t="shared" ref="G57:J57" si="282">F57+(($K57-$F57)/5)</f>
        <v>6.3042606862442767</v>
      </c>
      <c r="H57" s="30">
        <f t="shared" si="282"/>
        <v>6.6312918305401247</v>
      </c>
      <c r="I57" s="30">
        <f t="shared" si="282"/>
        <v>6.9583229748359727</v>
      </c>
      <c r="J57" s="30">
        <f t="shared" si="282"/>
        <v>7.2853541191318207</v>
      </c>
      <c r="K57" s="30">
        <v>7.6123852634276696</v>
      </c>
      <c r="L57" s="30">
        <f t="shared" ref="L57:O57" si="283">K57+(($P57-$K57)/5)</f>
        <v>7.838289582601849</v>
      </c>
      <c r="M57" s="30">
        <f t="shared" si="283"/>
        <v>8.0641939017760293</v>
      </c>
      <c r="N57" s="30">
        <f t="shared" si="283"/>
        <v>8.2900982209502097</v>
      </c>
      <c r="O57" s="30">
        <f t="shared" si="283"/>
        <v>8.51600254012439</v>
      </c>
      <c r="P57" s="30">
        <v>8.7419068592985667</v>
      </c>
      <c r="Q57" s="30">
        <f t="shared" ref="Q57:T57" si="284">P57+(($U57-$P57)/5)</f>
        <v>8.8698163238138115</v>
      </c>
      <c r="R57" s="30">
        <f t="shared" si="284"/>
        <v>8.9977257883290562</v>
      </c>
      <c r="S57" s="30">
        <f t="shared" si="284"/>
        <v>9.125635252844301</v>
      </c>
      <c r="T57" s="30">
        <f t="shared" si="284"/>
        <v>9.2535447173595458</v>
      </c>
      <c r="U57" s="30">
        <v>9.3814541818747941</v>
      </c>
      <c r="V57" s="30">
        <f t="shared" ref="V57:Y57" si="285">U57+(($Z57-$U57)/5)</f>
        <v>9.4679237662104523</v>
      </c>
      <c r="W57" s="30">
        <f t="shared" si="285"/>
        <v>9.5543933505461105</v>
      </c>
      <c r="X57" s="30">
        <f t="shared" si="285"/>
        <v>9.6408629348817687</v>
      </c>
      <c r="Y57" s="30">
        <f t="shared" si="285"/>
        <v>9.7273325192174269</v>
      </c>
      <c r="Z57" s="30">
        <v>9.8138021035530869</v>
      </c>
      <c r="AA57" s="30">
        <f t="shared" ref="AA57:AD57" si="286">Z57+(($AE57-$Z57)/5)</f>
        <v>9.9152290375072916</v>
      </c>
      <c r="AB57" s="30">
        <f t="shared" si="286"/>
        <v>10.016655971461496</v>
      </c>
      <c r="AC57" s="30">
        <f t="shared" si="286"/>
        <v>10.118082905415701</v>
      </c>
      <c r="AD57" s="30">
        <f t="shared" si="286"/>
        <v>10.219509839369906</v>
      </c>
      <c r="AE57" s="30">
        <v>10.320936773324112</v>
      </c>
      <c r="AF57" s="30">
        <f t="shared" ref="AF57:AI57" si="287">AE57+(($AJ57-$AE57)/5)</f>
        <v>10.431395454613682</v>
      </c>
      <c r="AG57" s="30">
        <f t="shared" si="287"/>
        <v>10.541854135903252</v>
      </c>
      <c r="AH57" s="30">
        <f t="shared" si="287"/>
        <v>10.652312817192822</v>
      </c>
      <c r="AI57" s="30">
        <f t="shared" si="287"/>
        <v>10.762771498482392</v>
      </c>
      <c r="AJ57" s="30">
        <v>10.873230179771959</v>
      </c>
      <c r="AK57" s="31">
        <v>3.8749012856002851</v>
      </c>
      <c r="AL57" s="31">
        <v>1.096849160851332</v>
      </c>
    </row>
    <row r="58" spans="1:38" x14ac:dyDescent="0.3">
      <c r="A58" t="str">
        <f>VLOOKUP(B58,'Country codes'!$A$1:$B$28,2,FALSE)</f>
        <v>PL</v>
      </c>
      <c r="B58" s="23" t="s">
        <v>111</v>
      </c>
      <c r="C58" s="24" t="s">
        <v>121</v>
      </c>
      <c r="D58" s="28" t="s">
        <v>125</v>
      </c>
      <c r="E58" s="29" t="s">
        <v>123</v>
      </c>
      <c r="F58" s="30">
        <v>52.30166708148851</v>
      </c>
      <c r="G58" s="30">
        <f t="shared" ref="G58:J58" si="288">F58+(($K58-$F58)/5)</f>
        <v>54.875943677865479</v>
      </c>
      <c r="H58" s="30">
        <f t="shared" si="288"/>
        <v>57.450220274242447</v>
      </c>
      <c r="I58" s="30">
        <f t="shared" si="288"/>
        <v>60.024496870619416</v>
      </c>
      <c r="J58" s="30">
        <f t="shared" si="288"/>
        <v>62.598773466996384</v>
      </c>
      <c r="K58" s="30">
        <v>65.173050063373353</v>
      </c>
      <c r="L58" s="30">
        <f t="shared" ref="L58:O58" si="289">K58+(($P58-$K58)/5)</f>
        <v>67.493697147386555</v>
      </c>
      <c r="M58" s="30">
        <f t="shared" si="289"/>
        <v>69.814344231399758</v>
      </c>
      <c r="N58" s="30">
        <f t="shared" si="289"/>
        <v>72.134991315412961</v>
      </c>
      <c r="O58" s="30">
        <f t="shared" si="289"/>
        <v>74.455638399426164</v>
      </c>
      <c r="P58" s="30">
        <v>76.776285483439338</v>
      </c>
      <c r="Q58" s="30">
        <f t="shared" ref="Q58:T58" si="290">P58+(($U58-$P58)/5)</f>
        <v>78.450119183758304</v>
      </c>
      <c r="R58" s="30">
        <f t="shared" si="290"/>
        <v>80.123952884077269</v>
      </c>
      <c r="S58" s="30">
        <f t="shared" si="290"/>
        <v>81.797786584396235</v>
      </c>
      <c r="T58" s="30">
        <f t="shared" si="290"/>
        <v>83.4716202847152</v>
      </c>
      <c r="U58" s="30">
        <v>85.145453985034152</v>
      </c>
      <c r="V58" s="30">
        <f t="shared" ref="V58:Y58" si="291">U58+(($Z58-$U58)/5)</f>
        <v>86.605290629057137</v>
      </c>
      <c r="W58" s="30">
        <f t="shared" si="291"/>
        <v>88.065127273080122</v>
      </c>
      <c r="X58" s="30">
        <f t="shared" si="291"/>
        <v>89.524963917103108</v>
      </c>
      <c r="Y58" s="30">
        <f t="shared" si="291"/>
        <v>90.984800561126093</v>
      </c>
      <c r="Z58" s="30">
        <v>92.444637205149064</v>
      </c>
      <c r="AA58" s="30">
        <f t="shared" ref="AA58:AD58" si="292">Z58+(($AE58-$Z58)/5)</f>
        <v>93.1126907249282</v>
      </c>
      <c r="AB58" s="30">
        <f t="shared" si="292"/>
        <v>93.780744244707336</v>
      </c>
      <c r="AC58" s="30">
        <f t="shared" si="292"/>
        <v>94.448797764486471</v>
      </c>
      <c r="AD58" s="30">
        <f t="shared" si="292"/>
        <v>95.116851284265607</v>
      </c>
      <c r="AE58" s="30">
        <v>95.784904804044714</v>
      </c>
      <c r="AF58" s="30">
        <f t="shared" ref="AF58:AI58" si="293">AE58+(($AJ58-$AE58)/5)</f>
        <v>96.502308841843856</v>
      </c>
      <c r="AG58" s="30">
        <f t="shared" si="293"/>
        <v>97.219712879642998</v>
      </c>
      <c r="AH58" s="30">
        <f t="shared" si="293"/>
        <v>97.93711691744214</v>
      </c>
      <c r="AI58" s="30">
        <f t="shared" si="293"/>
        <v>98.654520955241281</v>
      </c>
      <c r="AJ58" s="30">
        <v>99.371924993040395</v>
      </c>
      <c r="AK58" s="31">
        <v>3.9133046504487012</v>
      </c>
      <c r="AL58" s="31">
        <v>1.2982237909613392</v>
      </c>
    </row>
    <row r="59" spans="1:38" x14ac:dyDescent="0.3">
      <c r="A59" t="str">
        <f>VLOOKUP(B59,'Country codes'!$A$1:$B$28,2,FALSE)</f>
        <v>PT</v>
      </c>
      <c r="B59" s="23" t="s">
        <v>112</v>
      </c>
      <c r="C59" s="24" t="s">
        <v>121</v>
      </c>
      <c r="D59" s="28" t="s">
        <v>125</v>
      </c>
      <c r="E59" s="29" t="s">
        <v>123</v>
      </c>
      <c r="F59" s="30">
        <v>2.5431883171130636</v>
      </c>
      <c r="G59" s="30">
        <f t="shared" ref="G59:J59" si="294">F59+(($K59-$F59)/5)</f>
        <v>2.6316324265118394</v>
      </c>
      <c r="H59" s="30">
        <f t="shared" si="294"/>
        <v>2.7200765359106152</v>
      </c>
      <c r="I59" s="30">
        <f t="shared" si="294"/>
        <v>2.8085206453093909</v>
      </c>
      <c r="J59" s="30">
        <f t="shared" si="294"/>
        <v>2.8969647547081667</v>
      </c>
      <c r="K59" s="30">
        <v>2.9854088641069429</v>
      </c>
      <c r="L59" s="30">
        <f t="shared" ref="L59:O59" si="295">K59+(($P59-$K59)/5)</f>
        <v>3.0546641209280625</v>
      </c>
      <c r="M59" s="30">
        <f t="shared" si="295"/>
        <v>3.123919377749182</v>
      </c>
      <c r="N59" s="30">
        <f t="shared" si="295"/>
        <v>3.1931746345703016</v>
      </c>
      <c r="O59" s="30">
        <f t="shared" si="295"/>
        <v>3.2624298913914211</v>
      </c>
      <c r="P59" s="30">
        <v>3.3316851482125402</v>
      </c>
      <c r="Q59" s="30">
        <f t="shared" ref="Q59:T59" si="296">P59+(($U59-$P59)/5)</f>
        <v>3.3860787336633069</v>
      </c>
      <c r="R59" s="30">
        <f t="shared" si="296"/>
        <v>3.4404723191140736</v>
      </c>
      <c r="S59" s="30">
        <f t="shared" si="296"/>
        <v>3.4948659045648403</v>
      </c>
      <c r="T59" s="30">
        <f t="shared" si="296"/>
        <v>3.5492594900156069</v>
      </c>
      <c r="U59" s="30">
        <v>3.603653075466374</v>
      </c>
      <c r="V59" s="30">
        <f t="shared" ref="V59:Y59" si="297">U59+(($Z59-$U59)/5)</f>
        <v>3.6517170900420619</v>
      </c>
      <c r="W59" s="30">
        <f t="shared" si="297"/>
        <v>3.6997811046177498</v>
      </c>
      <c r="X59" s="30">
        <f t="shared" si="297"/>
        <v>3.7478451191934377</v>
      </c>
      <c r="Y59" s="30">
        <f t="shared" si="297"/>
        <v>3.7959091337691255</v>
      </c>
      <c r="Z59" s="30">
        <v>3.8439731483448139</v>
      </c>
      <c r="AA59" s="30">
        <f t="shared" ref="AA59:AD59" si="298">Z59+(($AE59-$Z59)/5)</f>
        <v>3.8916610499343847</v>
      </c>
      <c r="AB59" s="30">
        <f t="shared" si="298"/>
        <v>3.9393489515239555</v>
      </c>
      <c r="AC59" s="30">
        <f t="shared" si="298"/>
        <v>3.9870368531135263</v>
      </c>
      <c r="AD59" s="30">
        <f t="shared" si="298"/>
        <v>4.0347247547030971</v>
      </c>
      <c r="AE59" s="30">
        <v>4.082412656292667</v>
      </c>
      <c r="AF59" s="30">
        <f t="shared" ref="AF59:AI59" si="299">AE59+(($AJ59-$AE59)/5)</f>
        <v>4.1275964245392176</v>
      </c>
      <c r="AG59" s="30">
        <f t="shared" si="299"/>
        <v>4.1727801927857682</v>
      </c>
      <c r="AH59" s="30">
        <f t="shared" si="299"/>
        <v>4.2179639610323187</v>
      </c>
      <c r="AI59" s="30">
        <f t="shared" si="299"/>
        <v>4.2631477292788693</v>
      </c>
      <c r="AJ59" s="30">
        <v>4.308331497525419</v>
      </c>
      <c r="AK59" s="31">
        <v>2.7373935106991043</v>
      </c>
      <c r="AL59" s="31">
        <v>1.293658685699417</v>
      </c>
    </row>
    <row r="60" spans="1:38" x14ac:dyDescent="0.3">
      <c r="A60" t="str">
        <f>VLOOKUP(B60,'Country codes'!$A$1:$B$28,2,FALSE)</f>
        <v>RO</v>
      </c>
      <c r="B60" s="23" t="s">
        <v>113</v>
      </c>
      <c r="C60" s="24" t="s">
        <v>121</v>
      </c>
      <c r="D60" s="28" t="s">
        <v>125</v>
      </c>
      <c r="E60" s="29" t="s">
        <v>123</v>
      </c>
      <c r="F60" s="30">
        <v>12.920023570174244</v>
      </c>
      <c r="G60" s="30">
        <f t="shared" ref="G60:J60" si="300">F60+(($K60-$F60)/5)</f>
        <v>13.75146767031379</v>
      </c>
      <c r="H60" s="30">
        <f t="shared" si="300"/>
        <v>14.582911770453336</v>
      </c>
      <c r="I60" s="30">
        <f t="shared" si="300"/>
        <v>15.414355870592882</v>
      </c>
      <c r="J60" s="30">
        <f t="shared" si="300"/>
        <v>16.245799970732428</v>
      </c>
      <c r="K60" s="30">
        <v>17.077244070871973</v>
      </c>
      <c r="L60" s="30">
        <f t="shared" ref="L60:O60" si="301">K60+(($P60-$K60)/5)</f>
        <v>17.862375094200292</v>
      </c>
      <c r="M60" s="30">
        <f t="shared" si="301"/>
        <v>18.647506117528611</v>
      </c>
      <c r="N60" s="30">
        <f t="shared" si="301"/>
        <v>19.432637140856929</v>
      </c>
      <c r="O60" s="30">
        <f t="shared" si="301"/>
        <v>20.217768164185248</v>
      </c>
      <c r="P60" s="30">
        <v>21.002899187513574</v>
      </c>
      <c r="Q60" s="30">
        <f t="shared" ref="Q60:T60" si="302">P60+(($U60-$P60)/5)</f>
        <v>21.507445371390389</v>
      </c>
      <c r="R60" s="30">
        <f t="shared" si="302"/>
        <v>22.011991555267205</v>
      </c>
      <c r="S60" s="30">
        <f t="shared" si="302"/>
        <v>22.51653773914402</v>
      </c>
      <c r="T60" s="30">
        <f t="shared" si="302"/>
        <v>23.021083923020836</v>
      </c>
      <c r="U60" s="30">
        <v>23.525630106897644</v>
      </c>
      <c r="V60" s="30">
        <f t="shared" ref="V60:Y60" si="303">U60+(($Z60-$U60)/5)</f>
        <v>24.00703838358989</v>
      </c>
      <c r="W60" s="30">
        <f t="shared" si="303"/>
        <v>24.488446660282136</v>
      </c>
      <c r="X60" s="30">
        <f t="shared" si="303"/>
        <v>24.969854936974382</v>
      </c>
      <c r="Y60" s="30">
        <f t="shared" si="303"/>
        <v>25.451263213666628</v>
      </c>
      <c r="Z60" s="30">
        <v>25.932671490358878</v>
      </c>
      <c r="AA60" s="30">
        <f t="shared" ref="AA60:AD60" si="304">Z60+(($AE60-$Z60)/5)</f>
        <v>26.213893567740332</v>
      </c>
      <c r="AB60" s="30">
        <f t="shared" si="304"/>
        <v>26.495115645121786</v>
      </c>
      <c r="AC60" s="30">
        <f t="shared" si="304"/>
        <v>26.776337722503239</v>
      </c>
      <c r="AD60" s="30">
        <f t="shared" si="304"/>
        <v>27.057559799884693</v>
      </c>
      <c r="AE60" s="30">
        <v>27.338781877266147</v>
      </c>
      <c r="AF60" s="30">
        <f t="shared" ref="AF60:AI60" si="305">AE60+(($AJ60-$AE60)/5)</f>
        <v>27.620454790278323</v>
      </c>
      <c r="AG60" s="30">
        <f t="shared" si="305"/>
        <v>27.9021277032905</v>
      </c>
      <c r="AH60" s="30">
        <f t="shared" si="305"/>
        <v>28.183800616302676</v>
      </c>
      <c r="AI60" s="30">
        <f t="shared" si="305"/>
        <v>28.465473529314853</v>
      </c>
      <c r="AJ60" s="30">
        <v>28.747146442327036</v>
      </c>
      <c r="AK60" s="31">
        <v>4.9787976049392446</v>
      </c>
      <c r="AL60" s="31">
        <v>1.581769720308146</v>
      </c>
    </row>
    <row r="61" spans="1:38" x14ac:dyDescent="0.3">
      <c r="A61" t="str">
        <f>VLOOKUP(B61,'Country codes'!$A$1:$B$28,2,FALSE)</f>
        <v>SE</v>
      </c>
      <c r="B61" s="23" t="s">
        <v>114</v>
      </c>
      <c r="C61" s="24" t="s">
        <v>121</v>
      </c>
      <c r="D61" s="28" t="s">
        <v>125</v>
      </c>
      <c r="E61" s="29" t="s">
        <v>123</v>
      </c>
      <c r="F61" s="30">
        <v>20.840995248257492</v>
      </c>
      <c r="G61" s="30">
        <f t="shared" ref="G61:J61" si="306">F61+(($K61-$F61)/5)</f>
        <v>21.882275538198268</v>
      </c>
      <c r="H61" s="30">
        <f t="shared" si="306"/>
        <v>22.923555828139044</v>
      </c>
      <c r="I61" s="30">
        <f t="shared" si="306"/>
        <v>23.96483611807982</v>
      </c>
      <c r="J61" s="30">
        <f t="shared" si="306"/>
        <v>25.006116408020596</v>
      </c>
      <c r="K61" s="30">
        <v>26.047396697961375</v>
      </c>
      <c r="L61" s="30">
        <f t="shared" ref="L61:O61" si="307">K61+(($P61-$K61)/5)</f>
        <v>26.852900012526483</v>
      </c>
      <c r="M61" s="30">
        <f t="shared" si="307"/>
        <v>27.658403327091591</v>
      </c>
      <c r="N61" s="30">
        <f t="shared" si="307"/>
        <v>28.463906641656699</v>
      </c>
      <c r="O61" s="30">
        <f t="shared" si="307"/>
        <v>29.269409956221807</v>
      </c>
      <c r="P61" s="30">
        <v>30.074913270786912</v>
      </c>
      <c r="Q61" s="30">
        <f t="shared" ref="Q61:T61" si="308">P61+(($U61-$P61)/5)</f>
        <v>30.507815938775316</v>
      </c>
      <c r="R61" s="30">
        <f t="shared" si="308"/>
        <v>30.940718606763721</v>
      </c>
      <c r="S61" s="30">
        <f t="shared" si="308"/>
        <v>31.373621274752125</v>
      </c>
      <c r="T61" s="30">
        <f t="shared" si="308"/>
        <v>31.80652394274053</v>
      </c>
      <c r="U61" s="30">
        <v>32.239426610728927</v>
      </c>
      <c r="V61" s="30">
        <f t="shared" ref="V61:Y61" si="309">U61+(($Z61-$U61)/5)</f>
        <v>32.697760670465279</v>
      </c>
      <c r="W61" s="30">
        <f t="shared" si="309"/>
        <v>33.15609473020163</v>
      </c>
      <c r="X61" s="30">
        <f t="shared" si="309"/>
        <v>33.614428789937982</v>
      </c>
      <c r="Y61" s="30">
        <f t="shared" si="309"/>
        <v>34.072762849674334</v>
      </c>
      <c r="Z61" s="30">
        <v>34.531096909410678</v>
      </c>
      <c r="AA61" s="30">
        <f t="shared" ref="AA61:AD61" si="310">Z61+(($AE61-$Z61)/5)</f>
        <v>34.909022672963921</v>
      </c>
      <c r="AB61" s="30">
        <f t="shared" si="310"/>
        <v>35.286948436517164</v>
      </c>
      <c r="AC61" s="30">
        <f t="shared" si="310"/>
        <v>35.664874200070408</v>
      </c>
      <c r="AD61" s="30">
        <f t="shared" si="310"/>
        <v>36.042799963623651</v>
      </c>
      <c r="AE61" s="30">
        <v>36.420725727176908</v>
      </c>
      <c r="AF61" s="30">
        <f t="shared" ref="AF61:AI61" si="311">AE61+(($AJ61-$AE61)/5)</f>
        <v>36.807302560439446</v>
      </c>
      <c r="AG61" s="30">
        <f t="shared" si="311"/>
        <v>37.193879393701984</v>
      </c>
      <c r="AH61" s="30">
        <f t="shared" si="311"/>
        <v>37.580456226964522</v>
      </c>
      <c r="AI61" s="30">
        <f t="shared" si="311"/>
        <v>37.96703306022706</v>
      </c>
      <c r="AJ61" s="30">
        <v>38.353609893489597</v>
      </c>
      <c r="AK61" s="31">
        <v>3.7357838468520699</v>
      </c>
      <c r="AL61" s="31">
        <v>1.2232071029716796</v>
      </c>
    </row>
    <row r="62" spans="1:38" x14ac:dyDescent="0.3">
      <c r="A62" t="str">
        <f>VLOOKUP(B62,'Country codes'!$A$1:$B$28,2,FALSE)</f>
        <v>SI</v>
      </c>
      <c r="B62" s="23" t="s">
        <v>115</v>
      </c>
      <c r="C62" s="24" t="s">
        <v>121</v>
      </c>
      <c r="D62" s="28" t="s">
        <v>125</v>
      </c>
      <c r="E62" s="29" t="s">
        <v>123</v>
      </c>
      <c r="F62" s="30">
        <v>4.9481798697173529</v>
      </c>
      <c r="G62" s="30">
        <f t="shared" ref="G62:J62" si="312">F62+(($K62-$F62)/5)</f>
        <v>5.433564483416446</v>
      </c>
      <c r="H62" s="30">
        <f t="shared" si="312"/>
        <v>5.9189490971155392</v>
      </c>
      <c r="I62" s="30">
        <f t="shared" si="312"/>
        <v>6.4043337108146323</v>
      </c>
      <c r="J62" s="30">
        <f t="shared" si="312"/>
        <v>6.8897183245137255</v>
      </c>
      <c r="K62" s="30">
        <v>7.3751029382128168</v>
      </c>
      <c r="L62" s="30">
        <f t="shared" ref="L62:O62" si="313">K62+(($P62-$K62)/5)</f>
        <v>7.8642992639549156</v>
      </c>
      <c r="M62" s="30">
        <f t="shared" si="313"/>
        <v>8.3534955896970153</v>
      </c>
      <c r="N62" s="30">
        <f t="shared" si="313"/>
        <v>8.842691915439115</v>
      </c>
      <c r="O62" s="30">
        <f t="shared" si="313"/>
        <v>9.3318882411812147</v>
      </c>
      <c r="P62" s="30">
        <v>9.8210845669233109</v>
      </c>
      <c r="Q62" s="30">
        <f t="shared" ref="Q62:T62" si="314">P62+(($U62-$P62)/5)</f>
        <v>10.100743453180611</v>
      </c>
      <c r="R62" s="30">
        <f t="shared" si="314"/>
        <v>10.380402339437911</v>
      </c>
      <c r="S62" s="30">
        <f t="shared" si="314"/>
        <v>10.660061225695211</v>
      </c>
      <c r="T62" s="30">
        <f t="shared" si="314"/>
        <v>10.939720111952511</v>
      </c>
      <c r="U62" s="30">
        <v>11.219378998209812</v>
      </c>
      <c r="V62" s="30">
        <f t="shared" ref="V62:Y62" si="315">U62+(($Z62-$U62)/5)</f>
        <v>11.478980677785801</v>
      </c>
      <c r="W62" s="30">
        <f t="shared" si="315"/>
        <v>11.738582357361789</v>
      </c>
      <c r="X62" s="30">
        <f t="shared" si="315"/>
        <v>11.998184036937777</v>
      </c>
      <c r="Y62" s="30">
        <f t="shared" si="315"/>
        <v>12.257785716513766</v>
      </c>
      <c r="Z62" s="30">
        <v>12.517387396089754</v>
      </c>
      <c r="AA62" s="30">
        <f t="shared" ref="AA62:AD62" si="316">Z62+(($AE62-$Z62)/5)</f>
        <v>12.697899683047357</v>
      </c>
      <c r="AB62" s="30">
        <f t="shared" si="316"/>
        <v>12.87841197000496</v>
      </c>
      <c r="AC62" s="30">
        <f t="shared" si="316"/>
        <v>13.058924256962563</v>
      </c>
      <c r="AD62" s="30">
        <f t="shared" si="316"/>
        <v>13.239436543920165</v>
      </c>
      <c r="AE62" s="30">
        <v>13.41994883087777</v>
      </c>
      <c r="AF62" s="30">
        <f t="shared" ref="AF62:AI62" si="317">AE62+(($AJ62-$AE62)/5)</f>
        <v>13.578197583407068</v>
      </c>
      <c r="AG62" s="30">
        <f t="shared" si="317"/>
        <v>13.736446335936366</v>
      </c>
      <c r="AH62" s="30">
        <f t="shared" si="317"/>
        <v>13.894695088465664</v>
      </c>
      <c r="AI62" s="30">
        <f t="shared" si="317"/>
        <v>14.052943840994962</v>
      </c>
      <c r="AJ62" s="30">
        <v>14.211192593524261</v>
      </c>
      <c r="AK62" s="31">
        <v>7.0955430237972239</v>
      </c>
      <c r="AL62" s="31">
        <v>1.8646632300975297</v>
      </c>
    </row>
    <row r="63" spans="1:38" x14ac:dyDescent="0.3">
      <c r="A63" t="str">
        <f>VLOOKUP(B63,'Country codes'!$A$1:$B$28,2,FALSE)</f>
        <v>SK</v>
      </c>
      <c r="B63" s="23" t="s">
        <v>116</v>
      </c>
      <c r="C63" s="24" t="s">
        <v>121</v>
      </c>
      <c r="D63" s="28" t="s">
        <v>125</v>
      </c>
      <c r="E63" s="29" t="s">
        <v>123</v>
      </c>
      <c r="F63" s="30">
        <v>7.9998467716146768</v>
      </c>
      <c r="G63" s="30">
        <f t="shared" ref="G63:J63" si="318">F63+(($K63-$F63)/5)</f>
        <v>8.3485546326626849</v>
      </c>
      <c r="H63" s="30">
        <f t="shared" si="318"/>
        <v>8.6972624937106922</v>
      </c>
      <c r="I63" s="30">
        <f t="shared" si="318"/>
        <v>9.0459703547587011</v>
      </c>
      <c r="J63" s="30">
        <f t="shared" si="318"/>
        <v>9.3946782158067101</v>
      </c>
      <c r="K63" s="30">
        <v>9.7433860768547174</v>
      </c>
      <c r="L63" s="30">
        <f t="shared" ref="L63:O63" si="319">K63+(($P63-$K63)/5)</f>
        <v>10.102218838729941</v>
      </c>
      <c r="M63" s="30">
        <f t="shared" si="319"/>
        <v>10.461051600605165</v>
      </c>
      <c r="N63" s="30">
        <f t="shared" si="319"/>
        <v>10.819884362480389</v>
      </c>
      <c r="O63" s="30">
        <f t="shared" si="319"/>
        <v>11.178717124355613</v>
      </c>
      <c r="P63" s="30">
        <v>11.537549886230838</v>
      </c>
      <c r="Q63" s="30">
        <f t="shared" ref="Q63:T63" si="320">P63+(($U63-$P63)/5)</f>
        <v>11.793213475251957</v>
      </c>
      <c r="R63" s="30">
        <f t="shared" si="320"/>
        <v>12.048877064273075</v>
      </c>
      <c r="S63" s="30">
        <f t="shared" si="320"/>
        <v>12.304540653294193</v>
      </c>
      <c r="T63" s="30">
        <f t="shared" si="320"/>
        <v>12.560204242315312</v>
      </c>
      <c r="U63" s="30">
        <v>12.815867831336432</v>
      </c>
      <c r="V63" s="30">
        <f t="shared" ref="V63:Y63" si="321">U63+(($Z63-$U63)/5)</f>
        <v>13.050843699652949</v>
      </c>
      <c r="W63" s="30">
        <f t="shared" si="321"/>
        <v>13.285819567969467</v>
      </c>
      <c r="X63" s="30">
        <f t="shared" si="321"/>
        <v>13.520795436285985</v>
      </c>
      <c r="Y63" s="30">
        <f t="shared" si="321"/>
        <v>13.755771304602503</v>
      </c>
      <c r="Z63" s="30">
        <v>13.990747172919018</v>
      </c>
      <c r="AA63" s="30">
        <f t="shared" ref="AA63:AD63" si="322">Z63+(($AE63-$Z63)/5)</f>
        <v>14.122681344322867</v>
      </c>
      <c r="AB63" s="30">
        <f t="shared" si="322"/>
        <v>14.254615515726716</v>
      </c>
      <c r="AC63" s="30">
        <f t="shared" si="322"/>
        <v>14.386549687130564</v>
      </c>
      <c r="AD63" s="30">
        <f t="shared" si="322"/>
        <v>14.518483858534413</v>
      </c>
      <c r="AE63" s="30">
        <v>14.650418029938258</v>
      </c>
      <c r="AF63" s="30">
        <f t="shared" ref="AF63:AI63" si="323">AE63+(($AJ63-$AE63)/5)</f>
        <v>14.801820853213638</v>
      </c>
      <c r="AG63" s="30">
        <f t="shared" si="323"/>
        <v>14.953223676489017</v>
      </c>
      <c r="AH63" s="30">
        <f t="shared" si="323"/>
        <v>15.104626499764397</v>
      </c>
      <c r="AI63" s="30">
        <f t="shared" si="323"/>
        <v>15.256029323039776</v>
      </c>
      <c r="AJ63" s="30">
        <v>15.407432146315157</v>
      </c>
      <c r="AK63" s="31">
        <v>3.729716829400842</v>
      </c>
      <c r="AL63" s="31">
        <v>1.4567236723050714</v>
      </c>
    </row>
  </sheetData>
  <autoFilter ref="A36:AL63" xr:uid="{56A7D95D-7092-4FC6-A012-5E6421842C76}">
    <sortState xmlns:xlrd2="http://schemas.microsoft.com/office/spreadsheetml/2017/richdata2" ref="A37:AL63">
      <sortCondition ref="A36:A63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0826C-4DDA-4163-9E9D-ADC93200E398}">
  <dimension ref="A1:BC30"/>
  <sheetViews>
    <sheetView workbookViewId="0">
      <selection activeCell="A30" sqref="A30"/>
    </sheetView>
  </sheetViews>
  <sheetFormatPr defaultRowHeight="14.4" x14ac:dyDescent="0.3"/>
  <cols>
    <col min="1" max="1" width="10.6640625" customWidth="1"/>
    <col min="2" max="2" width="14" bestFit="1" customWidth="1"/>
    <col min="3" max="4" width="9.5546875" bestFit="1" customWidth="1"/>
  </cols>
  <sheetData>
    <row r="1" spans="1:55" x14ac:dyDescent="0.3">
      <c r="A1" s="1" t="s">
        <v>86</v>
      </c>
    </row>
    <row r="2" spans="1:55" s="3" customFormat="1" x14ac:dyDescent="0.3">
      <c r="A2" s="2" t="s">
        <v>206</v>
      </c>
    </row>
    <row r="3" spans="1:55" x14ac:dyDescent="0.3">
      <c r="A3" t="s">
        <v>1</v>
      </c>
      <c r="B3" s="11" t="s">
        <v>0</v>
      </c>
      <c r="C3" s="11">
        <v>2018</v>
      </c>
      <c r="D3" s="11">
        <v>2019</v>
      </c>
      <c r="E3" s="11">
        <v>2020</v>
      </c>
      <c r="F3" s="11">
        <v>2021</v>
      </c>
      <c r="G3" s="11">
        <v>2022</v>
      </c>
      <c r="H3" s="11">
        <v>2023</v>
      </c>
      <c r="I3" s="11">
        <v>2024</v>
      </c>
      <c r="J3" s="11">
        <v>2025</v>
      </c>
      <c r="K3" s="11">
        <v>2026</v>
      </c>
      <c r="L3" s="11">
        <v>2027</v>
      </c>
      <c r="M3" s="11">
        <v>2028</v>
      </c>
      <c r="N3" s="11">
        <v>2029</v>
      </c>
      <c r="O3" s="11">
        <v>2030</v>
      </c>
      <c r="P3" s="11">
        <v>2031</v>
      </c>
      <c r="Q3" s="11">
        <v>2032</v>
      </c>
      <c r="R3" s="11">
        <v>2033</v>
      </c>
      <c r="S3" s="11">
        <v>2034</v>
      </c>
      <c r="T3" s="11">
        <v>2035</v>
      </c>
      <c r="U3" s="11">
        <v>2036</v>
      </c>
      <c r="V3" s="11">
        <v>2037</v>
      </c>
      <c r="W3" s="11">
        <v>2038</v>
      </c>
      <c r="X3" s="11">
        <v>2039</v>
      </c>
      <c r="Y3" s="11">
        <v>2040</v>
      </c>
      <c r="Z3" s="11">
        <v>2041</v>
      </c>
      <c r="AA3" s="11">
        <v>2042</v>
      </c>
      <c r="AB3" s="11">
        <v>2043</v>
      </c>
      <c r="AC3" s="11">
        <v>2044</v>
      </c>
      <c r="AD3" s="11">
        <v>2045</v>
      </c>
      <c r="AE3" s="11">
        <v>2046</v>
      </c>
      <c r="AF3" s="11">
        <v>2047</v>
      </c>
      <c r="AG3" s="11">
        <v>2048</v>
      </c>
      <c r="AH3" s="11">
        <v>2049</v>
      </c>
      <c r="AI3" s="11">
        <v>2050</v>
      </c>
      <c r="AJ3" s="11">
        <v>2051</v>
      </c>
      <c r="AK3" s="11">
        <v>2052</v>
      </c>
      <c r="AL3" s="11">
        <v>2053</v>
      </c>
      <c r="AM3" s="11">
        <v>2054</v>
      </c>
      <c r="AN3" s="11">
        <v>2055</v>
      </c>
      <c r="AO3" s="11">
        <v>2056</v>
      </c>
      <c r="AP3" s="11">
        <v>2057</v>
      </c>
      <c r="AQ3" s="11">
        <v>2058</v>
      </c>
      <c r="AR3" s="11">
        <v>2059</v>
      </c>
      <c r="AS3" s="11">
        <v>2060</v>
      </c>
      <c r="AT3" s="11">
        <v>2061</v>
      </c>
      <c r="AU3" s="11">
        <v>2062</v>
      </c>
      <c r="AV3" s="11">
        <v>2063</v>
      </c>
      <c r="AW3" s="11">
        <v>2064</v>
      </c>
      <c r="AX3" s="11">
        <v>2065</v>
      </c>
      <c r="AY3" s="11">
        <v>2066</v>
      </c>
      <c r="AZ3" s="11">
        <v>2067</v>
      </c>
      <c r="BA3" s="11">
        <v>2068</v>
      </c>
      <c r="BB3" s="11">
        <v>2069</v>
      </c>
      <c r="BC3" s="11">
        <v>2070</v>
      </c>
    </row>
    <row r="4" spans="1:55" x14ac:dyDescent="0.3">
      <c r="A4" t="str">
        <f t="shared" ref="A4:A30" si="0">LEFT(B4,2)</f>
        <v>AT</v>
      </c>
      <c r="B4" t="s">
        <v>179</v>
      </c>
      <c r="C4" s="13">
        <v>185.21198849999999</v>
      </c>
      <c r="D4" s="13">
        <v>209.4262482</v>
      </c>
      <c r="E4" s="13">
        <v>71.393957670000006</v>
      </c>
      <c r="F4" s="13">
        <v>82.434495429999998</v>
      </c>
      <c r="G4" s="10">
        <f>F4*('Aviation EU Ref'!H3/'Aviation EU Ref'!G3)</f>
        <v>100.85070953130338</v>
      </c>
      <c r="H4" s="10">
        <f>G4*('Aviation EU Ref'!I3/'Aviation EU Ref'!H3)</f>
        <v>119.26692363260675</v>
      </c>
      <c r="I4" s="10">
        <f>H4*('Aviation EU Ref'!J3/'Aviation EU Ref'!I3)</f>
        <v>137.68313773391012</v>
      </c>
      <c r="J4" s="10">
        <f>I4*('Aviation EU Ref'!K3/'Aviation EU Ref'!J3)</f>
        <v>156.09935183521353</v>
      </c>
      <c r="K4" s="10">
        <f>J4*('Aviation EU Ref'!L3/'Aviation EU Ref'!K3)</f>
        <v>158.71216547699996</v>
      </c>
      <c r="L4" s="10">
        <f>K4*('Aviation EU Ref'!M3/'Aviation EU Ref'!L3)</f>
        <v>161.32497911878639</v>
      </c>
      <c r="M4" s="10">
        <f>L4*('Aviation EU Ref'!N3/'Aviation EU Ref'!M3)</f>
        <v>163.93779276057282</v>
      </c>
      <c r="N4" s="10">
        <f>M4*('Aviation EU Ref'!O3/'Aviation EU Ref'!N3)</f>
        <v>166.55060640235925</v>
      </c>
      <c r="O4" s="10">
        <f>N4*('Aviation EU Ref'!P3/'Aviation EU Ref'!O3)</f>
        <v>169.16342004414562</v>
      </c>
      <c r="P4" s="10">
        <f>O4*('Aviation EU Ref'!Q3/'Aviation EU Ref'!P3)</f>
        <v>172.34795738654114</v>
      </c>
      <c r="Q4" s="10">
        <f>P4*('Aviation EU Ref'!R3/'Aviation EU Ref'!Q3)</f>
        <v>175.53249472893665</v>
      </c>
      <c r="R4" s="10">
        <f>Q4*('Aviation EU Ref'!S3/'Aviation EU Ref'!R3)</f>
        <v>178.71703207133217</v>
      </c>
      <c r="S4" s="10">
        <f>R4*('Aviation EU Ref'!T3/'Aviation EU Ref'!S3)</f>
        <v>181.90156941372766</v>
      </c>
      <c r="T4" s="10">
        <f>S4*('Aviation EU Ref'!U3/'Aviation EU Ref'!T3)</f>
        <v>185.08610675612317</v>
      </c>
      <c r="U4" s="10">
        <f>T4*('Aviation EU Ref'!V3/'Aviation EU Ref'!U3)</f>
        <v>187.88381681912531</v>
      </c>
      <c r="V4" s="10">
        <f>U4*('Aviation EU Ref'!W3/'Aviation EU Ref'!V3)</f>
        <v>190.68152688212743</v>
      </c>
      <c r="W4" s="10">
        <f>V4*('Aviation EU Ref'!X3/'Aviation EU Ref'!W3)</f>
        <v>193.47923694512954</v>
      </c>
      <c r="X4" s="10">
        <f>W4*('Aviation EU Ref'!Y3/'Aviation EU Ref'!X3)</f>
        <v>196.27694700813166</v>
      </c>
      <c r="Y4" s="10">
        <f>X4*('Aviation EU Ref'!Z3/'Aviation EU Ref'!Y3)</f>
        <v>199.07465707113374</v>
      </c>
      <c r="Z4" s="10">
        <f>Y4*('Aviation EU Ref'!AA3/'Aviation EU Ref'!Z3)</f>
        <v>200.79684683400657</v>
      </c>
      <c r="AA4" s="10">
        <f>Z4*('Aviation EU Ref'!AB3/'Aviation EU Ref'!AA3)</f>
        <v>202.51903659687937</v>
      </c>
      <c r="AB4" s="10">
        <f>AA4*('Aviation EU Ref'!AC3/'Aviation EU Ref'!AB3)</f>
        <v>204.2412263597522</v>
      </c>
      <c r="AC4" s="10">
        <f>AB4*('Aviation EU Ref'!AD3/'Aviation EU Ref'!AC3)</f>
        <v>205.96341612262503</v>
      </c>
      <c r="AD4" s="10">
        <f>AC4*('Aviation EU Ref'!AE3/'Aviation EU Ref'!AD3)</f>
        <v>207.68560588549789</v>
      </c>
      <c r="AE4" s="10">
        <f>AD4*('Aviation EU Ref'!AF3/'Aviation EU Ref'!AE3)</f>
        <v>208.89670262464205</v>
      </c>
      <c r="AF4" s="10">
        <f>AE4*('Aviation EU Ref'!AG3/'Aviation EU Ref'!AF3)</f>
        <v>210.1077993637862</v>
      </c>
      <c r="AG4" s="10">
        <f>AF4*('Aviation EU Ref'!AH3/'Aviation EU Ref'!AG3)</f>
        <v>211.31889610293035</v>
      </c>
      <c r="AH4" s="10">
        <f>AG4*('Aviation EU Ref'!AI3/'Aviation EU Ref'!AH3)</f>
        <v>212.52999284207453</v>
      </c>
      <c r="AI4" s="10">
        <f>AH4*('Aviation EU Ref'!AJ3/'Aviation EU Ref'!AI3)</f>
        <v>213.74108958121874</v>
      </c>
      <c r="AJ4" s="14">
        <f>AI4</f>
        <v>213.74108958121874</v>
      </c>
      <c r="AK4" s="14">
        <f t="shared" ref="AK4:BC4" si="1">AJ4</f>
        <v>213.74108958121874</v>
      </c>
      <c r="AL4" s="14">
        <f t="shared" si="1"/>
        <v>213.74108958121874</v>
      </c>
      <c r="AM4" s="14">
        <f t="shared" si="1"/>
        <v>213.74108958121874</v>
      </c>
      <c r="AN4" s="14">
        <f t="shared" si="1"/>
        <v>213.74108958121874</v>
      </c>
      <c r="AO4" s="14">
        <f t="shared" si="1"/>
        <v>213.74108958121874</v>
      </c>
      <c r="AP4" s="14">
        <f t="shared" si="1"/>
        <v>213.74108958121874</v>
      </c>
      <c r="AQ4" s="14">
        <f t="shared" si="1"/>
        <v>213.74108958121874</v>
      </c>
      <c r="AR4" s="14">
        <f t="shared" si="1"/>
        <v>213.74108958121874</v>
      </c>
      <c r="AS4" s="14">
        <f t="shared" si="1"/>
        <v>213.74108958121874</v>
      </c>
      <c r="AT4" s="14">
        <f t="shared" si="1"/>
        <v>213.74108958121874</v>
      </c>
      <c r="AU4" s="14">
        <f t="shared" si="1"/>
        <v>213.74108958121874</v>
      </c>
      <c r="AV4" s="14">
        <f t="shared" si="1"/>
        <v>213.74108958121874</v>
      </c>
      <c r="AW4" s="14">
        <f t="shared" si="1"/>
        <v>213.74108958121874</v>
      </c>
      <c r="AX4" s="14">
        <f t="shared" si="1"/>
        <v>213.74108958121874</v>
      </c>
      <c r="AY4" s="14">
        <f t="shared" si="1"/>
        <v>213.74108958121874</v>
      </c>
      <c r="AZ4" s="14">
        <f t="shared" si="1"/>
        <v>213.74108958121874</v>
      </c>
      <c r="BA4" s="14">
        <f t="shared" si="1"/>
        <v>213.74108958121874</v>
      </c>
      <c r="BB4" s="14">
        <f t="shared" si="1"/>
        <v>213.74108958121874</v>
      </c>
      <c r="BC4" s="14">
        <f t="shared" si="1"/>
        <v>213.74108958121874</v>
      </c>
    </row>
    <row r="5" spans="1:55" x14ac:dyDescent="0.3">
      <c r="A5" t="str">
        <f t="shared" si="0"/>
        <v>BE</v>
      </c>
      <c r="B5" t="s">
        <v>181</v>
      </c>
      <c r="C5" s="13">
        <v>290.69278850000001</v>
      </c>
      <c r="D5" s="13">
        <v>289.84477829999997</v>
      </c>
      <c r="E5" s="13">
        <v>181.65496859999999</v>
      </c>
      <c r="F5" s="13">
        <v>235.39624019999999</v>
      </c>
      <c r="G5" s="10">
        <f>F5*('Aviation EU Ref'!H4/'Aviation EU Ref'!G4)</f>
        <v>285.45606362184321</v>
      </c>
      <c r="H5" s="10">
        <f>G5*('Aviation EU Ref'!I4/'Aviation EU Ref'!H4)</f>
        <v>335.51588704368646</v>
      </c>
      <c r="I5" s="10">
        <f>H5*('Aviation EU Ref'!J4/'Aviation EU Ref'!I4)</f>
        <v>385.57571046552965</v>
      </c>
      <c r="J5" s="10">
        <f>I5*('Aviation EU Ref'!K4/'Aviation EU Ref'!J4)</f>
        <v>435.6355338873729</v>
      </c>
      <c r="K5" s="10">
        <f>J5*('Aviation EU Ref'!L4/'Aviation EU Ref'!K4)</f>
        <v>446.28625323989365</v>
      </c>
      <c r="L5" s="10">
        <f>K5*('Aviation EU Ref'!M4/'Aviation EU Ref'!L4)</f>
        <v>456.93697259241435</v>
      </c>
      <c r="M5" s="10">
        <f>L5*('Aviation EU Ref'!N4/'Aviation EU Ref'!M4)</f>
        <v>467.5876919449351</v>
      </c>
      <c r="N5" s="10">
        <f>M5*('Aviation EU Ref'!O4/'Aviation EU Ref'!N4)</f>
        <v>478.23841129745585</v>
      </c>
      <c r="O5" s="10">
        <f>N5*('Aviation EU Ref'!P4/'Aviation EU Ref'!O4)</f>
        <v>488.88913064997672</v>
      </c>
      <c r="P5" s="10">
        <f>O5*('Aviation EU Ref'!Q4/'Aviation EU Ref'!P4)</f>
        <v>493.29473517391409</v>
      </c>
      <c r="Q5" s="10">
        <f>P5*('Aviation EU Ref'!R4/'Aviation EU Ref'!Q4)</f>
        <v>497.7003396978514</v>
      </c>
      <c r="R5" s="10">
        <f>Q5*('Aviation EU Ref'!S4/'Aviation EU Ref'!R4)</f>
        <v>502.10594422178877</v>
      </c>
      <c r="S5" s="10">
        <f>R5*('Aviation EU Ref'!T4/'Aviation EU Ref'!S4)</f>
        <v>506.51154874572615</v>
      </c>
      <c r="T5" s="10">
        <f>S5*('Aviation EU Ref'!U4/'Aviation EU Ref'!T4)</f>
        <v>510.9171532696634</v>
      </c>
      <c r="U5" s="10">
        <f>T5*('Aviation EU Ref'!V4/'Aviation EU Ref'!U4)</f>
        <v>518.44281879274922</v>
      </c>
      <c r="V5" s="10">
        <f>U5*('Aviation EU Ref'!W4/'Aviation EU Ref'!V4)</f>
        <v>525.9684843158351</v>
      </c>
      <c r="W5" s="10">
        <f>V5*('Aviation EU Ref'!X4/'Aviation EU Ref'!W4)</f>
        <v>533.49414983892098</v>
      </c>
      <c r="X5" s="10">
        <f>W5*('Aviation EU Ref'!Y4/'Aviation EU Ref'!X4)</f>
        <v>541.01981536200685</v>
      </c>
      <c r="Y5" s="10">
        <f>X5*('Aviation EU Ref'!Z4/'Aviation EU Ref'!Y4)</f>
        <v>548.5454808850925</v>
      </c>
      <c r="Z5" s="10">
        <f>Y5*('Aviation EU Ref'!AA4/'Aviation EU Ref'!Z4)</f>
        <v>551.78476789538263</v>
      </c>
      <c r="AA5" s="10">
        <f>Z5*('Aviation EU Ref'!AB4/'Aviation EU Ref'!AA4)</f>
        <v>555.02405490567276</v>
      </c>
      <c r="AB5" s="10">
        <f>AA5*('Aviation EU Ref'!AC4/'Aviation EU Ref'!AB4)</f>
        <v>558.26334191596288</v>
      </c>
      <c r="AC5" s="10">
        <f>AB5*('Aviation EU Ref'!AD4/'Aviation EU Ref'!AC4)</f>
        <v>561.50262892625312</v>
      </c>
      <c r="AD5" s="10">
        <f>AC5*('Aviation EU Ref'!AE4/'Aviation EU Ref'!AD4)</f>
        <v>564.74191593654336</v>
      </c>
      <c r="AE5" s="10">
        <f>AD5*('Aviation EU Ref'!AF4/'Aviation EU Ref'!AE4)</f>
        <v>568.60218952235607</v>
      </c>
      <c r="AF5" s="10">
        <f>AE5*('Aviation EU Ref'!AG4/'Aviation EU Ref'!AF4)</f>
        <v>572.46246310816878</v>
      </c>
      <c r="AG5" s="10">
        <f>AF5*('Aviation EU Ref'!AH4/'Aviation EU Ref'!AG4)</f>
        <v>576.32273669398148</v>
      </c>
      <c r="AH5" s="10">
        <f>AG5*('Aviation EU Ref'!AI4/'Aviation EU Ref'!AH4)</f>
        <v>580.18301027979419</v>
      </c>
      <c r="AI5" s="10">
        <f>AH5*('Aviation EU Ref'!AJ4/'Aviation EU Ref'!AI4)</f>
        <v>584.04328386560667</v>
      </c>
      <c r="AJ5" s="14">
        <f t="shared" ref="AJ5:BC5" si="2">AI5</f>
        <v>584.04328386560667</v>
      </c>
      <c r="AK5" s="14">
        <f t="shared" si="2"/>
        <v>584.04328386560667</v>
      </c>
      <c r="AL5" s="14">
        <f t="shared" si="2"/>
        <v>584.04328386560667</v>
      </c>
      <c r="AM5" s="14">
        <f t="shared" si="2"/>
        <v>584.04328386560667</v>
      </c>
      <c r="AN5" s="14">
        <f t="shared" si="2"/>
        <v>584.04328386560667</v>
      </c>
      <c r="AO5" s="14">
        <f t="shared" si="2"/>
        <v>584.04328386560667</v>
      </c>
      <c r="AP5" s="14">
        <f t="shared" si="2"/>
        <v>584.04328386560667</v>
      </c>
      <c r="AQ5" s="14">
        <f t="shared" si="2"/>
        <v>584.04328386560667</v>
      </c>
      <c r="AR5" s="14">
        <f t="shared" si="2"/>
        <v>584.04328386560667</v>
      </c>
      <c r="AS5" s="14">
        <f t="shared" si="2"/>
        <v>584.04328386560667</v>
      </c>
      <c r="AT5" s="14">
        <f t="shared" si="2"/>
        <v>584.04328386560667</v>
      </c>
      <c r="AU5" s="14">
        <f t="shared" si="2"/>
        <v>584.04328386560667</v>
      </c>
      <c r="AV5" s="14">
        <f t="shared" si="2"/>
        <v>584.04328386560667</v>
      </c>
      <c r="AW5" s="14">
        <f t="shared" si="2"/>
        <v>584.04328386560667</v>
      </c>
      <c r="AX5" s="14">
        <f t="shared" si="2"/>
        <v>584.04328386560667</v>
      </c>
      <c r="AY5" s="14">
        <f t="shared" si="2"/>
        <v>584.04328386560667</v>
      </c>
      <c r="AZ5" s="14">
        <f t="shared" si="2"/>
        <v>584.04328386560667</v>
      </c>
      <c r="BA5" s="14">
        <f t="shared" si="2"/>
        <v>584.04328386560667</v>
      </c>
      <c r="BB5" s="14">
        <f t="shared" si="2"/>
        <v>584.04328386560667</v>
      </c>
      <c r="BC5" s="14">
        <f t="shared" si="2"/>
        <v>584.04328386560667</v>
      </c>
    </row>
    <row r="6" spans="1:55" x14ac:dyDescent="0.3">
      <c r="A6" t="str">
        <f t="shared" si="0"/>
        <v>BG</v>
      </c>
      <c r="B6" t="s">
        <v>180</v>
      </c>
      <c r="C6" s="13">
        <v>68.468735449999997</v>
      </c>
      <c r="D6" s="13">
        <v>64.823343510000001</v>
      </c>
      <c r="E6" s="13">
        <v>27.544464980000001</v>
      </c>
      <c r="F6" s="13">
        <v>35.109410050000001</v>
      </c>
      <c r="G6" s="10">
        <f>F6*('Aviation EU Ref'!H5/'Aviation EU Ref'!G5)</f>
        <v>43.179618347274008</v>
      </c>
      <c r="H6" s="10">
        <f>G6*('Aviation EU Ref'!I5/'Aviation EU Ref'!H5)</f>
        <v>51.249826644548016</v>
      </c>
      <c r="I6" s="10">
        <f>H6*('Aviation EU Ref'!J5/'Aviation EU Ref'!I5)</f>
        <v>59.320034941822016</v>
      </c>
      <c r="J6" s="10">
        <f>I6*('Aviation EU Ref'!K5/'Aviation EU Ref'!J5)</f>
        <v>67.390243239096023</v>
      </c>
      <c r="K6" s="10">
        <f>J6*('Aviation EU Ref'!L5/'Aviation EU Ref'!K5)</f>
        <v>68.96528211850557</v>
      </c>
      <c r="L6" s="10">
        <f>K6*('Aviation EU Ref'!M5/'Aviation EU Ref'!L5)</f>
        <v>70.540320997915117</v>
      </c>
      <c r="M6" s="10">
        <f>L6*('Aviation EU Ref'!N5/'Aviation EU Ref'!M5)</f>
        <v>72.115359877324664</v>
      </c>
      <c r="N6" s="10">
        <f>M6*('Aviation EU Ref'!O5/'Aviation EU Ref'!N5)</f>
        <v>73.690398756734211</v>
      </c>
      <c r="O6" s="10">
        <f>N6*('Aviation EU Ref'!P5/'Aviation EU Ref'!O5)</f>
        <v>75.265437636143787</v>
      </c>
      <c r="P6" s="10">
        <f>O6*('Aviation EU Ref'!Q5/'Aviation EU Ref'!P5)</f>
        <v>77.205331503511246</v>
      </c>
      <c r="Q6" s="10">
        <f>P6*('Aviation EU Ref'!R5/'Aviation EU Ref'!Q5)</f>
        <v>79.14522537087872</v>
      </c>
      <c r="R6" s="10">
        <f>Q6*('Aviation EU Ref'!S5/'Aviation EU Ref'!R5)</f>
        <v>81.085119238246193</v>
      </c>
      <c r="S6" s="10">
        <f>R6*('Aviation EU Ref'!T5/'Aviation EU Ref'!S5)</f>
        <v>83.025013105613667</v>
      </c>
      <c r="T6" s="10">
        <f>S6*('Aviation EU Ref'!U5/'Aviation EU Ref'!T5)</f>
        <v>84.964906972981154</v>
      </c>
      <c r="U6" s="10">
        <f>T6*('Aviation EU Ref'!V5/'Aviation EU Ref'!U5)</f>
        <v>86.805346682266531</v>
      </c>
      <c r="V6" s="10">
        <f>U6*('Aviation EU Ref'!W5/'Aviation EU Ref'!V5)</f>
        <v>88.645786391551908</v>
      </c>
      <c r="W6" s="10">
        <f>V6*('Aviation EU Ref'!X5/'Aviation EU Ref'!W5)</f>
        <v>90.486226100837271</v>
      </c>
      <c r="X6" s="10">
        <f>W6*('Aviation EU Ref'!Y5/'Aviation EU Ref'!X5)</f>
        <v>92.326665810122634</v>
      </c>
      <c r="Y6" s="10">
        <f>X6*('Aviation EU Ref'!Z5/'Aviation EU Ref'!Y5)</f>
        <v>94.167105519408025</v>
      </c>
      <c r="Z6" s="10">
        <f>Y6*('Aviation EU Ref'!AA5/'Aviation EU Ref'!Z5)</f>
        <v>95.539042021833296</v>
      </c>
      <c r="AA6" s="10">
        <f>Z6*('Aviation EU Ref'!AB5/'Aviation EU Ref'!AA5)</f>
        <v>96.910978524258567</v>
      </c>
      <c r="AB6" s="10">
        <f>AA6*('Aviation EU Ref'!AC5/'Aviation EU Ref'!AB5)</f>
        <v>98.282915026683838</v>
      </c>
      <c r="AC6" s="10">
        <f>AB6*('Aviation EU Ref'!AD5/'Aviation EU Ref'!AC5)</f>
        <v>99.654851529109095</v>
      </c>
      <c r="AD6" s="10">
        <f>AC6*('Aviation EU Ref'!AE5/'Aviation EU Ref'!AD5)</f>
        <v>101.02678803153434</v>
      </c>
      <c r="AE6" s="10">
        <f>AD6*('Aviation EU Ref'!AF5/'Aviation EU Ref'!AE5)</f>
        <v>102.44334895063531</v>
      </c>
      <c r="AF6" s="10">
        <f>AE6*('Aviation EU Ref'!AG5/'Aviation EU Ref'!AF5)</f>
        <v>103.8599098697363</v>
      </c>
      <c r="AG6" s="10">
        <f>AF6*('Aviation EU Ref'!AH5/'Aviation EU Ref'!AG5)</f>
        <v>105.27647078883727</v>
      </c>
      <c r="AH6" s="10">
        <f>AG6*('Aviation EU Ref'!AI5/'Aviation EU Ref'!AH5)</f>
        <v>106.69303170793823</v>
      </c>
      <c r="AI6" s="10">
        <f>AH6*('Aviation EU Ref'!AJ5/'Aviation EU Ref'!AI5)</f>
        <v>108.10959262703921</v>
      </c>
      <c r="AJ6" s="14">
        <f t="shared" ref="AJ6:BC6" si="3">AI6</f>
        <v>108.10959262703921</v>
      </c>
      <c r="AK6" s="14">
        <f t="shared" si="3"/>
        <v>108.10959262703921</v>
      </c>
      <c r="AL6" s="14">
        <f t="shared" si="3"/>
        <v>108.10959262703921</v>
      </c>
      <c r="AM6" s="14">
        <f t="shared" si="3"/>
        <v>108.10959262703921</v>
      </c>
      <c r="AN6" s="14">
        <f t="shared" si="3"/>
        <v>108.10959262703921</v>
      </c>
      <c r="AO6" s="14">
        <f t="shared" si="3"/>
        <v>108.10959262703921</v>
      </c>
      <c r="AP6" s="14">
        <f t="shared" si="3"/>
        <v>108.10959262703921</v>
      </c>
      <c r="AQ6" s="14">
        <f t="shared" si="3"/>
        <v>108.10959262703921</v>
      </c>
      <c r="AR6" s="14">
        <f t="shared" si="3"/>
        <v>108.10959262703921</v>
      </c>
      <c r="AS6" s="14">
        <f t="shared" si="3"/>
        <v>108.10959262703921</v>
      </c>
      <c r="AT6" s="14">
        <f t="shared" si="3"/>
        <v>108.10959262703921</v>
      </c>
      <c r="AU6" s="14">
        <f t="shared" si="3"/>
        <v>108.10959262703921</v>
      </c>
      <c r="AV6" s="14">
        <f t="shared" si="3"/>
        <v>108.10959262703921</v>
      </c>
      <c r="AW6" s="14">
        <f t="shared" si="3"/>
        <v>108.10959262703921</v>
      </c>
      <c r="AX6" s="14">
        <f t="shared" si="3"/>
        <v>108.10959262703921</v>
      </c>
      <c r="AY6" s="14">
        <f t="shared" si="3"/>
        <v>108.10959262703921</v>
      </c>
      <c r="AZ6" s="14">
        <f t="shared" si="3"/>
        <v>108.10959262703921</v>
      </c>
      <c r="BA6" s="14">
        <f t="shared" si="3"/>
        <v>108.10959262703921</v>
      </c>
      <c r="BB6" s="14">
        <f t="shared" si="3"/>
        <v>108.10959262703921</v>
      </c>
      <c r="BC6" s="14">
        <f t="shared" si="3"/>
        <v>108.10959262703921</v>
      </c>
    </row>
    <row r="7" spans="1:55" x14ac:dyDescent="0.3">
      <c r="A7" t="str">
        <f t="shared" si="0"/>
        <v>CY</v>
      </c>
      <c r="B7" t="s">
        <v>192</v>
      </c>
      <c r="C7" s="13">
        <v>84.946381500000001</v>
      </c>
      <c r="D7" s="13">
        <v>82.095221460000005</v>
      </c>
      <c r="E7" s="13">
        <v>25.879153330000001</v>
      </c>
      <c r="F7" s="13">
        <v>44.734073510000002</v>
      </c>
      <c r="G7" s="10">
        <f>F7*('Aviation EU Ref'!H6/'Aviation EU Ref'!G6)</f>
        <v>56.784519733125492</v>
      </c>
      <c r="H7" s="10">
        <f>G7*('Aviation EU Ref'!I6/'Aviation EU Ref'!H6)</f>
        <v>68.834965956250983</v>
      </c>
      <c r="I7" s="10">
        <f>H7*('Aviation EU Ref'!J6/'Aviation EU Ref'!I6)</f>
        <v>80.885412179376473</v>
      </c>
      <c r="J7" s="10">
        <f>I7*('Aviation EU Ref'!K6/'Aviation EU Ref'!J6)</f>
        <v>92.935858402501978</v>
      </c>
      <c r="K7" s="10">
        <f>J7*('Aviation EU Ref'!L6/'Aviation EU Ref'!K6)</f>
        <v>96.940483639753694</v>
      </c>
      <c r="L7" s="10">
        <f>K7*('Aviation EU Ref'!M6/'Aviation EU Ref'!L6)</f>
        <v>100.94510887700542</v>
      </c>
      <c r="M7" s="10">
        <f>L7*('Aviation EU Ref'!N6/'Aviation EU Ref'!M6)</f>
        <v>104.94973411425714</v>
      </c>
      <c r="N7" s="10">
        <f>M7*('Aviation EU Ref'!O6/'Aviation EU Ref'!N6)</f>
        <v>108.95435935150886</v>
      </c>
      <c r="O7" s="10">
        <f>N7*('Aviation EU Ref'!P6/'Aviation EU Ref'!O6)</f>
        <v>112.95898458876057</v>
      </c>
      <c r="P7" s="10">
        <f>O7*('Aviation EU Ref'!Q6/'Aviation EU Ref'!P6)</f>
        <v>117.67184471779545</v>
      </c>
      <c r="Q7" s="10">
        <f>P7*('Aviation EU Ref'!R6/'Aviation EU Ref'!Q6)</f>
        <v>122.38470484683033</v>
      </c>
      <c r="R7" s="10">
        <f>Q7*('Aviation EU Ref'!S6/'Aviation EU Ref'!R6)</f>
        <v>127.09756497586521</v>
      </c>
      <c r="S7" s="10">
        <f>R7*('Aviation EU Ref'!T6/'Aviation EU Ref'!S6)</f>
        <v>131.8104251049001</v>
      </c>
      <c r="T7" s="10">
        <f>S7*('Aviation EU Ref'!U6/'Aviation EU Ref'!T6)</f>
        <v>136.52328523393493</v>
      </c>
      <c r="U7" s="10">
        <f>T7*('Aviation EU Ref'!V6/'Aviation EU Ref'!U6)</f>
        <v>139.8156190592492</v>
      </c>
      <c r="V7" s="10">
        <f>U7*('Aviation EU Ref'!W6/'Aviation EU Ref'!V6)</f>
        <v>143.10795288456347</v>
      </c>
      <c r="W7" s="10">
        <f>V7*('Aviation EU Ref'!X6/'Aviation EU Ref'!W6)</f>
        <v>146.40028670987775</v>
      </c>
      <c r="X7" s="10">
        <f>W7*('Aviation EU Ref'!Y6/'Aviation EU Ref'!X6)</f>
        <v>149.69262053519202</v>
      </c>
      <c r="Y7" s="10">
        <f>X7*('Aviation EU Ref'!Z6/'Aviation EU Ref'!Y6)</f>
        <v>152.98495436050632</v>
      </c>
      <c r="Z7" s="10">
        <f>Y7*('Aviation EU Ref'!AA6/'Aviation EU Ref'!Z6)</f>
        <v>155.31464761455388</v>
      </c>
      <c r="AA7" s="10">
        <f>Z7*('Aviation EU Ref'!AB6/'Aviation EU Ref'!AA6)</f>
        <v>157.64434086860143</v>
      </c>
      <c r="AB7" s="10">
        <f>AA7*('Aviation EU Ref'!AC6/'Aviation EU Ref'!AB6)</f>
        <v>159.97403412264899</v>
      </c>
      <c r="AC7" s="10">
        <f>AB7*('Aviation EU Ref'!AD6/'Aviation EU Ref'!AC6)</f>
        <v>162.30372737669654</v>
      </c>
      <c r="AD7" s="10">
        <f>AC7*('Aviation EU Ref'!AE6/'Aviation EU Ref'!AD6)</f>
        <v>164.63342063074413</v>
      </c>
      <c r="AE7" s="10">
        <f>AD7*('Aviation EU Ref'!AF6/'Aviation EU Ref'!AE6)</f>
        <v>166.97698884336339</v>
      </c>
      <c r="AF7" s="10">
        <f>AE7*('Aviation EU Ref'!AG6/'Aviation EU Ref'!AF6)</f>
        <v>169.32055705598268</v>
      </c>
      <c r="AG7" s="10">
        <f>AF7*('Aviation EU Ref'!AH6/'Aviation EU Ref'!AG6)</f>
        <v>171.66412526860196</v>
      </c>
      <c r="AH7" s="10">
        <f>AG7*('Aviation EU Ref'!AI6/'Aviation EU Ref'!AH6)</f>
        <v>174.00769348122125</v>
      </c>
      <c r="AI7" s="10">
        <f>AH7*('Aviation EU Ref'!AJ6/'Aviation EU Ref'!AI6)</f>
        <v>176.35126169384054</v>
      </c>
      <c r="AJ7" s="14">
        <f t="shared" ref="AJ7:BC7" si="4">AI7</f>
        <v>176.35126169384054</v>
      </c>
      <c r="AK7" s="14">
        <f t="shared" si="4"/>
        <v>176.35126169384054</v>
      </c>
      <c r="AL7" s="14">
        <f t="shared" si="4"/>
        <v>176.35126169384054</v>
      </c>
      <c r="AM7" s="14">
        <f t="shared" si="4"/>
        <v>176.35126169384054</v>
      </c>
      <c r="AN7" s="14">
        <f t="shared" si="4"/>
        <v>176.35126169384054</v>
      </c>
      <c r="AO7" s="14">
        <f t="shared" si="4"/>
        <v>176.35126169384054</v>
      </c>
      <c r="AP7" s="14">
        <f t="shared" si="4"/>
        <v>176.35126169384054</v>
      </c>
      <c r="AQ7" s="14">
        <f t="shared" si="4"/>
        <v>176.35126169384054</v>
      </c>
      <c r="AR7" s="14">
        <f t="shared" si="4"/>
        <v>176.35126169384054</v>
      </c>
      <c r="AS7" s="14">
        <f t="shared" si="4"/>
        <v>176.35126169384054</v>
      </c>
      <c r="AT7" s="14">
        <f t="shared" si="4"/>
        <v>176.35126169384054</v>
      </c>
      <c r="AU7" s="14">
        <f t="shared" si="4"/>
        <v>176.35126169384054</v>
      </c>
      <c r="AV7" s="14">
        <f t="shared" si="4"/>
        <v>176.35126169384054</v>
      </c>
      <c r="AW7" s="14">
        <f t="shared" si="4"/>
        <v>176.35126169384054</v>
      </c>
      <c r="AX7" s="14">
        <f t="shared" si="4"/>
        <v>176.35126169384054</v>
      </c>
      <c r="AY7" s="14">
        <f t="shared" si="4"/>
        <v>176.35126169384054</v>
      </c>
      <c r="AZ7" s="14">
        <f t="shared" si="4"/>
        <v>176.35126169384054</v>
      </c>
      <c r="BA7" s="14">
        <f t="shared" si="4"/>
        <v>176.35126169384054</v>
      </c>
      <c r="BB7" s="14">
        <f t="shared" si="4"/>
        <v>176.35126169384054</v>
      </c>
      <c r="BC7" s="14">
        <f t="shared" si="4"/>
        <v>176.35126169384054</v>
      </c>
    </row>
    <row r="8" spans="1:55" x14ac:dyDescent="0.3">
      <c r="A8" t="str">
        <f t="shared" si="0"/>
        <v>CZ</v>
      </c>
      <c r="B8" t="s">
        <v>182</v>
      </c>
      <c r="C8" s="13">
        <v>106.0550325</v>
      </c>
      <c r="D8" s="13">
        <v>108.07406899999999</v>
      </c>
      <c r="E8" s="13">
        <v>29.693786580000001</v>
      </c>
      <c r="F8" s="13">
        <v>38.115226749999998</v>
      </c>
      <c r="G8" s="10">
        <f>F8*('Aviation EU Ref'!H7/'Aviation EU Ref'!G7)</f>
        <v>45.563393457272234</v>
      </c>
      <c r="H8" s="10">
        <f>G8*('Aviation EU Ref'!I7/'Aviation EU Ref'!H7)</f>
        <v>53.01156016454447</v>
      </c>
      <c r="I8" s="10">
        <f>H8*('Aviation EU Ref'!J7/'Aviation EU Ref'!I7)</f>
        <v>60.459726871816706</v>
      </c>
      <c r="J8" s="10">
        <f>I8*('Aviation EU Ref'!K7/'Aviation EU Ref'!J7)</f>
        <v>67.907893579088935</v>
      </c>
      <c r="K8" s="10">
        <f>J8*('Aviation EU Ref'!L7/'Aviation EU Ref'!K7)</f>
        <v>69.423818484764567</v>
      </c>
      <c r="L8" s="10">
        <f>K8*('Aviation EU Ref'!M7/'Aviation EU Ref'!L7)</f>
        <v>70.939743390440199</v>
      </c>
      <c r="M8" s="10">
        <f>L8*('Aviation EU Ref'!N7/'Aviation EU Ref'!M7)</f>
        <v>72.455668296115817</v>
      </c>
      <c r="N8" s="10">
        <f>M8*('Aviation EU Ref'!O7/'Aviation EU Ref'!N7)</f>
        <v>73.971593201791435</v>
      </c>
      <c r="O8" s="10">
        <f>N8*('Aviation EU Ref'!P7/'Aviation EU Ref'!O7)</f>
        <v>75.487518107467054</v>
      </c>
      <c r="P8" s="10">
        <f>O8*('Aviation EU Ref'!Q7/'Aviation EU Ref'!P7)</f>
        <v>76.953405999171792</v>
      </c>
      <c r="Q8" s="10">
        <f>P8*('Aviation EU Ref'!R7/'Aviation EU Ref'!Q7)</f>
        <v>78.419293890876517</v>
      </c>
      <c r="R8" s="10">
        <f>Q8*('Aviation EU Ref'!S7/'Aviation EU Ref'!R7)</f>
        <v>79.885181782581242</v>
      </c>
      <c r="S8" s="10">
        <f>R8*('Aviation EU Ref'!T7/'Aviation EU Ref'!S7)</f>
        <v>81.351069674285981</v>
      </c>
      <c r="T8" s="10">
        <f>S8*('Aviation EU Ref'!U7/'Aviation EU Ref'!T7)</f>
        <v>82.81695756599072</v>
      </c>
      <c r="U8" s="10">
        <f>T8*('Aviation EU Ref'!V7/'Aviation EU Ref'!U7)</f>
        <v>84.278153948153872</v>
      </c>
      <c r="V8" s="10">
        <f>U8*('Aviation EU Ref'!W7/'Aviation EU Ref'!V7)</f>
        <v>85.739350330317023</v>
      </c>
      <c r="W8" s="10">
        <f>V8*('Aviation EU Ref'!X7/'Aviation EU Ref'!W7)</f>
        <v>87.200546712480175</v>
      </c>
      <c r="X8" s="10">
        <f>W8*('Aviation EU Ref'!Y7/'Aviation EU Ref'!X7)</f>
        <v>88.661743094643327</v>
      </c>
      <c r="Y8" s="10">
        <f>X8*('Aviation EU Ref'!Z7/'Aviation EU Ref'!Y7)</f>
        <v>90.122939476806494</v>
      </c>
      <c r="Z8" s="10">
        <f>Y8*('Aviation EU Ref'!AA7/'Aviation EU Ref'!Z7)</f>
        <v>91.022015114249001</v>
      </c>
      <c r="AA8" s="10">
        <f>Z8*('Aviation EU Ref'!AB7/'Aviation EU Ref'!AA7)</f>
        <v>91.921090751691523</v>
      </c>
      <c r="AB8" s="10">
        <f>AA8*('Aviation EU Ref'!AC7/'Aviation EU Ref'!AB7)</f>
        <v>92.82016638913403</v>
      </c>
      <c r="AC8" s="10">
        <f>AB8*('Aviation EU Ref'!AD7/'Aviation EU Ref'!AC7)</f>
        <v>93.719242026576552</v>
      </c>
      <c r="AD8" s="10">
        <f>AC8*('Aviation EU Ref'!AE7/'Aviation EU Ref'!AD7)</f>
        <v>94.618317664019102</v>
      </c>
      <c r="AE8" s="10">
        <f>AD8*('Aviation EU Ref'!AF7/'Aviation EU Ref'!AE7)</f>
        <v>95.687247000102204</v>
      </c>
      <c r="AF8" s="10">
        <f>AE8*('Aviation EU Ref'!AG7/'Aviation EU Ref'!AF7)</f>
        <v>96.756176336185305</v>
      </c>
      <c r="AG8" s="10">
        <f>AF8*('Aviation EU Ref'!AH7/'Aviation EU Ref'!AG7)</f>
        <v>97.825105672268407</v>
      </c>
      <c r="AH8" s="10">
        <f>AG8*('Aviation EU Ref'!AI7/'Aviation EU Ref'!AH7)</f>
        <v>98.894035008351494</v>
      </c>
      <c r="AI8" s="10">
        <f>AH8*('Aviation EU Ref'!AJ7/'Aviation EU Ref'!AI7)</f>
        <v>99.962964344434582</v>
      </c>
      <c r="AJ8" s="14">
        <f t="shared" ref="AJ8:BC8" si="5">AI8</f>
        <v>99.962964344434582</v>
      </c>
      <c r="AK8" s="14">
        <f t="shared" si="5"/>
        <v>99.962964344434582</v>
      </c>
      <c r="AL8" s="14">
        <f t="shared" si="5"/>
        <v>99.962964344434582</v>
      </c>
      <c r="AM8" s="14">
        <f t="shared" si="5"/>
        <v>99.962964344434582</v>
      </c>
      <c r="AN8" s="14">
        <f t="shared" si="5"/>
        <v>99.962964344434582</v>
      </c>
      <c r="AO8" s="14">
        <f t="shared" si="5"/>
        <v>99.962964344434582</v>
      </c>
      <c r="AP8" s="14">
        <f t="shared" si="5"/>
        <v>99.962964344434582</v>
      </c>
      <c r="AQ8" s="14">
        <f t="shared" si="5"/>
        <v>99.962964344434582</v>
      </c>
      <c r="AR8" s="14">
        <f t="shared" si="5"/>
        <v>99.962964344434582</v>
      </c>
      <c r="AS8" s="14">
        <f t="shared" si="5"/>
        <v>99.962964344434582</v>
      </c>
      <c r="AT8" s="14">
        <f t="shared" si="5"/>
        <v>99.962964344434582</v>
      </c>
      <c r="AU8" s="14">
        <f t="shared" si="5"/>
        <v>99.962964344434582</v>
      </c>
      <c r="AV8" s="14">
        <f t="shared" si="5"/>
        <v>99.962964344434582</v>
      </c>
      <c r="AW8" s="14">
        <f t="shared" si="5"/>
        <v>99.962964344434582</v>
      </c>
      <c r="AX8" s="14">
        <f t="shared" si="5"/>
        <v>99.962964344434582</v>
      </c>
      <c r="AY8" s="14">
        <f t="shared" si="5"/>
        <v>99.962964344434582</v>
      </c>
      <c r="AZ8" s="14">
        <f t="shared" si="5"/>
        <v>99.962964344434582</v>
      </c>
      <c r="BA8" s="14">
        <f t="shared" si="5"/>
        <v>99.962964344434582</v>
      </c>
      <c r="BB8" s="14">
        <f t="shared" si="5"/>
        <v>99.962964344434582</v>
      </c>
      <c r="BC8" s="14">
        <f t="shared" si="5"/>
        <v>99.962964344434582</v>
      </c>
    </row>
    <row r="9" spans="1:55" x14ac:dyDescent="0.3">
      <c r="A9" t="str">
        <f t="shared" si="0"/>
        <v>DE</v>
      </c>
      <c r="B9" t="s">
        <v>184</v>
      </c>
      <c r="C9" s="13">
        <v>1710.3789420000001</v>
      </c>
      <c r="D9" s="13">
        <v>1707.0136339999999</v>
      </c>
      <c r="E9" s="13">
        <v>808.82300869999995</v>
      </c>
      <c r="F9" s="13">
        <v>975.23979599999996</v>
      </c>
      <c r="G9" s="10">
        <f>F9*('Aviation EU Ref'!H8/'Aviation EU Ref'!G8)</f>
        <v>1173.2869818703225</v>
      </c>
      <c r="H9" s="10">
        <f>G9*('Aviation EU Ref'!I8/'Aviation EU Ref'!H8)</f>
        <v>1371.3341677406449</v>
      </c>
      <c r="I9" s="10">
        <f>H9*('Aviation EU Ref'!J8/'Aviation EU Ref'!I8)</f>
        <v>1569.3813536109674</v>
      </c>
      <c r="J9" s="10">
        <f>I9*('Aviation EU Ref'!K8/'Aviation EU Ref'!J8)</f>
        <v>1767.4285394812898</v>
      </c>
      <c r="K9" s="10">
        <f>J9*('Aviation EU Ref'!L8/'Aviation EU Ref'!K8)</f>
        <v>1814.1771900104429</v>
      </c>
      <c r="L9" s="10">
        <f>K9*('Aviation EU Ref'!M8/'Aviation EU Ref'!L8)</f>
        <v>1860.9258405395963</v>
      </c>
      <c r="M9" s="10">
        <f>L9*('Aviation EU Ref'!N8/'Aviation EU Ref'!M8)</f>
        <v>1907.6744910687496</v>
      </c>
      <c r="N9" s="10">
        <f>M9*('Aviation EU Ref'!O8/'Aviation EU Ref'!N8)</f>
        <v>1954.4231415979029</v>
      </c>
      <c r="O9" s="10">
        <f>N9*('Aviation EU Ref'!P8/'Aviation EU Ref'!O8)</f>
        <v>2001.1717921270561</v>
      </c>
      <c r="P9" s="10">
        <f>O9*('Aviation EU Ref'!Q8/'Aviation EU Ref'!P8)</f>
        <v>2043.4126497675293</v>
      </c>
      <c r="Q9" s="10">
        <f>P9*('Aviation EU Ref'!R8/'Aviation EU Ref'!Q8)</f>
        <v>2085.653507408002</v>
      </c>
      <c r="R9" s="10">
        <f>Q9*('Aviation EU Ref'!S8/'Aviation EU Ref'!R8)</f>
        <v>2127.8943650484753</v>
      </c>
      <c r="S9" s="10">
        <f>R9*('Aviation EU Ref'!T8/'Aviation EU Ref'!S8)</f>
        <v>2170.1352226889485</v>
      </c>
      <c r="T9" s="10">
        <f>S9*('Aviation EU Ref'!U8/'Aviation EU Ref'!T8)</f>
        <v>2212.3760803294222</v>
      </c>
      <c r="U9" s="10">
        <f>T9*('Aviation EU Ref'!V8/'Aviation EU Ref'!U8)</f>
        <v>2241.5973215590384</v>
      </c>
      <c r="V9" s="10">
        <f>U9*('Aviation EU Ref'!W8/'Aviation EU Ref'!V8)</f>
        <v>2270.8185627886551</v>
      </c>
      <c r="W9" s="10">
        <f>V9*('Aviation EU Ref'!X8/'Aviation EU Ref'!W8)</f>
        <v>2300.0398040182713</v>
      </c>
      <c r="X9" s="10">
        <f>W9*('Aviation EU Ref'!Y8/'Aviation EU Ref'!X8)</f>
        <v>2329.261045247888</v>
      </c>
      <c r="Y9" s="10">
        <f>X9*('Aviation EU Ref'!Z8/'Aviation EU Ref'!Y8)</f>
        <v>2358.4822864775047</v>
      </c>
      <c r="Z9" s="10">
        <f>Y9*('Aviation EU Ref'!AA8/'Aviation EU Ref'!Z8)</f>
        <v>2393.4294598506626</v>
      </c>
      <c r="AA9" s="10">
        <f>Z9*('Aviation EU Ref'!AB8/'Aviation EU Ref'!AA8)</f>
        <v>2428.3766332238206</v>
      </c>
      <c r="AB9" s="10">
        <f>AA9*('Aviation EU Ref'!AC8/'Aviation EU Ref'!AB8)</f>
        <v>2463.3238065969786</v>
      </c>
      <c r="AC9" s="10">
        <f>AB9*('Aviation EU Ref'!AD8/'Aviation EU Ref'!AC8)</f>
        <v>2498.2709799701365</v>
      </c>
      <c r="AD9" s="10">
        <f>AC9*('Aviation EU Ref'!AE8/'Aviation EU Ref'!AD8)</f>
        <v>2533.2181533432949</v>
      </c>
      <c r="AE9" s="10">
        <f>AD9*('Aviation EU Ref'!AF8/'Aviation EU Ref'!AE8)</f>
        <v>2562.5547530022677</v>
      </c>
      <c r="AF9" s="10">
        <f>AE9*('Aviation EU Ref'!AG8/'Aviation EU Ref'!AF8)</f>
        <v>2591.8913526612405</v>
      </c>
      <c r="AG9" s="10">
        <f>AF9*('Aviation EU Ref'!AH8/'Aviation EU Ref'!AG8)</f>
        <v>2621.2279523202133</v>
      </c>
      <c r="AH9" s="10">
        <f>AG9*('Aviation EU Ref'!AI8/'Aviation EU Ref'!AH8)</f>
        <v>2650.564551979186</v>
      </c>
      <c r="AI9" s="10">
        <f>AH9*('Aviation EU Ref'!AJ8/'Aviation EU Ref'!AI8)</f>
        <v>2679.9011516381597</v>
      </c>
      <c r="AJ9" s="14">
        <f t="shared" ref="AJ9:BC9" si="6">AI9</f>
        <v>2679.9011516381597</v>
      </c>
      <c r="AK9" s="14">
        <f t="shared" si="6"/>
        <v>2679.9011516381597</v>
      </c>
      <c r="AL9" s="14">
        <f t="shared" si="6"/>
        <v>2679.9011516381597</v>
      </c>
      <c r="AM9" s="14">
        <f t="shared" si="6"/>
        <v>2679.9011516381597</v>
      </c>
      <c r="AN9" s="14">
        <f t="shared" si="6"/>
        <v>2679.9011516381597</v>
      </c>
      <c r="AO9" s="14">
        <f t="shared" si="6"/>
        <v>2679.9011516381597</v>
      </c>
      <c r="AP9" s="14">
        <f t="shared" si="6"/>
        <v>2679.9011516381597</v>
      </c>
      <c r="AQ9" s="14">
        <f t="shared" si="6"/>
        <v>2679.9011516381597</v>
      </c>
      <c r="AR9" s="14">
        <f t="shared" si="6"/>
        <v>2679.9011516381597</v>
      </c>
      <c r="AS9" s="14">
        <f t="shared" si="6"/>
        <v>2679.9011516381597</v>
      </c>
      <c r="AT9" s="14">
        <f t="shared" si="6"/>
        <v>2679.9011516381597</v>
      </c>
      <c r="AU9" s="14">
        <f t="shared" si="6"/>
        <v>2679.9011516381597</v>
      </c>
      <c r="AV9" s="14">
        <f t="shared" si="6"/>
        <v>2679.9011516381597</v>
      </c>
      <c r="AW9" s="14">
        <f t="shared" si="6"/>
        <v>2679.9011516381597</v>
      </c>
      <c r="AX9" s="14">
        <f t="shared" si="6"/>
        <v>2679.9011516381597</v>
      </c>
      <c r="AY9" s="14">
        <f t="shared" si="6"/>
        <v>2679.9011516381597</v>
      </c>
      <c r="AZ9" s="14">
        <f t="shared" si="6"/>
        <v>2679.9011516381597</v>
      </c>
      <c r="BA9" s="14">
        <f t="shared" si="6"/>
        <v>2679.9011516381597</v>
      </c>
      <c r="BB9" s="14">
        <f t="shared" si="6"/>
        <v>2679.9011516381597</v>
      </c>
      <c r="BC9" s="14">
        <f t="shared" si="6"/>
        <v>2679.9011516381597</v>
      </c>
    </row>
    <row r="10" spans="1:55" x14ac:dyDescent="0.3">
      <c r="A10" t="str">
        <f t="shared" si="0"/>
        <v>DK</v>
      </c>
      <c r="B10" t="s">
        <v>183</v>
      </c>
      <c r="C10" s="13">
        <v>207.01379990000001</v>
      </c>
      <c r="D10" s="13">
        <v>205.842949</v>
      </c>
      <c r="E10" s="13">
        <v>69.581752019999996</v>
      </c>
      <c r="F10" s="13">
        <v>91.153023950000005</v>
      </c>
      <c r="G10" s="10">
        <f>F10*('Aviation EU Ref'!H9/'Aviation EU Ref'!G9)</f>
        <v>110.98133990585342</v>
      </c>
      <c r="H10" s="10">
        <f>G10*('Aviation EU Ref'!I9/'Aviation EU Ref'!H9)</f>
        <v>130.80965586170683</v>
      </c>
      <c r="I10" s="10">
        <f>H10*('Aviation EU Ref'!J9/'Aviation EU Ref'!I9)</f>
        <v>150.63797181756024</v>
      </c>
      <c r="J10" s="10">
        <f>I10*('Aviation EU Ref'!K9/'Aviation EU Ref'!J9)</f>
        <v>170.46628777341365</v>
      </c>
      <c r="K10" s="10">
        <f>J10*('Aviation EU Ref'!L9/'Aviation EU Ref'!K9)</f>
        <v>178.70571316354381</v>
      </c>
      <c r="L10" s="10">
        <f>K10*('Aviation EU Ref'!M9/'Aviation EU Ref'!L9)</f>
        <v>186.94513855367396</v>
      </c>
      <c r="M10" s="10">
        <f>L10*('Aviation EU Ref'!N9/'Aviation EU Ref'!M9)</f>
        <v>195.18456394380411</v>
      </c>
      <c r="N10" s="10">
        <f>M10*('Aviation EU Ref'!O9/'Aviation EU Ref'!N9)</f>
        <v>203.42398933393423</v>
      </c>
      <c r="O10" s="10">
        <f>N10*('Aviation EU Ref'!P9/'Aviation EU Ref'!O9)</f>
        <v>211.66341472406435</v>
      </c>
      <c r="P10" s="10">
        <f>O10*('Aviation EU Ref'!Q9/'Aviation EU Ref'!P9)</f>
        <v>213.63989254531805</v>
      </c>
      <c r="Q10" s="10">
        <f>P10*('Aviation EU Ref'!R9/'Aviation EU Ref'!Q9)</f>
        <v>215.61637036657174</v>
      </c>
      <c r="R10" s="10">
        <f>Q10*('Aviation EU Ref'!S9/'Aviation EU Ref'!R9)</f>
        <v>217.59284818782541</v>
      </c>
      <c r="S10" s="10">
        <f>R10*('Aviation EU Ref'!T9/'Aviation EU Ref'!S9)</f>
        <v>219.56932600907911</v>
      </c>
      <c r="T10" s="10">
        <f>S10*('Aviation EU Ref'!U9/'Aviation EU Ref'!T9)</f>
        <v>221.54580383033283</v>
      </c>
      <c r="U10" s="10">
        <f>T10*('Aviation EU Ref'!V9/'Aviation EU Ref'!U9)</f>
        <v>222.72759894867943</v>
      </c>
      <c r="V10" s="10">
        <f>U10*('Aviation EU Ref'!W9/'Aviation EU Ref'!V9)</f>
        <v>223.90939406702603</v>
      </c>
      <c r="W10" s="10">
        <f>V10*('Aviation EU Ref'!X9/'Aviation EU Ref'!W9)</f>
        <v>225.09118918537263</v>
      </c>
      <c r="X10" s="10">
        <f>W10*('Aviation EU Ref'!Y9/'Aviation EU Ref'!X9)</f>
        <v>226.27298430371926</v>
      </c>
      <c r="Y10" s="10">
        <f>X10*('Aviation EU Ref'!Z9/'Aviation EU Ref'!Y9)</f>
        <v>227.45477942206591</v>
      </c>
      <c r="Z10" s="10">
        <f>Y10*('Aviation EU Ref'!AA9/'Aviation EU Ref'!Z9)</f>
        <v>228.1202050967558</v>
      </c>
      <c r="AA10" s="10">
        <f>Z10*('Aviation EU Ref'!AB9/'Aviation EU Ref'!AA9)</f>
        <v>228.78563077144568</v>
      </c>
      <c r="AB10" s="10">
        <f>AA10*('Aviation EU Ref'!AC9/'Aviation EU Ref'!AB9)</f>
        <v>229.45105644613557</v>
      </c>
      <c r="AC10" s="10">
        <f>AB10*('Aviation EU Ref'!AD9/'Aviation EU Ref'!AC9)</f>
        <v>230.11648212082548</v>
      </c>
      <c r="AD10" s="10">
        <f>AC10*('Aviation EU Ref'!AE9/'Aviation EU Ref'!AD9)</f>
        <v>230.78190779551537</v>
      </c>
      <c r="AE10" s="10">
        <f>AD10*('Aviation EU Ref'!AF9/'Aviation EU Ref'!AE9)</f>
        <v>231.81016004593013</v>
      </c>
      <c r="AF10" s="10">
        <f>AE10*('Aviation EU Ref'!AG9/'Aviation EU Ref'!AF9)</f>
        <v>232.83841229634493</v>
      </c>
      <c r="AG10" s="10">
        <f>AF10*('Aviation EU Ref'!AH9/'Aviation EU Ref'!AG9)</f>
        <v>233.86666454675972</v>
      </c>
      <c r="AH10" s="10">
        <f>AG10*('Aviation EU Ref'!AI9/'Aviation EU Ref'!AH9)</f>
        <v>234.89491679717455</v>
      </c>
      <c r="AI10" s="10">
        <f>AH10*('Aviation EU Ref'!AJ9/'Aviation EU Ref'!AI9)</f>
        <v>235.92316904758937</v>
      </c>
      <c r="AJ10" s="14">
        <f t="shared" ref="AJ10:BC10" si="7">AI10</f>
        <v>235.92316904758937</v>
      </c>
      <c r="AK10" s="14">
        <f t="shared" si="7"/>
        <v>235.92316904758937</v>
      </c>
      <c r="AL10" s="14">
        <f t="shared" si="7"/>
        <v>235.92316904758937</v>
      </c>
      <c r="AM10" s="14">
        <f t="shared" si="7"/>
        <v>235.92316904758937</v>
      </c>
      <c r="AN10" s="14">
        <f t="shared" si="7"/>
        <v>235.92316904758937</v>
      </c>
      <c r="AO10" s="14">
        <f t="shared" si="7"/>
        <v>235.92316904758937</v>
      </c>
      <c r="AP10" s="14">
        <f t="shared" si="7"/>
        <v>235.92316904758937</v>
      </c>
      <c r="AQ10" s="14">
        <f t="shared" si="7"/>
        <v>235.92316904758937</v>
      </c>
      <c r="AR10" s="14">
        <f t="shared" si="7"/>
        <v>235.92316904758937</v>
      </c>
      <c r="AS10" s="14">
        <f t="shared" si="7"/>
        <v>235.92316904758937</v>
      </c>
      <c r="AT10" s="14">
        <f t="shared" si="7"/>
        <v>235.92316904758937</v>
      </c>
      <c r="AU10" s="14">
        <f t="shared" si="7"/>
        <v>235.92316904758937</v>
      </c>
      <c r="AV10" s="14">
        <f t="shared" si="7"/>
        <v>235.92316904758937</v>
      </c>
      <c r="AW10" s="14">
        <f t="shared" si="7"/>
        <v>235.92316904758937</v>
      </c>
      <c r="AX10" s="14">
        <f t="shared" si="7"/>
        <v>235.92316904758937</v>
      </c>
      <c r="AY10" s="14">
        <f t="shared" si="7"/>
        <v>235.92316904758937</v>
      </c>
      <c r="AZ10" s="14">
        <f t="shared" si="7"/>
        <v>235.92316904758937</v>
      </c>
      <c r="BA10" s="14">
        <f t="shared" si="7"/>
        <v>235.92316904758937</v>
      </c>
      <c r="BB10" s="14">
        <f t="shared" si="7"/>
        <v>235.92316904758937</v>
      </c>
      <c r="BC10" s="14">
        <f t="shared" si="7"/>
        <v>235.92316904758937</v>
      </c>
    </row>
    <row r="11" spans="1:55" x14ac:dyDescent="0.3">
      <c r="A11" t="str">
        <f t="shared" si="0"/>
        <v>EE</v>
      </c>
      <c r="B11" t="s">
        <v>185</v>
      </c>
      <c r="C11" s="13">
        <v>18.922442459999999</v>
      </c>
      <c r="D11" s="13">
        <v>18.248701860000001</v>
      </c>
      <c r="E11" s="13">
        <v>5.7965387179999999</v>
      </c>
      <c r="F11" s="13">
        <v>9.3108409519999995</v>
      </c>
      <c r="G11" s="10">
        <f>F11*('Aviation EU Ref'!H10/'Aviation EU Ref'!G10)</f>
        <v>11.18026401524401</v>
      </c>
      <c r="H11" s="10">
        <f>G11*('Aviation EU Ref'!I10/'Aviation EU Ref'!H10)</f>
        <v>13.04968707848802</v>
      </c>
      <c r="I11" s="10">
        <f>H11*('Aviation EU Ref'!J10/'Aviation EU Ref'!I10)</f>
        <v>14.919110141732029</v>
      </c>
      <c r="J11" s="10">
        <f>I11*('Aviation EU Ref'!K10/'Aviation EU Ref'!J10)</f>
        <v>16.788533204976034</v>
      </c>
      <c r="K11" s="10">
        <f>J11*('Aviation EU Ref'!L10/'Aviation EU Ref'!K10)</f>
        <v>17.431830897863737</v>
      </c>
      <c r="L11" s="10">
        <f>K11*('Aviation EU Ref'!M10/'Aviation EU Ref'!L10)</f>
        <v>18.075128590751437</v>
      </c>
      <c r="M11" s="10">
        <f>L11*('Aviation EU Ref'!N10/'Aviation EU Ref'!M10)</f>
        <v>18.718426283639136</v>
      </c>
      <c r="N11" s="10">
        <f>M11*('Aviation EU Ref'!O10/'Aviation EU Ref'!N10)</f>
        <v>19.361723976526839</v>
      </c>
      <c r="O11" s="10">
        <f>N11*('Aviation EU Ref'!P10/'Aviation EU Ref'!O10)</f>
        <v>20.00502166941455</v>
      </c>
      <c r="P11" s="10">
        <f>O11*('Aviation EU Ref'!Q10/'Aviation EU Ref'!P10)</f>
        <v>20.579690709450723</v>
      </c>
      <c r="Q11" s="10">
        <f>P11*('Aviation EU Ref'!R10/'Aviation EU Ref'!Q10)</f>
        <v>21.1543597494869</v>
      </c>
      <c r="R11" s="10">
        <f>Q11*('Aviation EU Ref'!S10/'Aviation EU Ref'!R10)</f>
        <v>21.729028789523074</v>
      </c>
      <c r="S11" s="10">
        <f>R11*('Aviation EU Ref'!T10/'Aviation EU Ref'!S10)</f>
        <v>22.303697829559248</v>
      </c>
      <c r="T11" s="10">
        <f>S11*('Aviation EU Ref'!U10/'Aviation EU Ref'!T10)</f>
        <v>22.878366869595418</v>
      </c>
      <c r="U11" s="10">
        <f>T11*('Aviation EU Ref'!V10/'Aviation EU Ref'!U10)</f>
        <v>23.377236587644425</v>
      </c>
      <c r="V11" s="10">
        <f>U11*('Aviation EU Ref'!W10/'Aviation EU Ref'!V10)</f>
        <v>23.876106305693433</v>
      </c>
      <c r="W11" s="10">
        <f>V11*('Aviation EU Ref'!X10/'Aviation EU Ref'!W10)</f>
        <v>24.374976023742445</v>
      </c>
      <c r="X11" s="10">
        <f>W11*('Aviation EU Ref'!Y10/'Aviation EU Ref'!X10)</f>
        <v>24.873845741791452</v>
      </c>
      <c r="Y11" s="10">
        <f>X11*('Aviation EU Ref'!Z10/'Aviation EU Ref'!Y10)</f>
        <v>25.372715459840464</v>
      </c>
      <c r="Z11" s="10">
        <f>Y11*('Aviation EU Ref'!AA10/'Aviation EU Ref'!Z10)</f>
        <v>25.84927476244421</v>
      </c>
      <c r="AA11" s="10">
        <f>Z11*('Aviation EU Ref'!AB10/'Aviation EU Ref'!AA10)</f>
        <v>26.325834065047957</v>
      </c>
      <c r="AB11" s="10">
        <f>AA11*('Aviation EU Ref'!AC10/'Aviation EU Ref'!AB10)</f>
        <v>26.8023933676517</v>
      </c>
      <c r="AC11" s="10">
        <f>AB11*('Aviation EU Ref'!AD10/'Aviation EU Ref'!AC10)</f>
        <v>27.278952670255446</v>
      </c>
      <c r="AD11" s="10">
        <f>AC11*('Aviation EU Ref'!AE10/'Aviation EU Ref'!AD10)</f>
        <v>27.7555119728592</v>
      </c>
      <c r="AE11" s="10">
        <f>AD11*('Aviation EU Ref'!AF10/'Aviation EU Ref'!AE10)</f>
        <v>28.234217882390954</v>
      </c>
      <c r="AF11" s="10">
        <f>AE11*('Aviation EU Ref'!AG10/'Aviation EU Ref'!AF10)</f>
        <v>28.712923791922709</v>
      </c>
      <c r="AG11" s="10">
        <f>AF11*('Aviation EU Ref'!AH10/'Aviation EU Ref'!AG10)</f>
        <v>29.191629701454463</v>
      </c>
      <c r="AH11" s="10">
        <f>AG11*('Aviation EU Ref'!AI10/'Aviation EU Ref'!AH10)</f>
        <v>29.670335610986221</v>
      </c>
      <c r="AI11" s="10">
        <f>AH11*('Aviation EU Ref'!AJ10/'Aviation EU Ref'!AI10)</f>
        <v>30.149041520517979</v>
      </c>
      <c r="AJ11" s="14">
        <f t="shared" ref="AJ11:BC11" si="8">AI11</f>
        <v>30.149041520517979</v>
      </c>
      <c r="AK11" s="14">
        <f t="shared" si="8"/>
        <v>30.149041520517979</v>
      </c>
      <c r="AL11" s="14">
        <f t="shared" si="8"/>
        <v>30.149041520517979</v>
      </c>
      <c r="AM11" s="14">
        <f t="shared" si="8"/>
        <v>30.149041520517979</v>
      </c>
      <c r="AN11" s="14">
        <f t="shared" si="8"/>
        <v>30.149041520517979</v>
      </c>
      <c r="AO11" s="14">
        <f t="shared" si="8"/>
        <v>30.149041520517979</v>
      </c>
      <c r="AP11" s="14">
        <f t="shared" si="8"/>
        <v>30.149041520517979</v>
      </c>
      <c r="AQ11" s="14">
        <f t="shared" si="8"/>
        <v>30.149041520517979</v>
      </c>
      <c r="AR11" s="14">
        <f t="shared" si="8"/>
        <v>30.149041520517979</v>
      </c>
      <c r="AS11" s="14">
        <f t="shared" si="8"/>
        <v>30.149041520517979</v>
      </c>
      <c r="AT11" s="14">
        <f t="shared" si="8"/>
        <v>30.149041520517979</v>
      </c>
      <c r="AU11" s="14">
        <f t="shared" si="8"/>
        <v>30.149041520517979</v>
      </c>
      <c r="AV11" s="14">
        <f t="shared" si="8"/>
        <v>30.149041520517979</v>
      </c>
      <c r="AW11" s="14">
        <f t="shared" si="8"/>
        <v>30.149041520517979</v>
      </c>
      <c r="AX11" s="14">
        <f t="shared" si="8"/>
        <v>30.149041520517979</v>
      </c>
      <c r="AY11" s="14">
        <f t="shared" si="8"/>
        <v>30.149041520517979</v>
      </c>
      <c r="AZ11" s="14">
        <f t="shared" si="8"/>
        <v>30.149041520517979</v>
      </c>
      <c r="BA11" s="14">
        <f t="shared" si="8"/>
        <v>30.149041520517979</v>
      </c>
      <c r="BB11" s="14">
        <f t="shared" si="8"/>
        <v>30.149041520517979</v>
      </c>
      <c r="BC11" s="14">
        <f t="shared" si="8"/>
        <v>30.149041520517979</v>
      </c>
    </row>
    <row r="12" spans="1:55" x14ac:dyDescent="0.3">
      <c r="A12" t="str">
        <f t="shared" si="0"/>
        <v>ES</v>
      </c>
      <c r="B12" t="s">
        <v>188</v>
      </c>
      <c r="C12" s="13">
        <v>1503.3330779999999</v>
      </c>
      <c r="D12" s="13">
        <v>1537.6041829999999</v>
      </c>
      <c r="E12" s="13">
        <v>543.59512059999997</v>
      </c>
      <c r="F12" s="13">
        <v>786.62350939999999</v>
      </c>
      <c r="G12" s="10">
        <f>F12*('Aviation EU Ref'!H11/'Aviation EU Ref'!G11)</f>
        <v>970.4622163537407</v>
      </c>
      <c r="H12" s="10">
        <f>G12*('Aviation EU Ref'!I11/'Aviation EU Ref'!H11)</f>
        <v>1154.3009233074813</v>
      </c>
      <c r="I12" s="10">
        <f>H12*('Aviation EU Ref'!J11/'Aviation EU Ref'!I11)</f>
        <v>1338.1396302612222</v>
      </c>
      <c r="J12" s="10">
        <f>I12*('Aviation EU Ref'!K11/'Aviation EU Ref'!J11)</f>
        <v>1521.9783372149629</v>
      </c>
      <c r="K12" s="10">
        <f>J12*('Aviation EU Ref'!L11/'Aviation EU Ref'!K11)</f>
        <v>1556.9955684690342</v>
      </c>
      <c r="L12" s="10">
        <f>K12*('Aviation EU Ref'!M11/'Aviation EU Ref'!L11)</f>
        <v>1592.0127997231054</v>
      </c>
      <c r="M12" s="10">
        <f>L12*('Aviation EU Ref'!N11/'Aviation EU Ref'!M11)</f>
        <v>1627.0300309771767</v>
      </c>
      <c r="N12" s="10">
        <f>M12*('Aviation EU Ref'!O11/'Aviation EU Ref'!N11)</f>
        <v>1662.0472622312477</v>
      </c>
      <c r="O12" s="10">
        <f>N12*('Aviation EU Ref'!P11/'Aviation EU Ref'!O11)</f>
        <v>1697.0644934853187</v>
      </c>
      <c r="P12" s="10">
        <f>O12*('Aviation EU Ref'!Q11/'Aviation EU Ref'!P11)</f>
        <v>1728.6023953285578</v>
      </c>
      <c r="Q12" s="10">
        <f>P12*('Aviation EU Ref'!R11/'Aviation EU Ref'!Q11)</f>
        <v>1760.1402971717969</v>
      </c>
      <c r="R12" s="10">
        <f>Q12*('Aviation EU Ref'!S11/'Aviation EU Ref'!R11)</f>
        <v>1791.6781990150357</v>
      </c>
      <c r="S12" s="10">
        <f>R12*('Aviation EU Ref'!T11/'Aviation EU Ref'!S11)</f>
        <v>1823.2161008582748</v>
      </c>
      <c r="T12" s="10">
        <f>S12*('Aviation EU Ref'!U11/'Aviation EU Ref'!T11)</f>
        <v>1854.7540027015139</v>
      </c>
      <c r="U12" s="10">
        <f>T12*('Aviation EU Ref'!V11/'Aviation EU Ref'!U11)</f>
        <v>1887.6247370219426</v>
      </c>
      <c r="V12" s="10">
        <f>U12*('Aviation EU Ref'!W11/'Aviation EU Ref'!V11)</f>
        <v>1920.4954713423713</v>
      </c>
      <c r="W12" s="10">
        <f>V12*('Aviation EU Ref'!X11/'Aviation EU Ref'!W11)</f>
        <v>1953.3662056628</v>
      </c>
      <c r="X12" s="10">
        <f>W12*('Aviation EU Ref'!Y11/'Aviation EU Ref'!X11)</f>
        <v>1986.2369399832287</v>
      </c>
      <c r="Y12" s="10">
        <f>X12*('Aviation EU Ref'!Z11/'Aviation EU Ref'!Y11)</f>
        <v>2019.1076743036574</v>
      </c>
      <c r="Z12" s="10">
        <f>Y12*('Aviation EU Ref'!AA11/'Aviation EU Ref'!Z11)</f>
        <v>2041.3926401569427</v>
      </c>
      <c r="AA12" s="10">
        <f>Z12*('Aviation EU Ref'!AB11/'Aviation EU Ref'!AA11)</f>
        <v>2063.6776060102279</v>
      </c>
      <c r="AB12" s="10">
        <f>AA12*('Aviation EU Ref'!AC11/'Aviation EU Ref'!AB11)</f>
        <v>2085.9625718635129</v>
      </c>
      <c r="AC12" s="10">
        <f>AB12*('Aviation EU Ref'!AD11/'Aviation EU Ref'!AC11)</f>
        <v>2108.2475377167984</v>
      </c>
      <c r="AD12" s="10">
        <f>AC12*('Aviation EU Ref'!AE11/'Aviation EU Ref'!AD11)</f>
        <v>2130.5325035700844</v>
      </c>
      <c r="AE12" s="10">
        <f>AD12*('Aviation EU Ref'!AF11/'Aviation EU Ref'!AE11)</f>
        <v>2150.4990385302813</v>
      </c>
      <c r="AF12" s="10">
        <f>AE12*('Aviation EU Ref'!AG11/'Aviation EU Ref'!AF11)</f>
        <v>2170.4655734904777</v>
      </c>
      <c r="AG12" s="10">
        <f>AF12*('Aviation EU Ref'!AH11/'Aviation EU Ref'!AG11)</f>
        <v>2190.4321084506741</v>
      </c>
      <c r="AH12" s="10">
        <f>AG12*('Aviation EU Ref'!AI11/'Aviation EU Ref'!AH11)</f>
        <v>2210.3986434108706</v>
      </c>
      <c r="AI12" s="10">
        <f>AH12*('Aviation EU Ref'!AJ11/'Aviation EU Ref'!AI11)</f>
        <v>2230.3651783710675</v>
      </c>
      <c r="AJ12" s="14">
        <f t="shared" ref="AJ12:BC12" si="9">AI12</f>
        <v>2230.3651783710675</v>
      </c>
      <c r="AK12" s="14">
        <f t="shared" si="9"/>
        <v>2230.3651783710675</v>
      </c>
      <c r="AL12" s="14">
        <f t="shared" si="9"/>
        <v>2230.3651783710675</v>
      </c>
      <c r="AM12" s="14">
        <f t="shared" si="9"/>
        <v>2230.3651783710675</v>
      </c>
      <c r="AN12" s="14">
        <f t="shared" si="9"/>
        <v>2230.3651783710675</v>
      </c>
      <c r="AO12" s="14">
        <f t="shared" si="9"/>
        <v>2230.3651783710675</v>
      </c>
      <c r="AP12" s="14">
        <f t="shared" si="9"/>
        <v>2230.3651783710675</v>
      </c>
      <c r="AQ12" s="14">
        <f t="shared" si="9"/>
        <v>2230.3651783710675</v>
      </c>
      <c r="AR12" s="14">
        <f t="shared" si="9"/>
        <v>2230.3651783710675</v>
      </c>
      <c r="AS12" s="14">
        <f t="shared" si="9"/>
        <v>2230.3651783710675</v>
      </c>
      <c r="AT12" s="14">
        <f t="shared" si="9"/>
        <v>2230.3651783710675</v>
      </c>
      <c r="AU12" s="14">
        <f t="shared" si="9"/>
        <v>2230.3651783710675</v>
      </c>
      <c r="AV12" s="14">
        <f t="shared" si="9"/>
        <v>2230.3651783710675</v>
      </c>
      <c r="AW12" s="14">
        <f t="shared" si="9"/>
        <v>2230.3651783710675</v>
      </c>
      <c r="AX12" s="14">
        <f t="shared" si="9"/>
        <v>2230.3651783710675</v>
      </c>
      <c r="AY12" s="14">
        <f t="shared" si="9"/>
        <v>2230.3651783710675</v>
      </c>
      <c r="AZ12" s="14">
        <f t="shared" si="9"/>
        <v>2230.3651783710675</v>
      </c>
      <c r="BA12" s="14">
        <f t="shared" si="9"/>
        <v>2230.3651783710675</v>
      </c>
      <c r="BB12" s="14">
        <f t="shared" si="9"/>
        <v>2230.3651783710675</v>
      </c>
      <c r="BC12" s="14">
        <f t="shared" si="9"/>
        <v>2230.3651783710675</v>
      </c>
    </row>
    <row r="13" spans="1:55" x14ac:dyDescent="0.3">
      <c r="A13" t="str">
        <f t="shared" si="0"/>
        <v>FI</v>
      </c>
      <c r="B13" t="s">
        <v>204</v>
      </c>
      <c r="C13" s="13">
        <v>177.21777689999999</v>
      </c>
      <c r="D13" s="13">
        <v>184.58732380000001</v>
      </c>
      <c r="E13" s="13">
        <v>59.48761082</v>
      </c>
      <c r="F13" s="13">
        <v>57.827477709999997</v>
      </c>
      <c r="G13" s="10">
        <f>F13*('Aviation EU Ref'!H12/'Aviation EU Ref'!G12)</f>
        <v>69.908625488410763</v>
      </c>
      <c r="H13" s="10">
        <f>G13*('Aviation EU Ref'!I12/'Aviation EU Ref'!H12)</f>
        <v>81.989773266821544</v>
      </c>
      <c r="I13" s="10">
        <f>H13*('Aviation EU Ref'!J12/'Aviation EU Ref'!I12)</f>
        <v>94.070921045232325</v>
      </c>
      <c r="J13" s="10">
        <f>I13*('Aviation EU Ref'!K12/'Aviation EU Ref'!J12)</f>
        <v>106.15206882364309</v>
      </c>
      <c r="K13" s="10">
        <f>J13*('Aviation EU Ref'!L12/'Aviation EU Ref'!K12)</f>
        <v>108.41536958117761</v>
      </c>
      <c r="L13" s="10">
        <f>K13*('Aviation EU Ref'!M12/'Aviation EU Ref'!L12)</f>
        <v>110.67867033871214</v>
      </c>
      <c r="M13" s="10">
        <f>L13*('Aviation EU Ref'!N12/'Aviation EU Ref'!M12)</f>
        <v>112.94197109624666</v>
      </c>
      <c r="N13" s="10">
        <f>M13*('Aviation EU Ref'!O12/'Aviation EU Ref'!N12)</f>
        <v>115.2052718537812</v>
      </c>
      <c r="O13" s="10">
        <f>N13*('Aviation EU Ref'!P12/'Aviation EU Ref'!O12)</f>
        <v>117.46857261131571</v>
      </c>
      <c r="P13" s="10">
        <f>O13*('Aviation EU Ref'!Q12/'Aviation EU Ref'!P12)</f>
        <v>119.60328931726876</v>
      </c>
      <c r="Q13" s="10">
        <f>P13*('Aviation EU Ref'!R12/'Aviation EU Ref'!Q12)</f>
        <v>121.73800602322181</v>
      </c>
      <c r="R13" s="10">
        <f>Q13*('Aviation EU Ref'!S12/'Aviation EU Ref'!R12)</f>
        <v>123.87272272917487</v>
      </c>
      <c r="S13" s="10">
        <f>R13*('Aviation EU Ref'!T12/'Aviation EU Ref'!S12)</f>
        <v>126.00743943512792</v>
      </c>
      <c r="T13" s="10">
        <f>S13*('Aviation EU Ref'!U12/'Aviation EU Ref'!T12)</f>
        <v>128.14215614108099</v>
      </c>
      <c r="U13" s="10">
        <f>T13*('Aviation EU Ref'!V12/'Aviation EU Ref'!U12)</f>
        <v>130.02800617326872</v>
      </c>
      <c r="V13" s="10">
        <f>U13*('Aviation EU Ref'!W12/'Aviation EU Ref'!V12)</f>
        <v>131.91385620545645</v>
      </c>
      <c r="W13" s="10">
        <f>V13*('Aviation EU Ref'!X12/'Aviation EU Ref'!W12)</f>
        <v>133.79970623764416</v>
      </c>
      <c r="X13" s="10">
        <f>W13*('Aviation EU Ref'!Y12/'Aviation EU Ref'!X12)</f>
        <v>135.68555626983189</v>
      </c>
      <c r="Y13" s="10">
        <f>X13*('Aviation EU Ref'!Z12/'Aviation EU Ref'!Y12)</f>
        <v>137.57140630201965</v>
      </c>
      <c r="Z13" s="10">
        <f>Y13*('Aviation EU Ref'!AA12/'Aviation EU Ref'!Z12)</f>
        <v>139.14315527825806</v>
      </c>
      <c r="AA13" s="10">
        <f>Z13*('Aviation EU Ref'!AB12/'Aviation EU Ref'!AA12)</f>
        <v>140.71490425449647</v>
      </c>
      <c r="AB13" s="10">
        <f>AA13*('Aviation EU Ref'!AC12/'Aviation EU Ref'!AB12)</f>
        <v>142.28665323073486</v>
      </c>
      <c r="AC13" s="10">
        <f>AB13*('Aviation EU Ref'!AD12/'Aviation EU Ref'!AC12)</f>
        <v>143.85840220697327</v>
      </c>
      <c r="AD13" s="10">
        <f>AC13*('Aviation EU Ref'!AE12/'Aviation EU Ref'!AD12)</f>
        <v>145.43015118321165</v>
      </c>
      <c r="AE13" s="10">
        <f>AD13*('Aviation EU Ref'!AF12/'Aviation EU Ref'!AE12)</f>
        <v>147.04233867782727</v>
      </c>
      <c r="AF13" s="10">
        <f>AE13*('Aviation EU Ref'!AG12/'Aviation EU Ref'!AF12)</f>
        <v>148.65452617244293</v>
      </c>
      <c r="AG13" s="10">
        <f>AF13*('Aviation EU Ref'!AH12/'Aviation EU Ref'!AG12)</f>
        <v>150.26671366705858</v>
      </c>
      <c r="AH13" s="10">
        <f>AG13*('Aviation EU Ref'!AI12/'Aviation EU Ref'!AH12)</f>
        <v>151.87890116167424</v>
      </c>
      <c r="AI13" s="10">
        <f>AH13*('Aviation EU Ref'!AJ12/'Aviation EU Ref'!AI12)</f>
        <v>153.49108865628983</v>
      </c>
      <c r="AJ13" s="14">
        <f t="shared" ref="AJ13:BC13" si="10">AI13</f>
        <v>153.49108865628983</v>
      </c>
      <c r="AK13" s="14">
        <f t="shared" si="10"/>
        <v>153.49108865628983</v>
      </c>
      <c r="AL13" s="14">
        <f t="shared" si="10"/>
        <v>153.49108865628983</v>
      </c>
      <c r="AM13" s="14">
        <f t="shared" si="10"/>
        <v>153.49108865628983</v>
      </c>
      <c r="AN13" s="14">
        <f t="shared" si="10"/>
        <v>153.49108865628983</v>
      </c>
      <c r="AO13" s="14">
        <f t="shared" si="10"/>
        <v>153.49108865628983</v>
      </c>
      <c r="AP13" s="14">
        <f t="shared" si="10"/>
        <v>153.49108865628983</v>
      </c>
      <c r="AQ13" s="14">
        <f t="shared" si="10"/>
        <v>153.49108865628983</v>
      </c>
      <c r="AR13" s="14">
        <f t="shared" si="10"/>
        <v>153.49108865628983</v>
      </c>
      <c r="AS13" s="14">
        <f t="shared" si="10"/>
        <v>153.49108865628983</v>
      </c>
      <c r="AT13" s="14">
        <f t="shared" si="10"/>
        <v>153.49108865628983</v>
      </c>
      <c r="AU13" s="14">
        <f t="shared" si="10"/>
        <v>153.49108865628983</v>
      </c>
      <c r="AV13" s="14">
        <f t="shared" si="10"/>
        <v>153.49108865628983</v>
      </c>
      <c r="AW13" s="14">
        <f t="shared" si="10"/>
        <v>153.49108865628983</v>
      </c>
      <c r="AX13" s="14">
        <f t="shared" si="10"/>
        <v>153.49108865628983</v>
      </c>
      <c r="AY13" s="14">
        <f t="shared" si="10"/>
        <v>153.49108865628983</v>
      </c>
      <c r="AZ13" s="14">
        <f t="shared" si="10"/>
        <v>153.49108865628983</v>
      </c>
      <c r="BA13" s="14">
        <f t="shared" si="10"/>
        <v>153.49108865628983</v>
      </c>
      <c r="BB13" s="14">
        <f t="shared" si="10"/>
        <v>153.49108865628983</v>
      </c>
      <c r="BC13" s="14">
        <f t="shared" si="10"/>
        <v>153.49108865628983</v>
      </c>
    </row>
    <row r="14" spans="1:55" x14ac:dyDescent="0.3">
      <c r="A14" t="str">
        <f t="shared" si="0"/>
        <v>FR</v>
      </c>
      <c r="B14" t="s">
        <v>189</v>
      </c>
      <c r="C14" s="13">
        <v>1315.319215</v>
      </c>
      <c r="D14" s="13">
        <v>1352.8261199999999</v>
      </c>
      <c r="E14" s="13">
        <v>591.80327910000005</v>
      </c>
      <c r="F14" s="13">
        <v>737.33896630000004</v>
      </c>
      <c r="G14" s="10">
        <f>F14*('Aviation EU Ref'!H13/'Aviation EU Ref'!G13)</f>
        <v>889.39873758462352</v>
      </c>
      <c r="H14" s="10">
        <f>G14*('Aviation EU Ref'!I13/'Aviation EU Ref'!H13)</f>
        <v>1041.458508869247</v>
      </c>
      <c r="I14" s="10">
        <f>H14*('Aviation EU Ref'!J13/'Aviation EU Ref'!I13)</f>
        <v>1193.5182801538706</v>
      </c>
      <c r="J14" s="10">
        <f>I14*('Aviation EU Ref'!K13/'Aviation EU Ref'!J13)</f>
        <v>1345.5780514384942</v>
      </c>
      <c r="K14" s="10">
        <f>J14*('Aviation EU Ref'!L13/'Aviation EU Ref'!K13)</f>
        <v>1373.1789019476005</v>
      </c>
      <c r="L14" s="10">
        <f>K14*('Aviation EU Ref'!M13/'Aviation EU Ref'!L13)</f>
        <v>1400.7797524567065</v>
      </c>
      <c r="M14" s="10">
        <f>L14*('Aviation EU Ref'!N13/'Aviation EU Ref'!M13)</f>
        <v>1428.3806029658128</v>
      </c>
      <c r="N14" s="10">
        <f>M14*('Aviation EU Ref'!O13/'Aviation EU Ref'!N13)</f>
        <v>1455.9814534749191</v>
      </c>
      <c r="O14" s="10">
        <f>N14*('Aviation EU Ref'!P13/'Aviation EU Ref'!O13)</f>
        <v>1483.5823039840254</v>
      </c>
      <c r="P14" s="10">
        <f>O14*('Aviation EU Ref'!Q13/'Aviation EU Ref'!P13)</f>
        <v>1503.0461682286834</v>
      </c>
      <c r="Q14" s="10">
        <f>P14*('Aviation EU Ref'!R13/'Aviation EU Ref'!Q13)</f>
        <v>1522.5100324733412</v>
      </c>
      <c r="R14" s="10">
        <f>Q14*('Aviation EU Ref'!S13/'Aviation EU Ref'!R13)</f>
        <v>1541.973896717999</v>
      </c>
      <c r="S14" s="10">
        <f>R14*('Aviation EU Ref'!T13/'Aviation EU Ref'!S13)</f>
        <v>1561.437760962657</v>
      </c>
      <c r="T14" s="10">
        <f>S14*('Aviation EU Ref'!U13/'Aviation EU Ref'!T13)</f>
        <v>1580.9016252073147</v>
      </c>
      <c r="U14" s="10">
        <f>T14*('Aviation EU Ref'!V13/'Aviation EU Ref'!U13)</f>
        <v>1606.0858391894453</v>
      </c>
      <c r="V14" s="10">
        <f>U14*('Aviation EU Ref'!W13/'Aviation EU Ref'!V13)</f>
        <v>1631.2700531715761</v>
      </c>
      <c r="W14" s="10">
        <f>V14*('Aviation EU Ref'!X13/'Aviation EU Ref'!W13)</f>
        <v>1656.4542671537067</v>
      </c>
      <c r="X14" s="10">
        <f>W14*('Aviation EU Ref'!Y13/'Aviation EU Ref'!X13)</f>
        <v>1681.6384811358373</v>
      </c>
      <c r="Y14" s="10">
        <f>X14*('Aviation EU Ref'!Z13/'Aviation EU Ref'!Y13)</f>
        <v>1706.8226951179677</v>
      </c>
      <c r="Z14" s="10">
        <f>Y14*('Aviation EU Ref'!AA13/'Aviation EU Ref'!Z13)</f>
        <v>1719.4080621927314</v>
      </c>
      <c r="AA14" s="10">
        <f>Z14*('Aviation EU Ref'!AB13/'Aviation EU Ref'!AA13)</f>
        <v>1731.9934292674955</v>
      </c>
      <c r="AB14" s="10">
        <f>AA14*('Aviation EU Ref'!AC13/'Aviation EU Ref'!AB13)</f>
        <v>1744.578796342259</v>
      </c>
      <c r="AC14" s="10">
        <f>AB14*('Aviation EU Ref'!AD13/'Aviation EU Ref'!AC13)</f>
        <v>1757.1641634170228</v>
      </c>
      <c r="AD14" s="10">
        <f>AC14*('Aviation EU Ref'!AE13/'Aviation EU Ref'!AD13)</f>
        <v>1769.7495304917866</v>
      </c>
      <c r="AE14" s="10">
        <f>AD14*('Aviation EU Ref'!AF13/'Aviation EU Ref'!AE13)</f>
        <v>1786.0885183715404</v>
      </c>
      <c r="AF14" s="10">
        <f>AE14*('Aviation EU Ref'!AG13/'Aviation EU Ref'!AF13)</f>
        <v>1802.4275062512941</v>
      </c>
      <c r="AG14" s="10">
        <f>AF14*('Aviation EU Ref'!AH13/'Aviation EU Ref'!AG13)</f>
        <v>1818.7664941310477</v>
      </c>
      <c r="AH14" s="10">
        <f>AG14*('Aviation EU Ref'!AI13/'Aviation EU Ref'!AH13)</f>
        <v>1835.1054820108011</v>
      </c>
      <c r="AI14" s="10">
        <f>AH14*('Aviation EU Ref'!AJ13/'Aviation EU Ref'!AI13)</f>
        <v>1851.4444698905552</v>
      </c>
      <c r="AJ14" s="14">
        <f t="shared" ref="AJ14:BC14" si="11">AI14</f>
        <v>1851.4444698905552</v>
      </c>
      <c r="AK14" s="14">
        <f t="shared" si="11"/>
        <v>1851.4444698905552</v>
      </c>
      <c r="AL14" s="14">
        <f t="shared" si="11"/>
        <v>1851.4444698905552</v>
      </c>
      <c r="AM14" s="14">
        <f t="shared" si="11"/>
        <v>1851.4444698905552</v>
      </c>
      <c r="AN14" s="14">
        <f t="shared" si="11"/>
        <v>1851.4444698905552</v>
      </c>
      <c r="AO14" s="14">
        <f t="shared" si="11"/>
        <v>1851.4444698905552</v>
      </c>
      <c r="AP14" s="14">
        <f t="shared" si="11"/>
        <v>1851.4444698905552</v>
      </c>
      <c r="AQ14" s="14">
        <f t="shared" si="11"/>
        <v>1851.4444698905552</v>
      </c>
      <c r="AR14" s="14">
        <f t="shared" si="11"/>
        <v>1851.4444698905552</v>
      </c>
      <c r="AS14" s="14">
        <f t="shared" si="11"/>
        <v>1851.4444698905552</v>
      </c>
      <c r="AT14" s="14">
        <f t="shared" si="11"/>
        <v>1851.4444698905552</v>
      </c>
      <c r="AU14" s="14">
        <f t="shared" si="11"/>
        <v>1851.4444698905552</v>
      </c>
      <c r="AV14" s="14">
        <f t="shared" si="11"/>
        <v>1851.4444698905552</v>
      </c>
      <c r="AW14" s="14">
        <f t="shared" si="11"/>
        <v>1851.4444698905552</v>
      </c>
      <c r="AX14" s="14">
        <f t="shared" si="11"/>
        <v>1851.4444698905552</v>
      </c>
      <c r="AY14" s="14">
        <f t="shared" si="11"/>
        <v>1851.4444698905552</v>
      </c>
      <c r="AZ14" s="14">
        <f t="shared" si="11"/>
        <v>1851.4444698905552</v>
      </c>
      <c r="BA14" s="14">
        <f t="shared" si="11"/>
        <v>1851.4444698905552</v>
      </c>
      <c r="BB14" s="14">
        <f t="shared" si="11"/>
        <v>1851.4444698905552</v>
      </c>
      <c r="BC14" s="14">
        <f t="shared" si="11"/>
        <v>1851.4444698905552</v>
      </c>
    </row>
    <row r="15" spans="1:55" x14ac:dyDescent="0.3">
      <c r="A15" t="str">
        <f t="shared" si="0"/>
        <v>GR</v>
      </c>
      <c r="B15" t="s">
        <v>187</v>
      </c>
      <c r="C15" s="13">
        <v>350.21984959999997</v>
      </c>
      <c r="D15" s="13">
        <v>358.90507250000002</v>
      </c>
      <c r="E15" s="13">
        <v>141.83615889999999</v>
      </c>
      <c r="F15" s="13">
        <v>256.54660639999997</v>
      </c>
      <c r="G15" s="10">
        <f>F15*('Aviation EU Ref'!H14/'Aviation EU Ref'!G14)</f>
        <v>315.5397356284488</v>
      </c>
      <c r="H15" s="10">
        <f>G15*('Aviation EU Ref'!I14/'Aviation EU Ref'!H14)</f>
        <v>374.53286485689767</v>
      </c>
      <c r="I15" s="10">
        <f>H15*('Aviation EU Ref'!J14/'Aviation EU Ref'!I14)</f>
        <v>433.5259940853465</v>
      </c>
      <c r="J15" s="10">
        <f>I15*('Aviation EU Ref'!K14/'Aviation EU Ref'!J14)</f>
        <v>492.51912331379538</v>
      </c>
      <c r="K15" s="10">
        <f>J15*('Aviation EU Ref'!L14/'Aviation EU Ref'!K14)</f>
        <v>503.3569509843997</v>
      </c>
      <c r="L15" s="10">
        <f>K15*('Aviation EU Ref'!M14/'Aviation EU Ref'!L14)</f>
        <v>514.19477865500403</v>
      </c>
      <c r="M15" s="10">
        <f>L15*('Aviation EU Ref'!N14/'Aviation EU Ref'!M14)</f>
        <v>525.03260632560841</v>
      </c>
      <c r="N15" s="10">
        <f>M15*('Aviation EU Ref'!O14/'Aviation EU Ref'!N14)</f>
        <v>535.8704339962128</v>
      </c>
      <c r="O15" s="10">
        <f>N15*('Aviation EU Ref'!P14/'Aviation EU Ref'!O14)</f>
        <v>546.70826166681718</v>
      </c>
      <c r="P15" s="10">
        <f>O15*('Aviation EU Ref'!Q14/'Aviation EU Ref'!P14)</f>
        <v>561.79192664845721</v>
      </c>
      <c r="Q15" s="10">
        <f>P15*('Aviation EU Ref'!R14/'Aviation EU Ref'!Q14)</f>
        <v>576.87559163009723</v>
      </c>
      <c r="R15" s="10">
        <f>Q15*('Aviation EU Ref'!S14/'Aviation EU Ref'!R14)</f>
        <v>591.95925661173737</v>
      </c>
      <c r="S15" s="10">
        <f>R15*('Aviation EU Ref'!T14/'Aviation EU Ref'!S14)</f>
        <v>607.0429215933774</v>
      </c>
      <c r="T15" s="10">
        <f>S15*('Aviation EU Ref'!U14/'Aviation EU Ref'!T14)</f>
        <v>622.12658657501743</v>
      </c>
      <c r="U15" s="10">
        <f>T15*('Aviation EU Ref'!V14/'Aviation EU Ref'!U14)</f>
        <v>632.23048914982508</v>
      </c>
      <c r="V15" s="10">
        <f>U15*('Aviation EU Ref'!W14/'Aviation EU Ref'!V14)</f>
        <v>642.33439172463272</v>
      </c>
      <c r="W15" s="10">
        <f>V15*('Aviation EU Ref'!X14/'Aviation EU Ref'!W14)</f>
        <v>652.43829429944037</v>
      </c>
      <c r="X15" s="10">
        <f>W15*('Aviation EU Ref'!Y14/'Aviation EU Ref'!X14)</f>
        <v>662.54219687424791</v>
      </c>
      <c r="Y15" s="10">
        <f>X15*('Aviation EU Ref'!Z14/'Aviation EU Ref'!Y14)</f>
        <v>672.64609944905578</v>
      </c>
      <c r="Z15" s="10">
        <f>Y15*('Aviation EU Ref'!AA14/'Aviation EU Ref'!Z14)</f>
        <v>684.02779181411893</v>
      </c>
      <c r="AA15" s="10">
        <f>Z15*('Aviation EU Ref'!AB14/'Aviation EU Ref'!AA14)</f>
        <v>695.40948417918207</v>
      </c>
      <c r="AB15" s="10">
        <f>AA15*('Aviation EU Ref'!AC14/'Aviation EU Ref'!AB14)</f>
        <v>706.79117654424522</v>
      </c>
      <c r="AC15" s="10">
        <f>AB15*('Aviation EU Ref'!AD14/'Aviation EU Ref'!AC14)</f>
        <v>718.17286890930836</v>
      </c>
      <c r="AD15" s="10">
        <f>AC15*('Aviation EU Ref'!AE14/'Aviation EU Ref'!AD14)</f>
        <v>729.55456127437151</v>
      </c>
      <c r="AE15" s="10">
        <f>AD15*('Aviation EU Ref'!AF14/'Aviation EU Ref'!AE14)</f>
        <v>740.30822050985171</v>
      </c>
      <c r="AF15" s="10">
        <f>AE15*('Aviation EU Ref'!AG14/'Aviation EU Ref'!AF14)</f>
        <v>751.06187974533191</v>
      </c>
      <c r="AG15" s="10">
        <f>AF15*('Aviation EU Ref'!AH14/'Aviation EU Ref'!AG14)</f>
        <v>761.81553898081199</v>
      </c>
      <c r="AH15" s="10">
        <f>AG15*('Aviation EU Ref'!AI14/'Aviation EU Ref'!AH14)</f>
        <v>772.56919821629208</v>
      </c>
      <c r="AI15" s="10">
        <f>AH15*('Aviation EU Ref'!AJ14/'Aviation EU Ref'!AI14)</f>
        <v>783.32285745177239</v>
      </c>
      <c r="AJ15" s="14">
        <f t="shared" ref="AJ15:BC15" si="12">AI15</f>
        <v>783.32285745177239</v>
      </c>
      <c r="AK15" s="14">
        <f t="shared" si="12"/>
        <v>783.32285745177239</v>
      </c>
      <c r="AL15" s="14">
        <f t="shared" si="12"/>
        <v>783.32285745177239</v>
      </c>
      <c r="AM15" s="14">
        <f t="shared" si="12"/>
        <v>783.32285745177239</v>
      </c>
      <c r="AN15" s="14">
        <f t="shared" si="12"/>
        <v>783.32285745177239</v>
      </c>
      <c r="AO15" s="14">
        <f t="shared" si="12"/>
        <v>783.32285745177239</v>
      </c>
      <c r="AP15" s="14">
        <f t="shared" si="12"/>
        <v>783.32285745177239</v>
      </c>
      <c r="AQ15" s="14">
        <f t="shared" si="12"/>
        <v>783.32285745177239</v>
      </c>
      <c r="AR15" s="14">
        <f t="shared" si="12"/>
        <v>783.32285745177239</v>
      </c>
      <c r="AS15" s="14">
        <f t="shared" si="12"/>
        <v>783.32285745177239</v>
      </c>
      <c r="AT15" s="14">
        <f t="shared" si="12"/>
        <v>783.32285745177239</v>
      </c>
      <c r="AU15" s="14">
        <f t="shared" si="12"/>
        <v>783.32285745177239</v>
      </c>
      <c r="AV15" s="14">
        <f t="shared" si="12"/>
        <v>783.32285745177239</v>
      </c>
      <c r="AW15" s="14">
        <f t="shared" si="12"/>
        <v>783.32285745177239</v>
      </c>
      <c r="AX15" s="14">
        <f t="shared" si="12"/>
        <v>783.32285745177239</v>
      </c>
      <c r="AY15" s="14">
        <f t="shared" si="12"/>
        <v>783.32285745177239</v>
      </c>
      <c r="AZ15" s="14">
        <f t="shared" si="12"/>
        <v>783.32285745177239</v>
      </c>
      <c r="BA15" s="14">
        <f t="shared" si="12"/>
        <v>783.32285745177239</v>
      </c>
      <c r="BB15" s="14">
        <f t="shared" si="12"/>
        <v>783.32285745177239</v>
      </c>
      <c r="BC15" s="14">
        <f t="shared" si="12"/>
        <v>783.32285745177239</v>
      </c>
    </row>
    <row r="16" spans="1:55" x14ac:dyDescent="0.3">
      <c r="A16" t="str">
        <f t="shared" si="0"/>
        <v>HR</v>
      </c>
      <c r="B16" t="s">
        <v>190</v>
      </c>
      <c r="C16" s="13">
        <v>53.637667309999998</v>
      </c>
      <c r="D16" s="13">
        <v>56.520006969999997</v>
      </c>
      <c r="E16" s="13">
        <v>14.91287911</v>
      </c>
      <c r="F16" s="13">
        <v>27.521739050000001</v>
      </c>
      <c r="G16" s="10">
        <f>F16*('Aviation EU Ref'!H15/'Aviation EU Ref'!G15)</f>
        <v>34.445951824598879</v>
      </c>
      <c r="H16" s="10">
        <f>G16*('Aviation EU Ref'!I15/'Aviation EU Ref'!H15)</f>
        <v>41.370164599197757</v>
      </c>
      <c r="I16" s="10">
        <f>H16*('Aviation EU Ref'!J15/'Aviation EU Ref'!I15)</f>
        <v>48.294377373796635</v>
      </c>
      <c r="J16" s="10">
        <f>I16*('Aviation EU Ref'!K15/'Aviation EU Ref'!J15)</f>
        <v>55.218590148395521</v>
      </c>
      <c r="K16" s="10">
        <f>J16*('Aviation EU Ref'!L15/'Aviation EU Ref'!K15)</f>
        <v>56.532492216904458</v>
      </c>
      <c r="L16" s="10">
        <f>K16*('Aviation EU Ref'!M15/'Aviation EU Ref'!L15)</f>
        <v>57.846394285413389</v>
      </c>
      <c r="M16" s="10">
        <f>L16*('Aviation EU Ref'!N15/'Aviation EU Ref'!M15)</f>
        <v>59.16029635392232</v>
      </c>
      <c r="N16" s="10">
        <f>M16*('Aviation EU Ref'!O15/'Aviation EU Ref'!N15)</f>
        <v>60.47419842243125</v>
      </c>
      <c r="O16" s="10">
        <f>N16*('Aviation EU Ref'!P15/'Aviation EU Ref'!O15)</f>
        <v>61.788100490940174</v>
      </c>
      <c r="P16" s="10">
        <f>O16*('Aviation EU Ref'!Q15/'Aviation EU Ref'!P15)</f>
        <v>63.474400056499377</v>
      </c>
      <c r="Q16" s="10">
        <f>P16*('Aviation EU Ref'!R15/'Aviation EU Ref'!Q15)</f>
        <v>65.160699622058573</v>
      </c>
      <c r="R16" s="10">
        <f>Q16*('Aviation EU Ref'!S15/'Aviation EU Ref'!R15)</f>
        <v>66.846999187617769</v>
      </c>
      <c r="S16" s="10">
        <f>R16*('Aviation EU Ref'!T15/'Aviation EU Ref'!S15)</f>
        <v>68.533298753176965</v>
      </c>
      <c r="T16" s="10">
        <f>S16*('Aviation EU Ref'!U15/'Aviation EU Ref'!T15)</f>
        <v>70.219598318736146</v>
      </c>
      <c r="U16" s="10">
        <f>T16*('Aviation EU Ref'!V15/'Aviation EU Ref'!U15)</f>
        <v>71.553836903899182</v>
      </c>
      <c r="V16" s="10">
        <f>U16*('Aviation EU Ref'!W15/'Aviation EU Ref'!V15)</f>
        <v>72.888075489062217</v>
      </c>
      <c r="W16" s="10">
        <f>V16*('Aviation EU Ref'!X15/'Aviation EU Ref'!W15)</f>
        <v>74.222314074225253</v>
      </c>
      <c r="X16" s="10">
        <f>W16*('Aviation EU Ref'!Y15/'Aviation EU Ref'!X15)</f>
        <v>75.556552659388288</v>
      </c>
      <c r="Y16" s="10">
        <f>X16*('Aviation EU Ref'!Z15/'Aviation EU Ref'!Y15)</f>
        <v>76.890791244551295</v>
      </c>
      <c r="Z16" s="10">
        <f>Y16*('Aviation EU Ref'!AA15/'Aviation EU Ref'!Z15)</f>
        <v>77.897289120248715</v>
      </c>
      <c r="AA16" s="10">
        <f>Z16*('Aviation EU Ref'!AB15/'Aviation EU Ref'!AA15)</f>
        <v>78.903786995946135</v>
      </c>
      <c r="AB16" s="10">
        <f>AA16*('Aviation EU Ref'!AC15/'Aviation EU Ref'!AB15)</f>
        <v>79.910284871643569</v>
      </c>
      <c r="AC16" s="10">
        <f>AB16*('Aviation EU Ref'!AD15/'Aviation EU Ref'!AC15)</f>
        <v>80.916782747341003</v>
      </c>
      <c r="AD16" s="10">
        <f>AC16*('Aviation EU Ref'!AE15/'Aviation EU Ref'!AD15)</f>
        <v>81.923280623038465</v>
      </c>
      <c r="AE16" s="10">
        <f>AD16*('Aviation EU Ref'!AF15/'Aviation EU Ref'!AE15)</f>
        <v>82.951316911277885</v>
      </c>
      <c r="AF16" s="10">
        <f>AE16*('Aviation EU Ref'!AG15/'Aviation EU Ref'!AF15)</f>
        <v>83.979353199517305</v>
      </c>
      <c r="AG16" s="10">
        <f>AF16*('Aviation EU Ref'!AH15/'Aviation EU Ref'!AG15)</f>
        <v>85.00738948775674</v>
      </c>
      <c r="AH16" s="10">
        <f>AG16*('Aviation EU Ref'!AI15/'Aviation EU Ref'!AH15)</f>
        <v>86.03542577599616</v>
      </c>
      <c r="AI16" s="10">
        <f>AH16*('Aviation EU Ref'!AJ15/'Aviation EU Ref'!AI15)</f>
        <v>87.063462064235608</v>
      </c>
      <c r="AJ16" s="14">
        <f t="shared" ref="AJ16:BC16" si="13">AI16</f>
        <v>87.063462064235608</v>
      </c>
      <c r="AK16" s="14">
        <f t="shared" si="13"/>
        <v>87.063462064235608</v>
      </c>
      <c r="AL16" s="14">
        <f t="shared" si="13"/>
        <v>87.063462064235608</v>
      </c>
      <c r="AM16" s="14">
        <f t="shared" si="13"/>
        <v>87.063462064235608</v>
      </c>
      <c r="AN16" s="14">
        <f t="shared" si="13"/>
        <v>87.063462064235608</v>
      </c>
      <c r="AO16" s="14">
        <f t="shared" si="13"/>
        <v>87.063462064235608</v>
      </c>
      <c r="AP16" s="14">
        <f t="shared" si="13"/>
        <v>87.063462064235608</v>
      </c>
      <c r="AQ16" s="14">
        <f t="shared" si="13"/>
        <v>87.063462064235608</v>
      </c>
      <c r="AR16" s="14">
        <f t="shared" si="13"/>
        <v>87.063462064235608</v>
      </c>
      <c r="AS16" s="14">
        <f t="shared" si="13"/>
        <v>87.063462064235608</v>
      </c>
      <c r="AT16" s="14">
        <f t="shared" si="13"/>
        <v>87.063462064235608</v>
      </c>
      <c r="AU16" s="14">
        <f t="shared" si="13"/>
        <v>87.063462064235608</v>
      </c>
      <c r="AV16" s="14">
        <f t="shared" si="13"/>
        <v>87.063462064235608</v>
      </c>
      <c r="AW16" s="14">
        <f t="shared" si="13"/>
        <v>87.063462064235608</v>
      </c>
      <c r="AX16" s="14">
        <f t="shared" si="13"/>
        <v>87.063462064235608</v>
      </c>
      <c r="AY16" s="14">
        <f t="shared" si="13"/>
        <v>87.063462064235608</v>
      </c>
      <c r="AZ16" s="14">
        <f t="shared" si="13"/>
        <v>87.063462064235608</v>
      </c>
      <c r="BA16" s="14">
        <f t="shared" si="13"/>
        <v>87.063462064235608</v>
      </c>
      <c r="BB16" s="14">
        <f t="shared" si="13"/>
        <v>87.063462064235608</v>
      </c>
      <c r="BC16" s="14">
        <f t="shared" si="13"/>
        <v>87.063462064235608</v>
      </c>
    </row>
    <row r="17" spans="1:55" x14ac:dyDescent="0.3">
      <c r="A17" t="str">
        <f t="shared" si="0"/>
        <v>HU</v>
      </c>
      <c r="B17" t="s">
        <v>196</v>
      </c>
      <c r="C17" s="13">
        <v>75.411477770000005</v>
      </c>
      <c r="D17" s="13">
        <v>82.203388219999994</v>
      </c>
      <c r="E17" s="13">
        <v>26.475767940000001</v>
      </c>
      <c r="F17" s="13">
        <v>29.181869349999999</v>
      </c>
      <c r="G17" s="10">
        <f>F17*('Aviation EU Ref'!H16/'Aviation EU Ref'!G16)</f>
        <v>35.929822608891634</v>
      </c>
      <c r="H17" s="10">
        <f>G17*('Aviation EU Ref'!I16/'Aviation EU Ref'!H16)</f>
        <v>42.677775867783268</v>
      </c>
      <c r="I17" s="10">
        <f>H17*('Aviation EU Ref'!J16/'Aviation EU Ref'!I16)</f>
        <v>49.425729126674895</v>
      </c>
      <c r="J17" s="10">
        <f>I17*('Aviation EU Ref'!K16/'Aviation EU Ref'!J16)</f>
        <v>56.173682385566529</v>
      </c>
      <c r="K17" s="10">
        <f>J17*('Aviation EU Ref'!L16/'Aviation EU Ref'!K16)</f>
        <v>57.513859711912637</v>
      </c>
      <c r="L17" s="10">
        <f>K17*('Aviation EU Ref'!M16/'Aviation EU Ref'!L16)</f>
        <v>58.854037038258745</v>
      </c>
      <c r="M17" s="10">
        <f>L17*('Aviation EU Ref'!N16/'Aviation EU Ref'!M16)</f>
        <v>60.194214364604854</v>
      </c>
      <c r="N17" s="10">
        <f>M17*('Aviation EU Ref'!O16/'Aviation EU Ref'!N16)</f>
        <v>61.534391690950962</v>
      </c>
      <c r="O17" s="10">
        <f>N17*('Aviation EU Ref'!P16/'Aviation EU Ref'!O16)</f>
        <v>62.874569017297077</v>
      </c>
      <c r="P17" s="10">
        <f>O17*('Aviation EU Ref'!Q16/'Aviation EU Ref'!P16)</f>
        <v>64.266731099614447</v>
      </c>
      <c r="Q17" s="10">
        <f>P17*('Aviation EU Ref'!R16/'Aviation EU Ref'!Q16)</f>
        <v>65.65889318193183</v>
      </c>
      <c r="R17" s="10">
        <f>Q17*('Aviation EU Ref'!S16/'Aviation EU Ref'!R16)</f>
        <v>67.0510552642492</v>
      </c>
      <c r="S17" s="10">
        <f>R17*('Aviation EU Ref'!T16/'Aviation EU Ref'!S16)</f>
        <v>68.443217346566584</v>
      </c>
      <c r="T17" s="10">
        <f>S17*('Aviation EU Ref'!U16/'Aviation EU Ref'!T16)</f>
        <v>69.835379428883954</v>
      </c>
      <c r="U17" s="10">
        <f>T17*('Aviation EU Ref'!V16/'Aviation EU Ref'!U16)</f>
        <v>71.210563255942773</v>
      </c>
      <c r="V17" s="10">
        <f>U17*('Aviation EU Ref'!W16/'Aviation EU Ref'!V16)</f>
        <v>72.585747083001593</v>
      </c>
      <c r="W17" s="10">
        <f>V17*('Aviation EU Ref'!X16/'Aviation EU Ref'!W16)</f>
        <v>73.960930910060426</v>
      </c>
      <c r="X17" s="10">
        <f>W17*('Aviation EU Ref'!Y16/'Aviation EU Ref'!X16)</f>
        <v>75.336114737119246</v>
      </c>
      <c r="Y17" s="10">
        <f>X17*('Aviation EU Ref'!Z16/'Aviation EU Ref'!Y16)</f>
        <v>76.711298564178065</v>
      </c>
      <c r="Z17" s="10">
        <f>Y17*('Aviation EU Ref'!AA16/'Aviation EU Ref'!Z16)</f>
        <v>78.053819711690423</v>
      </c>
      <c r="AA17" s="10">
        <f>Z17*('Aviation EU Ref'!AB16/'Aviation EU Ref'!AA16)</f>
        <v>79.39634085920278</v>
      </c>
      <c r="AB17" s="10">
        <f>AA17*('Aviation EU Ref'!AC16/'Aviation EU Ref'!AB16)</f>
        <v>80.738862006715138</v>
      </c>
      <c r="AC17" s="10">
        <f>AB17*('Aviation EU Ref'!AD16/'Aviation EU Ref'!AC16)</f>
        <v>82.081383154227495</v>
      </c>
      <c r="AD17" s="10">
        <f>AC17*('Aviation EU Ref'!AE16/'Aviation EU Ref'!AD16)</f>
        <v>83.423904301739853</v>
      </c>
      <c r="AE17" s="10">
        <f>AD17*('Aviation EU Ref'!AF16/'Aviation EU Ref'!AE16)</f>
        <v>84.744705703784334</v>
      </c>
      <c r="AF17" s="10">
        <f>AE17*('Aviation EU Ref'!AG16/'Aviation EU Ref'!AF16)</f>
        <v>86.065507105828814</v>
      </c>
      <c r="AG17" s="10">
        <f>AF17*('Aviation EU Ref'!AH16/'Aviation EU Ref'!AG16)</f>
        <v>87.386308507873295</v>
      </c>
      <c r="AH17" s="10">
        <f>AG17*('Aviation EU Ref'!AI16/'Aviation EU Ref'!AH16)</f>
        <v>88.707109909917762</v>
      </c>
      <c r="AI17" s="10">
        <f>AH17*('Aviation EU Ref'!AJ16/'Aviation EU Ref'!AI16)</f>
        <v>90.027911311962214</v>
      </c>
      <c r="AJ17" s="14">
        <f t="shared" ref="AJ17:BC17" si="14">AI17</f>
        <v>90.027911311962214</v>
      </c>
      <c r="AK17" s="14">
        <f t="shared" si="14"/>
        <v>90.027911311962214</v>
      </c>
      <c r="AL17" s="14">
        <f t="shared" si="14"/>
        <v>90.027911311962214</v>
      </c>
      <c r="AM17" s="14">
        <f t="shared" si="14"/>
        <v>90.027911311962214</v>
      </c>
      <c r="AN17" s="14">
        <f t="shared" si="14"/>
        <v>90.027911311962214</v>
      </c>
      <c r="AO17" s="14">
        <f t="shared" si="14"/>
        <v>90.027911311962214</v>
      </c>
      <c r="AP17" s="14">
        <f t="shared" si="14"/>
        <v>90.027911311962214</v>
      </c>
      <c r="AQ17" s="14">
        <f t="shared" si="14"/>
        <v>90.027911311962214</v>
      </c>
      <c r="AR17" s="14">
        <f t="shared" si="14"/>
        <v>90.027911311962214</v>
      </c>
      <c r="AS17" s="14">
        <f t="shared" si="14"/>
        <v>90.027911311962214</v>
      </c>
      <c r="AT17" s="14">
        <f t="shared" si="14"/>
        <v>90.027911311962214</v>
      </c>
      <c r="AU17" s="14">
        <f t="shared" si="14"/>
        <v>90.027911311962214</v>
      </c>
      <c r="AV17" s="14">
        <f t="shared" si="14"/>
        <v>90.027911311962214</v>
      </c>
      <c r="AW17" s="14">
        <f t="shared" si="14"/>
        <v>90.027911311962214</v>
      </c>
      <c r="AX17" s="14">
        <f t="shared" si="14"/>
        <v>90.027911311962214</v>
      </c>
      <c r="AY17" s="14">
        <f t="shared" si="14"/>
        <v>90.027911311962214</v>
      </c>
      <c r="AZ17" s="14">
        <f t="shared" si="14"/>
        <v>90.027911311962214</v>
      </c>
      <c r="BA17" s="14">
        <f t="shared" si="14"/>
        <v>90.027911311962214</v>
      </c>
      <c r="BB17" s="14">
        <f t="shared" si="14"/>
        <v>90.027911311962214</v>
      </c>
      <c r="BC17" s="14">
        <f t="shared" si="14"/>
        <v>90.027911311962214</v>
      </c>
    </row>
    <row r="18" spans="1:55" x14ac:dyDescent="0.3">
      <c r="A18" t="str">
        <f t="shared" si="0"/>
        <v>IE</v>
      </c>
      <c r="B18" t="s">
        <v>186</v>
      </c>
      <c r="C18" s="13">
        <v>199.24237729999999</v>
      </c>
      <c r="D18" s="13">
        <v>203.27218780000001</v>
      </c>
      <c r="E18" s="13">
        <v>69.119845710000007</v>
      </c>
      <c r="F18" s="13">
        <v>72.134912259999993</v>
      </c>
      <c r="G18" s="10">
        <f>F18*('Aviation EU Ref'!H17/'Aviation EU Ref'!G17)</f>
        <v>85.568658232540201</v>
      </c>
      <c r="H18" s="10">
        <f>G18*('Aviation EU Ref'!I17/'Aviation EU Ref'!H17)</f>
        <v>99.002404205080396</v>
      </c>
      <c r="I18" s="10">
        <f>H18*('Aviation EU Ref'!J17/'Aviation EU Ref'!I17)</f>
        <v>112.43615017762059</v>
      </c>
      <c r="J18" s="10">
        <f>I18*('Aviation EU Ref'!K17/'Aviation EU Ref'!J17)</f>
        <v>125.86989615016081</v>
      </c>
      <c r="K18" s="10">
        <f>J18*('Aviation EU Ref'!L17/'Aviation EU Ref'!K17)</f>
        <v>127.88373666751338</v>
      </c>
      <c r="L18" s="10">
        <f>K18*('Aviation EU Ref'!M17/'Aviation EU Ref'!L17)</f>
        <v>129.89757718486595</v>
      </c>
      <c r="M18" s="10">
        <f>L18*('Aviation EU Ref'!N17/'Aviation EU Ref'!M17)</f>
        <v>131.91141770221853</v>
      </c>
      <c r="N18" s="10">
        <f>M18*('Aviation EU Ref'!O17/'Aviation EU Ref'!N17)</f>
        <v>133.92525821957108</v>
      </c>
      <c r="O18" s="10">
        <f>N18*('Aviation EU Ref'!P17/'Aviation EU Ref'!O17)</f>
        <v>135.93909873692363</v>
      </c>
      <c r="P18" s="10">
        <f>O18*('Aviation EU Ref'!Q17/'Aviation EU Ref'!P17)</f>
        <v>138.96231382501247</v>
      </c>
      <c r="Q18" s="10">
        <f>P18*('Aviation EU Ref'!R17/'Aviation EU Ref'!Q17)</f>
        <v>141.98552891310135</v>
      </c>
      <c r="R18" s="10">
        <f>Q18*('Aviation EU Ref'!S17/'Aviation EU Ref'!R17)</f>
        <v>145.00874400119019</v>
      </c>
      <c r="S18" s="10">
        <f>R18*('Aviation EU Ref'!T17/'Aviation EU Ref'!S17)</f>
        <v>148.03195908927904</v>
      </c>
      <c r="T18" s="10">
        <f>S18*('Aviation EU Ref'!U17/'Aviation EU Ref'!T17)</f>
        <v>151.05517417736792</v>
      </c>
      <c r="U18" s="10">
        <f>T18*('Aviation EU Ref'!V17/'Aviation EU Ref'!U17)</f>
        <v>153.65541347218991</v>
      </c>
      <c r="V18" s="10">
        <f>U18*('Aviation EU Ref'!W17/'Aviation EU Ref'!V17)</f>
        <v>156.2556527670119</v>
      </c>
      <c r="W18" s="10">
        <f>V18*('Aviation EU Ref'!X17/'Aviation EU Ref'!W17)</f>
        <v>158.85589206183391</v>
      </c>
      <c r="X18" s="10">
        <f>W18*('Aviation EU Ref'!Y17/'Aviation EU Ref'!X17)</f>
        <v>161.45613135665593</v>
      </c>
      <c r="Y18" s="10">
        <f>X18*('Aviation EU Ref'!Z17/'Aviation EU Ref'!Y17)</f>
        <v>164.05637065147789</v>
      </c>
      <c r="Z18" s="10">
        <f>Y18*('Aviation EU Ref'!AA17/'Aviation EU Ref'!Z17)</f>
        <v>167.43309844208798</v>
      </c>
      <c r="AA18" s="10">
        <f>Z18*('Aviation EU Ref'!AB17/'Aviation EU Ref'!AA17)</f>
        <v>170.80982623269807</v>
      </c>
      <c r="AB18" s="10">
        <f>AA18*('Aviation EU Ref'!AC17/'Aviation EU Ref'!AB17)</f>
        <v>174.18655402330816</v>
      </c>
      <c r="AC18" s="10">
        <f>AB18*('Aviation EU Ref'!AD17/'Aviation EU Ref'!AC17)</f>
        <v>177.56328181391822</v>
      </c>
      <c r="AD18" s="10">
        <f>AC18*('Aviation EU Ref'!AE17/'Aviation EU Ref'!AD17)</f>
        <v>180.94000960452834</v>
      </c>
      <c r="AE18" s="10">
        <f>AD18*('Aviation EU Ref'!AF17/'Aviation EU Ref'!AE17)</f>
        <v>184.43338864146858</v>
      </c>
      <c r="AF18" s="10">
        <f>AE18*('Aviation EU Ref'!AG17/'Aviation EU Ref'!AF17)</f>
        <v>187.92676767840885</v>
      </c>
      <c r="AG18" s="10">
        <f>AF18*('Aviation EU Ref'!AH17/'Aviation EU Ref'!AG17)</f>
        <v>191.42014671534912</v>
      </c>
      <c r="AH18" s="10">
        <f>AG18*('Aviation EU Ref'!AI17/'Aviation EU Ref'!AH17)</f>
        <v>194.91352575228939</v>
      </c>
      <c r="AI18" s="10">
        <f>AH18*('Aviation EU Ref'!AJ17/'Aviation EU Ref'!AI17)</f>
        <v>198.4069047892296</v>
      </c>
      <c r="AJ18" s="14">
        <f t="shared" ref="AJ18:BC18" si="15">AI18</f>
        <v>198.4069047892296</v>
      </c>
      <c r="AK18" s="14">
        <f t="shared" si="15"/>
        <v>198.4069047892296</v>
      </c>
      <c r="AL18" s="14">
        <f t="shared" si="15"/>
        <v>198.4069047892296</v>
      </c>
      <c r="AM18" s="14">
        <f t="shared" si="15"/>
        <v>198.4069047892296</v>
      </c>
      <c r="AN18" s="14">
        <f t="shared" si="15"/>
        <v>198.4069047892296</v>
      </c>
      <c r="AO18" s="14">
        <f t="shared" si="15"/>
        <v>198.4069047892296</v>
      </c>
      <c r="AP18" s="14">
        <f t="shared" si="15"/>
        <v>198.4069047892296</v>
      </c>
      <c r="AQ18" s="14">
        <f t="shared" si="15"/>
        <v>198.4069047892296</v>
      </c>
      <c r="AR18" s="14">
        <f t="shared" si="15"/>
        <v>198.4069047892296</v>
      </c>
      <c r="AS18" s="14">
        <f t="shared" si="15"/>
        <v>198.4069047892296</v>
      </c>
      <c r="AT18" s="14">
        <f t="shared" si="15"/>
        <v>198.4069047892296</v>
      </c>
      <c r="AU18" s="14">
        <f t="shared" si="15"/>
        <v>198.4069047892296</v>
      </c>
      <c r="AV18" s="14">
        <f t="shared" si="15"/>
        <v>198.4069047892296</v>
      </c>
      <c r="AW18" s="14">
        <f t="shared" si="15"/>
        <v>198.4069047892296</v>
      </c>
      <c r="AX18" s="14">
        <f t="shared" si="15"/>
        <v>198.4069047892296</v>
      </c>
      <c r="AY18" s="14">
        <f t="shared" si="15"/>
        <v>198.4069047892296</v>
      </c>
      <c r="AZ18" s="14">
        <f t="shared" si="15"/>
        <v>198.4069047892296</v>
      </c>
      <c r="BA18" s="14">
        <f t="shared" si="15"/>
        <v>198.4069047892296</v>
      </c>
      <c r="BB18" s="14">
        <f t="shared" si="15"/>
        <v>198.4069047892296</v>
      </c>
      <c r="BC18" s="14">
        <f t="shared" si="15"/>
        <v>198.4069047892296</v>
      </c>
    </row>
    <row r="19" spans="1:55" x14ac:dyDescent="0.3">
      <c r="A19" t="str">
        <f t="shared" si="0"/>
        <v>IT</v>
      </c>
      <c r="B19" t="s">
        <v>191</v>
      </c>
      <c r="C19" s="13">
        <v>945.71212179999998</v>
      </c>
      <c r="D19" s="13">
        <v>993.34010350000005</v>
      </c>
      <c r="E19" s="13">
        <v>372.86697120000002</v>
      </c>
      <c r="F19" s="13">
        <v>498.95006649999999</v>
      </c>
      <c r="G19" s="10">
        <f>F19*('Aviation EU Ref'!H18/'Aviation EU Ref'!G18)</f>
        <v>614.47176157226454</v>
      </c>
      <c r="H19" s="10">
        <f>G19*('Aviation EU Ref'!I18/'Aviation EU Ref'!H18)</f>
        <v>729.99345664452892</v>
      </c>
      <c r="I19" s="10">
        <f>H19*('Aviation EU Ref'!J18/'Aviation EU Ref'!I18)</f>
        <v>845.51515171679353</v>
      </c>
      <c r="J19" s="10">
        <f>I19*('Aviation EU Ref'!K18/'Aviation EU Ref'!J18)</f>
        <v>961.0368467890579</v>
      </c>
      <c r="K19" s="10">
        <f>J19*('Aviation EU Ref'!L18/'Aviation EU Ref'!K18)</f>
        <v>986.45417783345681</v>
      </c>
      <c r="L19" s="10">
        <f>K19*('Aviation EU Ref'!M18/'Aviation EU Ref'!L18)</f>
        <v>1011.8715088778557</v>
      </c>
      <c r="M19" s="10">
        <f>L19*('Aviation EU Ref'!N18/'Aviation EU Ref'!M18)</f>
        <v>1037.2888399222547</v>
      </c>
      <c r="N19" s="10">
        <f>M19*('Aviation EU Ref'!O18/'Aviation EU Ref'!N18)</f>
        <v>1062.7061709666536</v>
      </c>
      <c r="O19" s="10">
        <f>N19*('Aviation EU Ref'!P18/'Aviation EU Ref'!O18)</f>
        <v>1088.1235020110528</v>
      </c>
      <c r="P19" s="10">
        <f>O19*('Aviation EU Ref'!Q18/'Aviation EU Ref'!P18)</f>
        <v>1112.0627760959228</v>
      </c>
      <c r="Q19" s="10">
        <f>P19*('Aviation EU Ref'!R18/'Aviation EU Ref'!Q18)</f>
        <v>1136.0020501807928</v>
      </c>
      <c r="R19" s="10">
        <f>Q19*('Aviation EU Ref'!S18/'Aviation EU Ref'!R18)</f>
        <v>1159.9413242656628</v>
      </c>
      <c r="S19" s="10">
        <f>R19*('Aviation EU Ref'!T18/'Aviation EU Ref'!S18)</f>
        <v>1183.8805983505329</v>
      </c>
      <c r="T19" s="10">
        <f>S19*('Aviation EU Ref'!U18/'Aviation EU Ref'!T18)</f>
        <v>1207.8198724354027</v>
      </c>
      <c r="U19" s="10">
        <f>T19*('Aviation EU Ref'!V18/'Aviation EU Ref'!U18)</f>
        <v>1233.9874094542556</v>
      </c>
      <c r="V19" s="10">
        <f>U19*('Aviation EU Ref'!W18/'Aviation EU Ref'!V18)</f>
        <v>1260.1549464731086</v>
      </c>
      <c r="W19" s="10">
        <f>V19*('Aviation EU Ref'!X18/'Aviation EU Ref'!W18)</f>
        <v>1286.3224834919615</v>
      </c>
      <c r="X19" s="10">
        <f>W19*('Aviation EU Ref'!Y18/'Aviation EU Ref'!X18)</f>
        <v>1312.4900205108147</v>
      </c>
      <c r="Y19" s="10">
        <f>X19*('Aviation EU Ref'!Z18/'Aviation EU Ref'!Y18)</f>
        <v>1338.6575575296674</v>
      </c>
      <c r="Z19" s="10">
        <f>Y19*('Aviation EU Ref'!AA18/'Aviation EU Ref'!Z18)</f>
        <v>1358.9194622449218</v>
      </c>
      <c r="AA19" s="10">
        <f>Z19*('Aviation EU Ref'!AB18/'Aviation EU Ref'!AA18)</f>
        <v>1379.1813669601759</v>
      </c>
      <c r="AB19" s="10">
        <f>AA19*('Aviation EU Ref'!AC18/'Aviation EU Ref'!AB18)</f>
        <v>1399.4432716754302</v>
      </c>
      <c r="AC19" s="10">
        <f>AB19*('Aviation EU Ref'!AD18/'Aviation EU Ref'!AC18)</f>
        <v>1419.7051763906845</v>
      </c>
      <c r="AD19" s="10">
        <f>AC19*('Aviation EU Ref'!AE18/'Aviation EU Ref'!AD18)</f>
        <v>1439.9670811059386</v>
      </c>
      <c r="AE19" s="10">
        <f>AD19*('Aviation EU Ref'!AF18/'Aviation EU Ref'!AE18)</f>
        <v>1454.485642275836</v>
      </c>
      <c r="AF19" s="10">
        <f>AE19*('Aviation EU Ref'!AG18/'Aviation EU Ref'!AF18)</f>
        <v>1469.0042034457335</v>
      </c>
      <c r="AG19" s="10">
        <f>AF19*('Aviation EU Ref'!AH18/'Aviation EU Ref'!AG18)</f>
        <v>1483.5227646156309</v>
      </c>
      <c r="AH19" s="10">
        <f>AG19*('Aviation EU Ref'!AI18/'Aviation EU Ref'!AH18)</f>
        <v>1498.0413257855282</v>
      </c>
      <c r="AI19" s="10">
        <f>AH19*('Aviation EU Ref'!AJ18/'Aviation EU Ref'!AI18)</f>
        <v>1512.559886955426</v>
      </c>
      <c r="AJ19" s="14">
        <f t="shared" ref="AJ19:BC19" si="16">AI19</f>
        <v>1512.559886955426</v>
      </c>
      <c r="AK19" s="14">
        <f t="shared" si="16"/>
        <v>1512.559886955426</v>
      </c>
      <c r="AL19" s="14">
        <f t="shared" si="16"/>
        <v>1512.559886955426</v>
      </c>
      <c r="AM19" s="14">
        <f t="shared" si="16"/>
        <v>1512.559886955426</v>
      </c>
      <c r="AN19" s="14">
        <f t="shared" si="16"/>
        <v>1512.559886955426</v>
      </c>
      <c r="AO19" s="14">
        <f t="shared" si="16"/>
        <v>1512.559886955426</v>
      </c>
      <c r="AP19" s="14">
        <f t="shared" si="16"/>
        <v>1512.559886955426</v>
      </c>
      <c r="AQ19" s="14">
        <f t="shared" si="16"/>
        <v>1512.559886955426</v>
      </c>
      <c r="AR19" s="14">
        <f t="shared" si="16"/>
        <v>1512.559886955426</v>
      </c>
      <c r="AS19" s="14">
        <f t="shared" si="16"/>
        <v>1512.559886955426</v>
      </c>
      <c r="AT19" s="14">
        <f t="shared" si="16"/>
        <v>1512.559886955426</v>
      </c>
      <c r="AU19" s="14">
        <f t="shared" si="16"/>
        <v>1512.559886955426</v>
      </c>
      <c r="AV19" s="14">
        <f t="shared" si="16"/>
        <v>1512.559886955426</v>
      </c>
      <c r="AW19" s="14">
        <f t="shared" si="16"/>
        <v>1512.559886955426</v>
      </c>
      <c r="AX19" s="14">
        <f t="shared" si="16"/>
        <v>1512.559886955426</v>
      </c>
      <c r="AY19" s="14">
        <f t="shared" si="16"/>
        <v>1512.559886955426</v>
      </c>
      <c r="AZ19" s="14">
        <f t="shared" si="16"/>
        <v>1512.559886955426</v>
      </c>
      <c r="BA19" s="14">
        <f t="shared" si="16"/>
        <v>1512.559886955426</v>
      </c>
      <c r="BB19" s="14">
        <f t="shared" si="16"/>
        <v>1512.559886955426</v>
      </c>
      <c r="BC19" s="14">
        <f t="shared" si="16"/>
        <v>1512.559886955426</v>
      </c>
    </row>
    <row r="20" spans="1:55" x14ac:dyDescent="0.3">
      <c r="A20" t="str">
        <f t="shared" si="0"/>
        <v>LT</v>
      </c>
      <c r="B20" t="s">
        <v>194</v>
      </c>
      <c r="C20" s="13">
        <v>32.655134220000001</v>
      </c>
      <c r="D20" s="13">
        <v>33.411005250000002</v>
      </c>
      <c r="E20" s="13">
        <v>13.36814714</v>
      </c>
      <c r="F20" s="13">
        <v>18.29733367</v>
      </c>
      <c r="G20" s="10">
        <f>F20*('Aviation EU Ref'!H19/'Aviation EU Ref'!G19)</f>
        <v>21.943131406938491</v>
      </c>
      <c r="H20" s="10">
        <f>G20*('Aviation EU Ref'!I19/'Aviation EU Ref'!H19)</f>
        <v>25.588929143876982</v>
      </c>
      <c r="I20" s="10">
        <f>H20*('Aviation EU Ref'!J19/'Aviation EU Ref'!I19)</f>
        <v>29.234726880815469</v>
      </c>
      <c r="J20" s="10">
        <f>I20*('Aviation EU Ref'!K19/'Aviation EU Ref'!J19)</f>
        <v>32.880524617753963</v>
      </c>
      <c r="K20" s="10">
        <f>J20*('Aviation EU Ref'!L19/'Aviation EU Ref'!K19)</f>
        <v>33.661509723261496</v>
      </c>
      <c r="L20" s="10">
        <f>K20*('Aviation EU Ref'!M19/'Aviation EU Ref'!L19)</f>
        <v>34.442494828769028</v>
      </c>
      <c r="M20" s="10">
        <f>L20*('Aviation EU Ref'!N19/'Aviation EU Ref'!M19)</f>
        <v>35.223479934276561</v>
      </c>
      <c r="N20" s="10">
        <f>M20*('Aviation EU Ref'!O19/'Aviation EU Ref'!N19)</f>
        <v>36.004465039784101</v>
      </c>
      <c r="O20" s="10">
        <f>N20*('Aviation EU Ref'!P19/'Aviation EU Ref'!O19)</f>
        <v>36.785450145291634</v>
      </c>
      <c r="P20" s="10">
        <f>O20*('Aviation EU Ref'!Q19/'Aviation EU Ref'!P19)</f>
        <v>37.49230840224314</v>
      </c>
      <c r="Q20" s="10">
        <f>P20*('Aviation EU Ref'!R19/'Aviation EU Ref'!Q19)</f>
        <v>38.199166659194653</v>
      </c>
      <c r="R20" s="10">
        <f>Q20*('Aviation EU Ref'!S19/'Aviation EU Ref'!R19)</f>
        <v>38.906024916146166</v>
      </c>
      <c r="S20" s="10">
        <f>R20*('Aviation EU Ref'!T19/'Aviation EU Ref'!S19)</f>
        <v>39.612883173097678</v>
      </c>
      <c r="T20" s="10">
        <f>S20*('Aviation EU Ref'!U19/'Aviation EU Ref'!T19)</f>
        <v>40.319741430049191</v>
      </c>
      <c r="U20" s="10">
        <f>T20*('Aviation EU Ref'!V19/'Aviation EU Ref'!U19)</f>
        <v>41.010589488097608</v>
      </c>
      <c r="V20" s="10">
        <f>U20*('Aviation EU Ref'!W19/'Aviation EU Ref'!V19)</f>
        <v>41.701437546146018</v>
      </c>
      <c r="W20" s="10">
        <f>V20*('Aviation EU Ref'!X19/'Aviation EU Ref'!W19)</f>
        <v>42.392285604194427</v>
      </c>
      <c r="X20" s="10">
        <f>W20*('Aviation EU Ref'!Y19/'Aviation EU Ref'!X19)</f>
        <v>43.083133662242844</v>
      </c>
      <c r="Y20" s="10">
        <f>X20*('Aviation EU Ref'!Z19/'Aviation EU Ref'!Y19)</f>
        <v>43.773981720291246</v>
      </c>
      <c r="Z20" s="10">
        <f>Y20*('Aviation EU Ref'!AA19/'Aviation EU Ref'!Z19)</f>
        <v>44.164610641548755</v>
      </c>
      <c r="AA20" s="10">
        <f>Z20*('Aviation EU Ref'!AB19/'Aviation EU Ref'!AA19)</f>
        <v>44.555239562806264</v>
      </c>
      <c r="AB20" s="10">
        <f>AA20*('Aviation EU Ref'!AC19/'Aviation EU Ref'!AB19)</f>
        <v>44.945868484063773</v>
      </c>
      <c r="AC20" s="10">
        <f>AB20*('Aviation EU Ref'!AD19/'Aviation EU Ref'!AC19)</f>
        <v>45.336497405321282</v>
      </c>
      <c r="AD20" s="10">
        <f>AC20*('Aviation EU Ref'!AE19/'Aviation EU Ref'!AD19)</f>
        <v>45.727126326578805</v>
      </c>
      <c r="AE20" s="10">
        <f>AD20*('Aviation EU Ref'!AF19/'Aviation EU Ref'!AE19)</f>
        <v>46.158588064276906</v>
      </c>
      <c r="AF20" s="10">
        <f>AE20*('Aviation EU Ref'!AG19/'Aviation EU Ref'!AF19)</f>
        <v>46.590049801975013</v>
      </c>
      <c r="AG20" s="10">
        <f>AF20*('Aviation EU Ref'!AH19/'Aviation EU Ref'!AG19)</f>
        <v>47.021511539673114</v>
      </c>
      <c r="AH20" s="10">
        <f>AG20*('Aviation EU Ref'!AI19/'Aviation EU Ref'!AH19)</f>
        <v>47.452973277371221</v>
      </c>
      <c r="AI20" s="10">
        <f>AH20*('Aviation EU Ref'!AJ19/'Aviation EU Ref'!AI19)</f>
        <v>47.884435015069322</v>
      </c>
      <c r="AJ20" s="14">
        <f t="shared" ref="AJ20:BC20" si="17">AI20</f>
        <v>47.884435015069322</v>
      </c>
      <c r="AK20" s="14">
        <f t="shared" si="17"/>
        <v>47.884435015069322</v>
      </c>
      <c r="AL20" s="14">
        <f t="shared" si="17"/>
        <v>47.884435015069322</v>
      </c>
      <c r="AM20" s="14">
        <f t="shared" si="17"/>
        <v>47.884435015069322</v>
      </c>
      <c r="AN20" s="14">
        <f t="shared" si="17"/>
        <v>47.884435015069322</v>
      </c>
      <c r="AO20" s="14">
        <f t="shared" si="17"/>
        <v>47.884435015069322</v>
      </c>
      <c r="AP20" s="14">
        <f t="shared" si="17"/>
        <v>47.884435015069322</v>
      </c>
      <c r="AQ20" s="14">
        <f t="shared" si="17"/>
        <v>47.884435015069322</v>
      </c>
      <c r="AR20" s="14">
        <f t="shared" si="17"/>
        <v>47.884435015069322</v>
      </c>
      <c r="AS20" s="14">
        <f t="shared" si="17"/>
        <v>47.884435015069322</v>
      </c>
      <c r="AT20" s="14">
        <f t="shared" si="17"/>
        <v>47.884435015069322</v>
      </c>
      <c r="AU20" s="14">
        <f t="shared" si="17"/>
        <v>47.884435015069322</v>
      </c>
      <c r="AV20" s="14">
        <f t="shared" si="17"/>
        <v>47.884435015069322</v>
      </c>
      <c r="AW20" s="14">
        <f t="shared" si="17"/>
        <v>47.884435015069322</v>
      </c>
      <c r="AX20" s="14">
        <f t="shared" si="17"/>
        <v>47.884435015069322</v>
      </c>
      <c r="AY20" s="14">
        <f t="shared" si="17"/>
        <v>47.884435015069322</v>
      </c>
      <c r="AZ20" s="14">
        <f t="shared" si="17"/>
        <v>47.884435015069322</v>
      </c>
      <c r="BA20" s="14">
        <f t="shared" si="17"/>
        <v>47.884435015069322</v>
      </c>
      <c r="BB20" s="14">
        <f t="shared" si="17"/>
        <v>47.884435015069322</v>
      </c>
      <c r="BC20" s="14">
        <f t="shared" si="17"/>
        <v>47.884435015069322</v>
      </c>
    </row>
    <row r="21" spans="1:55" x14ac:dyDescent="0.3">
      <c r="A21" t="str">
        <f t="shared" si="0"/>
        <v>LU</v>
      </c>
      <c r="B21" t="s">
        <v>195</v>
      </c>
      <c r="C21" s="13">
        <v>69.743423210000003</v>
      </c>
      <c r="D21" s="13">
        <v>68.46390959</v>
      </c>
      <c r="E21" s="13">
        <v>80.554943289999997</v>
      </c>
      <c r="F21" s="13">
        <v>94.517542849999998</v>
      </c>
      <c r="G21" s="10">
        <f>F21*('Aviation EU Ref'!H20/'Aviation EU Ref'!G20)</f>
        <v>112.96113019484895</v>
      </c>
      <c r="H21" s="10">
        <f>G21*('Aviation EU Ref'!I20/'Aviation EU Ref'!H20)</f>
        <v>131.40471753969791</v>
      </c>
      <c r="I21" s="10">
        <f>H21*('Aviation EU Ref'!J20/'Aviation EU Ref'!I20)</f>
        <v>149.84830488454685</v>
      </c>
      <c r="J21" s="10">
        <f>I21*('Aviation EU Ref'!K20/'Aviation EU Ref'!J20)</f>
        <v>168.29189222939578</v>
      </c>
      <c r="K21" s="10">
        <f>J21*('Aviation EU Ref'!L20/'Aviation EU Ref'!K20)</f>
        <v>172.51516301143371</v>
      </c>
      <c r="L21" s="10">
        <f>K21*('Aviation EU Ref'!M20/'Aviation EU Ref'!L20)</f>
        <v>176.73843379347164</v>
      </c>
      <c r="M21" s="10">
        <f>L21*('Aviation EU Ref'!N20/'Aviation EU Ref'!M20)</f>
        <v>180.96170457550957</v>
      </c>
      <c r="N21" s="10">
        <f>M21*('Aviation EU Ref'!O20/'Aviation EU Ref'!N20)</f>
        <v>185.1849753575475</v>
      </c>
      <c r="O21" s="10">
        <f>N21*('Aviation EU Ref'!P20/'Aviation EU Ref'!O20)</f>
        <v>189.40824613958546</v>
      </c>
      <c r="P21" s="10">
        <f>O21*('Aviation EU Ref'!Q20/'Aviation EU Ref'!P20)</f>
        <v>192.29299279961046</v>
      </c>
      <c r="Q21" s="10">
        <f>P21*('Aviation EU Ref'!R20/'Aviation EU Ref'!Q20)</f>
        <v>195.17773945963549</v>
      </c>
      <c r="R21" s="10">
        <f>Q21*('Aviation EU Ref'!S20/'Aviation EU Ref'!R20)</f>
        <v>198.06248611966049</v>
      </c>
      <c r="S21" s="10">
        <f>R21*('Aviation EU Ref'!T20/'Aviation EU Ref'!S20)</f>
        <v>200.94723277968552</v>
      </c>
      <c r="T21" s="10">
        <f>S21*('Aviation EU Ref'!U20/'Aviation EU Ref'!T20)</f>
        <v>203.83197943971061</v>
      </c>
      <c r="U21" s="10">
        <f>T21*('Aviation EU Ref'!V20/'Aviation EU Ref'!U20)</f>
        <v>207.05547251115541</v>
      </c>
      <c r="V21" s="10">
        <f>U21*('Aviation EU Ref'!W20/'Aviation EU Ref'!V20)</f>
        <v>210.27896558260022</v>
      </c>
      <c r="W21" s="10">
        <f>V21*('Aviation EU Ref'!X20/'Aviation EU Ref'!W20)</f>
        <v>213.50245865404506</v>
      </c>
      <c r="X21" s="10">
        <f>W21*('Aviation EU Ref'!Y20/'Aviation EU Ref'!X20)</f>
        <v>216.72595172548989</v>
      </c>
      <c r="Y21" s="10">
        <f>X21*('Aviation EU Ref'!Z20/'Aviation EU Ref'!Y20)</f>
        <v>219.9494447969347</v>
      </c>
      <c r="Z21" s="10">
        <f>Y21*('Aviation EU Ref'!AA20/'Aviation EU Ref'!Z20)</f>
        <v>221.69144298302714</v>
      </c>
      <c r="AA21" s="10">
        <f>Z21*('Aviation EU Ref'!AB20/'Aviation EU Ref'!AA20)</f>
        <v>223.43344116911959</v>
      </c>
      <c r="AB21" s="10">
        <f>AA21*('Aviation EU Ref'!AC20/'Aviation EU Ref'!AB20)</f>
        <v>225.17543935521203</v>
      </c>
      <c r="AC21" s="10">
        <f>AB21*('Aviation EU Ref'!AD20/'Aviation EU Ref'!AC20)</f>
        <v>226.91743754130448</v>
      </c>
      <c r="AD21" s="10">
        <f>AC21*('Aviation EU Ref'!AE20/'Aviation EU Ref'!AD20)</f>
        <v>228.65943572739698</v>
      </c>
      <c r="AE21" s="10">
        <f>AD21*('Aviation EU Ref'!AF20/'Aviation EU Ref'!AE20)</f>
        <v>230.4892579310569</v>
      </c>
      <c r="AF21" s="10">
        <f>AE21*('Aviation EU Ref'!AG20/'Aviation EU Ref'!AF20)</f>
        <v>232.31908013471678</v>
      </c>
      <c r="AG21" s="10">
        <f>AF21*('Aviation EU Ref'!AH20/'Aviation EU Ref'!AG20)</f>
        <v>234.1489023383767</v>
      </c>
      <c r="AH21" s="10">
        <f>AG21*('Aviation EU Ref'!AI20/'Aviation EU Ref'!AH20)</f>
        <v>235.97872454203659</v>
      </c>
      <c r="AI21" s="10">
        <f>AH21*('Aviation EU Ref'!AJ20/'Aviation EU Ref'!AI20)</f>
        <v>237.80854674569647</v>
      </c>
      <c r="AJ21" s="14">
        <f t="shared" ref="AJ21:BC21" si="18">AI21</f>
        <v>237.80854674569647</v>
      </c>
      <c r="AK21" s="14">
        <f t="shared" si="18"/>
        <v>237.80854674569647</v>
      </c>
      <c r="AL21" s="14">
        <f t="shared" si="18"/>
        <v>237.80854674569647</v>
      </c>
      <c r="AM21" s="14">
        <f t="shared" si="18"/>
        <v>237.80854674569647</v>
      </c>
      <c r="AN21" s="14">
        <f t="shared" si="18"/>
        <v>237.80854674569647</v>
      </c>
      <c r="AO21" s="14">
        <f t="shared" si="18"/>
        <v>237.80854674569647</v>
      </c>
      <c r="AP21" s="14">
        <f t="shared" si="18"/>
        <v>237.80854674569647</v>
      </c>
      <c r="AQ21" s="14">
        <f t="shared" si="18"/>
        <v>237.80854674569647</v>
      </c>
      <c r="AR21" s="14">
        <f t="shared" si="18"/>
        <v>237.80854674569647</v>
      </c>
      <c r="AS21" s="14">
        <f t="shared" si="18"/>
        <v>237.80854674569647</v>
      </c>
      <c r="AT21" s="14">
        <f t="shared" si="18"/>
        <v>237.80854674569647</v>
      </c>
      <c r="AU21" s="14">
        <f t="shared" si="18"/>
        <v>237.80854674569647</v>
      </c>
      <c r="AV21" s="14">
        <f t="shared" si="18"/>
        <v>237.80854674569647</v>
      </c>
      <c r="AW21" s="14">
        <f t="shared" si="18"/>
        <v>237.80854674569647</v>
      </c>
      <c r="AX21" s="14">
        <f t="shared" si="18"/>
        <v>237.80854674569647</v>
      </c>
      <c r="AY21" s="14">
        <f t="shared" si="18"/>
        <v>237.80854674569647</v>
      </c>
      <c r="AZ21" s="14">
        <f t="shared" si="18"/>
        <v>237.80854674569647</v>
      </c>
      <c r="BA21" s="14">
        <f t="shared" si="18"/>
        <v>237.80854674569647</v>
      </c>
      <c r="BB21" s="14">
        <f t="shared" si="18"/>
        <v>237.80854674569647</v>
      </c>
      <c r="BC21" s="14">
        <f t="shared" si="18"/>
        <v>237.80854674569647</v>
      </c>
    </row>
    <row r="22" spans="1:55" x14ac:dyDescent="0.3">
      <c r="A22" t="str">
        <f t="shared" si="0"/>
        <v>LV</v>
      </c>
      <c r="B22" t="s">
        <v>193</v>
      </c>
      <c r="C22" s="13">
        <v>42.255459559999998</v>
      </c>
      <c r="D22" s="13">
        <v>44.846808490000001</v>
      </c>
      <c r="E22" s="13">
        <v>14.673298109999999</v>
      </c>
      <c r="F22" s="13">
        <v>19.777419649999999</v>
      </c>
      <c r="G22" s="10">
        <f>F22*('Aviation EU Ref'!H21/'Aviation EU Ref'!G21)</f>
        <v>23.358896975471314</v>
      </c>
      <c r="H22" s="10">
        <f>G22*('Aviation EU Ref'!I21/'Aviation EU Ref'!H21)</f>
        <v>26.940374300942629</v>
      </c>
      <c r="I22" s="10">
        <f>H22*('Aviation EU Ref'!J21/'Aviation EU Ref'!I21)</f>
        <v>30.521851626413941</v>
      </c>
      <c r="J22" s="10">
        <f>I22*('Aviation EU Ref'!K21/'Aviation EU Ref'!J21)</f>
        <v>34.103328951885246</v>
      </c>
      <c r="K22" s="10">
        <f>J22*('Aviation EU Ref'!L21/'Aviation EU Ref'!K21)</f>
        <v>34.91675493099148</v>
      </c>
      <c r="L22" s="10">
        <f>K22*('Aviation EU Ref'!M21/'Aviation EU Ref'!L21)</f>
        <v>35.730180910097722</v>
      </c>
      <c r="M22" s="10">
        <f>L22*('Aviation EU Ref'!N21/'Aviation EU Ref'!M21)</f>
        <v>36.543606889203957</v>
      </c>
      <c r="N22" s="10">
        <f>M22*('Aviation EU Ref'!O21/'Aviation EU Ref'!N21)</f>
        <v>37.357032868310192</v>
      </c>
      <c r="O22" s="10">
        <f>N22*('Aviation EU Ref'!P21/'Aviation EU Ref'!O21)</f>
        <v>38.170458847416434</v>
      </c>
      <c r="P22" s="10">
        <f>O22*('Aviation EU Ref'!Q21/'Aviation EU Ref'!P21)</f>
        <v>38.794276557045357</v>
      </c>
      <c r="Q22" s="10">
        <f>P22*('Aviation EU Ref'!R21/'Aviation EU Ref'!Q21)</f>
        <v>39.418094266674281</v>
      </c>
      <c r="R22" s="10">
        <f>Q22*('Aviation EU Ref'!S21/'Aviation EU Ref'!R21)</f>
        <v>40.041911976303211</v>
      </c>
      <c r="S22" s="10">
        <f>R22*('Aviation EU Ref'!T21/'Aviation EU Ref'!S21)</f>
        <v>40.665729685932142</v>
      </c>
      <c r="T22" s="10">
        <f>S22*('Aviation EU Ref'!U21/'Aviation EU Ref'!T21)</f>
        <v>41.289547395561058</v>
      </c>
      <c r="U22" s="10">
        <f>T22*('Aviation EU Ref'!V21/'Aviation EU Ref'!U21)</f>
        <v>41.95484558626999</v>
      </c>
      <c r="V22" s="10">
        <f>U22*('Aviation EU Ref'!W21/'Aviation EU Ref'!V21)</f>
        <v>42.620143776978921</v>
      </c>
      <c r="W22" s="10">
        <f>V22*('Aviation EU Ref'!X21/'Aviation EU Ref'!W21)</f>
        <v>43.285441967687852</v>
      </c>
      <c r="X22" s="10">
        <f>W22*('Aviation EU Ref'!Y21/'Aviation EU Ref'!X21)</f>
        <v>43.95074015839679</v>
      </c>
      <c r="Y22" s="10">
        <f>X22*('Aviation EU Ref'!Z21/'Aviation EU Ref'!Y21)</f>
        <v>44.616038349105729</v>
      </c>
      <c r="Z22" s="10">
        <f>Y22*('Aviation EU Ref'!AA21/'Aviation EU Ref'!Z21)</f>
        <v>45.203923936163164</v>
      </c>
      <c r="AA22" s="10">
        <f>Z22*('Aviation EU Ref'!AB21/'Aviation EU Ref'!AA21)</f>
        <v>45.791809523220586</v>
      </c>
      <c r="AB22" s="10">
        <f>AA22*('Aviation EU Ref'!AC21/'Aviation EU Ref'!AB21)</f>
        <v>46.379695110278021</v>
      </c>
      <c r="AC22" s="10">
        <f>AB22*('Aviation EU Ref'!AD21/'Aviation EU Ref'!AC21)</f>
        <v>46.96758069733545</v>
      </c>
      <c r="AD22" s="10">
        <f>AC22*('Aviation EU Ref'!AE21/'Aviation EU Ref'!AD21)</f>
        <v>47.555466284392878</v>
      </c>
      <c r="AE22" s="10">
        <f>AD22*('Aviation EU Ref'!AF21/'Aviation EU Ref'!AE21)</f>
        <v>48.101801495395932</v>
      </c>
      <c r="AF22" s="10">
        <f>AE22*('Aviation EU Ref'!AG21/'Aviation EU Ref'!AF21)</f>
        <v>48.648136706398979</v>
      </c>
      <c r="AG22" s="10">
        <f>AF22*('Aviation EU Ref'!AH21/'Aviation EU Ref'!AG21)</f>
        <v>49.194471917402034</v>
      </c>
      <c r="AH22" s="10">
        <f>AG22*('Aviation EU Ref'!AI21/'Aviation EU Ref'!AH21)</f>
        <v>49.740807128405081</v>
      </c>
      <c r="AI22" s="10">
        <f>AH22*('Aviation EU Ref'!AJ21/'Aviation EU Ref'!AI21)</f>
        <v>50.287142339408128</v>
      </c>
      <c r="AJ22" s="14">
        <f t="shared" ref="AJ22:BC22" si="19">AI22</f>
        <v>50.287142339408128</v>
      </c>
      <c r="AK22" s="14">
        <f t="shared" si="19"/>
        <v>50.287142339408128</v>
      </c>
      <c r="AL22" s="14">
        <f t="shared" si="19"/>
        <v>50.287142339408128</v>
      </c>
      <c r="AM22" s="14">
        <f t="shared" si="19"/>
        <v>50.287142339408128</v>
      </c>
      <c r="AN22" s="14">
        <f t="shared" si="19"/>
        <v>50.287142339408128</v>
      </c>
      <c r="AO22" s="14">
        <f t="shared" si="19"/>
        <v>50.287142339408128</v>
      </c>
      <c r="AP22" s="14">
        <f t="shared" si="19"/>
        <v>50.287142339408128</v>
      </c>
      <c r="AQ22" s="14">
        <f t="shared" si="19"/>
        <v>50.287142339408128</v>
      </c>
      <c r="AR22" s="14">
        <f t="shared" si="19"/>
        <v>50.287142339408128</v>
      </c>
      <c r="AS22" s="14">
        <f t="shared" si="19"/>
        <v>50.287142339408128</v>
      </c>
      <c r="AT22" s="14">
        <f t="shared" si="19"/>
        <v>50.287142339408128</v>
      </c>
      <c r="AU22" s="14">
        <f t="shared" si="19"/>
        <v>50.287142339408128</v>
      </c>
      <c r="AV22" s="14">
        <f t="shared" si="19"/>
        <v>50.287142339408128</v>
      </c>
      <c r="AW22" s="14">
        <f t="shared" si="19"/>
        <v>50.287142339408128</v>
      </c>
      <c r="AX22" s="14">
        <f t="shared" si="19"/>
        <v>50.287142339408128</v>
      </c>
      <c r="AY22" s="14">
        <f t="shared" si="19"/>
        <v>50.287142339408128</v>
      </c>
      <c r="AZ22" s="14">
        <f t="shared" si="19"/>
        <v>50.287142339408128</v>
      </c>
      <c r="BA22" s="14">
        <f t="shared" si="19"/>
        <v>50.287142339408128</v>
      </c>
      <c r="BB22" s="14">
        <f t="shared" si="19"/>
        <v>50.287142339408128</v>
      </c>
      <c r="BC22" s="14">
        <f t="shared" si="19"/>
        <v>50.287142339408128</v>
      </c>
    </row>
    <row r="23" spans="1:55" x14ac:dyDescent="0.3">
      <c r="A23" t="str">
        <f t="shared" si="0"/>
        <v>MT</v>
      </c>
      <c r="B23" t="s">
        <v>197</v>
      </c>
      <c r="C23" s="13">
        <v>38.961792629999998</v>
      </c>
      <c r="D23" s="13">
        <v>43.85189707</v>
      </c>
      <c r="E23" s="13">
        <v>16.100096929999999</v>
      </c>
      <c r="F23" s="13">
        <v>21.116908160000001</v>
      </c>
      <c r="G23" s="10">
        <f>F23*('Aviation EU Ref'!H22/'Aviation EU Ref'!G22)</f>
        <v>26.712858370391366</v>
      </c>
      <c r="H23" s="10">
        <f>G23*('Aviation EU Ref'!I22/'Aviation EU Ref'!H22)</f>
        <v>32.308808580782731</v>
      </c>
      <c r="I23" s="10">
        <f>H23*('Aviation EU Ref'!J22/'Aviation EU Ref'!I22)</f>
        <v>37.904758791174096</v>
      </c>
      <c r="J23" s="10">
        <f>I23*('Aviation EU Ref'!K22/'Aviation EU Ref'!J22)</f>
        <v>43.500709001565461</v>
      </c>
      <c r="K23" s="10">
        <f>J23*('Aviation EU Ref'!L22/'Aviation EU Ref'!K22)</f>
        <v>46.591618161276763</v>
      </c>
      <c r="L23" s="10">
        <f>K23*('Aviation EU Ref'!M22/'Aviation EU Ref'!L22)</f>
        <v>49.682527320988058</v>
      </c>
      <c r="M23" s="10">
        <f>L23*('Aviation EU Ref'!N22/'Aviation EU Ref'!M22)</f>
        <v>52.77343648069936</v>
      </c>
      <c r="N23" s="10">
        <f>M23*('Aviation EU Ref'!O22/'Aviation EU Ref'!N22)</f>
        <v>55.864345640410654</v>
      </c>
      <c r="O23" s="10">
        <f>N23*('Aviation EU Ref'!P22/'Aviation EU Ref'!O22)</f>
        <v>58.955254800121963</v>
      </c>
      <c r="P23" s="10">
        <f>O23*('Aviation EU Ref'!Q22/'Aviation EU Ref'!P22)</f>
        <v>59.862610736263662</v>
      </c>
      <c r="Q23" s="10">
        <f>P23*('Aviation EU Ref'!R22/'Aviation EU Ref'!Q22)</f>
        <v>60.769966672405367</v>
      </c>
      <c r="R23" s="10">
        <f>Q23*('Aviation EU Ref'!S22/'Aviation EU Ref'!R22)</f>
        <v>61.677322608547072</v>
      </c>
      <c r="S23" s="10">
        <f>R23*('Aviation EU Ref'!T22/'Aviation EU Ref'!S22)</f>
        <v>62.584678544688771</v>
      </c>
      <c r="T23" s="10">
        <f>S23*('Aviation EU Ref'!U22/'Aviation EU Ref'!T22)</f>
        <v>63.492034480830448</v>
      </c>
      <c r="U23" s="10">
        <f>T23*('Aviation EU Ref'!V22/'Aviation EU Ref'!U22)</f>
        <v>65.083031799188788</v>
      </c>
      <c r="V23" s="10">
        <f>U23*('Aviation EU Ref'!W22/'Aviation EU Ref'!V22)</f>
        <v>66.674029117547121</v>
      </c>
      <c r="W23" s="10">
        <f>V23*('Aviation EU Ref'!X22/'Aviation EU Ref'!W22)</f>
        <v>68.265026435905455</v>
      </c>
      <c r="X23" s="10">
        <f>W23*('Aviation EU Ref'!Y22/'Aviation EU Ref'!X22)</f>
        <v>69.856023754263802</v>
      </c>
      <c r="Y23" s="10">
        <f>X23*('Aviation EU Ref'!Z22/'Aviation EU Ref'!Y22)</f>
        <v>71.447021072622164</v>
      </c>
      <c r="Z23" s="10">
        <f>Y23*('Aviation EU Ref'!AA22/'Aviation EU Ref'!Z22)</f>
        <v>72.381842573082437</v>
      </c>
      <c r="AA23" s="10">
        <f>Z23*('Aviation EU Ref'!AB22/'Aviation EU Ref'!AA22)</f>
        <v>73.316664073542711</v>
      </c>
      <c r="AB23" s="10">
        <f>AA23*('Aviation EU Ref'!AC22/'Aviation EU Ref'!AB22)</f>
        <v>74.251485574002984</v>
      </c>
      <c r="AC23" s="10">
        <f>AB23*('Aviation EU Ref'!AD22/'Aviation EU Ref'!AC22)</f>
        <v>75.186307074463258</v>
      </c>
      <c r="AD23" s="10">
        <f>AC23*('Aviation EU Ref'!AE22/'Aviation EU Ref'!AD22)</f>
        <v>76.121128574923517</v>
      </c>
      <c r="AE23" s="10">
        <f>AD23*('Aviation EU Ref'!AF22/'Aviation EU Ref'!AE22)</f>
        <v>76.827877478275354</v>
      </c>
      <c r="AF23" s="10">
        <f>AE23*('Aviation EU Ref'!AG22/'Aviation EU Ref'!AF22)</f>
        <v>77.534626381627191</v>
      </c>
      <c r="AG23" s="10">
        <f>AF23*('Aviation EU Ref'!AH22/'Aviation EU Ref'!AG22)</f>
        <v>78.241375284979028</v>
      </c>
      <c r="AH23" s="10">
        <f>AG23*('Aviation EU Ref'!AI22/'Aviation EU Ref'!AH22)</f>
        <v>78.948124188330866</v>
      </c>
      <c r="AI23" s="10">
        <f>AH23*('Aviation EU Ref'!AJ22/'Aviation EU Ref'!AI22)</f>
        <v>79.654873091682717</v>
      </c>
      <c r="AJ23" s="14">
        <f t="shared" ref="AJ23:BC23" si="20">AI23</f>
        <v>79.654873091682717</v>
      </c>
      <c r="AK23" s="14">
        <f t="shared" si="20"/>
        <v>79.654873091682717</v>
      </c>
      <c r="AL23" s="14">
        <f t="shared" si="20"/>
        <v>79.654873091682717</v>
      </c>
      <c r="AM23" s="14">
        <f t="shared" si="20"/>
        <v>79.654873091682717</v>
      </c>
      <c r="AN23" s="14">
        <f t="shared" si="20"/>
        <v>79.654873091682717</v>
      </c>
      <c r="AO23" s="14">
        <f t="shared" si="20"/>
        <v>79.654873091682717</v>
      </c>
      <c r="AP23" s="14">
        <f t="shared" si="20"/>
        <v>79.654873091682717</v>
      </c>
      <c r="AQ23" s="14">
        <f t="shared" si="20"/>
        <v>79.654873091682717</v>
      </c>
      <c r="AR23" s="14">
        <f t="shared" si="20"/>
        <v>79.654873091682717</v>
      </c>
      <c r="AS23" s="14">
        <f t="shared" si="20"/>
        <v>79.654873091682717</v>
      </c>
      <c r="AT23" s="14">
        <f t="shared" si="20"/>
        <v>79.654873091682717</v>
      </c>
      <c r="AU23" s="14">
        <f t="shared" si="20"/>
        <v>79.654873091682717</v>
      </c>
      <c r="AV23" s="14">
        <f t="shared" si="20"/>
        <v>79.654873091682717</v>
      </c>
      <c r="AW23" s="14">
        <f t="shared" si="20"/>
        <v>79.654873091682717</v>
      </c>
      <c r="AX23" s="14">
        <f t="shared" si="20"/>
        <v>79.654873091682717</v>
      </c>
      <c r="AY23" s="14">
        <f t="shared" si="20"/>
        <v>79.654873091682717</v>
      </c>
      <c r="AZ23" s="14">
        <f t="shared" si="20"/>
        <v>79.654873091682717</v>
      </c>
      <c r="BA23" s="14">
        <f t="shared" si="20"/>
        <v>79.654873091682717</v>
      </c>
      <c r="BB23" s="14">
        <f t="shared" si="20"/>
        <v>79.654873091682717</v>
      </c>
      <c r="BC23" s="14">
        <f t="shared" si="20"/>
        <v>79.654873091682717</v>
      </c>
    </row>
    <row r="24" spans="1:55" x14ac:dyDescent="0.3">
      <c r="A24" t="str">
        <f t="shared" si="0"/>
        <v>NL</v>
      </c>
      <c r="B24" t="s">
        <v>198</v>
      </c>
      <c r="C24" s="13">
        <v>619.43628039999999</v>
      </c>
      <c r="D24" s="13">
        <v>616.58980559999998</v>
      </c>
      <c r="E24" s="13">
        <v>335.58640580000002</v>
      </c>
      <c r="F24" s="13">
        <v>401.7883822</v>
      </c>
      <c r="G24" s="10">
        <f>F24*('Aviation EU Ref'!H23/'Aviation EU Ref'!G23)</f>
        <v>486.42588300737168</v>
      </c>
      <c r="H24" s="10">
        <f>G24*('Aviation EU Ref'!I23/'Aviation EU Ref'!H23)</f>
        <v>571.06338381474325</v>
      </c>
      <c r="I24" s="10">
        <f>H24*('Aviation EU Ref'!J23/'Aviation EU Ref'!I23)</f>
        <v>655.70088462211493</v>
      </c>
      <c r="J24" s="10">
        <f>I24*('Aviation EU Ref'!K23/'Aviation EU Ref'!J23)</f>
        <v>740.33838542948661</v>
      </c>
      <c r="K24" s="10">
        <f>J24*('Aviation EU Ref'!L23/'Aviation EU Ref'!K23)</f>
        <v>766.43311846731342</v>
      </c>
      <c r="L24" s="10">
        <f>K24*('Aviation EU Ref'!M23/'Aviation EU Ref'!L23)</f>
        <v>792.52785150514023</v>
      </c>
      <c r="M24" s="10">
        <f>L24*('Aviation EU Ref'!N23/'Aviation EU Ref'!M23)</f>
        <v>818.62258454296705</v>
      </c>
      <c r="N24" s="10">
        <f>M24*('Aviation EU Ref'!O23/'Aviation EU Ref'!N23)</f>
        <v>844.71731758079386</v>
      </c>
      <c r="O24" s="10">
        <f>N24*('Aviation EU Ref'!P23/'Aviation EU Ref'!O23)</f>
        <v>870.81205061862045</v>
      </c>
      <c r="P24" s="10">
        <f>O24*('Aviation EU Ref'!Q23/'Aviation EU Ref'!P23)</f>
        <v>881.3293234410786</v>
      </c>
      <c r="Q24" s="10">
        <f>P24*('Aviation EU Ref'!R23/'Aviation EU Ref'!Q23)</f>
        <v>891.84659626353687</v>
      </c>
      <c r="R24" s="10">
        <f>Q24*('Aviation EU Ref'!S23/'Aviation EU Ref'!R23)</f>
        <v>902.36386908599525</v>
      </c>
      <c r="S24" s="10">
        <f>R24*('Aviation EU Ref'!T23/'Aviation EU Ref'!S23)</f>
        <v>912.8811419084534</v>
      </c>
      <c r="T24" s="10">
        <f>S24*('Aviation EU Ref'!U23/'Aviation EU Ref'!T23)</f>
        <v>923.39841473091144</v>
      </c>
      <c r="U24" s="10">
        <f>T24*('Aviation EU Ref'!V23/'Aviation EU Ref'!U23)</f>
        <v>934.9883003215898</v>
      </c>
      <c r="V24" s="10">
        <f>U24*('Aviation EU Ref'!W23/'Aviation EU Ref'!V23)</f>
        <v>946.57818591226828</v>
      </c>
      <c r="W24" s="10">
        <f>V24*('Aviation EU Ref'!X23/'Aviation EU Ref'!W23)</f>
        <v>958.16807150294665</v>
      </c>
      <c r="X24" s="10">
        <f>W24*('Aviation EU Ref'!Y23/'Aviation EU Ref'!X23)</f>
        <v>969.75795709362501</v>
      </c>
      <c r="Y24" s="10">
        <f>X24*('Aviation EU Ref'!Z23/'Aviation EU Ref'!Y23)</f>
        <v>981.34784268430371</v>
      </c>
      <c r="Z24" s="10">
        <f>Y24*('Aviation EU Ref'!AA23/'Aviation EU Ref'!Z23)</f>
        <v>990.98842765214374</v>
      </c>
      <c r="AA24" s="10">
        <f>Z24*('Aviation EU Ref'!AB23/'Aviation EU Ref'!AA23)</f>
        <v>1000.6290126199838</v>
      </c>
      <c r="AB24" s="10">
        <f>AA24*('Aviation EU Ref'!AC23/'Aviation EU Ref'!AB23)</f>
        <v>1010.2695975878238</v>
      </c>
      <c r="AC24" s="10">
        <f>AB24*('Aviation EU Ref'!AD23/'Aviation EU Ref'!AC23)</f>
        <v>1019.9101825556637</v>
      </c>
      <c r="AD24" s="10">
        <f>AC24*('Aviation EU Ref'!AE23/'Aviation EU Ref'!AD23)</f>
        <v>1029.550767523504</v>
      </c>
      <c r="AE24" s="10">
        <f>AD24*('Aviation EU Ref'!AF23/'Aviation EU Ref'!AE23)</f>
        <v>1040.5392352497506</v>
      </c>
      <c r="AF24" s="10">
        <f>AE24*('Aviation EU Ref'!AG23/'Aviation EU Ref'!AF23)</f>
        <v>1051.5277029759973</v>
      </c>
      <c r="AG24" s="10">
        <f>AF24*('Aviation EU Ref'!AH23/'Aviation EU Ref'!AG23)</f>
        <v>1062.5161707022439</v>
      </c>
      <c r="AH24" s="10">
        <f>AG24*('Aviation EU Ref'!AI23/'Aviation EU Ref'!AH23)</f>
        <v>1073.5046384284906</v>
      </c>
      <c r="AI24" s="10">
        <f>AH24*('Aviation EU Ref'!AJ23/'Aviation EU Ref'!AI23)</f>
        <v>1084.4931061547372</v>
      </c>
      <c r="AJ24" s="14">
        <f t="shared" ref="AJ24:BC24" si="21">AI24</f>
        <v>1084.4931061547372</v>
      </c>
      <c r="AK24" s="14">
        <f t="shared" si="21"/>
        <v>1084.4931061547372</v>
      </c>
      <c r="AL24" s="14">
        <f t="shared" si="21"/>
        <v>1084.4931061547372</v>
      </c>
      <c r="AM24" s="14">
        <f t="shared" si="21"/>
        <v>1084.4931061547372</v>
      </c>
      <c r="AN24" s="14">
        <f t="shared" si="21"/>
        <v>1084.4931061547372</v>
      </c>
      <c r="AO24" s="14">
        <f t="shared" si="21"/>
        <v>1084.4931061547372</v>
      </c>
      <c r="AP24" s="14">
        <f t="shared" si="21"/>
        <v>1084.4931061547372</v>
      </c>
      <c r="AQ24" s="14">
        <f t="shared" si="21"/>
        <v>1084.4931061547372</v>
      </c>
      <c r="AR24" s="14">
        <f t="shared" si="21"/>
        <v>1084.4931061547372</v>
      </c>
      <c r="AS24" s="14">
        <f t="shared" si="21"/>
        <v>1084.4931061547372</v>
      </c>
      <c r="AT24" s="14">
        <f t="shared" si="21"/>
        <v>1084.4931061547372</v>
      </c>
      <c r="AU24" s="14">
        <f t="shared" si="21"/>
        <v>1084.4931061547372</v>
      </c>
      <c r="AV24" s="14">
        <f t="shared" si="21"/>
        <v>1084.4931061547372</v>
      </c>
      <c r="AW24" s="14">
        <f t="shared" si="21"/>
        <v>1084.4931061547372</v>
      </c>
      <c r="AX24" s="14">
        <f t="shared" si="21"/>
        <v>1084.4931061547372</v>
      </c>
      <c r="AY24" s="14">
        <f t="shared" si="21"/>
        <v>1084.4931061547372</v>
      </c>
      <c r="AZ24" s="14">
        <f t="shared" si="21"/>
        <v>1084.4931061547372</v>
      </c>
      <c r="BA24" s="14">
        <f t="shared" si="21"/>
        <v>1084.4931061547372</v>
      </c>
      <c r="BB24" s="14">
        <f t="shared" si="21"/>
        <v>1084.4931061547372</v>
      </c>
      <c r="BC24" s="14">
        <f t="shared" si="21"/>
        <v>1084.4931061547372</v>
      </c>
    </row>
    <row r="25" spans="1:55" x14ac:dyDescent="0.3">
      <c r="A25" t="str">
        <f t="shared" si="0"/>
        <v>PL</v>
      </c>
      <c r="B25" t="s">
        <v>199</v>
      </c>
      <c r="C25" s="13">
        <v>253.50028660000001</v>
      </c>
      <c r="D25" s="13">
        <v>259.40232400000002</v>
      </c>
      <c r="E25" s="13">
        <v>104.497086</v>
      </c>
      <c r="F25" s="13">
        <v>136.19558420000001</v>
      </c>
      <c r="G25" s="10">
        <f>F25*('Aviation EU Ref'!H24/'Aviation EU Ref'!G24)</f>
        <v>167.33663706828773</v>
      </c>
      <c r="H25" s="10">
        <f>G25*('Aviation EU Ref'!I24/'Aviation EU Ref'!H24)</f>
        <v>198.47768993657542</v>
      </c>
      <c r="I25" s="10">
        <f>H25*('Aviation EU Ref'!J24/'Aviation EU Ref'!I24)</f>
        <v>229.6187428048631</v>
      </c>
      <c r="J25" s="10">
        <f>I25*('Aviation EU Ref'!K24/'Aviation EU Ref'!J24)</f>
        <v>260.75979567315085</v>
      </c>
      <c r="K25" s="10">
        <f>J25*('Aviation EU Ref'!L24/'Aviation EU Ref'!K24)</f>
        <v>276.90093669613441</v>
      </c>
      <c r="L25" s="10">
        <f>K25*('Aviation EU Ref'!M24/'Aviation EU Ref'!L24)</f>
        <v>293.04207771911797</v>
      </c>
      <c r="M25" s="10">
        <f>L25*('Aviation EU Ref'!N24/'Aviation EU Ref'!M24)</f>
        <v>309.18321874210159</v>
      </c>
      <c r="N25" s="10">
        <f>M25*('Aviation EU Ref'!O24/'Aviation EU Ref'!N24)</f>
        <v>325.32435976508521</v>
      </c>
      <c r="O25" s="10">
        <f>N25*('Aviation EU Ref'!P24/'Aviation EU Ref'!O24)</f>
        <v>341.46550078806877</v>
      </c>
      <c r="P25" s="10">
        <f>O25*('Aviation EU Ref'!Q24/'Aviation EU Ref'!P24)</f>
        <v>345.01115476012956</v>
      </c>
      <c r="Q25" s="10">
        <f>P25*('Aviation EU Ref'!R24/'Aviation EU Ref'!Q24)</f>
        <v>348.55680873219029</v>
      </c>
      <c r="R25" s="10">
        <f>Q25*('Aviation EU Ref'!S24/'Aviation EU Ref'!R24)</f>
        <v>352.10246270425102</v>
      </c>
      <c r="S25" s="10">
        <f>R25*('Aviation EU Ref'!T24/'Aviation EU Ref'!S24)</f>
        <v>355.64811667631182</v>
      </c>
      <c r="T25" s="10">
        <f>S25*('Aviation EU Ref'!U24/'Aviation EU Ref'!T24)</f>
        <v>359.19377064837278</v>
      </c>
      <c r="U25" s="10">
        <f>T25*('Aviation EU Ref'!V24/'Aviation EU Ref'!U24)</f>
        <v>362.13106573881606</v>
      </c>
      <c r="V25" s="10">
        <f>U25*('Aviation EU Ref'!W24/'Aviation EU Ref'!V24)</f>
        <v>365.0683608292594</v>
      </c>
      <c r="W25" s="10">
        <f>V25*('Aviation EU Ref'!X24/'Aviation EU Ref'!W24)</f>
        <v>368.00565591970263</v>
      </c>
      <c r="X25" s="10">
        <f>W25*('Aviation EU Ref'!Y24/'Aviation EU Ref'!X24)</f>
        <v>370.94295101014592</v>
      </c>
      <c r="Y25" s="10">
        <f>X25*('Aviation EU Ref'!Z24/'Aviation EU Ref'!Y24)</f>
        <v>373.8802461005892</v>
      </c>
      <c r="Z25" s="10">
        <f>Y25*('Aviation EU Ref'!AA24/'Aviation EU Ref'!Z24)</f>
        <v>376.28570340116681</v>
      </c>
      <c r="AA25" s="10">
        <f>Z25*('Aviation EU Ref'!AB24/'Aviation EU Ref'!AA24)</f>
        <v>378.69116070174442</v>
      </c>
      <c r="AB25" s="10">
        <f>AA25*('Aviation EU Ref'!AC24/'Aviation EU Ref'!AB24)</f>
        <v>381.09661800232203</v>
      </c>
      <c r="AC25" s="10">
        <f>AB25*('Aviation EU Ref'!AD24/'Aviation EU Ref'!AC24)</f>
        <v>383.5020753028997</v>
      </c>
      <c r="AD25" s="10">
        <f>AC25*('Aviation EU Ref'!AE24/'Aviation EU Ref'!AD24)</f>
        <v>385.90753260347736</v>
      </c>
      <c r="AE25" s="10">
        <f>AD25*('Aviation EU Ref'!AF24/'Aviation EU Ref'!AE24)</f>
        <v>389.97605537062481</v>
      </c>
      <c r="AF25" s="10">
        <f>AE25*('Aviation EU Ref'!AG24/'Aviation EU Ref'!AF24)</f>
        <v>394.04457813777225</v>
      </c>
      <c r="AG25" s="10">
        <f>AF25*('Aviation EU Ref'!AH24/'Aviation EU Ref'!AG24)</f>
        <v>398.11310090491975</v>
      </c>
      <c r="AH25" s="10">
        <f>AG25*('Aviation EU Ref'!AI24/'Aviation EU Ref'!AH24)</f>
        <v>402.18162367206719</v>
      </c>
      <c r="AI25" s="10">
        <f>AH25*('Aviation EU Ref'!AJ24/'Aviation EU Ref'!AI24)</f>
        <v>406.25014643921469</v>
      </c>
      <c r="AJ25" s="14">
        <f t="shared" ref="AJ25:BC25" si="22">AI25</f>
        <v>406.25014643921469</v>
      </c>
      <c r="AK25" s="14">
        <f t="shared" si="22"/>
        <v>406.25014643921469</v>
      </c>
      <c r="AL25" s="14">
        <f t="shared" si="22"/>
        <v>406.25014643921469</v>
      </c>
      <c r="AM25" s="14">
        <f t="shared" si="22"/>
        <v>406.25014643921469</v>
      </c>
      <c r="AN25" s="14">
        <f t="shared" si="22"/>
        <v>406.25014643921469</v>
      </c>
      <c r="AO25" s="14">
        <f t="shared" si="22"/>
        <v>406.25014643921469</v>
      </c>
      <c r="AP25" s="14">
        <f t="shared" si="22"/>
        <v>406.25014643921469</v>
      </c>
      <c r="AQ25" s="14">
        <f t="shared" si="22"/>
        <v>406.25014643921469</v>
      </c>
      <c r="AR25" s="14">
        <f t="shared" si="22"/>
        <v>406.25014643921469</v>
      </c>
      <c r="AS25" s="14">
        <f t="shared" si="22"/>
        <v>406.25014643921469</v>
      </c>
      <c r="AT25" s="14">
        <f t="shared" si="22"/>
        <v>406.25014643921469</v>
      </c>
      <c r="AU25" s="14">
        <f t="shared" si="22"/>
        <v>406.25014643921469</v>
      </c>
      <c r="AV25" s="14">
        <f t="shared" si="22"/>
        <v>406.25014643921469</v>
      </c>
      <c r="AW25" s="14">
        <f t="shared" si="22"/>
        <v>406.25014643921469</v>
      </c>
      <c r="AX25" s="14">
        <f t="shared" si="22"/>
        <v>406.25014643921469</v>
      </c>
      <c r="AY25" s="14">
        <f t="shared" si="22"/>
        <v>406.25014643921469</v>
      </c>
      <c r="AZ25" s="14">
        <f t="shared" si="22"/>
        <v>406.25014643921469</v>
      </c>
      <c r="BA25" s="14">
        <f t="shared" si="22"/>
        <v>406.25014643921469</v>
      </c>
      <c r="BB25" s="14">
        <f t="shared" si="22"/>
        <v>406.25014643921469</v>
      </c>
      <c r="BC25" s="14">
        <f t="shared" si="22"/>
        <v>406.25014643921469</v>
      </c>
    </row>
    <row r="26" spans="1:55" x14ac:dyDescent="0.3">
      <c r="A26" t="str">
        <f t="shared" si="0"/>
        <v>PT</v>
      </c>
      <c r="B26" t="s">
        <v>200</v>
      </c>
      <c r="C26" s="13">
        <v>376.96850189999998</v>
      </c>
      <c r="D26" s="13">
        <v>403.49189380000001</v>
      </c>
      <c r="E26" s="13">
        <v>160.2873936</v>
      </c>
      <c r="F26" s="13">
        <v>212.47530459999999</v>
      </c>
      <c r="G26" s="10">
        <f>F26*('Aviation EU Ref'!H25/'Aviation EU Ref'!G25)</f>
        <v>251.94399282187936</v>
      </c>
      <c r="H26" s="10">
        <f>G26*('Aviation EU Ref'!I25/'Aviation EU Ref'!H25)</f>
        <v>291.41268104375865</v>
      </c>
      <c r="I26" s="10">
        <f>H26*('Aviation EU Ref'!J25/'Aviation EU Ref'!I25)</f>
        <v>330.88136926563806</v>
      </c>
      <c r="J26" s="10">
        <f>I26*('Aviation EU Ref'!K25/'Aviation EU Ref'!J25)</f>
        <v>370.3500574875174</v>
      </c>
      <c r="K26" s="10">
        <f>J26*('Aviation EU Ref'!L25/'Aviation EU Ref'!K25)</f>
        <v>378.29611014371187</v>
      </c>
      <c r="L26" s="10">
        <f>K26*('Aviation EU Ref'!M25/'Aviation EU Ref'!L25)</f>
        <v>386.24216279990634</v>
      </c>
      <c r="M26" s="10">
        <f>L26*('Aviation EU Ref'!N25/'Aviation EU Ref'!M25)</f>
        <v>394.18821545610081</v>
      </c>
      <c r="N26" s="10">
        <f>M26*('Aviation EU Ref'!O25/'Aviation EU Ref'!N25)</f>
        <v>402.13426811229522</v>
      </c>
      <c r="O26" s="10">
        <f>N26*('Aviation EU Ref'!P25/'Aviation EU Ref'!O25)</f>
        <v>410.08032076848957</v>
      </c>
      <c r="P26" s="10">
        <f>O26*('Aviation EU Ref'!Q25/'Aviation EU Ref'!P25)</f>
        <v>414.26757581068659</v>
      </c>
      <c r="Q26" s="10">
        <f>P26*('Aviation EU Ref'!R25/'Aviation EU Ref'!Q25)</f>
        <v>418.45483085288356</v>
      </c>
      <c r="R26" s="10">
        <f>Q26*('Aviation EU Ref'!S25/'Aviation EU Ref'!R25)</f>
        <v>422.64208589508053</v>
      </c>
      <c r="S26" s="10">
        <f>R26*('Aviation EU Ref'!T25/'Aviation EU Ref'!S25)</f>
        <v>426.82934093727749</v>
      </c>
      <c r="T26" s="10">
        <f>S26*('Aviation EU Ref'!U25/'Aviation EU Ref'!T25)</f>
        <v>431.01659597947457</v>
      </c>
      <c r="U26" s="10">
        <f>T26*('Aviation EU Ref'!V25/'Aviation EU Ref'!U25)</f>
        <v>436.35532058501167</v>
      </c>
      <c r="V26" s="10">
        <f>U26*('Aviation EU Ref'!W25/'Aviation EU Ref'!V25)</f>
        <v>441.69404519054882</v>
      </c>
      <c r="W26" s="10">
        <f>V26*('Aviation EU Ref'!X25/'Aviation EU Ref'!W25)</f>
        <v>447.03276979608592</v>
      </c>
      <c r="X26" s="10">
        <f>W26*('Aviation EU Ref'!Y25/'Aviation EU Ref'!X25)</f>
        <v>452.37149440162301</v>
      </c>
      <c r="Y26" s="10">
        <f>X26*('Aviation EU Ref'!Z25/'Aviation EU Ref'!Y25)</f>
        <v>457.71021900716005</v>
      </c>
      <c r="Z26" s="10">
        <f>Y26*('Aviation EU Ref'!AA25/'Aviation EU Ref'!Z25)</f>
        <v>462.2458242661445</v>
      </c>
      <c r="AA26" s="10">
        <f>Z26*('Aviation EU Ref'!AB25/'Aviation EU Ref'!AA25)</f>
        <v>466.78142952512894</v>
      </c>
      <c r="AB26" s="10">
        <f>AA26*('Aviation EU Ref'!AC25/'Aviation EU Ref'!AB25)</f>
        <v>471.31703478411339</v>
      </c>
      <c r="AC26" s="10">
        <f>AB26*('Aviation EU Ref'!AD25/'Aviation EU Ref'!AC25)</f>
        <v>475.85264004309778</v>
      </c>
      <c r="AD26" s="10">
        <f>AC26*('Aviation EU Ref'!AE25/'Aviation EU Ref'!AD25)</f>
        <v>480.38824530208205</v>
      </c>
      <c r="AE26" s="10">
        <f>AD26*('Aviation EU Ref'!AF25/'Aviation EU Ref'!AE25)</f>
        <v>482.75680703395028</v>
      </c>
      <c r="AF26" s="10">
        <f>AE26*('Aviation EU Ref'!AG25/'Aviation EU Ref'!AF25)</f>
        <v>485.12536876581851</v>
      </c>
      <c r="AG26" s="10">
        <f>AF26*('Aviation EU Ref'!AH25/'Aviation EU Ref'!AG25)</f>
        <v>487.49393049768679</v>
      </c>
      <c r="AH26" s="10">
        <f>AG26*('Aviation EU Ref'!AI25/'Aviation EU Ref'!AH25)</f>
        <v>489.86249222955496</v>
      </c>
      <c r="AI26" s="10">
        <f>AH26*('Aviation EU Ref'!AJ25/'Aviation EU Ref'!AI25)</f>
        <v>492.23105396142319</v>
      </c>
      <c r="AJ26" s="14">
        <f t="shared" ref="AJ26:BC26" si="23">AI26</f>
        <v>492.23105396142319</v>
      </c>
      <c r="AK26" s="14">
        <f t="shared" si="23"/>
        <v>492.23105396142319</v>
      </c>
      <c r="AL26" s="14">
        <f t="shared" si="23"/>
        <v>492.23105396142319</v>
      </c>
      <c r="AM26" s="14">
        <f t="shared" si="23"/>
        <v>492.23105396142319</v>
      </c>
      <c r="AN26" s="14">
        <f t="shared" si="23"/>
        <v>492.23105396142319</v>
      </c>
      <c r="AO26" s="14">
        <f t="shared" si="23"/>
        <v>492.23105396142319</v>
      </c>
      <c r="AP26" s="14">
        <f t="shared" si="23"/>
        <v>492.23105396142319</v>
      </c>
      <c r="AQ26" s="14">
        <f t="shared" si="23"/>
        <v>492.23105396142319</v>
      </c>
      <c r="AR26" s="14">
        <f t="shared" si="23"/>
        <v>492.23105396142319</v>
      </c>
      <c r="AS26" s="14">
        <f t="shared" si="23"/>
        <v>492.23105396142319</v>
      </c>
      <c r="AT26" s="14">
        <f t="shared" si="23"/>
        <v>492.23105396142319</v>
      </c>
      <c r="AU26" s="14">
        <f t="shared" si="23"/>
        <v>492.23105396142319</v>
      </c>
      <c r="AV26" s="14">
        <f t="shared" si="23"/>
        <v>492.23105396142319</v>
      </c>
      <c r="AW26" s="14">
        <f t="shared" si="23"/>
        <v>492.23105396142319</v>
      </c>
      <c r="AX26" s="14">
        <f t="shared" si="23"/>
        <v>492.23105396142319</v>
      </c>
      <c r="AY26" s="14">
        <f t="shared" si="23"/>
        <v>492.23105396142319</v>
      </c>
      <c r="AZ26" s="14">
        <f t="shared" si="23"/>
        <v>492.23105396142319</v>
      </c>
      <c r="BA26" s="14">
        <f t="shared" si="23"/>
        <v>492.23105396142319</v>
      </c>
      <c r="BB26" s="14">
        <f t="shared" si="23"/>
        <v>492.23105396142319</v>
      </c>
      <c r="BC26" s="14">
        <f t="shared" si="23"/>
        <v>492.23105396142319</v>
      </c>
    </row>
    <row r="27" spans="1:55" x14ac:dyDescent="0.3">
      <c r="A27" t="str">
        <f t="shared" si="0"/>
        <v>RO</v>
      </c>
      <c r="B27" t="s">
        <v>201</v>
      </c>
      <c r="C27" s="13">
        <v>116.0932502</v>
      </c>
      <c r="D27" s="13">
        <v>121.5456956</v>
      </c>
      <c r="E27" s="13">
        <v>48.14865313</v>
      </c>
      <c r="F27" s="13">
        <v>73.318723899999995</v>
      </c>
      <c r="G27" s="10">
        <f>F27*('Aviation EU Ref'!H26/'Aviation EU Ref'!G26)</f>
        <v>90.042288185035858</v>
      </c>
      <c r="H27" s="10">
        <f>G27*('Aviation EU Ref'!I26/'Aviation EU Ref'!H26)</f>
        <v>106.76585247007172</v>
      </c>
      <c r="I27" s="10">
        <f>H27*('Aviation EU Ref'!J26/'Aviation EU Ref'!I26)</f>
        <v>123.48941675510758</v>
      </c>
      <c r="J27" s="10">
        <f>I27*('Aviation EU Ref'!K26/'Aviation EU Ref'!J26)</f>
        <v>140.21298104014346</v>
      </c>
      <c r="K27" s="10">
        <f>J27*('Aviation EU Ref'!L26/'Aviation EU Ref'!K26)</f>
        <v>144.32949402481952</v>
      </c>
      <c r="L27" s="10">
        <f>K27*('Aviation EU Ref'!M26/'Aviation EU Ref'!L26)</f>
        <v>148.44600700949559</v>
      </c>
      <c r="M27" s="10">
        <f>L27*('Aviation EU Ref'!N26/'Aviation EU Ref'!M26)</f>
        <v>152.56251999417162</v>
      </c>
      <c r="N27" s="10">
        <f>M27*('Aviation EU Ref'!O26/'Aviation EU Ref'!N26)</f>
        <v>156.67903297884769</v>
      </c>
      <c r="O27" s="10">
        <f>N27*('Aviation EU Ref'!P26/'Aviation EU Ref'!O26)</f>
        <v>160.79554596352375</v>
      </c>
      <c r="P27" s="10">
        <f>O27*('Aviation EU Ref'!Q26/'Aviation EU Ref'!P26)</f>
        <v>164.59575752356992</v>
      </c>
      <c r="Q27" s="10">
        <f>P27*('Aviation EU Ref'!R26/'Aviation EU Ref'!Q26)</f>
        <v>168.39596908361608</v>
      </c>
      <c r="R27" s="10">
        <f>Q27*('Aviation EU Ref'!S26/'Aviation EU Ref'!R26)</f>
        <v>172.19618064366227</v>
      </c>
      <c r="S27" s="10">
        <f>R27*('Aviation EU Ref'!T26/'Aviation EU Ref'!S26)</f>
        <v>175.99639220370844</v>
      </c>
      <c r="T27" s="10">
        <f>S27*('Aviation EU Ref'!U26/'Aviation EU Ref'!T26)</f>
        <v>179.79660376375458</v>
      </c>
      <c r="U27" s="10">
        <f>T27*('Aviation EU Ref'!V26/'Aviation EU Ref'!U26)</f>
        <v>183.61231374581001</v>
      </c>
      <c r="V27" s="10">
        <f>U27*('Aviation EU Ref'!W26/'Aviation EU Ref'!V26)</f>
        <v>187.42802372786548</v>
      </c>
      <c r="W27" s="10">
        <f>V27*('Aviation EU Ref'!X26/'Aviation EU Ref'!W26)</f>
        <v>191.24373370992095</v>
      </c>
      <c r="X27" s="10">
        <f>W27*('Aviation EU Ref'!Y26/'Aviation EU Ref'!X26)</f>
        <v>195.05944369197641</v>
      </c>
      <c r="Y27" s="10">
        <f>X27*('Aviation EU Ref'!Z26/'Aviation EU Ref'!Y26)</f>
        <v>198.87515367403191</v>
      </c>
      <c r="Z27" s="10">
        <f>Y27*('Aviation EU Ref'!AA26/'Aviation EU Ref'!Z26)</f>
        <v>200.93888346531682</v>
      </c>
      <c r="AA27" s="10">
        <f>Z27*('Aviation EU Ref'!AB26/'Aviation EU Ref'!AA26)</f>
        <v>203.00261325660171</v>
      </c>
      <c r="AB27" s="10">
        <f>AA27*('Aviation EU Ref'!AC26/'Aviation EU Ref'!AB26)</f>
        <v>205.06634304788659</v>
      </c>
      <c r="AC27" s="10">
        <f>AB27*('Aviation EU Ref'!AD26/'Aviation EU Ref'!AC26)</f>
        <v>207.13007283917148</v>
      </c>
      <c r="AD27" s="10">
        <f>AC27*('Aviation EU Ref'!AE26/'Aviation EU Ref'!AD26)</f>
        <v>209.19380263045639</v>
      </c>
      <c r="AE27" s="10">
        <f>AD27*('Aviation EU Ref'!AF26/'Aviation EU Ref'!AE26)</f>
        <v>210.96519630711711</v>
      </c>
      <c r="AF27" s="10">
        <f>AE27*('Aviation EU Ref'!AG26/'Aviation EU Ref'!AF26)</f>
        <v>212.73658998377783</v>
      </c>
      <c r="AG27" s="10">
        <f>AF27*('Aviation EU Ref'!AH26/'Aviation EU Ref'!AG26)</f>
        <v>214.50798366043855</v>
      </c>
      <c r="AH27" s="10">
        <f>AG27*('Aviation EU Ref'!AI26/'Aviation EU Ref'!AH26)</f>
        <v>216.27937733709928</v>
      </c>
      <c r="AI27" s="10">
        <f>AH27*('Aviation EU Ref'!AJ26/'Aviation EU Ref'!AI26)</f>
        <v>218.05077101375994</v>
      </c>
      <c r="AJ27" s="14">
        <f t="shared" ref="AJ27:BC27" si="24">AI27</f>
        <v>218.05077101375994</v>
      </c>
      <c r="AK27" s="14">
        <f t="shared" si="24"/>
        <v>218.05077101375994</v>
      </c>
      <c r="AL27" s="14">
        <f t="shared" si="24"/>
        <v>218.05077101375994</v>
      </c>
      <c r="AM27" s="14">
        <f t="shared" si="24"/>
        <v>218.05077101375994</v>
      </c>
      <c r="AN27" s="14">
        <f t="shared" si="24"/>
        <v>218.05077101375994</v>
      </c>
      <c r="AO27" s="14">
        <f t="shared" si="24"/>
        <v>218.05077101375994</v>
      </c>
      <c r="AP27" s="14">
        <f t="shared" si="24"/>
        <v>218.05077101375994</v>
      </c>
      <c r="AQ27" s="14">
        <f t="shared" si="24"/>
        <v>218.05077101375994</v>
      </c>
      <c r="AR27" s="14">
        <f t="shared" si="24"/>
        <v>218.05077101375994</v>
      </c>
      <c r="AS27" s="14">
        <f t="shared" si="24"/>
        <v>218.05077101375994</v>
      </c>
      <c r="AT27" s="14">
        <f t="shared" si="24"/>
        <v>218.05077101375994</v>
      </c>
      <c r="AU27" s="14">
        <f t="shared" si="24"/>
        <v>218.05077101375994</v>
      </c>
      <c r="AV27" s="14">
        <f t="shared" si="24"/>
        <v>218.05077101375994</v>
      </c>
      <c r="AW27" s="14">
        <f t="shared" si="24"/>
        <v>218.05077101375994</v>
      </c>
      <c r="AX27" s="14">
        <f t="shared" si="24"/>
        <v>218.05077101375994</v>
      </c>
      <c r="AY27" s="14">
        <f t="shared" si="24"/>
        <v>218.05077101375994</v>
      </c>
      <c r="AZ27" s="14">
        <f t="shared" si="24"/>
        <v>218.05077101375994</v>
      </c>
      <c r="BA27" s="14">
        <f t="shared" si="24"/>
        <v>218.05077101375994</v>
      </c>
      <c r="BB27" s="14">
        <f t="shared" si="24"/>
        <v>218.05077101375994</v>
      </c>
      <c r="BC27" s="14">
        <f t="shared" si="24"/>
        <v>218.05077101375994</v>
      </c>
    </row>
    <row r="28" spans="1:55" x14ac:dyDescent="0.3">
      <c r="A28" t="str">
        <f t="shared" si="0"/>
        <v>SE</v>
      </c>
      <c r="B28" t="s">
        <v>205</v>
      </c>
      <c r="C28" s="13">
        <v>253.92321250000001</v>
      </c>
      <c r="D28" s="13">
        <v>240.5973856</v>
      </c>
      <c r="E28" s="13">
        <v>77.492769710000005</v>
      </c>
      <c r="F28" s="13">
        <v>87.498155729999993</v>
      </c>
      <c r="G28" s="10">
        <f>F28*('Aviation EU Ref'!H27/'Aviation EU Ref'!G27)</f>
        <v>102.69470103368863</v>
      </c>
      <c r="H28" s="10">
        <f>G28*('Aviation EU Ref'!I27/'Aviation EU Ref'!H27)</f>
        <v>117.89124633737725</v>
      </c>
      <c r="I28" s="10">
        <f>H28*('Aviation EU Ref'!J27/'Aviation EU Ref'!I27)</f>
        <v>133.08779164106588</v>
      </c>
      <c r="J28" s="10">
        <f>I28*('Aviation EU Ref'!K27/'Aviation EU Ref'!J27)</f>
        <v>148.2843369447545</v>
      </c>
      <c r="K28" s="10">
        <f>J28*('Aviation EU Ref'!L27/'Aviation EU Ref'!K27)</f>
        <v>153.68456966441258</v>
      </c>
      <c r="L28" s="10">
        <f>K28*('Aviation EU Ref'!M27/'Aviation EU Ref'!L27)</f>
        <v>159.08480238407066</v>
      </c>
      <c r="M28" s="10">
        <f>L28*('Aviation EU Ref'!N27/'Aviation EU Ref'!M27)</f>
        <v>164.48503510372873</v>
      </c>
      <c r="N28" s="10">
        <f>M28*('Aviation EU Ref'!O27/'Aviation EU Ref'!N27)</f>
        <v>169.88526782338681</v>
      </c>
      <c r="O28" s="10">
        <f>N28*('Aviation EU Ref'!P27/'Aviation EU Ref'!O27)</f>
        <v>175.28550054304489</v>
      </c>
      <c r="P28" s="10">
        <f>O28*('Aviation EU Ref'!Q27/'Aviation EU Ref'!P27)</f>
        <v>178.44571368670006</v>
      </c>
      <c r="Q28" s="10">
        <f>P28*('Aviation EU Ref'!R27/'Aviation EU Ref'!Q27)</f>
        <v>181.6059268303552</v>
      </c>
      <c r="R28" s="10">
        <f>Q28*('Aviation EU Ref'!S27/'Aviation EU Ref'!R27)</f>
        <v>184.76613997401034</v>
      </c>
      <c r="S28" s="10">
        <f>R28*('Aviation EU Ref'!T27/'Aviation EU Ref'!S27)</f>
        <v>187.92635311766551</v>
      </c>
      <c r="T28" s="10">
        <f>S28*('Aviation EU Ref'!U27/'Aviation EU Ref'!T27)</f>
        <v>191.08656626132071</v>
      </c>
      <c r="U28" s="10">
        <f>T28*('Aviation EU Ref'!V27/'Aviation EU Ref'!U27)</f>
        <v>194.41943602846843</v>
      </c>
      <c r="V28" s="10">
        <f>U28*('Aviation EU Ref'!W27/'Aviation EU Ref'!V27)</f>
        <v>197.75230579561617</v>
      </c>
      <c r="W28" s="10">
        <f>V28*('Aviation EU Ref'!X27/'Aviation EU Ref'!W27)</f>
        <v>201.08517556276388</v>
      </c>
      <c r="X28" s="10">
        <f>W28*('Aviation EU Ref'!Y27/'Aviation EU Ref'!X27)</f>
        <v>204.41804532991159</v>
      </c>
      <c r="Y28" s="10">
        <f>X28*('Aviation EU Ref'!Z27/'Aviation EU Ref'!Y27)</f>
        <v>207.75091509705925</v>
      </c>
      <c r="Z28" s="10">
        <f>Y28*('Aviation EU Ref'!AA27/'Aviation EU Ref'!Z27)</f>
        <v>208.94971615904737</v>
      </c>
      <c r="AA28" s="10">
        <f>Z28*('Aviation EU Ref'!AB27/'Aviation EU Ref'!AA27)</f>
        <v>210.14851722103552</v>
      </c>
      <c r="AB28" s="10">
        <f>AA28*('Aviation EU Ref'!AC27/'Aviation EU Ref'!AB27)</f>
        <v>211.34731828302364</v>
      </c>
      <c r="AC28" s="10">
        <f>AB28*('Aviation EU Ref'!AD27/'Aviation EU Ref'!AC27)</f>
        <v>212.54611934501176</v>
      </c>
      <c r="AD28" s="10">
        <f>AC28*('Aviation EU Ref'!AE27/'Aviation EU Ref'!AD27)</f>
        <v>213.74492040699994</v>
      </c>
      <c r="AE28" s="10">
        <f>AD28*('Aviation EU Ref'!AF27/'Aviation EU Ref'!AE27)</f>
        <v>215.30327296401009</v>
      </c>
      <c r="AF28" s="10">
        <f>AE28*('Aviation EU Ref'!AG27/'Aviation EU Ref'!AF27)</f>
        <v>216.86162552102027</v>
      </c>
      <c r="AG28" s="10">
        <f>AF28*('Aviation EU Ref'!AH27/'Aviation EU Ref'!AG27)</f>
        <v>218.41997807803045</v>
      </c>
      <c r="AH28" s="10">
        <f>AG28*('Aviation EU Ref'!AI27/'Aviation EU Ref'!AH27)</f>
        <v>219.97833063504063</v>
      </c>
      <c r="AI28" s="10">
        <f>AH28*('Aviation EU Ref'!AJ27/'Aviation EU Ref'!AI27)</f>
        <v>221.53668319205084</v>
      </c>
      <c r="AJ28" s="14">
        <f t="shared" ref="AJ28:BC28" si="25">AI28</f>
        <v>221.53668319205084</v>
      </c>
      <c r="AK28" s="14">
        <f t="shared" si="25"/>
        <v>221.53668319205084</v>
      </c>
      <c r="AL28" s="14">
        <f t="shared" si="25"/>
        <v>221.53668319205084</v>
      </c>
      <c r="AM28" s="14">
        <f t="shared" si="25"/>
        <v>221.53668319205084</v>
      </c>
      <c r="AN28" s="14">
        <f t="shared" si="25"/>
        <v>221.53668319205084</v>
      </c>
      <c r="AO28" s="14">
        <f t="shared" si="25"/>
        <v>221.53668319205084</v>
      </c>
      <c r="AP28" s="14">
        <f t="shared" si="25"/>
        <v>221.53668319205084</v>
      </c>
      <c r="AQ28" s="14">
        <f t="shared" si="25"/>
        <v>221.53668319205084</v>
      </c>
      <c r="AR28" s="14">
        <f t="shared" si="25"/>
        <v>221.53668319205084</v>
      </c>
      <c r="AS28" s="14">
        <f t="shared" si="25"/>
        <v>221.53668319205084</v>
      </c>
      <c r="AT28" s="14">
        <f t="shared" si="25"/>
        <v>221.53668319205084</v>
      </c>
      <c r="AU28" s="14">
        <f t="shared" si="25"/>
        <v>221.53668319205084</v>
      </c>
      <c r="AV28" s="14">
        <f t="shared" si="25"/>
        <v>221.53668319205084</v>
      </c>
      <c r="AW28" s="14">
        <f t="shared" si="25"/>
        <v>221.53668319205084</v>
      </c>
      <c r="AX28" s="14">
        <f t="shared" si="25"/>
        <v>221.53668319205084</v>
      </c>
      <c r="AY28" s="14">
        <f t="shared" si="25"/>
        <v>221.53668319205084</v>
      </c>
      <c r="AZ28" s="14">
        <f t="shared" si="25"/>
        <v>221.53668319205084</v>
      </c>
      <c r="BA28" s="14">
        <f t="shared" si="25"/>
        <v>221.53668319205084</v>
      </c>
      <c r="BB28" s="14">
        <f t="shared" si="25"/>
        <v>221.53668319205084</v>
      </c>
      <c r="BC28" s="14">
        <f t="shared" si="25"/>
        <v>221.53668319205084</v>
      </c>
    </row>
    <row r="29" spans="1:55" x14ac:dyDescent="0.3">
      <c r="A29" t="str">
        <f t="shared" si="0"/>
        <v>SI</v>
      </c>
      <c r="B29" t="s">
        <v>202</v>
      </c>
      <c r="C29" s="13">
        <v>11.1550928</v>
      </c>
      <c r="D29" s="13">
        <v>9.8389162250000002</v>
      </c>
      <c r="E29" s="13">
        <v>1.8482277380000001</v>
      </c>
      <c r="F29" s="13">
        <v>2.6984109850000002</v>
      </c>
      <c r="G29" s="10">
        <f>F29*('Aviation EU Ref'!H28/'Aviation EU Ref'!G28)</f>
        <v>3.3282249076447497</v>
      </c>
      <c r="H29" s="10">
        <f>G29*('Aviation EU Ref'!I28/'Aviation EU Ref'!H28)</f>
        <v>3.9580388302894991</v>
      </c>
      <c r="I29" s="10">
        <f>H29*('Aviation EU Ref'!J28/'Aviation EU Ref'!I28)</f>
        <v>4.587852752934249</v>
      </c>
      <c r="J29" s="10">
        <f>I29*('Aviation EU Ref'!K28/'Aviation EU Ref'!J28)</f>
        <v>5.2176666755789984</v>
      </c>
      <c r="K29" s="10">
        <f>J29*('Aviation EU Ref'!L28/'Aviation EU Ref'!K28)</f>
        <v>5.3253126452379274</v>
      </c>
      <c r="L29" s="10">
        <f>K29*('Aviation EU Ref'!M28/'Aviation EU Ref'!L28)</f>
        <v>5.4329586148968554</v>
      </c>
      <c r="M29" s="10">
        <f>L29*('Aviation EU Ref'!N28/'Aviation EU Ref'!M28)</f>
        <v>5.5406045845557843</v>
      </c>
      <c r="N29" s="10">
        <f>M29*('Aviation EU Ref'!O28/'Aviation EU Ref'!N28)</f>
        <v>5.6482505542147123</v>
      </c>
      <c r="O29" s="10">
        <f>N29*('Aviation EU Ref'!P28/'Aviation EU Ref'!O28)</f>
        <v>5.7558965238736413</v>
      </c>
      <c r="P29" s="10">
        <f>O29*('Aviation EU Ref'!Q28/'Aviation EU Ref'!P28)</f>
        <v>5.885695586878728</v>
      </c>
      <c r="Q29" s="10">
        <f>P29*('Aviation EU Ref'!R28/'Aviation EU Ref'!Q28)</f>
        <v>6.0154946498838147</v>
      </c>
      <c r="R29" s="10">
        <f>Q29*('Aviation EU Ref'!S28/'Aviation EU Ref'!R28)</f>
        <v>6.1452937128889005</v>
      </c>
      <c r="S29" s="10">
        <f>R29*('Aviation EU Ref'!T28/'Aviation EU Ref'!S28)</f>
        <v>6.2750927758939872</v>
      </c>
      <c r="T29" s="10">
        <f>S29*('Aviation EU Ref'!U28/'Aviation EU Ref'!T28)</f>
        <v>6.4048918388990739</v>
      </c>
      <c r="U29" s="10">
        <f>T29*('Aviation EU Ref'!V28/'Aviation EU Ref'!U28)</f>
        <v>6.5264561942752284</v>
      </c>
      <c r="V29" s="10">
        <f>U29*('Aviation EU Ref'!W28/'Aviation EU Ref'!V28)</f>
        <v>6.6480205496513829</v>
      </c>
      <c r="W29" s="10">
        <f>V29*('Aviation EU Ref'!X28/'Aviation EU Ref'!W28)</f>
        <v>6.7695849050275374</v>
      </c>
      <c r="X29" s="10">
        <f>W29*('Aviation EU Ref'!Y28/'Aviation EU Ref'!X28)</f>
        <v>6.8911492604036919</v>
      </c>
      <c r="Y29" s="10">
        <f>X29*('Aviation EU Ref'!Z28/'Aviation EU Ref'!Y28)</f>
        <v>7.0127136157798464</v>
      </c>
      <c r="Z29" s="10">
        <f>Y29*('Aviation EU Ref'!AA28/'Aviation EU Ref'!Z28)</f>
        <v>7.1023342343299856</v>
      </c>
      <c r="AA29" s="10">
        <f>Z29*('Aviation EU Ref'!AB28/'Aviation EU Ref'!AA28)</f>
        <v>7.1919548528801238</v>
      </c>
      <c r="AB29" s="10">
        <f>AA29*('Aviation EU Ref'!AC28/'Aviation EU Ref'!AB28)</f>
        <v>7.281575471430263</v>
      </c>
      <c r="AC29" s="10">
        <f>AB29*('Aviation EU Ref'!AD28/'Aviation EU Ref'!AC28)</f>
        <v>7.3711960899804021</v>
      </c>
      <c r="AD29" s="10">
        <f>AC29*('Aviation EU Ref'!AE28/'Aviation EU Ref'!AD28)</f>
        <v>7.4608167085305386</v>
      </c>
      <c r="AE29" s="10">
        <f>AD29*('Aviation EU Ref'!AF28/'Aviation EU Ref'!AE28)</f>
        <v>7.5406515323345165</v>
      </c>
      <c r="AF29" s="10">
        <f>AE29*('Aviation EU Ref'!AG28/'Aviation EU Ref'!AF28)</f>
        <v>7.6204863561384943</v>
      </c>
      <c r="AG29" s="10">
        <f>AF29*('Aviation EU Ref'!AH28/'Aviation EU Ref'!AG28)</f>
        <v>7.7003211799424722</v>
      </c>
      <c r="AH29" s="10">
        <f>AG29*('Aviation EU Ref'!AI28/'Aviation EU Ref'!AH28)</f>
        <v>7.7801560037464501</v>
      </c>
      <c r="AI29" s="10">
        <f>AH29*('Aviation EU Ref'!AJ28/'Aviation EU Ref'!AI28)</f>
        <v>7.8599908275504271</v>
      </c>
      <c r="AJ29" s="14">
        <f t="shared" ref="AJ29:BC29" si="26">AI29</f>
        <v>7.8599908275504271</v>
      </c>
      <c r="AK29" s="14">
        <f t="shared" si="26"/>
        <v>7.8599908275504271</v>
      </c>
      <c r="AL29" s="14">
        <f t="shared" si="26"/>
        <v>7.8599908275504271</v>
      </c>
      <c r="AM29" s="14">
        <f t="shared" si="26"/>
        <v>7.8599908275504271</v>
      </c>
      <c r="AN29" s="14">
        <f t="shared" si="26"/>
        <v>7.8599908275504271</v>
      </c>
      <c r="AO29" s="14">
        <f t="shared" si="26"/>
        <v>7.8599908275504271</v>
      </c>
      <c r="AP29" s="14">
        <f t="shared" si="26"/>
        <v>7.8599908275504271</v>
      </c>
      <c r="AQ29" s="14">
        <f t="shared" si="26"/>
        <v>7.8599908275504271</v>
      </c>
      <c r="AR29" s="14">
        <f t="shared" si="26"/>
        <v>7.8599908275504271</v>
      </c>
      <c r="AS29" s="14">
        <f t="shared" si="26"/>
        <v>7.8599908275504271</v>
      </c>
      <c r="AT29" s="14">
        <f t="shared" si="26"/>
        <v>7.8599908275504271</v>
      </c>
      <c r="AU29" s="14">
        <f t="shared" si="26"/>
        <v>7.8599908275504271</v>
      </c>
      <c r="AV29" s="14">
        <f t="shared" si="26"/>
        <v>7.8599908275504271</v>
      </c>
      <c r="AW29" s="14">
        <f t="shared" si="26"/>
        <v>7.8599908275504271</v>
      </c>
      <c r="AX29" s="14">
        <f t="shared" si="26"/>
        <v>7.8599908275504271</v>
      </c>
      <c r="AY29" s="14">
        <f t="shared" si="26"/>
        <v>7.8599908275504271</v>
      </c>
      <c r="AZ29" s="14">
        <f t="shared" si="26"/>
        <v>7.8599908275504271</v>
      </c>
      <c r="BA29" s="14">
        <f t="shared" si="26"/>
        <v>7.8599908275504271</v>
      </c>
      <c r="BB29" s="14">
        <f t="shared" si="26"/>
        <v>7.8599908275504271</v>
      </c>
      <c r="BC29" s="14">
        <f t="shared" si="26"/>
        <v>7.8599908275504271</v>
      </c>
    </row>
    <row r="30" spans="1:55" x14ac:dyDescent="0.3">
      <c r="A30" t="str">
        <f t="shared" si="0"/>
        <v>SK</v>
      </c>
      <c r="B30" t="s">
        <v>203</v>
      </c>
      <c r="C30" s="13">
        <v>15.037798739999999</v>
      </c>
      <c r="D30" s="13">
        <v>15.17954864</v>
      </c>
      <c r="E30" s="13">
        <v>3.889929623</v>
      </c>
      <c r="F30" s="13">
        <v>5.2504250920000004</v>
      </c>
      <c r="G30" s="10">
        <f>F30*('Aviation EU Ref'!H29/'Aviation EU Ref'!G29)</f>
        <v>6.4916889856797262</v>
      </c>
      <c r="H30" s="10">
        <f>G30*('Aviation EU Ref'!I29/'Aviation EU Ref'!H29)</f>
        <v>7.7329528793594511</v>
      </c>
      <c r="I30" s="10">
        <f>H30*('Aviation EU Ref'!J29/'Aviation EU Ref'!I29)</f>
        <v>8.9742167730391778</v>
      </c>
      <c r="J30" s="10">
        <f>I30*('Aviation EU Ref'!K29/'Aviation EU Ref'!J29)</f>
        <v>10.215480666718904</v>
      </c>
      <c r="K30" s="10">
        <f>J30*('Aviation EU Ref'!L29/'Aviation EU Ref'!K29)</f>
        <v>10.477785455253278</v>
      </c>
      <c r="L30" s="10">
        <f>K30*('Aviation EU Ref'!M29/'Aviation EU Ref'!L29)</f>
        <v>10.740090243787652</v>
      </c>
      <c r="M30" s="10">
        <f>L30*('Aviation EU Ref'!N29/'Aviation EU Ref'!M29)</f>
        <v>11.002395032322026</v>
      </c>
      <c r="N30" s="10">
        <f>M30*('Aviation EU Ref'!O29/'Aviation EU Ref'!N29)</f>
        <v>11.264699820856398</v>
      </c>
      <c r="O30" s="10">
        <f>N30*('Aviation EU Ref'!P29/'Aviation EU Ref'!O29)</f>
        <v>11.527004609390771</v>
      </c>
      <c r="P30" s="10">
        <f>O30*('Aviation EU Ref'!Q29/'Aviation EU Ref'!P29)</f>
        <v>11.715084231427312</v>
      </c>
      <c r="Q30" s="10">
        <f>P30*('Aviation EU Ref'!R29/'Aviation EU Ref'!Q29)</f>
        <v>11.903163853463854</v>
      </c>
      <c r="R30" s="10">
        <f>Q30*('Aviation EU Ref'!S29/'Aviation EU Ref'!R29)</f>
        <v>12.091243475500395</v>
      </c>
      <c r="S30" s="10">
        <f>R30*('Aviation EU Ref'!T29/'Aviation EU Ref'!S29)</f>
        <v>12.279323097536937</v>
      </c>
      <c r="T30" s="10">
        <f>S30*('Aviation EU Ref'!U29/'Aviation EU Ref'!T29)</f>
        <v>12.467402719573473</v>
      </c>
      <c r="U30" s="10">
        <f>T30*('Aviation EU Ref'!V29/'Aviation EU Ref'!U29)</f>
        <v>12.658687765711646</v>
      </c>
      <c r="V30" s="10">
        <f>U30*('Aviation EU Ref'!W29/'Aviation EU Ref'!V29)</f>
        <v>12.849972811849819</v>
      </c>
      <c r="W30" s="10">
        <f>V30*('Aviation EU Ref'!X29/'Aviation EU Ref'!W29)</f>
        <v>13.041257857987993</v>
      </c>
      <c r="X30" s="10">
        <f>W30*('Aviation EU Ref'!Y29/'Aviation EU Ref'!X29)</f>
        <v>13.232542904126166</v>
      </c>
      <c r="Y30" s="10">
        <f>X30*('Aviation EU Ref'!Z29/'Aviation EU Ref'!Y29)</f>
        <v>13.423827950264336</v>
      </c>
      <c r="Z30" s="10">
        <f>Y30*('Aviation EU Ref'!AA29/'Aviation EU Ref'!Z29)</f>
        <v>13.527044045991298</v>
      </c>
      <c r="AA30" s="10">
        <f>Z30*('Aviation EU Ref'!AB29/'Aviation EU Ref'!AA29)</f>
        <v>13.630260141718262</v>
      </c>
      <c r="AB30" s="10">
        <f>AA30*('Aviation EU Ref'!AC29/'Aviation EU Ref'!AB29)</f>
        <v>13.733476237445224</v>
      </c>
      <c r="AC30" s="10">
        <f>AB30*('Aviation EU Ref'!AD29/'Aviation EU Ref'!AC29)</f>
        <v>13.836692333172186</v>
      </c>
      <c r="AD30" s="10">
        <f>AC30*('Aviation EU Ref'!AE29/'Aviation EU Ref'!AD29)</f>
        <v>13.939908428899148</v>
      </c>
      <c r="AE30" s="10">
        <f>AD30*('Aviation EU Ref'!AF29/'Aviation EU Ref'!AE29)</f>
        <v>14.043545688544388</v>
      </c>
      <c r="AF30" s="10">
        <f>AE30*('Aviation EU Ref'!AG29/'Aviation EU Ref'!AF29)</f>
        <v>14.147182948189627</v>
      </c>
      <c r="AG30" s="10">
        <f>AF30*('Aviation EU Ref'!AH29/'Aviation EU Ref'!AG29)</f>
        <v>14.250820207834867</v>
      </c>
      <c r="AH30" s="10">
        <f>AG30*('Aviation EU Ref'!AI29/'Aviation EU Ref'!AH29)</f>
        <v>14.354457467480104</v>
      </c>
      <c r="AI30" s="10">
        <f>AH30*('Aviation EU Ref'!AJ29/'Aviation EU Ref'!AI29)</f>
        <v>14.458094727125337</v>
      </c>
      <c r="AJ30" s="14">
        <f t="shared" ref="AJ30:BC30" si="27">AI30</f>
        <v>14.458094727125337</v>
      </c>
      <c r="AK30" s="14">
        <f t="shared" si="27"/>
        <v>14.458094727125337</v>
      </c>
      <c r="AL30" s="14">
        <f t="shared" si="27"/>
        <v>14.458094727125337</v>
      </c>
      <c r="AM30" s="14">
        <f t="shared" si="27"/>
        <v>14.458094727125337</v>
      </c>
      <c r="AN30" s="14">
        <f t="shared" si="27"/>
        <v>14.458094727125337</v>
      </c>
      <c r="AO30" s="14">
        <f t="shared" si="27"/>
        <v>14.458094727125337</v>
      </c>
      <c r="AP30" s="14">
        <f t="shared" si="27"/>
        <v>14.458094727125337</v>
      </c>
      <c r="AQ30" s="14">
        <f t="shared" si="27"/>
        <v>14.458094727125337</v>
      </c>
      <c r="AR30" s="14">
        <f t="shared" si="27"/>
        <v>14.458094727125337</v>
      </c>
      <c r="AS30" s="14">
        <f t="shared" si="27"/>
        <v>14.458094727125337</v>
      </c>
      <c r="AT30" s="14">
        <f t="shared" si="27"/>
        <v>14.458094727125337</v>
      </c>
      <c r="AU30" s="14">
        <f t="shared" si="27"/>
        <v>14.458094727125337</v>
      </c>
      <c r="AV30" s="14">
        <f t="shared" si="27"/>
        <v>14.458094727125337</v>
      </c>
      <c r="AW30" s="14">
        <f t="shared" si="27"/>
        <v>14.458094727125337</v>
      </c>
      <c r="AX30" s="14">
        <f t="shared" si="27"/>
        <v>14.458094727125337</v>
      </c>
      <c r="AY30" s="14">
        <f t="shared" si="27"/>
        <v>14.458094727125337</v>
      </c>
      <c r="AZ30" s="14">
        <f t="shared" si="27"/>
        <v>14.458094727125337</v>
      </c>
      <c r="BA30" s="14">
        <f t="shared" si="27"/>
        <v>14.458094727125337</v>
      </c>
      <c r="BB30" s="14">
        <f t="shared" si="27"/>
        <v>14.458094727125337</v>
      </c>
      <c r="BC30" s="14">
        <f t="shared" si="27"/>
        <v>14.458094727125337</v>
      </c>
    </row>
  </sheetData>
  <autoFilter ref="A3:F3" xr:uid="{D2E0826C-4DDA-4163-9E9D-ADC93200E398}">
    <sortState xmlns:xlrd2="http://schemas.microsoft.com/office/spreadsheetml/2017/richdata2" ref="A4:F30">
      <sortCondition ref="A3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F6CC8-A56C-4FE4-BE6A-CB0D19D3FBE7}">
  <dimension ref="A1:AL29"/>
  <sheetViews>
    <sheetView workbookViewId="0"/>
  </sheetViews>
  <sheetFormatPr defaultRowHeight="14.4" x14ac:dyDescent="0.3"/>
  <cols>
    <col min="2" max="2" width="10.6640625" bestFit="1" customWidth="1"/>
    <col min="3" max="3" width="28.109375" bestFit="1" customWidth="1"/>
    <col min="4" max="4" width="24.5546875" bestFit="1" customWidth="1"/>
    <col min="5" max="5" width="14" bestFit="1" customWidth="1"/>
  </cols>
  <sheetData>
    <row r="1" spans="1:38" x14ac:dyDescent="0.3">
      <c r="A1" t="s">
        <v>815</v>
      </c>
    </row>
    <row r="2" spans="1:38" x14ac:dyDescent="0.3">
      <c r="A2" t="s">
        <v>1</v>
      </c>
      <c r="B2" s="25" t="s">
        <v>118</v>
      </c>
      <c r="C2" s="26"/>
      <c r="D2" s="26"/>
      <c r="E2" s="26"/>
      <c r="F2" s="27">
        <v>2020</v>
      </c>
      <c r="G2" s="27">
        <v>2021</v>
      </c>
      <c r="H2" s="27">
        <v>2022</v>
      </c>
      <c r="I2" s="27">
        <v>2023</v>
      </c>
      <c r="J2" s="27">
        <v>2024</v>
      </c>
      <c r="K2" s="27">
        <v>2025</v>
      </c>
      <c r="L2" s="27">
        <v>2026</v>
      </c>
      <c r="M2" s="27">
        <v>2027</v>
      </c>
      <c r="N2" s="27">
        <v>2028</v>
      </c>
      <c r="O2" s="27">
        <v>2029</v>
      </c>
      <c r="P2" s="27">
        <v>2030</v>
      </c>
      <c r="Q2" s="27">
        <v>2031</v>
      </c>
      <c r="R2" s="27">
        <v>2032</v>
      </c>
      <c r="S2" s="27">
        <v>2033</v>
      </c>
      <c r="T2" s="27">
        <v>2034</v>
      </c>
      <c r="U2" s="27">
        <v>2035</v>
      </c>
      <c r="V2" s="27">
        <v>2036</v>
      </c>
      <c r="W2" s="27">
        <v>2037</v>
      </c>
      <c r="X2" s="27">
        <v>2038</v>
      </c>
      <c r="Y2" s="27">
        <v>2039</v>
      </c>
      <c r="Z2" s="27">
        <v>2040</v>
      </c>
      <c r="AA2" s="27">
        <v>2041</v>
      </c>
      <c r="AB2" s="27">
        <v>2042</v>
      </c>
      <c r="AC2" s="27">
        <v>2043</v>
      </c>
      <c r="AD2" s="27">
        <v>2044</v>
      </c>
      <c r="AE2" s="27">
        <v>2045</v>
      </c>
      <c r="AF2" s="27">
        <v>2046</v>
      </c>
      <c r="AG2" s="27">
        <v>2047</v>
      </c>
      <c r="AH2" s="27">
        <v>2048</v>
      </c>
      <c r="AI2" s="27">
        <v>2049</v>
      </c>
      <c r="AJ2" s="27">
        <v>2050</v>
      </c>
      <c r="AK2" s="27" t="s">
        <v>119</v>
      </c>
      <c r="AL2" s="27" t="s">
        <v>120</v>
      </c>
    </row>
    <row r="3" spans="1:38" x14ac:dyDescent="0.3">
      <c r="A3" t="str">
        <f>VLOOKUP(B3,'Country codes'!$A$1:$B$28,2,FALSE)</f>
        <v>AT</v>
      </c>
      <c r="B3" s="23" t="s">
        <v>90</v>
      </c>
      <c r="C3" s="24" t="s">
        <v>121</v>
      </c>
      <c r="D3" s="28" t="s">
        <v>122</v>
      </c>
      <c r="E3" s="29" t="s">
        <v>207</v>
      </c>
      <c r="F3" s="30">
        <v>4.0680126053891428</v>
      </c>
      <c r="G3" s="30">
        <f>F3+(($K3-$F3)/5)</f>
        <v>5.2382625645061367</v>
      </c>
      <c r="H3" s="30">
        <f t="shared" ref="H3:J3" si="0">G3+(($K3-$F3)/5)</f>
        <v>6.4085125236231306</v>
      </c>
      <c r="I3" s="30">
        <f t="shared" si="0"/>
        <v>7.5787624827401245</v>
      </c>
      <c r="J3" s="30">
        <f t="shared" si="0"/>
        <v>8.7490124418571185</v>
      </c>
      <c r="K3" s="30">
        <v>9.9192624009741142</v>
      </c>
      <c r="L3" s="30">
        <f>K3+(($P3-$K3)/5)</f>
        <v>10.085292456916203</v>
      </c>
      <c r="M3" s="30">
        <f t="shared" ref="M3:O3" si="1">L3+(($P3-$K3)/5)</f>
        <v>10.251322512858293</v>
      </c>
      <c r="N3" s="30">
        <f t="shared" si="1"/>
        <v>10.417352568800382</v>
      </c>
      <c r="O3" s="30">
        <f t="shared" si="1"/>
        <v>10.583382624742471</v>
      </c>
      <c r="P3" s="30">
        <v>10.749412680684559</v>
      </c>
      <c r="Q3" s="30">
        <f>P3+(($U3-$P3)/5)</f>
        <v>10.951772659464407</v>
      </c>
      <c r="R3" s="30">
        <f t="shared" ref="R3:T3" si="2">Q3+(($U3-$P3)/5)</f>
        <v>11.154132638244254</v>
      </c>
      <c r="S3" s="30">
        <f t="shared" si="2"/>
        <v>11.356492617024102</v>
      </c>
      <c r="T3" s="30">
        <f t="shared" si="2"/>
        <v>11.55885259580395</v>
      </c>
      <c r="U3" s="30">
        <v>11.761212574583798</v>
      </c>
      <c r="V3" s="30">
        <f>U3+(($Z3-$U3)/5)</f>
        <v>11.938991789618973</v>
      </c>
      <c r="W3" s="30">
        <f t="shared" ref="W3:Y3" si="3">V3+(($Z3-$U3)/5)</f>
        <v>12.116771004654147</v>
      </c>
      <c r="X3" s="30">
        <f t="shared" si="3"/>
        <v>12.294550219689322</v>
      </c>
      <c r="Y3" s="30">
        <f t="shared" si="3"/>
        <v>12.472329434724497</v>
      </c>
      <c r="Z3" s="30">
        <v>12.65010864975967</v>
      </c>
      <c r="AA3" s="30">
        <f>Z3+(($AE3-$Z3)/5)</f>
        <v>12.759544415900713</v>
      </c>
      <c r="AB3" s="30">
        <f t="shared" ref="AB3:AD3" si="4">AA3+(($AE3-$Z3)/5)</f>
        <v>12.868980182041756</v>
      </c>
      <c r="AC3" s="30">
        <f t="shared" si="4"/>
        <v>12.9784159481828</v>
      </c>
      <c r="AD3" s="30">
        <f t="shared" si="4"/>
        <v>13.087851714323843</v>
      </c>
      <c r="AE3" s="30">
        <v>13.197287480464889</v>
      </c>
      <c r="AF3" s="30">
        <f>AE3+(($AJ3-$AE3)/5)</f>
        <v>13.274246072587788</v>
      </c>
      <c r="AG3" s="30">
        <f t="shared" ref="AG3:AI3" si="5">AF3+(($AJ3-$AE3)/5)</f>
        <v>13.351204664710687</v>
      </c>
      <c r="AH3" s="30">
        <f t="shared" si="5"/>
        <v>13.428163256833587</v>
      </c>
      <c r="AI3" s="30">
        <f t="shared" si="5"/>
        <v>13.505121848956486</v>
      </c>
      <c r="AJ3" s="30">
        <v>13.582080441079388</v>
      </c>
      <c r="AK3" s="31">
        <v>10.204732470548539</v>
      </c>
      <c r="AL3" s="31">
        <v>1.1763663527883494</v>
      </c>
    </row>
    <row r="4" spans="1:38" x14ac:dyDescent="0.3">
      <c r="A4" t="str">
        <f>VLOOKUP(B4,'Country codes'!$A$1:$B$28,2,FALSE)</f>
        <v>BE</v>
      </c>
      <c r="B4" s="23" t="s">
        <v>91</v>
      </c>
      <c r="C4" s="24" t="s">
        <v>121</v>
      </c>
      <c r="D4" s="28" t="s">
        <v>122</v>
      </c>
      <c r="E4" s="29" t="s">
        <v>207</v>
      </c>
      <c r="F4" s="30">
        <v>5.8577039255756631</v>
      </c>
      <c r="G4" s="30">
        <f t="shared" ref="G4:J4" si="6">F4+(($K4-$F4)/5)</f>
        <v>7.4398842076232627</v>
      </c>
      <c r="H4" s="30">
        <f t="shared" si="6"/>
        <v>9.0220644896708624</v>
      </c>
      <c r="I4" s="30">
        <f t="shared" si="6"/>
        <v>10.604244771718461</v>
      </c>
      <c r="J4" s="30">
        <f t="shared" si="6"/>
        <v>12.18642505376606</v>
      </c>
      <c r="K4" s="30">
        <v>13.76860533581366</v>
      </c>
      <c r="L4" s="30">
        <f t="shared" ref="L4:O4" si="7">K4+(($P4-$K4)/5)</f>
        <v>14.105229738324599</v>
      </c>
      <c r="M4" s="30">
        <f t="shared" si="7"/>
        <v>14.441854140835538</v>
      </c>
      <c r="N4" s="30">
        <f t="shared" si="7"/>
        <v>14.778478543346477</v>
      </c>
      <c r="O4" s="30">
        <f t="shared" si="7"/>
        <v>15.115102945857416</v>
      </c>
      <c r="P4" s="30">
        <v>15.451727348368358</v>
      </c>
      <c r="Q4" s="30">
        <f t="shared" ref="Q4:T4" si="8">P4+(($U4-$P4)/5)</f>
        <v>15.590969961142575</v>
      </c>
      <c r="R4" s="30">
        <f t="shared" si="8"/>
        <v>15.730212573916791</v>
      </c>
      <c r="S4" s="30">
        <f t="shared" si="8"/>
        <v>15.869455186691008</v>
      </c>
      <c r="T4" s="30">
        <f t="shared" si="8"/>
        <v>16.008697799465224</v>
      </c>
      <c r="U4" s="30">
        <v>16.147940412239439</v>
      </c>
      <c r="V4" s="30">
        <f t="shared" ref="V4:Y4" si="9">U4+(($Z4-$U4)/5)</f>
        <v>16.385795018708475</v>
      </c>
      <c r="W4" s="30">
        <f t="shared" si="9"/>
        <v>16.62364962517751</v>
      </c>
      <c r="X4" s="30">
        <f t="shared" si="9"/>
        <v>16.861504231646546</v>
      </c>
      <c r="Y4" s="30">
        <f t="shared" si="9"/>
        <v>17.099358838115581</v>
      </c>
      <c r="Z4" s="30">
        <v>17.337213444584609</v>
      </c>
      <c r="AA4" s="30">
        <f t="shared" ref="AA4:AD4" si="10">Z4+(($AE4-$Z4)/5)</f>
        <v>17.439593670587119</v>
      </c>
      <c r="AB4" s="30">
        <f t="shared" si="10"/>
        <v>17.541973896589628</v>
      </c>
      <c r="AC4" s="30">
        <f t="shared" si="10"/>
        <v>17.644354122592137</v>
      </c>
      <c r="AD4" s="30">
        <f t="shared" si="10"/>
        <v>17.746734348594646</v>
      </c>
      <c r="AE4" s="30">
        <v>17.849114574597159</v>
      </c>
      <c r="AF4" s="30">
        <f t="shared" ref="AF4:AI4" si="11">AE4+(($AJ4-$AE4)/5)</f>
        <v>17.971121572091221</v>
      </c>
      <c r="AG4" s="30">
        <f t="shared" si="11"/>
        <v>18.093128569585282</v>
      </c>
      <c r="AH4" s="30">
        <f t="shared" si="11"/>
        <v>18.215135567079344</v>
      </c>
      <c r="AI4" s="30">
        <f t="shared" si="11"/>
        <v>18.337142564573405</v>
      </c>
      <c r="AJ4" s="30">
        <v>18.459149562067463</v>
      </c>
      <c r="AK4" s="31">
        <v>10.185630714063798</v>
      </c>
      <c r="AL4" s="31">
        <v>0.89316189454966555</v>
      </c>
    </row>
    <row r="5" spans="1:38" x14ac:dyDescent="0.3">
      <c r="A5" t="str">
        <f>VLOOKUP(B5,'Country codes'!$A$1:$B$28,2,FALSE)</f>
        <v>BG</v>
      </c>
      <c r="B5" s="23" t="s">
        <v>92</v>
      </c>
      <c r="C5" s="24" t="s">
        <v>121</v>
      </c>
      <c r="D5" s="28" t="s">
        <v>122</v>
      </c>
      <c r="E5" s="29" t="s">
        <v>207</v>
      </c>
      <c r="F5" s="30">
        <v>2.0280901969048286</v>
      </c>
      <c r="G5" s="30">
        <f t="shared" ref="G5:J5" si="12">F5+(($K5-$F5)/5)</f>
        <v>2.6334006082238819</v>
      </c>
      <c r="H5" s="30">
        <f t="shared" si="12"/>
        <v>3.2387110195429347</v>
      </c>
      <c r="I5" s="30">
        <f t="shared" si="12"/>
        <v>3.8440214308619876</v>
      </c>
      <c r="J5" s="30">
        <f t="shared" si="12"/>
        <v>4.4493318421810404</v>
      </c>
      <c r="K5" s="30">
        <v>5.0546422535000941</v>
      </c>
      <c r="L5" s="30">
        <f t="shared" ref="L5:O5" si="13">K5+(($P5-$K5)/5)</f>
        <v>5.1727789107981383</v>
      </c>
      <c r="M5" s="30">
        <f t="shared" si="13"/>
        <v>5.2909155680961826</v>
      </c>
      <c r="N5" s="30">
        <f t="shared" si="13"/>
        <v>5.4090522253942268</v>
      </c>
      <c r="O5" s="30">
        <f t="shared" si="13"/>
        <v>5.527188882692271</v>
      </c>
      <c r="P5" s="30">
        <v>5.6453255399903171</v>
      </c>
      <c r="Q5" s="30">
        <f t="shared" ref="Q5:T5" si="14">P5+(($U5-$P5)/5)</f>
        <v>5.7908283463017911</v>
      </c>
      <c r="R5" s="30">
        <f t="shared" si="14"/>
        <v>5.9363311526132652</v>
      </c>
      <c r="S5" s="30">
        <f t="shared" si="14"/>
        <v>6.0818339589247392</v>
      </c>
      <c r="T5" s="30">
        <f t="shared" si="14"/>
        <v>6.2273367652362133</v>
      </c>
      <c r="U5" s="30">
        <v>6.3728395715476882</v>
      </c>
      <c r="V5" s="30">
        <f t="shared" ref="V5:Y5" si="15">U5+(($Z5-$U5)/5)</f>
        <v>6.5108827640402227</v>
      </c>
      <c r="W5" s="30">
        <f t="shared" si="15"/>
        <v>6.6489259565327572</v>
      </c>
      <c r="X5" s="30">
        <f t="shared" si="15"/>
        <v>6.7869691490252917</v>
      </c>
      <c r="Y5" s="30">
        <f t="shared" si="15"/>
        <v>6.9250123415178262</v>
      </c>
      <c r="Z5" s="30">
        <v>7.0630555340103625</v>
      </c>
      <c r="AA5" s="30">
        <f t="shared" ref="AA5:AD5" si="16">Z5+(($AE5-$Z5)/5)</f>
        <v>7.1659583858323126</v>
      </c>
      <c r="AB5" s="30">
        <f t="shared" si="16"/>
        <v>7.2688612376542627</v>
      </c>
      <c r="AC5" s="30">
        <f t="shared" si="16"/>
        <v>7.3717640894762129</v>
      </c>
      <c r="AD5" s="30">
        <f t="shared" si="16"/>
        <v>7.474666941298163</v>
      </c>
      <c r="AE5" s="30">
        <v>7.5775697931201114</v>
      </c>
      <c r="AF5" s="30">
        <f t="shared" ref="AF5:AI5" si="17">AE5+(($AJ5-$AE5)/5)</f>
        <v>7.6838197238547554</v>
      </c>
      <c r="AG5" s="30">
        <f t="shared" si="17"/>
        <v>7.7900696545893995</v>
      </c>
      <c r="AH5" s="30">
        <f t="shared" si="17"/>
        <v>7.8963195853240435</v>
      </c>
      <c r="AI5" s="30">
        <f t="shared" si="17"/>
        <v>8.0025695160586867</v>
      </c>
      <c r="AJ5" s="30">
        <v>8.1088194467933299</v>
      </c>
      <c r="AK5" s="31">
        <v>10.779696883853074</v>
      </c>
      <c r="AL5" s="31">
        <v>1.8271132691458636</v>
      </c>
    </row>
    <row r="6" spans="1:38" x14ac:dyDescent="0.3">
      <c r="A6" t="str">
        <f>VLOOKUP(B6,'Country codes'!$A$1:$B$28,2,FALSE)</f>
        <v>CY</v>
      </c>
      <c r="B6" s="23" t="s">
        <v>93</v>
      </c>
      <c r="C6" s="24" t="s">
        <v>121</v>
      </c>
      <c r="D6" s="28" t="s">
        <v>122</v>
      </c>
      <c r="E6" s="29" t="s">
        <v>207</v>
      </c>
      <c r="F6" s="30">
        <v>1.5063653320735395</v>
      </c>
      <c r="G6" s="30">
        <f t="shared" ref="G6:J6" si="18">F6+(($K6-$F6)/5)</f>
        <v>2.0617619001228462</v>
      </c>
      <c r="H6" s="30">
        <f t="shared" si="18"/>
        <v>2.6171584681721525</v>
      </c>
      <c r="I6" s="30">
        <f t="shared" si="18"/>
        <v>3.1725550362214587</v>
      </c>
      <c r="J6" s="30">
        <f t="shared" si="18"/>
        <v>3.727951604270765</v>
      </c>
      <c r="K6" s="30">
        <v>4.2833481723200721</v>
      </c>
      <c r="L6" s="30">
        <f t="shared" ref="L6:O6" si="19">K6+(($P6-$K6)/5)</f>
        <v>4.4679185253104006</v>
      </c>
      <c r="M6" s="30">
        <f t="shared" si="19"/>
        <v>4.652488878300729</v>
      </c>
      <c r="N6" s="30">
        <f t="shared" si="19"/>
        <v>4.8370592312910574</v>
      </c>
      <c r="O6" s="30">
        <f t="shared" si="19"/>
        <v>5.0216295842813858</v>
      </c>
      <c r="P6" s="30">
        <v>5.2061999372717143</v>
      </c>
      <c r="Q6" s="30">
        <f t="shared" ref="Q6:T6" si="20">P6+(($U6-$P6)/5)</f>
        <v>5.4234123369535814</v>
      </c>
      <c r="R6" s="30">
        <f t="shared" si="20"/>
        <v>5.6406247366354485</v>
      </c>
      <c r="S6" s="30">
        <f t="shared" si="20"/>
        <v>5.8578371363173156</v>
      </c>
      <c r="T6" s="30">
        <f t="shared" si="20"/>
        <v>6.0750495359991827</v>
      </c>
      <c r="U6" s="30">
        <v>6.2922619356810481</v>
      </c>
      <c r="V6" s="30">
        <f t="shared" ref="V6:Y6" si="21">U6+(($Z6-$U6)/5)</f>
        <v>6.4440032798267195</v>
      </c>
      <c r="W6" s="30">
        <f t="shared" si="21"/>
        <v>6.5957446239723909</v>
      </c>
      <c r="X6" s="30">
        <f t="shared" si="21"/>
        <v>6.7474859681180623</v>
      </c>
      <c r="Y6" s="30">
        <f t="shared" si="21"/>
        <v>6.8992273122637338</v>
      </c>
      <c r="Z6" s="30">
        <v>7.0509686564094061</v>
      </c>
      <c r="AA6" s="30">
        <f t="shared" ref="AA6:AD6" si="22">Z6+(($AE6-$Z6)/5)</f>
        <v>7.1583425755114689</v>
      </c>
      <c r="AB6" s="30">
        <f t="shared" si="22"/>
        <v>7.2657164946135318</v>
      </c>
      <c r="AC6" s="30">
        <f t="shared" si="22"/>
        <v>7.3730904137155946</v>
      </c>
      <c r="AD6" s="30">
        <f t="shared" si="22"/>
        <v>7.4804643328176574</v>
      </c>
      <c r="AE6" s="30">
        <v>7.5878382519197203</v>
      </c>
      <c r="AF6" s="30">
        <f t="shared" ref="AF6:AI6" si="23">AE6+(($AJ6-$AE6)/5)</f>
        <v>7.6958516580772729</v>
      </c>
      <c r="AG6" s="30">
        <f t="shared" si="23"/>
        <v>7.8038650642348255</v>
      </c>
      <c r="AH6" s="30">
        <f t="shared" si="23"/>
        <v>7.9118784703923781</v>
      </c>
      <c r="AI6" s="30">
        <f t="shared" si="23"/>
        <v>8.0198918765499307</v>
      </c>
      <c r="AJ6" s="30">
        <v>8.1279052827074825</v>
      </c>
      <c r="AK6" s="31">
        <v>13.203291098418489</v>
      </c>
      <c r="AL6" s="31">
        <v>2.252253859550124</v>
      </c>
    </row>
    <row r="7" spans="1:38" x14ac:dyDescent="0.3">
      <c r="A7" t="str">
        <f>VLOOKUP(B7,'Country codes'!$A$1:$B$28,2,FALSE)</f>
        <v>CZ</v>
      </c>
      <c r="B7" s="23" t="s">
        <v>94</v>
      </c>
      <c r="C7" s="24" t="s">
        <v>121</v>
      </c>
      <c r="D7" s="28" t="s">
        <v>122</v>
      </c>
      <c r="E7" s="29" t="s">
        <v>207</v>
      </c>
      <c r="F7" s="30">
        <v>3.7402289165591478</v>
      </c>
      <c r="G7" s="30">
        <f t="shared" ref="G7:J7" si="24">F7+(($K7-$F7)/5)</f>
        <v>4.6486253671833362</v>
      </c>
      <c r="H7" s="30">
        <f t="shared" si="24"/>
        <v>5.5570218178075246</v>
      </c>
      <c r="I7" s="30">
        <f t="shared" si="24"/>
        <v>6.465418268431713</v>
      </c>
      <c r="J7" s="30">
        <f t="shared" si="24"/>
        <v>7.3738147190559014</v>
      </c>
      <c r="K7" s="30">
        <v>8.2822111696800889</v>
      </c>
      <c r="L7" s="30">
        <f t="shared" ref="L7:O7" si="25">K7+(($P7-$K7)/5)</f>
        <v>8.4670970426539061</v>
      </c>
      <c r="M7" s="30">
        <f t="shared" si="25"/>
        <v>8.6519829156277233</v>
      </c>
      <c r="N7" s="30">
        <f t="shared" si="25"/>
        <v>8.8368687886015405</v>
      </c>
      <c r="O7" s="30">
        <f t="shared" si="25"/>
        <v>9.0217546615753577</v>
      </c>
      <c r="P7" s="30">
        <v>9.2066405345491731</v>
      </c>
      <c r="Q7" s="30">
        <f t="shared" ref="Q7:T7" si="26">P7+(($U7-$P7)/5)</f>
        <v>9.3854237721125049</v>
      </c>
      <c r="R7" s="30">
        <f t="shared" si="26"/>
        <v>9.5642070096758367</v>
      </c>
      <c r="S7" s="30">
        <f t="shared" si="26"/>
        <v>9.7429902472391685</v>
      </c>
      <c r="T7" s="30">
        <f t="shared" si="26"/>
        <v>9.9217734848025003</v>
      </c>
      <c r="U7" s="30">
        <v>10.100556722365834</v>
      </c>
      <c r="V7" s="30">
        <f t="shared" ref="V7:Y7" si="27">U7+(($Z7-$U7)/5)</f>
        <v>10.278767772062926</v>
      </c>
      <c r="W7" s="30">
        <f t="shared" si="27"/>
        <v>10.456978821760018</v>
      </c>
      <c r="X7" s="30">
        <f t="shared" si="27"/>
        <v>10.63518987145711</v>
      </c>
      <c r="Y7" s="30">
        <f t="shared" si="27"/>
        <v>10.813400921154201</v>
      </c>
      <c r="Z7" s="30">
        <v>10.991611970851293</v>
      </c>
      <c r="AA7" s="30">
        <f t="shared" ref="AA7:AD7" si="28">Z7+(($AE7-$Z7)/5)</f>
        <v>11.101265413100114</v>
      </c>
      <c r="AB7" s="30">
        <f t="shared" si="28"/>
        <v>11.210918855348934</v>
      </c>
      <c r="AC7" s="30">
        <f t="shared" si="28"/>
        <v>11.320572297597755</v>
      </c>
      <c r="AD7" s="30">
        <f t="shared" si="28"/>
        <v>11.430225739846575</v>
      </c>
      <c r="AE7" s="30">
        <v>11.539879182095399</v>
      </c>
      <c r="AF7" s="30">
        <f t="shared" ref="AF7:AI7" si="29">AE7+(($AJ7-$AE7)/5)</f>
        <v>11.670248392805718</v>
      </c>
      <c r="AG7" s="30">
        <f t="shared" si="29"/>
        <v>11.800617603516036</v>
      </c>
      <c r="AH7" s="30">
        <f t="shared" si="29"/>
        <v>11.930986814226355</v>
      </c>
      <c r="AI7" s="30">
        <f t="shared" si="29"/>
        <v>12.061356024936673</v>
      </c>
      <c r="AJ7" s="30">
        <v>12.191725235646992</v>
      </c>
      <c r="AK7" s="31">
        <v>9.4259436069214821</v>
      </c>
      <c r="AL7" s="31">
        <v>1.4140668690197478</v>
      </c>
    </row>
    <row r="8" spans="1:38" x14ac:dyDescent="0.3">
      <c r="A8" t="str">
        <f>VLOOKUP(B8,'Country codes'!$A$1:$B$28,2,FALSE)</f>
        <v>DE</v>
      </c>
      <c r="B8" s="23" t="s">
        <v>95</v>
      </c>
      <c r="C8" s="24" t="s">
        <v>121</v>
      </c>
      <c r="D8" s="28" t="s">
        <v>122</v>
      </c>
      <c r="E8" s="29" t="s">
        <v>207</v>
      </c>
      <c r="F8" s="30">
        <v>34.579923994323451</v>
      </c>
      <c r="G8" s="30">
        <f t="shared" ref="G8:J8" si="30">F8+(($K8-$F8)/5)</f>
        <v>43.391712147510745</v>
      </c>
      <c r="H8" s="30">
        <f t="shared" si="30"/>
        <v>52.203500300698039</v>
      </c>
      <c r="I8" s="30">
        <f t="shared" si="30"/>
        <v>61.015288453885333</v>
      </c>
      <c r="J8" s="30">
        <f t="shared" si="30"/>
        <v>69.827076607072627</v>
      </c>
      <c r="K8" s="30">
        <v>78.638864760259921</v>
      </c>
      <c r="L8" s="30">
        <f t="shared" ref="L8:O8" si="31">K8+(($P8-$K8)/5)</f>
        <v>80.718870103936027</v>
      </c>
      <c r="M8" s="30">
        <f t="shared" si="31"/>
        <v>82.798875447612133</v>
      </c>
      <c r="N8" s="30">
        <f t="shared" si="31"/>
        <v>84.878880791288239</v>
      </c>
      <c r="O8" s="30">
        <f t="shared" si="31"/>
        <v>86.958886134964345</v>
      </c>
      <c r="P8" s="30">
        <v>89.038891478640451</v>
      </c>
      <c r="Q8" s="30">
        <f t="shared" ref="Q8:T8" si="32">P8+(($U8-$P8)/5)</f>
        <v>90.918329892779354</v>
      </c>
      <c r="R8" s="30">
        <f t="shared" si="32"/>
        <v>92.797768306918258</v>
      </c>
      <c r="S8" s="30">
        <f t="shared" si="32"/>
        <v>94.677206721057161</v>
      </c>
      <c r="T8" s="30">
        <f t="shared" si="32"/>
        <v>96.556645135196064</v>
      </c>
      <c r="U8" s="30">
        <v>98.436083549334981</v>
      </c>
      <c r="V8" s="30">
        <f t="shared" ref="V8:Y8" si="33">U8+(($Z8-$U8)/5)</f>
        <v>99.736235258923841</v>
      </c>
      <c r="W8" s="30">
        <f t="shared" si="33"/>
        <v>101.0363869685127</v>
      </c>
      <c r="X8" s="30">
        <f t="shared" si="33"/>
        <v>102.33653867810156</v>
      </c>
      <c r="Y8" s="30">
        <f t="shared" si="33"/>
        <v>103.63669038769042</v>
      </c>
      <c r="Z8" s="30">
        <v>104.9368420972793</v>
      </c>
      <c r="AA8" s="30">
        <f t="shared" ref="AA8:AD8" si="34">Z8+(($AE8-$Z8)/5)</f>
        <v>106.49175986580853</v>
      </c>
      <c r="AB8" s="30">
        <f t="shared" si="34"/>
        <v>108.04667763433777</v>
      </c>
      <c r="AC8" s="30">
        <f t="shared" si="34"/>
        <v>109.60159540286701</v>
      </c>
      <c r="AD8" s="30">
        <f t="shared" si="34"/>
        <v>111.15651317139624</v>
      </c>
      <c r="AE8" s="30">
        <v>112.71143093992548</v>
      </c>
      <c r="AF8" s="30">
        <f t="shared" ref="AF8:AI8" si="35">AE8+(($AJ8-$AE8)/5)</f>
        <v>114.01671533563005</v>
      </c>
      <c r="AG8" s="30">
        <f t="shared" si="35"/>
        <v>115.32199973133463</v>
      </c>
      <c r="AH8" s="30">
        <f t="shared" si="35"/>
        <v>116.6272841270392</v>
      </c>
      <c r="AI8" s="30">
        <f t="shared" si="35"/>
        <v>117.93256852274378</v>
      </c>
      <c r="AJ8" s="30">
        <v>119.23785291844838</v>
      </c>
      <c r="AK8" s="31">
        <v>9.9197092624586425</v>
      </c>
      <c r="AL8" s="31">
        <v>1.4709485409912348</v>
      </c>
    </row>
    <row r="9" spans="1:38" x14ac:dyDescent="0.3">
      <c r="A9" t="str">
        <f>VLOOKUP(B9,'Country codes'!$A$1:$B$28,2,FALSE)</f>
        <v>DK</v>
      </c>
      <c r="B9" s="23" t="s">
        <v>96</v>
      </c>
      <c r="C9" s="24" t="s">
        <v>121</v>
      </c>
      <c r="D9" s="28" t="s">
        <v>122</v>
      </c>
      <c r="E9" s="29" t="s">
        <v>207</v>
      </c>
      <c r="F9" s="30">
        <v>5.9595508279834064</v>
      </c>
      <c r="G9" s="30">
        <f t="shared" ref="G9:J9" si="36">F9+(($K9-$F9)/5)</f>
        <v>7.6163098964105842</v>
      </c>
      <c r="H9" s="30">
        <f t="shared" si="36"/>
        <v>9.273068964837762</v>
      </c>
      <c r="I9" s="30">
        <f t="shared" si="36"/>
        <v>10.92982803326494</v>
      </c>
      <c r="J9" s="30">
        <f t="shared" si="36"/>
        <v>12.586587101692118</v>
      </c>
      <c r="K9" s="30">
        <v>14.243346170119295</v>
      </c>
      <c r="L9" s="30">
        <f t="shared" ref="L9:O9" si="37">K9+(($P9-$K9)/5)</f>
        <v>14.931793074239636</v>
      </c>
      <c r="M9" s="30">
        <f t="shared" si="37"/>
        <v>15.620239978359976</v>
      </c>
      <c r="N9" s="30">
        <f t="shared" si="37"/>
        <v>16.308686882480316</v>
      </c>
      <c r="O9" s="30">
        <f t="shared" si="37"/>
        <v>16.997133786600656</v>
      </c>
      <c r="P9" s="30">
        <v>17.685580690720997</v>
      </c>
      <c r="Q9" s="30">
        <f t="shared" ref="Q9:T9" si="38">P9+(($U9-$P9)/5)</f>
        <v>17.850725706626424</v>
      </c>
      <c r="R9" s="30">
        <f t="shared" si="38"/>
        <v>18.015870722531851</v>
      </c>
      <c r="S9" s="30">
        <f t="shared" si="38"/>
        <v>18.181015738437278</v>
      </c>
      <c r="T9" s="30">
        <f t="shared" si="38"/>
        <v>18.346160754342705</v>
      </c>
      <c r="U9" s="30">
        <v>18.511305770248136</v>
      </c>
      <c r="V9" s="30">
        <f t="shared" ref="V9:Y9" si="39">U9+(($Z9-$U9)/5)</f>
        <v>18.610050907439966</v>
      </c>
      <c r="W9" s="30">
        <f t="shared" si="39"/>
        <v>18.708796044631796</v>
      </c>
      <c r="X9" s="30">
        <f t="shared" si="39"/>
        <v>18.807541181823627</v>
      </c>
      <c r="Y9" s="30">
        <f t="shared" si="39"/>
        <v>18.906286319015457</v>
      </c>
      <c r="Z9" s="30">
        <v>19.005031456207291</v>
      </c>
      <c r="AA9" s="30">
        <f t="shared" ref="AA9:AD9" si="40">Z9+(($AE9-$Z9)/5)</f>
        <v>19.060631237013755</v>
      </c>
      <c r="AB9" s="30">
        <f t="shared" si="40"/>
        <v>19.116231017820219</v>
      </c>
      <c r="AC9" s="30">
        <f t="shared" si="40"/>
        <v>19.171830798626683</v>
      </c>
      <c r="AD9" s="30">
        <f t="shared" si="40"/>
        <v>19.227430579433147</v>
      </c>
      <c r="AE9" s="30">
        <v>19.283030360239611</v>
      </c>
      <c r="AF9" s="30">
        <f t="shared" ref="AF9:AI9" si="41">AE9+(($AJ9-$AE9)/5)</f>
        <v>19.368946191130053</v>
      </c>
      <c r="AG9" s="30">
        <f t="shared" si="41"/>
        <v>19.454862022020496</v>
      </c>
      <c r="AH9" s="30">
        <f t="shared" si="41"/>
        <v>19.540777852910939</v>
      </c>
      <c r="AI9" s="30">
        <f t="shared" si="41"/>
        <v>19.626693683801381</v>
      </c>
      <c r="AJ9" s="30">
        <v>19.712609514691824</v>
      </c>
      <c r="AK9" s="31">
        <v>11.491197360101136</v>
      </c>
      <c r="AL9" s="31">
        <v>0.54401868931410746</v>
      </c>
    </row>
    <row r="10" spans="1:38" x14ac:dyDescent="0.3">
      <c r="A10" t="str">
        <f>VLOOKUP(B10,'Country codes'!$A$1:$B$28,2,FALSE)</f>
        <v>EE</v>
      </c>
      <c r="B10" s="23" t="s">
        <v>97</v>
      </c>
      <c r="C10" s="24" t="s">
        <v>121</v>
      </c>
      <c r="D10" s="28" t="s">
        <v>122</v>
      </c>
      <c r="E10" s="29" t="s">
        <v>207</v>
      </c>
      <c r="F10" s="30">
        <v>0.46162346067634374</v>
      </c>
      <c r="G10" s="30">
        <f t="shared" ref="G10:J10" si="42">F10+(($K10-$F10)/5)</f>
        <v>0.57759188992244503</v>
      </c>
      <c r="H10" s="30">
        <f t="shared" si="42"/>
        <v>0.69356031916854632</v>
      </c>
      <c r="I10" s="30">
        <f t="shared" si="42"/>
        <v>0.80952874841464761</v>
      </c>
      <c r="J10" s="30">
        <f t="shared" si="42"/>
        <v>0.9254971776607489</v>
      </c>
      <c r="K10" s="30">
        <v>1.04146560690685</v>
      </c>
      <c r="L10" s="30">
        <f t="shared" ref="L10:O10" si="43">K10+(($P10-$K10)/5)</f>
        <v>1.0813721558569684</v>
      </c>
      <c r="M10" s="30">
        <f t="shared" si="43"/>
        <v>1.1212787048070869</v>
      </c>
      <c r="N10" s="30">
        <f t="shared" si="43"/>
        <v>1.1611852537572054</v>
      </c>
      <c r="O10" s="30">
        <f t="shared" si="43"/>
        <v>1.2010918027073239</v>
      </c>
      <c r="P10" s="30">
        <v>1.2409983516574428</v>
      </c>
      <c r="Q10" s="30">
        <f t="shared" ref="Q10:T10" si="44">P10+(($U10-$P10)/5)</f>
        <v>1.2766475673003232</v>
      </c>
      <c r="R10" s="30">
        <f t="shared" si="44"/>
        <v>1.3122967829432037</v>
      </c>
      <c r="S10" s="30">
        <f t="shared" si="44"/>
        <v>1.3479459985860842</v>
      </c>
      <c r="T10" s="30">
        <f t="shared" si="44"/>
        <v>1.3835952142289647</v>
      </c>
      <c r="U10" s="30">
        <v>1.419244429871845</v>
      </c>
      <c r="V10" s="30">
        <f t="shared" ref="V10:Y10" si="45">U10+(($Z10-$U10)/5)</f>
        <v>1.4501914844674999</v>
      </c>
      <c r="W10" s="30">
        <f t="shared" si="45"/>
        <v>1.4811385390631548</v>
      </c>
      <c r="X10" s="30">
        <f t="shared" si="45"/>
        <v>1.5120855936588098</v>
      </c>
      <c r="Y10" s="30">
        <f t="shared" si="45"/>
        <v>1.5430326482544647</v>
      </c>
      <c r="Z10" s="30">
        <v>1.5739797028501199</v>
      </c>
      <c r="AA10" s="30">
        <f t="shared" ref="AA10:AD10" si="46">Z10+(($AE10-$Z10)/5)</f>
        <v>1.6035427455086773</v>
      </c>
      <c r="AB10" s="30">
        <f t="shared" si="46"/>
        <v>1.6331057881672346</v>
      </c>
      <c r="AC10" s="30">
        <f t="shared" si="46"/>
        <v>1.662668830825792</v>
      </c>
      <c r="AD10" s="30">
        <f t="shared" si="46"/>
        <v>1.6922318734843493</v>
      </c>
      <c r="AE10" s="30">
        <v>1.7217949161429071</v>
      </c>
      <c r="AF10" s="30">
        <f t="shared" ref="AF10:AI10" si="47">AE10+(($AJ10-$AE10)/5)</f>
        <v>1.7514911221493148</v>
      </c>
      <c r="AG10" s="30">
        <f t="shared" si="47"/>
        <v>1.7811873281557224</v>
      </c>
      <c r="AH10" s="30">
        <f t="shared" si="47"/>
        <v>1.8108835341621301</v>
      </c>
      <c r="AI10" s="30">
        <f t="shared" si="47"/>
        <v>1.8405797401685378</v>
      </c>
      <c r="AJ10" s="30">
        <v>1.8702759461749456</v>
      </c>
      <c r="AK10" s="31">
        <v>10.394727861570296</v>
      </c>
      <c r="AL10" s="31">
        <v>2.072023446798843</v>
      </c>
    </row>
    <row r="11" spans="1:38" x14ac:dyDescent="0.3">
      <c r="A11" t="str">
        <f>VLOOKUP(B11,'Country codes'!$A$1:$B$28,2,FALSE)</f>
        <v>ES</v>
      </c>
      <c r="B11" s="23" t="s">
        <v>98</v>
      </c>
      <c r="C11" s="24" t="s">
        <v>121</v>
      </c>
      <c r="D11" s="28" t="s">
        <v>122</v>
      </c>
      <c r="E11" s="29" t="s">
        <v>207</v>
      </c>
      <c r="F11" s="30">
        <v>52.411827341835306</v>
      </c>
      <c r="G11" s="30">
        <f t="shared" ref="G11:J11" si="48">F11+(($K11-$F11)/5)</f>
        <v>68.396507991551502</v>
      </c>
      <c r="H11" s="30">
        <f t="shared" si="48"/>
        <v>84.381188641267698</v>
      </c>
      <c r="I11" s="30">
        <f t="shared" si="48"/>
        <v>100.36586929098389</v>
      </c>
      <c r="J11" s="30">
        <f t="shared" si="48"/>
        <v>116.35054994070009</v>
      </c>
      <c r="K11" s="30">
        <v>132.33523059041627</v>
      </c>
      <c r="L11" s="30">
        <f t="shared" ref="L11:O11" si="49">K11+(($P11-$K11)/5)</f>
        <v>135.3799607678018</v>
      </c>
      <c r="M11" s="30">
        <f t="shared" si="49"/>
        <v>138.42469094518734</v>
      </c>
      <c r="N11" s="30">
        <f t="shared" si="49"/>
        <v>141.46942112257287</v>
      </c>
      <c r="O11" s="30">
        <f t="shared" si="49"/>
        <v>144.5141512999584</v>
      </c>
      <c r="P11" s="30">
        <v>147.5588814773439</v>
      </c>
      <c r="Q11" s="30">
        <f t="shared" ref="Q11:T11" si="50">P11+(($U11-$P11)/5)</f>
        <v>150.3010857589108</v>
      </c>
      <c r="R11" s="30">
        <f t="shared" si="50"/>
        <v>153.0432900404777</v>
      </c>
      <c r="S11" s="30">
        <f t="shared" si="50"/>
        <v>155.7854943220446</v>
      </c>
      <c r="T11" s="30">
        <f t="shared" si="50"/>
        <v>158.5276986036115</v>
      </c>
      <c r="U11" s="30">
        <v>161.2699028851784</v>
      </c>
      <c r="V11" s="30">
        <f t="shared" ref="V11:Y11" si="51">U11+(($Z11-$U11)/5)</f>
        <v>164.12799626246661</v>
      </c>
      <c r="W11" s="30">
        <f t="shared" si="51"/>
        <v>166.98608963975482</v>
      </c>
      <c r="X11" s="30">
        <f t="shared" si="51"/>
        <v>169.84418301704304</v>
      </c>
      <c r="Y11" s="30">
        <f t="shared" si="51"/>
        <v>172.70227639433125</v>
      </c>
      <c r="Z11" s="30">
        <v>175.56036977161949</v>
      </c>
      <c r="AA11" s="30">
        <f t="shared" ref="AA11:AD11" si="52">Z11+(($AE11-$Z11)/5)</f>
        <v>177.49803604635144</v>
      </c>
      <c r="AB11" s="30">
        <f t="shared" si="52"/>
        <v>179.4357023210834</v>
      </c>
      <c r="AC11" s="30">
        <f t="shared" si="52"/>
        <v>181.37336859581535</v>
      </c>
      <c r="AD11" s="30">
        <f t="shared" si="52"/>
        <v>183.3110348705473</v>
      </c>
      <c r="AE11" s="30">
        <v>185.24870114527931</v>
      </c>
      <c r="AF11" s="30">
        <f t="shared" ref="AF11:AI11" si="53">AE11+(($AJ11-$AE11)/5)</f>
        <v>186.98478105091337</v>
      </c>
      <c r="AG11" s="30">
        <f t="shared" si="53"/>
        <v>188.72086095654743</v>
      </c>
      <c r="AH11" s="30">
        <f t="shared" si="53"/>
        <v>190.45694086218148</v>
      </c>
      <c r="AI11" s="30">
        <f t="shared" si="53"/>
        <v>192.19302076781554</v>
      </c>
      <c r="AJ11" s="30">
        <v>193.92910067344965</v>
      </c>
      <c r="AK11" s="31">
        <v>10.905633091287292</v>
      </c>
      <c r="AL11" s="31">
        <v>1.3757035971082132</v>
      </c>
    </row>
    <row r="12" spans="1:38" x14ac:dyDescent="0.3">
      <c r="A12" t="str">
        <f>VLOOKUP(B12,'Country codes'!$A$1:$B$28,2,FALSE)</f>
        <v>FI</v>
      </c>
      <c r="B12" s="23" t="s">
        <v>99</v>
      </c>
      <c r="C12" s="24" t="s">
        <v>121</v>
      </c>
      <c r="D12" s="28" t="s">
        <v>122</v>
      </c>
      <c r="E12" s="29" t="s">
        <v>207</v>
      </c>
      <c r="F12" s="30">
        <v>5.3691001082936003</v>
      </c>
      <c r="G12" s="30">
        <f t="shared" ref="G12:J12" si="54">F12+(($K12-$F12)/5)</f>
        <v>6.7870256980048982</v>
      </c>
      <c r="H12" s="30">
        <f t="shared" si="54"/>
        <v>8.204951287716197</v>
      </c>
      <c r="I12" s="30">
        <f t="shared" si="54"/>
        <v>9.6228768774274958</v>
      </c>
      <c r="J12" s="30">
        <f t="shared" si="54"/>
        <v>11.040802467138795</v>
      </c>
      <c r="K12" s="30">
        <v>12.458728056850092</v>
      </c>
      <c r="L12" s="30">
        <f t="shared" ref="L12:O12" si="55">K12+(($P12-$K12)/5)</f>
        <v>12.724364411953376</v>
      </c>
      <c r="M12" s="30">
        <f t="shared" si="55"/>
        <v>12.99000076705666</v>
      </c>
      <c r="N12" s="30">
        <f t="shared" si="55"/>
        <v>13.255637122159944</v>
      </c>
      <c r="O12" s="30">
        <f t="shared" si="55"/>
        <v>13.521273477263229</v>
      </c>
      <c r="P12" s="30">
        <v>13.78690983236651</v>
      </c>
      <c r="Q12" s="30">
        <f t="shared" ref="Q12:T12" si="56">P12+(($U12-$P12)/5)</f>
        <v>14.037454689500374</v>
      </c>
      <c r="R12" s="30">
        <f t="shared" si="56"/>
        <v>14.287999546634238</v>
      </c>
      <c r="S12" s="30">
        <f t="shared" si="56"/>
        <v>14.538544403768102</v>
      </c>
      <c r="T12" s="30">
        <f t="shared" si="56"/>
        <v>14.789089260901966</v>
      </c>
      <c r="U12" s="30">
        <v>15.039634118035833</v>
      </c>
      <c r="V12" s="30">
        <f t="shared" ref="V12:Y12" si="57">U12+(($Z12-$U12)/5)</f>
        <v>15.26097029138977</v>
      </c>
      <c r="W12" s="30">
        <f t="shared" si="57"/>
        <v>15.482306464743706</v>
      </c>
      <c r="X12" s="30">
        <f t="shared" si="57"/>
        <v>15.703642638097643</v>
      </c>
      <c r="Y12" s="30">
        <f t="shared" si="57"/>
        <v>15.924978811451579</v>
      </c>
      <c r="Z12" s="30">
        <v>16.146314984805517</v>
      </c>
      <c r="AA12" s="30">
        <f t="shared" ref="AA12:AD12" si="58">Z12+(($AE12-$Z12)/5)</f>
        <v>16.330786124045577</v>
      </c>
      <c r="AB12" s="30">
        <f t="shared" si="58"/>
        <v>16.515257263285637</v>
      </c>
      <c r="AC12" s="30">
        <f t="shared" si="58"/>
        <v>16.699728402525697</v>
      </c>
      <c r="AD12" s="30">
        <f t="shared" si="58"/>
        <v>16.884199541765756</v>
      </c>
      <c r="AE12" s="30">
        <v>17.068670681005816</v>
      </c>
      <c r="AF12" s="30">
        <f t="shared" ref="AF12:AI12" si="59">AE12+(($AJ12-$AE12)/5)</f>
        <v>17.257887959525753</v>
      </c>
      <c r="AG12" s="30">
        <f t="shared" si="59"/>
        <v>17.44710523804569</v>
      </c>
      <c r="AH12" s="30">
        <f t="shared" si="59"/>
        <v>17.636322516565627</v>
      </c>
      <c r="AI12" s="30">
        <f t="shared" si="59"/>
        <v>17.825539795085565</v>
      </c>
      <c r="AJ12" s="30">
        <v>18.014757073605498</v>
      </c>
      <c r="AK12" s="31">
        <v>9.889587556507017</v>
      </c>
      <c r="AL12" s="31">
        <v>1.3463410377253293</v>
      </c>
    </row>
    <row r="13" spans="1:38" x14ac:dyDescent="0.3">
      <c r="A13" t="str">
        <f>VLOOKUP(B13,'Country codes'!$A$1:$B$28,2,FALSE)</f>
        <v>FR</v>
      </c>
      <c r="B13" s="23" t="s">
        <v>100</v>
      </c>
      <c r="C13" s="24" t="s">
        <v>121</v>
      </c>
      <c r="D13" s="28" t="s">
        <v>122</v>
      </c>
      <c r="E13" s="29" t="s">
        <v>207</v>
      </c>
      <c r="F13" s="30">
        <v>36.27104784796807</v>
      </c>
      <c r="G13" s="30">
        <f t="shared" ref="G13:J13" si="60">F13+(($K13-$F13)/5)</f>
        <v>45.694528619176346</v>
      </c>
      <c r="H13" s="30">
        <f t="shared" si="60"/>
        <v>55.118009390384621</v>
      </c>
      <c r="I13" s="30">
        <f t="shared" si="60"/>
        <v>64.54149016159289</v>
      </c>
      <c r="J13" s="30">
        <f t="shared" si="60"/>
        <v>73.964970932801165</v>
      </c>
      <c r="K13" s="30">
        <v>83.388451704009441</v>
      </c>
      <c r="L13" s="30">
        <f t="shared" ref="L13:O13" si="61">K13+(($P13-$K13)/5)</f>
        <v>85.098937533655416</v>
      </c>
      <c r="M13" s="30">
        <f t="shared" si="61"/>
        <v>86.809423363301391</v>
      </c>
      <c r="N13" s="30">
        <f t="shared" si="61"/>
        <v>88.519909192947367</v>
      </c>
      <c r="O13" s="30">
        <f t="shared" si="61"/>
        <v>90.230395022593342</v>
      </c>
      <c r="P13" s="30">
        <v>91.940880852239317</v>
      </c>
      <c r="Q13" s="30">
        <f t="shared" ref="Q13:T13" si="62">P13+(($U13-$P13)/5)</f>
        <v>93.147099623275238</v>
      </c>
      <c r="R13" s="30">
        <f t="shared" si="62"/>
        <v>94.35331839431116</v>
      </c>
      <c r="S13" s="30">
        <f t="shared" si="62"/>
        <v>95.559537165347081</v>
      </c>
      <c r="T13" s="30">
        <f t="shared" si="62"/>
        <v>96.765755936383002</v>
      </c>
      <c r="U13" s="30">
        <v>97.971974707418923</v>
      </c>
      <c r="V13" s="30">
        <f t="shared" ref="V13:Y13" si="63">U13+(($Z13-$U13)/5)</f>
        <v>99.53269621971414</v>
      </c>
      <c r="W13" s="30">
        <f t="shared" si="63"/>
        <v>101.09341773200936</v>
      </c>
      <c r="X13" s="30">
        <f t="shared" si="63"/>
        <v>102.65413924430457</v>
      </c>
      <c r="Y13" s="30">
        <f t="shared" si="63"/>
        <v>104.21486075659979</v>
      </c>
      <c r="Z13" s="30">
        <v>105.77558226889498</v>
      </c>
      <c r="AA13" s="30">
        <f t="shared" ref="AA13:AD13" si="64">Z13+(($AE13-$Z13)/5)</f>
        <v>106.55552533750347</v>
      </c>
      <c r="AB13" s="30">
        <f t="shared" si="64"/>
        <v>107.33546840611196</v>
      </c>
      <c r="AC13" s="30">
        <f t="shared" si="64"/>
        <v>108.11541147472045</v>
      </c>
      <c r="AD13" s="30">
        <f t="shared" si="64"/>
        <v>108.89535454332893</v>
      </c>
      <c r="AE13" s="30">
        <v>109.67529761193742</v>
      </c>
      <c r="AF13" s="30">
        <f t="shared" ref="AF13:AI13" si="65">AE13+(($AJ13-$AE13)/5)</f>
        <v>110.6878608744302</v>
      </c>
      <c r="AG13" s="30">
        <f t="shared" si="65"/>
        <v>111.70042413692298</v>
      </c>
      <c r="AH13" s="30">
        <f t="shared" si="65"/>
        <v>112.71298739941575</v>
      </c>
      <c r="AI13" s="30">
        <f t="shared" si="65"/>
        <v>113.72555066190853</v>
      </c>
      <c r="AJ13" s="30">
        <v>114.73811392440133</v>
      </c>
      <c r="AK13" s="31">
        <v>9.7475555468214292</v>
      </c>
      <c r="AL13" s="31">
        <v>1.1136882964340566</v>
      </c>
    </row>
    <row r="14" spans="1:38" x14ac:dyDescent="0.3">
      <c r="A14" t="str">
        <f>VLOOKUP(B14,'Country codes'!$A$1:$B$28,2,FALSE)</f>
        <v>GR</v>
      </c>
      <c r="B14" s="23" t="s">
        <v>101</v>
      </c>
      <c r="C14" s="24" t="s">
        <v>121</v>
      </c>
      <c r="D14" s="28" t="s">
        <v>122</v>
      </c>
      <c r="E14" s="29" t="s">
        <v>207</v>
      </c>
      <c r="F14" s="30">
        <v>12.133191519123809</v>
      </c>
      <c r="G14" s="30">
        <f t="shared" ref="G14:J14" si="66">F14+(($K14-$F14)/5)</f>
        <v>15.756387351914071</v>
      </c>
      <c r="H14" s="30">
        <f t="shared" si="66"/>
        <v>19.379583184704334</v>
      </c>
      <c r="I14" s="30">
        <f t="shared" si="66"/>
        <v>23.002779017494596</v>
      </c>
      <c r="J14" s="30">
        <f t="shared" si="66"/>
        <v>26.625974850284859</v>
      </c>
      <c r="K14" s="30">
        <v>30.249170683075125</v>
      </c>
      <c r="L14" s="30">
        <f t="shared" ref="L14:O14" si="67">K14+(($P14-$K14)/5)</f>
        <v>30.914800266828351</v>
      </c>
      <c r="M14" s="30">
        <f t="shared" si="67"/>
        <v>31.580429850581577</v>
      </c>
      <c r="N14" s="30">
        <f t="shared" si="67"/>
        <v>32.246059434334803</v>
      </c>
      <c r="O14" s="30">
        <f t="shared" si="67"/>
        <v>32.911689018088033</v>
      </c>
      <c r="P14" s="30">
        <v>33.577318601841263</v>
      </c>
      <c r="Q14" s="30">
        <f t="shared" ref="Q14:T14" si="68">P14+(($U14-$P14)/5)</f>
        <v>34.503715841985084</v>
      </c>
      <c r="R14" s="30">
        <f t="shared" si="68"/>
        <v>35.430113082128905</v>
      </c>
      <c r="S14" s="30">
        <f t="shared" si="68"/>
        <v>36.356510322272726</v>
      </c>
      <c r="T14" s="30">
        <f t="shared" si="68"/>
        <v>37.282907562416547</v>
      </c>
      <c r="U14" s="30">
        <v>38.209304802560361</v>
      </c>
      <c r="V14" s="30">
        <f t="shared" ref="V14:Y14" si="69">U14+(($Z14-$U14)/5)</f>
        <v>38.829858724394157</v>
      </c>
      <c r="W14" s="30">
        <f t="shared" si="69"/>
        <v>39.450412646227953</v>
      </c>
      <c r="X14" s="30">
        <f t="shared" si="69"/>
        <v>40.070966568061749</v>
      </c>
      <c r="Y14" s="30">
        <f t="shared" si="69"/>
        <v>40.691520489895545</v>
      </c>
      <c r="Z14" s="30">
        <v>41.312074411729355</v>
      </c>
      <c r="AA14" s="30">
        <f t="shared" ref="AA14:AD14" si="70">Z14+(($AE14-$Z14)/5)</f>
        <v>42.011106670003102</v>
      </c>
      <c r="AB14" s="30">
        <f t="shared" si="70"/>
        <v>42.710138928276848</v>
      </c>
      <c r="AC14" s="30">
        <f t="shared" si="70"/>
        <v>43.409171186550594</v>
      </c>
      <c r="AD14" s="30">
        <f t="shared" si="70"/>
        <v>44.108203444824341</v>
      </c>
      <c r="AE14" s="30">
        <v>44.807235703098087</v>
      </c>
      <c r="AF14" s="30">
        <f t="shared" ref="AF14:AI14" si="71">AE14+(($AJ14-$AE14)/5)</f>
        <v>45.467695892934039</v>
      </c>
      <c r="AG14" s="30">
        <f t="shared" si="71"/>
        <v>46.128156082769991</v>
      </c>
      <c r="AH14" s="30">
        <f t="shared" si="71"/>
        <v>46.788616272605942</v>
      </c>
      <c r="AI14" s="30">
        <f t="shared" si="71"/>
        <v>47.449076462441894</v>
      </c>
      <c r="AJ14" s="30">
        <v>48.10953665227786</v>
      </c>
      <c r="AK14" s="31">
        <v>10.715160984950533</v>
      </c>
      <c r="AL14" s="31">
        <v>1.814412157301537</v>
      </c>
    </row>
    <row r="15" spans="1:38" x14ac:dyDescent="0.3">
      <c r="A15" t="str">
        <f>VLOOKUP(B15,'Country codes'!$A$1:$B$28,2,FALSE)</f>
        <v>HR</v>
      </c>
      <c r="B15" s="23" t="s">
        <v>102</v>
      </c>
      <c r="C15" s="24" t="s">
        <v>121</v>
      </c>
      <c r="D15" s="28" t="s">
        <v>122</v>
      </c>
      <c r="E15" s="29" t="s">
        <v>207</v>
      </c>
      <c r="F15" s="30">
        <v>1.4740967129277325</v>
      </c>
      <c r="G15" s="30">
        <f t="shared" ref="G15:J15" si="72">F15+(($K15-$F15)/5)</f>
        <v>1.9696396802809639</v>
      </c>
      <c r="H15" s="30">
        <f t="shared" si="72"/>
        <v>2.4651826476341951</v>
      </c>
      <c r="I15" s="30">
        <f t="shared" si="72"/>
        <v>2.9607256149874264</v>
      </c>
      <c r="J15" s="30">
        <f t="shared" si="72"/>
        <v>3.4562685823406576</v>
      </c>
      <c r="K15" s="30">
        <v>3.9518115496938893</v>
      </c>
      <c r="L15" s="30">
        <f t="shared" ref="L15:O15" si="73">K15+(($P15-$K15)/5)</f>
        <v>4.0458431675882691</v>
      </c>
      <c r="M15" s="30">
        <f t="shared" si="73"/>
        <v>4.1398747854826485</v>
      </c>
      <c r="N15" s="30">
        <f t="shared" si="73"/>
        <v>4.2339064033770279</v>
      </c>
      <c r="O15" s="30">
        <f t="shared" si="73"/>
        <v>4.3279380212714074</v>
      </c>
      <c r="P15" s="30">
        <v>4.4219696391657868</v>
      </c>
      <c r="Q15" s="30">
        <f t="shared" ref="Q15:T15" si="74">P15+(($U15-$P15)/5)</f>
        <v>4.5426525121169403</v>
      </c>
      <c r="R15" s="30">
        <f t="shared" si="74"/>
        <v>4.6633353850680939</v>
      </c>
      <c r="S15" s="30">
        <f t="shared" si="74"/>
        <v>4.7840182580192474</v>
      </c>
      <c r="T15" s="30">
        <f t="shared" si="74"/>
        <v>4.9047011309704009</v>
      </c>
      <c r="U15" s="30">
        <v>5.0253840039215536</v>
      </c>
      <c r="V15" s="30">
        <f t="shared" ref="V15:Y15" si="75">U15+(($Z15-$U15)/5)</f>
        <v>5.1208710389350278</v>
      </c>
      <c r="W15" s="30">
        <f t="shared" si="75"/>
        <v>5.216358073948502</v>
      </c>
      <c r="X15" s="30">
        <f t="shared" si="75"/>
        <v>5.3118451089619763</v>
      </c>
      <c r="Y15" s="30">
        <f t="shared" si="75"/>
        <v>5.4073321439754505</v>
      </c>
      <c r="Z15" s="30">
        <v>5.5028191789889229</v>
      </c>
      <c r="AA15" s="30">
        <f t="shared" ref="AA15:AD15" si="76">Z15+(($AE15-$Z15)/5)</f>
        <v>5.5748508972786199</v>
      </c>
      <c r="AB15" s="30">
        <f t="shared" si="76"/>
        <v>5.6468826155683169</v>
      </c>
      <c r="AC15" s="30">
        <f t="shared" si="76"/>
        <v>5.718914333858014</v>
      </c>
      <c r="AD15" s="30">
        <f t="shared" si="76"/>
        <v>5.790946052147711</v>
      </c>
      <c r="AE15" s="30">
        <v>5.8629777704374098</v>
      </c>
      <c r="AF15" s="30">
        <f t="shared" ref="AF15:AI15" si="77">AE15+(($AJ15-$AE15)/5)</f>
        <v>5.9365509215528416</v>
      </c>
      <c r="AG15" s="30">
        <f t="shared" si="77"/>
        <v>6.0101240726682734</v>
      </c>
      <c r="AH15" s="30">
        <f t="shared" si="77"/>
        <v>6.0836972237837053</v>
      </c>
      <c r="AI15" s="30">
        <f t="shared" si="77"/>
        <v>6.1572703748991371</v>
      </c>
      <c r="AJ15" s="30">
        <v>6.2308435260145707</v>
      </c>
      <c r="AK15" s="31">
        <v>11.611508481529032</v>
      </c>
      <c r="AL15" s="31">
        <v>1.729416723385313</v>
      </c>
    </row>
    <row r="16" spans="1:38" x14ac:dyDescent="0.3">
      <c r="A16" t="str">
        <f>VLOOKUP(B16,'Country codes'!$A$1:$B$28,2,FALSE)</f>
        <v>HU</v>
      </c>
      <c r="B16" s="23" t="s">
        <v>103</v>
      </c>
      <c r="C16" s="24" t="s">
        <v>121</v>
      </c>
      <c r="D16" s="28" t="s">
        <v>122</v>
      </c>
      <c r="E16" s="29" t="s">
        <v>207</v>
      </c>
      <c r="F16" s="30">
        <v>2.1932798830463427</v>
      </c>
      <c r="G16" s="30">
        <f t="shared" ref="G16:J16" si="78">F16+(($K16-$F16)/5)</f>
        <v>2.8530019785716103</v>
      </c>
      <c r="H16" s="30">
        <f t="shared" si="78"/>
        <v>3.5127240740968779</v>
      </c>
      <c r="I16" s="30">
        <f t="shared" si="78"/>
        <v>4.1724461696221455</v>
      </c>
      <c r="J16" s="30">
        <f t="shared" si="78"/>
        <v>4.8321682651474127</v>
      </c>
      <c r="K16" s="30">
        <v>5.4918903606726808</v>
      </c>
      <c r="L16" s="30">
        <f t="shared" ref="L16:O16" si="79">K16+(($P16-$K16)/5)</f>
        <v>5.6229144742359285</v>
      </c>
      <c r="M16" s="30">
        <f t="shared" si="79"/>
        <v>5.7539385877991762</v>
      </c>
      <c r="N16" s="30">
        <f t="shared" si="79"/>
        <v>5.8849627013624239</v>
      </c>
      <c r="O16" s="30">
        <f t="shared" si="79"/>
        <v>6.0159868149256717</v>
      </c>
      <c r="P16" s="30">
        <v>6.1470109284889203</v>
      </c>
      <c r="Q16" s="30">
        <f t="shared" ref="Q16:T16" si="80">P16+(($U16-$P16)/5)</f>
        <v>6.2831173967794394</v>
      </c>
      <c r="R16" s="30">
        <f t="shared" si="80"/>
        <v>6.4192238650699585</v>
      </c>
      <c r="S16" s="30">
        <f t="shared" si="80"/>
        <v>6.5553303333604775</v>
      </c>
      <c r="T16" s="30">
        <f t="shared" si="80"/>
        <v>6.6914368016509966</v>
      </c>
      <c r="U16" s="30">
        <v>6.8275432699415157</v>
      </c>
      <c r="V16" s="30">
        <f t="shared" ref="V16:Y16" si="81">U16+(($Z16-$U16)/5)</f>
        <v>6.9619898378581286</v>
      </c>
      <c r="W16" s="30">
        <f t="shared" si="81"/>
        <v>7.0964364057747416</v>
      </c>
      <c r="X16" s="30">
        <f t="shared" si="81"/>
        <v>7.2308829736913545</v>
      </c>
      <c r="Y16" s="30">
        <f t="shared" si="81"/>
        <v>7.3653295416079674</v>
      </c>
      <c r="Z16" s="30">
        <v>7.4997761095245803</v>
      </c>
      <c r="AA16" s="30">
        <f t="shared" ref="AA16:AD16" si="82">Z16+(($AE16-$Z16)/5)</f>
        <v>7.6310293696974751</v>
      </c>
      <c r="AB16" s="30">
        <f t="shared" si="82"/>
        <v>7.76228262987037</v>
      </c>
      <c r="AC16" s="30">
        <f t="shared" si="82"/>
        <v>7.8935358900432648</v>
      </c>
      <c r="AD16" s="30">
        <f t="shared" si="82"/>
        <v>8.0247891502161597</v>
      </c>
      <c r="AE16" s="30">
        <v>8.1560424103890536</v>
      </c>
      <c r="AF16" s="30">
        <f t="shared" ref="AF16:AI16" si="83">AE16+(($AJ16-$AE16)/5)</f>
        <v>8.285172212463678</v>
      </c>
      <c r="AG16" s="30">
        <f t="shared" si="83"/>
        <v>8.4143020145383023</v>
      </c>
      <c r="AH16" s="30">
        <f t="shared" si="83"/>
        <v>8.5434318166129266</v>
      </c>
      <c r="AI16" s="30">
        <f t="shared" si="83"/>
        <v>8.6725616186875509</v>
      </c>
      <c r="AJ16" s="30">
        <v>8.8016914207621717</v>
      </c>
      <c r="AK16" s="31">
        <v>10.855435641931944</v>
      </c>
      <c r="AL16" s="31">
        <v>1.8110948274526084</v>
      </c>
    </row>
    <row r="17" spans="1:38" x14ac:dyDescent="0.3">
      <c r="A17" t="str">
        <f>VLOOKUP(B17,'Country codes'!$A$1:$B$28,2,FALSE)</f>
        <v>IE</v>
      </c>
      <c r="B17" s="23" t="s">
        <v>104</v>
      </c>
      <c r="C17" s="24" t="s">
        <v>121</v>
      </c>
      <c r="D17" s="28" t="s">
        <v>122</v>
      </c>
      <c r="E17" s="29" t="s">
        <v>207</v>
      </c>
      <c r="F17" s="30">
        <v>5.9370178496363266</v>
      </c>
      <c r="G17" s="30">
        <f t="shared" ref="G17:J17" si="84">F17+(($K17-$F17)/5)</f>
        <v>7.2957027731331445</v>
      </c>
      <c r="H17" s="30">
        <f t="shared" si="84"/>
        <v>8.6543876966299624</v>
      </c>
      <c r="I17" s="30">
        <f t="shared" si="84"/>
        <v>10.013072620126779</v>
      </c>
      <c r="J17" s="30">
        <f t="shared" si="84"/>
        <v>11.371757543623596</v>
      </c>
      <c r="K17" s="30">
        <v>12.730442467120415</v>
      </c>
      <c r="L17" s="30">
        <f t="shared" ref="L17:O17" si="85">K17+(($P17-$K17)/5)</f>
        <v>12.934121675797352</v>
      </c>
      <c r="M17" s="30">
        <f t="shared" si="85"/>
        <v>13.137800884474288</v>
      </c>
      <c r="N17" s="30">
        <f t="shared" si="85"/>
        <v>13.341480093151224</v>
      </c>
      <c r="O17" s="30">
        <f t="shared" si="85"/>
        <v>13.545159301828161</v>
      </c>
      <c r="P17" s="30">
        <v>13.748838510505093</v>
      </c>
      <c r="Q17" s="30">
        <f t="shared" ref="Q17:T17" si="86">P17+(($U17-$P17)/5)</f>
        <v>14.054605551885118</v>
      </c>
      <c r="R17" s="30">
        <f t="shared" si="86"/>
        <v>14.360372593265142</v>
      </c>
      <c r="S17" s="30">
        <f t="shared" si="86"/>
        <v>14.666139634645166</v>
      </c>
      <c r="T17" s="30">
        <f t="shared" si="86"/>
        <v>14.97190667602519</v>
      </c>
      <c r="U17" s="30">
        <v>15.277673717405214</v>
      </c>
      <c r="V17" s="30">
        <f t="shared" ref="V17:Y17" si="87">U17+(($Z17-$U17)/5)</f>
        <v>15.540661117537704</v>
      </c>
      <c r="W17" s="30">
        <f t="shared" si="87"/>
        <v>15.803648517670194</v>
      </c>
      <c r="X17" s="30">
        <f t="shared" si="87"/>
        <v>16.066635917802685</v>
      </c>
      <c r="Y17" s="30">
        <f t="shared" si="87"/>
        <v>16.329623317935177</v>
      </c>
      <c r="Z17" s="30">
        <v>16.592610718067665</v>
      </c>
      <c r="AA17" s="30">
        <f t="shared" ref="AA17:AD17" si="88">Z17+(($AE17-$Z17)/5)</f>
        <v>16.934131925125826</v>
      </c>
      <c r="AB17" s="30">
        <f t="shared" si="88"/>
        <v>17.275653132183987</v>
      </c>
      <c r="AC17" s="30">
        <f t="shared" si="88"/>
        <v>17.617174339242148</v>
      </c>
      <c r="AD17" s="30">
        <f t="shared" si="88"/>
        <v>17.958695546300309</v>
      </c>
      <c r="AE17" s="30">
        <v>18.300216753358473</v>
      </c>
      <c r="AF17" s="30">
        <f t="shared" ref="AF17:AI17" si="89">AE17+(($AJ17-$AE17)/5)</f>
        <v>18.653536031484816</v>
      </c>
      <c r="AG17" s="30">
        <f t="shared" si="89"/>
        <v>19.006855309611158</v>
      </c>
      <c r="AH17" s="30">
        <f t="shared" si="89"/>
        <v>19.3601745877375</v>
      </c>
      <c r="AI17" s="30">
        <f t="shared" si="89"/>
        <v>19.713493865863843</v>
      </c>
      <c r="AJ17" s="30">
        <v>20.066813143990181</v>
      </c>
      <c r="AK17" s="31">
        <v>8.7601419213193097</v>
      </c>
      <c r="AL17" s="31">
        <v>1.9085494107616174</v>
      </c>
    </row>
    <row r="18" spans="1:38" x14ac:dyDescent="0.3">
      <c r="A18" t="str">
        <f>VLOOKUP(B18,'Country codes'!$A$1:$B$28,2,FALSE)</f>
        <v>IT</v>
      </c>
      <c r="B18" s="23" t="s">
        <v>105</v>
      </c>
      <c r="C18" s="24" t="s">
        <v>121</v>
      </c>
      <c r="D18" s="28" t="s">
        <v>122</v>
      </c>
      <c r="E18" s="29" t="s">
        <v>207</v>
      </c>
      <c r="F18" s="30">
        <v>27.729380338091733</v>
      </c>
      <c r="G18" s="30">
        <f t="shared" ref="G18:J18" si="90">F18+(($K18-$F18)/5)</f>
        <v>36.083861275514003</v>
      </c>
      <c r="H18" s="30">
        <f t="shared" si="90"/>
        <v>44.438342212936277</v>
      </c>
      <c r="I18" s="30">
        <f t="shared" si="90"/>
        <v>52.792823150358544</v>
      </c>
      <c r="J18" s="30">
        <f t="shared" si="90"/>
        <v>61.14730408778081</v>
      </c>
      <c r="K18" s="30">
        <v>69.501785025203077</v>
      </c>
      <c r="L18" s="30">
        <f t="shared" ref="L18:O18" si="91">K18+(($P18-$K18)/5)</f>
        <v>71.339955834225123</v>
      </c>
      <c r="M18" s="30">
        <f t="shared" si="91"/>
        <v>73.178126643247168</v>
      </c>
      <c r="N18" s="30">
        <f t="shared" si="91"/>
        <v>75.016297452269214</v>
      </c>
      <c r="O18" s="30">
        <f t="shared" si="91"/>
        <v>76.85446826129126</v>
      </c>
      <c r="P18" s="30">
        <v>78.692639070313319</v>
      </c>
      <c r="Q18" s="30">
        <f t="shared" ref="Q18:T18" si="92">P18+(($U18-$P18)/5)</f>
        <v>80.423917414806652</v>
      </c>
      <c r="R18" s="30">
        <f t="shared" si="92"/>
        <v>82.155195759299986</v>
      </c>
      <c r="S18" s="30">
        <f t="shared" si="92"/>
        <v>83.886474103793319</v>
      </c>
      <c r="T18" s="30">
        <f t="shared" si="92"/>
        <v>85.617752448286652</v>
      </c>
      <c r="U18" s="30">
        <v>87.349030792779956</v>
      </c>
      <c r="V18" s="30">
        <f t="shared" ref="V18:Y18" si="93">U18+(($Z18-$U18)/5)</f>
        <v>89.24145618583313</v>
      </c>
      <c r="W18" s="30">
        <f t="shared" si="93"/>
        <v>91.133881578886303</v>
      </c>
      <c r="X18" s="30">
        <f t="shared" si="93"/>
        <v>93.026306971939476</v>
      </c>
      <c r="Y18" s="30">
        <f t="shared" si="93"/>
        <v>94.91873236499265</v>
      </c>
      <c r="Z18" s="30">
        <v>96.811157758045809</v>
      </c>
      <c r="AA18" s="30">
        <f t="shared" ref="AA18:AD18" si="94">Z18+(($AE18-$Z18)/5)</f>
        <v>98.27649027929705</v>
      </c>
      <c r="AB18" s="30">
        <f t="shared" si="94"/>
        <v>99.741822800548292</v>
      </c>
      <c r="AC18" s="30">
        <f t="shared" si="94"/>
        <v>101.20715532179953</v>
      </c>
      <c r="AD18" s="30">
        <f t="shared" si="94"/>
        <v>102.67248784305077</v>
      </c>
      <c r="AE18" s="30">
        <v>104.137820364302</v>
      </c>
      <c r="AF18" s="30">
        <f t="shared" ref="AF18:AI18" si="95">AE18+(($AJ18-$AE18)/5)</f>
        <v>105.18779666924482</v>
      </c>
      <c r="AG18" s="30">
        <f t="shared" si="95"/>
        <v>106.23777297418764</v>
      </c>
      <c r="AH18" s="30">
        <f t="shared" si="95"/>
        <v>107.28774927913045</v>
      </c>
      <c r="AI18" s="30">
        <f t="shared" si="95"/>
        <v>108.33772558407327</v>
      </c>
      <c r="AJ18" s="30">
        <v>109.38770188901611</v>
      </c>
      <c r="AK18" s="31">
        <v>10.993972344017312</v>
      </c>
      <c r="AL18" s="31">
        <v>1.6603778167247008</v>
      </c>
    </row>
    <row r="19" spans="1:38" x14ac:dyDescent="0.3">
      <c r="A19" t="str">
        <f>VLOOKUP(B19,'Country codes'!$A$1:$B$28,2,FALSE)</f>
        <v>LT</v>
      </c>
      <c r="B19" s="23" t="s">
        <v>106</v>
      </c>
      <c r="C19" s="24" t="s">
        <v>121</v>
      </c>
      <c r="D19" s="28" t="s">
        <v>122</v>
      </c>
      <c r="E19" s="29" t="s">
        <v>207</v>
      </c>
      <c r="F19" s="30">
        <v>0.9118609859649992</v>
      </c>
      <c r="G19" s="30">
        <f t="shared" ref="G19:J19" si="96">F19+(($K19-$F19)/5)</f>
        <v>1.1387628435055439</v>
      </c>
      <c r="H19" s="30">
        <f t="shared" si="96"/>
        <v>1.3656647010460885</v>
      </c>
      <c r="I19" s="30">
        <f t="shared" si="96"/>
        <v>1.5925665585866331</v>
      </c>
      <c r="J19" s="30">
        <f t="shared" si="96"/>
        <v>1.8194684161271777</v>
      </c>
      <c r="K19" s="30">
        <v>2.0463702736677227</v>
      </c>
      <c r="L19" s="30">
        <f t="shared" ref="L19:O19" si="97">K19+(($P19-$K19)/5)</f>
        <v>2.0949760888932172</v>
      </c>
      <c r="M19" s="30">
        <f t="shared" si="97"/>
        <v>2.1435819041187116</v>
      </c>
      <c r="N19" s="30">
        <f t="shared" si="97"/>
        <v>2.1921877193442061</v>
      </c>
      <c r="O19" s="30">
        <f t="shared" si="97"/>
        <v>2.2407935345697005</v>
      </c>
      <c r="P19" s="30">
        <v>2.289399349795195</v>
      </c>
      <c r="Q19" s="30">
        <f t="shared" ref="Q19:T19" si="98">P19+(($U19-$P19)/5)</f>
        <v>2.3333917660214589</v>
      </c>
      <c r="R19" s="30">
        <f t="shared" si="98"/>
        <v>2.3773841822477229</v>
      </c>
      <c r="S19" s="30">
        <f t="shared" si="98"/>
        <v>2.4213765984739868</v>
      </c>
      <c r="T19" s="30">
        <f t="shared" si="98"/>
        <v>2.4653690147002507</v>
      </c>
      <c r="U19" s="30">
        <v>2.5093614309265151</v>
      </c>
      <c r="V19" s="30">
        <f t="shared" ref="V19:Y19" si="99">U19+(($Z19-$U19)/5)</f>
        <v>2.5523574276767613</v>
      </c>
      <c r="W19" s="30">
        <f t="shared" si="99"/>
        <v>2.5953534244270076</v>
      </c>
      <c r="X19" s="30">
        <f t="shared" si="99"/>
        <v>2.6383494211772538</v>
      </c>
      <c r="Y19" s="30">
        <f t="shared" si="99"/>
        <v>2.6813454179275</v>
      </c>
      <c r="Z19" s="30">
        <v>2.7243414146777454</v>
      </c>
      <c r="AA19" s="30">
        <f t="shared" ref="AA19:AD19" si="100">Z19+(($AE19-$Z19)/5)</f>
        <v>2.7486528093951104</v>
      </c>
      <c r="AB19" s="30">
        <f t="shared" si="100"/>
        <v>2.7729642041124754</v>
      </c>
      <c r="AC19" s="30">
        <f t="shared" si="100"/>
        <v>2.7972755988298403</v>
      </c>
      <c r="AD19" s="30">
        <f t="shared" si="100"/>
        <v>2.8215869935472053</v>
      </c>
      <c r="AE19" s="30">
        <v>2.8458983882645712</v>
      </c>
      <c r="AF19" s="30">
        <f t="shared" ref="AF19:AI19" si="101">AE19+(($AJ19-$AE19)/5)</f>
        <v>2.8727510764292146</v>
      </c>
      <c r="AG19" s="30">
        <f t="shared" si="101"/>
        <v>2.8996037645938579</v>
      </c>
      <c r="AH19" s="30">
        <f t="shared" si="101"/>
        <v>2.9264564527585013</v>
      </c>
      <c r="AI19" s="30">
        <f t="shared" si="101"/>
        <v>2.9533091409231447</v>
      </c>
      <c r="AJ19" s="30">
        <v>2.980161829087788</v>
      </c>
      <c r="AK19" s="31">
        <v>9.6425915280082144</v>
      </c>
      <c r="AL19" s="31">
        <v>1.3271703190459228</v>
      </c>
    </row>
    <row r="20" spans="1:38" x14ac:dyDescent="0.3">
      <c r="A20" t="str">
        <f>VLOOKUP(B20,'Country codes'!$A$1:$B$28,2,FALSE)</f>
        <v>LU</v>
      </c>
      <c r="B20" s="23" t="s">
        <v>107</v>
      </c>
      <c r="C20" s="24" t="s">
        <v>121</v>
      </c>
      <c r="D20" s="28" t="s">
        <v>122</v>
      </c>
      <c r="E20" s="29" t="s">
        <v>207</v>
      </c>
      <c r="F20" s="30">
        <v>0.53367384226450476</v>
      </c>
      <c r="G20" s="30">
        <f t="shared" ref="G20:J20" si="102">F20+(($K20-$F20)/5)</f>
        <v>0.66305925489498185</v>
      </c>
      <c r="H20" s="30">
        <f t="shared" si="102"/>
        <v>0.79244466752545906</v>
      </c>
      <c r="I20" s="30">
        <f t="shared" si="102"/>
        <v>0.92183008015593626</v>
      </c>
      <c r="J20" s="30">
        <f t="shared" si="102"/>
        <v>1.0512154927864135</v>
      </c>
      <c r="K20" s="30">
        <v>1.1806009054168904</v>
      </c>
      <c r="L20" s="30">
        <f t="shared" ref="L20:O20" si="103">K20+(($P20-$K20)/5)</f>
        <v>1.2102279851474953</v>
      </c>
      <c r="M20" s="30">
        <f t="shared" si="103"/>
        <v>1.2398550648781002</v>
      </c>
      <c r="N20" s="30">
        <f t="shared" si="103"/>
        <v>1.269482144608705</v>
      </c>
      <c r="O20" s="30">
        <f t="shared" si="103"/>
        <v>1.2991092243393099</v>
      </c>
      <c r="P20" s="30">
        <v>1.3287363040699149</v>
      </c>
      <c r="Q20" s="30">
        <f t="shared" ref="Q20:T20" si="104">P20+(($U20-$P20)/5)</f>
        <v>1.3489733723778854</v>
      </c>
      <c r="R20" s="30">
        <f t="shared" si="104"/>
        <v>1.3692104406858558</v>
      </c>
      <c r="S20" s="30">
        <f t="shared" si="104"/>
        <v>1.3894475089938263</v>
      </c>
      <c r="T20" s="30">
        <f t="shared" si="104"/>
        <v>1.4096845773017967</v>
      </c>
      <c r="U20" s="30">
        <v>1.4299216456097676</v>
      </c>
      <c r="V20" s="30">
        <f t="shared" ref="V20:Y20" si="105">U20+(($Z20-$U20)/5)</f>
        <v>1.4525350869843847</v>
      </c>
      <c r="W20" s="30">
        <f t="shared" si="105"/>
        <v>1.4751485283590018</v>
      </c>
      <c r="X20" s="30">
        <f t="shared" si="105"/>
        <v>1.4977619697336189</v>
      </c>
      <c r="Y20" s="30">
        <f t="shared" si="105"/>
        <v>1.5203754111082359</v>
      </c>
      <c r="Z20" s="30">
        <v>1.542988852482853</v>
      </c>
      <c r="AA20" s="30">
        <f t="shared" ref="AA20:AD20" si="106">Z20+(($AE20-$Z20)/5)</f>
        <v>1.5552093142560917</v>
      </c>
      <c r="AB20" s="30">
        <f t="shared" si="106"/>
        <v>1.5674297760293303</v>
      </c>
      <c r="AC20" s="30">
        <f t="shared" si="106"/>
        <v>1.579650237802569</v>
      </c>
      <c r="AD20" s="30">
        <f t="shared" si="106"/>
        <v>1.5918706995758076</v>
      </c>
      <c r="AE20" s="30">
        <v>1.6040911613490467</v>
      </c>
      <c r="AF20" s="30">
        <f t="shared" ref="AF20:AI20" si="107">AE20+(($AJ20-$AE20)/5)</f>
        <v>1.6169277259736108</v>
      </c>
      <c r="AG20" s="30">
        <f t="shared" si="107"/>
        <v>1.6297642905981748</v>
      </c>
      <c r="AH20" s="30">
        <f t="shared" si="107"/>
        <v>1.6426008552227389</v>
      </c>
      <c r="AI20" s="30">
        <f t="shared" si="107"/>
        <v>1.655437419847303</v>
      </c>
      <c r="AJ20" s="30">
        <v>1.6682739844718668</v>
      </c>
      <c r="AK20" s="31">
        <v>9.5509854243141845</v>
      </c>
      <c r="AL20" s="31">
        <v>1.1443036653467464</v>
      </c>
    </row>
    <row r="21" spans="1:38" x14ac:dyDescent="0.3">
      <c r="A21" t="str">
        <f>VLOOKUP(B21,'Country codes'!$A$1:$B$28,2,FALSE)</f>
        <v>LV</v>
      </c>
      <c r="B21" s="23" t="s">
        <v>108</v>
      </c>
      <c r="C21" s="24" t="s">
        <v>121</v>
      </c>
      <c r="D21" s="28" t="s">
        <v>122</v>
      </c>
      <c r="E21" s="29" t="s">
        <v>207</v>
      </c>
      <c r="F21" s="30">
        <v>1.0188085307447001</v>
      </c>
      <c r="G21" s="30">
        <f t="shared" ref="G21:J21" si="108">F21+(($K21-$F21)/5)</f>
        <v>1.244101976395759</v>
      </c>
      <c r="H21" s="30">
        <f t="shared" si="108"/>
        <v>1.4693954220468179</v>
      </c>
      <c r="I21" s="30">
        <f t="shared" si="108"/>
        <v>1.6946888676978769</v>
      </c>
      <c r="J21" s="30">
        <f t="shared" si="108"/>
        <v>1.9199823133489358</v>
      </c>
      <c r="K21" s="30">
        <v>2.1452757589999942</v>
      </c>
      <c r="L21" s="30">
        <f t="shared" ref="L21:O21" si="109">K21+(($P21-$K21)/5)</f>
        <v>2.1964444597793058</v>
      </c>
      <c r="M21" s="30">
        <f t="shared" si="109"/>
        <v>2.2476131605586174</v>
      </c>
      <c r="N21" s="30">
        <f t="shared" si="109"/>
        <v>2.2987818613379289</v>
      </c>
      <c r="O21" s="30">
        <f t="shared" si="109"/>
        <v>2.3499505621172405</v>
      </c>
      <c r="P21" s="30">
        <v>2.4011192628965525</v>
      </c>
      <c r="Q21" s="30">
        <f t="shared" ref="Q21:T21" si="110">P21+(($U21-$P21)/5)</f>
        <v>2.4403606229523382</v>
      </c>
      <c r="R21" s="30">
        <f t="shared" si="110"/>
        <v>2.479601983008124</v>
      </c>
      <c r="S21" s="30">
        <f t="shared" si="110"/>
        <v>2.5188433430639097</v>
      </c>
      <c r="T21" s="30">
        <f t="shared" si="110"/>
        <v>2.5580847031196954</v>
      </c>
      <c r="U21" s="30">
        <v>2.5973260631754802</v>
      </c>
      <c r="V21" s="30">
        <f t="shared" ref="V21:Y21" si="111">U21+(($Z21-$U21)/5)</f>
        <v>2.6391767600106211</v>
      </c>
      <c r="W21" s="30">
        <f t="shared" si="111"/>
        <v>2.6810274568457619</v>
      </c>
      <c r="X21" s="30">
        <f t="shared" si="111"/>
        <v>2.7228781536809028</v>
      </c>
      <c r="Y21" s="30">
        <f t="shared" si="111"/>
        <v>2.7647288505160437</v>
      </c>
      <c r="Z21" s="30">
        <v>2.806579547351185</v>
      </c>
      <c r="AA21" s="30">
        <f t="shared" ref="AA21:AD21" si="112">Z21+(($AE21-$Z21)/5)</f>
        <v>2.8435605910715536</v>
      </c>
      <c r="AB21" s="30">
        <f t="shared" si="112"/>
        <v>2.8805416347919222</v>
      </c>
      <c r="AC21" s="30">
        <f t="shared" si="112"/>
        <v>2.9175226785122907</v>
      </c>
      <c r="AD21" s="30">
        <f t="shared" si="112"/>
        <v>2.9545037222326593</v>
      </c>
      <c r="AE21" s="30">
        <v>2.9914847659530279</v>
      </c>
      <c r="AF21" s="30">
        <f t="shared" ref="AF21:AI21" si="113">AE21+(($AJ21-$AE21)/5)</f>
        <v>3.0258520761386865</v>
      </c>
      <c r="AG21" s="30">
        <f t="shared" si="113"/>
        <v>3.060219386324345</v>
      </c>
      <c r="AH21" s="30">
        <f t="shared" si="113"/>
        <v>3.0945866965100035</v>
      </c>
      <c r="AI21" s="30">
        <f t="shared" si="113"/>
        <v>3.128954006695662</v>
      </c>
      <c r="AJ21" s="30">
        <v>3.1633213168813206</v>
      </c>
      <c r="AK21" s="31">
        <v>8.9512245693932115</v>
      </c>
      <c r="AL21" s="31">
        <v>1.3879819411979133</v>
      </c>
    </row>
    <row r="22" spans="1:38" x14ac:dyDescent="0.3">
      <c r="A22" t="str">
        <f>VLOOKUP(B22,'Country codes'!$A$1:$B$28,2,FALSE)</f>
        <v>MT</v>
      </c>
      <c r="B22" s="23" t="s">
        <v>109</v>
      </c>
      <c r="C22" s="24" t="s">
        <v>121</v>
      </c>
      <c r="D22" s="28" t="s">
        <v>122</v>
      </c>
      <c r="E22" s="29" t="s">
        <v>207</v>
      </c>
      <c r="F22" s="30">
        <v>1.1068911139793234</v>
      </c>
      <c r="G22" s="30">
        <f t="shared" ref="G22:J22" si="114">F22+(($K22-$F22)/5)</f>
        <v>1.5059713500229441</v>
      </c>
      <c r="H22" s="30">
        <f t="shared" si="114"/>
        <v>1.9050515860665649</v>
      </c>
      <c r="I22" s="30">
        <f t="shared" si="114"/>
        <v>2.3041318221101856</v>
      </c>
      <c r="J22" s="30">
        <f t="shared" si="114"/>
        <v>2.7032120581538064</v>
      </c>
      <c r="K22" s="30">
        <v>3.1022922941974276</v>
      </c>
      <c r="L22" s="30">
        <f t="shared" ref="L22:O22" si="115">K22+(($P22-$K22)/5)</f>
        <v>3.3227232685038817</v>
      </c>
      <c r="M22" s="30">
        <f t="shared" si="115"/>
        <v>3.5431542428103358</v>
      </c>
      <c r="N22" s="30">
        <f t="shared" si="115"/>
        <v>3.7635852171167898</v>
      </c>
      <c r="O22" s="30">
        <f t="shared" si="115"/>
        <v>3.9840161914232439</v>
      </c>
      <c r="P22" s="30">
        <v>4.2044471657296985</v>
      </c>
      <c r="Q22" s="30">
        <f t="shared" ref="Q22:T22" si="116">P22+(($U22-$P22)/5)</f>
        <v>4.2691560726278688</v>
      </c>
      <c r="R22" s="30">
        <f t="shared" si="116"/>
        <v>4.3338649795260391</v>
      </c>
      <c r="S22" s="30">
        <f t="shared" si="116"/>
        <v>4.3985738864242094</v>
      </c>
      <c r="T22" s="30">
        <f t="shared" si="116"/>
        <v>4.4632827933223798</v>
      </c>
      <c r="U22" s="30">
        <v>4.5279917002205483</v>
      </c>
      <c r="V22" s="30">
        <f t="shared" ref="V22:Y22" si="117">U22+(($Z22-$U22)/5)</f>
        <v>4.6414551088434797</v>
      </c>
      <c r="W22" s="30">
        <f t="shared" si="117"/>
        <v>4.754918517466411</v>
      </c>
      <c r="X22" s="30">
        <f t="shared" si="117"/>
        <v>4.8683819260893424</v>
      </c>
      <c r="Y22" s="30">
        <f t="shared" si="117"/>
        <v>4.9818453347122738</v>
      </c>
      <c r="Z22" s="30">
        <v>5.0953087433352069</v>
      </c>
      <c r="AA22" s="30">
        <f t="shared" ref="AA22:AD22" si="118">Z22+(($AE22-$Z22)/5)</f>
        <v>5.1619763817229769</v>
      </c>
      <c r="AB22" s="30">
        <f t="shared" si="118"/>
        <v>5.2286440201107469</v>
      </c>
      <c r="AC22" s="30">
        <f t="shared" si="118"/>
        <v>5.2953116584985169</v>
      </c>
      <c r="AD22" s="30">
        <f t="shared" si="118"/>
        <v>5.3619792968862869</v>
      </c>
      <c r="AE22" s="30">
        <v>5.4286469352740561</v>
      </c>
      <c r="AF22" s="30">
        <f t="shared" ref="AF22:AI22" si="119">AE22+(($AJ22-$AE22)/5)</f>
        <v>5.47904937070843</v>
      </c>
      <c r="AG22" s="30">
        <f t="shared" si="119"/>
        <v>5.529451806142804</v>
      </c>
      <c r="AH22" s="30">
        <f t="shared" si="119"/>
        <v>5.5798542415771779</v>
      </c>
      <c r="AI22" s="30">
        <f t="shared" si="119"/>
        <v>5.6302566770115519</v>
      </c>
      <c r="AJ22" s="30">
        <v>5.6806591124459267</v>
      </c>
      <c r="AK22" s="31">
        <v>14.277412876471773</v>
      </c>
      <c r="AL22" s="31">
        <v>1.5159986907770318</v>
      </c>
    </row>
    <row r="23" spans="1:38" x14ac:dyDescent="0.3">
      <c r="A23" t="str">
        <f>VLOOKUP(B23,'Country codes'!$A$1:$B$28,2,FALSE)</f>
        <v>NL</v>
      </c>
      <c r="B23" s="23" t="s">
        <v>110</v>
      </c>
      <c r="C23" s="24" t="s">
        <v>121</v>
      </c>
      <c r="D23" s="28" t="s">
        <v>122</v>
      </c>
      <c r="E23" s="29" t="s">
        <v>207</v>
      </c>
      <c r="F23" s="30">
        <v>9.472625917273291</v>
      </c>
      <c r="G23" s="30">
        <f t="shared" ref="G23:J23" si="120">F23+(($K23-$F23)/5)</f>
        <v>12.000569021831799</v>
      </c>
      <c r="H23" s="30">
        <f t="shared" si="120"/>
        <v>14.528512126390307</v>
      </c>
      <c r="I23" s="30">
        <f t="shared" si="120"/>
        <v>17.056455230948814</v>
      </c>
      <c r="J23" s="30">
        <f t="shared" si="120"/>
        <v>19.58439833550732</v>
      </c>
      <c r="K23" s="30">
        <v>22.11234144006583</v>
      </c>
      <c r="L23" s="30">
        <f t="shared" ref="L23:O23" si="121">K23+(($P23-$K23)/5)</f>
        <v>22.891735914371054</v>
      </c>
      <c r="M23" s="30">
        <f t="shared" si="121"/>
        <v>23.671130388676278</v>
      </c>
      <c r="N23" s="30">
        <f t="shared" si="121"/>
        <v>24.450524862981503</v>
      </c>
      <c r="O23" s="30">
        <f t="shared" si="121"/>
        <v>25.229919337286727</v>
      </c>
      <c r="P23" s="30">
        <v>26.009313811591944</v>
      </c>
      <c r="Q23" s="30">
        <f t="shared" ref="Q23:T23" si="122">P23+(($U23-$P23)/5)</f>
        <v>26.323442502263045</v>
      </c>
      <c r="R23" s="30">
        <f t="shared" si="122"/>
        <v>26.637571192934146</v>
      </c>
      <c r="S23" s="30">
        <f t="shared" si="122"/>
        <v>26.951699883605247</v>
      </c>
      <c r="T23" s="30">
        <f t="shared" si="122"/>
        <v>27.265828574276348</v>
      </c>
      <c r="U23" s="30">
        <v>27.579957264947442</v>
      </c>
      <c r="V23" s="30">
        <f t="shared" ref="V23:Y23" si="123">U23+(($Z23-$U23)/5)</f>
        <v>27.92612262996996</v>
      </c>
      <c r="W23" s="30">
        <f t="shared" si="123"/>
        <v>28.272287994992478</v>
      </c>
      <c r="X23" s="30">
        <f t="shared" si="123"/>
        <v>28.618453360014996</v>
      </c>
      <c r="Y23" s="30">
        <f t="shared" si="123"/>
        <v>28.964618725037514</v>
      </c>
      <c r="Z23" s="30">
        <v>29.310784090060039</v>
      </c>
      <c r="AA23" s="30">
        <f t="shared" ref="AA23:AD23" si="124">Z23+(($AE23-$Z23)/5)</f>
        <v>29.598727969083921</v>
      </c>
      <c r="AB23" s="30">
        <f t="shared" si="124"/>
        <v>29.886671848107802</v>
      </c>
      <c r="AC23" s="30">
        <f t="shared" si="124"/>
        <v>30.174615727131684</v>
      </c>
      <c r="AD23" s="30">
        <f t="shared" si="124"/>
        <v>30.462559606155565</v>
      </c>
      <c r="AE23" s="30">
        <v>30.750503485179454</v>
      </c>
      <c r="AF23" s="30">
        <f t="shared" ref="AF23:AI23" si="125">AE23+(($AJ23-$AE23)/5)</f>
        <v>31.078705770847719</v>
      </c>
      <c r="AG23" s="30">
        <f t="shared" si="125"/>
        <v>31.406908056515984</v>
      </c>
      <c r="AH23" s="30">
        <f t="shared" si="125"/>
        <v>31.73511034218425</v>
      </c>
      <c r="AI23" s="30">
        <f t="shared" si="125"/>
        <v>32.063312627852518</v>
      </c>
      <c r="AJ23" s="30">
        <v>32.391514913520787</v>
      </c>
      <c r="AK23" s="31">
        <v>10.628201171473028</v>
      </c>
      <c r="AL23" s="31">
        <v>1.1032504422780143</v>
      </c>
    </row>
    <row r="24" spans="1:38" x14ac:dyDescent="0.3">
      <c r="A24" t="str">
        <f>VLOOKUP(B24,'Country codes'!$A$1:$B$28,2,FALSE)</f>
        <v>PL</v>
      </c>
      <c r="B24" s="23" t="s">
        <v>111</v>
      </c>
      <c r="C24" s="24" t="s">
        <v>121</v>
      </c>
      <c r="D24" s="28" t="s">
        <v>122</v>
      </c>
      <c r="E24" s="29" t="s">
        <v>207</v>
      </c>
      <c r="F24" s="30">
        <v>5.3584327953858271</v>
      </c>
      <c r="G24" s="30">
        <f t="shared" ref="G24:J24" si="126">F24+(($K24-$F24)/5)</f>
        <v>6.9468196727246943</v>
      </c>
      <c r="H24" s="30">
        <f t="shared" si="126"/>
        <v>8.5352065500635614</v>
      </c>
      <c r="I24" s="30">
        <f t="shared" si="126"/>
        <v>10.123593427402428</v>
      </c>
      <c r="J24" s="30">
        <f t="shared" si="126"/>
        <v>11.711980304741294</v>
      </c>
      <c r="K24" s="30">
        <v>13.300367182080162</v>
      </c>
      <c r="L24" s="30">
        <f t="shared" ref="L24:O24" si="127">K24+(($P24-$K24)/5)</f>
        <v>14.123665504542851</v>
      </c>
      <c r="M24" s="30">
        <f t="shared" si="127"/>
        <v>14.94696382700554</v>
      </c>
      <c r="N24" s="30">
        <f t="shared" si="127"/>
        <v>15.770262149468229</v>
      </c>
      <c r="O24" s="30">
        <f t="shared" si="127"/>
        <v>16.593560471930918</v>
      </c>
      <c r="P24" s="30">
        <v>17.416858794393605</v>
      </c>
      <c r="Q24" s="30">
        <f t="shared" ref="Q24:T24" si="128">P24+(($U24-$P24)/5)</f>
        <v>17.597709142152429</v>
      </c>
      <c r="R24" s="30">
        <f t="shared" si="128"/>
        <v>17.778559489911252</v>
      </c>
      <c r="S24" s="30">
        <f t="shared" si="128"/>
        <v>17.959409837670076</v>
      </c>
      <c r="T24" s="30">
        <f t="shared" si="128"/>
        <v>18.1402601854289</v>
      </c>
      <c r="U24" s="30">
        <v>18.321110533187731</v>
      </c>
      <c r="V24" s="30">
        <f t="shared" ref="V24:Y24" si="129">U24+(($Z24-$U24)/5)</f>
        <v>18.470930804077902</v>
      </c>
      <c r="W24" s="30">
        <f t="shared" si="129"/>
        <v>18.620751074968073</v>
      </c>
      <c r="X24" s="30">
        <f t="shared" si="129"/>
        <v>18.770571345858244</v>
      </c>
      <c r="Y24" s="30">
        <f t="shared" si="129"/>
        <v>18.920391616748415</v>
      </c>
      <c r="Z24" s="30">
        <v>19.070211887638585</v>
      </c>
      <c r="AA24" s="30">
        <f t="shared" ref="AA24:AD24" si="130">Z24+(($AE24-$Z24)/5)</f>
        <v>19.192905132031981</v>
      </c>
      <c r="AB24" s="30">
        <f t="shared" si="130"/>
        <v>19.315598376425378</v>
      </c>
      <c r="AC24" s="30">
        <f t="shared" si="130"/>
        <v>19.438291620818774</v>
      </c>
      <c r="AD24" s="30">
        <f t="shared" si="130"/>
        <v>19.56098486521217</v>
      </c>
      <c r="AE24" s="30">
        <v>19.68367810960557</v>
      </c>
      <c r="AF24" s="30">
        <f t="shared" ref="AF24:AI24" si="131">AE24+(($AJ24-$AE24)/5)</f>
        <v>19.891198009488992</v>
      </c>
      <c r="AG24" s="30">
        <f t="shared" si="131"/>
        <v>20.098717909372414</v>
      </c>
      <c r="AH24" s="30">
        <f t="shared" si="131"/>
        <v>20.306237809255837</v>
      </c>
      <c r="AI24" s="30">
        <f t="shared" si="131"/>
        <v>20.513757709139259</v>
      </c>
      <c r="AJ24" s="30">
        <v>20.721277609022685</v>
      </c>
      <c r="AK24" s="31">
        <v>12.510538744353239</v>
      </c>
      <c r="AL24" s="31">
        <v>0.87239559618610407</v>
      </c>
    </row>
    <row r="25" spans="1:38" x14ac:dyDescent="0.3">
      <c r="A25" t="str">
        <f>VLOOKUP(B25,'Country codes'!$A$1:$B$28,2,FALSE)</f>
        <v>PT</v>
      </c>
      <c r="B25" s="23" t="s">
        <v>112</v>
      </c>
      <c r="C25" s="24" t="s">
        <v>121</v>
      </c>
      <c r="D25" s="28" t="s">
        <v>122</v>
      </c>
      <c r="E25" s="29" t="s">
        <v>207</v>
      </c>
      <c r="F25" s="30">
        <v>10.201382185093232</v>
      </c>
      <c r="G25" s="30">
        <f t="shared" ref="G25:J25" si="132">F25+(($K25-$F25)/5)</f>
        <v>12.528664119881702</v>
      </c>
      <c r="H25" s="30">
        <f t="shared" si="132"/>
        <v>14.855946054670172</v>
      </c>
      <c r="I25" s="30">
        <f t="shared" si="132"/>
        <v>17.18322798945864</v>
      </c>
      <c r="J25" s="30">
        <f t="shared" si="132"/>
        <v>19.51050992424711</v>
      </c>
      <c r="K25" s="30">
        <v>21.83779185903558</v>
      </c>
      <c r="L25" s="30">
        <f t="shared" ref="L25:O25" si="133">K25+(($P25-$K25)/5)</f>
        <v>22.306333014892587</v>
      </c>
      <c r="M25" s="30">
        <f t="shared" si="133"/>
        <v>22.774874170749595</v>
      </c>
      <c r="N25" s="30">
        <f t="shared" si="133"/>
        <v>23.243415326606602</v>
      </c>
      <c r="O25" s="30">
        <f t="shared" si="133"/>
        <v>23.711956482463609</v>
      </c>
      <c r="P25" s="30">
        <v>24.18049763832061</v>
      </c>
      <c r="Q25" s="30">
        <f t="shared" ref="Q25:T25" si="134">P25+(($U25-$P25)/5)</f>
        <v>24.427400270637001</v>
      </c>
      <c r="R25" s="30">
        <f t="shared" si="134"/>
        <v>24.674302902953393</v>
      </c>
      <c r="S25" s="30">
        <f t="shared" si="134"/>
        <v>24.921205535269785</v>
      </c>
      <c r="T25" s="30">
        <f t="shared" si="134"/>
        <v>25.168108167586176</v>
      </c>
      <c r="U25" s="30">
        <v>25.415010799902575</v>
      </c>
      <c r="V25" s="30">
        <f t="shared" ref="V25:Y25" si="135">U25+(($Z25-$U25)/5)</f>
        <v>25.729810148171506</v>
      </c>
      <c r="W25" s="30">
        <f t="shared" si="135"/>
        <v>26.044609496440437</v>
      </c>
      <c r="X25" s="30">
        <f t="shared" si="135"/>
        <v>26.359408844709368</v>
      </c>
      <c r="Y25" s="30">
        <f t="shared" si="135"/>
        <v>26.674208192978298</v>
      </c>
      <c r="Z25" s="30">
        <v>26.989007541247222</v>
      </c>
      <c r="AA25" s="30">
        <f t="shared" ref="AA25:AD25" si="136">Z25+(($AE25-$Z25)/5)</f>
        <v>27.256450738832758</v>
      </c>
      <c r="AB25" s="30">
        <f t="shared" si="136"/>
        <v>27.523893936418293</v>
      </c>
      <c r="AC25" s="30">
        <f t="shared" si="136"/>
        <v>27.791337134003829</v>
      </c>
      <c r="AD25" s="30">
        <f t="shared" si="136"/>
        <v>28.058780331589364</v>
      </c>
      <c r="AE25" s="30">
        <v>28.326223529174893</v>
      </c>
      <c r="AF25" s="30">
        <f t="shared" ref="AF25:AI25" si="137">AE25+(($AJ25-$AE25)/5)</f>
        <v>28.465886415841403</v>
      </c>
      <c r="AG25" s="30">
        <f t="shared" si="137"/>
        <v>28.605549302507914</v>
      </c>
      <c r="AH25" s="30">
        <f t="shared" si="137"/>
        <v>28.745212189174424</v>
      </c>
      <c r="AI25" s="30">
        <f t="shared" si="137"/>
        <v>28.884875075840934</v>
      </c>
      <c r="AJ25" s="30">
        <v>29.024537962507445</v>
      </c>
      <c r="AK25" s="31">
        <v>9.0135849026841797</v>
      </c>
      <c r="AL25" s="31">
        <v>0.91715625377137844</v>
      </c>
    </row>
    <row r="26" spans="1:38" x14ac:dyDescent="0.3">
      <c r="A26" t="str">
        <f>VLOOKUP(B26,'Country codes'!$A$1:$B$28,2,FALSE)</f>
        <v>RO</v>
      </c>
      <c r="B26" s="23" t="s">
        <v>113</v>
      </c>
      <c r="C26" s="24" t="s">
        <v>121</v>
      </c>
      <c r="D26" s="28" t="s">
        <v>122</v>
      </c>
      <c r="E26" s="29" t="s">
        <v>207</v>
      </c>
      <c r="F26" s="30">
        <v>3.9046893599087533</v>
      </c>
      <c r="G26" s="30">
        <f t="shared" ref="G26:J26" si="138">F26+(($K26-$F26)/5)</f>
        <v>5.058503996492334</v>
      </c>
      <c r="H26" s="30">
        <f t="shared" si="138"/>
        <v>6.212318633075915</v>
      </c>
      <c r="I26" s="30">
        <f t="shared" si="138"/>
        <v>7.3661332696594961</v>
      </c>
      <c r="J26" s="30">
        <f t="shared" si="138"/>
        <v>8.5199479062430772</v>
      </c>
      <c r="K26" s="30">
        <v>9.6737625428266583</v>
      </c>
      <c r="L26" s="30">
        <f t="shared" ref="L26:O26" si="139">K26+(($P26-$K26)/5)</f>
        <v>9.9577745424489859</v>
      </c>
      <c r="M26" s="30">
        <f t="shared" si="139"/>
        <v>10.241786542071313</v>
      </c>
      <c r="N26" s="30">
        <f t="shared" si="139"/>
        <v>10.525798541693641</v>
      </c>
      <c r="O26" s="30">
        <f t="shared" si="139"/>
        <v>10.809810541315969</v>
      </c>
      <c r="P26" s="30">
        <v>11.093822540938296</v>
      </c>
      <c r="Q26" s="30">
        <f t="shared" ref="Q26:T26" si="140">P26+(($U26-$P26)/5)</f>
        <v>11.356011847318326</v>
      </c>
      <c r="R26" s="30">
        <f t="shared" si="140"/>
        <v>11.618201153698356</v>
      </c>
      <c r="S26" s="30">
        <f t="shared" si="140"/>
        <v>11.880390460078386</v>
      </c>
      <c r="T26" s="30">
        <f t="shared" si="140"/>
        <v>12.142579766458416</v>
      </c>
      <c r="U26" s="30">
        <v>12.404769072838445</v>
      </c>
      <c r="V26" s="30">
        <f t="shared" ref="V26:Y26" si="141">U26+(($Z26-$U26)/5)</f>
        <v>12.668027667191629</v>
      </c>
      <c r="W26" s="30">
        <f t="shared" si="141"/>
        <v>12.931286261544813</v>
      </c>
      <c r="X26" s="30">
        <f t="shared" si="141"/>
        <v>13.194544855897997</v>
      </c>
      <c r="Y26" s="30">
        <f t="shared" si="141"/>
        <v>13.457803450251181</v>
      </c>
      <c r="Z26" s="30">
        <v>13.721062044604366</v>
      </c>
      <c r="AA26" s="30">
        <f t="shared" ref="AA26:AD26" si="142">Z26+(($AE26-$Z26)/5)</f>
        <v>13.863445665616828</v>
      </c>
      <c r="AB26" s="30">
        <f t="shared" si="142"/>
        <v>14.005829286629289</v>
      </c>
      <c r="AC26" s="30">
        <f t="shared" si="142"/>
        <v>14.148212907641751</v>
      </c>
      <c r="AD26" s="30">
        <f t="shared" si="142"/>
        <v>14.290596528654213</v>
      </c>
      <c r="AE26" s="30">
        <v>14.432980149666674</v>
      </c>
      <c r="AF26" s="30">
        <f t="shared" ref="AF26:AI26" si="143">AE26+(($AJ26-$AE26)/5)</f>
        <v>14.5551945243327</v>
      </c>
      <c r="AG26" s="30">
        <f t="shared" si="143"/>
        <v>14.677408898998726</v>
      </c>
      <c r="AH26" s="30">
        <f t="shared" si="143"/>
        <v>14.799623273664752</v>
      </c>
      <c r="AI26" s="30">
        <f t="shared" si="143"/>
        <v>14.921837648330778</v>
      </c>
      <c r="AJ26" s="30">
        <v>15.0440520229968</v>
      </c>
      <c r="AK26" s="31">
        <v>11.006771667254078</v>
      </c>
      <c r="AL26" s="31">
        <v>1.5346276733134268</v>
      </c>
    </row>
    <row r="27" spans="1:38" x14ac:dyDescent="0.3">
      <c r="A27" t="str">
        <f>VLOOKUP(B27,'Country codes'!$A$1:$B$28,2,FALSE)</f>
        <v>SE</v>
      </c>
      <c r="B27" s="23" t="s">
        <v>114</v>
      </c>
      <c r="C27" s="24" t="s">
        <v>121</v>
      </c>
      <c r="D27" s="28" t="s">
        <v>122</v>
      </c>
      <c r="E27" s="29" t="s">
        <v>207</v>
      </c>
      <c r="F27" s="30">
        <v>8.9774305742900005</v>
      </c>
      <c r="G27" s="30">
        <f t="shared" ref="G27:J27" si="144">F27+(($K27-$F27)/5)</f>
        <v>10.864330874691477</v>
      </c>
      <c r="H27" s="30">
        <f t="shared" si="144"/>
        <v>12.751231175092954</v>
      </c>
      <c r="I27" s="30">
        <f t="shared" si="144"/>
        <v>14.638131475494431</v>
      </c>
      <c r="J27" s="30">
        <f t="shared" si="144"/>
        <v>16.525031775895908</v>
      </c>
      <c r="K27" s="30">
        <v>18.411932076297383</v>
      </c>
      <c r="L27" s="30">
        <f t="shared" ref="L27:O27" si="145">K27+(($P27-$K27)/5)</f>
        <v>19.082459524301463</v>
      </c>
      <c r="M27" s="30">
        <f t="shared" si="145"/>
        <v>19.752986972305543</v>
      </c>
      <c r="N27" s="30">
        <f t="shared" si="145"/>
        <v>20.423514420309623</v>
      </c>
      <c r="O27" s="30">
        <f t="shared" si="145"/>
        <v>21.094041868313703</v>
      </c>
      <c r="P27" s="30">
        <v>21.764569316317779</v>
      </c>
      <c r="Q27" s="30">
        <f t="shared" ref="Q27:T27" si="146">P27+(($U27-$P27)/5)</f>
        <v>22.156961600941063</v>
      </c>
      <c r="R27" s="30">
        <f t="shared" si="146"/>
        <v>22.549353885564347</v>
      </c>
      <c r="S27" s="30">
        <f t="shared" si="146"/>
        <v>22.941746170187631</v>
      </c>
      <c r="T27" s="30">
        <f t="shared" si="146"/>
        <v>23.334138454810915</v>
      </c>
      <c r="U27" s="30">
        <v>23.726530739434203</v>
      </c>
      <c r="V27" s="30">
        <f t="shared" ref="V27:Y27" si="147">U27+(($Z27-$U27)/5)</f>
        <v>24.140361175178278</v>
      </c>
      <c r="W27" s="30">
        <f t="shared" si="147"/>
        <v>24.554191610922352</v>
      </c>
      <c r="X27" s="30">
        <f t="shared" si="147"/>
        <v>24.968022046666427</v>
      </c>
      <c r="Y27" s="30">
        <f t="shared" si="147"/>
        <v>25.381852482410501</v>
      </c>
      <c r="Z27" s="30">
        <v>25.795682918154569</v>
      </c>
      <c r="AA27" s="30">
        <f t="shared" ref="AA27:AD27" si="148">Z27+(($AE27-$Z27)/5)</f>
        <v>25.944533728571194</v>
      </c>
      <c r="AB27" s="30">
        <f t="shared" si="148"/>
        <v>26.09338453898782</v>
      </c>
      <c r="AC27" s="30">
        <f t="shared" si="148"/>
        <v>26.242235349404446</v>
      </c>
      <c r="AD27" s="30">
        <f t="shared" si="148"/>
        <v>26.391086159821072</v>
      </c>
      <c r="AE27" s="30">
        <v>26.539936970237701</v>
      </c>
      <c r="AF27" s="30">
        <f t="shared" ref="AF27:AI27" si="149">AE27+(($AJ27-$AE27)/5)</f>
        <v>26.733431994875975</v>
      </c>
      <c r="AG27" s="30">
        <f t="shared" si="149"/>
        <v>26.926927019514249</v>
      </c>
      <c r="AH27" s="30">
        <f t="shared" si="149"/>
        <v>27.120422044152523</v>
      </c>
      <c r="AI27" s="30">
        <f t="shared" si="149"/>
        <v>27.313917068790797</v>
      </c>
      <c r="AJ27" s="30">
        <v>27.507412093429078</v>
      </c>
      <c r="AK27" s="31">
        <v>9.2596493122887757</v>
      </c>
      <c r="AL27" s="31">
        <v>1.1777419638440811</v>
      </c>
    </row>
    <row r="28" spans="1:38" x14ac:dyDescent="0.3">
      <c r="A28" t="str">
        <f>VLOOKUP(B28,'Country codes'!$A$1:$B$28,2,FALSE)</f>
        <v>SI</v>
      </c>
      <c r="B28" s="23" t="s">
        <v>115</v>
      </c>
      <c r="C28" s="24" t="s">
        <v>121</v>
      </c>
      <c r="D28" s="28" t="s">
        <v>122</v>
      </c>
      <c r="E28" s="29" t="s">
        <v>207</v>
      </c>
      <c r="F28" s="30">
        <v>0.15867680167736567</v>
      </c>
      <c r="G28" s="30">
        <f t="shared" ref="G28:J28" si="150">F28+(($K28-$F28)/5)</f>
        <v>0.20698822042382717</v>
      </c>
      <c r="H28" s="30">
        <f t="shared" si="150"/>
        <v>0.25529963917028864</v>
      </c>
      <c r="I28" s="30">
        <f t="shared" si="150"/>
        <v>0.30361105791675014</v>
      </c>
      <c r="J28" s="30">
        <f t="shared" si="150"/>
        <v>0.35192247666321164</v>
      </c>
      <c r="K28" s="30">
        <v>0.40023389540967313</v>
      </c>
      <c r="L28" s="30">
        <f t="shared" ref="L28:O28" si="151">K28+(($P28-$K28)/5)</f>
        <v>0.40849114303405565</v>
      </c>
      <c r="M28" s="30">
        <f t="shared" si="151"/>
        <v>0.41674839065843816</v>
      </c>
      <c r="N28" s="30">
        <f t="shared" si="151"/>
        <v>0.42500563828282067</v>
      </c>
      <c r="O28" s="30">
        <f t="shared" si="151"/>
        <v>0.43326288590720319</v>
      </c>
      <c r="P28" s="30">
        <v>0.44152013353158565</v>
      </c>
      <c r="Q28" s="30">
        <f t="shared" ref="Q28:T28" si="152">P28+(($U28-$P28)/5)</f>
        <v>0.45147668841275507</v>
      </c>
      <c r="R28" s="30">
        <f t="shared" si="152"/>
        <v>0.46143324329392449</v>
      </c>
      <c r="S28" s="30">
        <f t="shared" si="152"/>
        <v>0.47138979817509391</v>
      </c>
      <c r="T28" s="30">
        <f t="shared" si="152"/>
        <v>0.48134635305626333</v>
      </c>
      <c r="U28" s="30">
        <v>0.49130290793743281</v>
      </c>
      <c r="V28" s="30">
        <f t="shared" ref="V28:Y28" si="153">U28+(($Z28-$U28)/5)</f>
        <v>0.5006277994110272</v>
      </c>
      <c r="W28" s="30">
        <f t="shared" si="153"/>
        <v>0.50995269088462158</v>
      </c>
      <c r="X28" s="30">
        <f t="shared" si="153"/>
        <v>0.51927758235821597</v>
      </c>
      <c r="Y28" s="30">
        <f t="shared" si="153"/>
        <v>0.52860247383181036</v>
      </c>
      <c r="Z28" s="30">
        <v>0.53792736530540475</v>
      </c>
      <c r="AA28" s="30">
        <f t="shared" ref="AA28:AD28" si="154">Z28+(($AE28-$Z28)/5)</f>
        <v>0.54480193424619783</v>
      </c>
      <c r="AB28" s="30">
        <f t="shared" si="154"/>
        <v>0.55167650318699091</v>
      </c>
      <c r="AC28" s="30">
        <f t="shared" si="154"/>
        <v>0.55855107212778399</v>
      </c>
      <c r="AD28" s="30">
        <f t="shared" si="154"/>
        <v>0.56542564106857707</v>
      </c>
      <c r="AE28" s="30">
        <v>0.57230021000936993</v>
      </c>
      <c r="AF28" s="30">
        <f t="shared" ref="AF28:AI28" si="155">AE28+(($AJ28-$AE28)/5)</f>
        <v>0.57842413560813677</v>
      </c>
      <c r="AG28" s="30">
        <f t="shared" si="155"/>
        <v>0.58454806120690361</v>
      </c>
      <c r="AH28" s="30">
        <f t="shared" si="155"/>
        <v>0.59067198680567046</v>
      </c>
      <c r="AI28" s="30">
        <f t="shared" si="155"/>
        <v>0.5967959124044373</v>
      </c>
      <c r="AJ28" s="30">
        <v>0.60291983800320403</v>
      </c>
      <c r="AK28" s="31">
        <v>10.775497059080541</v>
      </c>
      <c r="AL28" s="31">
        <v>1.5700001443389899</v>
      </c>
    </row>
    <row r="29" spans="1:38" x14ac:dyDescent="0.3">
      <c r="A29" t="str">
        <f>VLOOKUP(B29,'Country codes'!$A$1:$B$28,2,FALSE)</f>
        <v>SK</v>
      </c>
      <c r="B29" s="23" t="s">
        <v>116</v>
      </c>
      <c r="C29" s="24" t="s">
        <v>121</v>
      </c>
      <c r="D29" s="28" t="s">
        <v>122</v>
      </c>
      <c r="E29" s="29" t="s">
        <v>207</v>
      </c>
      <c r="F29" s="30">
        <v>0.37284475297237868</v>
      </c>
      <c r="G29" s="30">
        <f t="shared" ref="G29:J29" si="156">F29+(($K29-$F29)/5)</f>
        <v>0.48828005400403829</v>
      </c>
      <c r="H29" s="30">
        <f t="shared" si="156"/>
        <v>0.60371535503569795</v>
      </c>
      <c r="I29" s="30">
        <f t="shared" si="156"/>
        <v>0.71915065606735762</v>
      </c>
      <c r="J29" s="30">
        <f t="shared" si="156"/>
        <v>0.83458595709901728</v>
      </c>
      <c r="K29" s="30">
        <v>0.95002125813067695</v>
      </c>
      <c r="L29" s="30">
        <f t="shared" ref="L29:O29" si="157">K29+(($P29-$K29)/5)</f>
        <v>0.97441512987760137</v>
      </c>
      <c r="M29" s="30">
        <f t="shared" si="157"/>
        <v>0.99880900162452579</v>
      </c>
      <c r="N29" s="30">
        <f t="shared" si="157"/>
        <v>1.0232028733714502</v>
      </c>
      <c r="O29" s="30">
        <f t="shared" si="157"/>
        <v>1.0475967451183745</v>
      </c>
      <c r="P29" s="30">
        <v>1.0719906168652988</v>
      </c>
      <c r="Q29" s="30">
        <f t="shared" ref="Q29:T29" si="158">P29+(($U29-$P29)/5)</f>
        <v>1.0894816821401829</v>
      </c>
      <c r="R29" s="30">
        <f t="shared" si="158"/>
        <v>1.106972747415067</v>
      </c>
      <c r="S29" s="30">
        <f t="shared" si="158"/>
        <v>1.1244638126899511</v>
      </c>
      <c r="T29" s="30">
        <f t="shared" si="158"/>
        <v>1.1419548779648352</v>
      </c>
      <c r="U29" s="30">
        <v>1.1594459432397188</v>
      </c>
      <c r="V29" s="30">
        <f t="shared" ref="V29:Y29" si="159">U29+(($Z29-$U29)/5)</f>
        <v>1.1772351071687168</v>
      </c>
      <c r="W29" s="30">
        <f t="shared" si="159"/>
        <v>1.1950242710977148</v>
      </c>
      <c r="X29" s="30">
        <f t="shared" si="159"/>
        <v>1.2128134350267128</v>
      </c>
      <c r="Y29" s="30">
        <f t="shared" si="159"/>
        <v>1.2306025989557108</v>
      </c>
      <c r="Z29" s="30">
        <v>1.2483917628847085</v>
      </c>
      <c r="AA29" s="30">
        <f t="shared" ref="AA29:AD29" si="160">Z29+(($AE29-$Z29)/5)</f>
        <v>1.2579906734324351</v>
      </c>
      <c r="AB29" s="30">
        <f t="shared" si="160"/>
        <v>1.2675895839801616</v>
      </c>
      <c r="AC29" s="30">
        <f t="shared" si="160"/>
        <v>1.2771884945278882</v>
      </c>
      <c r="AD29" s="30">
        <f t="shared" si="160"/>
        <v>1.2867874050756147</v>
      </c>
      <c r="AE29" s="30">
        <v>1.2963863156233413</v>
      </c>
      <c r="AF29" s="30">
        <f t="shared" ref="AF29:AI29" si="161">AE29+(($AJ29-$AE29)/5)</f>
        <v>1.3060243936550633</v>
      </c>
      <c r="AG29" s="30">
        <f t="shared" si="161"/>
        <v>1.3156624716867853</v>
      </c>
      <c r="AH29" s="30">
        <f t="shared" si="161"/>
        <v>1.3253005497185073</v>
      </c>
      <c r="AI29" s="30">
        <f t="shared" si="161"/>
        <v>1.3349386277502293</v>
      </c>
      <c r="AJ29" s="30">
        <v>1.3445767057819509</v>
      </c>
      <c r="AK29" s="31">
        <v>11.138951386800656</v>
      </c>
      <c r="AL29" s="31">
        <v>1.1392502705091623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Country codes</vt:lpstr>
      <vt:lpstr>Heavy trucks</vt:lpstr>
      <vt:lpstr>Light Commercial Vans</vt:lpstr>
      <vt:lpstr>Road freight EU Ref</vt:lpstr>
      <vt:lpstr>Buses</vt:lpstr>
      <vt:lpstr>Buses EU Ref</vt:lpstr>
      <vt:lpstr>Passenger cars</vt:lpstr>
      <vt:lpstr>Passenger cars EU Ref</vt:lpstr>
      <vt:lpstr>Shipping</vt:lpstr>
      <vt:lpstr>Shipping EU Ref</vt:lpstr>
      <vt:lpstr>Rail</vt:lpstr>
      <vt:lpstr>Rail EU Ref</vt:lpstr>
      <vt:lpstr>Aviation</vt:lpstr>
      <vt:lpstr>Aviation EU 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Constantinos Taliotis</dc:creator>
  <cp:lastModifiedBy>Constantinos Taliotis</cp:lastModifiedBy>
  <dcterms:created xsi:type="dcterms:W3CDTF">2015-06-05T18:19:34Z</dcterms:created>
  <dcterms:modified xsi:type="dcterms:W3CDTF">2025-11-18T09:02:17Z</dcterms:modified>
</cp:coreProperties>
</file>