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cyisites-my.sharepoint.com/personal/c_taliotis_cyi_ac_cy/Documents/CyI/01 Projects/2022-12 DIAMOND/WP3/Task 3_3 CLEWs-EU/Data/Buildings/"/>
    </mc:Choice>
  </mc:AlternateContent>
  <xr:revisionPtr revIDLastSave="219" documentId="11_AD4DCBB4A06381AAC71CFC4A3612E8F6683EDF2B" xr6:coauthVersionLast="47" xr6:coauthVersionMax="47" xr10:uidLastSave="{30A12F3D-467E-4AB3-9A80-B3453EF4EE6A}"/>
  <bookViews>
    <workbookView xWindow="-108" yWindow="-108" windowWidth="23256" windowHeight="12456" xr2:uid="{00000000-000D-0000-FFFF-FFFF00000000}"/>
  </bookViews>
  <sheets>
    <sheet name="Specified Annual Demand" sheetId="1" r:id="rId1"/>
    <sheet name="EU Ref Scenario 2020" sheetId="2" r:id="rId2"/>
  </sheets>
  <definedNames>
    <definedName name="_xlnm._FilterDatabase" localSheetId="1" hidden="1">'EU Ref Scenario 2020'!$A$1:$AG$85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H11" i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H16" i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H27" i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H42" i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H47" i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H54" i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H66" i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H72" i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H81" i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H105" i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H109" i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B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B7" i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B8" i="1"/>
  <c r="B9" i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B10" i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B11" i="1"/>
  <c r="B12" i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B13" i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B14" i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B15" i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B16" i="1"/>
  <c r="B17" i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B18" i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B19" i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B20" i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B21" i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B22" i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B23" i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B24" i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B25" i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B26" i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B27" i="1"/>
  <c r="B28" i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B29" i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B30" i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B31" i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B32" i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B33" i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B34" i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B35" i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B36" i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B37" i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B38" i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B39" i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B40" i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B41" i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B42" i="1"/>
  <c r="B43" i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B44" i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B45" i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B46" i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B47" i="1"/>
  <c r="B48" i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B49" i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B50" i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B51" i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B52" i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B53" i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B54" i="1"/>
  <c r="B55" i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B56" i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B57" i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B58" i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B59" i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B60" i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B61" i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B62" i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B63" i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B64" i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B65" i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B66" i="1"/>
  <c r="B67" i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B68" i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B69" i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B70" i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B71" i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B72" i="1"/>
  <c r="B73" i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B74" i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B75" i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B76" i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B77" i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B78" i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B79" i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B80" i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B81" i="1"/>
  <c r="B82" i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B83" i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B84" i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B85" i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B86" i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B87" i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B88" i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B89" i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B90" i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B91" i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B92" i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B93" i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B94" i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B95" i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B96" i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B97" i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B98" i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B99" i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B100" i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B101" i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B102" i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B103" i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B104" i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B105" i="1"/>
  <c r="B106" i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B107" i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B108" i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B109" i="1"/>
  <c r="B110" i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B111" i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B112" i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B5" i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C126" i="2"/>
  <c r="X3" i="2"/>
  <c r="Y3" i="2" s="1"/>
  <c r="Z3" i="2" s="1"/>
  <c r="AA3" i="2" s="1"/>
  <c r="X5" i="2"/>
  <c r="Y5" i="2" s="1"/>
  <c r="Z5" i="2" s="1"/>
  <c r="AA5" i="2" s="1"/>
  <c r="X6" i="2"/>
  <c r="Y6" i="2" s="1"/>
  <c r="Z6" i="2" s="1"/>
  <c r="AA6" i="2" s="1"/>
  <c r="X8" i="2"/>
  <c r="Y8" i="2" s="1"/>
  <c r="Z8" i="2" s="1"/>
  <c r="AA8" i="2" s="1"/>
  <c r="X9" i="2"/>
  <c r="Y9" i="2" s="1"/>
  <c r="Z9" i="2" s="1"/>
  <c r="AA9" i="2" s="1"/>
  <c r="X11" i="2"/>
  <c r="Y11" i="2" s="1"/>
  <c r="Z11" i="2" s="1"/>
  <c r="AA11" i="2" s="1"/>
  <c r="X12" i="2"/>
  <c r="Y12" i="2" s="1"/>
  <c r="Z12" i="2" s="1"/>
  <c r="AA12" i="2" s="1"/>
  <c r="X14" i="2"/>
  <c r="Y14" i="2" s="1"/>
  <c r="Z14" i="2" s="1"/>
  <c r="AA14" i="2" s="1"/>
  <c r="X15" i="2"/>
  <c r="Y15" i="2" s="1"/>
  <c r="Z15" i="2" s="1"/>
  <c r="AA15" i="2" s="1"/>
  <c r="X17" i="2"/>
  <c r="Y17" i="2" s="1"/>
  <c r="Z17" i="2" s="1"/>
  <c r="AA17" i="2" s="1"/>
  <c r="X18" i="2"/>
  <c r="Y18" i="2" s="1"/>
  <c r="Z18" i="2" s="1"/>
  <c r="AA18" i="2" s="1"/>
  <c r="X20" i="2"/>
  <c r="Y20" i="2" s="1"/>
  <c r="Z20" i="2" s="1"/>
  <c r="AA20" i="2" s="1"/>
  <c r="X21" i="2"/>
  <c r="Y21" i="2" s="1"/>
  <c r="Z21" i="2" s="1"/>
  <c r="AA21" i="2" s="1"/>
  <c r="X23" i="2"/>
  <c r="Y23" i="2" s="1"/>
  <c r="Z23" i="2" s="1"/>
  <c r="AA23" i="2" s="1"/>
  <c r="X24" i="2"/>
  <c r="Y24" i="2" s="1"/>
  <c r="Z24" i="2" s="1"/>
  <c r="AA24" i="2" s="1"/>
  <c r="X26" i="2"/>
  <c r="Y26" i="2" s="1"/>
  <c r="Z26" i="2" s="1"/>
  <c r="AA26" i="2" s="1"/>
  <c r="X27" i="2"/>
  <c r="Y27" i="2" s="1"/>
  <c r="Z27" i="2" s="1"/>
  <c r="AA27" i="2" s="1"/>
  <c r="X29" i="2"/>
  <c r="Y29" i="2" s="1"/>
  <c r="Z29" i="2" s="1"/>
  <c r="AA29" i="2" s="1"/>
  <c r="X30" i="2"/>
  <c r="Y30" i="2" s="1"/>
  <c r="Z30" i="2" s="1"/>
  <c r="AA30" i="2" s="1"/>
  <c r="X32" i="2"/>
  <c r="Y32" i="2" s="1"/>
  <c r="Z32" i="2" s="1"/>
  <c r="AA32" i="2" s="1"/>
  <c r="X33" i="2"/>
  <c r="Y33" i="2" s="1"/>
  <c r="Z33" i="2" s="1"/>
  <c r="AA33" i="2" s="1"/>
  <c r="X35" i="2"/>
  <c r="Y35" i="2" s="1"/>
  <c r="Z35" i="2" s="1"/>
  <c r="AA35" i="2" s="1"/>
  <c r="X36" i="2"/>
  <c r="Y36" i="2" s="1"/>
  <c r="Z36" i="2" s="1"/>
  <c r="AA36" i="2" s="1"/>
  <c r="X38" i="2"/>
  <c r="Y38" i="2" s="1"/>
  <c r="Z38" i="2" s="1"/>
  <c r="AA38" i="2" s="1"/>
  <c r="X39" i="2"/>
  <c r="Y39" i="2" s="1"/>
  <c r="Z39" i="2" s="1"/>
  <c r="AA39" i="2" s="1"/>
  <c r="X41" i="2"/>
  <c r="Y41" i="2" s="1"/>
  <c r="Z41" i="2" s="1"/>
  <c r="AA41" i="2" s="1"/>
  <c r="X42" i="2"/>
  <c r="Y42" i="2" s="1"/>
  <c r="Z42" i="2" s="1"/>
  <c r="AA42" i="2" s="1"/>
  <c r="X44" i="2"/>
  <c r="Y44" i="2" s="1"/>
  <c r="Z44" i="2" s="1"/>
  <c r="AA44" i="2" s="1"/>
  <c r="X45" i="2"/>
  <c r="Y45" i="2" s="1"/>
  <c r="Z45" i="2" s="1"/>
  <c r="AA45" i="2" s="1"/>
  <c r="X47" i="2"/>
  <c r="Y47" i="2" s="1"/>
  <c r="Z47" i="2" s="1"/>
  <c r="AA47" i="2" s="1"/>
  <c r="X48" i="2"/>
  <c r="Y48" i="2" s="1"/>
  <c r="Z48" i="2" s="1"/>
  <c r="AA48" i="2" s="1"/>
  <c r="X50" i="2"/>
  <c r="Y50" i="2" s="1"/>
  <c r="Z50" i="2" s="1"/>
  <c r="AA50" i="2" s="1"/>
  <c r="X51" i="2"/>
  <c r="Y51" i="2" s="1"/>
  <c r="Z51" i="2" s="1"/>
  <c r="AA51" i="2" s="1"/>
  <c r="X53" i="2"/>
  <c r="Y53" i="2" s="1"/>
  <c r="Z53" i="2" s="1"/>
  <c r="AA53" i="2" s="1"/>
  <c r="X54" i="2"/>
  <c r="Y54" i="2" s="1"/>
  <c r="Z54" i="2" s="1"/>
  <c r="AA54" i="2" s="1"/>
  <c r="X56" i="2"/>
  <c r="Y56" i="2" s="1"/>
  <c r="Z56" i="2" s="1"/>
  <c r="AA56" i="2" s="1"/>
  <c r="X57" i="2"/>
  <c r="Y57" i="2" s="1"/>
  <c r="Z57" i="2" s="1"/>
  <c r="AA57" i="2" s="1"/>
  <c r="X59" i="2"/>
  <c r="Y59" i="2" s="1"/>
  <c r="Z59" i="2" s="1"/>
  <c r="AA59" i="2" s="1"/>
  <c r="X60" i="2"/>
  <c r="Y60" i="2" s="1"/>
  <c r="Z60" i="2" s="1"/>
  <c r="AA60" i="2" s="1"/>
  <c r="X62" i="2"/>
  <c r="Y62" i="2" s="1"/>
  <c r="Z62" i="2" s="1"/>
  <c r="AA62" i="2" s="1"/>
  <c r="X63" i="2"/>
  <c r="Y63" i="2" s="1"/>
  <c r="Z63" i="2" s="1"/>
  <c r="AA63" i="2" s="1"/>
  <c r="X65" i="2"/>
  <c r="Y65" i="2" s="1"/>
  <c r="Z65" i="2" s="1"/>
  <c r="AA65" i="2" s="1"/>
  <c r="X66" i="2"/>
  <c r="Y66" i="2" s="1"/>
  <c r="Z66" i="2" s="1"/>
  <c r="AA66" i="2" s="1"/>
  <c r="X68" i="2"/>
  <c r="Y68" i="2" s="1"/>
  <c r="Z68" i="2" s="1"/>
  <c r="AA68" i="2" s="1"/>
  <c r="X69" i="2"/>
  <c r="Y69" i="2" s="1"/>
  <c r="Z69" i="2" s="1"/>
  <c r="AA69" i="2" s="1"/>
  <c r="X71" i="2"/>
  <c r="Y71" i="2" s="1"/>
  <c r="Z71" i="2" s="1"/>
  <c r="AA71" i="2" s="1"/>
  <c r="X72" i="2"/>
  <c r="Y72" i="2" s="1"/>
  <c r="Z72" i="2" s="1"/>
  <c r="AA72" i="2" s="1"/>
  <c r="X74" i="2"/>
  <c r="Y74" i="2" s="1"/>
  <c r="Z74" i="2" s="1"/>
  <c r="AA74" i="2" s="1"/>
  <c r="X75" i="2"/>
  <c r="Y75" i="2" s="1"/>
  <c r="Z75" i="2" s="1"/>
  <c r="AA75" i="2" s="1"/>
  <c r="X77" i="2"/>
  <c r="Y77" i="2" s="1"/>
  <c r="Z77" i="2" s="1"/>
  <c r="AA77" i="2" s="1"/>
  <c r="X78" i="2"/>
  <c r="Y78" i="2" s="1"/>
  <c r="Z78" i="2" s="1"/>
  <c r="AA78" i="2" s="1"/>
  <c r="X80" i="2"/>
  <c r="Y80" i="2" s="1"/>
  <c r="Z80" i="2" s="1"/>
  <c r="AA80" i="2" s="1"/>
  <c r="X81" i="2"/>
  <c r="Y81" i="2" s="1"/>
  <c r="Z81" i="2" s="1"/>
  <c r="AA81" i="2" s="1"/>
  <c r="X83" i="2"/>
  <c r="Y83" i="2" s="1"/>
  <c r="Z83" i="2" s="1"/>
  <c r="AA83" i="2" s="1"/>
  <c r="X84" i="2"/>
  <c r="Y84" i="2" s="1"/>
  <c r="Z84" i="2" s="1"/>
  <c r="AA84" i="2" s="1"/>
  <c r="S3" i="2"/>
  <c r="T3" i="2" s="1"/>
  <c r="U3" i="2" s="1"/>
  <c r="V3" i="2" s="1"/>
  <c r="S5" i="2"/>
  <c r="T5" i="2" s="1"/>
  <c r="U5" i="2" s="1"/>
  <c r="V5" i="2" s="1"/>
  <c r="S6" i="2"/>
  <c r="T6" i="2"/>
  <c r="U6" i="2"/>
  <c r="V6" i="2" s="1"/>
  <c r="S8" i="2"/>
  <c r="T8" i="2" s="1"/>
  <c r="U8" i="2" s="1"/>
  <c r="V8" i="2" s="1"/>
  <c r="S9" i="2"/>
  <c r="T9" i="2" s="1"/>
  <c r="U9" i="2" s="1"/>
  <c r="V9" i="2" s="1"/>
  <c r="S11" i="2"/>
  <c r="T11" i="2" s="1"/>
  <c r="U11" i="2" s="1"/>
  <c r="V11" i="2" s="1"/>
  <c r="S12" i="2"/>
  <c r="T12" i="2" s="1"/>
  <c r="U12" i="2" s="1"/>
  <c r="V12" i="2" s="1"/>
  <c r="S14" i="2"/>
  <c r="T14" i="2"/>
  <c r="U14" i="2"/>
  <c r="V14" i="2" s="1"/>
  <c r="S15" i="2"/>
  <c r="T15" i="2" s="1"/>
  <c r="U15" i="2" s="1"/>
  <c r="V15" i="2" s="1"/>
  <c r="S17" i="2"/>
  <c r="T17" i="2" s="1"/>
  <c r="U17" i="2" s="1"/>
  <c r="V17" i="2" s="1"/>
  <c r="S18" i="2"/>
  <c r="T18" i="2" s="1"/>
  <c r="U18" i="2" s="1"/>
  <c r="V18" i="2" s="1"/>
  <c r="S20" i="2"/>
  <c r="T20" i="2" s="1"/>
  <c r="U20" i="2" s="1"/>
  <c r="V20" i="2" s="1"/>
  <c r="S21" i="2"/>
  <c r="T21" i="2" s="1"/>
  <c r="U21" i="2" s="1"/>
  <c r="V21" i="2" s="1"/>
  <c r="S23" i="2"/>
  <c r="T23" i="2" s="1"/>
  <c r="U23" i="2" s="1"/>
  <c r="V23" i="2" s="1"/>
  <c r="S24" i="2"/>
  <c r="T24" i="2" s="1"/>
  <c r="U24" i="2" s="1"/>
  <c r="V24" i="2" s="1"/>
  <c r="S26" i="2"/>
  <c r="T26" i="2" s="1"/>
  <c r="U26" i="2" s="1"/>
  <c r="V26" i="2" s="1"/>
  <c r="S27" i="2"/>
  <c r="T27" i="2" s="1"/>
  <c r="U27" i="2" s="1"/>
  <c r="V27" i="2" s="1"/>
  <c r="S29" i="2"/>
  <c r="T29" i="2" s="1"/>
  <c r="U29" i="2" s="1"/>
  <c r="V29" i="2" s="1"/>
  <c r="S30" i="2"/>
  <c r="T30" i="2" s="1"/>
  <c r="U30" i="2" s="1"/>
  <c r="V30" i="2" s="1"/>
  <c r="S32" i="2"/>
  <c r="T32" i="2" s="1"/>
  <c r="U32" i="2" s="1"/>
  <c r="V32" i="2" s="1"/>
  <c r="S33" i="2"/>
  <c r="T33" i="2" s="1"/>
  <c r="U33" i="2" s="1"/>
  <c r="V33" i="2" s="1"/>
  <c r="S35" i="2"/>
  <c r="T35" i="2" s="1"/>
  <c r="U35" i="2" s="1"/>
  <c r="V35" i="2" s="1"/>
  <c r="S36" i="2"/>
  <c r="T36" i="2" s="1"/>
  <c r="U36" i="2" s="1"/>
  <c r="V36" i="2" s="1"/>
  <c r="S38" i="2"/>
  <c r="T38" i="2" s="1"/>
  <c r="U38" i="2" s="1"/>
  <c r="V38" i="2" s="1"/>
  <c r="S39" i="2"/>
  <c r="T39" i="2" s="1"/>
  <c r="U39" i="2" s="1"/>
  <c r="V39" i="2" s="1"/>
  <c r="S41" i="2"/>
  <c r="T41" i="2" s="1"/>
  <c r="U41" i="2" s="1"/>
  <c r="V41" i="2" s="1"/>
  <c r="S42" i="2"/>
  <c r="T42" i="2" s="1"/>
  <c r="U42" i="2" s="1"/>
  <c r="V42" i="2" s="1"/>
  <c r="S44" i="2"/>
  <c r="T44" i="2" s="1"/>
  <c r="U44" i="2" s="1"/>
  <c r="V44" i="2" s="1"/>
  <c r="S45" i="2"/>
  <c r="T45" i="2" s="1"/>
  <c r="U45" i="2" s="1"/>
  <c r="V45" i="2" s="1"/>
  <c r="S47" i="2"/>
  <c r="T47" i="2" s="1"/>
  <c r="U47" i="2" s="1"/>
  <c r="V47" i="2" s="1"/>
  <c r="S48" i="2"/>
  <c r="T48" i="2" s="1"/>
  <c r="U48" i="2" s="1"/>
  <c r="V48" i="2" s="1"/>
  <c r="S50" i="2"/>
  <c r="T50" i="2" s="1"/>
  <c r="U50" i="2" s="1"/>
  <c r="V50" i="2" s="1"/>
  <c r="S51" i="2"/>
  <c r="T51" i="2" s="1"/>
  <c r="U51" i="2" s="1"/>
  <c r="V51" i="2" s="1"/>
  <c r="S53" i="2"/>
  <c r="T53" i="2" s="1"/>
  <c r="U53" i="2" s="1"/>
  <c r="V53" i="2" s="1"/>
  <c r="S54" i="2"/>
  <c r="T54" i="2" s="1"/>
  <c r="U54" i="2" s="1"/>
  <c r="V54" i="2" s="1"/>
  <c r="S56" i="2"/>
  <c r="T56" i="2" s="1"/>
  <c r="U56" i="2" s="1"/>
  <c r="V56" i="2" s="1"/>
  <c r="S57" i="2"/>
  <c r="T57" i="2" s="1"/>
  <c r="U57" i="2" s="1"/>
  <c r="V57" i="2" s="1"/>
  <c r="S59" i="2"/>
  <c r="T59" i="2" s="1"/>
  <c r="U59" i="2" s="1"/>
  <c r="V59" i="2" s="1"/>
  <c r="S60" i="2"/>
  <c r="T60" i="2" s="1"/>
  <c r="U60" i="2" s="1"/>
  <c r="V60" i="2" s="1"/>
  <c r="S62" i="2"/>
  <c r="T62" i="2" s="1"/>
  <c r="U62" i="2" s="1"/>
  <c r="V62" i="2" s="1"/>
  <c r="S63" i="2"/>
  <c r="T63" i="2" s="1"/>
  <c r="U63" i="2" s="1"/>
  <c r="V63" i="2" s="1"/>
  <c r="S65" i="2"/>
  <c r="T65" i="2" s="1"/>
  <c r="U65" i="2" s="1"/>
  <c r="V65" i="2" s="1"/>
  <c r="S66" i="2"/>
  <c r="T66" i="2" s="1"/>
  <c r="U66" i="2" s="1"/>
  <c r="V66" i="2" s="1"/>
  <c r="S68" i="2"/>
  <c r="T68" i="2" s="1"/>
  <c r="U68" i="2" s="1"/>
  <c r="V68" i="2" s="1"/>
  <c r="S69" i="2"/>
  <c r="T69" i="2" s="1"/>
  <c r="U69" i="2" s="1"/>
  <c r="V69" i="2" s="1"/>
  <c r="S71" i="2"/>
  <c r="T71" i="2" s="1"/>
  <c r="U71" i="2" s="1"/>
  <c r="V71" i="2" s="1"/>
  <c r="S72" i="2"/>
  <c r="T72" i="2" s="1"/>
  <c r="U72" i="2" s="1"/>
  <c r="V72" i="2" s="1"/>
  <c r="S74" i="2"/>
  <c r="T74" i="2" s="1"/>
  <c r="U74" i="2" s="1"/>
  <c r="V74" i="2" s="1"/>
  <c r="S75" i="2"/>
  <c r="T75" i="2" s="1"/>
  <c r="U75" i="2" s="1"/>
  <c r="V75" i="2" s="1"/>
  <c r="S77" i="2"/>
  <c r="T77" i="2" s="1"/>
  <c r="U77" i="2" s="1"/>
  <c r="V77" i="2" s="1"/>
  <c r="S78" i="2"/>
  <c r="T78" i="2" s="1"/>
  <c r="U78" i="2" s="1"/>
  <c r="V78" i="2" s="1"/>
  <c r="S80" i="2"/>
  <c r="T80" i="2" s="1"/>
  <c r="U80" i="2" s="1"/>
  <c r="V80" i="2" s="1"/>
  <c r="S81" i="2"/>
  <c r="T81" i="2" s="1"/>
  <c r="U81" i="2" s="1"/>
  <c r="V81" i="2" s="1"/>
  <c r="S83" i="2"/>
  <c r="T83" i="2" s="1"/>
  <c r="U83" i="2" s="1"/>
  <c r="V83" i="2" s="1"/>
  <c r="S84" i="2"/>
  <c r="T84" i="2" s="1"/>
  <c r="U84" i="2" s="1"/>
  <c r="V84" i="2" s="1"/>
  <c r="N3" i="2"/>
  <c r="O3" i="2" s="1"/>
  <c r="P3" i="2" s="1"/>
  <c r="Q3" i="2" s="1"/>
  <c r="N5" i="2"/>
  <c r="O5" i="2" s="1"/>
  <c r="P5" i="2" s="1"/>
  <c r="Q5" i="2" s="1"/>
  <c r="N6" i="2"/>
  <c r="O6" i="2" s="1"/>
  <c r="P6" i="2" s="1"/>
  <c r="Q6" i="2" s="1"/>
  <c r="N8" i="2"/>
  <c r="O8" i="2" s="1"/>
  <c r="P8" i="2" s="1"/>
  <c r="Q8" i="2" s="1"/>
  <c r="N9" i="2"/>
  <c r="O9" i="2" s="1"/>
  <c r="P9" i="2" s="1"/>
  <c r="Q9" i="2" s="1"/>
  <c r="N11" i="2"/>
  <c r="O11" i="2" s="1"/>
  <c r="P11" i="2" s="1"/>
  <c r="Q11" i="2" s="1"/>
  <c r="N12" i="2"/>
  <c r="O12" i="2" s="1"/>
  <c r="P12" i="2" s="1"/>
  <c r="Q12" i="2" s="1"/>
  <c r="N14" i="2"/>
  <c r="O14" i="2" s="1"/>
  <c r="P14" i="2" s="1"/>
  <c r="Q14" i="2" s="1"/>
  <c r="N15" i="2"/>
  <c r="O15" i="2" s="1"/>
  <c r="P15" i="2" s="1"/>
  <c r="Q15" i="2" s="1"/>
  <c r="N17" i="2"/>
  <c r="O17" i="2" s="1"/>
  <c r="P17" i="2" s="1"/>
  <c r="Q17" i="2" s="1"/>
  <c r="N18" i="2"/>
  <c r="O18" i="2" s="1"/>
  <c r="P18" i="2" s="1"/>
  <c r="Q18" i="2" s="1"/>
  <c r="N20" i="2"/>
  <c r="O20" i="2" s="1"/>
  <c r="P20" i="2" s="1"/>
  <c r="Q20" i="2" s="1"/>
  <c r="N21" i="2"/>
  <c r="O21" i="2" s="1"/>
  <c r="P21" i="2" s="1"/>
  <c r="Q21" i="2" s="1"/>
  <c r="N23" i="2"/>
  <c r="O23" i="2" s="1"/>
  <c r="P23" i="2" s="1"/>
  <c r="Q23" i="2" s="1"/>
  <c r="N24" i="2"/>
  <c r="O24" i="2" s="1"/>
  <c r="P24" i="2" s="1"/>
  <c r="Q24" i="2" s="1"/>
  <c r="N26" i="2"/>
  <c r="O26" i="2" s="1"/>
  <c r="P26" i="2" s="1"/>
  <c r="Q26" i="2" s="1"/>
  <c r="N27" i="2"/>
  <c r="O27" i="2" s="1"/>
  <c r="P27" i="2" s="1"/>
  <c r="Q27" i="2" s="1"/>
  <c r="N29" i="2"/>
  <c r="O29" i="2" s="1"/>
  <c r="P29" i="2" s="1"/>
  <c r="Q29" i="2" s="1"/>
  <c r="N30" i="2"/>
  <c r="O30" i="2" s="1"/>
  <c r="P30" i="2" s="1"/>
  <c r="Q30" i="2" s="1"/>
  <c r="N32" i="2"/>
  <c r="O32" i="2" s="1"/>
  <c r="P32" i="2" s="1"/>
  <c r="Q32" i="2" s="1"/>
  <c r="N33" i="2"/>
  <c r="O33" i="2" s="1"/>
  <c r="P33" i="2" s="1"/>
  <c r="Q33" i="2" s="1"/>
  <c r="N35" i="2"/>
  <c r="O35" i="2" s="1"/>
  <c r="P35" i="2" s="1"/>
  <c r="Q35" i="2" s="1"/>
  <c r="N36" i="2"/>
  <c r="O36" i="2" s="1"/>
  <c r="P36" i="2" s="1"/>
  <c r="Q36" i="2" s="1"/>
  <c r="N38" i="2"/>
  <c r="O38" i="2" s="1"/>
  <c r="P38" i="2" s="1"/>
  <c r="Q38" i="2" s="1"/>
  <c r="N39" i="2"/>
  <c r="O39" i="2" s="1"/>
  <c r="P39" i="2" s="1"/>
  <c r="Q39" i="2" s="1"/>
  <c r="N41" i="2"/>
  <c r="O41" i="2" s="1"/>
  <c r="P41" i="2" s="1"/>
  <c r="Q41" i="2" s="1"/>
  <c r="N42" i="2"/>
  <c r="O42" i="2" s="1"/>
  <c r="P42" i="2" s="1"/>
  <c r="Q42" i="2" s="1"/>
  <c r="N44" i="2"/>
  <c r="O44" i="2" s="1"/>
  <c r="P44" i="2" s="1"/>
  <c r="Q44" i="2" s="1"/>
  <c r="N45" i="2"/>
  <c r="O45" i="2" s="1"/>
  <c r="P45" i="2" s="1"/>
  <c r="Q45" i="2" s="1"/>
  <c r="N47" i="2"/>
  <c r="O47" i="2" s="1"/>
  <c r="P47" i="2" s="1"/>
  <c r="Q47" i="2" s="1"/>
  <c r="N48" i="2"/>
  <c r="O48" i="2" s="1"/>
  <c r="P48" i="2" s="1"/>
  <c r="Q48" i="2" s="1"/>
  <c r="N50" i="2"/>
  <c r="O50" i="2" s="1"/>
  <c r="P50" i="2" s="1"/>
  <c r="Q50" i="2" s="1"/>
  <c r="N51" i="2"/>
  <c r="O51" i="2" s="1"/>
  <c r="P51" i="2" s="1"/>
  <c r="Q51" i="2" s="1"/>
  <c r="N53" i="2"/>
  <c r="O53" i="2" s="1"/>
  <c r="P53" i="2" s="1"/>
  <c r="Q53" i="2" s="1"/>
  <c r="N54" i="2"/>
  <c r="O54" i="2" s="1"/>
  <c r="P54" i="2" s="1"/>
  <c r="Q54" i="2" s="1"/>
  <c r="N56" i="2"/>
  <c r="O56" i="2" s="1"/>
  <c r="P56" i="2" s="1"/>
  <c r="Q56" i="2" s="1"/>
  <c r="N57" i="2"/>
  <c r="O57" i="2" s="1"/>
  <c r="P57" i="2" s="1"/>
  <c r="Q57" i="2" s="1"/>
  <c r="N59" i="2"/>
  <c r="O59" i="2" s="1"/>
  <c r="P59" i="2" s="1"/>
  <c r="Q59" i="2" s="1"/>
  <c r="N60" i="2"/>
  <c r="O60" i="2" s="1"/>
  <c r="P60" i="2" s="1"/>
  <c r="Q60" i="2" s="1"/>
  <c r="N62" i="2"/>
  <c r="O62" i="2" s="1"/>
  <c r="P62" i="2" s="1"/>
  <c r="Q62" i="2" s="1"/>
  <c r="N63" i="2"/>
  <c r="O63" i="2" s="1"/>
  <c r="P63" i="2" s="1"/>
  <c r="Q63" i="2" s="1"/>
  <c r="N65" i="2"/>
  <c r="O65" i="2" s="1"/>
  <c r="P65" i="2" s="1"/>
  <c r="Q65" i="2" s="1"/>
  <c r="N66" i="2"/>
  <c r="O66" i="2" s="1"/>
  <c r="P66" i="2" s="1"/>
  <c r="Q66" i="2" s="1"/>
  <c r="N68" i="2"/>
  <c r="O68" i="2" s="1"/>
  <c r="P68" i="2" s="1"/>
  <c r="Q68" i="2" s="1"/>
  <c r="N69" i="2"/>
  <c r="O69" i="2" s="1"/>
  <c r="P69" i="2" s="1"/>
  <c r="Q69" i="2" s="1"/>
  <c r="N71" i="2"/>
  <c r="O71" i="2" s="1"/>
  <c r="P71" i="2" s="1"/>
  <c r="Q71" i="2" s="1"/>
  <c r="N72" i="2"/>
  <c r="O72" i="2" s="1"/>
  <c r="P72" i="2" s="1"/>
  <c r="Q72" i="2" s="1"/>
  <c r="N74" i="2"/>
  <c r="O74" i="2" s="1"/>
  <c r="P74" i="2" s="1"/>
  <c r="Q74" i="2" s="1"/>
  <c r="N75" i="2"/>
  <c r="O75" i="2" s="1"/>
  <c r="P75" i="2" s="1"/>
  <c r="Q75" i="2" s="1"/>
  <c r="N77" i="2"/>
  <c r="O77" i="2" s="1"/>
  <c r="P77" i="2" s="1"/>
  <c r="Q77" i="2" s="1"/>
  <c r="N78" i="2"/>
  <c r="O78" i="2" s="1"/>
  <c r="P78" i="2" s="1"/>
  <c r="Q78" i="2" s="1"/>
  <c r="N80" i="2"/>
  <c r="O80" i="2" s="1"/>
  <c r="P80" i="2" s="1"/>
  <c r="Q80" i="2" s="1"/>
  <c r="N81" i="2"/>
  <c r="O81" i="2" s="1"/>
  <c r="P81" i="2" s="1"/>
  <c r="Q81" i="2" s="1"/>
  <c r="N83" i="2"/>
  <c r="O83" i="2" s="1"/>
  <c r="P83" i="2" s="1"/>
  <c r="Q83" i="2" s="1"/>
  <c r="N84" i="2"/>
  <c r="O84" i="2" s="1"/>
  <c r="P84" i="2" s="1"/>
  <c r="Q84" i="2" s="1"/>
  <c r="I3" i="2"/>
  <c r="J3" i="2" s="1"/>
  <c r="K3" i="2" s="1"/>
  <c r="L3" i="2" s="1"/>
  <c r="I5" i="2"/>
  <c r="J5" i="2" s="1"/>
  <c r="K5" i="2" s="1"/>
  <c r="L5" i="2" s="1"/>
  <c r="I6" i="2"/>
  <c r="J6" i="2" s="1"/>
  <c r="K6" i="2" s="1"/>
  <c r="L6" i="2" s="1"/>
  <c r="I8" i="2"/>
  <c r="J8" i="2" s="1"/>
  <c r="K8" i="2" s="1"/>
  <c r="L8" i="2" s="1"/>
  <c r="I9" i="2"/>
  <c r="J9" i="2" s="1"/>
  <c r="K9" i="2" s="1"/>
  <c r="L9" i="2" s="1"/>
  <c r="I11" i="2"/>
  <c r="J11" i="2" s="1"/>
  <c r="K11" i="2" s="1"/>
  <c r="L11" i="2" s="1"/>
  <c r="I12" i="2"/>
  <c r="J12" i="2" s="1"/>
  <c r="K12" i="2" s="1"/>
  <c r="L12" i="2" s="1"/>
  <c r="I14" i="2"/>
  <c r="J14" i="2" s="1"/>
  <c r="K14" i="2" s="1"/>
  <c r="L14" i="2" s="1"/>
  <c r="I15" i="2"/>
  <c r="J15" i="2" s="1"/>
  <c r="K15" i="2" s="1"/>
  <c r="L15" i="2" s="1"/>
  <c r="I17" i="2"/>
  <c r="J17" i="2"/>
  <c r="K17" i="2" s="1"/>
  <c r="L17" i="2" s="1"/>
  <c r="I18" i="2"/>
  <c r="J18" i="2" s="1"/>
  <c r="K18" i="2" s="1"/>
  <c r="L18" i="2" s="1"/>
  <c r="I20" i="2"/>
  <c r="J20" i="2"/>
  <c r="K20" i="2" s="1"/>
  <c r="L20" i="2" s="1"/>
  <c r="I21" i="2"/>
  <c r="J21" i="2" s="1"/>
  <c r="K21" i="2" s="1"/>
  <c r="L21" i="2" s="1"/>
  <c r="I23" i="2"/>
  <c r="J23" i="2" s="1"/>
  <c r="K23" i="2" s="1"/>
  <c r="L23" i="2" s="1"/>
  <c r="I24" i="2"/>
  <c r="J24" i="2" s="1"/>
  <c r="K24" i="2" s="1"/>
  <c r="L24" i="2" s="1"/>
  <c r="I26" i="2"/>
  <c r="J26" i="2" s="1"/>
  <c r="K26" i="2" s="1"/>
  <c r="L26" i="2" s="1"/>
  <c r="I27" i="2"/>
  <c r="J27" i="2" s="1"/>
  <c r="K27" i="2" s="1"/>
  <c r="L27" i="2" s="1"/>
  <c r="I29" i="2"/>
  <c r="J29" i="2" s="1"/>
  <c r="K29" i="2" s="1"/>
  <c r="L29" i="2" s="1"/>
  <c r="I30" i="2"/>
  <c r="J30" i="2"/>
  <c r="K30" i="2" s="1"/>
  <c r="L30" i="2" s="1"/>
  <c r="I32" i="2"/>
  <c r="J32" i="2" s="1"/>
  <c r="K32" i="2" s="1"/>
  <c r="L32" i="2" s="1"/>
  <c r="I33" i="2"/>
  <c r="J33" i="2" s="1"/>
  <c r="K33" i="2" s="1"/>
  <c r="L33" i="2" s="1"/>
  <c r="I35" i="2"/>
  <c r="J35" i="2"/>
  <c r="K35" i="2" s="1"/>
  <c r="L35" i="2" s="1"/>
  <c r="I36" i="2"/>
  <c r="J36" i="2"/>
  <c r="K36" i="2" s="1"/>
  <c r="L36" i="2" s="1"/>
  <c r="I38" i="2"/>
  <c r="J38" i="2"/>
  <c r="K38" i="2" s="1"/>
  <c r="L38" i="2" s="1"/>
  <c r="I39" i="2"/>
  <c r="J39" i="2"/>
  <c r="K39" i="2" s="1"/>
  <c r="L39" i="2" s="1"/>
  <c r="I41" i="2"/>
  <c r="J41" i="2"/>
  <c r="K41" i="2" s="1"/>
  <c r="L41" i="2" s="1"/>
  <c r="I42" i="2"/>
  <c r="J42" i="2" s="1"/>
  <c r="K42" i="2" s="1"/>
  <c r="L42" i="2" s="1"/>
  <c r="I44" i="2"/>
  <c r="J44" i="2"/>
  <c r="K44" i="2" s="1"/>
  <c r="L44" i="2" s="1"/>
  <c r="I45" i="2"/>
  <c r="J45" i="2" s="1"/>
  <c r="K45" i="2" s="1"/>
  <c r="L45" i="2" s="1"/>
  <c r="I47" i="2"/>
  <c r="J47" i="2" s="1"/>
  <c r="K47" i="2" s="1"/>
  <c r="L47" i="2" s="1"/>
  <c r="I48" i="2"/>
  <c r="J48" i="2" s="1"/>
  <c r="K48" i="2" s="1"/>
  <c r="L48" i="2" s="1"/>
  <c r="I50" i="2"/>
  <c r="J50" i="2" s="1"/>
  <c r="K50" i="2" s="1"/>
  <c r="L50" i="2" s="1"/>
  <c r="I51" i="2"/>
  <c r="J51" i="2" s="1"/>
  <c r="K51" i="2" s="1"/>
  <c r="L51" i="2" s="1"/>
  <c r="I53" i="2"/>
  <c r="J53" i="2" s="1"/>
  <c r="K53" i="2" s="1"/>
  <c r="L53" i="2" s="1"/>
  <c r="I54" i="2"/>
  <c r="J54" i="2" s="1"/>
  <c r="K54" i="2" s="1"/>
  <c r="L54" i="2" s="1"/>
  <c r="I56" i="2"/>
  <c r="J56" i="2" s="1"/>
  <c r="K56" i="2" s="1"/>
  <c r="L56" i="2" s="1"/>
  <c r="I57" i="2"/>
  <c r="J57" i="2"/>
  <c r="K57" i="2" s="1"/>
  <c r="L57" i="2" s="1"/>
  <c r="I59" i="2"/>
  <c r="J59" i="2" s="1"/>
  <c r="K59" i="2" s="1"/>
  <c r="L59" i="2" s="1"/>
  <c r="I60" i="2"/>
  <c r="J60" i="2" s="1"/>
  <c r="K60" i="2" s="1"/>
  <c r="L60" i="2" s="1"/>
  <c r="I62" i="2"/>
  <c r="J62" i="2" s="1"/>
  <c r="K62" i="2" s="1"/>
  <c r="L62" i="2" s="1"/>
  <c r="I63" i="2"/>
  <c r="J63" i="2" s="1"/>
  <c r="K63" i="2" s="1"/>
  <c r="L63" i="2" s="1"/>
  <c r="I65" i="2"/>
  <c r="J65" i="2" s="1"/>
  <c r="K65" i="2" s="1"/>
  <c r="L65" i="2" s="1"/>
  <c r="I66" i="2"/>
  <c r="J66" i="2"/>
  <c r="K66" i="2" s="1"/>
  <c r="L66" i="2" s="1"/>
  <c r="I68" i="2"/>
  <c r="J68" i="2" s="1"/>
  <c r="K68" i="2" s="1"/>
  <c r="L68" i="2" s="1"/>
  <c r="I69" i="2"/>
  <c r="J69" i="2" s="1"/>
  <c r="K69" i="2" s="1"/>
  <c r="L69" i="2" s="1"/>
  <c r="I71" i="2"/>
  <c r="J71" i="2" s="1"/>
  <c r="K71" i="2" s="1"/>
  <c r="L71" i="2" s="1"/>
  <c r="I72" i="2"/>
  <c r="J72" i="2"/>
  <c r="K72" i="2" s="1"/>
  <c r="L72" i="2" s="1"/>
  <c r="I74" i="2"/>
  <c r="J74" i="2"/>
  <c r="K74" i="2" s="1"/>
  <c r="L74" i="2" s="1"/>
  <c r="I75" i="2"/>
  <c r="J75" i="2" s="1"/>
  <c r="K75" i="2" s="1"/>
  <c r="L75" i="2" s="1"/>
  <c r="I77" i="2"/>
  <c r="J77" i="2"/>
  <c r="K77" i="2" s="1"/>
  <c r="L77" i="2" s="1"/>
  <c r="I78" i="2"/>
  <c r="J78" i="2" s="1"/>
  <c r="K78" i="2" s="1"/>
  <c r="L78" i="2" s="1"/>
  <c r="I80" i="2"/>
  <c r="J80" i="2"/>
  <c r="K80" i="2" s="1"/>
  <c r="L80" i="2" s="1"/>
  <c r="I81" i="2"/>
  <c r="J81" i="2" s="1"/>
  <c r="K81" i="2" s="1"/>
  <c r="L81" i="2" s="1"/>
  <c r="I83" i="2"/>
  <c r="J83" i="2" s="1"/>
  <c r="K83" i="2" s="1"/>
  <c r="L83" i="2" s="1"/>
  <c r="I84" i="2"/>
  <c r="J84" i="2" s="1"/>
  <c r="K84" i="2" s="1"/>
  <c r="L84" i="2" s="1"/>
  <c r="D3" i="2"/>
  <c r="E3" i="2" s="1"/>
  <c r="F3" i="2" s="1"/>
  <c r="G3" i="2" s="1"/>
  <c r="D5" i="2"/>
  <c r="E5" i="2" s="1"/>
  <c r="F5" i="2" s="1"/>
  <c r="G5" i="2" s="1"/>
  <c r="D6" i="2"/>
  <c r="E6" i="2"/>
  <c r="F6" i="2" s="1"/>
  <c r="G6" i="2" s="1"/>
  <c r="D8" i="2"/>
  <c r="E8" i="2"/>
  <c r="F8" i="2" s="1"/>
  <c r="G8" i="2" s="1"/>
  <c r="D9" i="2"/>
  <c r="E9" i="2" s="1"/>
  <c r="F9" i="2" s="1"/>
  <c r="G9" i="2" s="1"/>
  <c r="D11" i="2"/>
  <c r="E11" i="2" s="1"/>
  <c r="F11" i="2" s="1"/>
  <c r="G11" i="2" s="1"/>
  <c r="D12" i="2"/>
  <c r="E12" i="2"/>
  <c r="F12" i="2" s="1"/>
  <c r="G12" i="2" s="1"/>
  <c r="D14" i="2"/>
  <c r="E14" i="2" s="1"/>
  <c r="F14" i="2" s="1"/>
  <c r="G14" i="2" s="1"/>
  <c r="D15" i="2"/>
  <c r="E15" i="2" s="1"/>
  <c r="F15" i="2" s="1"/>
  <c r="G15" i="2" s="1"/>
  <c r="D17" i="2"/>
  <c r="E17" i="2" s="1"/>
  <c r="F17" i="2" s="1"/>
  <c r="G17" i="2" s="1"/>
  <c r="D18" i="2"/>
  <c r="E18" i="2" s="1"/>
  <c r="F18" i="2" s="1"/>
  <c r="G18" i="2" s="1"/>
  <c r="D20" i="2"/>
  <c r="E20" i="2" s="1"/>
  <c r="F20" i="2" s="1"/>
  <c r="G20" i="2" s="1"/>
  <c r="D21" i="2"/>
  <c r="E21" i="2" s="1"/>
  <c r="F21" i="2" s="1"/>
  <c r="G21" i="2" s="1"/>
  <c r="D23" i="2"/>
  <c r="E23" i="2" s="1"/>
  <c r="F23" i="2" s="1"/>
  <c r="G23" i="2" s="1"/>
  <c r="D24" i="2"/>
  <c r="E24" i="2" s="1"/>
  <c r="F24" i="2" s="1"/>
  <c r="G24" i="2" s="1"/>
  <c r="D26" i="2"/>
  <c r="E26" i="2" s="1"/>
  <c r="F26" i="2" s="1"/>
  <c r="G26" i="2" s="1"/>
  <c r="D27" i="2"/>
  <c r="E27" i="2" s="1"/>
  <c r="F27" i="2" s="1"/>
  <c r="G27" i="2" s="1"/>
  <c r="D29" i="2"/>
  <c r="E29" i="2" s="1"/>
  <c r="F29" i="2" s="1"/>
  <c r="G29" i="2" s="1"/>
  <c r="D30" i="2"/>
  <c r="E30" i="2" s="1"/>
  <c r="F30" i="2" s="1"/>
  <c r="G30" i="2" s="1"/>
  <c r="D32" i="2"/>
  <c r="E32" i="2" s="1"/>
  <c r="F32" i="2" s="1"/>
  <c r="G32" i="2" s="1"/>
  <c r="D33" i="2"/>
  <c r="E33" i="2" s="1"/>
  <c r="F33" i="2" s="1"/>
  <c r="G33" i="2" s="1"/>
  <c r="D35" i="2"/>
  <c r="E35" i="2" s="1"/>
  <c r="F35" i="2" s="1"/>
  <c r="G35" i="2" s="1"/>
  <c r="D36" i="2"/>
  <c r="E36" i="2" s="1"/>
  <c r="F36" i="2" s="1"/>
  <c r="G36" i="2" s="1"/>
  <c r="D38" i="2"/>
  <c r="E38" i="2"/>
  <c r="F38" i="2" s="1"/>
  <c r="G38" i="2" s="1"/>
  <c r="D39" i="2"/>
  <c r="E39" i="2" s="1"/>
  <c r="F39" i="2" s="1"/>
  <c r="G39" i="2" s="1"/>
  <c r="D41" i="2"/>
  <c r="E41" i="2" s="1"/>
  <c r="F41" i="2" s="1"/>
  <c r="G41" i="2" s="1"/>
  <c r="D42" i="2"/>
  <c r="E42" i="2"/>
  <c r="F42" i="2" s="1"/>
  <c r="G42" i="2" s="1"/>
  <c r="D44" i="2"/>
  <c r="E44" i="2"/>
  <c r="F44" i="2" s="1"/>
  <c r="G44" i="2" s="1"/>
  <c r="D45" i="2"/>
  <c r="E45" i="2" s="1"/>
  <c r="F45" i="2" s="1"/>
  <c r="G45" i="2" s="1"/>
  <c r="D47" i="2"/>
  <c r="E47" i="2" s="1"/>
  <c r="F47" i="2" s="1"/>
  <c r="G47" i="2" s="1"/>
  <c r="D48" i="2"/>
  <c r="E48" i="2"/>
  <c r="F48" i="2" s="1"/>
  <c r="G48" i="2" s="1"/>
  <c r="D50" i="2"/>
  <c r="E50" i="2" s="1"/>
  <c r="F50" i="2" s="1"/>
  <c r="G50" i="2" s="1"/>
  <c r="D51" i="2"/>
  <c r="E51" i="2" s="1"/>
  <c r="F51" i="2" s="1"/>
  <c r="G51" i="2" s="1"/>
  <c r="D53" i="2"/>
  <c r="E53" i="2" s="1"/>
  <c r="F53" i="2" s="1"/>
  <c r="G53" i="2" s="1"/>
  <c r="D54" i="2"/>
  <c r="E54" i="2" s="1"/>
  <c r="F54" i="2" s="1"/>
  <c r="G54" i="2" s="1"/>
  <c r="D56" i="2"/>
  <c r="E56" i="2" s="1"/>
  <c r="F56" i="2" s="1"/>
  <c r="G56" i="2" s="1"/>
  <c r="D57" i="2"/>
  <c r="E57" i="2" s="1"/>
  <c r="F57" i="2" s="1"/>
  <c r="G57" i="2" s="1"/>
  <c r="D59" i="2"/>
  <c r="E59" i="2" s="1"/>
  <c r="F59" i="2" s="1"/>
  <c r="G59" i="2" s="1"/>
  <c r="D60" i="2"/>
  <c r="E60" i="2" s="1"/>
  <c r="F60" i="2" s="1"/>
  <c r="G60" i="2" s="1"/>
  <c r="D62" i="2"/>
  <c r="E62" i="2"/>
  <c r="F62" i="2" s="1"/>
  <c r="G62" i="2" s="1"/>
  <c r="D63" i="2"/>
  <c r="E63" i="2" s="1"/>
  <c r="F63" i="2" s="1"/>
  <c r="G63" i="2" s="1"/>
  <c r="D65" i="2"/>
  <c r="E65" i="2" s="1"/>
  <c r="F65" i="2" s="1"/>
  <c r="G65" i="2" s="1"/>
  <c r="D66" i="2"/>
  <c r="E66" i="2" s="1"/>
  <c r="F66" i="2" s="1"/>
  <c r="G66" i="2" s="1"/>
  <c r="D68" i="2"/>
  <c r="E68" i="2"/>
  <c r="F68" i="2" s="1"/>
  <c r="G68" i="2" s="1"/>
  <c r="D69" i="2"/>
  <c r="E69" i="2" s="1"/>
  <c r="F69" i="2" s="1"/>
  <c r="G69" i="2" s="1"/>
  <c r="D71" i="2"/>
  <c r="E71" i="2" s="1"/>
  <c r="F71" i="2" s="1"/>
  <c r="G71" i="2" s="1"/>
  <c r="D72" i="2"/>
  <c r="E72" i="2" s="1"/>
  <c r="F72" i="2" s="1"/>
  <c r="G72" i="2" s="1"/>
  <c r="D74" i="2"/>
  <c r="E74" i="2" s="1"/>
  <c r="F74" i="2" s="1"/>
  <c r="G74" i="2" s="1"/>
  <c r="D75" i="2"/>
  <c r="E75" i="2" s="1"/>
  <c r="F75" i="2" s="1"/>
  <c r="G75" i="2" s="1"/>
  <c r="D77" i="2"/>
  <c r="E77" i="2" s="1"/>
  <c r="F77" i="2" s="1"/>
  <c r="G77" i="2" s="1"/>
  <c r="D78" i="2"/>
  <c r="E78" i="2"/>
  <c r="F78" i="2" s="1"/>
  <c r="G78" i="2" s="1"/>
  <c r="D80" i="2"/>
  <c r="E80" i="2" s="1"/>
  <c r="F80" i="2" s="1"/>
  <c r="G80" i="2" s="1"/>
  <c r="D81" i="2"/>
  <c r="E81" i="2" s="1"/>
  <c r="F81" i="2" s="1"/>
  <c r="G81" i="2" s="1"/>
  <c r="D83" i="2"/>
  <c r="E83" i="2" s="1"/>
  <c r="F83" i="2" s="1"/>
  <c r="G83" i="2" s="1"/>
  <c r="D84" i="2"/>
  <c r="E84" i="2"/>
  <c r="F84" i="2" s="1"/>
  <c r="G84" i="2" s="1"/>
  <c r="D85" i="2"/>
  <c r="E85" i="2" s="1"/>
  <c r="F85" i="2" s="1"/>
  <c r="G85" i="2" s="1"/>
  <c r="AC3" i="2"/>
  <c r="AD3" i="2" s="1"/>
  <c r="AE3" i="2" s="1"/>
  <c r="AF3" i="2" s="1"/>
  <c r="AC5" i="2"/>
  <c r="AD5" i="2" s="1"/>
  <c r="AE5" i="2" s="1"/>
  <c r="AF5" i="2" s="1"/>
  <c r="AC6" i="2"/>
  <c r="AD6" i="2" s="1"/>
  <c r="AE6" i="2" s="1"/>
  <c r="AF6" i="2" s="1"/>
  <c r="AC8" i="2"/>
  <c r="AD8" i="2" s="1"/>
  <c r="AE8" i="2" s="1"/>
  <c r="AF8" i="2" s="1"/>
  <c r="AC9" i="2"/>
  <c r="AD9" i="2" s="1"/>
  <c r="AE9" i="2" s="1"/>
  <c r="AF9" i="2" s="1"/>
  <c r="AC11" i="2"/>
  <c r="AD11" i="2" s="1"/>
  <c r="AE11" i="2" s="1"/>
  <c r="AF11" i="2" s="1"/>
  <c r="AC12" i="2"/>
  <c r="AD12" i="2" s="1"/>
  <c r="AE12" i="2" s="1"/>
  <c r="AF12" i="2" s="1"/>
  <c r="AC14" i="2"/>
  <c r="AD14" i="2" s="1"/>
  <c r="AE14" i="2" s="1"/>
  <c r="AF14" i="2" s="1"/>
  <c r="AC15" i="2"/>
  <c r="AD15" i="2" s="1"/>
  <c r="AE15" i="2" s="1"/>
  <c r="AF15" i="2" s="1"/>
  <c r="AC17" i="2"/>
  <c r="AD17" i="2" s="1"/>
  <c r="AE17" i="2" s="1"/>
  <c r="AF17" i="2" s="1"/>
  <c r="AC18" i="2"/>
  <c r="AD18" i="2" s="1"/>
  <c r="AE18" i="2" s="1"/>
  <c r="AF18" i="2" s="1"/>
  <c r="AC20" i="2"/>
  <c r="AD20" i="2" s="1"/>
  <c r="AE20" i="2" s="1"/>
  <c r="AF20" i="2" s="1"/>
  <c r="AC21" i="2"/>
  <c r="AD21" i="2" s="1"/>
  <c r="AE21" i="2" s="1"/>
  <c r="AF21" i="2" s="1"/>
  <c r="AC23" i="2"/>
  <c r="AD23" i="2" s="1"/>
  <c r="AE23" i="2" s="1"/>
  <c r="AF23" i="2" s="1"/>
  <c r="AC24" i="2"/>
  <c r="AD24" i="2" s="1"/>
  <c r="AE24" i="2" s="1"/>
  <c r="AF24" i="2" s="1"/>
  <c r="AC26" i="2"/>
  <c r="AD26" i="2" s="1"/>
  <c r="AE26" i="2" s="1"/>
  <c r="AF26" i="2" s="1"/>
  <c r="AC27" i="2"/>
  <c r="AD27" i="2"/>
  <c r="AE27" i="2" s="1"/>
  <c r="AF27" i="2" s="1"/>
  <c r="AC29" i="2"/>
  <c r="AD29" i="2" s="1"/>
  <c r="AE29" i="2" s="1"/>
  <c r="AF29" i="2" s="1"/>
  <c r="AC30" i="2"/>
  <c r="AD30" i="2" s="1"/>
  <c r="AE30" i="2" s="1"/>
  <c r="AF30" i="2" s="1"/>
  <c r="AC32" i="2"/>
  <c r="AD32" i="2" s="1"/>
  <c r="AE32" i="2" s="1"/>
  <c r="AF32" i="2" s="1"/>
  <c r="AC33" i="2"/>
  <c r="AD33" i="2" s="1"/>
  <c r="AE33" i="2" s="1"/>
  <c r="AF33" i="2" s="1"/>
  <c r="AC35" i="2"/>
  <c r="AD35" i="2"/>
  <c r="AE35" i="2" s="1"/>
  <c r="AF35" i="2" s="1"/>
  <c r="AC36" i="2"/>
  <c r="AD36" i="2" s="1"/>
  <c r="AE36" i="2" s="1"/>
  <c r="AF36" i="2" s="1"/>
  <c r="AC38" i="2"/>
  <c r="AD38" i="2" s="1"/>
  <c r="AE38" i="2" s="1"/>
  <c r="AF38" i="2" s="1"/>
  <c r="AC39" i="2"/>
  <c r="AD39" i="2" s="1"/>
  <c r="AE39" i="2" s="1"/>
  <c r="AF39" i="2" s="1"/>
  <c r="AC41" i="2"/>
  <c r="AD41" i="2" s="1"/>
  <c r="AE41" i="2" s="1"/>
  <c r="AF41" i="2" s="1"/>
  <c r="AC42" i="2"/>
  <c r="AD42" i="2"/>
  <c r="AE42" i="2" s="1"/>
  <c r="AF42" i="2" s="1"/>
  <c r="AC44" i="2"/>
  <c r="AD44" i="2"/>
  <c r="AE44" i="2" s="1"/>
  <c r="AF44" i="2" s="1"/>
  <c r="AC45" i="2"/>
  <c r="AD45" i="2" s="1"/>
  <c r="AE45" i="2" s="1"/>
  <c r="AF45" i="2" s="1"/>
  <c r="AC47" i="2"/>
  <c r="AD47" i="2" s="1"/>
  <c r="AE47" i="2" s="1"/>
  <c r="AF47" i="2" s="1"/>
  <c r="AC48" i="2"/>
  <c r="AD48" i="2"/>
  <c r="AE48" i="2" s="1"/>
  <c r="AF48" i="2" s="1"/>
  <c r="AC50" i="2"/>
  <c r="AD50" i="2" s="1"/>
  <c r="AE50" i="2" s="1"/>
  <c r="AF50" i="2" s="1"/>
  <c r="AC51" i="2"/>
  <c r="AD51" i="2" s="1"/>
  <c r="AE51" i="2" s="1"/>
  <c r="AF51" i="2" s="1"/>
  <c r="AC53" i="2"/>
  <c r="AD53" i="2" s="1"/>
  <c r="AE53" i="2" s="1"/>
  <c r="AF53" i="2" s="1"/>
  <c r="AC54" i="2"/>
  <c r="AD54" i="2" s="1"/>
  <c r="AE54" i="2" s="1"/>
  <c r="AF54" i="2" s="1"/>
  <c r="AC56" i="2"/>
  <c r="AD56" i="2"/>
  <c r="AE56" i="2" s="1"/>
  <c r="AF56" i="2" s="1"/>
  <c r="AC57" i="2"/>
  <c r="AD57" i="2" s="1"/>
  <c r="AE57" i="2" s="1"/>
  <c r="AF57" i="2" s="1"/>
  <c r="AC59" i="2"/>
  <c r="AD59" i="2" s="1"/>
  <c r="AE59" i="2" s="1"/>
  <c r="AF59" i="2" s="1"/>
  <c r="AC60" i="2"/>
  <c r="AD60" i="2"/>
  <c r="AE60" i="2" s="1"/>
  <c r="AF60" i="2" s="1"/>
  <c r="AC62" i="2"/>
  <c r="AD62" i="2" s="1"/>
  <c r="AE62" i="2" s="1"/>
  <c r="AF62" i="2" s="1"/>
  <c r="AC63" i="2"/>
  <c r="AD63" i="2"/>
  <c r="AE63" i="2" s="1"/>
  <c r="AF63" i="2" s="1"/>
  <c r="AC65" i="2"/>
  <c r="AD65" i="2" s="1"/>
  <c r="AE65" i="2" s="1"/>
  <c r="AF65" i="2" s="1"/>
  <c r="AC66" i="2"/>
  <c r="AD66" i="2"/>
  <c r="AE66" i="2" s="1"/>
  <c r="AF66" i="2" s="1"/>
  <c r="AC68" i="2"/>
  <c r="AD68" i="2" s="1"/>
  <c r="AE68" i="2" s="1"/>
  <c r="AF68" i="2" s="1"/>
  <c r="AC69" i="2"/>
  <c r="AD69" i="2" s="1"/>
  <c r="AE69" i="2" s="1"/>
  <c r="AF69" i="2" s="1"/>
  <c r="AC70" i="2"/>
  <c r="AD70" i="2" s="1"/>
  <c r="AE70" i="2" s="1"/>
  <c r="AF70" i="2" s="1"/>
  <c r="AC71" i="2"/>
  <c r="AD71" i="2" s="1"/>
  <c r="AE71" i="2" s="1"/>
  <c r="AF71" i="2" s="1"/>
  <c r="AC72" i="2"/>
  <c r="AD72" i="2"/>
  <c r="AE72" i="2" s="1"/>
  <c r="AF72" i="2" s="1"/>
  <c r="AC74" i="2"/>
  <c r="AD74" i="2" s="1"/>
  <c r="AE74" i="2" s="1"/>
  <c r="AF74" i="2" s="1"/>
  <c r="AC75" i="2"/>
  <c r="AD75" i="2" s="1"/>
  <c r="AE75" i="2" s="1"/>
  <c r="AF75" i="2" s="1"/>
  <c r="AC77" i="2"/>
  <c r="AD77" i="2" s="1"/>
  <c r="AE77" i="2" s="1"/>
  <c r="AF77" i="2" s="1"/>
  <c r="AC78" i="2"/>
  <c r="AD78" i="2" s="1"/>
  <c r="AE78" i="2" s="1"/>
  <c r="AF78" i="2" s="1"/>
  <c r="AC80" i="2"/>
  <c r="AD80" i="2" s="1"/>
  <c r="AE80" i="2" s="1"/>
  <c r="AF80" i="2" s="1"/>
  <c r="AC81" i="2"/>
  <c r="AD81" i="2" s="1"/>
  <c r="AE81" i="2" s="1"/>
  <c r="AF81" i="2" s="1"/>
  <c r="AC83" i="2"/>
  <c r="AD83" i="2" s="1"/>
  <c r="AE83" i="2" s="1"/>
  <c r="AF83" i="2" s="1"/>
  <c r="AC84" i="2"/>
  <c r="AD84" i="2" s="1"/>
  <c r="AE84" i="2" s="1"/>
  <c r="AF84" i="2" s="1"/>
  <c r="AC2" i="2"/>
  <c r="AD2" i="2" s="1"/>
  <c r="AE2" i="2" s="1"/>
  <c r="AF2" i="2" s="1"/>
  <c r="X2" i="2"/>
  <c r="Y2" i="2" s="1"/>
  <c r="Z2" i="2" s="1"/>
  <c r="AA2" i="2" s="1"/>
  <c r="T2" i="2"/>
  <c r="U2" i="2" s="1"/>
  <c r="V2" i="2" s="1"/>
  <c r="S2" i="2"/>
  <c r="N2" i="2"/>
  <c r="O2" i="2" s="1"/>
  <c r="P2" i="2" s="1"/>
  <c r="Q2" i="2" s="1"/>
  <c r="J2" i="2"/>
  <c r="K2" i="2" s="1"/>
  <c r="L2" i="2" s="1"/>
  <c r="I2" i="2"/>
  <c r="D2" i="2"/>
  <c r="E2" i="2" s="1"/>
  <c r="F2" i="2" s="1"/>
  <c r="G2" i="2" s="1"/>
  <c r="AG85" i="2"/>
  <c r="AC85" i="2" s="1"/>
  <c r="AD85" i="2" s="1"/>
  <c r="AE85" i="2" s="1"/>
  <c r="AF85" i="2" s="1"/>
  <c r="AB85" i="2"/>
  <c r="W85" i="2"/>
  <c r="X85" i="2" s="1"/>
  <c r="Y85" i="2" s="1"/>
  <c r="Z85" i="2" s="1"/>
  <c r="AA85" i="2" s="1"/>
  <c r="R85" i="2"/>
  <c r="S85" i="2" s="1"/>
  <c r="T85" i="2" s="1"/>
  <c r="U85" i="2" s="1"/>
  <c r="V85" i="2" s="1"/>
  <c r="M85" i="2"/>
  <c r="N85" i="2" s="1"/>
  <c r="O85" i="2" s="1"/>
  <c r="P85" i="2" s="1"/>
  <c r="Q85" i="2" s="1"/>
  <c r="H85" i="2"/>
  <c r="I85" i="2" s="1"/>
  <c r="J85" i="2" s="1"/>
  <c r="K85" i="2" s="1"/>
  <c r="L85" i="2" s="1"/>
  <c r="C85" i="2"/>
  <c r="A85" i="2"/>
  <c r="AG82" i="2"/>
  <c r="AB82" i="2"/>
  <c r="AC82" i="2" s="1"/>
  <c r="AD82" i="2" s="1"/>
  <c r="AE82" i="2" s="1"/>
  <c r="AF82" i="2" s="1"/>
  <c r="W82" i="2"/>
  <c r="X82" i="2" s="1"/>
  <c r="Y82" i="2" s="1"/>
  <c r="Z82" i="2" s="1"/>
  <c r="AA82" i="2" s="1"/>
  <c r="R82" i="2"/>
  <c r="M82" i="2"/>
  <c r="N82" i="2" s="1"/>
  <c r="O82" i="2" s="1"/>
  <c r="P82" i="2" s="1"/>
  <c r="Q82" i="2" s="1"/>
  <c r="H82" i="2"/>
  <c r="I82" i="2" s="1"/>
  <c r="J82" i="2" s="1"/>
  <c r="K82" i="2" s="1"/>
  <c r="L82" i="2" s="1"/>
  <c r="C82" i="2"/>
  <c r="A82" i="2"/>
  <c r="AG79" i="2"/>
  <c r="AB79" i="2"/>
  <c r="AC79" i="2" s="1"/>
  <c r="AD79" i="2" s="1"/>
  <c r="AE79" i="2" s="1"/>
  <c r="AF79" i="2" s="1"/>
  <c r="W79" i="2"/>
  <c r="X79" i="2" s="1"/>
  <c r="Y79" i="2" s="1"/>
  <c r="Z79" i="2" s="1"/>
  <c r="AA79" i="2" s="1"/>
  <c r="R79" i="2"/>
  <c r="M79" i="2"/>
  <c r="N79" i="2" s="1"/>
  <c r="O79" i="2" s="1"/>
  <c r="P79" i="2" s="1"/>
  <c r="Q79" i="2" s="1"/>
  <c r="H79" i="2"/>
  <c r="C79" i="2"/>
  <c r="A79" i="2"/>
  <c r="AG76" i="2"/>
  <c r="AB76" i="2"/>
  <c r="AC76" i="2" s="1"/>
  <c r="AD76" i="2" s="1"/>
  <c r="AE76" i="2" s="1"/>
  <c r="AF76" i="2" s="1"/>
  <c r="W76" i="2"/>
  <c r="X76" i="2" s="1"/>
  <c r="Y76" i="2" s="1"/>
  <c r="Z76" i="2" s="1"/>
  <c r="AA76" i="2" s="1"/>
  <c r="R76" i="2"/>
  <c r="S76" i="2" s="1"/>
  <c r="T76" i="2" s="1"/>
  <c r="U76" i="2" s="1"/>
  <c r="V76" i="2" s="1"/>
  <c r="M76" i="2"/>
  <c r="N76" i="2" s="1"/>
  <c r="O76" i="2" s="1"/>
  <c r="P76" i="2" s="1"/>
  <c r="Q76" i="2" s="1"/>
  <c r="H76" i="2"/>
  <c r="C76" i="2"/>
  <c r="A76" i="2"/>
  <c r="AG73" i="2"/>
  <c r="AB73" i="2"/>
  <c r="AC73" i="2" s="1"/>
  <c r="AD73" i="2" s="1"/>
  <c r="AE73" i="2" s="1"/>
  <c r="AF73" i="2" s="1"/>
  <c r="W73" i="2"/>
  <c r="X73" i="2" s="1"/>
  <c r="Y73" i="2" s="1"/>
  <c r="Z73" i="2" s="1"/>
  <c r="AA73" i="2" s="1"/>
  <c r="R73" i="2"/>
  <c r="S73" i="2" s="1"/>
  <c r="T73" i="2" s="1"/>
  <c r="U73" i="2" s="1"/>
  <c r="V73" i="2" s="1"/>
  <c r="M73" i="2"/>
  <c r="N73" i="2" s="1"/>
  <c r="O73" i="2" s="1"/>
  <c r="P73" i="2" s="1"/>
  <c r="Q73" i="2" s="1"/>
  <c r="H73" i="2"/>
  <c r="I73" i="2" s="1"/>
  <c r="J73" i="2" s="1"/>
  <c r="K73" i="2" s="1"/>
  <c r="L73" i="2" s="1"/>
  <c r="C73" i="2"/>
  <c r="D73" i="2" s="1"/>
  <c r="E73" i="2" s="1"/>
  <c r="F73" i="2" s="1"/>
  <c r="G73" i="2" s="1"/>
  <c r="A73" i="2"/>
  <c r="AG70" i="2"/>
  <c r="AB70" i="2"/>
  <c r="W70" i="2"/>
  <c r="X70" i="2" s="1"/>
  <c r="Y70" i="2" s="1"/>
  <c r="Z70" i="2" s="1"/>
  <c r="AA70" i="2" s="1"/>
  <c r="R70" i="2"/>
  <c r="M70" i="2"/>
  <c r="N70" i="2" s="1"/>
  <c r="O70" i="2" s="1"/>
  <c r="P70" i="2" s="1"/>
  <c r="Q70" i="2" s="1"/>
  <c r="H70" i="2"/>
  <c r="I70" i="2" s="1"/>
  <c r="J70" i="2" s="1"/>
  <c r="K70" i="2" s="1"/>
  <c r="L70" i="2" s="1"/>
  <c r="C70" i="2"/>
  <c r="A70" i="2"/>
  <c r="AG67" i="2"/>
  <c r="AB67" i="2"/>
  <c r="W67" i="2"/>
  <c r="X67" i="2" s="1"/>
  <c r="Y67" i="2" s="1"/>
  <c r="Z67" i="2" s="1"/>
  <c r="AA67" i="2" s="1"/>
  <c r="R67" i="2"/>
  <c r="M67" i="2"/>
  <c r="N67" i="2" s="1"/>
  <c r="O67" i="2" s="1"/>
  <c r="P67" i="2" s="1"/>
  <c r="Q67" i="2" s="1"/>
  <c r="H67" i="2"/>
  <c r="I67" i="2" s="1"/>
  <c r="J67" i="2" s="1"/>
  <c r="K67" i="2" s="1"/>
  <c r="L67" i="2" s="1"/>
  <c r="C67" i="2"/>
  <c r="A67" i="2"/>
  <c r="AG64" i="2"/>
  <c r="AB64" i="2"/>
  <c r="W64" i="2"/>
  <c r="X64" i="2" s="1"/>
  <c r="Y64" i="2" s="1"/>
  <c r="Z64" i="2" s="1"/>
  <c r="AA64" i="2" s="1"/>
  <c r="R64" i="2"/>
  <c r="M64" i="2"/>
  <c r="N64" i="2" s="1"/>
  <c r="O64" i="2" s="1"/>
  <c r="P64" i="2" s="1"/>
  <c r="Q64" i="2" s="1"/>
  <c r="H64" i="2"/>
  <c r="I64" i="2" s="1"/>
  <c r="J64" i="2" s="1"/>
  <c r="K64" i="2" s="1"/>
  <c r="L64" i="2" s="1"/>
  <c r="C64" i="2"/>
  <c r="A64" i="2"/>
  <c r="AG61" i="2"/>
  <c r="AB61" i="2"/>
  <c r="AC61" i="2" s="1"/>
  <c r="AD61" i="2" s="1"/>
  <c r="AE61" i="2" s="1"/>
  <c r="AF61" i="2" s="1"/>
  <c r="W61" i="2"/>
  <c r="X61" i="2" s="1"/>
  <c r="Y61" i="2" s="1"/>
  <c r="Z61" i="2" s="1"/>
  <c r="AA61" i="2" s="1"/>
  <c r="R61" i="2"/>
  <c r="S61" i="2" s="1"/>
  <c r="T61" i="2" s="1"/>
  <c r="U61" i="2" s="1"/>
  <c r="V61" i="2" s="1"/>
  <c r="M61" i="2"/>
  <c r="N61" i="2" s="1"/>
  <c r="O61" i="2" s="1"/>
  <c r="P61" i="2" s="1"/>
  <c r="Q61" i="2" s="1"/>
  <c r="H61" i="2"/>
  <c r="I61" i="2" s="1"/>
  <c r="J61" i="2" s="1"/>
  <c r="K61" i="2" s="1"/>
  <c r="L61" i="2" s="1"/>
  <c r="C61" i="2"/>
  <c r="D61" i="2" s="1"/>
  <c r="E61" i="2" s="1"/>
  <c r="F61" i="2" s="1"/>
  <c r="G61" i="2" s="1"/>
  <c r="A61" i="2"/>
  <c r="AG58" i="2"/>
  <c r="AB58" i="2"/>
  <c r="AC58" i="2" s="1"/>
  <c r="AD58" i="2" s="1"/>
  <c r="AE58" i="2" s="1"/>
  <c r="AF58" i="2" s="1"/>
  <c r="W58" i="2"/>
  <c r="X58" i="2" s="1"/>
  <c r="Y58" i="2" s="1"/>
  <c r="Z58" i="2" s="1"/>
  <c r="AA58" i="2" s="1"/>
  <c r="R58" i="2"/>
  <c r="M58" i="2"/>
  <c r="H58" i="2"/>
  <c r="C58" i="2"/>
  <c r="A58" i="2"/>
  <c r="AG55" i="2"/>
  <c r="AB55" i="2"/>
  <c r="AC55" i="2" s="1"/>
  <c r="AD55" i="2" s="1"/>
  <c r="AE55" i="2" s="1"/>
  <c r="AF55" i="2" s="1"/>
  <c r="W55" i="2"/>
  <c r="X55" i="2" s="1"/>
  <c r="Y55" i="2" s="1"/>
  <c r="Z55" i="2" s="1"/>
  <c r="AA55" i="2" s="1"/>
  <c r="R55" i="2"/>
  <c r="M55" i="2"/>
  <c r="N55" i="2" s="1"/>
  <c r="O55" i="2" s="1"/>
  <c r="P55" i="2" s="1"/>
  <c r="Q55" i="2" s="1"/>
  <c r="H55" i="2"/>
  <c r="I55" i="2" s="1"/>
  <c r="J55" i="2" s="1"/>
  <c r="K55" i="2" s="1"/>
  <c r="L55" i="2" s="1"/>
  <c r="C55" i="2"/>
  <c r="A55" i="2"/>
  <c r="AG52" i="2"/>
  <c r="AB52" i="2"/>
  <c r="AC52" i="2" s="1"/>
  <c r="AD52" i="2" s="1"/>
  <c r="AE52" i="2" s="1"/>
  <c r="AF52" i="2" s="1"/>
  <c r="W52" i="2"/>
  <c r="X52" i="2" s="1"/>
  <c r="Y52" i="2" s="1"/>
  <c r="Z52" i="2" s="1"/>
  <c r="AA52" i="2" s="1"/>
  <c r="R52" i="2"/>
  <c r="S52" i="2" s="1"/>
  <c r="T52" i="2" s="1"/>
  <c r="U52" i="2" s="1"/>
  <c r="V52" i="2" s="1"/>
  <c r="M52" i="2"/>
  <c r="N52" i="2" s="1"/>
  <c r="O52" i="2" s="1"/>
  <c r="P52" i="2" s="1"/>
  <c r="Q52" i="2" s="1"/>
  <c r="H52" i="2"/>
  <c r="I52" i="2" s="1"/>
  <c r="J52" i="2" s="1"/>
  <c r="K52" i="2" s="1"/>
  <c r="L52" i="2" s="1"/>
  <c r="C52" i="2"/>
  <c r="A52" i="2"/>
  <c r="AG49" i="2"/>
  <c r="AB49" i="2"/>
  <c r="W49" i="2"/>
  <c r="X49" i="2" s="1"/>
  <c r="Y49" i="2" s="1"/>
  <c r="Z49" i="2" s="1"/>
  <c r="AA49" i="2" s="1"/>
  <c r="R49" i="2"/>
  <c r="S49" i="2" s="1"/>
  <c r="T49" i="2" s="1"/>
  <c r="U49" i="2" s="1"/>
  <c r="V49" i="2" s="1"/>
  <c r="M49" i="2"/>
  <c r="N49" i="2" s="1"/>
  <c r="O49" i="2" s="1"/>
  <c r="P49" i="2" s="1"/>
  <c r="Q49" i="2" s="1"/>
  <c r="H49" i="2"/>
  <c r="I49" i="2" s="1"/>
  <c r="J49" i="2" s="1"/>
  <c r="K49" i="2" s="1"/>
  <c r="L49" i="2" s="1"/>
  <c r="C49" i="2"/>
  <c r="D49" i="2" s="1"/>
  <c r="E49" i="2" s="1"/>
  <c r="F49" i="2" s="1"/>
  <c r="G49" i="2" s="1"/>
  <c r="A49" i="2"/>
  <c r="AG46" i="2"/>
  <c r="AB46" i="2"/>
  <c r="W46" i="2"/>
  <c r="X46" i="2" s="1"/>
  <c r="Y46" i="2" s="1"/>
  <c r="Z46" i="2" s="1"/>
  <c r="AA46" i="2" s="1"/>
  <c r="R46" i="2"/>
  <c r="M46" i="2"/>
  <c r="N46" i="2" s="1"/>
  <c r="O46" i="2" s="1"/>
  <c r="P46" i="2" s="1"/>
  <c r="Q46" i="2" s="1"/>
  <c r="H46" i="2"/>
  <c r="I46" i="2" s="1"/>
  <c r="J46" i="2" s="1"/>
  <c r="K46" i="2" s="1"/>
  <c r="L46" i="2" s="1"/>
  <c r="C46" i="2"/>
  <c r="A46" i="2"/>
  <c r="AG43" i="2"/>
  <c r="AB43" i="2"/>
  <c r="W43" i="2"/>
  <c r="X43" i="2" s="1"/>
  <c r="Y43" i="2" s="1"/>
  <c r="Z43" i="2" s="1"/>
  <c r="AA43" i="2" s="1"/>
  <c r="R43" i="2"/>
  <c r="M43" i="2"/>
  <c r="N43" i="2" s="1"/>
  <c r="O43" i="2" s="1"/>
  <c r="P43" i="2" s="1"/>
  <c r="Q43" i="2" s="1"/>
  <c r="H43" i="2"/>
  <c r="C43" i="2"/>
  <c r="A43" i="2"/>
  <c r="AG40" i="2"/>
  <c r="AB40" i="2"/>
  <c r="W40" i="2"/>
  <c r="X40" i="2" s="1"/>
  <c r="Y40" i="2" s="1"/>
  <c r="Z40" i="2" s="1"/>
  <c r="AA40" i="2" s="1"/>
  <c r="R40" i="2"/>
  <c r="S40" i="2" s="1"/>
  <c r="T40" i="2" s="1"/>
  <c r="U40" i="2" s="1"/>
  <c r="V40" i="2" s="1"/>
  <c r="M40" i="2"/>
  <c r="N40" i="2" s="1"/>
  <c r="O40" i="2" s="1"/>
  <c r="P40" i="2" s="1"/>
  <c r="Q40" i="2" s="1"/>
  <c r="H40" i="2"/>
  <c r="C40" i="2"/>
  <c r="A40" i="2"/>
  <c r="AG37" i="2"/>
  <c r="AB37" i="2"/>
  <c r="W37" i="2"/>
  <c r="X37" i="2" s="1"/>
  <c r="Y37" i="2" s="1"/>
  <c r="Z37" i="2" s="1"/>
  <c r="AA37" i="2" s="1"/>
  <c r="R37" i="2"/>
  <c r="S37" i="2" s="1"/>
  <c r="T37" i="2" s="1"/>
  <c r="U37" i="2" s="1"/>
  <c r="V37" i="2" s="1"/>
  <c r="M37" i="2"/>
  <c r="N37" i="2" s="1"/>
  <c r="O37" i="2" s="1"/>
  <c r="P37" i="2" s="1"/>
  <c r="Q37" i="2" s="1"/>
  <c r="H37" i="2"/>
  <c r="I37" i="2" s="1"/>
  <c r="J37" i="2" s="1"/>
  <c r="K37" i="2" s="1"/>
  <c r="L37" i="2" s="1"/>
  <c r="C37" i="2"/>
  <c r="D37" i="2" s="1"/>
  <c r="E37" i="2" s="1"/>
  <c r="F37" i="2" s="1"/>
  <c r="G37" i="2" s="1"/>
  <c r="A37" i="2"/>
  <c r="AG34" i="2"/>
  <c r="AB34" i="2"/>
  <c r="W34" i="2"/>
  <c r="X34" i="2" s="1"/>
  <c r="Y34" i="2" s="1"/>
  <c r="Z34" i="2" s="1"/>
  <c r="AA34" i="2" s="1"/>
  <c r="R34" i="2"/>
  <c r="M34" i="2"/>
  <c r="N34" i="2" s="1"/>
  <c r="O34" i="2" s="1"/>
  <c r="P34" i="2" s="1"/>
  <c r="Q34" i="2" s="1"/>
  <c r="H34" i="2"/>
  <c r="I34" i="2" s="1"/>
  <c r="J34" i="2" s="1"/>
  <c r="K34" i="2" s="1"/>
  <c r="L34" i="2" s="1"/>
  <c r="C34" i="2"/>
  <c r="A34" i="2"/>
  <c r="AG31" i="2"/>
  <c r="AB31" i="2"/>
  <c r="AC31" i="2" s="1"/>
  <c r="AD31" i="2" s="1"/>
  <c r="AE31" i="2" s="1"/>
  <c r="AF31" i="2" s="1"/>
  <c r="W31" i="2"/>
  <c r="X31" i="2" s="1"/>
  <c r="Y31" i="2" s="1"/>
  <c r="Z31" i="2" s="1"/>
  <c r="AA31" i="2" s="1"/>
  <c r="R31" i="2"/>
  <c r="M31" i="2"/>
  <c r="N31" i="2" s="1"/>
  <c r="O31" i="2" s="1"/>
  <c r="P31" i="2" s="1"/>
  <c r="Q31" i="2" s="1"/>
  <c r="H31" i="2"/>
  <c r="I31" i="2" s="1"/>
  <c r="J31" i="2" s="1"/>
  <c r="K31" i="2" s="1"/>
  <c r="L31" i="2" s="1"/>
  <c r="C31" i="2"/>
  <c r="A31" i="2"/>
  <c r="AG28" i="2"/>
  <c r="AB28" i="2"/>
  <c r="AC28" i="2" s="1"/>
  <c r="AD28" i="2" s="1"/>
  <c r="AE28" i="2" s="1"/>
  <c r="AF28" i="2" s="1"/>
  <c r="W28" i="2"/>
  <c r="X28" i="2" s="1"/>
  <c r="Y28" i="2" s="1"/>
  <c r="Z28" i="2" s="1"/>
  <c r="AA28" i="2" s="1"/>
  <c r="R28" i="2"/>
  <c r="S28" i="2" s="1"/>
  <c r="T28" i="2" s="1"/>
  <c r="U28" i="2" s="1"/>
  <c r="V28" i="2" s="1"/>
  <c r="M28" i="2"/>
  <c r="N28" i="2" s="1"/>
  <c r="O28" i="2" s="1"/>
  <c r="P28" i="2" s="1"/>
  <c r="Q28" i="2" s="1"/>
  <c r="H28" i="2"/>
  <c r="I28" i="2" s="1"/>
  <c r="J28" i="2" s="1"/>
  <c r="K28" i="2" s="1"/>
  <c r="L28" i="2" s="1"/>
  <c r="C28" i="2"/>
  <c r="A28" i="2"/>
  <c r="AG25" i="2"/>
  <c r="AB25" i="2"/>
  <c r="AC25" i="2" s="1"/>
  <c r="AD25" i="2" s="1"/>
  <c r="AE25" i="2" s="1"/>
  <c r="AF25" i="2" s="1"/>
  <c r="W25" i="2"/>
  <c r="X25" i="2" s="1"/>
  <c r="Y25" i="2" s="1"/>
  <c r="Z25" i="2" s="1"/>
  <c r="AA25" i="2" s="1"/>
  <c r="R25" i="2"/>
  <c r="S25" i="2" s="1"/>
  <c r="T25" i="2" s="1"/>
  <c r="U25" i="2" s="1"/>
  <c r="V25" i="2" s="1"/>
  <c r="M25" i="2"/>
  <c r="N25" i="2" s="1"/>
  <c r="O25" i="2" s="1"/>
  <c r="P25" i="2" s="1"/>
  <c r="Q25" i="2" s="1"/>
  <c r="H25" i="2"/>
  <c r="I25" i="2" s="1"/>
  <c r="J25" i="2" s="1"/>
  <c r="K25" i="2" s="1"/>
  <c r="L25" i="2" s="1"/>
  <c r="C25" i="2"/>
  <c r="D25" i="2" s="1"/>
  <c r="E25" i="2" s="1"/>
  <c r="F25" i="2" s="1"/>
  <c r="G25" i="2" s="1"/>
  <c r="A25" i="2"/>
  <c r="AG22" i="2"/>
  <c r="AB22" i="2"/>
  <c r="AC22" i="2" s="1"/>
  <c r="AD22" i="2" s="1"/>
  <c r="AE22" i="2" s="1"/>
  <c r="AF22" i="2" s="1"/>
  <c r="W22" i="2"/>
  <c r="X22" i="2" s="1"/>
  <c r="Y22" i="2" s="1"/>
  <c r="Z22" i="2" s="1"/>
  <c r="AA22" i="2" s="1"/>
  <c r="R22" i="2"/>
  <c r="M22" i="2"/>
  <c r="N22" i="2" s="1"/>
  <c r="O22" i="2" s="1"/>
  <c r="P22" i="2" s="1"/>
  <c r="Q22" i="2" s="1"/>
  <c r="H22" i="2"/>
  <c r="I22" i="2" s="1"/>
  <c r="J22" i="2" s="1"/>
  <c r="K22" i="2" s="1"/>
  <c r="L22" i="2" s="1"/>
  <c r="C22" i="2"/>
  <c r="A22" i="2"/>
  <c r="AG19" i="2"/>
  <c r="AB19" i="2"/>
  <c r="W19" i="2"/>
  <c r="X19" i="2" s="1"/>
  <c r="Y19" i="2" s="1"/>
  <c r="Z19" i="2" s="1"/>
  <c r="AA19" i="2" s="1"/>
  <c r="R19" i="2"/>
  <c r="M19" i="2"/>
  <c r="N19" i="2" s="1"/>
  <c r="O19" i="2" s="1"/>
  <c r="P19" i="2" s="1"/>
  <c r="Q19" i="2" s="1"/>
  <c r="H19" i="2"/>
  <c r="I19" i="2" s="1"/>
  <c r="J19" i="2" s="1"/>
  <c r="K19" i="2" s="1"/>
  <c r="L19" i="2" s="1"/>
  <c r="C19" i="2"/>
  <c r="A19" i="2"/>
  <c r="AG16" i="2"/>
  <c r="AB16" i="2"/>
  <c r="W16" i="2"/>
  <c r="X16" i="2" s="1"/>
  <c r="Y16" i="2" s="1"/>
  <c r="Z16" i="2" s="1"/>
  <c r="AA16" i="2" s="1"/>
  <c r="R16" i="2"/>
  <c r="S16" i="2" s="1"/>
  <c r="T16" i="2" s="1"/>
  <c r="U16" i="2" s="1"/>
  <c r="V16" i="2" s="1"/>
  <c r="M16" i="2"/>
  <c r="N16" i="2" s="1"/>
  <c r="O16" i="2" s="1"/>
  <c r="P16" i="2" s="1"/>
  <c r="Q16" i="2" s="1"/>
  <c r="H16" i="2"/>
  <c r="I16" i="2" s="1"/>
  <c r="J16" i="2" s="1"/>
  <c r="K16" i="2" s="1"/>
  <c r="L16" i="2" s="1"/>
  <c r="C16" i="2"/>
  <c r="A16" i="2"/>
  <c r="AG13" i="2"/>
  <c r="AB13" i="2"/>
  <c r="W13" i="2"/>
  <c r="X13" i="2" s="1"/>
  <c r="Y13" i="2" s="1"/>
  <c r="Z13" i="2" s="1"/>
  <c r="AA13" i="2" s="1"/>
  <c r="R13" i="2"/>
  <c r="S13" i="2" s="1"/>
  <c r="T13" i="2" s="1"/>
  <c r="U13" i="2" s="1"/>
  <c r="V13" i="2" s="1"/>
  <c r="M13" i="2"/>
  <c r="H13" i="2"/>
  <c r="C13" i="2"/>
  <c r="D13" i="2" s="1"/>
  <c r="E13" i="2" s="1"/>
  <c r="F13" i="2" s="1"/>
  <c r="G13" i="2" s="1"/>
  <c r="A13" i="2"/>
  <c r="AG10" i="2"/>
  <c r="AB10" i="2"/>
  <c r="W10" i="2"/>
  <c r="X10" i="2" s="1"/>
  <c r="Y10" i="2" s="1"/>
  <c r="Z10" i="2" s="1"/>
  <c r="AA10" i="2" s="1"/>
  <c r="R10" i="2"/>
  <c r="M10" i="2"/>
  <c r="H10" i="2"/>
  <c r="C10" i="2"/>
  <c r="A10" i="2"/>
  <c r="AG7" i="2"/>
  <c r="AB7" i="2"/>
  <c r="AC7" i="2" s="1"/>
  <c r="AD7" i="2" s="1"/>
  <c r="AE7" i="2" s="1"/>
  <c r="AF7" i="2" s="1"/>
  <c r="W7" i="2"/>
  <c r="X7" i="2" s="1"/>
  <c r="Y7" i="2" s="1"/>
  <c r="Z7" i="2" s="1"/>
  <c r="AA7" i="2" s="1"/>
  <c r="R7" i="2"/>
  <c r="M7" i="2"/>
  <c r="N7" i="2" s="1"/>
  <c r="O7" i="2" s="1"/>
  <c r="P7" i="2" s="1"/>
  <c r="Q7" i="2" s="1"/>
  <c r="H7" i="2"/>
  <c r="I7" i="2" s="1"/>
  <c r="J7" i="2" s="1"/>
  <c r="K7" i="2" s="1"/>
  <c r="L7" i="2" s="1"/>
  <c r="C7" i="2"/>
  <c r="A7" i="2"/>
  <c r="C4" i="2"/>
  <c r="D4" i="2" s="1"/>
  <c r="E4" i="2" s="1"/>
  <c r="F4" i="2" s="1"/>
  <c r="G4" i="2" s="1"/>
  <c r="H4" i="2"/>
  <c r="M4" i="2"/>
  <c r="N4" i="2" s="1"/>
  <c r="O4" i="2" s="1"/>
  <c r="P4" i="2" s="1"/>
  <c r="Q4" i="2" s="1"/>
  <c r="R4" i="2"/>
  <c r="W4" i="2"/>
  <c r="AB4" i="2"/>
  <c r="AC4" i="2" s="1"/>
  <c r="AD4" i="2" s="1"/>
  <c r="AE4" i="2" s="1"/>
  <c r="AF4" i="2" s="1"/>
  <c r="AG4" i="2"/>
  <c r="A4" i="2"/>
  <c r="S64" i="2" l="1"/>
  <c r="T64" i="2" s="1"/>
  <c r="U64" i="2" s="1"/>
  <c r="V64" i="2" s="1"/>
  <c r="I4" i="2"/>
  <c r="J4" i="2" s="1"/>
  <c r="K4" i="2" s="1"/>
  <c r="L4" i="2" s="1"/>
  <c r="AC10" i="2"/>
  <c r="AD10" i="2" s="1"/>
  <c r="AE10" i="2" s="1"/>
  <c r="AF10" i="2" s="1"/>
  <c r="AC13" i="2"/>
  <c r="AD13" i="2" s="1"/>
  <c r="AE13" i="2" s="1"/>
  <c r="AF13" i="2" s="1"/>
  <c r="AC16" i="2"/>
  <c r="AD16" i="2" s="1"/>
  <c r="AE16" i="2" s="1"/>
  <c r="AF16" i="2" s="1"/>
  <c r="AC19" i="2"/>
  <c r="AD19" i="2" s="1"/>
  <c r="AE19" i="2" s="1"/>
  <c r="AF19" i="2" s="1"/>
  <c r="AC34" i="2"/>
  <c r="AD34" i="2" s="1"/>
  <c r="AE34" i="2" s="1"/>
  <c r="AF34" i="2" s="1"/>
  <c r="AC37" i="2"/>
  <c r="AD37" i="2" s="1"/>
  <c r="AE37" i="2" s="1"/>
  <c r="AF37" i="2" s="1"/>
  <c r="AC40" i="2"/>
  <c r="AD40" i="2" s="1"/>
  <c r="AE40" i="2" s="1"/>
  <c r="AF40" i="2" s="1"/>
  <c r="AC43" i="2"/>
  <c r="AD43" i="2" s="1"/>
  <c r="AE43" i="2" s="1"/>
  <c r="AF43" i="2" s="1"/>
  <c r="AC46" i="2"/>
  <c r="AD46" i="2" s="1"/>
  <c r="AE46" i="2" s="1"/>
  <c r="AF46" i="2" s="1"/>
  <c r="AC49" i="2"/>
  <c r="AD49" i="2" s="1"/>
  <c r="AE49" i="2" s="1"/>
  <c r="AF49" i="2" s="1"/>
  <c r="AC64" i="2"/>
  <c r="AD64" i="2" s="1"/>
  <c r="AE64" i="2" s="1"/>
  <c r="AF64" i="2" s="1"/>
  <c r="AC67" i="2"/>
  <c r="AD67" i="2" s="1"/>
  <c r="AE67" i="2" s="1"/>
  <c r="AF67" i="2" s="1"/>
  <c r="D7" i="2"/>
  <c r="E7" i="2" s="1"/>
  <c r="F7" i="2" s="1"/>
  <c r="G7" i="2" s="1"/>
  <c r="D10" i="2"/>
  <c r="E10" i="2" s="1"/>
  <c r="F10" i="2" s="1"/>
  <c r="G10" i="2" s="1"/>
  <c r="D16" i="2"/>
  <c r="E16" i="2" s="1"/>
  <c r="F16" i="2" s="1"/>
  <c r="G16" i="2" s="1"/>
  <c r="D19" i="2"/>
  <c r="E19" i="2" s="1"/>
  <c r="F19" i="2" s="1"/>
  <c r="G19" i="2" s="1"/>
  <c r="D22" i="2"/>
  <c r="E22" i="2" s="1"/>
  <c r="F22" i="2" s="1"/>
  <c r="G22" i="2" s="1"/>
  <c r="D28" i="2"/>
  <c r="E28" i="2" s="1"/>
  <c r="F28" i="2" s="1"/>
  <c r="G28" i="2" s="1"/>
  <c r="D31" i="2"/>
  <c r="E31" i="2" s="1"/>
  <c r="F31" i="2" s="1"/>
  <c r="G31" i="2" s="1"/>
  <c r="D34" i="2"/>
  <c r="E34" i="2" s="1"/>
  <c r="F34" i="2" s="1"/>
  <c r="G34" i="2" s="1"/>
  <c r="D40" i="2"/>
  <c r="E40" i="2" s="1"/>
  <c r="F40" i="2" s="1"/>
  <c r="G40" i="2" s="1"/>
  <c r="D43" i="2"/>
  <c r="E43" i="2" s="1"/>
  <c r="F43" i="2" s="1"/>
  <c r="G43" i="2" s="1"/>
  <c r="D46" i="2"/>
  <c r="E46" i="2" s="1"/>
  <c r="F46" i="2" s="1"/>
  <c r="G46" i="2" s="1"/>
  <c r="D52" i="2"/>
  <c r="E52" i="2" s="1"/>
  <c r="F52" i="2" s="1"/>
  <c r="G52" i="2" s="1"/>
  <c r="D55" i="2"/>
  <c r="E55" i="2" s="1"/>
  <c r="F55" i="2" s="1"/>
  <c r="G55" i="2" s="1"/>
  <c r="D58" i="2"/>
  <c r="E58" i="2" s="1"/>
  <c r="F58" i="2" s="1"/>
  <c r="G58" i="2" s="1"/>
  <c r="D64" i="2"/>
  <c r="E64" i="2" s="1"/>
  <c r="F64" i="2" s="1"/>
  <c r="G64" i="2" s="1"/>
  <c r="D67" i="2"/>
  <c r="E67" i="2" s="1"/>
  <c r="F67" i="2" s="1"/>
  <c r="G67" i="2" s="1"/>
  <c r="D70" i="2"/>
  <c r="E70" i="2" s="1"/>
  <c r="F70" i="2" s="1"/>
  <c r="G70" i="2" s="1"/>
  <c r="D76" i="2"/>
  <c r="E76" i="2" s="1"/>
  <c r="F76" i="2" s="1"/>
  <c r="G76" i="2" s="1"/>
  <c r="D79" i="2"/>
  <c r="E79" i="2" s="1"/>
  <c r="F79" i="2" s="1"/>
  <c r="G79" i="2" s="1"/>
  <c r="D82" i="2"/>
  <c r="E82" i="2" s="1"/>
  <c r="F82" i="2" s="1"/>
  <c r="G82" i="2" s="1"/>
  <c r="X4" i="2"/>
  <c r="Y4" i="2" s="1"/>
  <c r="Z4" i="2" s="1"/>
  <c r="AA4" i="2" s="1"/>
  <c r="I10" i="2"/>
  <c r="J10" i="2" s="1"/>
  <c r="K10" i="2" s="1"/>
  <c r="L10" i="2" s="1"/>
  <c r="I58" i="2"/>
  <c r="J58" i="2" s="1"/>
  <c r="K58" i="2" s="1"/>
  <c r="L58" i="2" s="1"/>
  <c r="I13" i="2"/>
  <c r="J13" i="2" s="1"/>
  <c r="K13" i="2" s="1"/>
  <c r="L13" i="2" s="1"/>
  <c r="S7" i="2"/>
  <c r="T7" i="2" s="1"/>
  <c r="U7" i="2" s="1"/>
  <c r="V7" i="2" s="1"/>
  <c r="S10" i="2"/>
  <c r="T10" i="2" s="1"/>
  <c r="U10" i="2" s="1"/>
  <c r="V10" i="2" s="1"/>
  <c r="S19" i="2"/>
  <c r="T19" i="2" s="1"/>
  <c r="U19" i="2" s="1"/>
  <c r="V19" i="2" s="1"/>
  <c r="S22" i="2"/>
  <c r="T22" i="2" s="1"/>
  <c r="U22" i="2" s="1"/>
  <c r="V22" i="2" s="1"/>
  <c r="S31" i="2"/>
  <c r="T31" i="2" s="1"/>
  <c r="U31" i="2" s="1"/>
  <c r="V31" i="2" s="1"/>
  <c r="S34" i="2"/>
  <c r="T34" i="2" s="1"/>
  <c r="U34" i="2" s="1"/>
  <c r="V34" i="2" s="1"/>
  <c r="S43" i="2"/>
  <c r="T43" i="2" s="1"/>
  <c r="U43" i="2" s="1"/>
  <c r="V43" i="2" s="1"/>
  <c r="S46" i="2"/>
  <c r="T46" i="2" s="1"/>
  <c r="U46" i="2" s="1"/>
  <c r="V46" i="2" s="1"/>
  <c r="S55" i="2"/>
  <c r="T55" i="2" s="1"/>
  <c r="U55" i="2" s="1"/>
  <c r="V55" i="2" s="1"/>
  <c r="S58" i="2"/>
  <c r="T58" i="2" s="1"/>
  <c r="U58" i="2" s="1"/>
  <c r="V58" i="2" s="1"/>
  <c r="S67" i="2"/>
  <c r="T67" i="2" s="1"/>
  <c r="U67" i="2" s="1"/>
  <c r="V67" i="2" s="1"/>
  <c r="S70" i="2"/>
  <c r="T70" i="2" s="1"/>
  <c r="U70" i="2" s="1"/>
  <c r="V70" i="2" s="1"/>
  <c r="S79" i="2"/>
  <c r="T79" i="2" s="1"/>
  <c r="U79" i="2" s="1"/>
  <c r="V79" i="2" s="1"/>
  <c r="S82" i="2"/>
  <c r="T82" i="2" s="1"/>
  <c r="U82" i="2" s="1"/>
  <c r="V82" i="2" s="1"/>
  <c r="I79" i="2"/>
  <c r="J79" i="2" s="1"/>
  <c r="K79" i="2" s="1"/>
  <c r="L79" i="2" s="1"/>
  <c r="I40" i="2"/>
  <c r="J40" i="2" s="1"/>
  <c r="K40" i="2" s="1"/>
  <c r="L40" i="2" s="1"/>
  <c r="I76" i="2"/>
  <c r="J76" i="2" s="1"/>
  <c r="K76" i="2" s="1"/>
  <c r="L76" i="2" s="1"/>
  <c r="I43" i="2"/>
  <c r="J43" i="2" s="1"/>
  <c r="K43" i="2" s="1"/>
  <c r="L43" i="2" s="1"/>
  <c r="N58" i="2"/>
  <c r="O58" i="2" s="1"/>
  <c r="P58" i="2" s="1"/>
  <c r="Q58" i="2" s="1"/>
  <c r="N10" i="2"/>
  <c r="O10" i="2" s="1"/>
  <c r="P10" i="2" s="1"/>
  <c r="Q10" i="2" s="1"/>
  <c r="S4" i="2"/>
  <c r="T4" i="2" s="1"/>
  <c r="U4" i="2" s="1"/>
  <c r="V4" i="2" s="1"/>
  <c r="N13" i="2"/>
  <c r="O13" i="2" s="1"/>
  <c r="P13" i="2" s="1"/>
  <c r="Q13" i="2" s="1"/>
</calcChain>
</file>

<file path=xl/sharedStrings.xml><?xml version="1.0" encoding="utf-8"?>
<sst xmlns="http://schemas.openxmlformats.org/spreadsheetml/2006/main" count="476" uniqueCount="150">
  <si>
    <t>FUEL</t>
  </si>
  <si>
    <t>ATEUHT</t>
  </si>
  <si>
    <t>ATEUCL</t>
  </si>
  <si>
    <t>ATEUCK</t>
  </si>
  <si>
    <t>ATEUSE</t>
  </si>
  <si>
    <t>BEEUHT</t>
  </si>
  <si>
    <t>BEEUCL</t>
  </si>
  <si>
    <t>BEEUCK</t>
  </si>
  <si>
    <t>BEEUSE</t>
  </si>
  <si>
    <t>BGEUHT</t>
  </si>
  <si>
    <t>BGEUCL</t>
  </si>
  <si>
    <t>BGEUCK</t>
  </si>
  <si>
    <t>BGEUSE</t>
  </si>
  <si>
    <t>CYEUHT</t>
  </si>
  <si>
    <t>CYEUCL</t>
  </si>
  <si>
    <t>CYEUCK</t>
  </si>
  <si>
    <t>CYEUSE</t>
  </si>
  <si>
    <t>CZEUHT</t>
  </si>
  <si>
    <t>CZEUCL</t>
  </si>
  <si>
    <t>CZEUCK</t>
  </si>
  <si>
    <t>CZEUSE</t>
  </si>
  <si>
    <t>DEEUHT</t>
  </si>
  <si>
    <t>DEEUCL</t>
  </si>
  <si>
    <t>DEEUCK</t>
  </si>
  <si>
    <t>DEEUSE</t>
  </si>
  <si>
    <t>DKEUHT</t>
  </si>
  <si>
    <t>DKEUCL</t>
  </si>
  <si>
    <t>DKEUCK</t>
  </si>
  <si>
    <t>DKEUSE</t>
  </si>
  <si>
    <t>EEEUHT</t>
  </si>
  <si>
    <t>EEEUCL</t>
  </si>
  <si>
    <t>EEEUCK</t>
  </si>
  <si>
    <t>EEEUSE</t>
  </si>
  <si>
    <t>GREUHT</t>
  </si>
  <si>
    <t>GREUCL</t>
  </si>
  <si>
    <t>GREUCK</t>
  </si>
  <si>
    <t>GREUSE</t>
  </si>
  <si>
    <t>ESEUHT</t>
  </si>
  <si>
    <t>ESEUCL</t>
  </si>
  <si>
    <t>ESEUCK</t>
  </si>
  <si>
    <t>ESEUSE</t>
  </si>
  <si>
    <t>FIEUHT</t>
  </si>
  <si>
    <t>FIEUCL</t>
  </si>
  <si>
    <t>FIEUCK</t>
  </si>
  <si>
    <t>FIEUSE</t>
  </si>
  <si>
    <t>FREUHT</t>
  </si>
  <si>
    <t>FREUCL</t>
  </si>
  <si>
    <t>FREUCK</t>
  </si>
  <si>
    <t>FREUSE</t>
  </si>
  <si>
    <t>HREUHT</t>
  </si>
  <si>
    <t>HREUCL</t>
  </si>
  <si>
    <t>HREUCK</t>
  </si>
  <si>
    <t>HREUSE</t>
  </si>
  <si>
    <t>HUEUHT</t>
  </si>
  <si>
    <t>HUEUCL</t>
  </si>
  <si>
    <t>HUEUCK</t>
  </si>
  <si>
    <t>HUEUSE</t>
  </si>
  <si>
    <t>IEEUHT</t>
  </si>
  <si>
    <t>IEEUCL</t>
  </si>
  <si>
    <t>IEEUCK</t>
  </si>
  <si>
    <t>IEEUSE</t>
  </si>
  <si>
    <t>ITEUHT</t>
  </si>
  <si>
    <t>ITEUCL</t>
  </si>
  <si>
    <t>ITEUCK</t>
  </si>
  <si>
    <t>ITEUSE</t>
  </si>
  <si>
    <t>LTEUHT</t>
  </si>
  <si>
    <t>LTEUCL</t>
  </si>
  <si>
    <t>LTEUCK</t>
  </si>
  <si>
    <t>LTEUSE</t>
  </si>
  <si>
    <t>LUEUHT</t>
  </si>
  <si>
    <t>LUEUCL</t>
  </si>
  <si>
    <t>LUEUCK</t>
  </si>
  <si>
    <t>LUEUSE</t>
  </si>
  <si>
    <t>LVEUHT</t>
  </si>
  <si>
    <t>LVEUCL</t>
  </si>
  <si>
    <t>LVEUCK</t>
  </si>
  <si>
    <t>LVEUSE</t>
  </si>
  <si>
    <t>MTEUHT</t>
  </si>
  <si>
    <t>MTEUCL</t>
  </si>
  <si>
    <t>MTEUCK</t>
  </si>
  <si>
    <t>MTEUSE</t>
  </si>
  <si>
    <t>NLEUHT</t>
  </si>
  <si>
    <t>NLEUCL</t>
  </si>
  <si>
    <t>NLEUCK</t>
  </si>
  <si>
    <t>NLEUSE</t>
  </si>
  <si>
    <t>PLEUHT</t>
  </si>
  <si>
    <t>PLEUCL</t>
  </si>
  <si>
    <t>PLEUCK</t>
  </si>
  <si>
    <t>PLEUSE</t>
  </si>
  <si>
    <t>PTEUHT</t>
  </si>
  <si>
    <t>PTEUCL</t>
  </si>
  <si>
    <t>PTEUCK</t>
  </si>
  <si>
    <t>PTEUSE</t>
  </si>
  <si>
    <t>ROEUHT</t>
  </si>
  <si>
    <t>ROEUCL</t>
  </si>
  <si>
    <t>ROEUCK</t>
  </si>
  <si>
    <t>ROEUSE</t>
  </si>
  <si>
    <t>SEEUHT</t>
  </si>
  <si>
    <t>SEEUCL</t>
  </si>
  <si>
    <t>SEEUCK</t>
  </si>
  <si>
    <t>SEEUSE</t>
  </si>
  <si>
    <t>SIEUHT</t>
  </si>
  <si>
    <t>SIEUCL</t>
  </si>
  <si>
    <t>SIEUCK</t>
  </si>
  <si>
    <t>SIEUSE</t>
  </si>
  <si>
    <t>SKEUHT</t>
  </si>
  <si>
    <t>SKEUCL</t>
  </si>
  <si>
    <t>SKEUCK</t>
  </si>
  <si>
    <t>SKEUSE</t>
  </si>
  <si>
    <t>&gt;2022-2050 projections based on final energy demand from EU Reference Scenario 2020</t>
  </si>
  <si>
    <t>&gt;2018-2021 based on JRC-IDEES 2021</t>
  </si>
  <si>
    <t>Residential</t>
  </si>
  <si>
    <t>Tertiary (8)</t>
  </si>
  <si>
    <t>EU</t>
  </si>
  <si>
    <t>AT</t>
  </si>
  <si>
    <t>BE</t>
  </si>
  <si>
    <t>BG</t>
  </si>
  <si>
    <t>ktoe</t>
  </si>
  <si>
    <t>CY</t>
  </si>
  <si>
    <t>CZ</t>
  </si>
  <si>
    <t>DE</t>
  </si>
  <si>
    <t>DK</t>
  </si>
  <si>
    <t>EE</t>
  </si>
  <si>
    <t>GR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</si>
  <si>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</si>
  <si>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</si>
  <si>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</si>
  <si>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</si>
  <si>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</si>
  <si>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</si>
  <si>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</si>
  <si>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</si>
  <si>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</si>
  <si>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</si>
  <si>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</si>
  <si>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</si>
  <si>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</si>
  <si>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</si>
  <si>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</si>
  <si>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</si>
  <si>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</si>
  <si>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</si>
  <si>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Buildings Total</t>
  </si>
  <si>
    <t>Annual comparison</t>
  </si>
  <si>
    <t>Country</t>
  </si>
  <si>
    <t>Space heating &amp; Hot Water</t>
  </si>
  <si>
    <t>Space cooling</t>
  </si>
  <si>
    <t>Cooking</t>
  </si>
  <si>
    <t>Useful energy for appliances</t>
  </si>
  <si>
    <t>Energy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</si>
</sst>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3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2" fontId="1" fillId="0" borderId="0" xfId="0" applyNumberFormat="1" applyFont="1"/>
    <xf numFmtId="2" fontId="0" fillId="2" borderId="0" xfId="0" applyNumberFormat="1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2"/>
  <sheetViews>
    <sheetView tabSelected="1" workbookViewId="0">
      <selection activeCell="A7" sqref="A7"/>
    </sheetView>
  </sheetViews>
  <sheetFormatPr defaultRowHeight="14.4" x14ac:dyDescent="0.3"/>
  <cols>
    <col min="1" max="1" width="24.33203125" bestFit="1" customWidth="1"/>
  </cols>
  <sheetData>
    <row r="1" spans="1:41" x14ac:dyDescent="0.3">
      <c r="B1" t="s">
        <v>110</v>
      </c>
    </row>
    <row r="2" spans="1:41" x14ac:dyDescent="0.3">
      <c r="B2" t="s">
        <v>109</v>
      </c>
    </row>
    <row r="3" spans="1:41" x14ac:dyDescent="0.3"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  <c r="P3">
        <v>11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  <c r="AE3">
        <v>26</v>
      </c>
      <c r="AF3">
        <v>27</v>
      </c>
      <c r="AG3">
        <v>28</v>
      </c>
      <c r="AH3">
        <v>29</v>
      </c>
      <c r="AI3">
        <v>30</v>
      </c>
      <c r="AJ3">
        <v>31</v>
      </c>
    </row>
    <row r="4" spans="1:41" x14ac:dyDescent="0.3">
      <c r="A4" s="9" t="s">
        <v>149</v>
      </c>
      <c r="B4" s="1" t="s">
        <v>144</v>
      </c>
      <c r="C4" s="1" t="s">
        <v>0</v>
      </c>
      <c r="D4" s="1">
        <v>2018</v>
      </c>
      <c r="E4" s="1">
        <v>2019</v>
      </c>
      <c r="F4" s="1">
        <v>2020</v>
      </c>
      <c r="G4" s="1">
        <v>2021</v>
      </c>
      <c r="H4" s="1">
        <v>2022</v>
      </c>
      <c r="I4" s="1">
        <v>2023</v>
      </c>
      <c r="J4" s="1">
        <v>2024</v>
      </c>
      <c r="K4" s="1">
        <v>2025</v>
      </c>
      <c r="L4" s="1">
        <v>2026</v>
      </c>
      <c r="M4" s="1">
        <v>2027</v>
      </c>
      <c r="N4" s="1">
        <v>2028</v>
      </c>
      <c r="O4" s="1">
        <v>2029</v>
      </c>
      <c r="P4" s="1">
        <v>2030</v>
      </c>
      <c r="Q4" s="1">
        <v>2031</v>
      </c>
      <c r="R4" s="1">
        <v>2032</v>
      </c>
      <c r="S4" s="1">
        <v>2033</v>
      </c>
      <c r="T4" s="1">
        <v>2034</v>
      </c>
      <c r="U4" s="1">
        <v>2035</v>
      </c>
      <c r="V4" s="1">
        <v>2036</v>
      </c>
      <c r="W4" s="1">
        <v>2037</v>
      </c>
      <c r="X4" s="1">
        <v>2038</v>
      </c>
      <c r="Y4" s="1">
        <v>2039</v>
      </c>
      <c r="Z4" s="1">
        <v>2040</v>
      </c>
      <c r="AA4" s="1">
        <v>2041</v>
      </c>
      <c r="AB4" s="1">
        <v>2042</v>
      </c>
      <c r="AC4" s="1">
        <v>2043</v>
      </c>
      <c r="AD4" s="1">
        <v>2044</v>
      </c>
      <c r="AE4" s="1">
        <v>2045</v>
      </c>
      <c r="AF4" s="1">
        <v>2046</v>
      </c>
      <c r="AG4" s="1">
        <v>2047</v>
      </c>
      <c r="AH4" s="1">
        <v>2048</v>
      </c>
      <c r="AI4" s="1">
        <v>2049</v>
      </c>
      <c r="AJ4" s="1">
        <v>2050</v>
      </c>
      <c r="AK4" s="1">
        <v>2051</v>
      </c>
      <c r="AL4" s="1">
        <v>2052</v>
      </c>
      <c r="AM4" s="1">
        <v>2053</v>
      </c>
      <c r="AN4" s="1">
        <v>2054</v>
      </c>
      <c r="AO4" s="1">
        <v>2055</v>
      </c>
    </row>
    <row r="5" spans="1:41" x14ac:dyDescent="0.3">
      <c r="A5" t="s">
        <v>145</v>
      </c>
      <c r="B5" t="str">
        <f>LEFT(C5,2)</f>
        <v>AT</v>
      </c>
      <c r="C5" t="s">
        <v>1</v>
      </c>
      <c r="D5" s="2">
        <v>237.62946465085383</v>
      </c>
      <c r="E5" s="2">
        <v>247.30445775192919</v>
      </c>
      <c r="F5" s="2">
        <v>255.2303174757858</v>
      </c>
      <c r="G5" s="2">
        <v>287.38468107715175</v>
      </c>
      <c r="H5" s="7">
        <f>G5*VLOOKUP($B5,'EU Ref Scenario 2020'!$A$126:$AE$153,'Specified Annual Demand'!H$3,FALSE)</f>
        <v>285.15519072215528</v>
      </c>
      <c r="I5" s="7">
        <f>H5*VLOOKUP($B5,'EU Ref Scenario 2020'!$A$126:$AE$153,'Specified Annual Demand'!I$3,FALSE)</f>
        <v>282.92570036715875</v>
      </c>
      <c r="J5" s="7">
        <f>I5*VLOOKUP($B5,'EU Ref Scenario 2020'!$A$126:$AE$153,'Specified Annual Demand'!J$3,FALSE)</f>
        <v>280.69621001216223</v>
      </c>
      <c r="K5" s="7">
        <f>J5*VLOOKUP($B5,'EU Ref Scenario 2020'!$A$126:$AE$153,'Specified Annual Demand'!K$3,FALSE)</f>
        <v>278.46671965716587</v>
      </c>
      <c r="L5" s="7">
        <f>K5*VLOOKUP($B5,'EU Ref Scenario 2020'!$A$126:$AE$153,'Specified Annual Demand'!L$3,FALSE)</f>
        <v>276.24831812823442</v>
      </c>
      <c r="M5" s="7">
        <f>L5*VLOOKUP($B5,'EU Ref Scenario 2020'!$A$126:$AE$153,'Specified Annual Demand'!M$3,FALSE)</f>
        <v>274.02991659930296</v>
      </c>
      <c r="N5" s="7">
        <f>M5*VLOOKUP($B5,'EU Ref Scenario 2020'!$A$126:$AE$153,'Specified Annual Demand'!N$3,FALSE)</f>
        <v>271.81151507037151</v>
      </c>
      <c r="O5" s="7">
        <f>N5*VLOOKUP($B5,'EU Ref Scenario 2020'!$A$126:$AE$153,'Specified Annual Demand'!O$3,FALSE)</f>
        <v>269.59311354144006</v>
      </c>
      <c r="P5" s="7">
        <f>O5*VLOOKUP($B5,'EU Ref Scenario 2020'!$A$126:$AE$153,'Specified Annual Demand'!P$3,FALSE)</f>
        <v>267.3747120125085</v>
      </c>
      <c r="Q5" s="7">
        <f>P5*VLOOKUP($B5,'EU Ref Scenario 2020'!$A$126:$AE$153,'Specified Annual Demand'!Q$3,FALSE)</f>
        <v>267.6852254462666</v>
      </c>
      <c r="R5" s="7">
        <f>Q5*VLOOKUP($B5,'EU Ref Scenario 2020'!$A$126:$AE$153,'Specified Annual Demand'!R$3,FALSE)</f>
        <v>267.9957388800247</v>
      </c>
      <c r="S5" s="7">
        <f>R5*VLOOKUP($B5,'EU Ref Scenario 2020'!$A$126:$AE$153,'Specified Annual Demand'!S$3,FALSE)</f>
        <v>268.30625231378286</v>
      </c>
      <c r="T5" s="7">
        <f>S5*VLOOKUP($B5,'EU Ref Scenario 2020'!$A$126:$AE$153,'Specified Annual Demand'!T$3,FALSE)</f>
        <v>268.61676574754102</v>
      </c>
      <c r="U5" s="7">
        <f>T5*VLOOKUP($B5,'EU Ref Scenario 2020'!$A$126:$AE$153,'Specified Annual Demand'!U$3,FALSE)</f>
        <v>268.92727918129924</v>
      </c>
      <c r="V5" s="7">
        <f>U5*VLOOKUP($B5,'EU Ref Scenario 2020'!$A$126:$AE$153,'Specified Annual Demand'!V$3,FALSE)</f>
        <v>268.70465130329944</v>
      </c>
      <c r="W5" s="7">
        <f>V5*VLOOKUP($B5,'EU Ref Scenario 2020'!$A$126:$AE$153,'Specified Annual Demand'!W$3,FALSE)</f>
        <v>268.48202342529964</v>
      </c>
      <c r="X5" s="7">
        <f>W5*VLOOKUP($B5,'EU Ref Scenario 2020'!$A$126:$AE$153,'Specified Annual Demand'!X$3,FALSE)</f>
        <v>268.25939554729985</v>
      </c>
      <c r="Y5" s="7">
        <f>X5*VLOOKUP($B5,'EU Ref Scenario 2020'!$A$126:$AE$153,'Specified Annual Demand'!Y$3,FALSE)</f>
        <v>268.03676766930005</v>
      </c>
      <c r="Z5" s="7">
        <f>Y5*VLOOKUP($B5,'EU Ref Scenario 2020'!$A$126:$AE$153,'Specified Annual Demand'!Z$3,FALSE)</f>
        <v>267.81413979130014</v>
      </c>
      <c r="AA5" s="7">
        <f>Z5*VLOOKUP($B5,'EU Ref Scenario 2020'!$A$126:$AE$153,'Specified Annual Demand'!AA$3,FALSE)</f>
        <v>267.87924541193757</v>
      </c>
      <c r="AB5" s="7">
        <f>AA5*VLOOKUP($B5,'EU Ref Scenario 2020'!$A$126:$AE$153,'Specified Annual Demand'!AB$3,FALSE)</f>
        <v>267.94435103257501</v>
      </c>
      <c r="AC5" s="7">
        <f>AB5*VLOOKUP($B5,'EU Ref Scenario 2020'!$A$126:$AE$153,'Specified Annual Demand'!AC$3,FALSE)</f>
        <v>268.00945665321245</v>
      </c>
      <c r="AD5" s="7">
        <f>AC5*VLOOKUP($B5,'EU Ref Scenario 2020'!$A$126:$AE$153,'Specified Annual Demand'!AD$3,FALSE)</f>
        <v>268.07456227384989</v>
      </c>
      <c r="AE5" s="7">
        <f>AD5*VLOOKUP($B5,'EU Ref Scenario 2020'!$A$126:$AE$153,'Specified Annual Demand'!AE$3,FALSE)</f>
        <v>268.13966789448739</v>
      </c>
      <c r="AF5" s="7">
        <f>AE5*VLOOKUP($B5,'EU Ref Scenario 2020'!$A$126:$AE$153,'Specified Annual Demand'!AF$3,FALSE)</f>
        <v>268.00570900126985</v>
      </c>
      <c r="AG5" s="7">
        <f>AF5*VLOOKUP($B5,'EU Ref Scenario 2020'!$A$126:$AE$153,'Specified Annual Demand'!AG$3,FALSE)</f>
        <v>267.87175010805231</v>
      </c>
      <c r="AH5" s="7">
        <f>AG5*VLOOKUP($B5,'EU Ref Scenario 2020'!$A$126:$AE$153,'Specified Annual Demand'!AH$3,FALSE)</f>
        <v>267.73779121483477</v>
      </c>
      <c r="AI5" s="7">
        <f>AH5*VLOOKUP($B5,'EU Ref Scenario 2020'!$A$126:$AE$153,'Specified Annual Demand'!AI$3,FALSE)</f>
        <v>267.60383232161723</v>
      </c>
      <c r="AJ5" s="7">
        <f>AI5*VLOOKUP($B5,'EU Ref Scenario 2020'!$A$126:$AE$153,'Specified Annual Demand'!AJ$3,FALSE)</f>
        <v>267.46987342839964</v>
      </c>
      <c r="AK5" s="8">
        <f>AJ5</f>
        <v>267.46987342839964</v>
      </c>
      <c r="AL5" s="8">
        <f t="shared" ref="AL5:AO5" si="0">AK5</f>
        <v>267.46987342839964</v>
      </c>
      <c r="AM5" s="8">
        <f t="shared" si="0"/>
        <v>267.46987342839964</v>
      </c>
      <c r="AN5" s="8">
        <f t="shared" si="0"/>
        <v>267.46987342839964</v>
      </c>
      <c r="AO5" s="8">
        <f t="shared" si="0"/>
        <v>267.46987342839964</v>
      </c>
    </row>
    <row r="6" spans="1:41" x14ac:dyDescent="0.3">
      <c r="A6" t="s">
        <v>146</v>
      </c>
      <c r="B6" t="str">
        <f t="shared" ref="B6:B69" si="1">LEFT(C6,2)</f>
        <v>AT</v>
      </c>
      <c r="C6" t="s">
        <v>2</v>
      </c>
      <c r="D6" s="2">
        <v>3.3029912956122516</v>
      </c>
      <c r="E6" s="2">
        <v>3.4885904931476839</v>
      </c>
      <c r="F6" s="2">
        <v>3.2809861833741922</v>
      </c>
      <c r="G6" s="2">
        <v>3.4405495995134561</v>
      </c>
      <c r="H6" s="7">
        <f>G6*VLOOKUP($B6,'EU Ref Scenario 2020'!$A$126:$AE$153,'Specified Annual Demand'!H$3,FALSE)</f>
        <v>3.4138582946072527</v>
      </c>
      <c r="I6" s="7">
        <f>H6*VLOOKUP($B6,'EU Ref Scenario 2020'!$A$126:$AE$153,'Specified Annual Demand'!I$3,FALSE)</f>
        <v>3.3871669897010492</v>
      </c>
      <c r="J6" s="7">
        <f>I6*VLOOKUP($B6,'EU Ref Scenario 2020'!$A$126:$AE$153,'Specified Annual Demand'!J$3,FALSE)</f>
        <v>3.3604756847948454</v>
      </c>
      <c r="K6" s="7">
        <f>J6*VLOOKUP($B6,'EU Ref Scenario 2020'!$A$126:$AE$153,'Specified Annual Demand'!K$3,FALSE)</f>
        <v>3.3337843798886433</v>
      </c>
      <c r="L6" s="7">
        <f>K6*VLOOKUP($B6,'EU Ref Scenario 2020'!$A$126:$AE$153,'Specified Annual Demand'!L$3,FALSE)</f>
        <v>3.3072258296440107</v>
      </c>
      <c r="M6" s="7">
        <f>L6*VLOOKUP($B6,'EU Ref Scenario 2020'!$A$126:$AE$153,'Specified Annual Demand'!M$3,FALSE)</f>
        <v>3.2806672793993781</v>
      </c>
      <c r="N6" s="7">
        <f>M6*VLOOKUP($B6,'EU Ref Scenario 2020'!$A$126:$AE$153,'Specified Annual Demand'!N$3,FALSE)</f>
        <v>3.2541087291547455</v>
      </c>
      <c r="O6" s="7">
        <f>N6*VLOOKUP($B6,'EU Ref Scenario 2020'!$A$126:$AE$153,'Specified Annual Demand'!O$3,FALSE)</f>
        <v>3.2275501789101129</v>
      </c>
      <c r="P6" s="7">
        <f>O6*VLOOKUP($B6,'EU Ref Scenario 2020'!$A$126:$AE$153,'Specified Annual Demand'!P$3,FALSE)</f>
        <v>3.2009916286654789</v>
      </c>
      <c r="Q6" s="7">
        <f>P6*VLOOKUP($B6,'EU Ref Scenario 2020'!$A$126:$AE$153,'Specified Annual Demand'!Q$3,FALSE)</f>
        <v>3.2047090740983939</v>
      </c>
      <c r="R6" s="7">
        <f>Q6*VLOOKUP($B6,'EU Ref Scenario 2020'!$A$126:$AE$153,'Specified Annual Demand'!R$3,FALSE)</f>
        <v>3.2084265195313093</v>
      </c>
      <c r="S6" s="7">
        <f>R6*VLOOKUP($B6,'EU Ref Scenario 2020'!$A$126:$AE$153,'Specified Annual Demand'!S$3,FALSE)</f>
        <v>3.2121439649642247</v>
      </c>
      <c r="T6" s="7">
        <f>S6*VLOOKUP($B6,'EU Ref Scenario 2020'!$A$126:$AE$153,'Specified Annual Demand'!T$3,FALSE)</f>
        <v>3.2158614103971401</v>
      </c>
      <c r="U6" s="7">
        <f>T6*VLOOKUP($B6,'EU Ref Scenario 2020'!$A$126:$AE$153,'Specified Annual Demand'!U$3,FALSE)</f>
        <v>3.2195788558300564</v>
      </c>
      <c r="V6" s="7">
        <f>U6*VLOOKUP($B6,'EU Ref Scenario 2020'!$A$126:$AE$153,'Specified Annual Demand'!V$3,FALSE)</f>
        <v>3.2169135702148952</v>
      </c>
      <c r="W6" s="7">
        <f>V6*VLOOKUP($B6,'EU Ref Scenario 2020'!$A$126:$AE$153,'Specified Annual Demand'!W$3,FALSE)</f>
        <v>3.2142482845997336</v>
      </c>
      <c r="X6" s="7">
        <f>W6*VLOOKUP($B6,'EU Ref Scenario 2020'!$A$126:$AE$153,'Specified Annual Demand'!X$3,FALSE)</f>
        <v>3.2115829989845719</v>
      </c>
      <c r="Y6" s="7">
        <f>X6*VLOOKUP($B6,'EU Ref Scenario 2020'!$A$126:$AE$153,'Specified Annual Demand'!Y$3,FALSE)</f>
        <v>3.2089177133694107</v>
      </c>
      <c r="Z6" s="7">
        <f>Y6*VLOOKUP($B6,'EU Ref Scenario 2020'!$A$126:$AE$153,'Specified Annual Demand'!Z$3,FALSE)</f>
        <v>3.2062524277542477</v>
      </c>
      <c r="AA6" s="7">
        <f>Z6*VLOOKUP($B6,'EU Ref Scenario 2020'!$A$126:$AE$153,'Specified Annual Demand'!AA$3,FALSE)</f>
        <v>3.2070318677583933</v>
      </c>
      <c r="AB6" s="7">
        <f>AA6*VLOOKUP($B6,'EU Ref Scenario 2020'!$A$126:$AE$153,'Specified Annual Demand'!AB$3,FALSE)</f>
        <v>3.207811307762539</v>
      </c>
      <c r="AC6" s="7">
        <f>AB6*VLOOKUP($B6,'EU Ref Scenario 2020'!$A$126:$AE$153,'Specified Annual Demand'!AC$3,FALSE)</f>
        <v>3.2085907477666851</v>
      </c>
      <c r="AD6" s="7">
        <f>AC6*VLOOKUP($B6,'EU Ref Scenario 2020'!$A$126:$AE$153,'Specified Annual Demand'!AD$3,FALSE)</f>
        <v>3.2093701877708307</v>
      </c>
      <c r="AE6" s="7">
        <f>AD6*VLOOKUP($B6,'EU Ref Scenario 2020'!$A$126:$AE$153,'Specified Annual Demand'!AE$3,FALSE)</f>
        <v>3.2101496277749773</v>
      </c>
      <c r="AF6" s="7">
        <f>AE6*VLOOKUP($B6,'EU Ref Scenario 2020'!$A$126:$AE$153,'Specified Annual Demand'!AF$3,FALSE)</f>
        <v>3.2085458811358611</v>
      </c>
      <c r="AG6" s="7">
        <f>AF6*VLOOKUP($B6,'EU Ref Scenario 2020'!$A$126:$AE$153,'Specified Annual Demand'!AG$3,FALSE)</f>
        <v>3.206942134496745</v>
      </c>
      <c r="AH6" s="7">
        <f>AG6*VLOOKUP($B6,'EU Ref Scenario 2020'!$A$126:$AE$153,'Specified Annual Demand'!AH$3,FALSE)</f>
        <v>3.2053383878576289</v>
      </c>
      <c r="AI6" s="7">
        <f>AH6*VLOOKUP($B6,'EU Ref Scenario 2020'!$A$126:$AE$153,'Specified Annual Demand'!AI$3,FALSE)</f>
        <v>3.2037346412185128</v>
      </c>
      <c r="AJ6" s="7">
        <f>AI6*VLOOKUP($B6,'EU Ref Scenario 2020'!$A$126:$AE$153,'Specified Annual Demand'!AJ$3,FALSE)</f>
        <v>3.2021308945793958</v>
      </c>
      <c r="AK6" s="8">
        <f t="shared" ref="AK6:AO6" si="2">AJ6</f>
        <v>3.2021308945793958</v>
      </c>
      <c r="AL6" s="8">
        <f t="shared" si="2"/>
        <v>3.2021308945793958</v>
      </c>
      <c r="AM6" s="8">
        <f t="shared" si="2"/>
        <v>3.2021308945793958</v>
      </c>
      <c r="AN6" s="8">
        <f t="shared" si="2"/>
        <v>3.2021308945793958</v>
      </c>
      <c r="AO6" s="8">
        <f t="shared" si="2"/>
        <v>3.2021308945793958</v>
      </c>
    </row>
    <row r="7" spans="1:41" x14ac:dyDescent="0.3">
      <c r="A7" t="s">
        <v>147</v>
      </c>
      <c r="B7" t="str">
        <f t="shared" si="1"/>
        <v>AT</v>
      </c>
      <c r="C7" t="s">
        <v>3</v>
      </c>
      <c r="D7" s="2">
        <v>13.727706153463311</v>
      </c>
      <c r="E7" s="2">
        <v>13.976409548892956</v>
      </c>
      <c r="F7" s="2">
        <v>13.684323399791486</v>
      </c>
      <c r="G7" s="2">
        <v>14.865886887916785</v>
      </c>
      <c r="H7" s="7">
        <f>G7*VLOOKUP($B7,'EU Ref Scenario 2020'!$A$126:$AE$153,'Specified Annual Demand'!H$3,FALSE)</f>
        <v>14.750559406608964</v>
      </c>
      <c r="I7" s="7">
        <f>H7*VLOOKUP($B7,'EU Ref Scenario 2020'!$A$126:$AE$153,'Specified Annual Demand'!I$3,FALSE)</f>
        <v>14.635231925301143</v>
      </c>
      <c r="J7" s="7">
        <f>I7*VLOOKUP($B7,'EU Ref Scenario 2020'!$A$126:$AE$153,'Specified Annual Demand'!J$3,FALSE)</f>
        <v>14.519904443993322</v>
      </c>
      <c r="K7" s="7">
        <f>J7*VLOOKUP($B7,'EU Ref Scenario 2020'!$A$126:$AE$153,'Specified Annual Demand'!K$3,FALSE)</f>
        <v>14.404576962685507</v>
      </c>
      <c r="L7" s="7">
        <f>K7*VLOOKUP($B7,'EU Ref Scenario 2020'!$A$126:$AE$153,'Specified Annual Demand'!L$3,FALSE)</f>
        <v>14.289823086182871</v>
      </c>
      <c r="M7" s="7">
        <f>L7*VLOOKUP($B7,'EU Ref Scenario 2020'!$A$126:$AE$153,'Specified Annual Demand'!M$3,FALSE)</f>
        <v>14.175069209680235</v>
      </c>
      <c r="N7" s="7">
        <f>M7*VLOOKUP($B7,'EU Ref Scenario 2020'!$A$126:$AE$153,'Specified Annual Demand'!N$3,FALSE)</f>
        <v>14.060315333177599</v>
      </c>
      <c r="O7" s="7">
        <f>N7*VLOOKUP($B7,'EU Ref Scenario 2020'!$A$126:$AE$153,'Specified Annual Demand'!O$3,FALSE)</f>
        <v>13.945561456674962</v>
      </c>
      <c r="P7" s="7">
        <f>O7*VLOOKUP($B7,'EU Ref Scenario 2020'!$A$126:$AE$153,'Specified Annual Demand'!P$3,FALSE)</f>
        <v>13.830807580172321</v>
      </c>
      <c r="Q7" s="7">
        <f>P7*VLOOKUP($B7,'EU Ref Scenario 2020'!$A$126:$AE$153,'Specified Annual Demand'!Q$3,FALSE)</f>
        <v>13.846869875372347</v>
      </c>
      <c r="R7" s="7">
        <f>Q7*VLOOKUP($B7,'EU Ref Scenario 2020'!$A$126:$AE$153,'Specified Annual Demand'!R$3,FALSE)</f>
        <v>13.862932170572375</v>
      </c>
      <c r="S7" s="7">
        <f>R7*VLOOKUP($B7,'EU Ref Scenario 2020'!$A$126:$AE$153,'Specified Annual Demand'!S$3,FALSE)</f>
        <v>13.878994465772402</v>
      </c>
      <c r="T7" s="7">
        <f>S7*VLOOKUP($B7,'EU Ref Scenario 2020'!$A$126:$AE$153,'Specified Annual Demand'!T$3,FALSE)</f>
        <v>13.89505676097243</v>
      </c>
      <c r="U7" s="7">
        <f>T7*VLOOKUP($B7,'EU Ref Scenario 2020'!$A$126:$AE$153,'Specified Annual Demand'!U$3,FALSE)</f>
        <v>13.911119056172462</v>
      </c>
      <c r="V7" s="7">
        <f>U7*VLOOKUP($B7,'EU Ref Scenario 2020'!$A$126:$AE$153,'Specified Annual Demand'!V$3,FALSE)</f>
        <v>13.899602920935061</v>
      </c>
      <c r="W7" s="7">
        <f>V7*VLOOKUP($B7,'EU Ref Scenario 2020'!$A$126:$AE$153,'Specified Annual Demand'!W$3,FALSE)</f>
        <v>13.888086785697661</v>
      </c>
      <c r="X7" s="7">
        <f>W7*VLOOKUP($B7,'EU Ref Scenario 2020'!$A$126:$AE$153,'Specified Annual Demand'!X$3,FALSE)</f>
        <v>13.876570650460259</v>
      </c>
      <c r="Y7" s="7">
        <f>X7*VLOOKUP($B7,'EU Ref Scenario 2020'!$A$126:$AE$153,'Specified Annual Demand'!Y$3,FALSE)</f>
        <v>13.865054515222859</v>
      </c>
      <c r="Z7" s="7">
        <f>Y7*VLOOKUP($B7,'EU Ref Scenario 2020'!$A$126:$AE$153,'Specified Annual Demand'!Z$3,FALSE)</f>
        <v>13.853538379985451</v>
      </c>
      <c r="AA7" s="7">
        <f>Z7*VLOOKUP($B7,'EU Ref Scenario 2020'!$A$126:$AE$153,'Specified Annual Demand'!AA$3,FALSE)</f>
        <v>13.856906175333958</v>
      </c>
      <c r="AB7" s="7">
        <f>AA7*VLOOKUP($B7,'EU Ref Scenario 2020'!$A$126:$AE$153,'Specified Annual Demand'!AB$3,FALSE)</f>
        <v>13.860273970682464</v>
      </c>
      <c r="AC7" s="7">
        <f>AB7*VLOOKUP($B7,'EU Ref Scenario 2020'!$A$126:$AE$153,'Specified Annual Demand'!AC$3,FALSE)</f>
        <v>13.863641766030971</v>
      </c>
      <c r="AD7" s="7">
        <f>AC7*VLOOKUP($B7,'EU Ref Scenario 2020'!$A$126:$AE$153,'Specified Annual Demand'!AD$3,FALSE)</f>
        <v>13.867009561379477</v>
      </c>
      <c r="AE7" s="7">
        <f>AD7*VLOOKUP($B7,'EU Ref Scenario 2020'!$A$126:$AE$153,'Specified Annual Demand'!AE$3,FALSE)</f>
        <v>13.870377356727989</v>
      </c>
      <c r="AF7" s="7">
        <f>AE7*VLOOKUP($B7,'EU Ref Scenario 2020'!$A$126:$AE$153,'Specified Annual Demand'!AF$3,FALSE)</f>
        <v>13.863447906811805</v>
      </c>
      <c r="AG7" s="7">
        <f>AF7*VLOOKUP($B7,'EU Ref Scenario 2020'!$A$126:$AE$153,'Specified Annual Demand'!AG$3,FALSE)</f>
        <v>13.856518456895621</v>
      </c>
      <c r="AH7" s="7">
        <f>AG7*VLOOKUP($B7,'EU Ref Scenario 2020'!$A$126:$AE$153,'Specified Annual Demand'!AH$3,FALSE)</f>
        <v>13.849589006979437</v>
      </c>
      <c r="AI7" s="7">
        <f>AH7*VLOOKUP($B7,'EU Ref Scenario 2020'!$A$126:$AE$153,'Specified Annual Demand'!AI$3,FALSE)</f>
        <v>13.842659557063254</v>
      </c>
      <c r="AJ7" s="7">
        <f>AI7*VLOOKUP($B7,'EU Ref Scenario 2020'!$A$126:$AE$153,'Specified Annual Demand'!AJ$3,FALSE)</f>
        <v>13.835730107147066</v>
      </c>
      <c r="AK7" s="8">
        <f t="shared" ref="AK7:AO7" si="3">AJ7</f>
        <v>13.835730107147066</v>
      </c>
      <c r="AL7" s="8">
        <f t="shared" si="3"/>
        <v>13.835730107147066</v>
      </c>
      <c r="AM7" s="8">
        <f t="shared" si="3"/>
        <v>13.835730107147066</v>
      </c>
      <c r="AN7" s="8">
        <f t="shared" si="3"/>
        <v>13.835730107147066</v>
      </c>
      <c r="AO7" s="8">
        <f t="shared" si="3"/>
        <v>13.835730107147066</v>
      </c>
    </row>
    <row r="8" spans="1:41" x14ac:dyDescent="0.3">
      <c r="A8" t="s">
        <v>148</v>
      </c>
      <c r="B8" t="str">
        <f t="shared" si="1"/>
        <v>AT</v>
      </c>
      <c r="C8" t="s">
        <v>4</v>
      </c>
      <c r="D8" s="2">
        <v>60.058046188992165</v>
      </c>
      <c r="E8" s="2">
        <v>60.275847468392449</v>
      </c>
      <c r="F8" s="2">
        <v>57.603762610630994</v>
      </c>
      <c r="G8" s="2">
        <v>61.114931243516999</v>
      </c>
      <c r="H8" s="7">
        <f>G8*VLOOKUP($B8,'EU Ref Scenario 2020'!$A$126:$AE$153,'Specified Annual Demand'!H$3,FALSE)</f>
        <v>60.640810113458869</v>
      </c>
      <c r="I8" s="7">
        <f>H8*VLOOKUP($B8,'EU Ref Scenario 2020'!$A$126:$AE$153,'Specified Annual Demand'!I$3,FALSE)</f>
        <v>60.166688983400732</v>
      </c>
      <c r="J8" s="7">
        <f>I8*VLOOKUP($B8,'EU Ref Scenario 2020'!$A$126:$AE$153,'Specified Annual Demand'!J$3,FALSE)</f>
        <v>59.692567853342595</v>
      </c>
      <c r="K8" s="7">
        <f>J8*VLOOKUP($B8,'EU Ref Scenario 2020'!$A$126:$AE$153,'Specified Annual Demand'!K$3,FALSE)</f>
        <v>59.218446723284487</v>
      </c>
      <c r="L8" s="7">
        <f>K8*VLOOKUP($B8,'EU Ref Scenario 2020'!$A$126:$AE$153,'Specified Annual Demand'!L$3,FALSE)</f>
        <v>58.74668373159335</v>
      </c>
      <c r="M8" s="7">
        <f>L8*VLOOKUP($B8,'EU Ref Scenario 2020'!$A$126:$AE$153,'Specified Annual Demand'!M$3,FALSE)</f>
        <v>58.274920739902214</v>
      </c>
      <c r="N8" s="7">
        <f>M8*VLOOKUP($B8,'EU Ref Scenario 2020'!$A$126:$AE$153,'Specified Annual Demand'!N$3,FALSE)</f>
        <v>57.803157748211078</v>
      </c>
      <c r="O8" s="7">
        <f>N8*VLOOKUP($B8,'EU Ref Scenario 2020'!$A$126:$AE$153,'Specified Annual Demand'!O$3,FALSE)</f>
        <v>57.331394756519941</v>
      </c>
      <c r="P8" s="7">
        <f>O8*VLOOKUP($B8,'EU Ref Scenario 2020'!$A$126:$AE$153,'Specified Annual Demand'!P$3,FALSE)</f>
        <v>56.859631764828784</v>
      </c>
      <c r="Q8" s="7">
        <f>P8*VLOOKUP($B8,'EU Ref Scenario 2020'!$A$126:$AE$153,'Specified Annual Demand'!Q$3,FALSE)</f>
        <v>56.92566523287303</v>
      </c>
      <c r="R8" s="7">
        <f>Q8*VLOOKUP($B8,'EU Ref Scenario 2020'!$A$126:$AE$153,'Specified Annual Demand'!R$3,FALSE)</f>
        <v>56.991698700917283</v>
      </c>
      <c r="S8" s="7">
        <f>R8*VLOOKUP($B8,'EU Ref Scenario 2020'!$A$126:$AE$153,'Specified Annual Demand'!S$3,FALSE)</f>
        <v>57.057732168961536</v>
      </c>
      <c r="T8" s="7">
        <f>S8*VLOOKUP($B8,'EU Ref Scenario 2020'!$A$126:$AE$153,'Specified Annual Demand'!T$3,FALSE)</f>
        <v>57.123765637005796</v>
      </c>
      <c r="U8" s="7">
        <f>T8*VLOOKUP($B8,'EU Ref Scenario 2020'!$A$126:$AE$153,'Specified Annual Demand'!U$3,FALSE)</f>
        <v>57.189799105050064</v>
      </c>
      <c r="V8" s="7">
        <f>U8*VLOOKUP($B8,'EU Ref Scenario 2020'!$A$126:$AE$153,'Specified Annual Demand'!V$3,FALSE)</f>
        <v>57.142455289068465</v>
      </c>
      <c r="W8" s="7">
        <f>V8*VLOOKUP($B8,'EU Ref Scenario 2020'!$A$126:$AE$153,'Specified Annual Demand'!W$3,FALSE)</f>
        <v>57.095111473086867</v>
      </c>
      <c r="X8" s="7">
        <f>W8*VLOOKUP($B8,'EU Ref Scenario 2020'!$A$126:$AE$153,'Specified Annual Demand'!X$3,FALSE)</f>
        <v>57.047767657105268</v>
      </c>
      <c r="Y8" s="7">
        <f>X8*VLOOKUP($B8,'EU Ref Scenario 2020'!$A$126:$AE$153,'Specified Annual Demand'!Y$3,FALSE)</f>
        <v>57.00042384112367</v>
      </c>
      <c r="Z8" s="7">
        <f>Y8*VLOOKUP($B8,'EU Ref Scenario 2020'!$A$126:$AE$153,'Specified Annual Demand'!Z$3,FALSE)</f>
        <v>56.953080025142043</v>
      </c>
      <c r="AA8" s="7">
        <f>Z8*VLOOKUP($B8,'EU Ref Scenario 2020'!$A$126:$AE$153,'Specified Annual Demand'!AA$3,FALSE)</f>
        <v>56.966925319588178</v>
      </c>
      <c r="AB8" s="7">
        <f>AA8*VLOOKUP($B8,'EU Ref Scenario 2020'!$A$126:$AE$153,'Specified Annual Demand'!AB$3,FALSE)</f>
        <v>56.980770614034313</v>
      </c>
      <c r="AC8" s="7">
        <f>AB8*VLOOKUP($B8,'EU Ref Scenario 2020'!$A$126:$AE$153,'Specified Annual Demand'!AC$3,FALSE)</f>
        <v>56.994615908480455</v>
      </c>
      <c r="AD8" s="7">
        <f>AC8*VLOOKUP($B8,'EU Ref Scenario 2020'!$A$126:$AE$153,'Specified Annual Demand'!AD$3,FALSE)</f>
        <v>57.008461202926597</v>
      </c>
      <c r="AE8" s="7">
        <f>AD8*VLOOKUP($B8,'EU Ref Scenario 2020'!$A$126:$AE$153,'Specified Annual Demand'!AE$3,FALSE)</f>
        <v>57.022306497372753</v>
      </c>
      <c r="AF8" s="7">
        <f>AE8*VLOOKUP($B8,'EU Ref Scenario 2020'!$A$126:$AE$153,'Specified Annual Demand'!AF$3,FALSE)</f>
        <v>56.993818936665747</v>
      </c>
      <c r="AG8" s="7">
        <f>AF8*VLOOKUP($B8,'EU Ref Scenario 2020'!$A$126:$AE$153,'Specified Annual Demand'!AG$3,FALSE)</f>
        <v>56.965331375958748</v>
      </c>
      <c r="AH8" s="7">
        <f>AG8*VLOOKUP($B8,'EU Ref Scenario 2020'!$A$126:$AE$153,'Specified Annual Demand'!AH$3,FALSE)</f>
        <v>56.936843815251741</v>
      </c>
      <c r="AI8" s="7">
        <f>AH8*VLOOKUP($B8,'EU Ref Scenario 2020'!$A$126:$AE$153,'Specified Annual Demand'!AI$3,FALSE)</f>
        <v>56.908356254544735</v>
      </c>
      <c r="AJ8" s="7">
        <f>AI8*VLOOKUP($B8,'EU Ref Scenario 2020'!$A$126:$AE$153,'Specified Annual Demand'!AJ$3,FALSE)</f>
        <v>56.879868693837714</v>
      </c>
      <c r="AK8" s="8">
        <f t="shared" ref="AK8:AO8" si="4">AJ8</f>
        <v>56.879868693837714</v>
      </c>
      <c r="AL8" s="8">
        <f t="shared" si="4"/>
        <v>56.879868693837714</v>
      </c>
      <c r="AM8" s="8">
        <f t="shared" si="4"/>
        <v>56.879868693837714</v>
      </c>
      <c r="AN8" s="8">
        <f t="shared" si="4"/>
        <v>56.879868693837714</v>
      </c>
      <c r="AO8" s="8">
        <f t="shared" si="4"/>
        <v>56.879868693837714</v>
      </c>
    </row>
    <row r="9" spans="1:41" x14ac:dyDescent="0.3">
      <c r="A9" t="s">
        <v>145</v>
      </c>
      <c r="B9" t="str">
        <f t="shared" si="1"/>
        <v>BE</v>
      </c>
      <c r="C9" t="s">
        <v>5</v>
      </c>
      <c r="D9" s="2">
        <v>292.75853598751928</v>
      </c>
      <c r="E9" s="2">
        <v>293.20673280196979</v>
      </c>
      <c r="F9" s="2">
        <v>292.03073714026652</v>
      </c>
      <c r="G9" s="2">
        <v>325.07599789963723</v>
      </c>
      <c r="H9" s="7">
        <f>G9*VLOOKUP($B9,'EU Ref Scenario 2020'!$A$126:$AE$153,'Specified Annual Demand'!H$3,FALSE)</f>
        <v>325.699771268186</v>
      </c>
      <c r="I9" s="7">
        <f>H9*VLOOKUP($B9,'EU Ref Scenario 2020'!$A$126:$AE$153,'Specified Annual Demand'!I$3,FALSE)</f>
        <v>326.32354463673477</v>
      </c>
      <c r="J9" s="7">
        <f>I9*VLOOKUP($B9,'EU Ref Scenario 2020'!$A$126:$AE$153,'Specified Annual Demand'!J$3,FALSE)</f>
        <v>326.94731800528353</v>
      </c>
      <c r="K9" s="7">
        <f>J9*VLOOKUP($B9,'EU Ref Scenario 2020'!$A$126:$AE$153,'Specified Annual Demand'!K$3,FALSE)</f>
        <v>327.5710913738323</v>
      </c>
      <c r="L9" s="7">
        <f>K9*VLOOKUP($B9,'EU Ref Scenario 2020'!$A$126:$AE$153,'Specified Annual Demand'!L$3,FALSE)</f>
        <v>323.36642760791892</v>
      </c>
      <c r="M9" s="7">
        <f>L9*VLOOKUP($B9,'EU Ref Scenario 2020'!$A$126:$AE$153,'Specified Annual Demand'!M$3,FALSE)</f>
        <v>319.16176384200554</v>
      </c>
      <c r="N9" s="7">
        <f>M9*VLOOKUP($B9,'EU Ref Scenario 2020'!$A$126:$AE$153,'Specified Annual Demand'!N$3,FALSE)</f>
        <v>314.95710007609216</v>
      </c>
      <c r="O9" s="7">
        <f>N9*VLOOKUP($B9,'EU Ref Scenario 2020'!$A$126:$AE$153,'Specified Annual Demand'!O$3,FALSE)</f>
        <v>310.75243631017878</v>
      </c>
      <c r="P9" s="7">
        <f>O9*VLOOKUP($B9,'EU Ref Scenario 2020'!$A$126:$AE$153,'Specified Annual Demand'!P$3,FALSE)</f>
        <v>306.54777254426534</v>
      </c>
      <c r="Q9" s="7">
        <f>P9*VLOOKUP($B9,'EU Ref Scenario 2020'!$A$126:$AE$153,'Specified Annual Demand'!Q$3,FALSE)</f>
        <v>305.45372410235143</v>
      </c>
      <c r="R9" s="7">
        <f>Q9*VLOOKUP($B9,'EU Ref Scenario 2020'!$A$126:$AE$153,'Specified Annual Demand'!R$3,FALSE)</f>
        <v>304.35967566043752</v>
      </c>
      <c r="S9" s="7">
        <f>R9*VLOOKUP($B9,'EU Ref Scenario 2020'!$A$126:$AE$153,'Specified Annual Demand'!S$3,FALSE)</f>
        <v>303.2656272185236</v>
      </c>
      <c r="T9" s="7">
        <f>S9*VLOOKUP($B9,'EU Ref Scenario 2020'!$A$126:$AE$153,'Specified Annual Demand'!T$3,FALSE)</f>
        <v>302.17157877660969</v>
      </c>
      <c r="U9" s="7">
        <f>T9*VLOOKUP($B9,'EU Ref Scenario 2020'!$A$126:$AE$153,'Specified Annual Demand'!U$3,FALSE)</f>
        <v>301.07753033469567</v>
      </c>
      <c r="V9" s="7">
        <f>U9*VLOOKUP($B9,'EU Ref Scenario 2020'!$A$126:$AE$153,'Specified Annual Demand'!V$3,FALSE)</f>
        <v>300.53126531439869</v>
      </c>
      <c r="W9" s="7">
        <f>V9*VLOOKUP($B9,'EU Ref Scenario 2020'!$A$126:$AE$153,'Specified Annual Demand'!W$3,FALSE)</f>
        <v>299.98500029410172</v>
      </c>
      <c r="X9" s="7">
        <f>W9*VLOOKUP($B9,'EU Ref Scenario 2020'!$A$126:$AE$153,'Specified Annual Demand'!X$3,FALSE)</f>
        <v>299.43873527380475</v>
      </c>
      <c r="Y9" s="7">
        <f>X9*VLOOKUP($B9,'EU Ref Scenario 2020'!$A$126:$AE$153,'Specified Annual Demand'!Y$3,FALSE)</f>
        <v>298.89247025350778</v>
      </c>
      <c r="Z9" s="7">
        <f>Y9*VLOOKUP($B9,'EU Ref Scenario 2020'!$A$126:$AE$153,'Specified Annual Demand'!Z$3,FALSE)</f>
        <v>298.34620523321075</v>
      </c>
      <c r="AA9" s="7">
        <f>Z9*VLOOKUP($B9,'EU Ref Scenario 2020'!$A$126:$AE$153,'Specified Annual Demand'!AA$3,FALSE)</f>
        <v>298.06252839926714</v>
      </c>
      <c r="AB9" s="7">
        <f>AA9*VLOOKUP($B9,'EU Ref Scenario 2020'!$A$126:$AE$153,'Specified Annual Demand'!AB$3,FALSE)</f>
        <v>297.77885156532346</v>
      </c>
      <c r="AC9" s="7">
        <f>AB9*VLOOKUP($B9,'EU Ref Scenario 2020'!$A$126:$AE$153,'Specified Annual Demand'!AC$3,FALSE)</f>
        <v>297.49517473137979</v>
      </c>
      <c r="AD9" s="7">
        <f>AC9*VLOOKUP($B9,'EU Ref Scenario 2020'!$A$126:$AE$153,'Specified Annual Demand'!AD$3,FALSE)</f>
        <v>297.21149789743612</v>
      </c>
      <c r="AE9" s="7">
        <f>AD9*VLOOKUP($B9,'EU Ref Scenario 2020'!$A$126:$AE$153,'Specified Annual Demand'!AE$3,FALSE)</f>
        <v>296.92782106349244</v>
      </c>
      <c r="AF9" s="7">
        <f>AE9*VLOOKUP($B9,'EU Ref Scenario 2020'!$A$126:$AE$153,'Specified Annual Demand'!AF$3,FALSE)</f>
        <v>296.03495783483777</v>
      </c>
      <c r="AG9" s="7">
        <f>AF9*VLOOKUP($B9,'EU Ref Scenario 2020'!$A$126:$AE$153,'Specified Annual Demand'!AG$3,FALSE)</f>
        <v>295.14209460618309</v>
      </c>
      <c r="AH9" s="7">
        <f>AG9*VLOOKUP($B9,'EU Ref Scenario 2020'!$A$126:$AE$153,'Specified Annual Demand'!AH$3,FALSE)</f>
        <v>294.24923137752842</v>
      </c>
      <c r="AI9" s="7">
        <f>AH9*VLOOKUP($B9,'EU Ref Scenario 2020'!$A$126:$AE$153,'Specified Annual Demand'!AI$3,FALSE)</f>
        <v>293.35636814887374</v>
      </c>
      <c r="AJ9" s="7">
        <f>AI9*VLOOKUP($B9,'EU Ref Scenario 2020'!$A$126:$AE$153,'Specified Annual Demand'!AJ$3,FALSE)</f>
        <v>292.46350492021895</v>
      </c>
      <c r="AK9" s="8">
        <f t="shared" ref="AK9:AO9" si="5">AJ9</f>
        <v>292.46350492021895</v>
      </c>
      <c r="AL9" s="8">
        <f t="shared" si="5"/>
        <v>292.46350492021895</v>
      </c>
      <c r="AM9" s="8">
        <f t="shared" si="5"/>
        <v>292.46350492021895</v>
      </c>
      <c r="AN9" s="8">
        <f t="shared" si="5"/>
        <v>292.46350492021895</v>
      </c>
      <c r="AO9" s="8">
        <f t="shared" si="5"/>
        <v>292.46350492021895</v>
      </c>
    </row>
    <row r="10" spans="1:41" x14ac:dyDescent="0.3">
      <c r="A10" t="s">
        <v>146</v>
      </c>
      <c r="B10" t="str">
        <f t="shared" si="1"/>
        <v>BE</v>
      </c>
      <c r="C10" t="s">
        <v>6</v>
      </c>
      <c r="D10" s="2">
        <v>14.182777147165355</v>
      </c>
      <c r="E10" s="2">
        <v>13.962666738007616</v>
      </c>
      <c r="F10" s="2">
        <v>15.676903385819601</v>
      </c>
      <c r="G10" s="2">
        <v>13.406219849341694</v>
      </c>
      <c r="H10" s="7">
        <f>G10*VLOOKUP($B10,'EU Ref Scenario 2020'!$A$126:$AE$153,'Specified Annual Demand'!H$3,FALSE)</f>
        <v>13.43194442749868</v>
      </c>
      <c r="I10" s="7">
        <f>H10*VLOOKUP($B10,'EU Ref Scenario 2020'!$A$126:$AE$153,'Specified Annual Demand'!I$3,FALSE)</f>
        <v>13.457669005655665</v>
      </c>
      <c r="J10" s="7">
        <f>I10*VLOOKUP($B10,'EU Ref Scenario 2020'!$A$126:$AE$153,'Specified Annual Demand'!J$3,FALSE)</f>
        <v>13.483393583812651</v>
      </c>
      <c r="K10" s="7">
        <f>J10*VLOOKUP($B10,'EU Ref Scenario 2020'!$A$126:$AE$153,'Specified Annual Demand'!K$3,FALSE)</f>
        <v>13.509118161969635</v>
      </c>
      <c r="L10" s="7">
        <f>K10*VLOOKUP($B10,'EU Ref Scenario 2020'!$A$126:$AE$153,'Specified Annual Demand'!L$3,FALSE)</f>
        <v>13.335716719837329</v>
      </c>
      <c r="M10" s="7">
        <f>L10*VLOOKUP($B10,'EU Ref Scenario 2020'!$A$126:$AE$153,'Specified Annual Demand'!M$3,FALSE)</f>
        <v>13.162315277705023</v>
      </c>
      <c r="N10" s="7">
        <f>M10*VLOOKUP($B10,'EU Ref Scenario 2020'!$A$126:$AE$153,'Specified Annual Demand'!N$3,FALSE)</f>
        <v>12.988913835572717</v>
      </c>
      <c r="O10" s="7">
        <f>N10*VLOOKUP($B10,'EU Ref Scenario 2020'!$A$126:$AE$153,'Specified Annual Demand'!O$3,FALSE)</f>
        <v>12.815512393440411</v>
      </c>
      <c r="P10" s="7">
        <f>O10*VLOOKUP($B10,'EU Ref Scenario 2020'!$A$126:$AE$153,'Specified Annual Demand'!P$3,FALSE)</f>
        <v>12.642110951308103</v>
      </c>
      <c r="Q10" s="7">
        <f>P10*VLOOKUP($B10,'EU Ref Scenario 2020'!$A$126:$AE$153,'Specified Annual Demand'!Q$3,FALSE)</f>
        <v>12.596992105152454</v>
      </c>
      <c r="R10" s="7">
        <f>Q10*VLOOKUP($B10,'EU Ref Scenario 2020'!$A$126:$AE$153,'Specified Annual Demand'!R$3,FALSE)</f>
        <v>12.551873258996807</v>
      </c>
      <c r="S10" s="7">
        <f>R10*VLOOKUP($B10,'EU Ref Scenario 2020'!$A$126:$AE$153,'Specified Annual Demand'!S$3,FALSE)</f>
        <v>12.506754412841158</v>
      </c>
      <c r="T10" s="7">
        <f>S10*VLOOKUP($B10,'EU Ref Scenario 2020'!$A$126:$AE$153,'Specified Annual Demand'!T$3,FALSE)</f>
        <v>12.461635566685509</v>
      </c>
      <c r="U10" s="7">
        <f>T10*VLOOKUP($B10,'EU Ref Scenario 2020'!$A$126:$AE$153,'Specified Annual Demand'!U$3,FALSE)</f>
        <v>12.416516720529856</v>
      </c>
      <c r="V10" s="7">
        <f>U10*VLOOKUP($B10,'EU Ref Scenario 2020'!$A$126:$AE$153,'Specified Annual Demand'!V$3,FALSE)</f>
        <v>12.393988607087389</v>
      </c>
      <c r="W10" s="7">
        <f>V10*VLOOKUP($B10,'EU Ref Scenario 2020'!$A$126:$AE$153,'Specified Annual Demand'!W$3,FALSE)</f>
        <v>12.371460493644921</v>
      </c>
      <c r="X10" s="7">
        <f>W10*VLOOKUP($B10,'EU Ref Scenario 2020'!$A$126:$AE$153,'Specified Annual Demand'!X$3,FALSE)</f>
        <v>12.348932380202454</v>
      </c>
      <c r="Y10" s="7">
        <f>X10*VLOOKUP($B10,'EU Ref Scenario 2020'!$A$126:$AE$153,'Specified Annual Demand'!Y$3,FALSE)</f>
        <v>12.326404266759987</v>
      </c>
      <c r="Z10" s="7">
        <f>Y10*VLOOKUP($B10,'EU Ref Scenario 2020'!$A$126:$AE$153,'Specified Annual Demand'!Z$3,FALSE)</f>
        <v>12.303876153317518</v>
      </c>
      <c r="AA10" s="7">
        <f>Z10*VLOOKUP($B10,'EU Ref Scenario 2020'!$A$126:$AE$153,'Specified Annual Demand'!AA$3,FALSE)</f>
        <v>12.292177245903295</v>
      </c>
      <c r="AB10" s="7">
        <f>AA10*VLOOKUP($B10,'EU Ref Scenario 2020'!$A$126:$AE$153,'Specified Annual Demand'!AB$3,FALSE)</f>
        <v>12.280478338489072</v>
      </c>
      <c r="AC10" s="7">
        <f>AB10*VLOOKUP($B10,'EU Ref Scenario 2020'!$A$126:$AE$153,'Specified Annual Demand'!AC$3,FALSE)</f>
        <v>12.268779431074849</v>
      </c>
      <c r="AD10" s="7">
        <f>AC10*VLOOKUP($B10,'EU Ref Scenario 2020'!$A$126:$AE$153,'Specified Annual Demand'!AD$3,FALSE)</f>
        <v>12.257080523660626</v>
      </c>
      <c r="AE10" s="7">
        <f>AD10*VLOOKUP($B10,'EU Ref Scenario 2020'!$A$126:$AE$153,'Specified Annual Demand'!AE$3,FALSE)</f>
        <v>12.245381616246403</v>
      </c>
      <c r="AF10" s="7">
        <f>AE10*VLOOKUP($B10,'EU Ref Scenario 2020'!$A$126:$AE$153,'Specified Annual Demand'!AF$3,FALSE)</f>
        <v>12.208559701321656</v>
      </c>
      <c r="AG10" s="7">
        <f>AF10*VLOOKUP($B10,'EU Ref Scenario 2020'!$A$126:$AE$153,'Specified Annual Demand'!AG$3,FALSE)</f>
        <v>12.171737786396909</v>
      </c>
      <c r="AH10" s="7">
        <f>AG10*VLOOKUP($B10,'EU Ref Scenario 2020'!$A$126:$AE$153,'Specified Annual Demand'!AH$3,FALSE)</f>
        <v>12.134915871472161</v>
      </c>
      <c r="AI10" s="7">
        <f>AH10*VLOOKUP($B10,'EU Ref Scenario 2020'!$A$126:$AE$153,'Specified Annual Demand'!AI$3,FALSE)</f>
        <v>12.098093956547414</v>
      </c>
      <c r="AJ10" s="7">
        <f>AI10*VLOOKUP($B10,'EU Ref Scenario 2020'!$A$126:$AE$153,'Specified Annual Demand'!AJ$3,FALSE)</f>
        <v>12.061272041622663</v>
      </c>
      <c r="AK10" s="8">
        <f t="shared" ref="AK10:AO10" si="6">AJ10</f>
        <v>12.061272041622663</v>
      </c>
      <c r="AL10" s="8">
        <f t="shared" si="6"/>
        <v>12.061272041622663</v>
      </c>
      <c r="AM10" s="8">
        <f t="shared" si="6"/>
        <v>12.061272041622663</v>
      </c>
      <c r="AN10" s="8">
        <f t="shared" si="6"/>
        <v>12.061272041622663</v>
      </c>
      <c r="AO10" s="8">
        <f t="shared" si="6"/>
        <v>12.061272041622663</v>
      </c>
    </row>
    <row r="11" spans="1:41" x14ac:dyDescent="0.3">
      <c r="A11" t="s">
        <v>147</v>
      </c>
      <c r="B11" t="str">
        <f t="shared" si="1"/>
        <v>BE</v>
      </c>
      <c r="C11" t="s">
        <v>7</v>
      </c>
      <c r="D11" s="2">
        <v>14.148230414446356</v>
      </c>
      <c r="E11" s="2">
        <v>14.169729436911936</v>
      </c>
      <c r="F11" s="2">
        <v>14.155312832643975</v>
      </c>
      <c r="G11" s="2">
        <v>14.772392213933037</v>
      </c>
      <c r="H11" s="7">
        <f>G11*VLOOKUP($B11,'EU Ref Scenario 2020'!$A$126:$AE$153,'Specified Annual Demand'!H$3,FALSE)</f>
        <v>14.800738277353117</v>
      </c>
      <c r="I11" s="7">
        <f>H11*VLOOKUP($B11,'EU Ref Scenario 2020'!$A$126:$AE$153,'Specified Annual Demand'!I$3,FALSE)</f>
        <v>14.829084340773198</v>
      </c>
      <c r="J11" s="7">
        <f>I11*VLOOKUP($B11,'EU Ref Scenario 2020'!$A$126:$AE$153,'Specified Annual Demand'!J$3,FALSE)</f>
        <v>14.857430404193279</v>
      </c>
      <c r="K11" s="7">
        <f>J11*VLOOKUP($B11,'EU Ref Scenario 2020'!$A$126:$AE$153,'Specified Annual Demand'!K$3,FALSE)</f>
        <v>14.885776467613358</v>
      </c>
      <c r="L11" s="7">
        <f>K11*VLOOKUP($B11,'EU Ref Scenario 2020'!$A$126:$AE$153,'Specified Annual Demand'!L$3,FALSE)</f>
        <v>14.694704402375979</v>
      </c>
      <c r="M11" s="7">
        <f>L11*VLOOKUP($B11,'EU Ref Scenario 2020'!$A$126:$AE$153,'Specified Annual Demand'!M$3,FALSE)</f>
        <v>14.503632337138603</v>
      </c>
      <c r="N11" s="7">
        <f>M11*VLOOKUP($B11,'EU Ref Scenario 2020'!$A$126:$AE$153,'Specified Annual Demand'!N$3,FALSE)</f>
        <v>14.312560271901225</v>
      </c>
      <c r="O11" s="7">
        <f>N11*VLOOKUP($B11,'EU Ref Scenario 2020'!$A$126:$AE$153,'Specified Annual Demand'!O$3,FALSE)</f>
        <v>14.121488206663846</v>
      </c>
      <c r="P11" s="7">
        <f>O11*VLOOKUP($B11,'EU Ref Scenario 2020'!$A$126:$AE$153,'Specified Annual Demand'!P$3,FALSE)</f>
        <v>13.930416141426466</v>
      </c>
      <c r="Q11" s="7">
        <f>P11*VLOOKUP($B11,'EU Ref Scenario 2020'!$A$126:$AE$153,'Specified Annual Demand'!Q$3,FALSE)</f>
        <v>13.880699420446087</v>
      </c>
      <c r="R11" s="7">
        <f>Q11*VLOOKUP($B11,'EU Ref Scenario 2020'!$A$126:$AE$153,'Specified Annual Demand'!R$3,FALSE)</f>
        <v>13.830982699465707</v>
      </c>
      <c r="S11" s="7">
        <f>R11*VLOOKUP($B11,'EU Ref Scenario 2020'!$A$126:$AE$153,'Specified Annual Demand'!S$3,FALSE)</f>
        <v>13.781265978485328</v>
      </c>
      <c r="T11" s="7">
        <f>S11*VLOOKUP($B11,'EU Ref Scenario 2020'!$A$126:$AE$153,'Specified Annual Demand'!T$3,FALSE)</f>
        <v>13.731549257504948</v>
      </c>
      <c r="U11" s="7">
        <f>T11*VLOOKUP($B11,'EU Ref Scenario 2020'!$A$126:$AE$153,'Specified Annual Demand'!U$3,FALSE)</f>
        <v>13.681832536524565</v>
      </c>
      <c r="V11" s="7">
        <f>U11*VLOOKUP($B11,'EU Ref Scenario 2020'!$A$126:$AE$153,'Specified Annual Demand'!V$3,FALSE)</f>
        <v>13.657008676305054</v>
      </c>
      <c r="W11" s="7">
        <f>V11*VLOOKUP($B11,'EU Ref Scenario 2020'!$A$126:$AE$153,'Specified Annual Demand'!W$3,FALSE)</f>
        <v>13.632184816085543</v>
      </c>
      <c r="X11" s="7">
        <f>W11*VLOOKUP($B11,'EU Ref Scenario 2020'!$A$126:$AE$153,'Specified Annual Demand'!X$3,FALSE)</f>
        <v>13.607360955866032</v>
      </c>
      <c r="Y11" s="7">
        <f>X11*VLOOKUP($B11,'EU Ref Scenario 2020'!$A$126:$AE$153,'Specified Annual Demand'!Y$3,FALSE)</f>
        <v>13.58253709564652</v>
      </c>
      <c r="Z11" s="7">
        <f>Y11*VLOOKUP($B11,'EU Ref Scenario 2020'!$A$126:$AE$153,'Specified Annual Demand'!Z$3,FALSE)</f>
        <v>13.557713235427006</v>
      </c>
      <c r="AA11" s="7">
        <f>Z11*VLOOKUP($B11,'EU Ref Scenario 2020'!$A$126:$AE$153,'Specified Annual Demand'!AA$3,FALSE)</f>
        <v>13.544822140790373</v>
      </c>
      <c r="AB11" s="7">
        <f>AA11*VLOOKUP($B11,'EU Ref Scenario 2020'!$A$126:$AE$153,'Specified Annual Demand'!AB$3,FALSE)</f>
        <v>13.531931046153739</v>
      </c>
      <c r="AC11" s="7">
        <f>AB11*VLOOKUP($B11,'EU Ref Scenario 2020'!$A$126:$AE$153,'Specified Annual Demand'!AC$3,FALSE)</f>
        <v>13.519039951517104</v>
      </c>
      <c r="AD11" s="7">
        <f>AC11*VLOOKUP($B11,'EU Ref Scenario 2020'!$A$126:$AE$153,'Specified Annual Demand'!AD$3,FALSE)</f>
        <v>13.50614885688047</v>
      </c>
      <c r="AE11" s="7">
        <f>AD11*VLOOKUP($B11,'EU Ref Scenario 2020'!$A$126:$AE$153,'Specified Annual Demand'!AE$3,FALSE)</f>
        <v>13.493257762243836</v>
      </c>
      <c r="AF11" s="7">
        <f>AE11*VLOOKUP($B11,'EU Ref Scenario 2020'!$A$126:$AE$153,'Specified Annual Demand'!AF$3,FALSE)</f>
        <v>13.452683478407728</v>
      </c>
      <c r="AG11" s="7">
        <f>AF11*VLOOKUP($B11,'EU Ref Scenario 2020'!$A$126:$AE$153,'Specified Annual Demand'!AG$3,FALSE)</f>
        <v>13.412109194571622</v>
      </c>
      <c r="AH11" s="7">
        <f>AG11*VLOOKUP($B11,'EU Ref Scenario 2020'!$A$126:$AE$153,'Specified Annual Demand'!AH$3,FALSE)</f>
        <v>13.371534910735516</v>
      </c>
      <c r="AI11" s="7">
        <f>AH11*VLOOKUP($B11,'EU Ref Scenario 2020'!$A$126:$AE$153,'Specified Annual Demand'!AI$3,FALSE)</f>
        <v>13.330960626899408</v>
      </c>
      <c r="AJ11" s="7">
        <f>AI11*VLOOKUP($B11,'EU Ref Scenario 2020'!$A$126:$AE$153,'Specified Annual Demand'!AJ$3,FALSE)</f>
        <v>13.290386343063297</v>
      </c>
      <c r="AK11" s="8">
        <f t="shared" ref="AK11:AO11" si="7">AJ11</f>
        <v>13.290386343063297</v>
      </c>
      <c r="AL11" s="8">
        <f t="shared" si="7"/>
        <v>13.290386343063297</v>
      </c>
      <c r="AM11" s="8">
        <f t="shared" si="7"/>
        <v>13.290386343063297</v>
      </c>
      <c r="AN11" s="8">
        <f t="shared" si="7"/>
        <v>13.290386343063297</v>
      </c>
      <c r="AO11" s="8">
        <f t="shared" si="7"/>
        <v>13.290386343063297</v>
      </c>
    </row>
    <row r="12" spans="1:41" x14ac:dyDescent="0.3">
      <c r="A12" t="s">
        <v>148</v>
      </c>
      <c r="B12" t="str">
        <f t="shared" si="1"/>
        <v>BE</v>
      </c>
      <c r="C12" t="s">
        <v>8</v>
      </c>
      <c r="D12" s="2">
        <v>96.412115810110947</v>
      </c>
      <c r="E12" s="2">
        <v>93.675160482408259</v>
      </c>
      <c r="F12" s="2">
        <v>92.448955043368144</v>
      </c>
      <c r="G12" s="2">
        <v>91.730312078770254</v>
      </c>
      <c r="H12" s="7">
        <f>G12*VLOOKUP($B12,'EU Ref Scenario 2020'!$A$126:$AE$153,'Specified Annual Demand'!H$3,FALSE)</f>
        <v>91.906329152110345</v>
      </c>
      <c r="I12" s="7">
        <f>H12*VLOOKUP($B12,'EU Ref Scenario 2020'!$A$126:$AE$153,'Specified Annual Demand'!I$3,FALSE)</f>
        <v>92.082346225450436</v>
      </c>
      <c r="J12" s="7">
        <f>I12*VLOOKUP($B12,'EU Ref Scenario 2020'!$A$126:$AE$153,'Specified Annual Demand'!J$3,FALSE)</f>
        <v>92.258363298790542</v>
      </c>
      <c r="K12" s="7">
        <f>J12*VLOOKUP($B12,'EU Ref Scenario 2020'!$A$126:$AE$153,'Specified Annual Demand'!K$3,FALSE)</f>
        <v>92.434380372130633</v>
      </c>
      <c r="L12" s="7">
        <f>K12*VLOOKUP($B12,'EU Ref Scenario 2020'!$A$126:$AE$153,'Specified Annual Demand'!L$3,FALSE)</f>
        <v>91.247903603850105</v>
      </c>
      <c r="M12" s="7">
        <f>L12*VLOOKUP($B12,'EU Ref Scenario 2020'!$A$126:$AE$153,'Specified Annual Demand'!M$3,FALSE)</f>
        <v>90.061426835569577</v>
      </c>
      <c r="N12" s="7">
        <f>M12*VLOOKUP($B12,'EU Ref Scenario 2020'!$A$126:$AE$153,'Specified Annual Demand'!N$3,FALSE)</f>
        <v>88.874950067289035</v>
      </c>
      <c r="O12" s="7">
        <f>N12*VLOOKUP($B12,'EU Ref Scenario 2020'!$A$126:$AE$153,'Specified Annual Demand'!O$3,FALSE)</f>
        <v>87.688473299008493</v>
      </c>
      <c r="P12" s="7">
        <f>O12*VLOOKUP($B12,'EU Ref Scenario 2020'!$A$126:$AE$153,'Specified Annual Demand'!P$3,FALSE)</f>
        <v>86.501996530727951</v>
      </c>
      <c r="Q12" s="7">
        <f>P12*VLOOKUP($B12,'EU Ref Scenario 2020'!$A$126:$AE$153,'Specified Annual Demand'!Q$3,FALSE)</f>
        <v>86.19327670627311</v>
      </c>
      <c r="R12" s="7">
        <f>Q12*VLOOKUP($B12,'EU Ref Scenario 2020'!$A$126:$AE$153,'Specified Annual Demand'!R$3,FALSE)</f>
        <v>85.884556881818284</v>
      </c>
      <c r="S12" s="7">
        <f>R12*VLOOKUP($B12,'EU Ref Scenario 2020'!$A$126:$AE$153,'Specified Annual Demand'!S$3,FALSE)</f>
        <v>85.575837057363444</v>
      </c>
      <c r="T12" s="7">
        <f>S12*VLOOKUP($B12,'EU Ref Scenario 2020'!$A$126:$AE$153,'Specified Annual Demand'!T$3,FALSE)</f>
        <v>85.267117232908618</v>
      </c>
      <c r="U12" s="7">
        <f>T12*VLOOKUP($B12,'EU Ref Scenario 2020'!$A$126:$AE$153,'Specified Annual Demand'!U$3,FALSE)</f>
        <v>84.958397408453763</v>
      </c>
      <c r="V12" s="7">
        <f>U12*VLOOKUP($B12,'EU Ref Scenario 2020'!$A$126:$AE$153,'Specified Annual Demand'!V$3,FALSE)</f>
        <v>84.804251728325681</v>
      </c>
      <c r="W12" s="7">
        <f>V12*VLOOKUP($B12,'EU Ref Scenario 2020'!$A$126:$AE$153,'Specified Annual Demand'!W$3,FALSE)</f>
        <v>84.6501060481976</v>
      </c>
      <c r="X12" s="7">
        <f>W12*VLOOKUP($B12,'EU Ref Scenario 2020'!$A$126:$AE$153,'Specified Annual Demand'!X$3,FALSE)</f>
        <v>84.495960368069518</v>
      </c>
      <c r="Y12" s="7">
        <f>X12*VLOOKUP($B12,'EU Ref Scenario 2020'!$A$126:$AE$153,'Specified Annual Demand'!Y$3,FALSE)</f>
        <v>84.341814687941437</v>
      </c>
      <c r="Z12" s="7">
        <f>Y12*VLOOKUP($B12,'EU Ref Scenario 2020'!$A$126:$AE$153,'Specified Annual Demand'!Z$3,FALSE)</f>
        <v>84.187669007813327</v>
      </c>
      <c r="AA12" s="7">
        <f>Z12*VLOOKUP($B12,'EU Ref Scenario 2020'!$A$126:$AE$153,'Specified Annual Demand'!AA$3,FALSE)</f>
        <v>84.107620758556848</v>
      </c>
      <c r="AB12" s="7">
        <f>AA12*VLOOKUP($B12,'EU Ref Scenario 2020'!$A$126:$AE$153,'Specified Annual Demand'!AB$3,FALSE)</f>
        <v>84.02757250930037</v>
      </c>
      <c r="AC12" s="7">
        <f>AB12*VLOOKUP($B12,'EU Ref Scenario 2020'!$A$126:$AE$153,'Specified Annual Demand'!AC$3,FALSE)</f>
        <v>83.947524260043892</v>
      </c>
      <c r="AD12" s="7">
        <f>AC12*VLOOKUP($B12,'EU Ref Scenario 2020'!$A$126:$AE$153,'Specified Annual Demand'!AD$3,FALSE)</f>
        <v>83.867476010787414</v>
      </c>
      <c r="AE12" s="7">
        <f>AD12*VLOOKUP($B12,'EU Ref Scenario 2020'!$A$126:$AE$153,'Specified Annual Demand'!AE$3,FALSE)</f>
        <v>83.787427761530935</v>
      </c>
      <c r="AF12" s="7">
        <f>AE12*VLOOKUP($B12,'EU Ref Scenario 2020'!$A$126:$AE$153,'Specified Annual Demand'!AF$3,FALSE)</f>
        <v>83.535478607679721</v>
      </c>
      <c r="AG12" s="7">
        <f>AF12*VLOOKUP($B12,'EU Ref Scenario 2020'!$A$126:$AE$153,'Specified Annual Demand'!AG$3,FALSE)</f>
        <v>83.283529453828507</v>
      </c>
      <c r="AH12" s="7">
        <f>AG12*VLOOKUP($B12,'EU Ref Scenario 2020'!$A$126:$AE$153,'Specified Annual Demand'!AH$3,FALSE)</f>
        <v>83.031580299977293</v>
      </c>
      <c r="AI12" s="7">
        <f>AH12*VLOOKUP($B12,'EU Ref Scenario 2020'!$A$126:$AE$153,'Specified Annual Demand'!AI$3,FALSE)</f>
        <v>82.779631146126079</v>
      </c>
      <c r="AJ12" s="7">
        <f>AI12*VLOOKUP($B12,'EU Ref Scenario 2020'!$A$126:$AE$153,'Specified Annual Demand'!AJ$3,FALSE)</f>
        <v>82.527681992274836</v>
      </c>
      <c r="AK12" s="8">
        <f t="shared" ref="AK12:AO12" si="8">AJ12</f>
        <v>82.527681992274836</v>
      </c>
      <c r="AL12" s="8">
        <f t="shared" si="8"/>
        <v>82.527681992274836</v>
      </c>
      <c r="AM12" s="8">
        <f t="shared" si="8"/>
        <v>82.527681992274836</v>
      </c>
      <c r="AN12" s="8">
        <f t="shared" si="8"/>
        <v>82.527681992274836</v>
      </c>
      <c r="AO12" s="8">
        <f t="shared" si="8"/>
        <v>82.527681992274836</v>
      </c>
    </row>
    <row r="13" spans="1:41" x14ac:dyDescent="0.3">
      <c r="A13" t="s">
        <v>145</v>
      </c>
      <c r="B13" t="str">
        <f t="shared" si="1"/>
        <v>BG</v>
      </c>
      <c r="C13" t="s">
        <v>9</v>
      </c>
      <c r="D13" s="2">
        <v>63.129233073417502</v>
      </c>
      <c r="E13" s="2">
        <v>63.54114766085182</v>
      </c>
      <c r="F13" s="2">
        <v>65.920796371030747</v>
      </c>
      <c r="G13" s="2">
        <v>71.918655541680792</v>
      </c>
      <c r="H13" s="7">
        <f>G13*VLOOKUP($B13,'EU Ref Scenario 2020'!$A$126:$AE$153,'Specified Annual Demand'!H$3,FALSE)</f>
        <v>73.163249225645004</v>
      </c>
      <c r="I13" s="7">
        <f>H13*VLOOKUP($B13,'EU Ref Scenario 2020'!$A$126:$AE$153,'Specified Annual Demand'!I$3,FALSE)</f>
        <v>74.407842909609215</v>
      </c>
      <c r="J13" s="7">
        <f>I13*VLOOKUP($B13,'EU Ref Scenario 2020'!$A$126:$AE$153,'Specified Annual Demand'!J$3,FALSE)</f>
        <v>75.652436593573427</v>
      </c>
      <c r="K13" s="7">
        <f>J13*VLOOKUP($B13,'EU Ref Scenario 2020'!$A$126:$AE$153,'Specified Annual Demand'!K$3,FALSE)</f>
        <v>76.89703027753761</v>
      </c>
      <c r="L13" s="7">
        <f>K13*VLOOKUP($B13,'EU Ref Scenario 2020'!$A$126:$AE$153,'Specified Annual Demand'!L$3,FALSE)</f>
        <v>76.770025754631121</v>
      </c>
      <c r="M13" s="7">
        <f>L13*VLOOKUP($B13,'EU Ref Scenario 2020'!$A$126:$AE$153,'Specified Annual Demand'!M$3,FALSE)</f>
        <v>76.643021231724617</v>
      </c>
      <c r="N13" s="7">
        <f>M13*VLOOKUP($B13,'EU Ref Scenario 2020'!$A$126:$AE$153,'Specified Annual Demand'!N$3,FALSE)</f>
        <v>76.516016708818114</v>
      </c>
      <c r="O13" s="7">
        <f>N13*VLOOKUP($B13,'EU Ref Scenario 2020'!$A$126:$AE$153,'Specified Annual Demand'!O$3,FALSE)</f>
        <v>76.389012185911611</v>
      </c>
      <c r="P13" s="7">
        <f>O13*VLOOKUP($B13,'EU Ref Scenario 2020'!$A$126:$AE$153,'Specified Annual Demand'!P$3,FALSE)</f>
        <v>76.262007663005107</v>
      </c>
      <c r="Q13" s="7">
        <f>P13*VLOOKUP($B13,'EU Ref Scenario 2020'!$A$126:$AE$153,'Specified Annual Demand'!Q$3,FALSE)</f>
        <v>76.397394919451926</v>
      </c>
      <c r="R13" s="7">
        <f>Q13*VLOOKUP($B13,'EU Ref Scenario 2020'!$A$126:$AE$153,'Specified Annual Demand'!R$3,FALSE)</f>
        <v>76.532782175898731</v>
      </c>
      <c r="S13" s="7">
        <f>R13*VLOOKUP($B13,'EU Ref Scenario 2020'!$A$126:$AE$153,'Specified Annual Demand'!S$3,FALSE)</f>
        <v>76.668169432345536</v>
      </c>
      <c r="T13" s="7">
        <f>S13*VLOOKUP($B13,'EU Ref Scenario 2020'!$A$126:$AE$153,'Specified Annual Demand'!T$3,FALSE)</f>
        <v>76.803556688792355</v>
      </c>
      <c r="U13" s="7">
        <f>T13*VLOOKUP($B13,'EU Ref Scenario 2020'!$A$126:$AE$153,'Specified Annual Demand'!U$3,FALSE)</f>
        <v>76.93894394523916</v>
      </c>
      <c r="V13" s="7">
        <f>U13*VLOOKUP($B13,'EU Ref Scenario 2020'!$A$126:$AE$153,'Specified Annual Demand'!V$3,FALSE)</f>
        <v>76.783075723450168</v>
      </c>
      <c r="W13" s="7">
        <f>V13*VLOOKUP($B13,'EU Ref Scenario 2020'!$A$126:$AE$153,'Specified Annual Demand'!W$3,FALSE)</f>
        <v>76.627207501661161</v>
      </c>
      <c r="X13" s="7">
        <f>W13*VLOOKUP($B13,'EU Ref Scenario 2020'!$A$126:$AE$153,'Specified Annual Demand'!X$3,FALSE)</f>
        <v>76.471339279872154</v>
      </c>
      <c r="Y13" s="7">
        <f>X13*VLOOKUP($B13,'EU Ref Scenario 2020'!$A$126:$AE$153,'Specified Annual Demand'!Y$3,FALSE)</f>
        <v>76.315471058083162</v>
      </c>
      <c r="Z13" s="7">
        <f>Y13*VLOOKUP($B13,'EU Ref Scenario 2020'!$A$126:$AE$153,'Specified Annual Demand'!Z$3,FALSE)</f>
        <v>76.159602836294141</v>
      </c>
      <c r="AA13" s="7">
        <f>Z13*VLOOKUP($B13,'EU Ref Scenario 2020'!$A$126:$AE$153,'Specified Annual Demand'!AA$3,FALSE)</f>
        <v>76.081069549330124</v>
      </c>
      <c r="AB13" s="7">
        <f>AA13*VLOOKUP($B13,'EU Ref Scenario 2020'!$A$126:$AE$153,'Specified Annual Demand'!AB$3,FALSE)</f>
        <v>76.002536262366107</v>
      </c>
      <c r="AC13" s="7">
        <f>AB13*VLOOKUP($B13,'EU Ref Scenario 2020'!$A$126:$AE$153,'Specified Annual Demand'!AC$3,FALSE)</f>
        <v>75.92400297540209</v>
      </c>
      <c r="AD13" s="7">
        <f>AC13*VLOOKUP($B13,'EU Ref Scenario 2020'!$A$126:$AE$153,'Specified Annual Demand'!AD$3,FALSE)</f>
        <v>75.845469688438087</v>
      </c>
      <c r="AE13" s="7">
        <f>AD13*VLOOKUP($B13,'EU Ref Scenario 2020'!$A$126:$AE$153,'Specified Annual Demand'!AE$3,FALSE)</f>
        <v>75.766936401474069</v>
      </c>
      <c r="AF13" s="7">
        <f>AE13*VLOOKUP($B13,'EU Ref Scenario 2020'!$A$126:$AE$153,'Specified Annual Demand'!AF$3,FALSE)</f>
        <v>75.621287324030916</v>
      </c>
      <c r="AG13" s="7">
        <f>AF13*VLOOKUP($B13,'EU Ref Scenario 2020'!$A$126:$AE$153,'Specified Annual Demand'!AG$3,FALSE)</f>
        <v>75.475638246587764</v>
      </c>
      <c r="AH13" s="7">
        <f>AG13*VLOOKUP($B13,'EU Ref Scenario 2020'!$A$126:$AE$153,'Specified Annual Demand'!AH$3,FALSE)</f>
        <v>75.329989169144625</v>
      </c>
      <c r="AI13" s="7">
        <f>AH13*VLOOKUP($B13,'EU Ref Scenario 2020'!$A$126:$AE$153,'Specified Annual Demand'!AI$3,FALSE)</f>
        <v>75.184340091701472</v>
      </c>
      <c r="AJ13" s="7">
        <f>AI13*VLOOKUP($B13,'EU Ref Scenario 2020'!$A$126:$AE$153,'Specified Annual Demand'!AJ$3,FALSE)</f>
        <v>75.038691014258333</v>
      </c>
      <c r="AK13" s="8">
        <f t="shared" ref="AK13:AO13" si="9">AJ13</f>
        <v>75.038691014258333</v>
      </c>
      <c r="AL13" s="8">
        <f t="shared" si="9"/>
        <v>75.038691014258333</v>
      </c>
      <c r="AM13" s="8">
        <f t="shared" si="9"/>
        <v>75.038691014258333</v>
      </c>
      <c r="AN13" s="8">
        <f t="shared" si="9"/>
        <v>75.038691014258333</v>
      </c>
      <c r="AO13" s="8">
        <f t="shared" si="9"/>
        <v>75.038691014258333</v>
      </c>
    </row>
    <row r="14" spans="1:41" x14ac:dyDescent="0.3">
      <c r="A14" t="s">
        <v>146</v>
      </c>
      <c r="B14" t="str">
        <f t="shared" si="1"/>
        <v>BG</v>
      </c>
      <c r="C14" t="s">
        <v>10</v>
      </c>
      <c r="D14" s="2">
        <v>3.564722530008066</v>
      </c>
      <c r="E14" s="2">
        <v>3.995856037055959</v>
      </c>
      <c r="F14" s="2">
        <v>4.0498065294756405</v>
      </c>
      <c r="G14" s="2">
        <v>5.2150729285158182</v>
      </c>
      <c r="H14" s="7">
        <f>G14*VLOOKUP($B14,'EU Ref Scenario 2020'!$A$126:$AE$153,'Specified Annual Demand'!H$3,FALSE)</f>
        <v>5.3053227639633382</v>
      </c>
      <c r="I14" s="7">
        <f>H14*VLOOKUP($B14,'EU Ref Scenario 2020'!$A$126:$AE$153,'Specified Annual Demand'!I$3,FALSE)</f>
        <v>5.3955725994108583</v>
      </c>
      <c r="J14" s="7">
        <f>I14*VLOOKUP($B14,'EU Ref Scenario 2020'!$A$126:$AE$153,'Specified Annual Demand'!J$3,FALSE)</f>
        <v>5.4858224348583775</v>
      </c>
      <c r="K14" s="7">
        <f>J14*VLOOKUP($B14,'EU Ref Scenario 2020'!$A$126:$AE$153,'Specified Annual Demand'!K$3,FALSE)</f>
        <v>5.5760722703058958</v>
      </c>
      <c r="L14" s="7">
        <f>K14*VLOOKUP($B14,'EU Ref Scenario 2020'!$A$126:$AE$153,'Specified Annual Demand'!L$3,FALSE)</f>
        <v>5.5668627287172763</v>
      </c>
      <c r="M14" s="7">
        <f>L14*VLOOKUP($B14,'EU Ref Scenario 2020'!$A$126:$AE$153,'Specified Annual Demand'!M$3,FALSE)</f>
        <v>5.5576531871286559</v>
      </c>
      <c r="N14" s="7">
        <f>M14*VLOOKUP($B14,'EU Ref Scenario 2020'!$A$126:$AE$153,'Specified Annual Demand'!N$3,FALSE)</f>
        <v>5.5484436455400354</v>
      </c>
      <c r="O14" s="7">
        <f>N14*VLOOKUP($B14,'EU Ref Scenario 2020'!$A$126:$AE$153,'Specified Annual Demand'!O$3,FALSE)</f>
        <v>5.539234103951415</v>
      </c>
      <c r="P14" s="7">
        <f>O14*VLOOKUP($B14,'EU Ref Scenario 2020'!$A$126:$AE$153,'Specified Annual Demand'!P$3,FALSE)</f>
        <v>5.5300245623627955</v>
      </c>
      <c r="Q14" s="7">
        <f>P14*VLOOKUP($B14,'EU Ref Scenario 2020'!$A$126:$AE$153,'Specified Annual Demand'!Q$3,FALSE)</f>
        <v>5.5398419652416999</v>
      </c>
      <c r="R14" s="7">
        <f>Q14*VLOOKUP($B14,'EU Ref Scenario 2020'!$A$126:$AE$153,'Specified Annual Demand'!R$3,FALSE)</f>
        <v>5.5496593681206035</v>
      </c>
      <c r="S14" s="7">
        <f>R14*VLOOKUP($B14,'EU Ref Scenario 2020'!$A$126:$AE$153,'Specified Annual Demand'!S$3,FALSE)</f>
        <v>5.559476770999507</v>
      </c>
      <c r="T14" s="7">
        <f>S14*VLOOKUP($B14,'EU Ref Scenario 2020'!$A$126:$AE$153,'Specified Annual Demand'!T$3,FALSE)</f>
        <v>5.5692941738784114</v>
      </c>
      <c r="U14" s="7">
        <f>T14*VLOOKUP($B14,'EU Ref Scenario 2020'!$A$126:$AE$153,'Specified Annual Demand'!U$3,FALSE)</f>
        <v>5.5791115767573149</v>
      </c>
      <c r="V14" s="7">
        <f>U14*VLOOKUP($B14,'EU Ref Scenario 2020'!$A$126:$AE$153,'Specified Annual Demand'!V$3,FALSE)</f>
        <v>5.5678090275404903</v>
      </c>
      <c r="W14" s="7">
        <f>V14*VLOOKUP($B14,'EU Ref Scenario 2020'!$A$126:$AE$153,'Specified Annual Demand'!W$3,FALSE)</f>
        <v>5.5565064783236657</v>
      </c>
      <c r="X14" s="7">
        <f>W14*VLOOKUP($B14,'EU Ref Scenario 2020'!$A$126:$AE$153,'Specified Annual Demand'!X$3,FALSE)</f>
        <v>5.5452039291068411</v>
      </c>
      <c r="Y14" s="7">
        <f>X14*VLOOKUP($B14,'EU Ref Scenario 2020'!$A$126:$AE$153,'Specified Annual Demand'!Y$3,FALSE)</f>
        <v>5.5339013798900165</v>
      </c>
      <c r="Z14" s="7">
        <f>Y14*VLOOKUP($B14,'EU Ref Scenario 2020'!$A$126:$AE$153,'Specified Annual Demand'!Z$3,FALSE)</f>
        <v>5.522598830673191</v>
      </c>
      <c r="AA14" s="7">
        <f>Z14*VLOOKUP($B14,'EU Ref Scenario 2020'!$A$126:$AE$153,'Specified Annual Demand'!AA$3,FALSE)</f>
        <v>5.5169041077150283</v>
      </c>
      <c r="AB14" s="7">
        <f>AA14*VLOOKUP($B14,'EU Ref Scenario 2020'!$A$126:$AE$153,'Specified Annual Demand'!AB$3,FALSE)</f>
        <v>5.5112093847568655</v>
      </c>
      <c r="AC14" s="7">
        <f>AB14*VLOOKUP($B14,'EU Ref Scenario 2020'!$A$126:$AE$153,'Specified Annual Demand'!AC$3,FALSE)</f>
        <v>5.5055146617987036</v>
      </c>
      <c r="AD14" s="7">
        <f>AC14*VLOOKUP($B14,'EU Ref Scenario 2020'!$A$126:$AE$153,'Specified Annual Demand'!AD$3,FALSE)</f>
        <v>5.4998199388405418</v>
      </c>
      <c r="AE14" s="7">
        <f>AD14*VLOOKUP($B14,'EU Ref Scenario 2020'!$A$126:$AE$153,'Specified Annual Demand'!AE$3,FALSE)</f>
        <v>5.494125215882379</v>
      </c>
      <c r="AF14" s="7">
        <f>AE14*VLOOKUP($B14,'EU Ref Scenario 2020'!$A$126:$AE$153,'Specified Annual Demand'!AF$3,FALSE)</f>
        <v>5.4835636925180156</v>
      </c>
      <c r="AG14" s="7">
        <f>AF14*VLOOKUP($B14,'EU Ref Scenario 2020'!$A$126:$AE$153,'Specified Annual Demand'!AG$3,FALSE)</f>
        <v>5.4730021691536521</v>
      </c>
      <c r="AH14" s="7">
        <f>AG14*VLOOKUP($B14,'EU Ref Scenario 2020'!$A$126:$AE$153,'Specified Annual Demand'!AH$3,FALSE)</f>
        <v>5.4624406457892887</v>
      </c>
      <c r="AI14" s="7">
        <f>AH14*VLOOKUP($B14,'EU Ref Scenario 2020'!$A$126:$AE$153,'Specified Annual Demand'!AI$3,FALSE)</f>
        <v>5.4518791224249252</v>
      </c>
      <c r="AJ14" s="7">
        <f>AI14*VLOOKUP($B14,'EU Ref Scenario 2020'!$A$126:$AE$153,'Specified Annual Demand'!AJ$3,FALSE)</f>
        <v>5.4413175990605618</v>
      </c>
      <c r="AK14" s="8">
        <f t="shared" ref="AK14:AO14" si="10">AJ14</f>
        <v>5.4413175990605618</v>
      </c>
      <c r="AL14" s="8">
        <f t="shared" si="10"/>
        <v>5.4413175990605618</v>
      </c>
      <c r="AM14" s="8">
        <f t="shared" si="10"/>
        <v>5.4413175990605618</v>
      </c>
      <c r="AN14" s="8">
        <f t="shared" si="10"/>
        <v>5.4413175990605618</v>
      </c>
      <c r="AO14" s="8">
        <f t="shared" si="10"/>
        <v>5.4413175990605618</v>
      </c>
    </row>
    <row r="15" spans="1:41" x14ac:dyDescent="0.3">
      <c r="A15" t="s">
        <v>147</v>
      </c>
      <c r="B15" t="str">
        <f t="shared" si="1"/>
        <v>BG</v>
      </c>
      <c r="C15" t="s">
        <v>11</v>
      </c>
      <c r="D15" s="2">
        <v>9.546219601574073</v>
      </c>
      <c r="E15" s="2">
        <v>9.5376599005994791</v>
      </c>
      <c r="F15" s="2">
        <v>9.3595798542565074</v>
      </c>
      <c r="G15" s="2">
        <v>10.178401946609435</v>
      </c>
      <c r="H15" s="7">
        <f>G15*VLOOKUP($B15,'EU Ref Scenario 2020'!$A$126:$AE$153,'Specified Annual Demand'!H$3,FALSE)</f>
        <v>10.354545044393811</v>
      </c>
      <c r="I15" s="7">
        <f>H15*VLOOKUP($B15,'EU Ref Scenario 2020'!$A$126:$AE$153,'Specified Annual Demand'!I$3,FALSE)</f>
        <v>10.530688142178189</v>
      </c>
      <c r="J15" s="7">
        <f>I15*VLOOKUP($B15,'EU Ref Scenario 2020'!$A$126:$AE$153,'Specified Annual Demand'!J$3,FALSE)</f>
        <v>10.706831239962565</v>
      </c>
      <c r="K15" s="7">
        <f>J15*VLOOKUP($B15,'EU Ref Scenario 2020'!$A$126:$AE$153,'Specified Annual Demand'!K$3,FALSE)</f>
        <v>10.882974337746937</v>
      </c>
      <c r="L15" s="7">
        <f>K15*VLOOKUP($B15,'EU Ref Scenario 2020'!$A$126:$AE$153,'Specified Annual Demand'!L$3,FALSE)</f>
        <v>10.864999820934251</v>
      </c>
      <c r="M15" s="7">
        <f>L15*VLOOKUP($B15,'EU Ref Scenario 2020'!$A$126:$AE$153,'Specified Annual Demand'!M$3,FALSE)</f>
        <v>10.847025304121566</v>
      </c>
      <c r="N15" s="7">
        <f>M15*VLOOKUP($B15,'EU Ref Scenario 2020'!$A$126:$AE$153,'Specified Annual Demand'!N$3,FALSE)</f>
        <v>10.82905078730888</v>
      </c>
      <c r="O15" s="7">
        <f>N15*VLOOKUP($B15,'EU Ref Scenario 2020'!$A$126:$AE$153,'Specified Annual Demand'!O$3,FALSE)</f>
        <v>10.811076270496194</v>
      </c>
      <c r="P15" s="7">
        <f>O15*VLOOKUP($B15,'EU Ref Scenario 2020'!$A$126:$AE$153,'Specified Annual Demand'!P$3,FALSE)</f>
        <v>10.793101753683509</v>
      </c>
      <c r="Q15" s="7">
        <f>P15*VLOOKUP($B15,'EU Ref Scenario 2020'!$A$126:$AE$153,'Specified Annual Demand'!Q$3,FALSE)</f>
        <v>10.812262650173929</v>
      </c>
      <c r="R15" s="7">
        <f>Q15*VLOOKUP($B15,'EU Ref Scenario 2020'!$A$126:$AE$153,'Specified Annual Demand'!R$3,FALSE)</f>
        <v>10.831423546664348</v>
      </c>
      <c r="S15" s="7">
        <f>R15*VLOOKUP($B15,'EU Ref Scenario 2020'!$A$126:$AE$153,'Specified Annual Demand'!S$3,FALSE)</f>
        <v>10.850584443154768</v>
      </c>
      <c r="T15" s="7">
        <f>S15*VLOOKUP($B15,'EU Ref Scenario 2020'!$A$126:$AE$153,'Specified Annual Demand'!T$3,FALSE)</f>
        <v>10.869745339645188</v>
      </c>
      <c r="U15" s="7">
        <f>T15*VLOOKUP($B15,'EU Ref Scenario 2020'!$A$126:$AE$153,'Specified Annual Demand'!U$3,FALSE)</f>
        <v>10.888906236135607</v>
      </c>
      <c r="V15" s="7">
        <f>U15*VLOOKUP($B15,'EU Ref Scenario 2020'!$A$126:$AE$153,'Specified Annual Demand'!V$3,FALSE)</f>
        <v>10.866846738497303</v>
      </c>
      <c r="W15" s="7">
        <f>V15*VLOOKUP($B15,'EU Ref Scenario 2020'!$A$126:$AE$153,'Specified Annual Demand'!W$3,FALSE)</f>
        <v>10.844787240858999</v>
      </c>
      <c r="X15" s="7">
        <f>W15*VLOOKUP($B15,'EU Ref Scenario 2020'!$A$126:$AE$153,'Specified Annual Demand'!X$3,FALSE)</f>
        <v>10.822727743220694</v>
      </c>
      <c r="Y15" s="7">
        <f>X15*VLOOKUP($B15,'EU Ref Scenario 2020'!$A$126:$AE$153,'Specified Annual Demand'!Y$3,FALSE)</f>
        <v>10.80066824558239</v>
      </c>
      <c r="Z15" s="7">
        <f>Y15*VLOOKUP($B15,'EU Ref Scenario 2020'!$A$126:$AE$153,'Specified Annual Demand'!Z$3,FALSE)</f>
        <v>10.778608747944084</v>
      </c>
      <c r="AA15" s="7">
        <f>Z15*VLOOKUP($B15,'EU Ref Scenario 2020'!$A$126:$AE$153,'Specified Annual Demand'!AA$3,FALSE)</f>
        <v>10.767494199780083</v>
      </c>
      <c r="AB15" s="7">
        <f>AA15*VLOOKUP($B15,'EU Ref Scenario 2020'!$A$126:$AE$153,'Specified Annual Demand'!AB$3,FALSE)</f>
        <v>10.756379651616083</v>
      </c>
      <c r="AC15" s="7">
        <f>AB15*VLOOKUP($B15,'EU Ref Scenario 2020'!$A$126:$AE$153,'Specified Annual Demand'!AC$3,FALSE)</f>
        <v>10.745265103452082</v>
      </c>
      <c r="AD15" s="7">
        <f>AC15*VLOOKUP($B15,'EU Ref Scenario 2020'!$A$126:$AE$153,'Specified Annual Demand'!AD$3,FALSE)</f>
        <v>10.734150555288084</v>
      </c>
      <c r="AE15" s="7">
        <f>AD15*VLOOKUP($B15,'EU Ref Scenario 2020'!$A$126:$AE$153,'Specified Annual Demand'!AE$3,FALSE)</f>
        <v>10.723036007124083</v>
      </c>
      <c r="AF15" s="7">
        <f>AE15*VLOOKUP($B15,'EU Ref Scenario 2020'!$A$126:$AE$153,'Specified Annual Demand'!AF$3,FALSE)</f>
        <v>10.702422790119352</v>
      </c>
      <c r="AG15" s="7">
        <f>AF15*VLOOKUP($B15,'EU Ref Scenario 2020'!$A$126:$AE$153,'Specified Annual Demand'!AG$3,FALSE)</f>
        <v>10.68180957311462</v>
      </c>
      <c r="AH15" s="7">
        <f>AG15*VLOOKUP($B15,'EU Ref Scenario 2020'!$A$126:$AE$153,'Specified Annual Demand'!AH$3,FALSE)</f>
        <v>10.661196356109889</v>
      </c>
      <c r="AI15" s="7">
        <f>AH15*VLOOKUP($B15,'EU Ref Scenario 2020'!$A$126:$AE$153,'Specified Annual Demand'!AI$3,FALSE)</f>
        <v>10.640583139105157</v>
      </c>
      <c r="AJ15" s="7">
        <f>AI15*VLOOKUP($B15,'EU Ref Scenario 2020'!$A$126:$AE$153,'Specified Annual Demand'!AJ$3,FALSE)</f>
        <v>10.619969922100426</v>
      </c>
      <c r="AK15" s="8">
        <f t="shared" ref="AK15:AO15" si="11">AJ15</f>
        <v>10.619969922100426</v>
      </c>
      <c r="AL15" s="8">
        <f t="shared" si="11"/>
        <v>10.619969922100426</v>
      </c>
      <c r="AM15" s="8">
        <f t="shared" si="11"/>
        <v>10.619969922100426</v>
      </c>
      <c r="AN15" s="8">
        <f t="shared" si="11"/>
        <v>10.619969922100426</v>
      </c>
      <c r="AO15" s="8">
        <f t="shared" si="11"/>
        <v>10.619969922100426</v>
      </c>
    </row>
    <row r="16" spans="1:41" x14ac:dyDescent="0.3">
      <c r="A16" t="s">
        <v>148</v>
      </c>
      <c r="B16" t="str">
        <f t="shared" si="1"/>
        <v>BG</v>
      </c>
      <c r="C16" t="s">
        <v>12</v>
      </c>
      <c r="D16" s="2">
        <v>35.450777006804728</v>
      </c>
      <c r="E16" s="2">
        <v>34.80334365022496</v>
      </c>
      <c r="F16" s="2">
        <v>33.30649061387912</v>
      </c>
      <c r="G16" s="2">
        <v>35.688403734540614</v>
      </c>
      <c r="H16" s="7">
        <f>G16*VLOOKUP($B16,'EU Ref Scenario 2020'!$A$126:$AE$153,'Specified Annual Demand'!H$3,FALSE)</f>
        <v>36.306012080306083</v>
      </c>
      <c r="I16" s="7">
        <f>H16*VLOOKUP($B16,'EU Ref Scenario 2020'!$A$126:$AE$153,'Specified Annual Demand'!I$3,FALSE)</f>
        <v>36.923620426071551</v>
      </c>
      <c r="J16" s="7">
        <f>I16*VLOOKUP($B16,'EU Ref Scenario 2020'!$A$126:$AE$153,'Specified Annual Demand'!J$3,FALSE)</f>
        <v>37.541228771837019</v>
      </c>
      <c r="K16" s="7">
        <f>J16*VLOOKUP($B16,'EU Ref Scenario 2020'!$A$126:$AE$153,'Specified Annual Demand'!K$3,FALSE)</f>
        <v>38.158837117602481</v>
      </c>
      <c r="L16" s="7">
        <f>K16*VLOOKUP($B16,'EU Ref Scenario 2020'!$A$126:$AE$153,'Specified Annual Demand'!L$3,FALSE)</f>
        <v>38.095813293596585</v>
      </c>
      <c r="M16" s="7">
        <f>L16*VLOOKUP($B16,'EU Ref Scenario 2020'!$A$126:$AE$153,'Specified Annual Demand'!M$3,FALSE)</f>
        <v>38.032789469590682</v>
      </c>
      <c r="N16" s="7">
        <f>M16*VLOOKUP($B16,'EU Ref Scenario 2020'!$A$126:$AE$153,'Specified Annual Demand'!N$3,FALSE)</f>
        <v>37.969765645584779</v>
      </c>
      <c r="O16" s="7">
        <f>N16*VLOOKUP($B16,'EU Ref Scenario 2020'!$A$126:$AE$153,'Specified Annual Demand'!O$3,FALSE)</f>
        <v>37.906741821578876</v>
      </c>
      <c r="P16" s="7">
        <f>O16*VLOOKUP($B16,'EU Ref Scenario 2020'!$A$126:$AE$153,'Specified Annual Demand'!P$3,FALSE)</f>
        <v>37.84371799757298</v>
      </c>
      <c r="Q16" s="7">
        <f>P16*VLOOKUP($B16,'EU Ref Scenario 2020'!$A$126:$AE$153,'Specified Annual Demand'!Q$3,FALSE)</f>
        <v>37.910901609838724</v>
      </c>
      <c r="R16" s="7">
        <f>Q16*VLOOKUP($B16,'EU Ref Scenario 2020'!$A$126:$AE$153,'Specified Annual Demand'!R$3,FALSE)</f>
        <v>37.978085222104461</v>
      </c>
      <c r="S16" s="7">
        <f>R16*VLOOKUP($B16,'EU Ref Scenario 2020'!$A$126:$AE$153,'Specified Annual Demand'!S$3,FALSE)</f>
        <v>38.045268834370198</v>
      </c>
      <c r="T16" s="7">
        <f>S16*VLOOKUP($B16,'EU Ref Scenario 2020'!$A$126:$AE$153,'Specified Annual Demand'!T$3,FALSE)</f>
        <v>38.112452446635942</v>
      </c>
      <c r="U16" s="7">
        <f>T16*VLOOKUP($B16,'EU Ref Scenario 2020'!$A$126:$AE$153,'Specified Annual Demand'!U$3,FALSE)</f>
        <v>38.179636058901679</v>
      </c>
      <c r="V16" s="7">
        <f>U16*VLOOKUP($B16,'EU Ref Scenario 2020'!$A$126:$AE$153,'Specified Annual Demand'!V$3,FALSE)</f>
        <v>38.102289117601217</v>
      </c>
      <c r="W16" s="7">
        <f>V16*VLOOKUP($B16,'EU Ref Scenario 2020'!$A$126:$AE$153,'Specified Annual Demand'!W$3,FALSE)</f>
        <v>38.024942176300748</v>
      </c>
      <c r="X16" s="7">
        <f>W16*VLOOKUP($B16,'EU Ref Scenario 2020'!$A$126:$AE$153,'Specified Annual Demand'!X$3,FALSE)</f>
        <v>37.947595235000279</v>
      </c>
      <c r="Y16" s="7">
        <f>X16*VLOOKUP($B16,'EU Ref Scenario 2020'!$A$126:$AE$153,'Specified Annual Demand'!Y$3,FALSE)</f>
        <v>37.870248293699817</v>
      </c>
      <c r="Z16" s="7">
        <f>Y16*VLOOKUP($B16,'EU Ref Scenario 2020'!$A$126:$AE$153,'Specified Annual Demand'!Z$3,FALSE)</f>
        <v>37.792901352399348</v>
      </c>
      <c r="AA16" s="7">
        <f>Z16*VLOOKUP($B16,'EU Ref Scenario 2020'!$A$126:$AE$153,'Specified Annual Demand'!AA$3,FALSE)</f>
        <v>37.753930550864439</v>
      </c>
      <c r="AB16" s="7">
        <f>AA16*VLOOKUP($B16,'EU Ref Scenario 2020'!$A$126:$AE$153,'Specified Annual Demand'!AB$3,FALSE)</f>
        <v>37.71495974932953</v>
      </c>
      <c r="AC16" s="7">
        <f>AB16*VLOOKUP($B16,'EU Ref Scenario 2020'!$A$126:$AE$153,'Specified Annual Demand'!AC$3,FALSE)</f>
        <v>37.675988947794622</v>
      </c>
      <c r="AD16" s="7">
        <f>AC16*VLOOKUP($B16,'EU Ref Scenario 2020'!$A$126:$AE$153,'Specified Annual Demand'!AD$3,FALSE)</f>
        <v>37.637018146259713</v>
      </c>
      <c r="AE16" s="7">
        <f>AD16*VLOOKUP($B16,'EU Ref Scenario 2020'!$A$126:$AE$153,'Specified Annual Demand'!AE$3,FALSE)</f>
        <v>37.598047344724804</v>
      </c>
      <c r="AF16" s="7">
        <f>AE16*VLOOKUP($B16,'EU Ref Scenario 2020'!$A$126:$AE$153,'Specified Annual Demand'!AF$3,FALSE)</f>
        <v>37.525771479162465</v>
      </c>
      <c r="AG16" s="7">
        <f>AF16*VLOOKUP($B16,'EU Ref Scenario 2020'!$A$126:$AE$153,'Specified Annual Demand'!AG$3,FALSE)</f>
        <v>37.453495613600133</v>
      </c>
      <c r="AH16" s="7">
        <f>AG16*VLOOKUP($B16,'EU Ref Scenario 2020'!$A$126:$AE$153,'Specified Annual Demand'!AH$3,FALSE)</f>
        <v>37.3812197480378</v>
      </c>
      <c r="AI16" s="7">
        <f>AH16*VLOOKUP($B16,'EU Ref Scenario 2020'!$A$126:$AE$153,'Specified Annual Demand'!AI$3,FALSE)</f>
        <v>37.308943882475468</v>
      </c>
      <c r="AJ16" s="7">
        <f>AI16*VLOOKUP($B16,'EU Ref Scenario 2020'!$A$126:$AE$153,'Specified Annual Demand'!AJ$3,FALSE)</f>
        <v>37.236668016913136</v>
      </c>
      <c r="AK16" s="8">
        <f t="shared" ref="AK16:AO16" si="12">AJ16</f>
        <v>37.236668016913136</v>
      </c>
      <c r="AL16" s="8">
        <f t="shared" si="12"/>
        <v>37.236668016913136</v>
      </c>
      <c r="AM16" s="8">
        <f t="shared" si="12"/>
        <v>37.236668016913136</v>
      </c>
      <c r="AN16" s="8">
        <f t="shared" si="12"/>
        <v>37.236668016913136</v>
      </c>
      <c r="AO16" s="8">
        <f t="shared" si="12"/>
        <v>37.236668016913136</v>
      </c>
    </row>
    <row r="17" spans="1:41" x14ac:dyDescent="0.3">
      <c r="A17" t="s">
        <v>145</v>
      </c>
      <c r="B17" t="str">
        <f t="shared" si="1"/>
        <v>CY</v>
      </c>
      <c r="C17" t="s">
        <v>13</v>
      </c>
      <c r="D17" s="2">
        <v>10.593166168032752</v>
      </c>
      <c r="E17" s="2">
        <v>11.613493851044755</v>
      </c>
      <c r="F17" s="2">
        <v>10.816324166526208</v>
      </c>
      <c r="G17" s="2">
        <v>11.364405986909265</v>
      </c>
      <c r="H17" s="7">
        <f>G17*VLOOKUP($B17,'EU Ref Scenario 2020'!$A$126:$AE$153,'Specified Annual Demand'!H$3,FALSE)</f>
        <v>11.876214716760108</v>
      </c>
      <c r="I17" s="7">
        <f>H17*VLOOKUP($B17,'EU Ref Scenario 2020'!$A$126:$AE$153,'Specified Annual Demand'!I$3,FALSE)</f>
        <v>12.38802344661095</v>
      </c>
      <c r="J17" s="7">
        <f>I17*VLOOKUP($B17,'EU Ref Scenario 2020'!$A$126:$AE$153,'Specified Annual Demand'!J$3,FALSE)</f>
        <v>12.899832176461793</v>
      </c>
      <c r="K17" s="7">
        <f>J17*VLOOKUP($B17,'EU Ref Scenario 2020'!$A$126:$AE$153,'Specified Annual Demand'!K$3,FALSE)</f>
        <v>13.411640906312638</v>
      </c>
      <c r="L17" s="7">
        <f>K17*VLOOKUP($B17,'EU Ref Scenario 2020'!$A$126:$AE$153,'Specified Annual Demand'!L$3,FALSE)</f>
        <v>13.61352018837059</v>
      </c>
      <c r="M17" s="7">
        <f>L17*VLOOKUP($B17,'EU Ref Scenario 2020'!$A$126:$AE$153,'Specified Annual Demand'!M$3,FALSE)</f>
        <v>13.815399470428542</v>
      </c>
      <c r="N17" s="7">
        <f>M17*VLOOKUP($B17,'EU Ref Scenario 2020'!$A$126:$AE$153,'Specified Annual Demand'!N$3,FALSE)</f>
        <v>14.017278752486497</v>
      </c>
      <c r="O17" s="7">
        <f>N17*VLOOKUP($B17,'EU Ref Scenario 2020'!$A$126:$AE$153,'Specified Annual Demand'!O$3,FALSE)</f>
        <v>14.219158034544453</v>
      </c>
      <c r="P17" s="7">
        <f>O17*VLOOKUP($B17,'EU Ref Scenario 2020'!$A$126:$AE$153,'Specified Annual Demand'!P$3,FALSE)</f>
        <v>14.421037316602401</v>
      </c>
      <c r="Q17" s="7">
        <f>P17*VLOOKUP($B17,'EU Ref Scenario 2020'!$A$126:$AE$153,'Specified Annual Demand'!Q$3,FALSE)</f>
        <v>14.56273958009106</v>
      </c>
      <c r="R17" s="7">
        <f>Q17*VLOOKUP($B17,'EU Ref Scenario 2020'!$A$126:$AE$153,'Specified Annual Demand'!R$3,FALSE)</f>
        <v>14.704441843579719</v>
      </c>
      <c r="S17" s="7">
        <f>R17*VLOOKUP($B17,'EU Ref Scenario 2020'!$A$126:$AE$153,'Specified Annual Demand'!S$3,FALSE)</f>
        <v>14.846144107068376</v>
      </c>
      <c r="T17" s="7">
        <f>S17*VLOOKUP($B17,'EU Ref Scenario 2020'!$A$126:$AE$153,'Specified Annual Demand'!T$3,FALSE)</f>
        <v>14.987846370557035</v>
      </c>
      <c r="U17" s="7">
        <f>T17*VLOOKUP($B17,'EU Ref Scenario 2020'!$A$126:$AE$153,'Specified Annual Demand'!U$3,FALSE)</f>
        <v>15.12954863404569</v>
      </c>
      <c r="V17" s="7">
        <f>U17*VLOOKUP($B17,'EU Ref Scenario 2020'!$A$126:$AE$153,'Specified Annual Demand'!V$3,FALSE)</f>
        <v>15.159801623555975</v>
      </c>
      <c r="W17" s="7">
        <f>V17*VLOOKUP($B17,'EU Ref Scenario 2020'!$A$126:$AE$153,'Specified Annual Demand'!W$3,FALSE)</f>
        <v>15.190054613066259</v>
      </c>
      <c r="X17" s="7">
        <f>W17*VLOOKUP($B17,'EU Ref Scenario 2020'!$A$126:$AE$153,'Specified Annual Demand'!X$3,FALSE)</f>
        <v>15.220307602576543</v>
      </c>
      <c r="Y17" s="7">
        <f>X17*VLOOKUP($B17,'EU Ref Scenario 2020'!$A$126:$AE$153,'Specified Annual Demand'!Y$3,FALSE)</f>
        <v>15.250560592086829</v>
      </c>
      <c r="Z17" s="7">
        <f>Y17*VLOOKUP($B17,'EU Ref Scenario 2020'!$A$126:$AE$153,'Specified Annual Demand'!Z$3,FALSE)</f>
        <v>15.280813581597114</v>
      </c>
      <c r="AA17" s="7">
        <f>Z17*VLOOKUP($B17,'EU Ref Scenario 2020'!$A$126:$AE$153,'Specified Annual Demand'!AA$3,FALSE)</f>
        <v>15.297034247013842</v>
      </c>
      <c r="AB17" s="7">
        <f>AA17*VLOOKUP($B17,'EU Ref Scenario 2020'!$A$126:$AE$153,'Specified Annual Demand'!AB$3,FALSE)</f>
        <v>15.313254912430571</v>
      </c>
      <c r="AC17" s="7">
        <f>AB17*VLOOKUP($B17,'EU Ref Scenario 2020'!$A$126:$AE$153,'Specified Annual Demand'!AC$3,FALSE)</f>
        <v>15.329475577847301</v>
      </c>
      <c r="AD17" s="7">
        <f>AC17*VLOOKUP($B17,'EU Ref Scenario 2020'!$A$126:$AE$153,'Specified Annual Demand'!AD$3,FALSE)</f>
        <v>15.345696243264031</v>
      </c>
      <c r="AE17" s="7">
        <f>AD17*VLOOKUP($B17,'EU Ref Scenario 2020'!$A$126:$AE$153,'Specified Annual Demand'!AE$3,FALSE)</f>
        <v>15.36191690868076</v>
      </c>
      <c r="AF17" s="7">
        <f>AE17*VLOOKUP($B17,'EU Ref Scenario 2020'!$A$126:$AE$153,'Specified Annual Demand'!AF$3,FALSE)</f>
        <v>15.399739681538822</v>
      </c>
      <c r="AG17" s="7">
        <f>AF17*VLOOKUP($B17,'EU Ref Scenario 2020'!$A$126:$AE$153,'Specified Annual Demand'!AG$3,FALSE)</f>
        <v>15.437562454396884</v>
      </c>
      <c r="AH17" s="7">
        <f>AG17*VLOOKUP($B17,'EU Ref Scenario 2020'!$A$126:$AE$153,'Specified Annual Demand'!AH$3,FALSE)</f>
        <v>15.475385227254948</v>
      </c>
      <c r="AI17" s="7">
        <f>AH17*VLOOKUP($B17,'EU Ref Scenario 2020'!$A$126:$AE$153,'Specified Annual Demand'!AI$3,FALSE)</f>
        <v>15.513208000113012</v>
      </c>
      <c r="AJ17" s="7">
        <f>AI17*VLOOKUP($B17,'EU Ref Scenario 2020'!$A$126:$AE$153,'Specified Annual Demand'!AJ$3,FALSE)</f>
        <v>15.551030772971075</v>
      </c>
      <c r="AK17" s="8">
        <f t="shared" ref="AK17:AO17" si="13">AJ17</f>
        <v>15.551030772971075</v>
      </c>
      <c r="AL17" s="8">
        <f t="shared" si="13"/>
        <v>15.551030772971075</v>
      </c>
      <c r="AM17" s="8">
        <f t="shared" si="13"/>
        <v>15.551030772971075</v>
      </c>
      <c r="AN17" s="8">
        <f t="shared" si="13"/>
        <v>15.551030772971075</v>
      </c>
      <c r="AO17" s="8">
        <f t="shared" si="13"/>
        <v>15.551030772971075</v>
      </c>
    </row>
    <row r="18" spans="1:41" x14ac:dyDescent="0.3">
      <c r="A18" t="s">
        <v>146</v>
      </c>
      <c r="B18" t="str">
        <f t="shared" si="1"/>
        <v>CY</v>
      </c>
      <c r="C18" t="s">
        <v>14</v>
      </c>
      <c r="D18" s="2">
        <v>11.918134779917082</v>
      </c>
      <c r="E18" s="2">
        <v>11.574061596830751</v>
      </c>
      <c r="F18" s="2">
        <v>12.005041121266469</v>
      </c>
      <c r="G18" s="2">
        <v>11.79716813540947</v>
      </c>
      <c r="H18" s="7">
        <f>G18*VLOOKUP($B18,'EU Ref Scenario 2020'!$A$126:$AE$153,'Specified Annual Demand'!H$3,FALSE)</f>
        <v>12.328466792477498</v>
      </c>
      <c r="I18" s="7">
        <f>H18*VLOOKUP($B18,'EU Ref Scenario 2020'!$A$126:$AE$153,'Specified Annual Demand'!I$3,FALSE)</f>
        <v>12.859765449545524</v>
      </c>
      <c r="J18" s="7">
        <f>I18*VLOOKUP($B18,'EU Ref Scenario 2020'!$A$126:$AE$153,'Specified Annual Demand'!J$3,FALSE)</f>
        <v>13.391064106613552</v>
      </c>
      <c r="K18" s="7">
        <f>J18*VLOOKUP($B18,'EU Ref Scenario 2020'!$A$126:$AE$153,'Specified Annual Demand'!K$3,FALSE)</f>
        <v>13.922362763681582</v>
      </c>
      <c r="L18" s="7">
        <f>K18*VLOOKUP($B18,'EU Ref Scenario 2020'!$A$126:$AE$153,'Specified Annual Demand'!L$3,FALSE)</f>
        <v>14.131929707720435</v>
      </c>
      <c r="M18" s="7">
        <f>L18*VLOOKUP($B18,'EU Ref Scenario 2020'!$A$126:$AE$153,'Specified Annual Demand'!M$3,FALSE)</f>
        <v>14.341496651759288</v>
      </c>
      <c r="N18" s="7">
        <f>M18*VLOOKUP($B18,'EU Ref Scenario 2020'!$A$126:$AE$153,'Specified Annual Demand'!N$3,FALSE)</f>
        <v>14.551063595798142</v>
      </c>
      <c r="O18" s="7">
        <f>N18*VLOOKUP($B18,'EU Ref Scenario 2020'!$A$126:$AE$153,'Specified Annual Demand'!O$3,FALSE)</f>
        <v>14.760630539836997</v>
      </c>
      <c r="P18" s="7">
        <f>O18*VLOOKUP($B18,'EU Ref Scenario 2020'!$A$126:$AE$153,'Specified Annual Demand'!P$3,FALSE)</f>
        <v>14.970197483875847</v>
      </c>
      <c r="Q18" s="7">
        <f>P18*VLOOKUP($B18,'EU Ref Scenario 2020'!$A$126:$AE$153,'Specified Annual Demand'!Q$3,FALSE)</f>
        <v>15.117295838991762</v>
      </c>
      <c r="R18" s="7">
        <f>Q18*VLOOKUP($B18,'EU Ref Scenario 2020'!$A$126:$AE$153,'Specified Annual Demand'!R$3,FALSE)</f>
        <v>15.264394194107677</v>
      </c>
      <c r="S18" s="7">
        <f>R18*VLOOKUP($B18,'EU Ref Scenario 2020'!$A$126:$AE$153,'Specified Annual Demand'!S$3,FALSE)</f>
        <v>15.41149254922359</v>
      </c>
      <c r="T18" s="7">
        <f>S18*VLOOKUP($B18,'EU Ref Scenario 2020'!$A$126:$AE$153,'Specified Annual Demand'!T$3,FALSE)</f>
        <v>15.558590904339505</v>
      </c>
      <c r="U18" s="7">
        <f>T18*VLOOKUP($B18,'EU Ref Scenario 2020'!$A$126:$AE$153,'Specified Annual Demand'!U$3,FALSE)</f>
        <v>15.705689259455417</v>
      </c>
      <c r="V18" s="7">
        <f>U18*VLOOKUP($B18,'EU Ref Scenario 2020'!$A$126:$AE$153,'Specified Annual Demand'!V$3,FALSE)</f>
        <v>15.737094297630112</v>
      </c>
      <c r="W18" s="7">
        <f>V18*VLOOKUP($B18,'EU Ref Scenario 2020'!$A$126:$AE$153,'Specified Annual Demand'!W$3,FALSE)</f>
        <v>15.768499335804806</v>
      </c>
      <c r="X18" s="7">
        <f>W18*VLOOKUP($B18,'EU Ref Scenario 2020'!$A$126:$AE$153,'Specified Annual Demand'!X$3,FALSE)</f>
        <v>15.7999043739795</v>
      </c>
      <c r="Y18" s="7">
        <f>X18*VLOOKUP($B18,'EU Ref Scenario 2020'!$A$126:$AE$153,'Specified Annual Demand'!Y$3,FALSE)</f>
        <v>15.831309412154194</v>
      </c>
      <c r="Z18" s="7">
        <f>Y18*VLOOKUP($B18,'EU Ref Scenario 2020'!$A$126:$AE$153,'Specified Annual Demand'!Z$3,FALSE)</f>
        <v>15.862714450328887</v>
      </c>
      <c r="AA18" s="7">
        <f>Z18*VLOOKUP($B18,'EU Ref Scenario 2020'!$A$126:$AE$153,'Specified Annual Demand'!AA$3,FALSE)</f>
        <v>15.879552806632754</v>
      </c>
      <c r="AB18" s="7">
        <f>AA18*VLOOKUP($B18,'EU Ref Scenario 2020'!$A$126:$AE$153,'Specified Annual Demand'!AB$3,FALSE)</f>
        <v>15.89639116293662</v>
      </c>
      <c r="AC18" s="7">
        <f>AB18*VLOOKUP($B18,'EU Ref Scenario 2020'!$A$126:$AE$153,'Specified Annual Demand'!AC$3,FALSE)</f>
        <v>15.913229519240488</v>
      </c>
      <c r="AD18" s="7">
        <f>AC18*VLOOKUP($B18,'EU Ref Scenario 2020'!$A$126:$AE$153,'Specified Annual Demand'!AD$3,FALSE)</f>
        <v>15.930067875544356</v>
      </c>
      <c r="AE18" s="7">
        <f>AD18*VLOOKUP($B18,'EU Ref Scenario 2020'!$A$126:$AE$153,'Specified Annual Demand'!AE$3,FALSE)</f>
        <v>15.946906231848223</v>
      </c>
      <c r="AF18" s="7">
        <f>AE18*VLOOKUP($B18,'EU Ref Scenario 2020'!$A$126:$AE$153,'Specified Annual Demand'!AF$3,FALSE)</f>
        <v>15.986169314429745</v>
      </c>
      <c r="AG18" s="7">
        <f>AF18*VLOOKUP($B18,'EU Ref Scenario 2020'!$A$126:$AE$153,'Specified Annual Demand'!AG$3,FALSE)</f>
        <v>16.025432397011265</v>
      </c>
      <c r="AH18" s="7">
        <f>AG18*VLOOKUP($B18,'EU Ref Scenario 2020'!$A$126:$AE$153,'Specified Annual Demand'!AH$3,FALSE)</f>
        <v>16.064695479592789</v>
      </c>
      <c r="AI18" s="7">
        <f>AH18*VLOOKUP($B18,'EU Ref Scenario 2020'!$A$126:$AE$153,'Specified Annual Demand'!AI$3,FALSE)</f>
        <v>16.103958562174313</v>
      </c>
      <c r="AJ18" s="7">
        <f>AI18*VLOOKUP($B18,'EU Ref Scenario 2020'!$A$126:$AE$153,'Specified Annual Demand'!AJ$3,FALSE)</f>
        <v>16.143221644755837</v>
      </c>
      <c r="AK18" s="8">
        <f t="shared" ref="AK18:AO18" si="14">AJ18</f>
        <v>16.143221644755837</v>
      </c>
      <c r="AL18" s="8">
        <f t="shared" si="14"/>
        <v>16.143221644755837</v>
      </c>
      <c r="AM18" s="8">
        <f t="shared" si="14"/>
        <v>16.143221644755837</v>
      </c>
      <c r="AN18" s="8">
        <f t="shared" si="14"/>
        <v>16.143221644755837</v>
      </c>
      <c r="AO18" s="8">
        <f t="shared" si="14"/>
        <v>16.143221644755837</v>
      </c>
    </row>
    <row r="19" spans="1:41" x14ac:dyDescent="0.3">
      <c r="A19" t="s">
        <v>147</v>
      </c>
      <c r="B19" t="str">
        <f t="shared" si="1"/>
        <v>CY</v>
      </c>
      <c r="C19" t="s">
        <v>15</v>
      </c>
      <c r="D19" s="2">
        <v>1.5244095113525618</v>
      </c>
      <c r="E19" s="2">
        <v>1.6298678168686513</v>
      </c>
      <c r="F19" s="2">
        <v>1.5853500253795045</v>
      </c>
      <c r="G19" s="2">
        <v>1.6801828712639892</v>
      </c>
      <c r="H19" s="7">
        <f>G19*VLOOKUP($B19,'EU Ref Scenario 2020'!$A$126:$AE$153,'Specified Annual Demand'!H$3,FALSE)</f>
        <v>1.7558517854377107</v>
      </c>
      <c r="I19" s="7">
        <f>H19*VLOOKUP($B19,'EU Ref Scenario 2020'!$A$126:$AE$153,'Specified Annual Demand'!I$3,FALSE)</f>
        <v>1.8315206996114319</v>
      </c>
      <c r="J19" s="7">
        <f>I19*VLOOKUP($B19,'EU Ref Scenario 2020'!$A$126:$AE$153,'Specified Annual Demand'!J$3,FALSE)</f>
        <v>1.9071896137851534</v>
      </c>
      <c r="K19" s="7">
        <f>J19*VLOOKUP($B19,'EU Ref Scenario 2020'!$A$126:$AE$153,'Specified Annual Demand'!K$3,FALSE)</f>
        <v>1.9828585279588753</v>
      </c>
      <c r="L19" s="7">
        <f>K19*VLOOKUP($B19,'EU Ref Scenario 2020'!$A$126:$AE$153,'Specified Annual Demand'!L$3,FALSE)</f>
        <v>2.0127055883479148</v>
      </c>
      <c r="M19" s="7">
        <f>L19*VLOOKUP($B19,'EU Ref Scenario 2020'!$A$126:$AE$153,'Specified Annual Demand'!M$3,FALSE)</f>
        <v>2.0425526487369545</v>
      </c>
      <c r="N19" s="7">
        <f>M19*VLOOKUP($B19,'EU Ref Scenario 2020'!$A$126:$AE$153,'Specified Annual Demand'!N$3,FALSE)</f>
        <v>2.0723997091259942</v>
      </c>
      <c r="O19" s="7">
        <f>N19*VLOOKUP($B19,'EU Ref Scenario 2020'!$A$126:$AE$153,'Specified Annual Demand'!O$3,FALSE)</f>
        <v>2.102246769515034</v>
      </c>
      <c r="P19" s="7">
        <f>O19*VLOOKUP($B19,'EU Ref Scenario 2020'!$A$126:$AE$153,'Specified Annual Demand'!P$3,FALSE)</f>
        <v>2.1320938299040728</v>
      </c>
      <c r="Q19" s="7">
        <f>P19*VLOOKUP($B19,'EU Ref Scenario 2020'!$A$126:$AE$153,'Specified Annual Demand'!Q$3,FALSE)</f>
        <v>2.1530439540203035</v>
      </c>
      <c r="R19" s="7">
        <f>Q19*VLOOKUP($B19,'EU Ref Scenario 2020'!$A$126:$AE$153,'Specified Annual Demand'!R$3,FALSE)</f>
        <v>2.1739940781365341</v>
      </c>
      <c r="S19" s="7">
        <f>R19*VLOOKUP($B19,'EU Ref Scenario 2020'!$A$126:$AE$153,'Specified Annual Demand'!S$3,FALSE)</f>
        <v>2.1949442022527643</v>
      </c>
      <c r="T19" s="7">
        <f>S19*VLOOKUP($B19,'EU Ref Scenario 2020'!$A$126:$AE$153,'Specified Annual Demand'!T$3,FALSE)</f>
        <v>2.215894326368995</v>
      </c>
      <c r="U19" s="7">
        <f>T19*VLOOKUP($B19,'EU Ref Scenario 2020'!$A$126:$AE$153,'Specified Annual Demand'!U$3,FALSE)</f>
        <v>2.2368444504852247</v>
      </c>
      <c r="V19" s="7">
        <f>U19*VLOOKUP($B19,'EU Ref Scenario 2020'!$A$126:$AE$153,'Specified Annual Demand'!V$3,FALSE)</f>
        <v>2.2413172363781486</v>
      </c>
      <c r="W19" s="7">
        <f>V19*VLOOKUP($B19,'EU Ref Scenario 2020'!$A$126:$AE$153,'Specified Annual Demand'!W$3,FALSE)</f>
        <v>2.2457900222710725</v>
      </c>
      <c r="X19" s="7">
        <f>W19*VLOOKUP($B19,'EU Ref Scenario 2020'!$A$126:$AE$153,'Specified Annual Demand'!X$3,FALSE)</f>
        <v>2.2502628081639964</v>
      </c>
      <c r="Y19" s="7">
        <f>X19*VLOOKUP($B19,'EU Ref Scenario 2020'!$A$126:$AE$153,'Specified Annual Demand'!Y$3,FALSE)</f>
        <v>2.2547355940569207</v>
      </c>
      <c r="Z19" s="7">
        <f>Y19*VLOOKUP($B19,'EU Ref Scenario 2020'!$A$126:$AE$153,'Specified Annual Demand'!Z$3,FALSE)</f>
        <v>2.2592083799498446</v>
      </c>
      <c r="AA19" s="7">
        <f>Z19*VLOOKUP($B19,'EU Ref Scenario 2020'!$A$126:$AE$153,'Specified Annual Demand'!AA$3,FALSE)</f>
        <v>2.2616065417389501</v>
      </c>
      <c r="AB19" s="7">
        <f>AA19*VLOOKUP($B19,'EU Ref Scenario 2020'!$A$126:$AE$153,'Specified Annual Demand'!AB$3,FALSE)</f>
        <v>2.2640047035280562</v>
      </c>
      <c r="AC19" s="7">
        <f>AB19*VLOOKUP($B19,'EU Ref Scenario 2020'!$A$126:$AE$153,'Specified Annual Demand'!AC$3,FALSE)</f>
        <v>2.2664028653171622</v>
      </c>
      <c r="AD19" s="7">
        <f>AC19*VLOOKUP($B19,'EU Ref Scenario 2020'!$A$126:$AE$153,'Specified Annual Demand'!AD$3,FALSE)</f>
        <v>2.2688010271062682</v>
      </c>
      <c r="AE19" s="7">
        <f>AD19*VLOOKUP($B19,'EU Ref Scenario 2020'!$A$126:$AE$153,'Specified Annual Demand'!AE$3,FALSE)</f>
        <v>2.2711991888953742</v>
      </c>
      <c r="AF19" s="7">
        <f>AE19*VLOOKUP($B19,'EU Ref Scenario 2020'!$A$126:$AE$153,'Specified Annual Demand'!AF$3,FALSE)</f>
        <v>2.2767911375791003</v>
      </c>
      <c r="AG19" s="7">
        <f>AF19*VLOOKUP($B19,'EU Ref Scenario 2020'!$A$126:$AE$153,'Specified Annual Demand'!AG$3,FALSE)</f>
        <v>2.2823830862628265</v>
      </c>
      <c r="AH19" s="7">
        <f>AG19*VLOOKUP($B19,'EU Ref Scenario 2020'!$A$126:$AE$153,'Specified Annual Demand'!AH$3,FALSE)</f>
        <v>2.2879750349465526</v>
      </c>
      <c r="AI19" s="7">
        <f>AH19*VLOOKUP($B19,'EU Ref Scenario 2020'!$A$126:$AE$153,'Specified Annual Demand'!AI$3,FALSE)</f>
        <v>2.2935669836302788</v>
      </c>
      <c r="AJ19" s="7">
        <f>AI19*VLOOKUP($B19,'EU Ref Scenario 2020'!$A$126:$AE$153,'Specified Annual Demand'!AJ$3,FALSE)</f>
        <v>2.2991589323140049</v>
      </c>
      <c r="AK19" s="8">
        <f t="shared" ref="AK19:AO19" si="15">AJ19</f>
        <v>2.2991589323140049</v>
      </c>
      <c r="AL19" s="8">
        <f t="shared" si="15"/>
        <v>2.2991589323140049</v>
      </c>
      <c r="AM19" s="8">
        <f t="shared" si="15"/>
        <v>2.2991589323140049</v>
      </c>
      <c r="AN19" s="8">
        <f t="shared" si="15"/>
        <v>2.2991589323140049</v>
      </c>
      <c r="AO19" s="8">
        <f t="shared" si="15"/>
        <v>2.2991589323140049</v>
      </c>
    </row>
    <row r="20" spans="1:41" x14ac:dyDescent="0.3">
      <c r="A20" t="s">
        <v>148</v>
      </c>
      <c r="B20" t="str">
        <f t="shared" si="1"/>
        <v>CY</v>
      </c>
      <c r="C20" t="s">
        <v>16</v>
      </c>
      <c r="D20" s="2">
        <v>6.3974304000000011</v>
      </c>
      <c r="E20" s="2">
        <v>6.4183643999999997</v>
      </c>
      <c r="F20" s="2">
        <v>5.9829372000000003</v>
      </c>
      <c r="G20" s="2">
        <v>6.1713432000000008</v>
      </c>
      <c r="H20" s="7">
        <f>G20*VLOOKUP($B20,'EU Ref Scenario 2020'!$A$126:$AE$153,'Specified Annual Demand'!H$3,FALSE)</f>
        <v>6.4492765410214306</v>
      </c>
      <c r="I20" s="7">
        <f>H20*VLOOKUP($B20,'EU Ref Scenario 2020'!$A$126:$AE$153,'Specified Annual Demand'!I$3,FALSE)</f>
        <v>6.7272098820428603</v>
      </c>
      <c r="J20" s="7">
        <f>I20*VLOOKUP($B20,'EU Ref Scenario 2020'!$A$126:$AE$153,'Specified Annual Demand'!J$3,FALSE)</f>
        <v>7.00514322306429</v>
      </c>
      <c r="K20" s="7">
        <f>J20*VLOOKUP($B20,'EU Ref Scenario 2020'!$A$126:$AE$153,'Specified Annual Demand'!K$3,FALSE)</f>
        <v>7.2830765640857216</v>
      </c>
      <c r="L20" s="7">
        <f>K20*VLOOKUP($B20,'EU Ref Scenario 2020'!$A$126:$AE$153,'Specified Annual Demand'!L$3,FALSE)</f>
        <v>7.3927053767121231</v>
      </c>
      <c r="M20" s="7">
        <f>L20*VLOOKUP($B20,'EU Ref Scenario 2020'!$A$126:$AE$153,'Specified Annual Demand'!M$3,FALSE)</f>
        <v>7.5023341893385247</v>
      </c>
      <c r="N20" s="7">
        <f>M20*VLOOKUP($B20,'EU Ref Scenario 2020'!$A$126:$AE$153,'Specified Annual Demand'!N$3,FALSE)</f>
        <v>7.6119630019649271</v>
      </c>
      <c r="O20" s="7">
        <f>N20*VLOOKUP($B20,'EU Ref Scenario 2020'!$A$126:$AE$153,'Specified Annual Demand'!O$3,FALSE)</f>
        <v>7.7215918145913296</v>
      </c>
      <c r="P20" s="7">
        <f>O20*VLOOKUP($B20,'EU Ref Scenario 2020'!$A$126:$AE$153,'Specified Annual Demand'!P$3,FALSE)</f>
        <v>7.8312206272177285</v>
      </c>
      <c r="Q20" s="7">
        <f>P20*VLOOKUP($B20,'EU Ref Scenario 2020'!$A$126:$AE$153,'Specified Annual Demand'!Q$3,FALSE)</f>
        <v>7.9081708260413786</v>
      </c>
      <c r="R20" s="7">
        <f>Q20*VLOOKUP($B20,'EU Ref Scenario 2020'!$A$126:$AE$153,'Specified Annual Demand'!R$3,FALSE)</f>
        <v>7.9851210248650286</v>
      </c>
      <c r="S20" s="7">
        <f>R20*VLOOKUP($B20,'EU Ref Scenario 2020'!$A$126:$AE$153,'Specified Annual Demand'!S$3,FALSE)</f>
        <v>8.0620712236886778</v>
      </c>
      <c r="T20" s="7">
        <f>S20*VLOOKUP($B20,'EU Ref Scenario 2020'!$A$126:$AE$153,'Specified Annual Demand'!T$3,FALSE)</f>
        <v>8.1390214225123287</v>
      </c>
      <c r="U20" s="7">
        <f>T20*VLOOKUP($B20,'EU Ref Scenario 2020'!$A$126:$AE$153,'Specified Annual Demand'!U$3,FALSE)</f>
        <v>8.2159716213359761</v>
      </c>
      <c r="V20" s="7">
        <f>U20*VLOOKUP($B20,'EU Ref Scenario 2020'!$A$126:$AE$153,'Specified Annual Demand'!V$3,FALSE)</f>
        <v>8.2324002478131568</v>
      </c>
      <c r="W20" s="7">
        <f>V20*VLOOKUP($B20,'EU Ref Scenario 2020'!$A$126:$AE$153,'Specified Annual Demand'!W$3,FALSE)</f>
        <v>8.2488288742903375</v>
      </c>
      <c r="X20" s="7">
        <f>W20*VLOOKUP($B20,'EU Ref Scenario 2020'!$A$126:$AE$153,'Specified Annual Demand'!X$3,FALSE)</f>
        <v>8.2652575007675182</v>
      </c>
      <c r="Y20" s="7">
        <f>X20*VLOOKUP($B20,'EU Ref Scenario 2020'!$A$126:$AE$153,'Specified Annual Demand'!Y$3,FALSE)</f>
        <v>8.2816861272446989</v>
      </c>
      <c r="Z20" s="7">
        <f>Y20*VLOOKUP($B20,'EU Ref Scenario 2020'!$A$126:$AE$153,'Specified Annual Demand'!Z$3,FALSE)</f>
        <v>8.2981147537218796</v>
      </c>
      <c r="AA20" s="7">
        <f>Z20*VLOOKUP($B20,'EU Ref Scenario 2020'!$A$126:$AE$153,'Specified Annual Demand'!AA$3,FALSE)</f>
        <v>8.3069232469536693</v>
      </c>
      <c r="AB20" s="7">
        <f>AA20*VLOOKUP($B20,'EU Ref Scenario 2020'!$A$126:$AE$153,'Specified Annual Demand'!AB$3,FALSE)</f>
        <v>8.3157317401854591</v>
      </c>
      <c r="AC20" s="7">
        <f>AB20*VLOOKUP($B20,'EU Ref Scenario 2020'!$A$126:$AE$153,'Specified Annual Demand'!AC$3,FALSE)</f>
        <v>8.3245402334172507</v>
      </c>
      <c r="AD20" s="7">
        <f>AC20*VLOOKUP($B20,'EU Ref Scenario 2020'!$A$126:$AE$153,'Specified Annual Demand'!AD$3,FALSE)</f>
        <v>8.3333487266490405</v>
      </c>
      <c r="AE20" s="7">
        <f>AD20*VLOOKUP($B20,'EU Ref Scenario 2020'!$A$126:$AE$153,'Specified Annual Demand'!AE$3,FALSE)</f>
        <v>8.3421572198808303</v>
      </c>
      <c r="AF20" s="7">
        <f>AE20*VLOOKUP($B20,'EU Ref Scenario 2020'!$A$126:$AE$153,'Specified Annual Demand'!AF$3,FALSE)</f>
        <v>8.3626965522798677</v>
      </c>
      <c r="AG20" s="7">
        <f>AF20*VLOOKUP($B20,'EU Ref Scenario 2020'!$A$126:$AE$153,'Specified Annual Demand'!AG$3,FALSE)</f>
        <v>8.3832358846789052</v>
      </c>
      <c r="AH20" s="7">
        <f>AG20*VLOOKUP($B20,'EU Ref Scenario 2020'!$A$126:$AE$153,'Specified Annual Demand'!AH$3,FALSE)</f>
        <v>8.4037752170779445</v>
      </c>
      <c r="AI20" s="7">
        <f>AH20*VLOOKUP($B20,'EU Ref Scenario 2020'!$A$126:$AE$153,'Specified Annual Demand'!AI$3,FALSE)</f>
        <v>8.4243145494769838</v>
      </c>
      <c r="AJ20" s="7">
        <f>AI20*VLOOKUP($B20,'EU Ref Scenario 2020'!$A$126:$AE$153,'Specified Annual Demand'!AJ$3,FALSE)</f>
        <v>8.4448538818760213</v>
      </c>
      <c r="AK20" s="8">
        <f t="shared" ref="AK20:AO20" si="16">AJ20</f>
        <v>8.4448538818760213</v>
      </c>
      <c r="AL20" s="8">
        <f t="shared" si="16"/>
        <v>8.4448538818760213</v>
      </c>
      <c r="AM20" s="8">
        <f t="shared" si="16"/>
        <v>8.4448538818760213</v>
      </c>
      <c r="AN20" s="8">
        <f t="shared" si="16"/>
        <v>8.4448538818760213</v>
      </c>
      <c r="AO20" s="8">
        <f t="shared" si="16"/>
        <v>8.4448538818760213</v>
      </c>
    </row>
    <row r="21" spans="1:41" x14ac:dyDescent="0.3">
      <c r="A21" t="s">
        <v>145</v>
      </c>
      <c r="B21" t="str">
        <f t="shared" si="1"/>
        <v>CZ</v>
      </c>
      <c r="C21" t="s">
        <v>17</v>
      </c>
      <c r="D21" s="2">
        <v>237.57217825667612</v>
      </c>
      <c r="E21" s="2">
        <v>240.83389811313529</v>
      </c>
      <c r="F21" s="2">
        <v>244.11427479038332</v>
      </c>
      <c r="G21" s="2">
        <v>265.6918469144357</v>
      </c>
      <c r="H21" s="7">
        <f>G21*VLOOKUP($B21,'EU Ref Scenario 2020'!$A$126:$AE$153,'Specified Annual Demand'!H$3,FALSE)</f>
        <v>267.37415113334873</v>
      </c>
      <c r="I21" s="7">
        <f>H21*VLOOKUP($B21,'EU Ref Scenario 2020'!$A$126:$AE$153,'Specified Annual Demand'!I$3,FALSE)</f>
        <v>269.05645535226176</v>
      </c>
      <c r="J21" s="7">
        <f>I21*VLOOKUP($B21,'EU Ref Scenario 2020'!$A$126:$AE$153,'Specified Annual Demand'!J$3,FALSE)</f>
        <v>270.7387595711748</v>
      </c>
      <c r="K21" s="7">
        <f>J21*VLOOKUP($B21,'EU Ref Scenario 2020'!$A$126:$AE$153,'Specified Annual Demand'!K$3,FALSE)</f>
        <v>272.42106379008789</v>
      </c>
      <c r="L21" s="7">
        <f>K21*VLOOKUP($B21,'EU Ref Scenario 2020'!$A$126:$AE$153,'Specified Annual Demand'!L$3,FALSE)</f>
        <v>269.68642186612243</v>
      </c>
      <c r="M21" s="7">
        <f>L21*VLOOKUP($B21,'EU Ref Scenario 2020'!$A$126:$AE$153,'Specified Annual Demand'!M$3,FALSE)</f>
        <v>266.95177994215703</v>
      </c>
      <c r="N21" s="7">
        <f>M21*VLOOKUP($B21,'EU Ref Scenario 2020'!$A$126:$AE$153,'Specified Annual Demand'!N$3,FALSE)</f>
        <v>264.21713801819163</v>
      </c>
      <c r="O21" s="7">
        <f>N21*VLOOKUP($B21,'EU Ref Scenario 2020'!$A$126:$AE$153,'Specified Annual Demand'!O$3,FALSE)</f>
        <v>261.48249609422618</v>
      </c>
      <c r="P21" s="7">
        <f>O21*VLOOKUP($B21,'EU Ref Scenario 2020'!$A$126:$AE$153,'Specified Annual Demand'!P$3,FALSE)</f>
        <v>258.74785417026072</v>
      </c>
      <c r="Q21" s="7">
        <f>P21*VLOOKUP($B21,'EU Ref Scenario 2020'!$A$126:$AE$153,'Specified Annual Demand'!Q$3,FALSE)</f>
        <v>258.20696324615693</v>
      </c>
      <c r="R21" s="7">
        <f>Q21*VLOOKUP($B21,'EU Ref Scenario 2020'!$A$126:$AE$153,'Specified Annual Demand'!R$3,FALSE)</f>
        <v>257.66607232205314</v>
      </c>
      <c r="S21" s="7">
        <f>R21*VLOOKUP($B21,'EU Ref Scenario 2020'!$A$126:$AE$153,'Specified Annual Demand'!S$3,FALSE)</f>
        <v>257.12518139794935</v>
      </c>
      <c r="T21" s="7">
        <f>S21*VLOOKUP($B21,'EU Ref Scenario 2020'!$A$126:$AE$153,'Specified Annual Demand'!T$3,FALSE)</f>
        <v>256.58429047384556</v>
      </c>
      <c r="U21" s="7">
        <f>T21*VLOOKUP($B21,'EU Ref Scenario 2020'!$A$126:$AE$153,'Specified Annual Demand'!U$3,FALSE)</f>
        <v>256.04339954974165</v>
      </c>
      <c r="V21" s="7">
        <f>U21*VLOOKUP($B21,'EU Ref Scenario 2020'!$A$126:$AE$153,'Specified Annual Demand'!V$3,FALSE)</f>
        <v>255.20068487200075</v>
      </c>
      <c r="W21" s="7">
        <f>V21*VLOOKUP($B21,'EU Ref Scenario 2020'!$A$126:$AE$153,'Specified Annual Demand'!W$3,FALSE)</f>
        <v>254.35797019425985</v>
      </c>
      <c r="X21" s="7">
        <f>W21*VLOOKUP($B21,'EU Ref Scenario 2020'!$A$126:$AE$153,'Specified Annual Demand'!X$3,FALSE)</f>
        <v>253.51525551651895</v>
      </c>
      <c r="Y21" s="7">
        <f>X21*VLOOKUP($B21,'EU Ref Scenario 2020'!$A$126:$AE$153,'Specified Annual Demand'!Y$3,FALSE)</f>
        <v>252.67254083877805</v>
      </c>
      <c r="Z21" s="7">
        <f>Y21*VLOOKUP($B21,'EU Ref Scenario 2020'!$A$126:$AE$153,'Specified Annual Demand'!Z$3,FALSE)</f>
        <v>251.82982616103709</v>
      </c>
      <c r="AA21" s="7">
        <f>Z21*VLOOKUP($B21,'EU Ref Scenario 2020'!$A$126:$AE$153,'Specified Annual Demand'!AA$3,FALSE)</f>
        <v>251.08713156043819</v>
      </c>
      <c r="AB21" s="7">
        <f>AA21*VLOOKUP($B21,'EU Ref Scenario 2020'!$A$126:$AE$153,'Specified Annual Demand'!AB$3,FALSE)</f>
        <v>250.3444369598393</v>
      </c>
      <c r="AC21" s="7">
        <f>AB21*VLOOKUP($B21,'EU Ref Scenario 2020'!$A$126:$AE$153,'Specified Annual Demand'!AC$3,FALSE)</f>
        <v>249.6017423592404</v>
      </c>
      <c r="AD21" s="7">
        <f>AC21*VLOOKUP($B21,'EU Ref Scenario 2020'!$A$126:$AE$153,'Specified Annual Demand'!AD$3,FALSE)</f>
        <v>248.85904775864151</v>
      </c>
      <c r="AE21" s="7">
        <f>AD21*VLOOKUP($B21,'EU Ref Scenario 2020'!$A$126:$AE$153,'Specified Annual Demand'!AE$3,FALSE)</f>
        <v>248.1163531580427</v>
      </c>
      <c r="AF21" s="7">
        <f>AE21*VLOOKUP($B21,'EU Ref Scenario 2020'!$A$126:$AE$153,'Specified Annual Demand'!AF$3,FALSE)</f>
        <v>247.6405881139452</v>
      </c>
      <c r="AG21" s="7">
        <f>AF21*VLOOKUP($B21,'EU Ref Scenario 2020'!$A$126:$AE$153,'Specified Annual Demand'!AG$3,FALSE)</f>
        <v>247.16482306984767</v>
      </c>
      <c r="AH21" s="7">
        <f>AG21*VLOOKUP($B21,'EU Ref Scenario 2020'!$A$126:$AE$153,'Specified Annual Demand'!AH$3,FALSE)</f>
        <v>246.68905802575014</v>
      </c>
      <c r="AI21" s="7">
        <f>AH21*VLOOKUP($B21,'EU Ref Scenario 2020'!$A$126:$AE$153,'Specified Annual Demand'!AI$3,FALSE)</f>
        <v>246.21329298165264</v>
      </c>
      <c r="AJ21" s="7">
        <f>AI21*VLOOKUP($B21,'EU Ref Scenario 2020'!$A$126:$AE$153,'Specified Annual Demand'!AJ$3,FALSE)</f>
        <v>245.73752793755511</v>
      </c>
      <c r="AK21" s="8">
        <f t="shared" ref="AK21:AO21" si="17">AJ21</f>
        <v>245.73752793755511</v>
      </c>
      <c r="AL21" s="8">
        <f t="shared" si="17"/>
        <v>245.73752793755511</v>
      </c>
      <c r="AM21" s="8">
        <f t="shared" si="17"/>
        <v>245.73752793755511</v>
      </c>
      <c r="AN21" s="8">
        <f t="shared" si="17"/>
        <v>245.73752793755511</v>
      </c>
      <c r="AO21" s="8">
        <f t="shared" si="17"/>
        <v>245.73752793755511</v>
      </c>
    </row>
    <row r="22" spans="1:41" x14ac:dyDescent="0.3">
      <c r="A22" t="s">
        <v>146</v>
      </c>
      <c r="B22" t="str">
        <f t="shared" si="1"/>
        <v>CZ</v>
      </c>
      <c r="C22" t="s">
        <v>18</v>
      </c>
      <c r="D22" s="2">
        <v>6.89608246720067</v>
      </c>
      <c r="E22" s="2">
        <v>7.1215742042514636</v>
      </c>
      <c r="F22" s="2">
        <v>6.6015357867899116</v>
      </c>
      <c r="G22" s="2">
        <v>7.1944309134738411</v>
      </c>
      <c r="H22" s="7">
        <f>G22*VLOOKUP($B22,'EU Ref Scenario 2020'!$A$126:$AE$153,'Specified Annual Demand'!H$3,FALSE)</f>
        <v>7.239984518595616</v>
      </c>
      <c r="I22" s="7">
        <f>H22*VLOOKUP($B22,'EU Ref Scenario 2020'!$A$126:$AE$153,'Specified Annual Demand'!I$3,FALSE)</f>
        <v>7.2855381237173917</v>
      </c>
      <c r="J22" s="7">
        <f>I22*VLOOKUP($B22,'EU Ref Scenario 2020'!$A$126:$AE$153,'Specified Annual Demand'!J$3,FALSE)</f>
        <v>7.3310917288391675</v>
      </c>
      <c r="K22" s="7">
        <f>J22*VLOOKUP($B22,'EU Ref Scenario 2020'!$A$126:$AE$153,'Specified Annual Demand'!K$3,FALSE)</f>
        <v>7.376645333960945</v>
      </c>
      <c r="L22" s="7">
        <f>K22*VLOOKUP($B22,'EU Ref Scenario 2020'!$A$126:$AE$153,'Specified Annual Demand'!L$3,FALSE)</f>
        <v>7.3025964211939884</v>
      </c>
      <c r="M22" s="7">
        <f>L22*VLOOKUP($B22,'EU Ref Scenario 2020'!$A$126:$AE$153,'Specified Annual Demand'!M$3,FALSE)</f>
        <v>7.2285475084270328</v>
      </c>
      <c r="N22" s="7">
        <f>M22*VLOOKUP($B22,'EU Ref Scenario 2020'!$A$126:$AE$153,'Specified Annual Demand'!N$3,FALSE)</f>
        <v>7.1544985956600771</v>
      </c>
      <c r="O22" s="7">
        <f>N22*VLOOKUP($B22,'EU Ref Scenario 2020'!$A$126:$AE$153,'Specified Annual Demand'!O$3,FALSE)</f>
        <v>7.0804496828931214</v>
      </c>
      <c r="P22" s="7">
        <f>O22*VLOOKUP($B22,'EU Ref Scenario 2020'!$A$126:$AE$153,'Specified Annual Demand'!P$3,FALSE)</f>
        <v>7.0064007701261657</v>
      </c>
      <c r="Q22" s="7">
        <f>P22*VLOOKUP($B22,'EU Ref Scenario 2020'!$A$126:$AE$153,'Specified Annual Demand'!Q$3,FALSE)</f>
        <v>6.9917544705487344</v>
      </c>
      <c r="R22" s="7">
        <f>Q22*VLOOKUP($B22,'EU Ref Scenario 2020'!$A$126:$AE$153,'Specified Annual Demand'!R$3,FALSE)</f>
        <v>6.9771081709713032</v>
      </c>
      <c r="S22" s="7">
        <f>R22*VLOOKUP($B22,'EU Ref Scenario 2020'!$A$126:$AE$153,'Specified Annual Demand'!S$3,FALSE)</f>
        <v>6.962461871393872</v>
      </c>
      <c r="T22" s="7">
        <f>S22*VLOOKUP($B22,'EU Ref Scenario 2020'!$A$126:$AE$153,'Specified Annual Demand'!T$3,FALSE)</f>
        <v>6.9478155718164407</v>
      </c>
      <c r="U22" s="7">
        <f>T22*VLOOKUP($B22,'EU Ref Scenario 2020'!$A$126:$AE$153,'Specified Annual Demand'!U$3,FALSE)</f>
        <v>6.9331692722390068</v>
      </c>
      <c r="V22" s="7">
        <f>U22*VLOOKUP($B22,'EU Ref Scenario 2020'!$A$126:$AE$153,'Specified Annual Demand'!V$3,FALSE)</f>
        <v>6.9103501582948379</v>
      </c>
      <c r="W22" s="7">
        <f>V22*VLOOKUP($B22,'EU Ref Scenario 2020'!$A$126:$AE$153,'Specified Annual Demand'!W$3,FALSE)</f>
        <v>6.8875310443506681</v>
      </c>
      <c r="X22" s="7">
        <f>W22*VLOOKUP($B22,'EU Ref Scenario 2020'!$A$126:$AE$153,'Specified Annual Demand'!X$3,FALSE)</f>
        <v>6.8647119304064992</v>
      </c>
      <c r="Y22" s="7">
        <f>X22*VLOOKUP($B22,'EU Ref Scenario 2020'!$A$126:$AE$153,'Specified Annual Demand'!Y$3,FALSE)</f>
        <v>6.8418928164623294</v>
      </c>
      <c r="Z22" s="7">
        <f>Y22*VLOOKUP($B22,'EU Ref Scenario 2020'!$A$126:$AE$153,'Specified Annual Demand'!Z$3,FALSE)</f>
        <v>6.8190737025181587</v>
      </c>
      <c r="AA22" s="7">
        <f>Z22*VLOOKUP($B22,'EU Ref Scenario 2020'!$A$126:$AE$153,'Specified Annual Demand'!AA$3,FALSE)</f>
        <v>6.7989629424181715</v>
      </c>
      <c r="AB22" s="7">
        <f>AA22*VLOOKUP($B22,'EU Ref Scenario 2020'!$A$126:$AE$153,'Specified Annual Demand'!AB$3,FALSE)</f>
        <v>6.7788521823181842</v>
      </c>
      <c r="AC22" s="7">
        <f>AB22*VLOOKUP($B22,'EU Ref Scenario 2020'!$A$126:$AE$153,'Specified Annual Demand'!AC$3,FALSE)</f>
        <v>6.758741422218197</v>
      </c>
      <c r="AD22" s="7">
        <f>AC22*VLOOKUP($B22,'EU Ref Scenario 2020'!$A$126:$AE$153,'Specified Annual Demand'!AD$3,FALSE)</f>
        <v>6.7386306621182097</v>
      </c>
      <c r="AE22" s="7">
        <f>AD22*VLOOKUP($B22,'EU Ref Scenario 2020'!$A$126:$AE$153,'Specified Annual Demand'!AE$3,FALSE)</f>
        <v>6.7185199020182242</v>
      </c>
      <c r="AF22" s="7">
        <f>AE22*VLOOKUP($B22,'EU Ref Scenario 2020'!$A$126:$AE$153,'Specified Annual Demand'!AF$3,FALSE)</f>
        <v>6.7056370876580695</v>
      </c>
      <c r="AG22" s="7">
        <f>AF22*VLOOKUP($B22,'EU Ref Scenario 2020'!$A$126:$AE$153,'Specified Annual Demand'!AG$3,FALSE)</f>
        <v>6.6927542732979139</v>
      </c>
      <c r="AH22" s="7">
        <f>AG22*VLOOKUP($B22,'EU Ref Scenario 2020'!$A$126:$AE$153,'Specified Annual Demand'!AH$3,FALSE)</f>
        <v>6.6798714589377584</v>
      </c>
      <c r="AI22" s="7">
        <f>AH22*VLOOKUP($B22,'EU Ref Scenario 2020'!$A$126:$AE$153,'Specified Annual Demand'!AI$3,FALSE)</f>
        <v>6.6669886445776037</v>
      </c>
      <c r="AJ22" s="7">
        <f>AI22*VLOOKUP($B22,'EU Ref Scenario 2020'!$A$126:$AE$153,'Specified Annual Demand'!AJ$3,FALSE)</f>
        <v>6.6541058302174481</v>
      </c>
      <c r="AK22" s="8">
        <f t="shared" ref="AK22:AO22" si="18">AJ22</f>
        <v>6.6541058302174481</v>
      </c>
      <c r="AL22" s="8">
        <f t="shared" si="18"/>
        <v>6.6541058302174481</v>
      </c>
      <c r="AM22" s="8">
        <f t="shared" si="18"/>
        <v>6.6541058302174481</v>
      </c>
      <c r="AN22" s="8">
        <f t="shared" si="18"/>
        <v>6.6541058302174481</v>
      </c>
      <c r="AO22" s="8">
        <f t="shared" si="18"/>
        <v>6.6541058302174481</v>
      </c>
    </row>
    <row r="23" spans="1:41" x14ac:dyDescent="0.3">
      <c r="A23" t="s">
        <v>147</v>
      </c>
      <c r="B23" t="str">
        <f t="shared" si="1"/>
        <v>CZ</v>
      </c>
      <c r="C23" t="s">
        <v>19</v>
      </c>
      <c r="D23" s="2">
        <v>18.857236962162961</v>
      </c>
      <c r="E23" s="2">
        <v>18.869108761948432</v>
      </c>
      <c r="F23" s="2">
        <v>19.095549600064281</v>
      </c>
      <c r="G23" s="2">
        <v>21.537248359698822</v>
      </c>
      <c r="H23" s="7">
        <f>G23*VLOOKUP($B23,'EU Ref Scenario 2020'!$A$126:$AE$153,'Specified Annual Demand'!H$3,FALSE)</f>
        <v>21.673617631846518</v>
      </c>
      <c r="I23" s="7">
        <f>H23*VLOOKUP($B23,'EU Ref Scenario 2020'!$A$126:$AE$153,'Specified Annual Demand'!I$3,FALSE)</f>
        <v>21.809986903994218</v>
      </c>
      <c r="J23" s="7">
        <f>I23*VLOOKUP($B23,'EU Ref Scenario 2020'!$A$126:$AE$153,'Specified Annual Demand'!J$3,FALSE)</f>
        <v>21.946356176141915</v>
      </c>
      <c r="K23" s="7">
        <f>J23*VLOOKUP($B23,'EU Ref Scenario 2020'!$A$126:$AE$153,'Specified Annual Demand'!K$3,FALSE)</f>
        <v>22.082725448289619</v>
      </c>
      <c r="L23" s="7">
        <f>K23*VLOOKUP($B23,'EU Ref Scenario 2020'!$A$126:$AE$153,'Specified Annual Demand'!L$3,FALSE)</f>
        <v>21.861052623265916</v>
      </c>
      <c r="M23" s="7">
        <f>L23*VLOOKUP($B23,'EU Ref Scenario 2020'!$A$126:$AE$153,'Specified Annual Demand'!M$3,FALSE)</f>
        <v>21.639379798242214</v>
      </c>
      <c r="N23" s="7">
        <f>M23*VLOOKUP($B23,'EU Ref Scenario 2020'!$A$126:$AE$153,'Specified Annual Demand'!N$3,FALSE)</f>
        <v>21.417706973218511</v>
      </c>
      <c r="O23" s="7">
        <f>N23*VLOOKUP($B23,'EU Ref Scenario 2020'!$A$126:$AE$153,'Specified Annual Demand'!O$3,FALSE)</f>
        <v>21.196034148194808</v>
      </c>
      <c r="P23" s="7">
        <f>O23*VLOOKUP($B23,'EU Ref Scenario 2020'!$A$126:$AE$153,'Specified Annual Demand'!P$3,FALSE)</f>
        <v>20.974361323171106</v>
      </c>
      <c r="Q23" s="7">
        <f>P23*VLOOKUP($B23,'EU Ref Scenario 2020'!$A$126:$AE$153,'Specified Annual Demand'!Q$3,FALSE)</f>
        <v>20.930516160802679</v>
      </c>
      <c r="R23" s="7">
        <f>Q23*VLOOKUP($B23,'EU Ref Scenario 2020'!$A$126:$AE$153,'Specified Annual Demand'!R$3,FALSE)</f>
        <v>20.886670998434251</v>
      </c>
      <c r="S23" s="7">
        <f>R23*VLOOKUP($B23,'EU Ref Scenario 2020'!$A$126:$AE$153,'Specified Annual Demand'!S$3,FALSE)</f>
        <v>20.842825836065824</v>
      </c>
      <c r="T23" s="7">
        <f>S23*VLOOKUP($B23,'EU Ref Scenario 2020'!$A$126:$AE$153,'Specified Annual Demand'!T$3,FALSE)</f>
        <v>20.798980673697397</v>
      </c>
      <c r="U23" s="7">
        <f>T23*VLOOKUP($B23,'EU Ref Scenario 2020'!$A$126:$AE$153,'Specified Annual Demand'!U$3,FALSE)</f>
        <v>20.755135511328962</v>
      </c>
      <c r="V23" s="7">
        <f>U23*VLOOKUP($B23,'EU Ref Scenario 2020'!$A$126:$AE$153,'Specified Annual Demand'!V$3,FALSE)</f>
        <v>20.686824211898255</v>
      </c>
      <c r="W23" s="7">
        <f>V23*VLOOKUP($B23,'EU Ref Scenario 2020'!$A$126:$AE$153,'Specified Annual Demand'!W$3,FALSE)</f>
        <v>20.618512912467548</v>
      </c>
      <c r="X23" s="7">
        <f>W23*VLOOKUP($B23,'EU Ref Scenario 2020'!$A$126:$AE$153,'Specified Annual Demand'!X$3,FALSE)</f>
        <v>20.55020161303684</v>
      </c>
      <c r="Y23" s="7">
        <f>X23*VLOOKUP($B23,'EU Ref Scenario 2020'!$A$126:$AE$153,'Specified Annual Demand'!Y$3,FALSE)</f>
        <v>20.481890313606133</v>
      </c>
      <c r="Z23" s="7">
        <f>Y23*VLOOKUP($B23,'EU Ref Scenario 2020'!$A$126:$AE$153,'Specified Annual Demand'!Z$3,FALSE)</f>
        <v>20.413579014175422</v>
      </c>
      <c r="AA23" s="7">
        <f>Z23*VLOOKUP($B23,'EU Ref Scenario 2020'!$A$126:$AE$153,'Specified Annual Demand'!AA$3,FALSE)</f>
        <v>20.353375442804047</v>
      </c>
      <c r="AB23" s="7">
        <f>AA23*VLOOKUP($B23,'EU Ref Scenario 2020'!$A$126:$AE$153,'Specified Annual Demand'!AB$3,FALSE)</f>
        <v>20.293171871432673</v>
      </c>
      <c r="AC23" s="7">
        <f>AB23*VLOOKUP($B23,'EU Ref Scenario 2020'!$A$126:$AE$153,'Specified Annual Demand'!AC$3,FALSE)</f>
        <v>20.232968300061298</v>
      </c>
      <c r="AD23" s="7">
        <f>AC23*VLOOKUP($B23,'EU Ref Scenario 2020'!$A$126:$AE$153,'Specified Annual Demand'!AD$3,FALSE)</f>
        <v>20.172764728689923</v>
      </c>
      <c r="AE23" s="7">
        <f>AD23*VLOOKUP($B23,'EU Ref Scenario 2020'!$A$126:$AE$153,'Specified Annual Demand'!AE$3,FALSE)</f>
        <v>20.112561157318556</v>
      </c>
      <c r="AF23" s="7">
        <f>AE23*VLOOKUP($B23,'EU Ref Scenario 2020'!$A$126:$AE$153,'Specified Annual Demand'!AF$3,FALSE)</f>
        <v>20.07399516429096</v>
      </c>
      <c r="AG23" s="7">
        <f>AF23*VLOOKUP($B23,'EU Ref Scenario 2020'!$A$126:$AE$153,'Specified Annual Demand'!AG$3,FALSE)</f>
        <v>20.035429171263363</v>
      </c>
      <c r="AH23" s="7">
        <f>AG23*VLOOKUP($B23,'EU Ref Scenario 2020'!$A$126:$AE$153,'Specified Annual Demand'!AH$3,FALSE)</f>
        <v>19.996863178235767</v>
      </c>
      <c r="AI23" s="7">
        <f>AH23*VLOOKUP($B23,'EU Ref Scenario 2020'!$A$126:$AE$153,'Specified Annual Demand'!AI$3,FALSE)</f>
        <v>19.958297185208171</v>
      </c>
      <c r="AJ23" s="7">
        <f>AI23*VLOOKUP($B23,'EU Ref Scenario 2020'!$A$126:$AE$153,'Specified Annual Demand'!AJ$3,FALSE)</f>
        <v>19.919731192180574</v>
      </c>
      <c r="AK23" s="8">
        <f t="shared" ref="AK23:AO23" si="19">AJ23</f>
        <v>19.919731192180574</v>
      </c>
      <c r="AL23" s="8">
        <f t="shared" si="19"/>
        <v>19.919731192180574</v>
      </c>
      <c r="AM23" s="8">
        <f t="shared" si="19"/>
        <v>19.919731192180574</v>
      </c>
      <c r="AN23" s="8">
        <f t="shared" si="19"/>
        <v>19.919731192180574</v>
      </c>
      <c r="AO23" s="8">
        <f t="shared" si="19"/>
        <v>19.919731192180574</v>
      </c>
    </row>
    <row r="24" spans="1:41" x14ac:dyDescent="0.3">
      <c r="A24" t="s">
        <v>148</v>
      </c>
      <c r="B24" t="str">
        <f t="shared" si="1"/>
        <v>CZ</v>
      </c>
      <c r="C24" t="s">
        <v>20</v>
      </c>
      <c r="D24" s="2">
        <v>54.482260541472584</v>
      </c>
      <c r="E24" s="2">
        <v>54.398870533996153</v>
      </c>
      <c r="F24" s="2">
        <v>54.160348066799138</v>
      </c>
      <c r="G24" s="2">
        <v>54.963591102549323</v>
      </c>
      <c r="H24" s="7">
        <f>G24*VLOOKUP($B24,'EU Ref Scenario 2020'!$A$126:$AE$153,'Specified Annual Demand'!H$3,FALSE)</f>
        <v>55.311608861740126</v>
      </c>
      <c r="I24" s="7">
        <f>H24*VLOOKUP($B24,'EU Ref Scenario 2020'!$A$126:$AE$153,'Specified Annual Demand'!I$3,FALSE)</f>
        <v>55.659626620930936</v>
      </c>
      <c r="J24" s="7">
        <f>I24*VLOOKUP($B24,'EU Ref Scenario 2020'!$A$126:$AE$153,'Specified Annual Demand'!J$3,FALSE)</f>
        <v>56.007644380121747</v>
      </c>
      <c r="K24" s="7">
        <f>J24*VLOOKUP($B24,'EU Ref Scenario 2020'!$A$126:$AE$153,'Specified Annual Demand'!K$3,FALSE)</f>
        <v>56.355662139312571</v>
      </c>
      <c r="L24" s="7">
        <f>K24*VLOOKUP($B24,'EU Ref Scenario 2020'!$A$126:$AE$153,'Specified Annual Demand'!L$3,FALSE)</f>
        <v>55.789947600961945</v>
      </c>
      <c r="M24" s="7">
        <f>L24*VLOOKUP($B24,'EU Ref Scenario 2020'!$A$126:$AE$153,'Specified Annual Demand'!M$3,FALSE)</f>
        <v>55.224233062611326</v>
      </c>
      <c r="N24" s="7">
        <f>M24*VLOOKUP($B24,'EU Ref Scenario 2020'!$A$126:$AE$153,'Specified Annual Demand'!N$3,FALSE)</f>
        <v>54.658518524260707</v>
      </c>
      <c r="O24" s="7">
        <f>N24*VLOOKUP($B24,'EU Ref Scenario 2020'!$A$126:$AE$153,'Specified Annual Demand'!O$3,FALSE)</f>
        <v>54.092803985910081</v>
      </c>
      <c r="P24" s="7">
        <f>O24*VLOOKUP($B24,'EU Ref Scenario 2020'!$A$126:$AE$153,'Specified Annual Demand'!P$3,FALSE)</f>
        <v>53.527089447559455</v>
      </c>
      <c r="Q24" s="7">
        <f>P24*VLOOKUP($B24,'EU Ref Scenario 2020'!$A$126:$AE$153,'Specified Annual Demand'!Q$3,FALSE)</f>
        <v>53.415195507535408</v>
      </c>
      <c r="R24" s="7">
        <f>Q24*VLOOKUP($B24,'EU Ref Scenario 2020'!$A$126:$AE$153,'Specified Annual Demand'!R$3,FALSE)</f>
        <v>53.303301567511369</v>
      </c>
      <c r="S24" s="7">
        <f>R24*VLOOKUP($B24,'EU Ref Scenario 2020'!$A$126:$AE$153,'Specified Annual Demand'!S$3,FALSE)</f>
        <v>53.191407627487322</v>
      </c>
      <c r="T24" s="7">
        <f>S24*VLOOKUP($B24,'EU Ref Scenario 2020'!$A$126:$AE$153,'Specified Annual Demand'!T$3,FALSE)</f>
        <v>53.079513687463283</v>
      </c>
      <c r="U24" s="7">
        <f>T24*VLOOKUP($B24,'EU Ref Scenario 2020'!$A$126:$AE$153,'Specified Annual Demand'!U$3,FALSE)</f>
        <v>52.967619747439223</v>
      </c>
      <c r="V24" s="7">
        <f>U24*VLOOKUP($B24,'EU Ref Scenario 2020'!$A$126:$AE$153,'Specified Annual Demand'!V$3,FALSE)</f>
        <v>52.793287619820781</v>
      </c>
      <c r="W24" s="7">
        <f>V24*VLOOKUP($B24,'EU Ref Scenario 2020'!$A$126:$AE$153,'Specified Annual Demand'!W$3,FALSE)</f>
        <v>52.618955492202332</v>
      </c>
      <c r="X24" s="7">
        <f>W24*VLOOKUP($B24,'EU Ref Scenario 2020'!$A$126:$AE$153,'Specified Annual Demand'!X$3,FALSE)</f>
        <v>52.44462336458389</v>
      </c>
      <c r="Y24" s="7">
        <f>X24*VLOOKUP($B24,'EU Ref Scenario 2020'!$A$126:$AE$153,'Specified Annual Demand'!Y$3,FALSE)</f>
        <v>52.270291236965441</v>
      </c>
      <c r="Z24" s="7">
        <f>Y24*VLOOKUP($B24,'EU Ref Scenario 2020'!$A$126:$AE$153,'Specified Annual Demand'!Z$3,FALSE)</f>
        <v>52.095959109346985</v>
      </c>
      <c r="AA24" s="7">
        <f>Z24*VLOOKUP($B24,'EU Ref Scenario 2020'!$A$126:$AE$153,'Specified Annual Demand'!AA$3,FALSE)</f>
        <v>51.942318104493211</v>
      </c>
      <c r="AB24" s="7">
        <f>AA24*VLOOKUP($B24,'EU Ref Scenario 2020'!$A$126:$AE$153,'Specified Annual Demand'!AB$3,FALSE)</f>
        <v>51.788677099639436</v>
      </c>
      <c r="AC24" s="7">
        <f>AB24*VLOOKUP($B24,'EU Ref Scenario 2020'!$A$126:$AE$153,'Specified Annual Demand'!AC$3,FALSE)</f>
        <v>51.635036094785661</v>
      </c>
      <c r="AD24" s="7">
        <f>AC24*VLOOKUP($B24,'EU Ref Scenario 2020'!$A$126:$AE$153,'Specified Annual Demand'!AD$3,FALSE)</f>
        <v>51.481395089931887</v>
      </c>
      <c r="AE24" s="7">
        <f>AD24*VLOOKUP($B24,'EU Ref Scenario 2020'!$A$126:$AE$153,'Specified Annual Demand'!AE$3,FALSE)</f>
        <v>51.327754085078134</v>
      </c>
      <c r="AF24" s="7">
        <f>AE24*VLOOKUP($B24,'EU Ref Scenario 2020'!$A$126:$AE$153,'Specified Annual Demand'!AF$3,FALSE)</f>
        <v>51.229332715930575</v>
      </c>
      <c r="AG24" s="7">
        <f>AF24*VLOOKUP($B24,'EU Ref Scenario 2020'!$A$126:$AE$153,'Specified Annual Demand'!AG$3,FALSE)</f>
        <v>51.130911346783016</v>
      </c>
      <c r="AH24" s="7">
        <f>AG24*VLOOKUP($B24,'EU Ref Scenario 2020'!$A$126:$AE$153,'Specified Annual Demand'!AH$3,FALSE)</f>
        <v>51.032489977635457</v>
      </c>
      <c r="AI24" s="7">
        <f>AH24*VLOOKUP($B24,'EU Ref Scenario 2020'!$A$126:$AE$153,'Specified Annual Demand'!AI$3,FALSE)</f>
        <v>50.934068608487898</v>
      </c>
      <c r="AJ24" s="7">
        <f>AI24*VLOOKUP($B24,'EU Ref Scenario 2020'!$A$126:$AE$153,'Specified Annual Demand'!AJ$3,FALSE)</f>
        <v>50.835647239340339</v>
      </c>
      <c r="AK24" s="8">
        <f t="shared" ref="AK24:AO24" si="20">AJ24</f>
        <v>50.835647239340339</v>
      </c>
      <c r="AL24" s="8">
        <f t="shared" si="20"/>
        <v>50.835647239340339</v>
      </c>
      <c r="AM24" s="8">
        <f t="shared" si="20"/>
        <v>50.835647239340339</v>
      </c>
      <c r="AN24" s="8">
        <f t="shared" si="20"/>
        <v>50.835647239340339</v>
      </c>
      <c r="AO24" s="8">
        <f t="shared" si="20"/>
        <v>50.835647239340339</v>
      </c>
    </row>
    <row r="25" spans="1:41" x14ac:dyDescent="0.3">
      <c r="A25" t="s">
        <v>145</v>
      </c>
      <c r="B25" t="str">
        <f t="shared" si="1"/>
        <v>DE</v>
      </c>
      <c r="C25" t="s">
        <v>21</v>
      </c>
      <c r="D25" s="2">
        <v>2042.4405208412152</v>
      </c>
      <c r="E25" s="2">
        <v>2094.2380309581417</v>
      </c>
      <c r="F25" s="2">
        <v>2120.0694805103276</v>
      </c>
      <c r="G25" s="2">
        <v>2247.4155564103708</v>
      </c>
      <c r="H25" s="7">
        <f>G25*VLOOKUP($B25,'EU Ref Scenario 2020'!$A$126:$AE$153,'Specified Annual Demand'!H$3,FALSE)</f>
        <v>2233.3770038638631</v>
      </c>
      <c r="I25" s="7">
        <f>H25*VLOOKUP($B25,'EU Ref Scenario 2020'!$A$126:$AE$153,'Specified Annual Demand'!I$3,FALSE)</f>
        <v>2219.3384513173555</v>
      </c>
      <c r="J25" s="7">
        <f>I25*VLOOKUP($B25,'EU Ref Scenario 2020'!$A$126:$AE$153,'Specified Annual Demand'!J$3,FALSE)</f>
        <v>2205.2998987708479</v>
      </c>
      <c r="K25" s="7">
        <f>J25*VLOOKUP($B25,'EU Ref Scenario 2020'!$A$126:$AE$153,'Specified Annual Demand'!K$3,FALSE)</f>
        <v>2191.2613462243403</v>
      </c>
      <c r="L25" s="7">
        <f>K25*VLOOKUP($B25,'EU Ref Scenario 2020'!$A$126:$AE$153,'Specified Annual Demand'!L$3,FALSE)</f>
        <v>2167.8141195246076</v>
      </c>
      <c r="M25" s="7">
        <f>L25*VLOOKUP($B25,'EU Ref Scenario 2020'!$A$126:$AE$153,'Specified Annual Demand'!M$3,FALSE)</f>
        <v>2144.3668928248744</v>
      </c>
      <c r="N25" s="7">
        <f>M25*VLOOKUP($B25,'EU Ref Scenario 2020'!$A$126:$AE$153,'Specified Annual Demand'!N$3,FALSE)</f>
        <v>2120.9196661251412</v>
      </c>
      <c r="O25" s="7">
        <f>N25*VLOOKUP($B25,'EU Ref Scenario 2020'!$A$126:$AE$153,'Specified Annual Demand'!O$3,FALSE)</f>
        <v>2097.4724394254085</v>
      </c>
      <c r="P25" s="7">
        <f>O25*VLOOKUP($B25,'EU Ref Scenario 2020'!$A$126:$AE$153,'Specified Annual Demand'!P$3,FALSE)</f>
        <v>2074.0252127256763</v>
      </c>
      <c r="Q25" s="7">
        <f>P25*VLOOKUP($B25,'EU Ref Scenario 2020'!$A$126:$AE$153,'Specified Annual Demand'!Q$3,FALSE)</f>
        <v>2071.4572453168867</v>
      </c>
      <c r="R25" s="7">
        <f>Q25*VLOOKUP($B25,'EU Ref Scenario 2020'!$A$126:$AE$153,'Specified Annual Demand'!R$3,FALSE)</f>
        <v>2068.889277908097</v>
      </c>
      <c r="S25" s="7">
        <f>R25*VLOOKUP($B25,'EU Ref Scenario 2020'!$A$126:$AE$153,'Specified Annual Demand'!S$3,FALSE)</f>
        <v>2066.3213104993074</v>
      </c>
      <c r="T25" s="7">
        <f>S25*VLOOKUP($B25,'EU Ref Scenario 2020'!$A$126:$AE$153,'Specified Annual Demand'!T$3,FALSE)</f>
        <v>2063.7533430905178</v>
      </c>
      <c r="U25" s="7">
        <f>T25*VLOOKUP($B25,'EU Ref Scenario 2020'!$A$126:$AE$153,'Specified Annual Demand'!U$3,FALSE)</f>
        <v>2061.1853756817277</v>
      </c>
      <c r="V25" s="7">
        <f>U25*VLOOKUP($B25,'EU Ref Scenario 2020'!$A$126:$AE$153,'Specified Annual Demand'!V$3,FALSE)</f>
        <v>2052.0679448044448</v>
      </c>
      <c r="W25" s="7">
        <f>V25*VLOOKUP($B25,'EU Ref Scenario 2020'!$A$126:$AE$153,'Specified Annual Demand'!W$3,FALSE)</f>
        <v>2042.9505139271619</v>
      </c>
      <c r="X25" s="7">
        <f>W25*VLOOKUP($B25,'EU Ref Scenario 2020'!$A$126:$AE$153,'Specified Annual Demand'!X$3,FALSE)</f>
        <v>2033.8330830498792</v>
      </c>
      <c r="Y25" s="7">
        <f>X25*VLOOKUP($B25,'EU Ref Scenario 2020'!$A$126:$AE$153,'Specified Annual Demand'!Y$3,FALSE)</f>
        <v>2024.7156521725963</v>
      </c>
      <c r="Z25" s="7">
        <f>Y25*VLOOKUP($B25,'EU Ref Scenario 2020'!$A$126:$AE$153,'Specified Annual Demand'!Z$3,FALSE)</f>
        <v>2015.5982212953129</v>
      </c>
      <c r="AA25" s="7">
        <f>Z25*VLOOKUP($B25,'EU Ref Scenario 2020'!$A$126:$AE$153,'Specified Annual Demand'!AA$3,FALSE)</f>
        <v>2011.1117358392935</v>
      </c>
      <c r="AB25" s="7">
        <f>AA25*VLOOKUP($B25,'EU Ref Scenario 2020'!$A$126:$AE$153,'Specified Annual Demand'!AB$3,FALSE)</f>
        <v>2006.6252503832741</v>
      </c>
      <c r="AC25" s="7">
        <f>AB25*VLOOKUP($B25,'EU Ref Scenario 2020'!$A$126:$AE$153,'Specified Annual Demand'!AC$3,FALSE)</f>
        <v>2002.1387649272547</v>
      </c>
      <c r="AD25" s="7">
        <f>AC25*VLOOKUP($B25,'EU Ref Scenario 2020'!$A$126:$AE$153,'Specified Annual Demand'!AD$3,FALSE)</f>
        <v>1997.6522794712353</v>
      </c>
      <c r="AE25" s="7">
        <f>AD25*VLOOKUP($B25,'EU Ref Scenario 2020'!$A$126:$AE$153,'Specified Annual Demand'!AE$3,FALSE)</f>
        <v>1993.1657940152159</v>
      </c>
      <c r="AF25" s="7">
        <f>AE25*VLOOKUP($B25,'EU Ref Scenario 2020'!$A$126:$AE$153,'Specified Annual Demand'!AF$3,FALSE)</f>
        <v>1990.882874355372</v>
      </c>
      <c r="AG25" s="7">
        <f>AF25*VLOOKUP($B25,'EU Ref Scenario 2020'!$A$126:$AE$153,'Specified Annual Demand'!AG$3,FALSE)</f>
        <v>1988.5999546955279</v>
      </c>
      <c r="AH25" s="7">
        <f>AG25*VLOOKUP($B25,'EU Ref Scenario 2020'!$A$126:$AE$153,'Specified Annual Demand'!AH$3,FALSE)</f>
        <v>1986.3170350356841</v>
      </c>
      <c r="AI25" s="7">
        <f>AH25*VLOOKUP($B25,'EU Ref Scenario 2020'!$A$126:$AE$153,'Specified Annual Demand'!AI$3,FALSE)</f>
        <v>1984.03411537584</v>
      </c>
      <c r="AJ25" s="7">
        <f>AI25*VLOOKUP($B25,'EU Ref Scenario 2020'!$A$126:$AE$153,'Specified Annual Demand'!AJ$3,FALSE)</f>
        <v>1981.7511957159963</v>
      </c>
      <c r="AK25" s="8">
        <f t="shared" ref="AK25:AO25" si="21">AJ25</f>
        <v>1981.7511957159963</v>
      </c>
      <c r="AL25" s="8">
        <f t="shared" si="21"/>
        <v>1981.7511957159963</v>
      </c>
      <c r="AM25" s="8">
        <f t="shared" si="21"/>
        <v>1981.7511957159963</v>
      </c>
      <c r="AN25" s="8">
        <f t="shared" si="21"/>
        <v>1981.7511957159963</v>
      </c>
      <c r="AO25" s="8">
        <f t="shared" si="21"/>
        <v>1981.7511957159963</v>
      </c>
    </row>
    <row r="26" spans="1:41" x14ac:dyDescent="0.3">
      <c r="A26" t="s">
        <v>146</v>
      </c>
      <c r="B26" t="str">
        <f t="shared" si="1"/>
        <v>DE</v>
      </c>
      <c r="C26" t="s">
        <v>22</v>
      </c>
      <c r="D26" s="2">
        <v>108.7147034688461</v>
      </c>
      <c r="E26" s="2">
        <v>107.72322222079249</v>
      </c>
      <c r="F26" s="2">
        <v>96.853033075887708</v>
      </c>
      <c r="G26" s="2">
        <v>97.719561094205886</v>
      </c>
      <c r="H26" s="7">
        <f>G26*VLOOKUP($B26,'EU Ref Scenario 2020'!$A$126:$AE$153,'Specified Annual Demand'!H$3,FALSE)</f>
        <v>97.109152756802629</v>
      </c>
      <c r="I26" s="7">
        <f>H26*VLOOKUP($B26,'EU Ref Scenario 2020'!$A$126:$AE$153,'Specified Annual Demand'!I$3,FALSE)</f>
        <v>96.498744419399372</v>
      </c>
      <c r="J26" s="7">
        <f>I26*VLOOKUP($B26,'EU Ref Scenario 2020'!$A$126:$AE$153,'Specified Annual Demand'!J$3,FALSE)</f>
        <v>95.888336081996115</v>
      </c>
      <c r="K26" s="7">
        <f>J26*VLOOKUP($B26,'EU Ref Scenario 2020'!$A$126:$AE$153,'Specified Annual Demand'!K$3,FALSE)</f>
        <v>95.277927744592859</v>
      </c>
      <c r="L26" s="7">
        <f>K26*VLOOKUP($B26,'EU Ref Scenario 2020'!$A$126:$AE$153,'Specified Annual Demand'!L$3,FALSE)</f>
        <v>94.258422163865333</v>
      </c>
      <c r="M26" s="7">
        <f>L26*VLOOKUP($B26,'EU Ref Scenario 2020'!$A$126:$AE$153,'Specified Annual Demand'!M$3,FALSE)</f>
        <v>93.238916583137794</v>
      </c>
      <c r="N26" s="7">
        <f>M26*VLOOKUP($B26,'EU Ref Scenario 2020'!$A$126:$AE$153,'Specified Annual Demand'!N$3,FALSE)</f>
        <v>92.219411002410254</v>
      </c>
      <c r="O26" s="7">
        <f>N26*VLOOKUP($B26,'EU Ref Scenario 2020'!$A$126:$AE$153,'Specified Annual Demand'!O$3,FALSE)</f>
        <v>91.199905421682729</v>
      </c>
      <c r="P26" s="7">
        <f>O26*VLOOKUP($B26,'EU Ref Scenario 2020'!$A$126:$AE$153,'Specified Annual Demand'!P$3,FALSE)</f>
        <v>90.180399840955232</v>
      </c>
      <c r="Q26" s="7">
        <f>P26*VLOOKUP($B26,'EU Ref Scenario 2020'!$A$126:$AE$153,'Specified Annual Demand'!Q$3,FALSE)</f>
        <v>90.068742409655812</v>
      </c>
      <c r="R26" s="7">
        <f>Q26*VLOOKUP($B26,'EU Ref Scenario 2020'!$A$126:$AE$153,'Specified Annual Demand'!R$3,FALSE)</f>
        <v>89.957084978356392</v>
      </c>
      <c r="S26" s="7">
        <f>R26*VLOOKUP($B26,'EU Ref Scenario 2020'!$A$126:$AE$153,'Specified Annual Demand'!S$3,FALSE)</f>
        <v>89.845427547056971</v>
      </c>
      <c r="T26" s="7">
        <f>S26*VLOOKUP($B26,'EU Ref Scenario 2020'!$A$126:$AE$153,'Specified Annual Demand'!T$3,FALSE)</f>
        <v>89.733770115757551</v>
      </c>
      <c r="U26" s="7">
        <f>T26*VLOOKUP($B26,'EU Ref Scenario 2020'!$A$126:$AE$153,'Specified Annual Demand'!U$3,FALSE)</f>
        <v>89.622112684458116</v>
      </c>
      <c r="V26" s="7">
        <f>U26*VLOOKUP($B26,'EU Ref Scenario 2020'!$A$126:$AE$153,'Specified Annual Demand'!V$3,FALSE)</f>
        <v>89.225678949231209</v>
      </c>
      <c r="W26" s="7">
        <f>V26*VLOOKUP($B26,'EU Ref Scenario 2020'!$A$126:$AE$153,'Specified Annual Demand'!W$3,FALSE)</f>
        <v>88.829245214004288</v>
      </c>
      <c r="X26" s="7">
        <f>W26*VLOOKUP($B26,'EU Ref Scenario 2020'!$A$126:$AE$153,'Specified Annual Demand'!X$3,FALSE)</f>
        <v>88.432811478777381</v>
      </c>
      <c r="Y26" s="7">
        <f>X26*VLOOKUP($B26,'EU Ref Scenario 2020'!$A$126:$AE$153,'Specified Annual Demand'!Y$3,FALSE)</f>
        <v>88.03637774355046</v>
      </c>
      <c r="Z26" s="7">
        <f>Y26*VLOOKUP($B26,'EU Ref Scenario 2020'!$A$126:$AE$153,'Specified Annual Demand'!Z$3,FALSE)</f>
        <v>87.639944008323525</v>
      </c>
      <c r="AA26" s="7">
        <f>Z26*VLOOKUP($B26,'EU Ref Scenario 2020'!$A$126:$AE$153,'Specified Annual Demand'!AA$3,FALSE)</f>
        <v>87.444867762469812</v>
      </c>
      <c r="AB26" s="7">
        <f>AA26*VLOOKUP($B26,'EU Ref Scenario 2020'!$A$126:$AE$153,'Specified Annual Demand'!AB$3,FALSE)</f>
        <v>87.249791516616099</v>
      </c>
      <c r="AC26" s="7">
        <f>AB26*VLOOKUP($B26,'EU Ref Scenario 2020'!$A$126:$AE$153,'Specified Annual Demand'!AC$3,FALSE)</f>
        <v>87.054715270762387</v>
      </c>
      <c r="AD26" s="7">
        <f>AC26*VLOOKUP($B26,'EU Ref Scenario 2020'!$A$126:$AE$153,'Specified Annual Demand'!AD$3,FALSE)</f>
        <v>86.859639024908674</v>
      </c>
      <c r="AE26" s="7">
        <f>AD26*VLOOKUP($B26,'EU Ref Scenario 2020'!$A$126:$AE$153,'Specified Annual Demand'!AE$3,FALSE)</f>
        <v>86.664562779054961</v>
      </c>
      <c r="AF26" s="7">
        <f>AE26*VLOOKUP($B26,'EU Ref Scenario 2020'!$A$126:$AE$153,'Specified Annual Demand'!AF$3,FALSE)</f>
        <v>86.565299469011137</v>
      </c>
      <c r="AG26" s="7">
        <f>AF26*VLOOKUP($B26,'EU Ref Scenario 2020'!$A$126:$AE$153,'Specified Annual Demand'!AG$3,FALSE)</f>
        <v>86.466036158967313</v>
      </c>
      <c r="AH26" s="7">
        <f>AG26*VLOOKUP($B26,'EU Ref Scenario 2020'!$A$126:$AE$153,'Specified Annual Demand'!AH$3,FALSE)</f>
        <v>86.366772848923489</v>
      </c>
      <c r="AI26" s="7">
        <f>AH26*VLOOKUP($B26,'EU Ref Scenario 2020'!$A$126:$AE$153,'Specified Annual Demand'!AI$3,FALSE)</f>
        <v>86.267509538879651</v>
      </c>
      <c r="AJ26" s="7">
        <f>AI26*VLOOKUP($B26,'EU Ref Scenario 2020'!$A$126:$AE$153,'Specified Annual Demand'!AJ$3,FALSE)</f>
        <v>86.168246228835841</v>
      </c>
      <c r="AK26" s="8">
        <f t="shared" ref="AK26:AO26" si="22">AJ26</f>
        <v>86.168246228835841</v>
      </c>
      <c r="AL26" s="8">
        <f t="shared" si="22"/>
        <v>86.168246228835841</v>
      </c>
      <c r="AM26" s="8">
        <f t="shared" si="22"/>
        <v>86.168246228835841</v>
      </c>
      <c r="AN26" s="8">
        <f t="shared" si="22"/>
        <v>86.168246228835841</v>
      </c>
      <c r="AO26" s="8">
        <f t="shared" si="22"/>
        <v>86.168246228835841</v>
      </c>
    </row>
    <row r="27" spans="1:41" x14ac:dyDescent="0.3">
      <c r="A27" t="s">
        <v>147</v>
      </c>
      <c r="B27" t="str">
        <f t="shared" si="1"/>
        <v>DE</v>
      </c>
      <c r="C27" t="s">
        <v>23</v>
      </c>
      <c r="D27" s="2">
        <v>182.36793940741148</v>
      </c>
      <c r="E27" s="2">
        <v>183.90397791490676</v>
      </c>
      <c r="F27" s="2">
        <v>176.43772620613782</v>
      </c>
      <c r="G27" s="2">
        <v>184.66909472830014</v>
      </c>
      <c r="H27" s="7">
        <f>G27*VLOOKUP($B27,'EU Ref Scenario 2020'!$A$126:$AE$153,'Specified Annual Demand'!H$3,FALSE)</f>
        <v>183.51555337157836</v>
      </c>
      <c r="I27" s="7">
        <f>H27*VLOOKUP($B27,'EU Ref Scenario 2020'!$A$126:$AE$153,'Specified Annual Demand'!I$3,FALSE)</f>
        <v>182.36201201485659</v>
      </c>
      <c r="J27" s="7">
        <f>I27*VLOOKUP($B27,'EU Ref Scenario 2020'!$A$126:$AE$153,'Specified Annual Demand'!J$3,FALSE)</f>
        <v>181.20847065813481</v>
      </c>
      <c r="K27" s="7">
        <f>J27*VLOOKUP($B27,'EU Ref Scenario 2020'!$A$126:$AE$153,'Specified Annual Demand'!K$3,FALSE)</f>
        <v>180.05492930141304</v>
      </c>
      <c r="L27" s="7">
        <f>K27*VLOOKUP($B27,'EU Ref Scenario 2020'!$A$126:$AE$153,'Specified Annual Demand'!L$3,FALSE)</f>
        <v>178.12828154987534</v>
      </c>
      <c r="M27" s="7">
        <f>L27*VLOOKUP($B27,'EU Ref Scenario 2020'!$A$126:$AE$153,'Specified Annual Demand'!M$3,FALSE)</f>
        <v>176.20163379833764</v>
      </c>
      <c r="N27" s="7">
        <f>M27*VLOOKUP($B27,'EU Ref Scenario 2020'!$A$126:$AE$153,'Specified Annual Demand'!N$3,FALSE)</f>
        <v>174.27498604679994</v>
      </c>
      <c r="O27" s="7">
        <f>N27*VLOOKUP($B27,'EU Ref Scenario 2020'!$A$126:$AE$153,'Specified Annual Demand'!O$3,FALSE)</f>
        <v>172.34833829526224</v>
      </c>
      <c r="P27" s="7">
        <f>O27*VLOOKUP($B27,'EU Ref Scenario 2020'!$A$126:$AE$153,'Specified Annual Demand'!P$3,FALSE)</f>
        <v>170.42169054372459</v>
      </c>
      <c r="Q27" s="7">
        <f>P27*VLOOKUP($B27,'EU Ref Scenario 2020'!$A$126:$AE$153,'Specified Annual Demand'!Q$3,FALSE)</f>
        <v>170.21068185184279</v>
      </c>
      <c r="R27" s="7">
        <f>Q27*VLOOKUP($B27,'EU Ref Scenario 2020'!$A$126:$AE$153,'Specified Annual Demand'!R$3,FALSE)</f>
        <v>169.99967315996099</v>
      </c>
      <c r="S27" s="7">
        <f>R27*VLOOKUP($B27,'EU Ref Scenario 2020'!$A$126:$AE$153,'Specified Annual Demand'!S$3,FALSE)</f>
        <v>169.78866446807919</v>
      </c>
      <c r="T27" s="7">
        <f>S27*VLOOKUP($B27,'EU Ref Scenario 2020'!$A$126:$AE$153,'Specified Annual Demand'!T$3,FALSE)</f>
        <v>169.57765577619739</v>
      </c>
      <c r="U27" s="7">
        <f>T27*VLOOKUP($B27,'EU Ref Scenario 2020'!$A$126:$AE$153,'Specified Annual Demand'!U$3,FALSE)</f>
        <v>169.36664708431556</v>
      </c>
      <c r="V27" s="7">
        <f>U27*VLOOKUP($B27,'EU Ref Scenario 2020'!$A$126:$AE$153,'Specified Annual Demand'!V$3,FALSE)</f>
        <v>168.61747201451007</v>
      </c>
      <c r="W27" s="7">
        <f>V27*VLOOKUP($B27,'EU Ref Scenario 2020'!$A$126:$AE$153,'Specified Annual Demand'!W$3,FALSE)</f>
        <v>167.86829694470458</v>
      </c>
      <c r="X27" s="7">
        <f>W27*VLOOKUP($B27,'EU Ref Scenario 2020'!$A$126:$AE$153,'Specified Annual Demand'!X$3,FALSE)</f>
        <v>167.11912187489909</v>
      </c>
      <c r="Y27" s="7">
        <f>X27*VLOOKUP($B27,'EU Ref Scenario 2020'!$A$126:$AE$153,'Specified Annual Demand'!Y$3,FALSE)</f>
        <v>166.3699468050936</v>
      </c>
      <c r="Z27" s="7">
        <f>Y27*VLOOKUP($B27,'EU Ref Scenario 2020'!$A$126:$AE$153,'Specified Annual Demand'!Z$3,FALSE)</f>
        <v>165.62077173528809</v>
      </c>
      <c r="AA27" s="7">
        <f>Z27*VLOOKUP($B27,'EU Ref Scenario 2020'!$A$126:$AE$153,'Specified Annual Demand'!AA$3,FALSE)</f>
        <v>165.25211930458315</v>
      </c>
      <c r="AB27" s="7">
        <f>AA27*VLOOKUP($B27,'EU Ref Scenario 2020'!$A$126:$AE$153,'Specified Annual Demand'!AB$3,FALSE)</f>
        <v>164.88346687387821</v>
      </c>
      <c r="AC27" s="7">
        <f>AB27*VLOOKUP($B27,'EU Ref Scenario 2020'!$A$126:$AE$153,'Specified Annual Demand'!AC$3,FALSE)</f>
        <v>164.51481444317326</v>
      </c>
      <c r="AD27" s="7">
        <f>AC27*VLOOKUP($B27,'EU Ref Scenario 2020'!$A$126:$AE$153,'Specified Annual Demand'!AD$3,FALSE)</f>
        <v>164.14616201246832</v>
      </c>
      <c r="AE27" s="7">
        <f>AD27*VLOOKUP($B27,'EU Ref Scenario 2020'!$A$126:$AE$153,'Specified Annual Demand'!AE$3,FALSE)</f>
        <v>163.77750958176338</v>
      </c>
      <c r="AF27" s="7">
        <f>AE27*VLOOKUP($B27,'EU Ref Scenario 2020'!$A$126:$AE$153,'Specified Annual Demand'!AF$3,FALSE)</f>
        <v>163.58992313130997</v>
      </c>
      <c r="AG27" s="7">
        <f>AF27*VLOOKUP($B27,'EU Ref Scenario 2020'!$A$126:$AE$153,'Specified Annual Demand'!AG$3,FALSE)</f>
        <v>163.40233668085654</v>
      </c>
      <c r="AH27" s="7">
        <f>AG27*VLOOKUP($B27,'EU Ref Scenario 2020'!$A$126:$AE$153,'Specified Annual Demand'!AH$3,FALSE)</f>
        <v>163.21475023040313</v>
      </c>
      <c r="AI27" s="7">
        <f>AH27*VLOOKUP($B27,'EU Ref Scenario 2020'!$A$126:$AE$153,'Specified Annual Demand'!AI$3,FALSE)</f>
        <v>163.02716377994969</v>
      </c>
      <c r="AJ27" s="7">
        <f>AI27*VLOOKUP($B27,'EU Ref Scenario 2020'!$A$126:$AE$153,'Specified Annual Demand'!AJ$3,FALSE)</f>
        <v>162.83957732949628</v>
      </c>
      <c r="AK27" s="8">
        <f t="shared" ref="AK27:AO27" si="23">AJ27</f>
        <v>162.83957732949628</v>
      </c>
      <c r="AL27" s="8">
        <f t="shared" si="23"/>
        <v>162.83957732949628</v>
      </c>
      <c r="AM27" s="8">
        <f t="shared" si="23"/>
        <v>162.83957732949628</v>
      </c>
      <c r="AN27" s="8">
        <f t="shared" si="23"/>
        <v>162.83957732949628</v>
      </c>
      <c r="AO27" s="8">
        <f t="shared" si="23"/>
        <v>162.83957732949628</v>
      </c>
    </row>
    <row r="28" spans="1:41" x14ac:dyDescent="0.3">
      <c r="A28" t="s">
        <v>148</v>
      </c>
      <c r="B28" t="str">
        <f t="shared" si="1"/>
        <v>DE</v>
      </c>
      <c r="C28" t="s">
        <v>24</v>
      </c>
      <c r="D28" s="2">
        <v>648.43754514214311</v>
      </c>
      <c r="E28" s="2">
        <v>640.17043499827651</v>
      </c>
      <c r="F28" s="2">
        <v>634.63340303526024</v>
      </c>
      <c r="G28" s="2">
        <v>643.28283368837492</v>
      </c>
      <c r="H28" s="7">
        <f>G28*VLOOKUP($B28,'EU Ref Scenario 2020'!$A$126:$AE$153,'Specified Annual Demand'!H$3,FALSE)</f>
        <v>639.2645470669969</v>
      </c>
      <c r="I28" s="7">
        <f>H28*VLOOKUP($B28,'EU Ref Scenario 2020'!$A$126:$AE$153,'Specified Annual Demand'!I$3,FALSE)</f>
        <v>635.24626044561887</v>
      </c>
      <c r="J28" s="7">
        <f>I28*VLOOKUP($B28,'EU Ref Scenario 2020'!$A$126:$AE$153,'Specified Annual Demand'!J$3,FALSE)</f>
        <v>631.22797382424085</v>
      </c>
      <c r="K28" s="7">
        <f>J28*VLOOKUP($B28,'EU Ref Scenario 2020'!$A$126:$AE$153,'Specified Annual Demand'!K$3,FALSE)</f>
        <v>627.20968720286282</v>
      </c>
      <c r="L28" s="7">
        <f>K28*VLOOKUP($B28,'EU Ref Scenario 2020'!$A$126:$AE$153,'Specified Annual Demand'!L$3,FALSE)</f>
        <v>620.49833451576603</v>
      </c>
      <c r="M28" s="7">
        <f>L28*VLOOKUP($B28,'EU Ref Scenario 2020'!$A$126:$AE$153,'Specified Annual Demand'!M$3,FALSE)</f>
        <v>613.78698182866924</v>
      </c>
      <c r="N28" s="7">
        <f>M28*VLOOKUP($B28,'EU Ref Scenario 2020'!$A$126:$AE$153,'Specified Annual Demand'!N$3,FALSE)</f>
        <v>607.07562914157245</v>
      </c>
      <c r="O28" s="7">
        <f>N28*VLOOKUP($B28,'EU Ref Scenario 2020'!$A$126:$AE$153,'Specified Annual Demand'!O$3,FALSE)</f>
        <v>600.36427645447566</v>
      </c>
      <c r="P28" s="7">
        <f>O28*VLOOKUP($B28,'EU Ref Scenario 2020'!$A$126:$AE$153,'Specified Annual Demand'!P$3,FALSE)</f>
        <v>593.65292376737909</v>
      </c>
      <c r="Q28" s="7">
        <f>P28*VLOOKUP($B28,'EU Ref Scenario 2020'!$A$126:$AE$153,'Specified Annual Demand'!Q$3,FALSE)</f>
        <v>592.91788865256297</v>
      </c>
      <c r="R28" s="7">
        <f>Q28*VLOOKUP($B28,'EU Ref Scenario 2020'!$A$126:$AE$153,'Specified Annual Demand'!R$3,FALSE)</f>
        <v>592.18285353774684</v>
      </c>
      <c r="S28" s="7">
        <f>R28*VLOOKUP($B28,'EU Ref Scenario 2020'!$A$126:$AE$153,'Specified Annual Demand'!S$3,FALSE)</f>
        <v>591.44781842293082</v>
      </c>
      <c r="T28" s="7">
        <f>S28*VLOOKUP($B28,'EU Ref Scenario 2020'!$A$126:$AE$153,'Specified Annual Demand'!T$3,FALSE)</f>
        <v>590.71278330811469</v>
      </c>
      <c r="U28" s="7">
        <f>T28*VLOOKUP($B28,'EU Ref Scenario 2020'!$A$126:$AE$153,'Specified Annual Demand'!U$3,FALSE)</f>
        <v>589.97774819329845</v>
      </c>
      <c r="V28" s="7">
        <f>U28*VLOOKUP($B28,'EU Ref Scenario 2020'!$A$126:$AE$153,'Specified Annual Demand'!V$3,FALSE)</f>
        <v>587.36804534863893</v>
      </c>
      <c r="W28" s="7">
        <f>V28*VLOOKUP($B28,'EU Ref Scenario 2020'!$A$126:$AE$153,'Specified Annual Demand'!W$3,FALSE)</f>
        <v>584.75834250397929</v>
      </c>
      <c r="X28" s="7">
        <f>W28*VLOOKUP($B28,'EU Ref Scenario 2020'!$A$126:$AE$153,'Specified Annual Demand'!X$3,FALSE)</f>
        <v>582.14863965931966</v>
      </c>
      <c r="Y28" s="7">
        <f>X28*VLOOKUP($B28,'EU Ref Scenario 2020'!$A$126:$AE$153,'Specified Annual Demand'!Y$3,FALSE)</f>
        <v>579.53893681466002</v>
      </c>
      <c r="Z28" s="7">
        <f>Y28*VLOOKUP($B28,'EU Ref Scenario 2020'!$A$126:$AE$153,'Specified Annual Demand'!Z$3,FALSE)</f>
        <v>576.92923397000027</v>
      </c>
      <c r="AA28" s="7">
        <f>Z28*VLOOKUP($B28,'EU Ref Scenario 2020'!$A$126:$AE$153,'Specified Annual Demand'!AA$3,FALSE)</f>
        <v>575.64505709883019</v>
      </c>
      <c r="AB28" s="7">
        <f>AA28*VLOOKUP($B28,'EU Ref Scenario 2020'!$A$126:$AE$153,'Specified Annual Demand'!AB$3,FALSE)</f>
        <v>574.36088022766023</v>
      </c>
      <c r="AC28" s="7">
        <f>AB28*VLOOKUP($B28,'EU Ref Scenario 2020'!$A$126:$AE$153,'Specified Annual Demand'!AC$3,FALSE)</f>
        <v>573.07670335649027</v>
      </c>
      <c r="AD28" s="7">
        <f>AC28*VLOOKUP($B28,'EU Ref Scenario 2020'!$A$126:$AE$153,'Specified Annual Demand'!AD$3,FALSE)</f>
        <v>571.79252648532031</v>
      </c>
      <c r="AE28" s="7">
        <f>AD28*VLOOKUP($B28,'EU Ref Scenario 2020'!$A$126:$AE$153,'Specified Annual Demand'!AE$3,FALSE)</f>
        <v>570.50834961415035</v>
      </c>
      <c r="AF28" s="7">
        <f>AE28*VLOOKUP($B28,'EU Ref Scenario 2020'!$A$126:$AE$153,'Specified Annual Demand'!AF$3,FALSE)</f>
        <v>569.85490436069983</v>
      </c>
      <c r="AG28" s="7">
        <f>AF28*VLOOKUP($B28,'EU Ref Scenario 2020'!$A$126:$AE$153,'Specified Annual Demand'!AG$3,FALSE)</f>
        <v>569.20145910724921</v>
      </c>
      <c r="AH28" s="7">
        <f>AG28*VLOOKUP($B28,'EU Ref Scenario 2020'!$A$126:$AE$153,'Specified Annual Demand'!AH$3,FALSE)</f>
        <v>568.54801385379869</v>
      </c>
      <c r="AI28" s="7">
        <f>AH28*VLOOKUP($B28,'EU Ref Scenario 2020'!$A$126:$AE$153,'Specified Annual Demand'!AI$3,FALSE)</f>
        <v>567.89456860034807</v>
      </c>
      <c r="AJ28" s="7">
        <f>AI28*VLOOKUP($B28,'EU Ref Scenario 2020'!$A$126:$AE$153,'Specified Annual Demand'!AJ$3,FALSE)</f>
        <v>567.24112334689755</v>
      </c>
      <c r="AK28" s="8">
        <f t="shared" ref="AK28:AO28" si="24">AJ28</f>
        <v>567.24112334689755</v>
      </c>
      <c r="AL28" s="8">
        <f t="shared" si="24"/>
        <v>567.24112334689755</v>
      </c>
      <c r="AM28" s="8">
        <f t="shared" si="24"/>
        <v>567.24112334689755</v>
      </c>
      <c r="AN28" s="8">
        <f t="shared" si="24"/>
        <v>567.24112334689755</v>
      </c>
      <c r="AO28" s="8">
        <f t="shared" si="24"/>
        <v>567.24112334689755</v>
      </c>
    </row>
    <row r="29" spans="1:41" x14ac:dyDescent="0.3">
      <c r="A29" t="s">
        <v>145</v>
      </c>
      <c r="B29" t="str">
        <f t="shared" si="1"/>
        <v>DK</v>
      </c>
      <c r="C29" t="s">
        <v>25</v>
      </c>
      <c r="D29" s="2">
        <v>170.88010155559161</v>
      </c>
      <c r="E29" s="2">
        <v>168.34386008947206</v>
      </c>
      <c r="F29" s="2">
        <v>163.67520708562932</v>
      </c>
      <c r="G29" s="2">
        <v>181.90926877790884</v>
      </c>
      <c r="H29" s="7">
        <f>G29*VLOOKUP($B29,'EU Ref Scenario 2020'!$A$126:$AE$153,'Specified Annual Demand'!H$3,FALSE)</f>
        <v>188.87880717499556</v>
      </c>
      <c r="I29" s="7">
        <f>H29*VLOOKUP($B29,'EU Ref Scenario 2020'!$A$126:$AE$153,'Specified Annual Demand'!I$3,FALSE)</f>
        <v>195.84834557208228</v>
      </c>
      <c r="J29" s="7">
        <f>I29*VLOOKUP($B29,'EU Ref Scenario 2020'!$A$126:$AE$153,'Specified Annual Demand'!J$3,FALSE)</f>
        <v>202.817883969169</v>
      </c>
      <c r="K29" s="7">
        <f>J29*VLOOKUP($B29,'EU Ref Scenario 2020'!$A$126:$AE$153,'Specified Annual Demand'!K$3,FALSE)</f>
        <v>209.78742236625575</v>
      </c>
      <c r="L29" s="7">
        <f>K29*VLOOKUP($B29,'EU Ref Scenario 2020'!$A$126:$AE$153,'Specified Annual Demand'!L$3,FALSE)</f>
        <v>210.80011791794328</v>
      </c>
      <c r="M29" s="7">
        <f>L29*VLOOKUP($B29,'EU Ref Scenario 2020'!$A$126:$AE$153,'Specified Annual Demand'!M$3,FALSE)</f>
        <v>211.81281346963081</v>
      </c>
      <c r="N29" s="7">
        <f>M29*VLOOKUP($B29,'EU Ref Scenario 2020'!$A$126:$AE$153,'Specified Annual Demand'!N$3,FALSE)</f>
        <v>212.82550902131834</v>
      </c>
      <c r="O29" s="7">
        <f>N29*VLOOKUP($B29,'EU Ref Scenario 2020'!$A$126:$AE$153,'Specified Annual Demand'!O$3,FALSE)</f>
        <v>213.83820457300587</v>
      </c>
      <c r="P29" s="7">
        <f>O29*VLOOKUP($B29,'EU Ref Scenario 2020'!$A$126:$AE$153,'Specified Annual Demand'!P$3,FALSE)</f>
        <v>214.85090012469345</v>
      </c>
      <c r="Q29" s="7">
        <f>P29*VLOOKUP($B29,'EU Ref Scenario 2020'!$A$126:$AE$153,'Specified Annual Demand'!Q$3,FALSE)</f>
        <v>215.43963919878448</v>
      </c>
      <c r="R29" s="7">
        <f>Q29*VLOOKUP($B29,'EU Ref Scenario 2020'!$A$126:$AE$153,'Specified Annual Demand'!R$3,FALSE)</f>
        <v>216.0283782728755</v>
      </c>
      <c r="S29" s="7">
        <f>R29*VLOOKUP($B29,'EU Ref Scenario 2020'!$A$126:$AE$153,'Specified Annual Demand'!S$3,FALSE)</f>
        <v>216.61711734696652</v>
      </c>
      <c r="T29" s="7">
        <f>S29*VLOOKUP($B29,'EU Ref Scenario 2020'!$A$126:$AE$153,'Specified Annual Demand'!T$3,FALSE)</f>
        <v>217.20585642105755</v>
      </c>
      <c r="U29" s="7">
        <f>T29*VLOOKUP($B29,'EU Ref Scenario 2020'!$A$126:$AE$153,'Specified Annual Demand'!U$3,FALSE)</f>
        <v>217.79459549514857</v>
      </c>
      <c r="V29" s="7">
        <f>U29*VLOOKUP($B29,'EU Ref Scenario 2020'!$A$126:$AE$153,'Specified Annual Demand'!V$3,FALSE)</f>
        <v>217.80096845179924</v>
      </c>
      <c r="W29" s="7">
        <f>V29*VLOOKUP($B29,'EU Ref Scenario 2020'!$A$126:$AE$153,'Specified Annual Demand'!W$3,FALSE)</f>
        <v>217.80734140844984</v>
      </c>
      <c r="X29" s="7">
        <f>W29*VLOOKUP($B29,'EU Ref Scenario 2020'!$A$126:$AE$153,'Specified Annual Demand'!X$3,FALSE)</f>
        <v>217.81371436510048</v>
      </c>
      <c r="Y29" s="7">
        <f>X29*VLOOKUP($B29,'EU Ref Scenario 2020'!$A$126:$AE$153,'Specified Annual Demand'!Y$3,FALSE)</f>
        <v>217.82008732175112</v>
      </c>
      <c r="Z29" s="7">
        <f>Y29*VLOOKUP($B29,'EU Ref Scenario 2020'!$A$126:$AE$153,'Specified Annual Demand'!Z$3,FALSE)</f>
        <v>217.82646027840181</v>
      </c>
      <c r="AA29" s="7">
        <f>Z29*VLOOKUP($B29,'EU Ref Scenario 2020'!$A$126:$AE$153,'Specified Annual Demand'!AA$3,FALSE)</f>
        <v>217.91333606459924</v>
      </c>
      <c r="AB29" s="7">
        <f>AA29*VLOOKUP($B29,'EU Ref Scenario 2020'!$A$126:$AE$153,'Specified Annual Demand'!AB$3,FALSE)</f>
        <v>218.00021185079663</v>
      </c>
      <c r="AC29" s="7">
        <f>AB29*VLOOKUP($B29,'EU Ref Scenario 2020'!$A$126:$AE$153,'Specified Annual Demand'!AC$3,FALSE)</f>
        <v>218.08708763699406</v>
      </c>
      <c r="AD29" s="7">
        <f>AC29*VLOOKUP($B29,'EU Ref Scenario 2020'!$A$126:$AE$153,'Specified Annual Demand'!AD$3,FALSE)</f>
        <v>218.17396342319145</v>
      </c>
      <c r="AE29" s="7">
        <f>AD29*VLOOKUP($B29,'EU Ref Scenario 2020'!$A$126:$AE$153,'Specified Annual Demand'!AE$3,FALSE)</f>
        <v>218.26083920938879</v>
      </c>
      <c r="AF29" s="7">
        <f>AE29*VLOOKUP($B29,'EU Ref Scenario 2020'!$A$126:$AE$153,'Specified Annual Demand'!AF$3,FALSE)</f>
        <v>218.78878458718799</v>
      </c>
      <c r="AG29" s="7">
        <f>AF29*VLOOKUP($B29,'EU Ref Scenario 2020'!$A$126:$AE$153,'Specified Annual Demand'!AG$3,FALSE)</f>
        <v>219.31672996498719</v>
      </c>
      <c r="AH29" s="7">
        <f>AG29*VLOOKUP($B29,'EU Ref Scenario 2020'!$A$126:$AE$153,'Specified Annual Demand'!AH$3,FALSE)</f>
        <v>219.84467534278636</v>
      </c>
      <c r="AI29" s="7">
        <f>AH29*VLOOKUP($B29,'EU Ref Scenario 2020'!$A$126:$AE$153,'Specified Annual Demand'!AI$3,FALSE)</f>
        <v>220.37262072058556</v>
      </c>
      <c r="AJ29" s="7">
        <f>AI29*VLOOKUP($B29,'EU Ref Scenario 2020'!$A$126:$AE$153,'Specified Annual Demand'!AJ$3,FALSE)</f>
        <v>220.90056609838484</v>
      </c>
      <c r="AK29" s="8">
        <f t="shared" ref="AK29:AO29" si="25">AJ29</f>
        <v>220.90056609838484</v>
      </c>
      <c r="AL29" s="8">
        <f t="shared" si="25"/>
        <v>220.90056609838484</v>
      </c>
      <c r="AM29" s="8">
        <f t="shared" si="25"/>
        <v>220.90056609838484</v>
      </c>
      <c r="AN29" s="8">
        <f t="shared" si="25"/>
        <v>220.90056609838484</v>
      </c>
      <c r="AO29" s="8">
        <f t="shared" si="25"/>
        <v>220.90056609838484</v>
      </c>
    </row>
    <row r="30" spans="1:41" x14ac:dyDescent="0.3">
      <c r="A30" t="s">
        <v>146</v>
      </c>
      <c r="B30" t="str">
        <f t="shared" si="1"/>
        <v>DK</v>
      </c>
      <c r="C30" t="s">
        <v>26</v>
      </c>
      <c r="D30" s="2">
        <v>4.7216035382436701</v>
      </c>
      <c r="E30" s="2">
        <v>4.6974887494859425</v>
      </c>
      <c r="F30" s="2">
        <v>4.5792491347465258</v>
      </c>
      <c r="G30" s="2">
        <v>4.7407219084922678</v>
      </c>
      <c r="H30" s="7">
        <f>G30*VLOOKUP($B30,'EU Ref Scenario 2020'!$A$126:$AE$153,'Specified Annual Demand'!H$3,FALSE)</f>
        <v>4.9223544530740728</v>
      </c>
      <c r="I30" s="7">
        <f>H30*VLOOKUP($B30,'EU Ref Scenario 2020'!$A$126:$AE$153,'Specified Annual Demand'!I$3,FALSE)</f>
        <v>5.1039869976558778</v>
      </c>
      <c r="J30" s="7">
        <f>I30*VLOOKUP($B30,'EU Ref Scenario 2020'!$A$126:$AE$153,'Specified Annual Demand'!J$3,FALSE)</f>
        <v>5.2856195422376828</v>
      </c>
      <c r="K30" s="7">
        <f>J30*VLOOKUP($B30,'EU Ref Scenario 2020'!$A$126:$AE$153,'Specified Annual Demand'!K$3,FALSE)</f>
        <v>5.4672520868194887</v>
      </c>
      <c r="L30" s="7">
        <f>K30*VLOOKUP($B30,'EU Ref Scenario 2020'!$A$126:$AE$153,'Specified Annual Demand'!L$3,FALSE)</f>
        <v>5.4936438590517165</v>
      </c>
      <c r="M30" s="7">
        <f>L30*VLOOKUP($B30,'EU Ref Scenario 2020'!$A$126:$AE$153,'Specified Annual Demand'!M$3,FALSE)</f>
        <v>5.5200356312839443</v>
      </c>
      <c r="N30" s="7">
        <f>M30*VLOOKUP($B30,'EU Ref Scenario 2020'!$A$126:$AE$153,'Specified Annual Demand'!N$3,FALSE)</f>
        <v>5.5464274035161729</v>
      </c>
      <c r="O30" s="7">
        <f>N30*VLOOKUP($B30,'EU Ref Scenario 2020'!$A$126:$AE$153,'Specified Annual Demand'!O$3,FALSE)</f>
        <v>5.5728191757484007</v>
      </c>
      <c r="P30" s="7">
        <f>O30*VLOOKUP($B30,'EU Ref Scenario 2020'!$A$126:$AE$153,'Specified Annual Demand'!P$3,FALSE)</f>
        <v>5.5992109479806302</v>
      </c>
      <c r="Q30" s="7">
        <f>P30*VLOOKUP($B30,'EU Ref Scenario 2020'!$A$126:$AE$153,'Specified Annual Demand'!Q$3,FALSE)</f>
        <v>5.6145540266795848</v>
      </c>
      <c r="R30" s="7">
        <f>Q30*VLOOKUP($B30,'EU Ref Scenario 2020'!$A$126:$AE$153,'Specified Annual Demand'!R$3,FALSE)</f>
        <v>5.6298971053785403</v>
      </c>
      <c r="S30" s="7">
        <f>R30*VLOOKUP($B30,'EU Ref Scenario 2020'!$A$126:$AE$153,'Specified Annual Demand'!S$3,FALSE)</f>
        <v>5.6452401840774948</v>
      </c>
      <c r="T30" s="7">
        <f>S30*VLOOKUP($B30,'EU Ref Scenario 2020'!$A$126:$AE$153,'Specified Annual Demand'!T$3,FALSE)</f>
        <v>5.6605832627764503</v>
      </c>
      <c r="U30" s="7">
        <f>T30*VLOOKUP($B30,'EU Ref Scenario 2020'!$A$126:$AE$153,'Specified Annual Demand'!U$3,FALSE)</f>
        <v>5.6759263414754049</v>
      </c>
      <c r="V30" s="7">
        <f>U30*VLOOKUP($B30,'EU Ref Scenario 2020'!$A$126:$AE$153,'Specified Annual Demand'!V$3,FALSE)</f>
        <v>5.6760924265540744</v>
      </c>
      <c r="W30" s="7">
        <f>V30*VLOOKUP($B30,'EU Ref Scenario 2020'!$A$126:$AE$153,'Specified Annual Demand'!W$3,FALSE)</f>
        <v>5.6762585116327422</v>
      </c>
      <c r="X30" s="7">
        <f>W30*VLOOKUP($B30,'EU Ref Scenario 2020'!$A$126:$AE$153,'Specified Annual Demand'!X$3,FALSE)</f>
        <v>5.6764245967114109</v>
      </c>
      <c r="Y30" s="7">
        <f>X30*VLOOKUP($B30,'EU Ref Scenario 2020'!$A$126:$AE$153,'Specified Annual Demand'!Y$3,FALSE)</f>
        <v>5.6765906817900795</v>
      </c>
      <c r="Z30" s="7">
        <f>Y30*VLOOKUP($B30,'EU Ref Scenario 2020'!$A$126:$AE$153,'Specified Annual Demand'!Z$3,FALSE)</f>
        <v>5.67675676686875</v>
      </c>
      <c r="AA30" s="7">
        <f>Z30*VLOOKUP($B30,'EU Ref Scenario 2020'!$A$126:$AE$153,'Specified Annual Demand'!AA$3,FALSE)</f>
        <v>5.6790208293088362</v>
      </c>
      <c r="AB30" s="7">
        <f>AA30*VLOOKUP($B30,'EU Ref Scenario 2020'!$A$126:$AE$153,'Specified Annual Demand'!AB$3,FALSE)</f>
        <v>5.6812848917489216</v>
      </c>
      <c r="AC30" s="7">
        <f>AB30*VLOOKUP($B30,'EU Ref Scenario 2020'!$A$126:$AE$153,'Specified Annual Demand'!AC$3,FALSE)</f>
        <v>5.6835489541890079</v>
      </c>
      <c r="AD30" s="7">
        <f>AC30*VLOOKUP($B30,'EU Ref Scenario 2020'!$A$126:$AE$153,'Specified Annual Demand'!AD$3,FALSE)</f>
        <v>5.6858130166290932</v>
      </c>
      <c r="AE30" s="7">
        <f>AD30*VLOOKUP($B30,'EU Ref Scenario 2020'!$A$126:$AE$153,'Specified Annual Demand'!AE$3,FALSE)</f>
        <v>5.6880770790691777</v>
      </c>
      <c r="AF30" s="7">
        <f>AE30*VLOOKUP($B30,'EU Ref Scenario 2020'!$A$126:$AE$153,'Specified Annual Demand'!AF$3,FALSE)</f>
        <v>5.7018358184442208</v>
      </c>
      <c r="AG30" s="7">
        <f>AF30*VLOOKUP($B30,'EU Ref Scenario 2020'!$A$126:$AE$153,'Specified Annual Demand'!AG$3,FALSE)</f>
        <v>5.715594557819264</v>
      </c>
      <c r="AH30" s="7">
        <f>AG30*VLOOKUP($B30,'EU Ref Scenario 2020'!$A$126:$AE$153,'Specified Annual Demand'!AH$3,FALSE)</f>
        <v>5.7293532971943062</v>
      </c>
      <c r="AI30" s="7">
        <f>AH30*VLOOKUP($B30,'EU Ref Scenario 2020'!$A$126:$AE$153,'Specified Annual Demand'!AI$3,FALSE)</f>
        <v>5.7431120365693493</v>
      </c>
      <c r="AJ30" s="7">
        <f>AI30*VLOOKUP($B30,'EU Ref Scenario 2020'!$A$126:$AE$153,'Specified Annual Demand'!AJ$3,FALSE)</f>
        <v>5.7568707759443942</v>
      </c>
      <c r="AK30" s="8">
        <f t="shared" ref="AK30:AO30" si="26">AJ30</f>
        <v>5.7568707759443942</v>
      </c>
      <c r="AL30" s="8">
        <f t="shared" si="26"/>
        <v>5.7568707759443942</v>
      </c>
      <c r="AM30" s="8">
        <f t="shared" si="26"/>
        <v>5.7568707759443942</v>
      </c>
      <c r="AN30" s="8">
        <f t="shared" si="26"/>
        <v>5.7568707759443942</v>
      </c>
      <c r="AO30" s="8">
        <f t="shared" si="26"/>
        <v>5.7568707759443942</v>
      </c>
    </row>
    <row r="31" spans="1:41" x14ac:dyDescent="0.3">
      <c r="A31" t="s">
        <v>147</v>
      </c>
      <c r="B31" t="str">
        <f t="shared" si="1"/>
        <v>DK</v>
      </c>
      <c r="C31" t="s">
        <v>27</v>
      </c>
      <c r="D31" s="2">
        <v>8.0508586980600896</v>
      </c>
      <c r="E31" s="2">
        <v>8.1259880275150245</v>
      </c>
      <c r="F31" s="2">
        <v>7.8586064683684507</v>
      </c>
      <c r="G31" s="2">
        <v>8.2202422049518482</v>
      </c>
      <c r="H31" s="7">
        <f>G31*VLOOKUP($B31,'EU Ref Scenario 2020'!$A$126:$AE$153,'Specified Annual Demand'!H$3,FALSE)</f>
        <v>8.5351865399252969</v>
      </c>
      <c r="I31" s="7">
        <f>H31*VLOOKUP($B31,'EU Ref Scenario 2020'!$A$126:$AE$153,'Specified Annual Demand'!I$3,FALSE)</f>
        <v>8.8501308748987455</v>
      </c>
      <c r="J31" s="7">
        <f>I31*VLOOKUP($B31,'EU Ref Scenario 2020'!$A$126:$AE$153,'Specified Annual Demand'!J$3,FALSE)</f>
        <v>9.1650752098721924</v>
      </c>
      <c r="K31" s="7">
        <f>J31*VLOOKUP($B31,'EU Ref Scenario 2020'!$A$126:$AE$153,'Specified Annual Demand'!K$3,FALSE)</f>
        <v>9.480019544845641</v>
      </c>
      <c r="L31" s="7">
        <f>K31*VLOOKUP($B31,'EU Ref Scenario 2020'!$A$126:$AE$153,'Specified Annual Demand'!L$3,FALSE)</f>
        <v>9.5257819338139136</v>
      </c>
      <c r="M31" s="7">
        <f>L31*VLOOKUP($B31,'EU Ref Scenario 2020'!$A$126:$AE$153,'Specified Annual Demand'!M$3,FALSE)</f>
        <v>9.5715443227821861</v>
      </c>
      <c r="N31" s="7">
        <f>M31*VLOOKUP($B31,'EU Ref Scenario 2020'!$A$126:$AE$153,'Specified Annual Demand'!N$3,FALSE)</f>
        <v>9.6173067117504605</v>
      </c>
      <c r="O31" s="7">
        <f>N31*VLOOKUP($B31,'EU Ref Scenario 2020'!$A$126:$AE$153,'Specified Annual Demand'!O$3,FALSE)</f>
        <v>9.663069100718733</v>
      </c>
      <c r="P31" s="7">
        <f>O31*VLOOKUP($B31,'EU Ref Scenario 2020'!$A$126:$AE$153,'Specified Annual Demand'!P$3,FALSE)</f>
        <v>9.7088314896870092</v>
      </c>
      <c r="Q31" s="7">
        <f>P31*VLOOKUP($B31,'EU Ref Scenario 2020'!$A$126:$AE$153,'Specified Annual Demand'!Q$3,FALSE)</f>
        <v>9.7354358393007487</v>
      </c>
      <c r="R31" s="7">
        <f>Q31*VLOOKUP($B31,'EU Ref Scenario 2020'!$A$126:$AE$153,'Specified Annual Demand'!R$3,FALSE)</f>
        <v>9.7620401889144901</v>
      </c>
      <c r="S31" s="7">
        <f>R31*VLOOKUP($B31,'EU Ref Scenario 2020'!$A$126:$AE$153,'Specified Annual Demand'!S$3,FALSE)</f>
        <v>9.7886445385282297</v>
      </c>
      <c r="T31" s="7">
        <f>S31*VLOOKUP($B31,'EU Ref Scenario 2020'!$A$126:$AE$153,'Specified Annual Demand'!T$3,FALSE)</f>
        <v>9.8152488881419711</v>
      </c>
      <c r="U31" s="7">
        <f>T31*VLOOKUP($B31,'EU Ref Scenario 2020'!$A$126:$AE$153,'Specified Annual Demand'!U$3,FALSE)</f>
        <v>9.8418532377557106</v>
      </c>
      <c r="V31" s="7">
        <f>U31*VLOOKUP($B31,'EU Ref Scenario 2020'!$A$126:$AE$153,'Specified Annual Demand'!V$3,FALSE)</f>
        <v>9.8421412233409526</v>
      </c>
      <c r="W31" s="7">
        <f>V31*VLOOKUP($B31,'EU Ref Scenario 2020'!$A$126:$AE$153,'Specified Annual Demand'!W$3,FALSE)</f>
        <v>9.8424292089261929</v>
      </c>
      <c r="X31" s="7">
        <f>W31*VLOOKUP($B31,'EU Ref Scenario 2020'!$A$126:$AE$153,'Specified Annual Demand'!X$3,FALSE)</f>
        <v>9.8427171945114349</v>
      </c>
      <c r="Y31" s="7">
        <f>X31*VLOOKUP($B31,'EU Ref Scenario 2020'!$A$126:$AE$153,'Specified Annual Demand'!Y$3,FALSE)</f>
        <v>9.8430051800966769</v>
      </c>
      <c r="Z31" s="7">
        <f>Y31*VLOOKUP($B31,'EU Ref Scenario 2020'!$A$126:$AE$153,'Specified Annual Demand'!Z$3,FALSE)</f>
        <v>9.8432931656819225</v>
      </c>
      <c r="AA31" s="7">
        <f>Z31*VLOOKUP($B31,'EU Ref Scenario 2020'!$A$126:$AE$153,'Specified Annual Demand'!AA$3,FALSE)</f>
        <v>9.8472189689633396</v>
      </c>
      <c r="AB31" s="7">
        <f>AA31*VLOOKUP($B31,'EU Ref Scenario 2020'!$A$126:$AE$153,'Specified Annual Demand'!AB$3,FALSE)</f>
        <v>9.8511447722447549</v>
      </c>
      <c r="AC31" s="7">
        <f>AB31*VLOOKUP($B31,'EU Ref Scenario 2020'!$A$126:$AE$153,'Specified Annual Demand'!AC$3,FALSE)</f>
        <v>9.855070575526172</v>
      </c>
      <c r="AD31" s="7">
        <f>AC31*VLOOKUP($B31,'EU Ref Scenario 2020'!$A$126:$AE$153,'Specified Annual Demand'!AD$3,FALSE)</f>
        <v>9.8589963788075874</v>
      </c>
      <c r="AE31" s="7">
        <f>AD31*VLOOKUP($B31,'EU Ref Scenario 2020'!$A$126:$AE$153,'Specified Annual Demand'!AE$3,FALSE)</f>
        <v>9.862922182089001</v>
      </c>
      <c r="AF31" s="7">
        <f>AE31*VLOOKUP($B31,'EU Ref Scenario 2020'!$A$126:$AE$153,'Specified Annual Demand'!AF$3,FALSE)</f>
        <v>9.8867793439898204</v>
      </c>
      <c r="AG31" s="7">
        <f>AF31*VLOOKUP($B31,'EU Ref Scenario 2020'!$A$126:$AE$153,'Specified Annual Demand'!AG$3,FALSE)</f>
        <v>9.9106365058906398</v>
      </c>
      <c r="AH31" s="7">
        <f>AG31*VLOOKUP($B31,'EU Ref Scenario 2020'!$A$126:$AE$153,'Specified Annual Demand'!AH$3,FALSE)</f>
        <v>9.9344936677914593</v>
      </c>
      <c r="AI31" s="7">
        <f>AH31*VLOOKUP($B31,'EU Ref Scenario 2020'!$A$126:$AE$153,'Specified Annual Demand'!AI$3,FALSE)</f>
        <v>9.9583508296922787</v>
      </c>
      <c r="AJ31" s="7">
        <f>AI31*VLOOKUP($B31,'EU Ref Scenario 2020'!$A$126:$AE$153,'Specified Annual Demand'!AJ$3,FALSE)</f>
        <v>9.9822079915931017</v>
      </c>
      <c r="AK31" s="8">
        <f t="shared" ref="AK31:AO31" si="27">AJ31</f>
        <v>9.9822079915931017</v>
      </c>
      <c r="AL31" s="8">
        <f t="shared" si="27"/>
        <v>9.9822079915931017</v>
      </c>
      <c r="AM31" s="8">
        <f t="shared" si="27"/>
        <v>9.9822079915931017</v>
      </c>
      <c r="AN31" s="8">
        <f t="shared" si="27"/>
        <v>9.9822079915931017</v>
      </c>
      <c r="AO31" s="8">
        <f t="shared" si="27"/>
        <v>9.9822079915931017</v>
      </c>
    </row>
    <row r="32" spans="1:41" x14ac:dyDescent="0.3">
      <c r="A32" t="s">
        <v>148</v>
      </c>
      <c r="B32" t="str">
        <f t="shared" si="1"/>
        <v>DK</v>
      </c>
      <c r="C32" t="s">
        <v>28</v>
      </c>
      <c r="D32" s="2">
        <v>50.598955831838133</v>
      </c>
      <c r="E32" s="2">
        <v>51.429963058325889</v>
      </c>
      <c r="F32" s="2">
        <v>50.953974128148538</v>
      </c>
      <c r="G32" s="2">
        <v>51.504067515992361</v>
      </c>
      <c r="H32" s="7">
        <f>G32*VLOOKUP($B32,'EU Ref Scenario 2020'!$A$126:$AE$153,'Specified Annual Demand'!H$3,FALSE)</f>
        <v>53.477356609892823</v>
      </c>
      <c r="I32" s="7">
        <f>H32*VLOOKUP($B32,'EU Ref Scenario 2020'!$A$126:$AE$153,'Specified Annual Demand'!I$3,FALSE)</f>
        <v>55.450645703793285</v>
      </c>
      <c r="J32" s="7">
        <f>I32*VLOOKUP($B32,'EU Ref Scenario 2020'!$A$126:$AE$153,'Specified Annual Demand'!J$3,FALSE)</f>
        <v>57.423934797693747</v>
      </c>
      <c r="K32" s="7">
        <f>J32*VLOOKUP($B32,'EU Ref Scenario 2020'!$A$126:$AE$153,'Specified Annual Demand'!K$3,FALSE)</f>
        <v>59.397223891594216</v>
      </c>
      <c r="L32" s="7">
        <f>K32*VLOOKUP($B32,'EU Ref Scenario 2020'!$A$126:$AE$153,'Specified Annual Demand'!L$3,FALSE)</f>
        <v>59.683948918953533</v>
      </c>
      <c r="M32" s="7">
        <f>L32*VLOOKUP($B32,'EU Ref Scenario 2020'!$A$126:$AE$153,'Specified Annual Demand'!M$3,FALSE)</f>
        <v>59.97067394631285</v>
      </c>
      <c r="N32" s="7">
        <f>M32*VLOOKUP($B32,'EU Ref Scenario 2020'!$A$126:$AE$153,'Specified Annual Demand'!N$3,FALSE)</f>
        <v>60.257398973672167</v>
      </c>
      <c r="O32" s="7">
        <f>N32*VLOOKUP($B32,'EU Ref Scenario 2020'!$A$126:$AE$153,'Specified Annual Demand'!O$3,FALSE)</f>
        <v>60.544124001031484</v>
      </c>
      <c r="P32" s="7">
        <f>O32*VLOOKUP($B32,'EU Ref Scenario 2020'!$A$126:$AE$153,'Specified Annual Demand'!P$3,FALSE)</f>
        <v>60.830849028390816</v>
      </c>
      <c r="Q32" s="7">
        <f>P32*VLOOKUP($B32,'EU Ref Scenario 2020'!$A$126:$AE$153,'Specified Annual Demand'!Q$3,FALSE)</f>
        <v>60.997539033935873</v>
      </c>
      <c r="R32" s="7">
        <f>Q32*VLOOKUP($B32,'EU Ref Scenario 2020'!$A$126:$AE$153,'Specified Annual Demand'!R$3,FALSE)</f>
        <v>61.164229039480929</v>
      </c>
      <c r="S32" s="7">
        <f>R32*VLOOKUP($B32,'EU Ref Scenario 2020'!$A$126:$AE$153,'Specified Annual Demand'!S$3,FALSE)</f>
        <v>61.330919045025986</v>
      </c>
      <c r="T32" s="7">
        <f>S32*VLOOKUP($B32,'EU Ref Scenario 2020'!$A$126:$AE$153,'Specified Annual Demand'!T$3,FALSE)</f>
        <v>61.497609050571043</v>
      </c>
      <c r="U32" s="7">
        <f>T32*VLOOKUP($B32,'EU Ref Scenario 2020'!$A$126:$AE$153,'Specified Annual Demand'!U$3,FALSE)</f>
        <v>61.6642990561161</v>
      </c>
      <c r="V32" s="7">
        <f>U32*VLOOKUP($B32,'EU Ref Scenario 2020'!$A$126:$AE$153,'Specified Annual Demand'!V$3,FALSE)</f>
        <v>61.666103434704489</v>
      </c>
      <c r="W32" s="7">
        <f>V32*VLOOKUP($B32,'EU Ref Scenario 2020'!$A$126:$AE$153,'Specified Annual Demand'!W$3,FALSE)</f>
        <v>61.667907813292864</v>
      </c>
      <c r="X32" s="7">
        <f>W32*VLOOKUP($B32,'EU Ref Scenario 2020'!$A$126:$AE$153,'Specified Annual Demand'!X$3,FALSE)</f>
        <v>61.669712191881246</v>
      </c>
      <c r="Y32" s="7">
        <f>X32*VLOOKUP($B32,'EU Ref Scenario 2020'!$A$126:$AE$153,'Specified Annual Demand'!Y$3,FALSE)</f>
        <v>61.671516570469628</v>
      </c>
      <c r="Z32" s="7">
        <f>Y32*VLOOKUP($B32,'EU Ref Scenario 2020'!$A$126:$AE$153,'Specified Annual Demand'!Z$3,FALSE)</f>
        <v>61.673320949058031</v>
      </c>
      <c r="AA32" s="7">
        <f>Z32*VLOOKUP($B32,'EU Ref Scenario 2020'!$A$126:$AE$153,'Specified Annual Demand'!AA$3,FALSE)</f>
        <v>61.697918136369466</v>
      </c>
      <c r="AB32" s="7">
        <f>AA32*VLOOKUP($B32,'EU Ref Scenario 2020'!$A$126:$AE$153,'Specified Annual Demand'!AB$3,FALSE)</f>
        <v>61.722515323680895</v>
      </c>
      <c r="AC32" s="7">
        <f>AB32*VLOOKUP($B32,'EU Ref Scenario 2020'!$A$126:$AE$153,'Specified Annual Demand'!AC$3,FALSE)</f>
        <v>61.747112510992331</v>
      </c>
      <c r="AD32" s="7">
        <f>AC32*VLOOKUP($B32,'EU Ref Scenario 2020'!$A$126:$AE$153,'Specified Annual Demand'!AD$3,FALSE)</f>
        <v>61.771709698303759</v>
      </c>
      <c r="AE32" s="7">
        <f>AD32*VLOOKUP($B32,'EU Ref Scenario 2020'!$A$126:$AE$153,'Specified Annual Demand'!AE$3,FALSE)</f>
        <v>61.796306885615174</v>
      </c>
      <c r="AF32" s="7">
        <f>AE32*VLOOKUP($B32,'EU Ref Scenario 2020'!$A$126:$AE$153,'Specified Annual Demand'!AF$3,FALSE)</f>
        <v>61.945784339763613</v>
      </c>
      <c r="AG32" s="7">
        <f>AF32*VLOOKUP($B32,'EU Ref Scenario 2020'!$A$126:$AE$153,'Specified Annual Demand'!AG$3,FALSE)</f>
        <v>62.095261793912051</v>
      </c>
      <c r="AH32" s="7">
        <f>AG32*VLOOKUP($B32,'EU Ref Scenario 2020'!$A$126:$AE$153,'Specified Annual Demand'!AH$3,FALSE)</f>
        <v>62.244739248060483</v>
      </c>
      <c r="AI32" s="7">
        <f>AH32*VLOOKUP($B32,'EU Ref Scenario 2020'!$A$126:$AE$153,'Specified Annual Demand'!AI$3,FALSE)</f>
        <v>62.394216702208922</v>
      </c>
      <c r="AJ32" s="7">
        <f>AI32*VLOOKUP($B32,'EU Ref Scenario 2020'!$A$126:$AE$153,'Specified Annual Demand'!AJ$3,FALSE)</f>
        <v>62.543694156357382</v>
      </c>
      <c r="AK32" s="8">
        <f t="shared" ref="AK32:AO32" si="28">AJ32</f>
        <v>62.543694156357382</v>
      </c>
      <c r="AL32" s="8">
        <f t="shared" si="28"/>
        <v>62.543694156357382</v>
      </c>
      <c r="AM32" s="8">
        <f t="shared" si="28"/>
        <v>62.543694156357382</v>
      </c>
      <c r="AN32" s="8">
        <f t="shared" si="28"/>
        <v>62.543694156357382</v>
      </c>
      <c r="AO32" s="8">
        <f t="shared" si="28"/>
        <v>62.543694156357382</v>
      </c>
    </row>
    <row r="33" spans="1:41" x14ac:dyDescent="0.3">
      <c r="A33" t="s">
        <v>145</v>
      </c>
      <c r="B33" t="str">
        <f t="shared" si="1"/>
        <v>EE</v>
      </c>
      <c r="C33" t="s">
        <v>29</v>
      </c>
      <c r="D33" s="2">
        <v>35.11585425530987</v>
      </c>
      <c r="E33" s="2">
        <v>34.25786768518109</v>
      </c>
      <c r="F33" s="2">
        <v>34.865082819471382</v>
      </c>
      <c r="G33" s="2">
        <v>36.264012191273437</v>
      </c>
      <c r="H33" s="7">
        <f>G33*VLOOKUP($B33,'EU Ref Scenario 2020'!$A$126:$AE$153,'Specified Annual Demand'!H$3,FALSE)</f>
        <v>36.060534183657069</v>
      </c>
      <c r="I33" s="7">
        <f>H33*VLOOKUP($B33,'EU Ref Scenario 2020'!$A$126:$AE$153,'Specified Annual Demand'!I$3,FALSE)</f>
        <v>35.8570561760407</v>
      </c>
      <c r="J33" s="7">
        <f>I33*VLOOKUP($B33,'EU Ref Scenario 2020'!$A$126:$AE$153,'Specified Annual Demand'!J$3,FALSE)</f>
        <v>35.653578168424332</v>
      </c>
      <c r="K33" s="7">
        <f>J33*VLOOKUP($B33,'EU Ref Scenario 2020'!$A$126:$AE$153,'Specified Annual Demand'!K$3,FALSE)</f>
        <v>35.450100160807963</v>
      </c>
      <c r="L33" s="7">
        <f>K33*VLOOKUP($B33,'EU Ref Scenario 2020'!$A$126:$AE$153,'Specified Annual Demand'!L$3,FALSE)</f>
        <v>35.095362443200074</v>
      </c>
      <c r="M33" s="7">
        <f>L33*VLOOKUP($B33,'EU Ref Scenario 2020'!$A$126:$AE$153,'Specified Annual Demand'!M$3,FALSE)</f>
        <v>34.740624725592184</v>
      </c>
      <c r="N33" s="7">
        <f>M33*VLOOKUP($B33,'EU Ref Scenario 2020'!$A$126:$AE$153,'Specified Annual Demand'!N$3,FALSE)</f>
        <v>34.385887007984294</v>
      </c>
      <c r="O33" s="7">
        <f>N33*VLOOKUP($B33,'EU Ref Scenario 2020'!$A$126:$AE$153,'Specified Annual Demand'!O$3,FALSE)</f>
        <v>34.031149290376405</v>
      </c>
      <c r="P33" s="7">
        <f>O33*VLOOKUP($B33,'EU Ref Scenario 2020'!$A$126:$AE$153,'Specified Annual Demand'!P$3,FALSE)</f>
        <v>33.676411572768508</v>
      </c>
      <c r="Q33" s="7">
        <f>P33*VLOOKUP($B33,'EU Ref Scenario 2020'!$A$126:$AE$153,'Specified Annual Demand'!Q$3,FALSE)</f>
        <v>33.561690654602685</v>
      </c>
      <c r="R33" s="7">
        <f>Q33*VLOOKUP($B33,'EU Ref Scenario 2020'!$A$126:$AE$153,'Specified Annual Demand'!R$3,FALSE)</f>
        <v>33.446969736436863</v>
      </c>
      <c r="S33" s="7">
        <f>R33*VLOOKUP($B33,'EU Ref Scenario 2020'!$A$126:$AE$153,'Specified Annual Demand'!S$3,FALSE)</f>
        <v>33.33224881827104</v>
      </c>
      <c r="T33" s="7">
        <f>S33*VLOOKUP($B33,'EU Ref Scenario 2020'!$A$126:$AE$153,'Specified Annual Demand'!T$3,FALSE)</f>
        <v>33.217527900105217</v>
      </c>
      <c r="U33" s="7">
        <f>T33*VLOOKUP($B33,'EU Ref Scenario 2020'!$A$126:$AE$153,'Specified Annual Demand'!U$3,FALSE)</f>
        <v>33.102806981939402</v>
      </c>
      <c r="V33" s="7">
        <f>U33*VLOOKUP($B33,'EU Ref Scenario 2020'!$A$126:$AE$153,'Specified Annual Demand'!V$3,FALSE)</f>
        <v>33.010131533495546</v>
      </c>
      <c r="W33" s="7">
        <f>V33*VLOOKUP($B33,'EU Ref Scenario 2020'!$A$126:$AE$153,'Specified Annual Demand'!W$3,FALSE)</f>
        <v>32.91745608505169</v>
      </c>
      <c r="X33" s="7">
        <f>W33*VLOOKUP($B33,'EU Ref Scenario 2020'!$A$126:$AE$153,'Specified Annual Demand'!X$3,FALSE)</f>
        <v>32.824780636607834</v>
      </c>
      <c r="Y33" s="7">
        <f>X33*VLOOKUP($B33,'EU Ref Scenario 2020'!$A$126:$AE$153,'Specified Annual Demand'!Y$3,FALSE)</f>
        <v>32.732105188163978</v>
      </c>
      <c r="Z33" s="7">
        <f>Y33*VLOOKUP($B33,'EU Ref Scenario 2020'!$A$126:$AE$153,'Specified Annual Demand'!Z$3,FALSE)</f>
        <v>32.639429739720114</v>
      </c>
      <c r="AA33" s="7">
        <f>Z33*VLOOKUP($B33,'EU Ref Scenario 2020'!$A$126:$AE$153,'Specified Annual Demand'!AA$3,FALSE)</f>
        <v>32.536955517432887</v>
      </c>
      <c r="AB33" s="7">
        <f>AA33*VLOOKUP($B33,'EU Ref Scenario 2020'!$A$126:$AE$153,'Specified Annual Demand'!AB$3,FALSE)</f>
        <v>32.434481295145659</v>
      </c>
      <c r="AC33" s="7">
        <f>AB33*VLOOKUP($B33,'EU Ref Scenario 2020'!$A$126:$AE$153,'Specified Annual Demand'!AC$3,FALSE)</f>
        <v>32.332007072858431</v>
      </c>
      <c r="AD33" s="7">
        <f>AC33*VLOOKUP($B33,'EU Ref Scenario 2020'!$A$126:$AE$153,'Specified Annual Demand'!AD$3,FALSE)</f>
        <v>32.229532850571204</v>
      </c>
      <c r="AE33" s="7">
        <f>AD33*VLOOKUP($B33,'EU Ref Scenario 2020'!$A$126:$AE$153,'Specified Annual Demand'!AE$3,FALSE)</f>
        <v>32.127058628283976</v>
      </c>
      <c r="AF33" s="7">
        <f>AE33*VLOOKUP($B33,'EU Ref Scenario 2020'!$A$126:$AE$153,'Specified Annual Demand'!AF$3,FALSE)</f>
        <v>32.073614087315789</v>
      </c>
      <c r="AG33" s="7">
        <f>AF33*VLOOKUP($B33,'EU Ref Scenario 2020'!$A$126:$AE$153,'Specified Annual Demand'!AG$3,FALSE)</f>
        <v>32.020169546347603</v>
      </c>
      <c r="AH33" s="7">
        <f>AG33*VLOOKUP($B33,'EU Ref Scenario 2020'!$A$126:$AE$153,'Specified Annual Demand'!AH$3,FALSE)</f>
        <v>31.966725005379413</v>
      </c>
      <c r="AI33" s="7">
        <f>AH33*VLOOKUP($B33,'EU Ref Scenario 2020'!$A$126:$AE$153,'Specified Annual Demand'!AI$3,FALSE)</f>
        <v>31.913280464411226</v>
      </c>
      <c r="AJ33" s="7">
        <f>AI33*VLOOKUP($B33,'EU Ref Scenario 2020'!$A$126:$AE$153,'Specified Annual Demand'!AJ$3,FALSE)</f>
        <v>31.859835923443047</v>
      </c>
      <c r="AK33" s="8">
        <f t="shared" ref="AK33:AO33" si="29">AJ33</f>
        <v>31.859835923443047</v>
      </c>
      <c r="AL33" s="8">
        <f t="shared" si="29"/>
        <v>31.859835923443047</v>
      </c>
      <c r="AM33" s="8">
        <f t="shared" si="29"/>
        <v>31.859835923443047</v>
      </c>
      <c r="AN33" s="8">
        <f t="shared" si="29"/>
        <v>31.859835923443047</v>
      </c>
      <c r="AO33" s="8">
        <f t="shared" si="29"/>
        <v>31.859835923443047</v>
      </c>
    </row>
    <row r="34" spans="1:41" x14ac:dyDescent="0.3">
      <c r="A34" t="s">
        <v>146</v>
      </c>
      <c r="B34" t="str">
        <f t="shared" si="1"/>
        <v>EE</v>
      </c>
      <c r="C34" t="s">
        <v>30</v>
      </c>
      <c r="D34" s="2">
        <v>0.12142879305101113</v>
      </c>
      <c r="E34" s="2">
        <v>0.11720010982639444</v>
      </c>
      <c r="F34" s="2">
        <v>0.11645889076543432</v>
      </c>
      <c r="G34" s="2">
        <v>0.13722556480752765</v>
      </c>
      <c r="H34" s="7">
        <f>G34*VLOOKUP($B34,'EU Ref Scenario 2020'!$A$126:$AE$153,'Specified Annual Demand'!H$3,FALSE)</f>
        <v>0.13645558975970914</v>
      </c>
      <c r="I34" s="7">
        <f>H34*VLOOKUP($B34,'EU Ref Scenario 2020'!$A$126:$AE$153,'Specified Annual Demand'!I$3,FALSE)</f>
        <v>0.13568561471189064</v>
      </c>
      <c r="J34" s="7">
        <f>I34*VLOOKUP($B34,'EU Ref Scenario 2020'!$A$126:$AE$153,'Specified Annual Demand'!J$3,FALSE)</f>
        <v>0.13491563966407213</v>
      </c>
      <c r="K34" s="7">
        <f>J34*VLOOKUP($B34,'EU Ref Scenario 2020'!$A$126:$AE$153,'Specified Annual Demand'!K$3,FALSE)</f>
        <v>0.13414566461625363</v>
      </c>
      <c r="L34" s="7">
        <f>K34*VLOOKUP($B34,'EU Ref Scenario 2020'!$A$126:$AE$153,'Specified Annual Demand'!L$3,FALSE)</f>
        <v>0.13280331222015032</v>
      </c>
      <c r="M34" s="7">
        <f>L34*VLOOKUP($B34,'EU Ref Scenario 2020'!$A$126:$AE$153,'Specified Annual Demand'!M$3,FALSE)</f>
        <v>0.13146095982404701</v>
      </c>
      <c r="N34" s="7">
        <f>M34*VLOOKUP($B34,'EU Ref Scenario 2020'!$A$126:$AE$153,'Specified Annual Demand'!N$3,FALSE)</f>
        <v>0.13011860742794371</v>
      </c>
      <c r="O34" s="7">
        <f>N34*VLOOKUP($B34,'EU Ref Scenario 2020'!$A$126:$AE$153,'Specified Annual Demand'!O$3,FALSE)</f>
        <v>0.1287762550318404</v>
      </c>
      <c r="P34" s="7">
        <f>O34*VLOOKUP($B34,'EU Ref Scenario 2020'!$A$126:$AE$153,'Specified Annual Demand'!P$3,FALSE)</f>
        <v>0.12743390263573706</v>
      </c>
      <c r="Q34" s="7">
        <f>P34*VLOOKUP($B34,'EU Ref Scenario 2020'!$A$126:$AE$153,'Specified Annual Demand'!Q$3,FALSE)</f>
        <v>0.12699979063766278</v>
      </c>
      <c r="R34" s="7">
        <f>Q34*VLOOKUP($B34,'EU Ref Scenario 2020'!$A$126:$AE$153,'Specified Annual Demand'!R$3,FALSE)</f>
        <v>0.12656567863958854</v>
      </c>
      <c r="S34" s="7">
        <f>R34*VLOOKUP($B34,'EU Ref Scenario 2020'!$A$126:$AE$153,'Specified Annual Demand'!S$3,FALSE)</f>
        <v>0.12613156664151426</v>
      </c>
      <c r="T34" s="7">
        <f>S34*VLOOKUP($B34,'EU Ref Scenario 2020'!$A$126:$AE$153,'Specified Annual Demand'!T$3,FALSE)</f>
        <v>0.12569745464343998</v>
      </c>
      <c r="U34" s="7">
        <f>T34*VLOOKUP($B34,'EU Ref Scenario 2020'!$A$126:$AE$153,'Specified Annual Demand'!U$3,FALSE)</f>
        <v>0.12526334264536573</v>
      </c>
      <c r="V34" s="7">
        <f>U34*VLOOKUP($B34,'EU Ref Scenario 2020'!$A$126:$AE$153,'Specified Annual Demand'!V$3,FALSE)</f>
        <v>0.12491265225045242</v>
      </c>
      <c r="W34" s="7">
        <f>V34*VLOOKUP($B34,'EU Ref Scenario 2020'!$A$126:$AE$153,'Specified Annual Demand'!W$3,FALSE)</f>
        <v>0.12456196185553911</v>
      </c>
      <c r="X34" s="7">
        <f>W34*VLOOKUP($B34,'EU Ref Scenario 2020'!$A$126:$AE$153,'Specified Annual Demand'!X$3,FALSE)</f>
        <v>0.1242112714606258</v>
      </c>
      <c r="Y34" s="7">
        <f>X34*VLOOKUP($B34,'EU Ref Scenario 2020'!$A$126:$AE$153,'Specified Annual Demand'!Y$3,FALSE)</f>
        <v>0.12386058106571249</v>
      </c>
      <c r="Z34" s="7">
        <f>Y34*VLOOKUP($B34,'EU Ref Scenario 2020'!$A$126:$AE$153,'Specified Annual Demand'!Z$3,FALSE)</f>
        <v>0.12350989067079915</v>
      </c>
      <c r="AA34" s="7">
        <f>Z34*VLOOKUP($B34,'EU Ref Scenario 2020'!$A$126:$AE$153,'Specified Annual Demand'!AA$3,FALSE)</f>
        <v>0.12312212102861486</v>
      </c>
      <c r="AB34" s="7">
        <f>AA34*VLOOKUP($B34,'EU Ref Scenario 2020'!$A$126:$AE$153,'Specified Annual Demand'!AB$3,FALSE)</f>
        <v>0.12273435138643059</v>
      </c>
      <c r="AC34" s="7">
        <f>AB34*VLOOKUP($B34,'EU Ref Scenario 2020'!$A$126:$AE$153,'Specified Annual Demand'!AC$3,FALSE)</f>
        <v>0.1223465817442463</v>
      </c>
      <c r="AD34" s="7">
        <f>AC34*VLOOKUP($B34,'EU Ref Scenario 2020'!$A$126:$AE$153,'Specified Annual Demand'!AD$3,FALSE)</f>
        <v>0.12195881210206201</v>
      </c>
      <c r="AE34" s="7">
        <f>AD34*VLOOKUP($B34,'EU Ref Scenario 2020'!$A$126:$AE$153,'Specified Annual Demand'!AE$3,FALSE)</f>
        <v>0.12157104245987772</v>
      </c>
      <c r="AF34" s="7">
        <f>AE34*VLOOKUP($B34,'EU Ref Scenario 2020'!$A$126:$AE$153,'Specified Annual Demand'!AF$3,FALSE)</f>
        <v>0.12136880456955396</v>
      </c>
      <c r="AG34" s="7">
        <f>AF34*VLOOKUP($B34,'EU Ref Scenario 2020'!$A$126:$AE$153,'Specified Annual Demand'!AG$3,FALSE)</f>
        <v>0.12116656667923018</v>
      </c>
      <c r="AH34" s="7">
        <f>AG34*VLOOKUP($B34,'EU Ref Scenario 2020'!$A$126:$AE$153,'Specified Annual Demand'!AH$3,FALSE)</f>
        <v>0.12096432878890639</v>
      </c>
      <c r="AI34" s="7">
        <f>AH34*VLOOKUP($B34,'EU Ref Scenario 2020'!$A$126:$AE$153,'Specified Annual Demand'!AI$3,FALSE)</f>
        <v>0.12076209089858263</v>
      </c>
      <c r="AJ34" s="7">
        <f>AI34*VLOOKUP($B34,'EU Ref Scenario 2020'!$A$126:$AE$153,'Specified Annual Demand'!AJ$3,FALSE)</f>
        <v>0.12055985300825889</v>
      </c>
      <c r="AK34" s="8">
        <f t="shared" ref="AK34:AO34" si="30">AJ34</f>
        <v>0.12055985300825889</v>
      </c>
      <c r="AL34" s="8">
        <f t="shared" si="30"/>
        <v>0.12055985300825889</v>
      </c>
      <c r="AM34" s="8">
        <f t="shared" si="30"/>
        <v>0.12055985300825889</v>
      </c>
      <c r="AN34" s="8">
        <f t="shared" si="30"/>
        <v>0.12055985300825889</v>
      </c>
      <c r="AO34" s="8">
        <f t="shared" si="30"/>
        <v>0.12055985300825889</v>
      </c>
    </row>
    <row r="35" spans="1:41" x14ac:dyDescent="0.3">
      <c r="A35" t="s">
        <v>147</v>
      </c>
      <c r="B35" t="str">
        <f t="shared" si="1"/>
        <v>EE</v>
      </c>
      <c r="C35" t="s">
        <v>31</v>
      </c>
      <c r="D35" s="2">
        <v>1.9505616822838256</v>
      </c>
      <c r="E35" s="2">
        <v>2.0700775809540541</v>
      </c>
      <c r="F35" s="2">
        <v>1.8961266306812414</v>
      </c>
      <c r="G35" s="2">
        <v>2.0584721495481317</v>
      </c>
      <c r="H35" s="7">
        <f>G35*VLOOKUP($B35,'EU Ref Scenario 2020'!$A$126:$AE$153,'Specified Annual Demand'!H$3,FALSE)</f>
        <v>2.0469220262602117</v>
      </c>
      <c r="I35" s="7">
        <f>H35*VLOOKUP($B35,'EU Ref Scenario 2020'!$A$126:$AE$153,'Specified Annual Demand'!I$3,FALSE)</f>
        <v>2.0353719029722916</v>
      </c>
      <c r="J35" s="7">
        <f>I35*VLOOKUP($B35,'EU Ref Scenario 2020'!$A$126:$AE$153,'Specified Annual Demand'!J$3,FALSE)</f>
        <v>2.0238217796843716</v>
      </c>
      <c r="K35" s="7">
        <f>J35*VLOOKUP($B35,'EU Ref Scenario 2020'!$A$126:$AE$153,'Specified Annual Demand'!K$3,FALSE)</f>
        <v>2.0122716563964516</v>
      </c>
      <c r="L35" s="7">
        <f>K35*VLOOKUP($B35,'EU Ref Scenario 2020'!$A$126:$AE$153,'Specified Annual Demand'!L$3,FALSE)</f>
        <v>1.9921355030045269</v>
      </c>
      <c r="M35" s="7">
        <f>L35*VLOOKUP($B35,'EU Ref Scenario 2020'!$A$126:$AE$153,'Specified Annual Demand'!M$3,FALSE)</f>
        <v>1.9719993496126023</v>
      </c>
      <c r="N35" s="7">
        <f>M35*VLOOKUP($B35,'EU Ref Scenario 2020'!$A$126:$AE$153,'Specified Annual Demand'!N$3,FALSE)</f>
        <v>1.9518631962206776</v>
      </c>
      <c r="O35" s="7">
        <f>N35*VLOOKUP($B35,'EU Ref Scenario 2020'!$A$126:$AE$153,'Specified Annual Demand'!O$3,FALSE)</f>
        <v>1.931727042828753</v>
      </c>
      <c r="P35" s="7">
        <f>O35*VLOOKUP($B35,'EU Ref Scenario 2020'!$A$126:$AE$153,'Specified Annual Demand'!P$3,FALSE)</f>
        <v>1.9115908894368281</v>
      </c>
      <c r="Q35" s="7">
        <f>P35*VLOOKUP($B35,'EU Ref Scenario 2020'!$A$126:$AE$153,'Specified Annual Demand'!Q$3,FALSE)</f>
        <v>1.9050789289353431</v>
      </c>
      <c r="R35" s="7">
        <f>Q35*VLOOKUP($B35,'EU Ref Scenario 2020'!$A$126:$AE$153,'Specified Annual Demand'!R$3,FALSE)</f>
        <v>1.8985669684338584</v>
      </c>
      <c r="S35" s="7">
        <f>R35*VLOOKUP($B35,'EU Ref Scenario 2020'!$A$126:$AE$153,'Specified Annual Demand'!S$3,FALSE)</f>
        <v>1.8920550079323737</v>
      </c>
      <c r="T35" s="7">
        <f>S35*VLOOKUP($B35,'EU Ref Scenario 2020'!$A$126:$AE$153,'Specified Annual Demand'!T$3,FALSE)</f>
        <v>1.8855430474308887</v>
      </c>
      <c r="U35" s="7">
        <f>T35*VLOOKUP($B35,'EU Ref Scenario 2020'!$A$126:$AE$153,'Specified Annual Demand'!U$3,FALSE)</f>
        <v>1.8790310869294042</v>
      </c>
      <c r="V35" s="7">
        <f>U35*VLOOKUP($B35,'EU Ref Scenario 2020'!$A$126:$AE$153,'Specified Annual Demand'!V$3,FALSE)</f>
        <v>1.8737705043837569</v>
      </c>
      <c r="W35" s="7">
        <f>V35*VLOOKUP($B35,'EU Ref Scenario 2020'!$A$126:$AE$153,'Specified Annual Demand'!W$3,FALSE)</f>
        <v>1.8685099218381096</v>
      </c>
      <c r="X35" s="7">
        <f>W35*VLOOKUP($B35,'EU Ref Scenario 2020'!$A$126:$AE$153,'Specified Annual Demand'!X$3,FALSE)</f>
        <v>1.8632493392924621</v>
      </c>
      <c r="Y35" s="7">
        <f>X35*VLOOKUP($B35,'EU Ref Scenario 2020'!$A$126:$AE$153,'Specified Annual Demand'!Y$3,FALSE)</f>
        <v>1.8579887567468145</v>
      </c>
      <c r="Z35" s="7">
        <f>Y35*VLOOKUP($B35,'EU Ref Scenario 2020'!$A$126:$AE$153,'Specified Annual Demand'!Z$3,FALSE)</f>
        <v>1.8527281742011668</v>
      </c>
      <c r="AA35" s="7">
        <f>Z35*VLOOKUP($B35,'EU Ref Scenario 2020'!$A$126:$AE$153,'Specified Annual Demand'!AA$3,FALSE)</f>
        <v>1.8469113789852303</v>
      </c>
      <c r="AB35" s="7">
        <f>AA35*VLOOKUP($B35,'EU Ref Scenario 2020'!$A$126:$AE$153,'Specified Annual Demand'!AB$3,FALSE)</f>
        <v>1.841094583769294</v>
      </c>
      <c r="AC35" s="7">
        <f>AB35*VLOOKUP($B35,'EU Ref Scenario 2020'!$A$126:$AE$153,'Specified Annual Demand'!AC$3,FALSE)</f>
        <v>1.8352777885533578</v>
      </c>
      <c r="AD35" s="7">
        <f>AC35*VLOOKUP($B35,'EU Ref Scenario 2020'!$A$126:$AE$153,'Specified Annual Demand'!AD$3,FALSE)</f>
        <v>1.8294609933374213</v>
      </c>
      <c r="AE35" s="7">
        <f>AD35*VLOOKUP($B35,'EU Ref Scenario 2020'!$A$126:$AE$153,'Specified Annual Demand'!AE$3,FALSE)</f>
        <v>1.8236441981214848</v>
      </c>
      <c r="AF35" s="7">
        <f>AE35*VLOOKUP($B35,'EU Ref Scenario 2020'!$A$126:$AE$153,'Specified Annual Demand'!AF$3,FALSE)</f>
        <v>1.8206104990771503</v>
      </c>
      <c r="AG35" s="7">
        <f>AF35*VLOOKUP($B35,'EU Ref Scenario 2020'!$A$126:$AE$153,'Specified Annual Demand'!AG$3,FALSE)</f>
        <v>1.8175768000328159</v>
      </c>
      <c r="AH35" s="7">
        <f>AG35*VLOOKUP($B35,'EU Ref Scenario 2020'!$A$126:$AE$153,'Specified Annual Demand'!AH$3,FALSE)</f>
        <v>1.8145431009884814</v>
      </c>
      <c r="AI35" s="7">
        <f>AH35*VLOOKUP($B35,'EU Ref Scenario 2020'!$A$126:$AE$153,'Specified Annual Demand'!AI$3,FALSE)</f>
        <v>1.8115094019441469</v>
      </c>
      <c r="AJ35" s="7">
        <f>AI35*VLOOKUP($B35,'EU Ref Scenario 2020'!$A$126:$AE$153,'Specified Annual Demand'!AJ$3,FALSE)</f>
        <v>1.8084757028998129</v>
      </c>
      <c r="AK35" s="8">
        <f t="shared" ref="AK35:AO35" si="31">AJ35</f>
        <v>1.8084757028998129</v>
      </c>
      <c r="AL35" s="8">
        <f t="shared" si="31"/>
        <v>1.8084757028998129</v>
      </c>
      <c r="AM35" s="8">
        <f t="shared" si="31"/>
        <v>1.8084757028998129</v>
      </c>
      <c r="AN35" s="8">
        <f t="shared" si="31"/>
        <v>1.8084757028998129</v>
      </c>
      <c r="AO35" s="8">
        <f t="shared" si="31"/>
        <v>1.8084757028998129</v>
      </c>
    </row>
    <row r="36" spans="1:41" x14ac:dyDescent="0.3">
      <c r="A36" t="s">
        <v>148</v>
      </c>
      <c r="B36" t="str">
        <f t="shared" si="1"/>
        <v>EE</v>
      </c>
      <c r="C36" t="s">
        <v>32</v>
      </c>
      <c r="D36" s="2">
        <v>9.7093598877092244</v>
      </c>
      <c r="E36" s="2">
        <v>10.265635952941452</v>
      </c>
      <c r="F36" s="2">
        <v>10.144684325138707</v>
      </c>
      <c r="G36" s="2">
        <v>11.46567911717406</v>
      </c>
      <c r="H36" s="7">
        <f>G36*VLOOKUP($B36,'EU Ref Scenario 2020'!$A$126:$AE$153,'Specified Annual Demand'!H$3,FALSE)</f>
        <v>11.40134499081138</v>
      </c>
      <c r="I36" s="7">
        <f>H36*VLOOKUP($B36,'EU Ref Scenario 2020'!$A$126:$AE$153,'Specified Annual Demand'!I$3,FALSE)</f>
        <v>11.337010864448699</v>
      </c>
      <c r="J36" s="7">
        <f>I36*VLOOKUP($B36,'EU Ref Scenario 2020'!$A$126:$AE$153,'Specified Annual Demand'!J$3,FALSE)</f>
        <v>11.272676738086018</v>
      </c>
      <c r="K36" s="7">
        <f>J36*VLOOKUP($B36,'EU Ref Scenario 2020'!$A$126:$AE$153,'Specified Annual Demand'!K$3,FALSE)</f>
        <v>11.208342611723337</v>
      </c>
      <c r="L36" s="7">
        <f>K36*VLOOKUP($B36,'EU Ref Scenario 2020'!$A$126:$AE$153,'Specified Annual Demand'!L$3,FALSE)</f>
        <v>11.096184342544575</v>
      </c>
      <c r="M36" s="7">
        <f>L36*VLOOKUP($B36,'EU Ref Scenario 2020'!$A$126:$AE$153,'Specified Annual Demand'!M$3,FALSE)</f>
        <v>10.984026073365813</v>
      </c>
      <c r="N36" s="7">
        <f>M36*VLOOKUP($B36,'EU Ref Scenario 2020'!$A$126:$AE$153,'Specified Annual Demand'!N$3,FALSE)</f>
        <v>10.871867804187051</v>
      </c>
      <c r="O36" s="7">
        <f>N36*VLOOKUP($B36,'EU Ref Scenario 2020'!$A$126:$AE$153,'Specified Annual Demand'!O$3,FALSE)</f>
        <v>10.759709535008289</v>
      </c>
      <c r="P36" s="7">
        <f>O36*VLOOKUP($B36,'EU Ref Scenario 2020'!$A$126:$AE$153,'Specified Annual Demand'!P$3,FALSE)</f>
        <v>10.647551265829525</v>
      </c>
      <c r="Q36" s="7">
        <f>P36*VLOOKUP($B36,'EU Ref Scenario 2020'!$A$126:$AE$153,'Specified Annual Demand'!Q$3,FALSE)</f>
        <v>10.611279679862172</v>
      </c>
      <c r="R36" s="7">
        <f>Q36*VLOOKUP($B36,'EU Ref Scenario 2020'!$A$126:$AE$153,'Specified Annual Demand'!R$3,FALSE)</f>
        <v>10.575008093894819</v>
      </c>
      <c r="S36" s="7">
        <f>R36*VLOOKUP($B36,'EU Ref Scenario 2020'!$A$126:$AE$153,'Specified Annual Demand'!S$3,FALSE)</f>
        <v>10.538736507927467</v>
      </c>
      <c r="T36" s="7">
        <f>S36*VLOOKUP($B36,'EU Ref Scenario 2020'!$A$126:$AE$153,'Specified Annual Demand'!T$3,FALSE)</f>
        <v>10.502464921960113</v>
      </c>
      <c r="U36" s="7">
        <f>T36*VLOOKUP($B36,'EU Ref Scenario 2020'!$A$126:$AE$153,'Specified Annual Demand'!U$3,FALSE)</f>
        <v>10.466193335992761</v>
      </c>
      <c r="V36" s="7">
        <f>U36*VLOOKUP($B36,'EU Ref Scenario 2020'!$A$126:$AE$153,'Specified Annual Demand'!V$3,FALSE)</f>
        <v>10.436891918700795</v>
      </c>
      <c r="W36" s="7">
        <f>V36*VLOOKUP($B36,'EU Ref Scenario 2020'!$A$126:$AE$153,'Specified Annual Demand'!W$3,FALSE)</f>
        <v>10.40759050140883</v>
      </c>
      <c r="X36" s="7">
        <f>W36*VLOOKUP($B36,'EU Ref Scenario 2020'!$A$126:$AE$153,'Specified Annual Demand'!X$3,FALSE)</f>
        <v>10.378289084116863</v>
      </c>
      <c r="Y36" s="7">
        <f>X36*VLOOKUP($B36,'EU Ref Scenario 2020'!$A$126:$AE$153,'Specified Annual Demand'!Y$3,FALSE)</f>
        <v>10.348987666824897</v>
      </c>
      <c r="Z36" s="7">
        <f>Y36*VLOOKUP($B36,'EU Ref Scenario 2020'!$A$126:$AE$153,'Specified Annual Demand'!Z$3,FALSE)</f>
        <v>10.319686249532928</v>
      </c>
      <c r="AA36" s="7">
        <f>Z36*VLOOKUP($B36,'EU Ref Scenario 2020'!$A$126:$AE$153,'Specified Annual Demand'!AA$3,FALSE)</f>
        <v>10.287286730573742</v>
      </c>
      <c r="AB36" s="7">
        <f>AA36*VLOOKUP($B36,'EU Ref Scenario 2020'!$A$126:$AE$153,'Specified Annual Demand'!AB$3,FALSE)</f>
        <v>10.254887211614557</v>
      </c>
      <c r="AC36" s="7">
        <f>AB36*VLOOKUP($B36,'EU Ref Scenario 2020'!$A$126:$AE$153,'Specified Annual Demand'!AC$3,FALSE)</f>
        <v>10.222487692655372</v>
      </c>
      <c r="AD36" s="7">
        <f>AC36*VLOOKUP($B36,'EU Ref Scenario 2020'!$A$126:$AE$153,'Specified Annual Demand'!AD$3,FALSE)</f>
        <v>10.190088173696187</v>
      </c>
      <c r="AE36" s="7">
        <f>AD36*VLOOKUP($B36,'EU Ref Scenario 2020'!$A$126:$AE$153,'Specified Annual Demand'!AE$3,FALSE)</f>
        <v>10.157688654737003</v>
      </c>
      <c r="AF36" s="7">
        <f>AE36*VLOOKUP($B36,'EU Ref Scenario 2020'!$A$126:$AE$153,'Specified Annual Demand'!AF$3,FALSE)</f>
        <v>10.140790966911567</v>
      </c>
      <c r="AG36" s="7">
        <f>AF36*VLOOKUP($B36,'EU Ref Scenario 2020'!$A$126:$AE$153,'Specified Annual Demand'!AG$3,FALSE)</f>
        <v>10.123893279086131</v>
      </c>
      <c r="AH36" s="7">
        <f>AG36*VLOOKUP($B36,'EU Ref Scenario 2020'!$A$126:$AE$153,'Specified Annual Demand'!AH$3,FALSE)</f>
        <v>10.106995591260695</v>
      </c>
      <c r="AI36" s="7">
        <f>AH36*VLOOKUP($B36,'EU Ref Scenario 2020'!$A$126:$AE$153,'Specified Annual Demand'!AI$3,FALSE)</f>
        <v>10.090097903435261</v>
      </c>
      <c r="AJ36" s="7">
        <f>AI36*VLOOKUP($B36,'EU Ref Scenario 2020'!$A$126:$AE$153,'Specified Annual Demand'!AJ$3,FALSE)</f>
        <v>10.073200215609829</v>
      </c>
      <c r="AK36" s="8">
        <f t="shared" ref="AK36:AO36" si="32">AJ36</f>
        <v>10.073200215609829</v>
      </c>
      <c r="AL36" s="8">
        <f t="shared" si="32"/>
        <v>10.073200215609829</v>
      </c>
      <c r="AM36" s="8">
        <f t="shared" si="32"/>
        <v>10.073200215609829</v>
      </c>
      <c r="AN36" s="8">
        <f t="shared" si="32"/>
        <v>10.073200215609829</v>
      </c>
      <c r="AO36" s="8">
        <f t="shared" si="32"/>
        <v>10.073200215609829</v>
      </c>
    </row>
    <row r="37" spans="1:41" x14ac:dyDescent="0.3">
      <c r="A37" t="s">
        <v>145</v>
      </c>
      <c r="B37" t="str">
        <f t="shared" si="1"/>
        <v>GR</v>
      </c>
      <c r="C37" t="s">
        <v>33</v>
      </c>
      <c r="D37" s="2">
        <v>111.94291851533802</v>
      </c>
      <c r="E37" s="2">
        <v>118.66208273471841</v>
      </c>
      <c r="F37" s="2">
        <v>121.8273796085671</v>
      </c>
      <c r="G37" s="2">
        <v>126.9150864192104</v>
      </c>
      <c r="H37" s="7">
        <f>G37*VLOOKUP($B37,'EU Ref Scenario 2020'!$A$126:$AE$153,'Specified Annual Demand'!H$3,FALSE)</f>
        <v>130.97524454410677</v>
      </c>
      <c r="I37" s="7">
        <f>H37*VLOOKUP($B37,'EU Ref Scenario 2020'!$A$126:$AE$153,'Specified Annual Demand'!I$3,FALSE)</f>
        <v>135.03540266900313</v>
      </c>
      <c r="J37" s="7">
        <f>I37*VLOOKUP($B37,'EU Ref Scenario 2020'!$A$126:$AE$153,'Specified Annual Demand'!J$3,FALSE)</f>
        <v>139.09556079389949</v>
      </c>
      <c r="K37" s="7">
        <f>J37*VLOOKUP($B37,'EU Ref Scenario 2020'!$A$126:$AE$153,'Specified Annual Demand'!K$3,FALSE)</f>
        <v>143.15571891879591</v>
      </c>
      <c r="L37" s="7">
        <f>K37*VLOOKUP($B37,'EU Ref Scenario 2020'!$A$126:$AE$153,'Specified Annual Demand'!L$3,FALSE)</f>
        <v>142.23725404900964</v>
      </c>
      <c r="M37" s="7">
        <f>L37*VLOOKUP($B37,'EU Ref Scenario 2020'!$A$126:$AE$153,'Specified Annual Demand'!M$3,FALSE)</f>
        <v>141.31878917922339</v>
      </c>
      <c r="N37" s="7">
        <f>M37*VLOOKUP($B37,'EU Ref Scenario 2020'!$A$126:$AE$153,'Specified Annual Demand'!N$3,FALSE)</f>
        <v>140.40032430943714</v>
      </c>
      <c r="O37" s="7">
        <f>N37*VLOOKUP($B37,'EU Ref Scenario 2020'!$A$126:$AE$153,'Specified Annual Demand'!O$3,FALSE)</f>
        <v>139.48185943965089</v>
      </c>
      <c r="P37" s="7">
        <f>O37*VLOOKUP($B37,'EU Ref Scenario 2020'!$A$126:$AE$153,'Specified Annual Demand'!P$3,FALSE)</f>
        <v>138.56339456986461</v>
      </c>
      <c r="Q37" s="7">
        <f>P37*VLOOKUP($B37,'EU Ref Scenario 2020'!$A$126:$AE$153,'Specified Annual Demand'!Q$3,FALSE)</f>
        <v>137.81301320012133</v>
      </c>
      <c r="R37" s="7">
        <f>Q37*VLOOKUP($B37,'EU Ref Scenario 2020'!$A$126:$AE$153,'Specified Annual Demand'!R$3,FALSE)</f>
        <v>137.06263183037805</v>
      </c>
      <c r="S37" s="7">
        <f>R37*VLOOKUP($B37,'EU Ref Scenario 2020'!$A$126:$AE$153,'Specified Annual Demand'!S$3,FALSE)</f>
        <v>136.31225046063477</v>
      </c>
      <c r="T37" s="7">
        <f>S37*VLOOKUP($B37,'EU Ref Scenario 2020'!$A$126:$AE$153,'Specified Annual Demand'!T$3,FALSE)</f>
        <v>135.56186909089149</v>
      </c>
      <c r="U37" s="7">
        <f>T37*VLOOKUP($B37,'EU Ref Scenario 2020'!$A$126:$AE$153,'Specified Annual Demand'!U$3,FALSE)</f>
        <v>134.81148772114827</v>
      </c>
      <c r="V37" s="7">
        <f>U37*VLOOKUP($B37,'EU Ref Scenario 2020'!$A$126:$AE$153,'Specified Annual Demand'!V$3,FALSE)</f>
        <v>134.56524989396038</v>
      </c>
      <c r="W37" s="7">
        <f>V37*VLOOKUP($B37,'EU Ref Scenario 2020'!$A$126:$AE$153,'Specified Annual Demand'!W$3,FALSE)</f>
        <v>134.3190120667725</v>
      </c>
      <c r="X37" s="7">
        <f>W37*VLOOKUP($B37,'EU Ref Scenario 2020'!$A$126:$AE$153,'Specified Annual Demand'!X$3,FALSE)</f>
        <v>134.07277423958465</v>
      </c>
      <c r="Y37" s="7">
        <f>X37*VLOOKUP($B37,'EU Ref Scenario 2020'!$A$126:$AE$153,'Specified Annual Demand'!Y$3,FALSE)</f>
        <v>133.82653641239676</v>
      </c>
      <c r="Z37" s="7">
        <f>Y37*VLOOKUP($B37,'EU Ref Scenario 2020'!$A$126:$AE$153,'Specified Annual Demand'!Z$3,FALSE)</f>
        <v>133.58029858520888</v>
      </c>
      <c r="AA37" s="7">
        <f>Z37*VLOOKUP($B37,'EU Ref Scenario 2020'!$A$126:$AE$153,'Specified Annual Demand'!AA$3,FALSE)</f>
        <v>133.86257038115883</v>
      </c>
      <c r="AB37" s="7">
        <f>AA37*VLOOKUP($B37,'EU Ref Scenario 2020'!$A$126:$AE$153,'Specified Annual Demand'!AB$3,FALSE)</f>
        <v>134.14484217710879</v>
      </c>
      <c r="AC37" s="7">
        <f>AB37*VLOOKUP($B37,'EU Ref Scenario 2020'!$A$126:$AE$153,'Specified Annual Demand'!AC$3,FALSE)</f>
        <v>134.42711397305874</v>
      </c>
      <c r="AD37" s="7">
        <f>AC37*VLOOKUP($B37,'EU Ref Scenario 2020'!$A$126:$AE$153,'Specified Annual Demand'!AD$3,FALSE)</f>
        <v>134.70938576900869</v>
      </c>
      <c r="AE37" s="7">
        <f>AD37*VLOOKUP($B37,'EU Ref Scenario 2020'!$A$126:$AE$153,'Specified Annual Demand'!AE$3,FALSE)</f>
        <v>134.99165756495867</v>
      </c>
      <c r="AF37" s="7">
        <f>AE37*VLOOKUP($B37,'EU Ref Scenario 2020'!$A$126:$AE$153,'Specified Annual Demand'!AF$3,FALSE)</f>
        <v>136.17902361618053</v>
      </c>
      <c r="AG37" s="7">
        <f>AF37*VLOOKUP($B37,'EU Ref Scenario 2020'!$A$126:$AE$153,'Specified Annual Demand'!AG$3,FALSE)</f>
        <v>137.36638966740239</v>
      </c>
      <c r="AH37" s="7">
        <f>AG37*VLOOKUP($B37,'EU Ref Scenario 2020'!$A$126:$AE$153,'Specified Annual Demand'!AH$3,FALSE)</f>
        <v>138.55375571862425</v>
      </c>
      <c r="AI37" s="7">
        <f>AH37*VLOOKUP($B37,'EU Ref Scenario 2020'!$A$126:$AE$153,'Specified Annual Demand'!AI$3,FALSE)</f>
        <v>139.7411217698461</v>
      </c>
      <c r="AJ37" s="7">
        <f>AI37*VLOOKUP($B37,'EU Ref Scenario 2020'!$A$126:$AE$153,'Specified Annual Demand'!AJ$3,FALSE)</f>
        <v>140.92848782106799</v>
      </c>
      <c r="AK37" s="8">
        <f t="shared" ref="AK37:AO37" si="33">AJ37</f>
        <v>140.92848782106799</v>
      </c>
      <c r="AL37" s="8">
        <f t="shared" si="33"/>
        <v>140.92848782106799</v>
      </c>
      <c r="AM37" s="8">
        <f t="shared" si="33"/>
        <v>140.92848782106799</v>
      </c>
      <c r="AN37" s="8">
        <f t="shared" si="33"/>
        <v>140.92848782106799</v>
      </c>
      <c r="AO37" s="8">
        <f t="shared" si="33"/>
        <v>140.92848782106799</v>
      </c>
    </row>
    <row r="38" spans="1:41" x14ac:dyDescent="0.3">
      <c r="A38" t="s">
        <v>146</v>
      </c>
      <c r="B38" t="str">
        <f t="shared" si="1"/>
        <v>GR</v>
      </c>
      <c r="C38" t="s">
        <v>34</v>
      </c>
      <c r="D38" s="2">
        <v>29.135794097210532</v>
      </c>
      <c r="E38" s="2">
        <v>41.86389427474456</v>
      </c>
      <c r="F38" s="2">
        <v>37.727950621679717</v>
      </c>
      <c r="G38" s="2">
        <v>40.485492384121812</v>
      </c>
      <c r="H38" s="7">
        <f>G38*VLOOKUP($B38,'EU Ref Scenario 2020'!$A$126:$AE$153,'Specified Annual Demand'!H$3,FALSE)</f>
        <v>41.780669383811755</v>
      </c>
      <c r="I38" s="7">
        <f>H38*VLOOKUP($B38,'EU Ref Scenario 2020'!$A$126:$AE$153,'Specified Annual Demand'!I$3,FALSE)</f>
        <v>43.075846383501698</v>
      </c>
      <c r="J38" s="7">
        <f>I38*VLOOKUP($B38,'EU Ref Scenario 2020'!$A$126:$AE$153,'Specified Annual Demand'!J$3,FALSE)</f>
        <v>44.371023383191641</v>
      </c>
      <c r="K38" s="7">
        <f>J38*VLOOKUP($B38,'EU Ref Scenario 2020'!$A$126:$AE$153,'Specified Annual Demand'!K$3,FALSE)</f>
        <v>45.666200382881598</v>
      </c>
      <c r="L38" s="7">
        <f>K38*VLOOKUP($B38,'EU Ref Scenario 2020'!$A$126:$AE$153,'Specified Annual Demand'!L$3,FALSE)</f>
        <v>45.373213130223611</v>
      </c>
      <c r="M38" s="7">
        <f>L38*VLOOKUP($B38,'EU Ref Scenario 2020'!$A$126:$AE$153,'Specified Annual Demand'!M$3,FALSE)</f>
        <v>45.080225877565631</v>
      </c>
      <c r="N38" s="7">
        <f>M38*VLOOKUP($B38,'EU Ref Scenario 2020'!$A$126:$AE$153,'Specified Annual Demand'!N$3,FALSE)</f>
        <v>44.787238624907644</v>
      </c>
      <c r="O38" s="7">
        <f>N38*VLOOKUP($B38,'EU Ref Scenario 2020'!$A$126:$AE$153,'Specified Annual Demand'!O$3,FALSE)</f>
        <v>44.494251372249657</v>
      </c>
      <c r="P38" s="7">
        <f>O38*VLOOKUP($B38,'EU Ref Scenario 2020'!$A$126:$AE$153,'Specified Annual Demand'!P$3,FALSE)</f>
        <v>44.201264119591663</v>
      </c>
      <c r="Q38" s="7">
        <f>P38*VLOOKUP($B38,'EU Ref Scenario 2020'!$A$126:$AE$153,'Specified Annual Demand'!Q$3,FALSE)</f>
        <v>43.961894946965629</v>
      </c>
      <c r="R38" s="7">
        <f>Q38*VLOOKUP($B38,'EU Ref Scenario 2020'!$A$126:$AE$153,'Specified Annual Demand'!R$3,FALSE)</f>
        <v>43.722525774339594</v>
      </c>
      <c r="S38" s="7">
        <f>R38*VLOOKUP($B38,'EU Ref Scenario 2020'!$A$126:$AE$153,'Specified Annual Demand'!S$3,FALSE)</f>
        <v>43.48315660171356</v>
      </c>
      <c r="T38" s="7">
        <f>S38*VLOOKUP($B38,'EU Ref Scenario 2020'!$A$126:$AE$153,'Specified Annual Demand'!T$3,FALSE)</f>
        <v>43.243787429087526</v>
      </c>
      <c r="U38" s="7">
        <f>T38*VLOOKUP($B38,'EU Ref Scenario 2020'!$A$126:$AE$153,'Specified Annual Demand'!U$3,FALSE)</f>
        <v>43.004418256461506</v>
      </c>
      <c r="V38" s="7">
        <f>U38*VLOOKUP($B38,'EU Ref Scenario 2020'!$A$126:$AE$153,'Specified Annual Demand'!V$3,FALSE)</f>
        <v>42.925869204819456</v>
      </c>
      <c r="W38" s="7">
        <f>V38*VLOOKUP($B38,'EU Ref Scenario 2020'!$A$126:$AE$153,'Specified Annual Demand'!W$3,FALSE)</f>
        <v>42.847320153177407</v>
      </c>
      <c r="X38" s="7">
        <f>W38*VLOOKUP($B38,'EU Ref Scenario 2020'!$A$126:$AE$153,'Specified Annual Demand'!X$3,FALSE)</f>
        <v>42.768771101535364</v>
      </c>
      <c r="Y38" s="7">
        <f>X38*VLOOKUP($B38,'EU Ref Scenario 2020'!$A$126:$AE$153,'Specified Annual Demand'!Y$3,FALSE)</f>
        <v>42.690222049893315</v>
      </c>
      <c r="Z38" s="7">
        <f>Y38*VLOOKUP($B38,'EU Ref Scenario 2020'!$A$126:$AE$153,'Specified Annual Demand'!Z$3,FALSE)</f>
        <v>42.611672998251265</v>
      </c>
      <c r="AA38" s="7">
        <f>Z38*VLOOKUP($B38,'EU Ref Scenario 2020'!$A$126:$AE$153,'Specified Annual Demand'!AA$3,FALSE)</f>
        <v>42.701716766629104</v>
      </c>
      <c r="AB38" s="7">
        <f>AA38*VLOOKUP($B38,'EU Ref Scenario 2020'!$A$126:$AE$153,'Specified Annual Demand'!AB$3,FALSE)</f>
        <v>42.791760535006937</v>
      </c>
      <c r="AC38" s="7">
        <f>AB38*VLOOKUP($B38,'EU Ref Scenario 2020'!$A$126:$AE$153,'Specified Annual Demand'!AC$3,FALSE)</f>
        <v>42.881804303384769</v>
      </c>
      <c r="AD38" s="7">
        <f>AC38*VLOOKUP($B38,'EU Ref Scenario 2020'!$A$126:$AE$153,'Specified Annual Demand'!AD$3,FALSE)</f>
        <v>42.971848071762601</v>
      </c>
      <c r="AE38" s="7">
        <f>AD38*VLOOKUP($B38,'EU Ref Scenario 2020'!$A$126:$AE$153,'Specified Annual Demand'!AE$3,FALSE)</f>
        <v>43.061891840140447</v>
      </c>
      <c r="AF38" s="7">
        <f>AE38*VLOOKUP($B38,'EU Ref Scenario 2020'!$A$126:$AE$153,'Specified Annual Demand'!AF$3,FALSE)</f>
        <v>43.440657679412894</v>
      </c>
      <c r="AG38" s="7">
        <f>AF38*VLOOKUP($B38,'EU Ref Scenario 2020'!$A$126:$AE$153,'Specified Annual Demand'!AG$3,FALSE)</f>
        <v>43.819423518685348</v>
      </c>
      <c r="AH38" s="7">
        <f>AG38*VLOOKUP($B38,'EU Ref Scenario 2020'!$A$126:$AE$153,'Specified Annual Demand'!AH$3,FALSE)</f>
        <v>44.198189357957794</v>
      </c>
      <c r="AI38" s="7">
        <f>AH38*VLOOKUP($B38,'EU Ref Scenario 2020'!$A$126:$AE$153,'Specified Annual Demand'!AI$3,FALSE)</f>
        <v>44.576955197230241</v>
      </c>
      <c r="AJ38" s="7">
        <f>AI38*VLOOKUP($B38,'EU Ref Scenario 2020'!$A$126:$AE$153,'Specified Annual Demand'!AJ$3,FALSE)</f>
        <v>44.955721036502695</v>
      </c>
      <c r="AK38" s="8">
        <f t="shared" ref="AK38:AO38" si="34">AJ38</f>
        <v>44.955721036502695</v>
      </c>
      <c r="AL38" s="8">
        <f t="shared" si="34"/>
        <v>44.955721036502695</v>
      </c>
      <c r="AM38" s="8">
        <f t="shared" si="34"/>
        <v>44.955721036502695</v>
      </c>
      <c r="AN38" s="8">
        <f t="shared" si="34"/>
        <v>44.955721036502695</v>
      </c>
      <c r="AO38" s="8">
        <f t="shared" si="34"/>
        <v>44.955721036502695</v>
      </c>
    </row>
    <row r="39" spans="1:41" x14ac:dyDescent="0.3">
      <c r="A39" t="s">
        <v>147</v>
      </c>
      <c r="B39" t="str">
        <f t="shared" si="1"/>
        <v>GR</v>
      </c>
      <c r="C39" t="s">
        <v>35</v>
      </c>
      <c r="D39" s="2">
        <v>18.993804043749794</v>
      </c>
      <c r="E39" s="2">
        <v>19.146767426497174</v>
      </c>
      <c r="F39" s="2">
        <v>19.113640248909775</v>
      </c>
      <c r="G39" s="2">
        <v>20.097676873636644</v>
      </c>
      <c r="H39" s="7">
        <f>G39*VLOOKUP($B39,'EU Ref Scenario 2020'!$A$126:$AE$153,'Specified Annual Demand'!H$3,FALSE)</f>
        <v>20.740624440803778</v>
      </c>
      <c r="I39" s="7">
        <f>H39*VLOOKUP($B39,'EU Ref Scenario 2020'!$A$126:$AE$153,'Specified Annual Demand'!I$3,FALSE)</f>
        <v>21.383572007970912</v>
      </c>
      <c r="J39" s="7">
        <f>I39*VLOOKUP($B39,'EU Ref Scenario 2020'!$A$126:$AE$153,'Specified Annual Demand'!J$3,FALSE)</f>
        <v>22.026519575138046</v>
      </c>
      <c r="K39" s="7">
        <f>J39*VLOOKUP($B39,'EU Ref Scenario 2020'!$A$126:$AE$153,'Specified Annual Demand'!K$3,FALSE)</f>
        <v>22.669467142305187</v>
      </c>
      <c r="L39" s="7">
        <f>K39*VLOOKUP($B39,'EU Ref Scenario 2020'!$A$126:$AE$153,'Specified Annual Demand'!L$3,FALSE)</f>
        <v>22.52402336021785</v>
      </c>
      <c r="M39" s="7">
        <f>L39*VLOOKUP($B39,'EU Ref Scenario 2020'!$A$126:$AE$153,'Specified Annual Demand'!M$3,FALSE)</f>
        <v>22.378579578130516</v>
      </c>
      <c r="N39" s="7">
        <f>M39*VLOOKUP($B39,'EU Ref Scenario 2020'!$A$126:$AE$153,'Specified Annual Demand'!N$3,FALSE)</f>
        <v>22.233135796043179</v>
      </c>
      <c r="O39" s="7">
        <f>N39*VLOOKUP($B39,'EU Ref Scenario 2020'!$A$126:$AE$153,'Specified Annual Demand'!O$3,FALSE)</f>
        <v>22.087692013955841</v>
      </c>
      <c r="P39" s="7">
        <f>O39*VLOOKUP($B39,'EU Ref Scenario 2020'!$A$126:$AE$153,'Specified Annual Demand'!P$3,FALSE)</f>
        <v>21.942248231868501</v>
      </c>
      <c r="Q39" s="7">
        <f>P39*VLOOKUP($B39,'EU Ref Scenario 2020'!$A$126:$AE$153,'Specified Annual Demand'!Q$3,FALSE)</f>
        <v>21.823421363238527</v>
      </c>
      <c r="R39" s="7">
        <f>Q39*VLOOKUP($B39,'EU Ref Scenario 2020'!$A$126:$AE$153,'Specified Annual Demand'!R$3,FALSE)</f>
        <v>21.704594494608553</v>
      </c>
      <c r="S39" s="7">
        <f>R39*VLOOKUP($B39,'EU Ref Scenario 2020'!$A$126:$AE$153,'Specified Annual Demand'!S$3,FALSE)</f>
        <v>21.58576762597858</v>
      </c>
      <c r="T39" s="7">
        <f>S39*VLOOKUP($B39,'EU Ref Scenario 2020'!$A$126:$AE$153,'Specified Annual Demand'!T$3,FALSE)</f>
        <v>21.466940757348606</v>
      </c>
      <c r="U39" s="7">
        <f>T39*VLOOKUP($B39,'EU Ref Scenario 2020'!$A$126:$AE$153,'Specified Annual Demand'!U$3,FALSE)</f>
        <v>21.34811388871864</v>
      </c>
      <c r="V39" s="7">
        <f>U39*VLOOKUP($B39,'EU Ref Scenario 2020'!$A$126:$AE$153,'Specified Annual Demand'!V$3,FALSE)</f>
        <v>21.309120823161862</v>
      </c>
      <c r="W39" s="7">
        <f>V39*VLOOKUP($B39,'EU Ref Scenario 2020'!$A$126:$AE$153,'Specified Annual Demand'!W$3,FALSE)</f>
        <v>21.270127757605085</v>
      </c>
      <c r="X39" s="7">
        <f>W39*VLOOKUP($B39,'EU Ref Scenario 2020'!$A$126:$AE$153,'Specified Annual Demand'!X$3,FALSE)</f>
        <v>21.231134692048307</v>
      </c>
      <c r="Y39" s="7">
        <f>X39*VLOOKUP($B39,'EU Ref Scenario 2020'!$A$126:$AE$153,'Specified Annual Demand'!Y$3,FALSE)</f>
        <v>21.19214162649153</v>
      </c>
      <c r="Z39" s="7">
        <f>Y39*VLOOKUP($B39,'EU Ref Scenario 2020'!$A$126:$AE$153,'Specified Annual Demand'!Z$3,FALSE)</f>
        <v>21.153148560934749</v>
      </c>
      <c r="AA39" s="7">
        <f>Z39*VLOOKUP($B39,'EU Ref Scenario 2020'!$A$126:$AE$153,'Specified Annual Demand'!AA$3,FALSE)</f>
        <v>21.197847796507148</v>
      </c>
      <c r="AB39" s="7">
        <f>AA39*VLOOKUP($B39,'EU Ref Scenario 2020'!$A$126:$AE$153,'Specified Annual Demand'!AB$3,FALSE)</f>
        <v>21.242547032079543</v>
      </c>
      <c r="AC39" s="7">
        <f>AB39*VLOOKUP($B39,'EU Ref Scenario 2020'!$A$126:$AE$153,'Specified Annual Demand'!AC$3,FALSE)</f>
        <v>21.287246267651938</v>
      </c>
      <c r="AD39" s="7">
        <f>AC39*VLOOKUP($B39,'EU Ref Scenario 2020'!$A$126:$AE$153,'Specified Annual Demand'!AD$3,FALSE)</f>
        <v>21.331945503224333</v>
      </c>
      <c r="AE39" s="7">
        <f>AD39*VLOOKUP($B39,'EU Ref Scenario 2020'!$A$126:$AE$153,'Specified Annual Demand'!AE$3,FALSE)</f>
        <v>21.376644738796735</v>
      </c>
      <c r="AF39" s="7">
        <f>AE39*VLOOKUP($B39,'EU Ref Scenario 2020'!$A$126:$AE$153,'Specified Annual Demand'!AF$3,FALSE)</f>
        <v>21.564670448753393</v>
      </c>
      <c r="AG39" s="7">
        <f>AF39*VLOOKUP($B39,'EU Ref Scenario 2020'!$A$126:$AE$153,'Specified Annual Demand'!AG$3,FALSE)</f>
        <v>21.752696158710055</v>
      </c>
      <c r="AH39" s="7">
        <f>AG39*VLOOKUP($B39,'EU Ref Scenario 2020'!$A$126:$AE$153,'Specified Annual Demand'!AH$3,FALSE)</f>
        <v>21.940721868666714</v>
      </c>
      <c r="AI39" s="7">
        <f>AH39*VLOOKUP($B39,'EU Ref Scenario 2020'!$A$126:$AE$153,'Specified Annual Demand'!AI$3,FALSE)</f>
        <v>22.128747578623372</v>
      </c>
      <c r="AJ39" s="7">
        <f>AI39*VLOOKUP($B39,'EU Ref Scenario 2020'!$A$126:$AE$153,'Specified Annual Demand'!AJ$3,FALSE)</f>
        <v>22.316773288580034</v>
      </c>
      <c r="AK39" s="8">
        <f t="shared" ref="AK39:AO39" si="35">AJ39</f>
        <v>22.316773288580034</v>
      </c>
      <c r="AL39" s="8">
        <f t="shared" si="35"/>
        <v>22.316773288580034</v>
      </c>
      <c r="AM39" s="8">
        <f t="shared" si="35"/>
        <v>22.316773288580034</v>
      </c>
      <c r="AN39" s="8">
        <f t="shared" si="35"/>
        <v>22.316773288580034</v>
      </c>
      <c r="AO39" s="8">
        <f t="shared" si="35"/>
        <v>22.316773288580034</v>
      </c>
    </row>
    <row r="40" spans="1:41" x14ac:dyDescent="0.3">
      <c r="A40" t="s">
        <v>148</v>
      </c>
      <c r="B40" t="str">
        <f t="shared" si="1"/>
        <v>GR</v>
      </c>
      <c r="C40" t="s">
        <v>36</v>
      </c>
      <c r="D40" s="2">
        <v>53.813400518098639</v>
      </c>
      <c r="E40" s="2">
        <v>52.928780261520259</v>
      </c>
      <c r="F40" s="2">
        <v>51.349658286457185</v>
      </c>
      <c r="G40" s="2">
        <v>52.440147738112699</v>
      </c>
      <c r="H40" s="7">
        <f>G40*VLOOKUP($B40,'EU Ref Scenario 2020'!$A$126:$AE$153,'Specified Annual Demand'!H$3,FALSE)</f>
        <v>54.117767774602207</v>
      </c>
      <c r="I40" s="7">
        <f>H40*VLOOKUP($B40,'EU Ref Scenario 2020'!$A$126:$AE$153,'Specified Annual Demand'!I$3,FALSE)</f>
        <v>55.795387811091715</v>
      </c>
      <c r="J40" s="7">
        <f>I40*VLOOKUP($B40,'EU Ref Scenario 2020'!$A$126:$AE$153,'Specified Annual Demand'!J$3,FALSE)</f>
        <v>57.473007847581222</v>
      </c>
      <c r="K40" s="7">
        <f>J40*VLOOKUP($B40,'EU Ref Scenario 2020'!$A$126:$AE$153,'Specified Annual Demand'!K$3,FALSE)</f>
        <v>59.150627884070751</v>
      </c>
      <c r="L40" s="7">
        <f>K40*VLOOKUP($B40,'EU Ref Scenario 2020'!$A$126:$AE$153,'Specified Annual Demand'!L$3,FALSE)</f>
        <v>58.771126637822</v>
      </c>
      <c r="M40" s="7">
        <f>L40*VLOOKUP($B40,'EU Ref Scenario 2020'!$A$126:$AE$153,'Specified Annual Demand'!M$3,FALSE)</f>
        <v>58.391625391573257</v>
      </c>
      <c r="N40" s="7">
        <f>M40*VLOOKUP($B40,'EU Ref Scenario 2020'!$A$126:$AE$153,'Specified Annual Demand'!N$3,FALSE)</f>
        <v>58.012124145324506</v>
      </c>
      <c r="O40" s="7">
        <f>N40*VLOOKUP($B40,'EU Ref Scenario 2020'!$A$126:$AE$153,'Specified Annual Demand'!O$3,FALSE)</f>
        <v>57.632622899075756</v>
      </c>
      <c r="P40" s="7">
        <f>O40*VLOOKUP($B40,'EU Ref Scenario 2020'!$A$126:$AE$153,'Specified Annual Demand'!P$3,FALSE)</f>
        <v>57.253121652826998</v>
      </c>
      <c r="Q40" s="7">
        <f>P40*VLOOKUP($B40,'EU Ref Scenario 2020'!$A$126:$AE$153,'Specified Annual Demand'!Q$3,FALSE)</f>
        <v>56.943070964611032</v>
      </c>
      <c r="R40" s="7">
        <f>Q40*VLOOKUP($B40,'EU Ref Scenario 2020'!$A$126:$AE$153,'Specified Annual Demand'!R$3,FALSE)</f>
        <v>56.633020276395072</v>
      </c>
      <c r="S40" s="7">
        <f>R40*VLOOKUP($B40,'EU Ref Scenario 2020'!$A$126:$AE$153,'Specified Annual Demand'!S$3,FALSE)</f>
        <v>56.322969588179113</v>
      </c>
      <c r="T40" s="7">
        <f>S40*VLOOKUP($B40,'EU Ref Scenario 2020'!$A$126:$AE$153,'Specified Annual Demand'!T$3,FALSE)</f>
        <v>56.012918899963154</v>
      </c>
      <c r="U40" s="7">
        <f>T40*VLOOKUP($B40,'EU Ref Scenario 2020'!$A$126:$AE$153,'Specified Annual Demand'!U$3,FALSE)</f>
        <v>55.702868211747209</v>
      </c>
      <c r="V40" s="7">
        <f>U40*VLOOKUP($B40,'EU Ref Scenario 2020'!$A$126:$AE$153,'Specified Annual Demand'!V$3,FALSE)</f>
        <v>55.601125003742823</v>
      </c>
      <c r="W40" s="7">
        <f>V40*VLOOKUP($B40,'EU Ref Scenario 2020'!$A$126:$AE$153,'Specified Annual Demand'!W$3,FALSE)</f>
        <v>55.499381795738437</v>
      </c>
      <c r="X40" s="7">
        <f>W40*VLOOKUP($B40,'EU Ref Scenario 2020'!$A$126:$AE$153,'Specified Annual Demand'!X$3,FALSE)</f>
        <v>55.397638587734058</v>
      </c>
      <c r="Y40" s="7">
        <f>X40*VLOOKUP($B40,'EU Ref Scenario 2020'!$A$126:$AE$153,'Specified Annual Demand'!Y$3,FALSE)</f>
        <v>55.295895379729672</v>
      </c>
      <c r="Z40" s="7">
        <f>Y40*VLOOKUP($B40,'EU Ref Scenario 2020'!$A$126:$AE$153,'Specified Annual Demand'!Z$3,FALSE)</f>
        <v>55.194152171725278</v>
      </c>
      <c r="AA40" s="7">
        <f>Z40*VLOOKUP($B40,'EU Ref Scenario 2020'!$A$126:$AE$153,'Specified Annual Demand'!AA$3,FALSE)</f>
        <v>55.310784284577686</v>
      </c>
      <c r="AB40" s="7">
        <f>AA40*VLOOKUP($B40,'EU Ref Scenario 2020'!$A$126:$AE$153,'Specified Annual Demand'!AB$3,FALSE)</f>
        <v>55.427416397430093</v>
      </c>
      <c r="AC40" s="7">
        <f>AB40*VLOOKUP($B40,'EU Ref Scenario 2020'!$A$126:$AE$153,'Specified Annual Demand'!AC$3,FALSE)</f>
        <v>55.544048510282494</v>
      </c>
      <c r="AD40" s="7">
        <f>AC40*VLOOKUP($B40,'EU Ref Scenario 2020'!$A$126:$AE$153,'Specified Annual Demand'!AD$3,FALSE)</f>
        <v>55.660680623134901</v>
      </c>
      <c r="AE40" s="7">
        <f>AD40*VLOOKUP($B40,'EU Ref Scenario 2020'!$A$126:$AE$153,'Specified Annual Demand'!AE$3,FALSE)</f>
        <v>55.777312735987316</v>
      </c>
      <c r="AF40" s="7">
        <f>AE40*VLOOKUP($B40,'EU Ref Scenario 2020'!$A$126:$AE$153,'Specified Annual Demand'!AF$3,FALSE)</f>
        <v>56.267921480007118</v>
      </c>
      <c r="AG40" s="7">
        <f>AF40*VLOOKUP($B40,'EU Ref Scenario 2020'!$A$126:$AE$153,'Specified Annual Demand'!AG$3,FALSE)</f>
        <v>56.758530224026927</v>
      </c>
      <c r="AH40" s="7">
        <f>AG40*VLOOKUP($B40,'EU Ref Scenario 2020'!$A$126:$AE$153,'Specified Annual Demand'!AH$3,FALSE)</f>
        <v>57.249138968046736</v>
      </c>
      <c r="AI40" s="7">
        <f>AH40*VLOOKUP($B40,'EU Ref Scenario 2020'!$A$126:$AE$153,'Specified Annual Demand'!AI$3,FALSE)</f>
        <v>57.739747712066539</v>
      </c>
      <c r="AJ40" s="7">
        <f>AI40*VLOOKUP($B40,'EU Ref Scenario 2020'!$A$126:$AE$153,'Specified Annual Demand'!AJ$3,FALSE)</f>
        <v>58.230356456086355</v>
      </c>
      <c r="AK40" s="8">
        <f t="shared" ref="AK40:AO40" si="36">AJ40</f>
        <v>58.230356456086355</v>
      </c>
      <c r="AL40" s="8">
        <f t="shared" si="36"/>
        <v>58.230356456086355</v>
      </c>
      <c r="AM40" s="8">
        <f t="shared" si="36"/>
        <v>58.230356456086355</v>
      </c>
      <c r="AN40" s="8">
        <f t="shared" si="36"/>
        <v>58.230356456086355</v>
      </c>
      <c r="AO40" s="8">
        <f t="shared" si="36"/>
        <v>58.230356456086355</v>
      </c>
    </row>
    <row r="41" spans="1:41" x14ac:dyDescent="0.3">
      <c r="A41" t="s">
        <v>145</v>
      </c>
      <c r="B41" t="str">
        <f t="shared" si="1"/>
        <v>ES</v>
      </c>
      <c r="C41" t="s">
        <v>37</v>
      </c>
      <c r="D41" s="2">
        <v>382.43287151618154</v>
      </c>
      <c r="E41" s="2">
        <v>375.30085264614161</v>
      </c>
      <c r="F41" s="2">
        <v>379.65573388339334</v>
      </c>
      <c r="G41" s="2">
        <v>397.89938080783799</v>
      </c>
      <c r="H41" s="7">
        <f>G41*VLOOKUP($B41,'EU Ref Scenario 2020'!$A$126:$AE$153,'Specified Annual Demand'!H$3,FALSE)</f>
        <v>396.34198644151513</v>
      </c>
      <c r="I41" s="7">
        <f>H41*VLOOKUP($B41,'EU Ref Scenario 2020'!$A$126:$AE$153,'Specified Annual Demand'!I$3,FALSE)</f>
        <v>394.78459207519228</v>
      </c>
      <c r="J41" s="7">
        <f>I41*VLOOKUP($B41,'EU Ref Scenario 2020'!$A$126:$AE$153,'Specified Annual Demand'!J$3,FALSE)</f>
        <v>393.22719770886943</v>
      </c>
      <c r="K41" s="7">
        <f>J41*VLOOKUP($B41,'EU Ref Scenario 2020'!$A$126:$AE$153,'Specified Annual Demand'!K$3,FALSE)</f>
        <v>391.66980334254652</v>
      </c>
      <c r="L41" s="7">
        <f>K41*VLOOKUP($B41,'EU Ref Scenario 2020'!$A$126:$AE$153,'Specified Annual Demand'!L$3,FALSE)</f>
        <v>388.89941505660732</v>
      </c>
      <c r="M41" s="7">
        <f>L41*VLOOKUP($B41,'EU Ref Scenario 2020'!$A$126:$AE$153,'Specified Annual Demand'!M$3,FALSE)</f>
        <v>386.12902677066813</v>
      </c>
      <c r="N41" s="7">
        <f>M41*VLOOKUP($B41,'EU Ref Scenario 2020'!$A$126:$AE$153,'Specified Annual Demand'!N$3,FALSE)</f>
        <v>383.358638484729</v>
      </c>
      <c r="O41" s="7">
        <f>N41*VLOOKUP($B41,'EU Ref Scenario 2020'!$A$126:$AE$153,'Specified Annual Demand'!O$3,FALSE)</f>
        <v>380.58825019878981</v>
      </c>
      <c r="P41" s="7">
        <f>O41*VLOOKUP($B41,'EU Ref Scenario 2020'!$A$126:$AE$153,'Specified Annual Demand'!P$3,FALSE)</f>
        <v>377.81786191285062</v>
      </c>
      <c r="Q41" s="7">
        <f>P41*VLOOKUP($B41,'EU Ref Scenario 2020'!$A$126:$AE$153,'Specified Annual Demand'!Q$3,FALSE)</f>
        <v>378.11412146459247</v>
      </c>
      <c r="R41" s="7">
        <f>Q41*VLOOKUP($B41,'EU Ref Scenario 2020'!$A$126:$AE$153,'Specified Annual Demand'!R$3,FALSE)</f>
        <v>378.41038101633427</v>
      </c>
      <c r="S41" s="7">
        <f>R41*VLOOKUP($B41,'EU Ref Scenario 2020'!$A$126:$AE$153,'Specified Annual Demand'!S$3,FALSE)</f>
        <v>378.70664056807607</v>
      </c>
      <c r="T41" s="7">
        <f>S41*VLOOKUP($B41,'EU Ref Scenario 2020'!$A$126:$AE$153,'Specified Annual Demand'!T$3,FALSE)</f>
        <v>379.00290011981792</v>
      </c>
      <c r="U41" s="7">
        <f>T41*VLOOKUP($B41,'EU Ref Scenario 2020'!$A$126:$AE$153,'Specified Annual Demand'!U$3,FALSE)</f>
        <v>379.29915967155983</v>
      </c>
      <c r="V41" s="7">
        <f>U41*VLOOKUP($B41,'EU Ref Scenario 2020'!$A$126:$AE$153,'Specified Annual Demand'!V$3,FALSE)</f>
        <v>378.28741409456723</v>
      </c>
      <c r="W41" s="7">
        <f>V41*VLOOKUP($B41,'EU Ref Scenario 2020'!$A$126:$AE$153,'Specified Annual Demand'!W$3,FALSE)</f>
        <v>377.27566851757462</v>
      </c>
      <c r="X41" s="7">
        <f>W41*VLOOKUP($B41,'EU Ref Scenario 2020'!$A$126:$AE$153,'Specified Annual Demand'!X$3,FALSE)</f>
        <v>376.26392294058201</v>
      </c>
      <c r="Y41" s="7">
        <f>X41*VLOOKUP($B41,'EU Ref Scenario 2020'!$A$126:$AE$153,'Specified Annual Demand'!Y$3,FALSE)</f>
        <v>375.2521773635894</v>
      </c>
      <c r="Z41" s="7">
        <f>Y41*VLOOKUP($B41,'EU Ref Scenario 2020'!$A$126:$AE$153,'Specified Annual Demand'!Z$3,FALSE)</f>
        <v>374.2404317865969</v>
      </c>
      <c r="AA41" s="7">
        <f>Z41*VLOOKUP($B41,'EU Ref Scenario 2020'!$A$126:$AE$153,'Specified Annual Demand'!AA$3,FALSE)</f>
        <v>372.36964181373634</v>
      </c>
      <c r="AB41" s="7">
        <f>AA41*VLOOKUP($B41,'EU Ref Scenario 2020'!$A$126:$AE$153,'Specified Annual Demand'!AB$3,FALSE)</f>
        <v>370.49885184087577</v>
      </c>
      <c r="AC41" s="7">
        <f>AB41*VLOOKUP($B41,'EU Ref Scenario 2020'!$A$126:$AE$153,'Specified Annual Demand'!AC$3,FALSE)</f>
        <v>368.62806186801521</v>
      </c>
      <c r="AD41" s="7">
        <f>AC41*VLOOKUP($B41,'EU Ref Scenario 2020'!$A$126:$AE$153,'Specified Annual Demand'!AD$3,FALSE)</f>
        <v>366.75727189515464</v>
      </c>
      <c r="AE41" s="7">
        <f>AD41*VLOOKUP($B41,'EU Ref Scenario 2020'!$A$126:$AE$153,'Specified Annual Demand'!AE$3,FALSE)</f>
        <v>364.88648192229419</v>
      </c>
      <c r="AF41" s="7">
        <f>AE41*VLOOKUP($B41,'EU Ref Scenario 2020'!$A$126:$AE$153,'Specified Annual Demand'!AF$3,FALSE)</f>
        <v>363.01338849931864</v>
      </c>
      <c r="AG41" s="7">
        <f>AF41*VLOOKUP($B41,'EU Ref Scenario 2020'!$A$126:$AE$153,'Specified Annual Demand'!AG$3,FALSE)</f>
        <v>361.14029507634308</v>
      </c>
      <c r="AH41" s="7">
        <f>AG41*VLOOKUP($B41,'EU Ref Scenario 2020'!$A$126:$AE$153,'Specified Annual Demand'!AH$3,FALSE)</f>
        <v>359.26720165336752</v>
      </c>
      <c r="AI41" s="7">
        <f>AH41*VLOOKUP($B41,'EU Ref Scenario 2020'!$A$126:$AE$153,'Specified Annual Demand'!AI$3,FALSE)</f>
        <v>357.39410823039196</v>
      </c>
      <c r="AJ41" s="7">
        <f>AI41*VLOOKUP($B41,'EU Ref Scenario 2020'!$A$126:$AE$153,'Specified Annual Demand'!AJ$3,FALSE)</f>
        <v>355.52101480741652</v>
      </c>
      <c r="AK41" s="8">
        <f t="shared" ref="AK41:AO41" si="37">AJ41</f>
        <v>355.52101480741652</v>
      </c>
      <c r="AL41" s="8">
        <f t="shared" si="37"/>
        <v>355.52101480741652</v>
      </c>
      <c r="AM41" s="8">
        <f t="shared" si="37"/>
        <v>355.52101480741652</v>
      </c>
      <c r="AN41" s="8">
        <f t="shared" si="37"/>
        <v>355.52101480741652</v>
      </c>
      <c r="AO41" s="8">
        <f t="shared" si="37"/>
        <v>355.52101480741652</v>
      </c>
    </row>
    <row r="42" spans="1:41" x14ac:dyDescent="0.3">
      <c r="A42" t="s">
        <v>146</v>
      </c>
      <c r="B42" t="str">
        <f t="shared" si="1"/>
        <v>ES</v>
      </c>
      <c r="C42" t="s">
        <v>38</v>
      </c>
      <c r="D42" s="2">
        <v>119.11866305101795</v>
      </c>
      <c r="E42" s="2">
        <v>125.32967391019822</v>
      </c>
      <c r="F42" s="2">
        <v>139.41147448576388</v>
      </c>
      <c r="G42" s="2">
        <v>125.90328640146893</v>
      </c>
      <c r="H42" s="7">
        <f>G42*VLOOKUP($B42,'EU Ref Scenario 2020'!$A$126:$AE$153,'Specified Annual Demand'!H$3,FALSE)</f>
        <v>125.41049581570556</v>
      </c>
      <c r="I42" s="7">
        <f>H42*VLOOKUP($B42,'EU Ref Scenario 2020'!$A$126:$AE$153,'Specified Annual Demand'!I$3,FALSE)</f>
        <v>124.91770522994219</v>
      </c>
      <c r="J42" s="7">
        <f>I42*VLOOKUP($B42,'EU Ref Scenario 2020'!$A$126:$AE$153,'Specified Annual Demand'!J$3,FALSE)</f>
        <v>124.42491464417881</v>
      </c>
      <c r="K42" s="7">
        <f>J42*VLOOKUP($B42,'EU Ref Scenario 2020'!$A$126:$AE$153,'Specified Annual Demand'!K$3,FALSE)</f>
        <v>123.93212405841541</v>
      </c>
      <c r="L42" s="7">
        <f>K42*VLOOKUP($B42,'EU Ref Scenario 2020'!$A$126:$AE$153,'Specified Annual Demand'!L$3,FALSE)</f>
        <v>123.05551804535824</v>
      </c>
      <c r="M42" s="7">
        <f>L42*VLOOKUP($B42,'EU Ref Scenario 2020'!$A$126:$AE$153,'Specified Annual Demand'!M$3,FALSE)</f>
        <v>122.17891203230107</v>
      </c>
      <c r="N42" s="7">
        <f>M42*VLOOKUP($B42,'EU Ref Scenario 2020'!$A$126:$AE$153,'Specified Annual Demand'!N$3,FALSE)</f>
        <v>121.30230601924391</v>
      </c>
      <c r="O42" s="7">
        <f>N42*VLOOKUP($B42,'EU Ref Scenario 2020'!$A$126:$AE$153,'Specified Annual Demand'!O$3,FALSE)</f>
        <v>120.42570000618674</v>
      </c>
      <c r="P42" s="7">
        <f>O42*VLOOKUP($B42,'EU Ref Scenario 2020'!$A$126:$AE$153,'Specified Annual Demand'!P$3,FALSE)</f>
        <v>119.54909399312957</v>
      </c>
      <c r="Q42" s="7">
        <f>P42*VLOOKUP($B42,'EU Ref Scenario 2020'!$A$126:$AE$153,'Specified Annual Demand'!Q$3,FALSE)</f>
        <v>119.64283641393052</v>
      </c>
      <c r="R42" s="7">
        <f>Q42*VLOOKUP($B42,'EU Ref Scenario 2020'!$A$126:$AE$153,'Specified Annual Demand'!R$3,FALSE)</f>
        <v>119.73657883473146</v>
      </c>
      <c r="S42" s="7">
        <f>R42*VLOOKUP($B42,'EU Ref Scenario 2020'!$A$126:$AE$153,'Specified Annual Demand'!S$3,FALSE)</f>
        <v>119.8303212555324</v>
      </c>
      <c r="T42" s="7">
        <f>S42*VLOOKUP($B42,'EU Ref Scenario 2020'!$A$126:$AE$153,'Specified Annual Demand'!T$3,FALSE)</f>
        <v>119.92406367633333</v>
      </c>
      <c r="U42" s="7">
        <f>T42*VLOOKUP($B42,'EU Ref Scenario 2020'!$A$126:$AE$153,'Specified Annual Demand'!U$3,FALSE)</f>
        <v>120.0178060971343</v>
      </c>
      <c r="V42" s="7">
        <f>U42*VLOOKUP($B42,'EU Ref Scenario 2020'!$A$126:$AE$153,'Specified Annual Demand'!V$3,FALSE)</f>
        <v>119.69766965237054</v>
      </c>
      <c r="W42" s="7">
        <f>V42*VLOOKUP($B42,'EU Ref Scenario 2020'!$A$126:$AE$153,'Specified Annual Demand'!W$3,FALSE)</f>
        <v>119.37753320760677</v>
      </c>
      <c r="X42" s="7">
        <f>W42*VLOOKUP($B42,'EU Ref Scenario 2020'!$A$126:$AE$153,'Specified Annual Demand'!X$3,FALSE)</f>
        <v>119.05739676284301</v>
      </c>
      <c r="Y42" s="7">
        <f>X42*VLOOKUP($B42,'EU Ref Scenario 2020'!$A$126:$AE$153,'Specified Annual Demand'!Y$3,FALSE)</f>
        <v>118.73726031807925</v>
      </c>
      <c r="Z42" s="7">
        <f>Y42*VLOOKUP($B42,'EU Ref Scenario 2020'!$A$126:$AE$153,'Specified Annual Demand'!Z$3,FALSE)</f>
        <v>118.41712387331553</v>
      </c>
      <c r="AA42" s="7">
        <f>Z42*VLOOKUP($B42,'EU Ref Scenario 2020'!$A$126:$AE$153,'Specified Annual Demand'!AA$3,FALSE)</f>
        <v>117.82516867782904</v>
      </c>
      <c r="AB42" s="7">
        <f>AA42*VLOOKUP($B42,'EU Ref Scenario 2020'!$A$126:$AE$153,'Specified Annual Demand'!AB$3,FALSE)</f>
        <v>117.23321348234255</v>
      </c>
      <c r="AC42" s="7">
        <f>AB42*VLOOKUP($B42,'EU Ref Scenario 2020'!$A$126:$AE$153,'Specified Annual Demand'!AC$3,FALSE)</f>
        <v>116.64125828685606</v>
      </c>
      <c r="AD42" s="7">
        <f>AC42*VLOOKUP($B42,'EU Ref Scenario 2020'!$A$126:$AE$153,'Specified Annual Demand'!AD$3,FALSE)</f>
        <v>116.04930309136957</v>
      </c>
      <c r="AE42" s="7">
        <f>AD42*VLOOKUP($B42,'EU Ref Scenario 2020'!$A$126:$AE$153,'Specified Annual Demand'!AE$3,FALSE)</f>
        <v>115.45734789588312</v>
      </c>
      <c r="AF42" s="7">
        <f>AE42*VLOOKUP($B42,'EU Ref Scenario 2020'!$A$126:$AE$153,'Specified Annual Demand'!AF$3,FALSE)</f>
        <v>114.86466384291775</v>
      </c>
      <c r="AG42" s="7">
        <f>AF42*VLOOKUP($B42,'EU Ref Scenario 2020'!$A$126:$AE$153,'Specified Annual Demand'!AG$3,FALSE)</f>
        <v>114.27197978995237</v>
      </c>
      <c r="AH42" s="7">
        <f>AG42*VLOOKUP($B42,'EU Ref Scenario 2020'!$A$126:$AE$153,'Specified Annual Demand'!AH$3,FALSE)</f>
        <v>113.679295736987</v>
      </c>
      <c r="AI42" s="7">
        <f>AH42*VLOOKUP($B42,'EU Ref Scenario 2020'!$A$126:$AE$153,'Specified Annual Demand'!AI$3,FALSE)</f>
        <v>113.08661168402163</v>
      </c>
      <c r="AJ42" s="7">
        <f>AI42*VLOOKUP($B42,'EU Ref Scenario 2020'!$A$126:$AE$153,'Specified Annual Demand'!AJ$3,FALSE)</f>
        <v>112.49392763105629</v>
      </c>
      <c r="AK42" s="8">
        <f t="shared" ref="AK42:AO42" si="38">AJ42</f>
        <v>112.49392763105629</v>
      </c>
      <c r="AL42" s="8">
        <f t="shared" si="38"/>
        <v>112.49392763105629</v>
      </c>
      <c r="AM42" s="8">
        <f t="shared" si="38"/>
        <v>112.49392763105629</v>
      </c>
      <c r="AN42" s="8">
        <f t="shared" si="38"/>
        <v>112.49392763105629</v>
      </c>
      <c r="AO42" s="8">
        <f t="shared" si="38"/>
        <v>112.49392763105629</v>
      </c>
    </row>
    <row r="43" spans="1:41" x14ac:dyDescent="0.3">
      <c r="A43" t="s">
        <v>147</v>
      </c>
      <c r="B43" t="str">
        <f t="shared" si="1"/>
        <v>ES</v>
      </c>
      <c r="C43" t="s">
        <v>39</v>
      </c>
      <c r="D43" s="2">
        <v>75.709981956788027</v>
      </c>
      <c r="E43" s="2">
        <v>75.635353768418227</v>
      </c>
      <c r="F43" s="2">
        <v>68.154213535387115</v>
      </c>
      <c r="G43" s="2">
        <v>77.204564288335618</v>
      </c>
      <c r="H43" s="7">
        <f>G43*VLOOKUP($B43,'EU Ref Scenario 2020'!$A$126:$AE$153,'Specified Annual Demand'!H$3,FALSE)</f>
        <v>76.902382482390237</v>
      </c>
      <c r="I43" s="7">
        <f>H43*VLOOKUP($B43,'EU Ref Scenario 2020'!$A$126:$AE$153,'Specified Annual Demand'!I$3,FALSE)</f>
        <v>76.600200676444857</v>
      </c>
      <c r="J43" s="7">
        <f>I43*VLOOKUP($B43,'EU Ref Scenario 2020'!$A$126:$AE$153,'Specified Annual Demand'!J$3,FALSE)</f>
        <v>76.298018870499476</v>
      </c>
      <c r="K43" s="7">
        <f>J43*VLOOKUP($B43,'EU Ref Scenario 2020'!$A$126:$AE$153,'Specified Annual Demand'!K$3,FALSE)</f>
        <v>75.995837064554067</v>
      </c>
      <c r="L43" s="7">
        <f>K43*VLOOKUP($B43,'EU Ref Scenario 2020'!$A$126:$AE$153,'Specified Annual Demand'!L$3,FALSE)</f>
        <v>75.45829759894545</v>
      </c>
      <c r="M43" s="7">
        <f>L43*VLOOKUP($B43,'EU Ref Scenario 2020'!$A$126:$AE$153,'Specified Annual Demand'!M$3,FALSE)</f>
        <v>74.920758133336832</v>
      </c>
      <c r="N43" s="7">
        <f>M43*VLOOKUP($B43,'EU Ref Scenario 2020'!$A$126:$AE$153,'Specified Annual Demand'!N$3,FALSE)</f>
        <v>74.383218667728229</v>
      </c>
      <c r="O43" s="7">
        <f>N43*VLOOKUP($B43,'EU Ref Scenario 2020'!$A$126:$AE$153,'Specified Annual Demand'!O$3,FALSE)</f>
        <v>73.845679202119612</v>
      </c>
      <c r="P43" s="7">
        <f>O43*VLOOKUP($B43,'EU Ref Scenario 2020'!$A$126:$AE$153,'Specified Annual Demand'!P$3,FALSE)</f>
        <v>73.308139736510995</v>
      </c>
      <c r="Q43" s="7">
        <f>P43*VLOOKUP($B43,'EU Ref Scenario 2020'!$A$126:$AE$153,'Specified Annual Demand'!Q$3,FALSE)</f>
        <v>73.365623087105931</v>
      </c>
      <c r="R43" s="7">
        <f>Q43*VLOOKUP($B43,'EU Ref Scenario 2020'!$A$126:$AE$153,'Specified Annual Demand'!R$3,FALSE)</f>
        <v>73.423106437700866</v>
      </c>
      <c r="S43" s="7">
        <f>R43*VLOOKUP($B43,'EU Ref Scenario 2020'!$A$126:$AE$153,'Specified Annual Demand'!S$3,FALSE)</f>
        <v>73.480589788295802</v>
      </c>
      <c r="T43" s="7">
        <f>S43*VLOOKUP($B43,'EU Ref Scenario 2020'!$A$126:$AE$153,'Specified Annual Demand'!T$3,FALSE)</f>
        <v>73.538073138890738</v>
      </c>
      <c r="U43" s="7">
        <f>T43*VLOOKUP($B43,'EU Ref Scenario 2020'!$A$126:$AE$153,'Specified Annual Demand'!U$3,FALSE)</f>
        <v>73.595556489485688</v>
      </c>
      <c r="V43" s="7">
        <f>U43*VLOOKUP($B43,'EU Ref Scenario 2020'!$A$126:$AE$153,'Specified Annual Demand'!V$3,FALSE)</f>
        <v>73.39924712030853</v>
      </c>
      <c r="W43" s="7">
        <f>V43*VLOOKUP($B43,'EU Ref Scenario 2020'!$A$126:$AE$153,'Specified Annual Demand'!W$3,FALSE)</f>
        <v>73.202937751131373</v>
      </c>
      <c r="X43" s="7">
        <f>W43*VLOOKUP($B43,'EU Ref Scenario 2020'!$A$126:$AE$153,'Specified Annual Demand'!X$3,FALSE)</f>
        <v>73.006628381954215</v>
      </c>
      <c r="Y43" s="7">
        <f>X43*VLOOKUP($B43,'EU Ref Scenario 2020'!$A$126:$AE$153,'Specified Annual Demand'!Y$3,FALSE)</f>
        <v>72.810319012777057</v>
      </c>
      <c r="Z43" s="7">
        <f>Y43*VLOOKUP($B43,'EU Ref Scenario 2020'!$A$126:$AE$153,'Specified Annual Demand'!Z$3,FALSE)</f>
        <v>72.614009643599928</v>
      </c>
      <c r="AA43" s="7">
        <f>Z43*VLOOKUP($B43,'EU Ref Scenario 2020'!$A$126:$AE$153,'Specified Annual Demand'!AA$3,FALSE)</f>
        <v>72.251019571998285</v>
      </c>
      <c r="AB43" s="7">
        <f>AA43*VLOOKUP($B43,'EU Ref Scenario 2020'!$A$126:$AE$153,'Specified Annual Demand'!AB$3,FALSE)</f>
        <v>71.888029500396641</v>
      </c>
      <c r="AC43" s="7">
        <f>AB43*VLOOKUP($B43,'EU Ref Scenario 2020'!$A$126:$AE$153,'Specified Annual Demand'!AC$3,FALSE)</f>
        <v>71.525039428794997</v>
      </c>
      <c r="AD43" s="7">
        <f>AC43*VLOOKUP($B43,'EU Ref Scenario 2020'!$A$126:$AE$153,'Specified Annual Demand'!AD$3,FALSE)</f>
        <v>71.162049357193354</v>
      </c>
      <c r="AE43" s="7">
        <f>AD43*VLOOKUP($B43,'EU Ref Scenario 2020'!$A$126:$AE$153,'Specified Annual Demand'!AE$3,FALSE)</f>
        <v>70.799059285591738</v>
      </c>
      <c r="AF43" s="7">
        <f>AE43*VLOOKUP($B43,'EU Ref Scenario 2020'!$A$126:$AE$153,'Specified Annual Demand'!AF$3,FALSE)</f>
        <v>70.435622274710809</v>
      </c>
      <c r="AG43" s="7">
        <f>AF43*VLOOKUP($B43,'EU Ref Scenario 2020'!$A$126:$AE$153,'Specified Annual Demand'!AG$3,FALSE)</f>
        <v>70.072185263829866</v>
      </c>
      <c r="AH43" s="7">
        <f>AG43*VLOOKUP($B43,'EU Ref Scenario 2020'!$A$126:$AE$153,'Specified Annual Demand'!AH$3,FALSE)</f>
        <v>69.708748252948936</v>
      </c>
      <c r="AI43" s="7">
        <f>AH43*VLOOKUP($B43,'EU Ref Scenario 2020'!$A$126:$AE$153,'Specified Annual Demand'!AI$3,FALSE)</f>
        <v>69.345311242068007</v>
      </c>
      <c r="AJ43" s="7">
        <f>AI43*VLOOKUP($B43,'EU Ref Scenario 2020'!$A$126:$AE$153,'Specified Annual Demand'!AJ$3,FALSE)</f>
        <v>68.981874231187092</v>
      </c>
      <c r="AK43" s="8">
        <f t="shared" ref="AK43:AO43" si="39">AJ43</f>
        <v>68.981874231187092</v>
      </c>
      <c r="AL43" s="8">
        <f t="shared" si="39"/>
        <v>68.981874231187092</v>
      </c>
      <c r="AM43" s="8">
        <f t="shared" si="39"/>
        <v>68.981874231187092</v>
      </c>
      <c r="AN43" s="8">
        <f t="shared" si="39"/>
        <v>68.981874231187092</v>
      </c>
      <c r="AO43" s="8">
        <f t="shared" si="39"/>
        <v>68.981874231187092</v>
      </c>
    </row>
    <row r="44" spans="1:41" x14ac:dyDescent="0.3">
      <c r="A44" t="s">
        <v>148</v>
      </c>
      <c r="B44" t="str">
        <f t="shared" si="1"/>
        <v>ES</v>
      </c>
      <c r="C44" t="s">
        <v>40</v>
      </c>
      <c r="D44" s="2">
        <v>359.46620479136863</v>
      </c>
      <c r="E44" s="2">
        <v>354.24456636897952</v>
      </c>
      <c r="F44" s="2">
        <v>341.11312591335832</v>
      </c>
      <c r="G44" s="2">
        <v>343.16343194351589</v>
      </c>
      <c r="H44" s="7">
        <f>G44*VLOOKUP($B44,'EU Ref Scenario 2020'!$A$126:$AE$153,'Specified Annual Demand'!H$3,FALSE)</f>
        <v>341.82027630815958</v>
      </c>
      <c r="I44" s="7">
        <f>H44*VLOOKUP($B44,'EU Ref Scenario 2020'!$A$126:$AE$153,'Specified Annual Demand'!I$3,FALSE)</f>
        <v>340.47712067280327</v>
      </c>
      <c r="J44" s="7">
        <f>I44*VLOOKUP($B44,'EU Ref Scenario 2020'!$A$126:$AE$153,'Specified Annual Demand'!J$3,FALSE)</f>
        <v>339.13396503744696</v>
      </c>
      <c r="K44" s="7">
        <f>J44*VLOOKUP($B44,'EU Ref Scenario 2020'!$A$126:$AE$153,'Specified Annual Demand'!K$3,FALSE)</f>
        <v>337.79080940209053</v>
      </c>
      <c r="L44" s="7">
        <f>K44*VLOOKUP($B44,'EU Ref Scenario 2020'!$A$126:$AE$153,'Specified Annual Demand'!L$3,FALSE)</f>
        <v>335.4015220649531</v>
      </c>
      <c r="M44" s="7">
        <f>L44*VLOOKUP($B44,'EU Ref Scenario 2020'!$A$126:$AE$153,'Specified Annual Demand'!M$3,FALSE)</f>
        <v>333.01223472781567</v>
      </c>
      <c r="N44" s="7">
        <f>M44*VLOOKUP($B44,'EU Ref Scenario 2020'!$A$126:$AE$153,'Specified Annual Demand'!N$3,FALSE)</f>
        <v>330.62294739067823</v>
      </c>
      <c r="O44" s="7">
        <f>N44*VLOOKUP($B44,'EU Ref Scenario 2020'!$A$126:$AE$153,'Specified Annual Demand'!O$3,FALSE)</f>
        <v>328.2336600535408</v>
      </c>
      <c r="P44" s="7">
        <f>O44*VLOOKUP($B44,'EU Ref Scenario 2020'!$A$126:$AE$153,'Specified Annual Demand'!P$3,FALSE)</f>
        <v>325.84437271640331</v>
      </c>
      <c r="Q44" s="7">
        <f>P44*VLOOKUP($B44,'EU Ref Scenario 2020'!$A$126:$AE$153,'Specified Annual Demand'!Q$3,FALSE)</f>
        <v>326.09987812662882</v>
      </c>
      <c r="R44" s="7">
        <f>Q44*VLOOKUP($B44,'EU Ref Scenario 2020'!$A$126:$AE$153,'Specified Annual Demand'!R$3,FALSE)</f>
        <v>326.35538353685428</v>
      </c>
      <c r="S44" s="7">
        <f>R44*VLOOKUP($B44,'EU Ref Scenario 2020'!$A$126:$AE$153,'Specified Annual Demand'!S$3,FALSE)</f>
        <v>326.61088894707973</v>
      </c>
      <c r="T44" s="7">
        <f>S44*VLOOKUP($B44,'EU Ref Scenario 2020'!$A$126:$AE$153,'Specified Annual Demand'!T$3,FALSE)</f>
        <v>326.86639435730524</v>
      </c>
      <c r="U44" s="7">
        <f>T44*VLOOKUP($B44,'EU Ref Scenario 2020'!$A$126:$AE$153,'Specified Annual Demand'!U$3,FALSE)</f>
        <v>327.12189976753075</v>
      </c>
      <c r="V44" s="7">
        <f>U44*VLOOKUP($B44,'EU Ref Scenario 2020'!$A$126:$AE$153,'Specified Annual Demand'!V$3,FALSE)</f>
        <v>326.24933222608456</v>
      </c>
      <c r="W44" s="7">
        <f>V44*VLOOKUP($B44,'EU Ref Scenario 2020'!$A$126:$AE$153,'Specified Annual Demand'!W$3,FALSE)</f>
        <v>325.37676468463837</v>
      </c>
      <c r="X44" s="7">
        <f>W44*VLOOKUP($B44,'EU Ref Scenario 2020'!$A$126:$AE$153,'Specified Annual Demand'!X$3,FALSE)</f>
        <v>324.50419714319219</v>
      </c>
      <c r="Y44" s="7">
        <f>X44*VLOOKUP($B44,'EU Ref Scenario 2020'!$A$126:$AE$153,'Specified Annual Demand'!Y$3,FALSE)</f>
        <v>323.631629601746</v>
      </c>
      <c r="Z44" s="7">
        <f>Y44*VLOOKUP($B44,'EU Ref Scenario 2020'!$A$126:$AE$153,'Specified Annual Demand'!Z$3,FALSE)</f>
        <v>322.75906206029993</v>
      </c>
      <c r="AA44" s="7">
        <f>Z44*VLOOKUP($B44,'EU Ref Scenario 2020'!$A$126:$AE$153,'Specified Annual Demand'!AA$3,FALSE)</f>
        <v>321.14562223481204</v>
      </c>
      <c r="AB44" s="7">
        <f>AA44*VLOOKUP($B44,'EU Ref Scenario 2020'!$A$126:$AE$153,'Specified Annual Demand'!AB$3,FALSE)</f>
        <v>319.53218240932415</v>
      </c>
      <c r="AC44" s="7">
        <f>AB44*VLOOKUP($B44,'EU Ref Scenario 2020'!$A$126:$AE$153,'Specified Annual Demand'!AC$3,FALSE)</f>
        <v>317.91874258383626</v>
      </c>
      <c r="AD44" s="7">
        <f>AC44*VLOOKUP($B44,'EU Ref Scenario 2020'!$A$126:$AE$153,'Specified Annual Demand'!AD$3,FALSE)</f>
        <v>316.30530275834832</v>
      </c>
      <c r="AE44" s="7">
        <f>AD44*VLOOKUP($B44,'EU Ref Scenario 2020'!$A$126:$AE$153,'Specified Annual Demand'!AE$3,FALSE)</f>
        <v>314.69186293286054</v>
      </c>
      <c r="AF44" s="7">
        <f>AE44*VLOOKUP($B44,'EU Ref Scenario 2020'!$A$126:$AE$153,'Specified Annual Demand'!AF$3,FALSE)</f>
        <v>313.07643652512371</v>
      </c>
      <c r="AG44" s="7">
        <f>AF44*VLOOKUP($B44,'EU Ref Scenario 2020'!$A$126:$AE$153,'Specified Annual Demand'!AG$3,FALSE)</f>
        <v>311.46101011738682</v>
      </c>
      <c r="AH44" s="7">
        <f>AG44*VLOOKUP($B44,'EU Ref Scenario 2020'!$A$126:$AE$153,'Specified Annual Demand'!AH$3,FALSE)</f>
        <v>309.84558370964999</v>
      </c>
      <c r="AI44" s="7">
        <f>AH44*VLOOKUP($B44,'EU Ref Scenario 2020'!$A$126:$AE$153,'Specified Annual Demand'!AI$3,FALSE)</f>
        <v>308.23015730191315</v>
      </c>
      <c r="AJ44" s="7">
        <f>AI44*VLOOKUP($B44,'EU Ref Scenario 2020'!$A$126:$AE$153,'Specified Annual Demand'!AJ$3,FALSE)</f>
        <v>306.61473089417638</v>
      </c>
      <c r="AK44" s="8">
        <f t="shared" ref="AK44:AO44" si="40">AJ44</f>
        <v>306.61473089417638</v>
      </c>
      <c r="AL44" s="8">
        <f t="shared" si="40"/>
        <v>306.61473089417638</v>
      </c>
      <c r="AM44" s="8">
        <f t="shared" si="40"/>
        <v>306.61473089417638</v>
      </c>
      <c r="AN44" s="8">
        <f t="shared" si="40"/>
        <v>306.61473089417638</v>
      </c>
      <c r="AO44" s="8">
        <f t="shared" si="40"/>
        <v>306.61473089417638</v>
      </c>
    </row>
    <row r="45" spans="1:41" x14ac:dyDescent="0.3">
      <c r="A45" t="s">
        <v>145</v>
      </c>
      <c r="B45" t="str">
        <f t="shared" si="1"/>
        <v>FI</v>
      </c>
      <c r="C45" t="s">
        <v>41</v>
      </c>
      <c r="D45" s="2">
        <v>251.4479029130294</v>
      </c>
      <c r="E45" s="2">
        <v>249.42414923955818</v>
      </c>
      <c r="F45" s="2">
        <v>233.26954574626012</v>
      </c>
      <c r="G45" s="2">
        <v>268.8223607394811</v>
      </c>
      <c r="H45" s="7">
        <f>G45*VLOOKUP($B45,'EU Ref Scenario 2020'!$A$126:$AE$153,'Specified Annual Demand'!H$3,FALSE)</f>
        <v>271.582258532786</v>
      </c>
      <c r="I45" s="7">
        <f>H45*VLOOKUP($B45,'EU Ref Scenario 2020'!$A$126:$AE$153,'Specified Annual Demand'!I$3,FALSE)</f>
        <v>274.3421563260909</v>
      </c>
      <c r="J45" s="7">
        <f>I45*VLOOKUP($B45,'EU Ref Scenario 2020'!$A$126:$AE$153,'Specified Annual Demand'!J$3,FALSE)</f>
        <v>277.1020541193958</v>
      </c>
      <c r="K45" s="7">
        <f>J45*VLOOKUP($B45,'EU Ref Scenario 2020'!$A$126:$AE$153,'Specified Annual Demand'!K$3,FALSE)</f>
        <v>279.86195191270059</v>
      </c>
      <c r="L45" s="7">
        <f>K45*VLOOKUP($B45,'EU Ref Scenario 2020'!$A$126:$AE$153,'Specified Annual Demand'!L$3,FALSE)</f>
        <v>280.69308957251957</v>
      </c>
      <c r="M45" s="7">
        <f>L45*VLOOKUP($B45,'EU Ref Scenario 2020'!$A$126:$AE$153,'Specified Annual Demand'!M$3,FALSE)</f>
        <v>281.52422723233849</v>
      </c>
      <c r="N45" s="7">
        <f>M45*VLOOKUP($B45,'EU Ref Scenario 2020'!$A$126:$AE$153,'Specified Annual Demand'!N$3,FALSE)</f>
        <v>282.35536489215741</v>
      </c>
      <c r="O45" s="7">
        <f>N45*VLOOKUP($B45,'EU Ref Scenario 2020'!$A$126:$AE$153,'Specified Annual Demand'!O$3,FALSE)</f>
        <v>283.18650255197633</v>
      </c>
      <c r="P45" s="7">
        <f>O45*VLOOKUP($B45,'EU Ref Scenario 2020'!$A$126:$AE$153,'Specified Annual Demand'!P$3,FALSE)</f>
        <v>284.0176402117952</v>
      </c>
      <c r="Q45" s="7">
        <f>P45*VLOOKUP($B45,'EU Ref Scenario 2020'!$A$126:$AE$153,'Specified Annual Demand'!Q$3,FALSE)</f>
        <v>283.4355777718601</v>
      </c>
      <c r="R45" s="7">
        <f>Q45*VLOOKUP($B45,'EU Ref Scenario 2020'!$A$126:$AE$153,'Specified Annual Demand'!R$3,FALSE)</f>
        <v>282.85351533192494</v>
      </c>
      <c r="S45" s="7">
        <f>R45*VLOOKUP($B45,'EU Ref Scenario 2020'!$A$126:$AE$153,'Specified Annual Demand'!S$3,FALSE)</f>
        <v>282.27145289198984</v>
      </c>
      <c r="T45" s="7">
        <f>S45*VLOOKUP($B45,'EU Ref Scenario 2020'!$A$126:$AE$153,'Specified Annual Demand'!T$3,FALSE)</f>
        <v>281.68939045205474</v>
      </c>
      <c r="U45" s="7">
        <f>T45*VLOOKUP($B45,'EU Ref Scenario 2020'!$A$126:$AE$153,'Specified Annual Demand'!U$3,FALSE)</f>
        <v>281.10732801211975</v>
      </c>
      <c r="V45" s="7">
        <f>U45*VLOOKUP($B45,'EU Ref Scenario 2020'!$A$126:$AE$153,'Specified Annual Demand'!V$3,FALSE)</f>
        <v>281.00502848113024</v>
      </c>
      <c r="W45" s="7">
        <f>V45*VLOOKUP($B45,'EU Ref Scenario 2020'!$A$126:$AE$153,'Specified Annual Demand'!W$3,FALSE)</f>
        <v>280.90272895014073</v>
      </c>
      <c r="X45" s="7">
        <f>W45*VLOOKUP($B45,'EU Ref Scenario 2020'!$A$126:$AE$153,'Specified Annual Demand'!X$3,FALSE)</f>
        <v>280.80042941915121</v>
      </c>
      <c r="Y45" s="7">
        <f>X45*VLOOKUP($B45,'EU Ref Scenario 2020'!$A$126:$AE$153,'Specified Annual Demand'!Y$3,FALSE)</f>
        <v>280.6981298881617</v>
      </c>
      <c r="Z45" s="7">
        <f>Y45*VLOOKUP($B45,'EU Ref Scenario 2020'!$A$126:$AE$153,'Specified Annual Demand'!Z$3,FALSE)</f>
        <v>280.59583035717213</v>
      </c>
      <c r="AA45" s="7">
        <f>Z45*VLOOKUP($B45,'EU Ref Scenario 2020'!$A$126:$AE$153,'Specified Annual Demand'!AA$3,FALSE)</f>
        <v>280.8689180172837</v>
      </c>
      <c r="AB45" s="7">
        <f>AA45*VLOOKUP($B45,'EU Ref Scenario 2020'!$A$126:$AE$153,'Specified Annual Demand'!AB$3,FALSE)</f>
        <v>281.14200567739533</v>
      </c>
      <c r="AC45" s="7">
        <f>AB45*VLOOKUP($B45,'EU Ref Scenario 2020'!$A$126:$AE$153,'Specified Annual Demand'!AC$3,FALSE)</f>
        <v>281.4150933375069</v>
      </c>
      <c r="AD45" s="7">
        <f>AC45*VLOOKUP($B45,'EU Ref Scenario 2020'!$A$126:$AE$153,'Specified Annual Demand'!AD$3,FALSE)</f>
        <v>281.68818099761847</v>
      </c>
      <c r="AE45" s="7">
        <f>AD45*VLOOKUP($B45,'EU Ref Scenario 2020'!$A$126:$AE$153,'Specified Annual Demand'!AE$3,FALSE)</f>
        <v>281.96126865773016</v>
      </c>
      <c r="AF45" s="7">
        <f>AE45*VLOOKUP($B45,'EU Ref Scenario 2020'!$A$126:$AE$153,'Specified Annual Demand'!AF$3,FALSE)</f>
        <v>282.30511908934443</v>
      </c>
      <c r="AG45" s="7">
        <f>AF45*VLOOKUP($B45,'EU Ref Scenario 2020'!$A$126:$AE$153,'Specified Annual Demand'!AG$3,FALSE)</f>
        <v>282.64896952095864</v>
      </c>
      <c r="AH45" s="7">
        <f>AG45*VLOOKUP($B45,'EU Ref Scenario 2020'!$A$126:$AE$153,'Specified Annual Demand'!AH$3,FALSE)</f>
        <v>282.99281995257292</v>
      </c>
      <c r="AI45" s="7">
        <f>AH45*VLOOKUP($B45,'EU Ref Scenario 2020'!$A$126:$AE$153,'Specified Annual Demand'!AI$3,FALSE)</f>
        <v>283.33667038418713</v>
      </c>
      <c r="AJ45" s="7">
        <f>AI45*VLOOKUP($B45,'EU Ref Scenario 2020'!$A$126:$AE$153,'Specified Annual Demand'!AJ$3,FALSE)</f>
        <v>283.6805208158014</v>
      </c>
      <c r="AK45" s="8">
        <f t="shared" ref="AK45:AO45" si="41">AJ45</f>
        <v>283.6805208158014</v>
      </c>
      <c r="AL45" s="8">
        <f t="shared" si="41"/>
        <v>283.6805208158014</v>
      </c>
      <c r="AM45" s="8">
        <f t="shared" si="41"/>
        <v>283.6805208158014</v>
      </c>
      <c r="AN45" s="8">
        <f t="shared" si="41"/>
        <v>283.6805208158014</v>
      </c>
      <c r="AO45" s="8">
        <f t="shared" si="41"/>
        <v>283.6805208158014</v>
      </c>
    </row>
    <row r="46" spans="1:41" x14ac:dyDescent="0.3">
      <c r="A46" t="s">
        <v>146</v>
      </c>
      <c r="B46" t="str">
        <f t="shared" si="1"/>
        <v>FI</v>
      </c>
      <c r="C46" t="s">
        <v>42</v>
      </c>
      <c r="D46" s="2">
        <v>3.9007477756004518</v>
      </c>
      <c r="E46" s="2">
        <v>4.1807798926919437</v>
      </c>
      <c r="F46" s="2">
        <v>4.4641068088744049</v>
      </c>
      <c r="G46" s="2">
        <v>4.9105848256088445</v>
      </c>
      <c r="H46" s="7">
        <f>G46*VLOOKUP($B46,'EU Ref Scenario 2020'!$A$126:$AE$153,'Specified Annual Demand'!H$3,FALSE)</f>
        <v>4.9609999480218514</v>
      </c>
      <c r="I46" s="7">
        <f>H46*VLOOKUP($B46,'EU Ref Scenario 2020'!$A$126:$AE$153,'Specified Annual Demand'!I$3,FALSE)</f>
        <v>5.0114150704348583</v>
      </c>
      <c r="J46" s="7">
        <f>I46*VLOOKUP($B46,'EU Ref Scenario 2020'!$A$126:$AE$153,'Specified Annual Demand'!J$3,FALSE)</f>
        <v>5.0618301928478653</v>
      </c>
      <c r="K46" s="7">
        <f>J46*VLOOKUP($B46,'EU Ref Scenario 2020'!$A$126:$AE$153,'Specified Annual Demand'!K$3,FALSE)</f>
        <v>5.1122453152608704</v>
      </c>
      <c r="L46" s="7">
        <f>K46*VLOOKUP($B46,'EU Ref Scenario 2020'!$A$126:$AE$153,'Specified Annual Demand'!L$3,FALSE)</f>
        <v>5.127427727799291</v>
      </c>
      <c r="M46" s="7">
        <f>L46*VLOOKUP($B46,'EU Ref Scenario 2020'!$A$126:$AE$153,'Specified Annual Demand'!M$3,FALSE)</f>
        <v>5.1426101403377116</v>
      </c>
      <c r="N46" s="7">
        <f>M46*VLOOKUP($B46,'EU Ref Scenario 2020'!$A$126:$AE$153,'Specified Annual Demand'!N$3,FALSE)</f>
        <v>5.1577925528761321</v>
      </c>
      <c r="O46" s="7">
        <f>N46*VLOOKUP($B46,'EU Ref Scenario 2020'!$A$126:$AE$153,'Specified Annual Demand'!O$3,FALSE)</f>
        <v>5.1729749654145527</v>
      </c>
      <c r="P46" s="7">
        <f>O46*VLOOKUP($B46,'EU Ref Scenario 2020'!$A$126:$AE$153,'Specified Annual Demand'!P$3,FALSE)</f>
        <v>5.1881573779529724</v>
      </c>
      <c r="Q46" s="7">
        <f>P46*VLOOKUP($B46,'EU Ref Scenario 2020'!$A$126:$AE$153,'Specified Annual Demand'!Q$3,FALSE)</f>
        <v>5.1775248287214293</v>
      </c>
      <c r="R46" s="7">
        <f>Q46*VLOOKUP($B46,'EU Ref Scenario 2020'!$A$126:$AE$153,'Specified Annual Demand'!R$3,FALSE)</f>
        <v>5.1668922794898853</v>
      </c>
      <c r="S46" s="7">
        <f>R46*VLOOKUP($B46,'EU Ref Scenario 2020'!$A$126:$AE$153,'Specified Annual Demand'!S$3,FALSE)</f>
        <v>5.1562597302583422</v>
      </c>
      <c r="T46" s="7">
        <f>S46*VLOOKUP($B46,'EU Ref Scenario 2020'!$A$126:$AE$153,'Specified Annual Demand'!T$3,FALSE)</f>
        <v>5.1456271810267991</v>
      </c>
      <c r="U46" s="7">
        <f>T46*VLOOKUP($B46,'EU Ref Scenario 2020'!$A$126:$AE$153,'Specified Annual Demand'!U$3,FALSE)</f>
        <v>5.1349946317952577</v>
      </c>
      <c r="V46" s="7">
        <f>U46*VLOOKUP($B46,'EU Ref Scenario 2020'!$A$126:$AE$153,'Specified Annual Demand'!V$3,FALSE)</f>
        <v>5.1331259236894216</v>
      </c>
      <c r="W46" s="7">
        <f>V46*VLOOKUP($B46,'EU Ref Scenario 2020'!$A$126:$AE$153,'Specified Annual Demand'!W$3,FALSE)</f>
        <v>5.1312572155835854</v>
      </c>
      <c r="X46" s="7">
        <f>W46*VLOOKUP($B46,'EU Ref Scenario 2020'!$A$126:$AE$153,'Specified Annual Demand'!X$3,FALSE)</f>
        <v>5.1293885074777492</v>
      </c>
      <c r="Y46" s="7">
        <f>X46*VLOOKUP($B46,'EU Ref Scenario 2020'!$A$126:$AE$153,'Specified Annual Demand'!Y$3,FALSE)</f>
        <v>5.127519799371913</v>
      </c>
      <c r="Z46" s="7">
        <f>Y46*VLOOKUP($B46,'EU Ref Scenario 2020'!$A$126:$AE$153,'Specified Annual Demand'!Z$3,FALSE)</f>
        <v>5.125651091266076</v>
      </c>
      <c r="AA46" s="7">
        <f>Z46*VLOOKUP($B46,'EU Ref Scenario 2020'!$A$126:$AE$153,'Specified Annual Demand'!AA$3,FALSE)</f>
        <v>5.1306395904226045</v>
      </c>
      <c r="AB46" s="7">
        <f>AA46*VLOOKUP($B46,'EU Ref Scenario 2020'!$A$126:$AE$153,'Specified Annual Demand'!AB$3,FALSE)</f>
        <v>5.135628089579134</v>
      </c>
      <c r="AC46" s="7">
        <f>AB46*VLOOKUP($B46,'EU Ref Scenario 2020'!$A$126:$AE$153,'Specified Annual Demand'!AC$3,FALSE)</f>
        <v>5.1406165887356625</v>
      </c>
      <c r="AD46" s="7">
        <f>AC46*VLOOKUP($B46,'EU Ref Scenario 2020'!$A$126:$AE$153,'Specified Annual Demand'!AD$3,FALSE)</f>
        <v>5.145605087892192</v>
      </c>
      <c r="AE46" s="7">
        <f>AD46*VLOOKUP($B46,'EU Ref Scenario 2020'!$A$126:$AE$153,'Specified Annual Demand'!AE$3,FALSE)</f>
        <v>5.1505935870487223</v>
      </c>
      <c r="AF46" s="7">
        <f>AE46*VLOOKUP($B46,'EU Ref Scenario 2020'!$A$126:$AE$153,'Specified Annual Demand'!AF$3,FALSE)</f>
        <v>5.1568747115322635</v>
      </c>
      <c r="AG46" s="7">
        <f>AF46*VLOOKUP($B46,'EU Ref Scenario 2020'!$A$126:$AE$153,'Specified Annual Demand'!AG$3,FALSE)</f>
        <v>5.1631558360158039</v>
      </c>
      <c r="AH46" s="7">
        <f>AG46*VLOOKUP($B46,'EU Ref Scenario 2020'!$A$126:$AE$153,'Specified Annual Demand'!AH$3,FALSE)</f>
        <v>5.1694369604993442</v>
      </c>
      <c r="AI46" s="7">
        <f>AH46*VLOOKUP($B46,'EU Ref Scenario 2020'!$A$126:$AE$153,'Specified Annual Demand'!AI$3,FALSE)</f>
        <v>5.1757180849828845</v>
      </c>
      <c r="AJ46" s="7">
        <f>AI46*VLOOKUP($B46,'EU Ref Scenario 2020'!$A$126:$AE$153,'Specified Annual Demand'!AJ$3,FALSE)</f>
        <v>5.1819992094664258</v>
      </c>
      <c r="AK46" s="8">
        <f t="shared" ref="AK46:AO46" si="42">AJ46</f>
        <v>5.1819992094664258</v>
      </c>
      <c r="AL46" s="8">
        <f t="shared" si="42"/>
        <v>5.1819992094664258</v>
      </c>
      <c r="AM46" s="8">
        <f t="shared" si="42"/>
        <v>5.1819992094664258</v>
      </c>
      <c r="AN46" s="8">
        <f t="shared" si="42"/>
        <v>5.1819992094664258</v>
      </c>
      <c r="AO46" s="8">
        <f t="shared" si="42"/>
        <v>5.1819992094664258</v>
      </c>
    </row>
    <row r="47" spans="1:41" x14ac:dyDescent="0.3">
      <c r="A47" t="s">
        <v>147</v>
      </c>
      <c r="B47" t="str">
        <f t="shared" si="1"/>
        <v>FI</v>
      </c>
      <c r="C47" t="s">
        <v>43</v>
      </c>
      <c r="D47" s="2">
        <v>7.5951174023398504</v>
      </c>
      <c r="E47" s="2">
        <v>7.8642101111952076</v>
      </c>
      <c r="F47" s="2">
        <v>8.0839957608312325</v>
      </c>
      <c r="G47" s="2">
        <v>8.7805365856431266</v>
      </c>
      <c r="H47" s="7">
        <f>G47*VLOOKUP($B47,'EU Ref Scenario 2020'!$A$126:$AE$153,'Specified Annual Demand'!H$3,FALSE)</f>
        <v>8.8706830432521144</v>
      </c>
      <c r="I47" s="7">
        <f>H47*VLOOKUP($B47,'EU Ref Scenario 2020'!$A$126:$AE$153,'Specified Annual Demand'!I$3,FALSE)</f>
        <v>8.9608295008611023</v>
      </c>
      <c r="J47" s="7">
        <f>I47*VLOOKUP($B47,'EU Ref Scenario 2020'!$A$126:$AE$153,'Specified Annual Demand'!J$3,FALSE)</f>
        <v>9.0509759584700884</v>
      </c>
      <c r="K47" s="7">
        <f>J47*VLOOKUP($B47,'EU Ref Scenario 2020'!$A$126:$AE$153,'Specified Annual Demand'!K$3,FALSE)</f>
        <v>9.1411224160790727</v>
      </c>
      <c r="L47" s="7">
        <f>K47*VLOOKUP($B47,'EU Ref Scenario 2020'!$A$126:$AE$153,'Specified Annual Demand'!L$3,FALSE)</f>
        <v>9.1682698401611731</v>
      </c>
      <c r="M47" s="7">
        <f>L47*VLOOKUP($B47,'EU Ref Scenario 2020'!$A$126:$AE$153,'Specified Annual Demand'!M$3,FALSE)</f>
        <v>9.1954172642432734</v>
      </c>
      <c r="N47" s="7">
        <f>M47*VLOOKUP($B47,'EU Ref Scenario 2020'!$A$126:$AE$153,'Specified Annual Demand'!N$3,FALSE)</f>
        <v>9.2225646883253738</v>
      </c>
      <c r="O47" s="7">
        <f>N47*VLOOKUP($B47,'EU Ref Scenario 2020'!$A$126:$AE$153,'Specified Annual Demand'!O$3,FALSE)</f>
        <v>9.2497121124074742</v>
      </c>
      <c r="P47" s="7">
        <f>O47*VLOOKUP($B47,'EU Ref Scenario 2020'!$A$126:$AE$153,'Specified Annual Demand'!P$3,FALSE)</f>
        <v>9.2768595364895727</v>
      </c>
      <c r="Q47" s="7">
        <f>P47*VLOOKUP($B47,'EU Ref Scenario 2020'!$A$126:$AE$153,'Specified Annual Demand'!Q$3,FALSE)</f>
        <v>9.2578476487324686</v>
      </c>
      <c r="R47" s="7">
        <f>Q47*VLOOKUP($B47,'EU Ref Scenario 2020'!$A$126:$AE$153,'Specified Annual Demand'!R$3,FALSE)</f>
        <v>9.2388357609753626</v>
      </c>
      <c r="S47" s="7">
        <f>R47*VLOOKUP($B47,'EU Ref Scenario 2020'!$A$126:$AE$153,'Specified Annual Demand'!S$3,FALSE)</f>
        <v>9.2198238732182585</v>
      </c>
      <c r="T47" s="7">
        <f>S47*VLOOKUP($B47,'EU Ref Scenario 2020'!$A$126:$AE$153,'Specified Annual Demand'!T$3,FALSE)</f>
        <v>9.2008119854611543</v>
      </c>
      <c r="U47" s="7">
        <f>T47*VLOOKUP($B47,'EU Ref Scenario 2020'!$A$126:$AE$153,'Specified Annual Demand'!U$3,FALSE)</f>
        <v>9.1818000977040519</v>
      </c>
      <c r="V47" s="7">
        <f>U47*VLOOKUP($B47,'EU Ref Scenario 2020'!$A$126:$AE$153,'Specified Annual Demand'!V$3,FALSE)</f>
        <v>9.1784586912374309</v>
      </c>
      <c r="W47" s="7">
        <f>V47*VLOOKUP($B47,'EU Ref Scenario 2020'!$A$126:$AE$153,'Specified Annual Demand'!W$3,FALSE)</f>
        <v>9.175117284770808</v>
      </c>
      <c r="X47" s="7">
        <f>W47*VLOOKUP($B47,'EU Ref Scenario 2020'!$A$126:$AE$153,'Specified Annual Demand'!X$3,FALSE)</f>
        <v>9.1717758783041869</v>
      </c>
      <c r="Y47" s="7">
        <f>X47*VLOOKUP($B47,'EU Ref Scenario 2020'!$A$126:$AE$153,'Specified Annual Demand'!Y$3,FALSE)</f>
        <v>9.1684344718375659</v>
      </c>
      <c r="Z47" s="7">
        <f>Y47*VLOOKUP($B47,'EU Ref Scenario 2020'!$A$126:$AE$153,'Specified Annual Demand'!Z$3,FALSE)</f>
        <v>9.165093065370943</v>
      </c>
      <c r="AA47" s="7">
        <f>Z47*VLOOKUP($B47,'EU Ref Scenario 2020'!$A$126:$AE$153,'Specified Annual Demand'!AA$3,FALSE)</f>
        <v>9.1740129193001376</v>
      </c>
      <c r="AB47" s="7">
        <f>AA47*VLOOKUP($B47,'EU Ref Scenario 2020'!$A$126:$AE$153,'Specified Annual Demand'!AB$3,FALSE)</f>
        <v>9.1829327732293322</v>
      </c>
      <c r="AC47" s="7">
        <f>AB47*VLOOKUP($B47,'EU Ref Scenario 2020'!$A$126:$AE$153,'Specified Annual Demand'!AC$3,FALSE)</f>
        <v>9.1918526271585268</v>
      </c>
      <c r="AD47" s="7">
        <f>AC47*VLOOKUP($B47,'EU Ref Scenario 2020'!$A$126:$AE$153,'Specified Annual Demand'!AD$3,FALSE)</f>
        <v>9.2007724810877214</v>
      </c>
      <c r="AE47" s="7">
        <f>AD47*VLOOKUP($B47,'EU Ref Scenario 2020'!$A$126:$AE$153,'Specified Annual Demand'!AE$3,FALSE)</f>
        <v>9.2096923350169195</v>
      </c>
      <c r="AF47" s="7">
        <f>AE47*VLOOKUP($B47,'EU Ref Scenario 2020'!$A$126:$AE$153,'Specified Annual Demand'!AF$3,FALSE)</f>
        <v>9.2209235111976238</v>
      </c>
      <c r="AG47" s="7">
        <f>AF47*VLOOKUP($B47,'EU Ref Scenario 2020'!$A$126:$AE$153,'Specified Annual Demand'!AG$3,FALSE)</f>
        <v>9.232154687378328</v>
      </c>
      <c r="AH47" s="7">
        <f>AG47*VLOOKUP($B47,'EU Ref Scenario 2020'!$A$126:$AE$153,'Specified Annual Demand'!AH$3,FALSE)</f>
        <v>9.2433858635590322</v>
      </c>
      <c r="AI47" s="7">
        <f>AH47*VLOOKUP($B47,'EU Ref Scenario 2020'!$A$126:$AE$153,'Specified Annual Demand'!AI$3,FALSE)</f>
        <v>9.2546170397397347</v>
      </c>
      <c r="AJ47" s="7">
        <f>AI47*VLOOKUP($B47,'EU Ref Scenario 2020'!$A$126:$AE$153,'Specified Annual Demand'!AJ$3,FALSE)</f>
        <v>9.2658482159204407</v>
      </c>
      <c r="AK47" s="8">
        <f t="shared" ref="AK47:AO47" si="43">AJ47</f>
        <v>9.2658482159204407</v>
      </c>
      <c r="AL47" s="8">
        <f t="shared" si="43"/>
        <v>9.2658482159204407</v>
      </c>
      <c r="AM47" s="8">
        <f t="shared" si="43"/>
        <v>9.2658482159204407</v>
      </c>
      <c r="AN47" s="8">
        <f t="shared" si="43"/>
        <v>9.2658482159204407</v>
      </c>
      <c r="AO47" s="8">
        <f t="shared" si="43"/>
        <v>9.2658482159204407</v>
      </c>
    </row>
    <row r="48" spans="1:41" x14ac:dyDescent="0.3">
      <c r="A48" t="s">
        <v>148</v>
      </c>
      <c r="B48" t="str">
        <f t="shared" si="1"/>
        <v>FI</v>
      </c>
      <c r="C48" t="s">
        <v>44</v>
      </c>
      <c r="D48" s="2">
        <v>58.257457656447592</v>
      </c>
      <c r="E48" s="2">
        <v>58.348931537232268</v>
      </c>
      <c r="F48" s="2">
        <v>56.977598999367856</v>
      </c>
      <c r="G48" s="2">
        <v>57.928007849267473</v>
      </c>
      <c r="H48" s="7">
        <f>G48*VLOOKUP($B48,'EU Ref Scenario 2020'!$A$126:$AE$153,'Specified Annual Demand'!H$3,FALSE)</f>
        <v>58.522732858727082</v>
      </c>
      <c r="I48" s="7">
        <f>H48*VLOOKUP($B48,'EU Ref Scenario 2020'!$A$126:$AE$153,'Specified Annual Demand'!I$3,FALSE)</f>
        <v>59.117457868186698</v>
      </c>
      <c r="J48" s="7">
        <f>I48*VLOOKUP($B48,'EU Ref Scenario 2020'!$A$126:$AE$153,'Specified Annual Demand'!J$3,FALSE)</f>
        <v>59.712182877646306</v>
      </c>
      <c r="K48" s="7">
        <f>J48*VLOOKUP($B48,'EU Ref Scenario 2020'!$A$126:$AE$153,'Specified Annual Demand'!K$3,FALSE)</f>
        <v>60.306907887105893</v>
      </c>
      <c r="L48" s="7">
        <f>K48*VLOOKUP($B48,'EU Ref Scenario 2020'!$A$126:$AE$153,'Specified Annual Demand'!L$3,FALSE)</f>
        <v>60.486008125454269</v>
      </c>
      <c r="M48" s="7">
        <f>L48*VLOOKUP($B48,'EU Ref Scenario 2020'!$A$126:$AE$153,'Specified Annual Demand'!M$3,FALSE)</f>
        <v>60.665108363802638</v>
      </c>
      <c r="N48" s="7">
        <f>M48*VLOOKUP($B48,'EU Ref Scenario 2020'!$A$126:$AE$153,'Specified Annual Demand'!N$3,FALSE)</f>
        <v>60.844208602151006</v>
      </c>
      <c r="O48" s="7">
        <f>N48*VLOOKUP($B48,'EU Ref Scenario 2020'!$A$126:$AE$153,'Specified Annual Demand'!O$3,FALSE)</f>
        <v>61.023308840499375</v>
      </c>
      <c r="P48" s="7">
        <f>O48*VLOOKUP($B48,'EU Ref Scenario 2020'!$A$126:$AE$153,'Specified Annual Demand'!P$3,FALSE)</f>
        <v>61.20240907884773</v>
      </c>
      <c r="Q48" s="7">
        <f>P48*VLOOKUP($B48,'EU Ref Scenario 2020'!$A$126:$AE$153,'Specified Annual Demand'!Q$3,FALSE)</f>
        <v>61.076981575359646</v>
      </c>
      <c r="R48" s="7">
        <f>Q48*VLOOKUP($B48,'EU Ref Scenario 2020'!$A$126:$AE$153,'Specified Annual Demand'!R$3,FALSE)</f>
        <v>60.951554071871563</v>
      </c>
      <c r="S48" s="7">
        <f>R48*VLOOKUP($B48,'EU Ref Scenario 2020'!$A$126:$AE$153,'Specified Annual Demand'!S$3,FALSE)</f>
        <v>60.826126568383486</v>
      </c>
      <c r="T48" s="7">
        <f>S48*VLOOKUP($B48,'EU Ref Scenario 2020'!$A$126:$AE$153,'Specified Annual Demand'!T$3,FALSE)</f>
        <v>60.70069906489541</v>
      </c>
      <c r="U48" s="7">
        <f>T48*VLOOKUP($B48,'EU Ref Scenario 2020'!$A$126:$AE$153,'Specified Annual Demand'!U$3,FALSE)</f>
        <v>60.575271561407355</v>
      </c>
      <c r="V48" s="7">
        <f>U48*VLOOKUP($B48,'EU Ref Scenario 2020'!$A$126:$AE$153,'Specified Annual Demand'!V$3,FALSE)</f>
        <v>60.553227234373566</v>
      </c>
      <c r="W48" s="7">
        <f>V48*VLOOKUP($B48,'EU Ref Scenario 2020'!$A$126:$AE$153,'Specified Annual Demand'!W$3,FALSE)</f>
        <v>60.531182907339776</v>
      </c>
      <c r="X48" s="7">
        <f>W48*VLOOKUP($B48,'EU Ref Scenario 2020'!$A$126:$AE$153,'Specified Annual Demand'!X$3,FALSE)</f>
        <v>60.509138580305986</v>
      </c>
      <c r="Y48" s="7">
        <f>X48*VLOOKUP($B48,'EU Ref Scenario 2020'!$A$126:$AE$153,'Specified Annual Demand'!Y$3,FALSE)</f>
        <v>60.487094253272197</v>
      </c>
      <c r="Z48" s="7">
        <f>Y48*VLOOKUP($B48,'EU Ref Scenario 2020'!$A$126:$AE$153,'Specified Annual Demand'!Z$3,FALSE)</f>
        <v>60.4650499262384</v>
      </c>
      <c r="AA48" s="7">
        <f>Z48*VLOOKUP($B48,'EU Ref Scenario 2020'!$A$126:$AE$153,'Specified Annual Demand'!AA$3,FALSE)</f>
        <v>60.523897055156418</v>
      </c>
      <c r="AB48" s="7">
        <f>AA48*VLOOKUP($B48,'EU Ref Scenario 2020'!$A$126:$AE$153,'Specified Annual Demand'!AB$3,FALSE)</f>
        <v>60.582744184074443</v>
      </c>
      <c r="AC48" s="7">
        <f>AB48*VLOOKUP($B48,'EU Ref Scenario 2020'!$A$126:$AE$153,'Specified Annual Demand'!AC$3,FALSE)</f>
        <v>60.64159131299246</v>
      </c>
      <c r="AD48" s="7">
        <f>AC48*VLOOKUP($B48,'EU Ref Scenario 2020'!$A$126:$AE$153,'Specified Annual Demand'!AD$3,FALSE)</f>
        <v>60.700438441910478</v>
      </c>
      <c r="AE48" s="7">
        <f>AD48*VLOOKUP($B48,'EU Ref Scenario 2020'!$A$126:$AE$153,'Specified Annual Demand'!AE$3,FALSE)</f>
        <v>60.759285570828517</v>
      </c>
      <c r="AF48" s="7">
        <f>AE48*VLOOKUP($B48,'EU Ref Scenario 2020'!$A$126:$AE$153,'Specified Annual Demand'!AF$3,FALSE)</f>
        <v>60.83338123179486</v>
      </c>
      <c r="AG48" s="7">
        <f>AF48*VLOOKUP($B48,'EU Ref Scenario 2020'!$A$126:$AE$153,'Specified Annual Demand'!AG$3,FALSE)</f>
        <v>60.907476892761196</v>
      </c>
      <c r="AH48" s="7">
        <f>AG48*VLOOKUP($B48,'EU Ref Scenario 2020'!$A$126:$AE$153,'Specified Annual Demand'!AH$3,FALSE)</f>
        <v>60.981572553727538</v>
      </c>
      <c r="AI48" s="7">
        <f>AH48*VLOOKUP($B48,'EU Ref Scenario 2020'!$A$126:$AE$153,'Specified Annual Demand'!AI$3,FALSE)</f>
        <v>61.055668214693867</v>
      </c>
      <c r="AJ48" s="7">
        <f>AI48*VLOOKUP($B48,'EU Ref Scenario 2020'!$A$126:$AE$153,'Specified Annual Demand'!AJ$3,FALSE)</f>
        <v>61.129763875660217</v>
      </c>
      <c r="AK48" s="8">
        <f t="shared" ref="AK48:AO48" si="44">AJ48</f>
        <v>61.129763875660217</v>
      </c>
      <c r="AL48" s="8">
        <f t="shared" si="44"/>
        <v>61.129763875660217</v>
      </c>
      <c r="AM48" s="8">
        <f t="shared" si="44"/>
        <v>61.129763875660217</v>
      </c>
      <c r="AN48" s="8">
        <f t="shared" si="44"/>
        <v>61.129763875660217</v>
      </c>
      <c r="AO48" s="8">
        <f t="shared" si="44"/>
        <v>61.129763875660217</v>
      </c>
    </row>
    <row r="49" spans="1:41" x14ac:dyDescent="0.3">
      <c r="A49" t="s">
        <v>145</v>
      </c>
      <c r="B49" t="str">
        <f t="shared" si="1"/>
        <v>FR</v>
      </c>
      <c r="C49" t="s">
        <v>45</v>
      </c>
      <c r="D49" s="2">
        <v>1439.3024231989334</v>
      </c>
      <c r="E49" s="2">
        <v>1447.9750367885647</v>
      </c>
      <c r="F49" s="2">
        <v>1387.0649434548689</v>
      </c>
      <c r="G49" s="2">
        <v>1566.4900295279035</v>
      </c>
      <c r="H49" s="7">
        <f>G49*VLOOKUP($B49,'EU Ref Scenario 2020'!$A$126:$AE$153,'Specified Annual Demand'!H$3,FALSE)</f>
        <v>1556.5079449378134</v>
      </c>
      <c r="I49" s="7">
        <f>H49*VLOOKUP($B49,'EU Ref Scenario 2020'!$A$126:$AE$153,'Specified Annual Demand'!I$3,FALSE)</f>
        <v>1546.5258603477232</v>
      </c>
      <c r="J49" s="7">
        <f>I49*VLOOKUP($B49,'EU Ref Scenario 2020'!$A$126:$AE$153,'Specified Annual Demand'!J$3,FALSE)</f>
        <v>1536.5437757576333</v>
      </c>
      <c r="K49" s="7">
        <f>J49*VLOOKUP($B49,'EU Ref Scenario 2020'!$A$126:$AE$153,'Specified Annual Demand'!K$3,FALSE)</f>
        <v>1526.5616911675429</v>
      </c>
      <c r="L49" s="7">
        <f>K49*VLOOKUP($B49,'EU Ref Scenario 2020'!$A$126:$AE$153,'Specified Annual Demand'!L$3,FALSE)</f>
        <v>1503.8960508329724</v>
      </c>
      <c r="M49" s="7">
        <f>L49*VLOOKUP($B49,'EU Ref Scenario 2020'!$A$126:$AE$153,'Specified Annual Demand'!M$3,FALSE)</f>
        <v>1481.2304104984021</v>
      </c>
      <c r="N49" s="7">
        <f>M49*VLOOKUP($B49,'EU Ref Scenario 2020'!$A$126:$AE$153,'Specified Annual Demand'!N$3,FALSE)</f>
        <v>1458.5647701638318</v>
      </c>
      <c r="O49" s="7">
        <f>N49*VLOOKUP($B49,'EU Ref Scenario 2020'!$A$126:$AE$153,'Specified Annual Demand'!O$3,FALSE)</f>
        <v>1435.8991298292613</v>
      </c>
      <c r="P49" s="7">
        <f>O49*VLOOKUP($B49,'EU Ref Scenario 2020'!$A$126:$AE$153,'Specified Annual Demand'!P$3,FALSE)</f>
        <v>1413.2334894946912</v>
      </c>
      <c r="Q49" s="7">
        <f>P49*VLOOKUP($B49,'EU Ref Scenario 2020'!$A$126:$AE$153,'Specified Annual Demand'!Q$3,FALSE)</f>
        <v>1407.9635623167933</v>
      </c>
      <c r="R49" s="7">
        <f>Q49*VLOOKUP($B49,'EU Ref Scenario 2020'!$A$126:$AE$153,'Specified Annual Demand'!R$3,FALSE)</f>
        <v>1402.6936351388954</v>
      </c>
      <c r="S49" s="7">
        <f>R49*VLOOKUP($B49,'EU Ref Scenario 2020'!$A$126:$AE$153,'Specified Annual Demand'!S$3,FALSE)</f>
        <v>1397.4237079609975</v>
      </c>
      <c r="T49" s="7">
        <f>S49*VLOOKUP($B49,'EU Ref Scenario 2020'!$A$126:$AE$153,'Specified Annual Demand'!T$3,FALSE)</f>
        <v>1392.1537807830996</v>
      </c>
      <c r="U49" s="7">
        <f>T49*VLOOKUP($B49,'EU Ref Scenario 2020'!$A$126:$AE$153,'Specified Annual Demand'!U$3,FALSE)</f>
        <v>1386.8838536052019</v>
      </c>
      <c r="V49" s="7">
        <f>U49*VLOOKUP($B49,'EU Ref Scenario 2020'!$A$126:$AE$153,'Specified Annual Demand'!V$3,FALSE)</f>
        <v>1383.3486239762569</v>
      </c>
      <c r="W49" s="7">
        <f>V49*VLOOKUP($B49,'EU Ref Scenario 2020'!$A$126:$AE$153,'Specified Annual Demand'!W$3,FALSE)</f>
        <v>1379.8133943473119</v>
      </c>
      <c r="X49" s="7">
        <f>W49*VLOOKUP($B49,'EU Ref Scenario 2020'!$A$126:$AE$153,'Specified Annual Demand'!X$3,FALSE)</f>
        <v>1376.278164718367</v>
      </c>
      <c r="Y49" s="7">
        <f>X49*VLOOKUP($B49,'EU Ref Scenario 2020'!$A$126:$AE$153,'Specified Annual Demand'!Y$3,FALSE)</f>
        <v>1372.742935089422</v>
      </c>
      <c r="Z49" s="7">
        <f>Y49*VLOOKUP($B49,'EU Ref Scenario 2020'!$A$126:$AE$153,'Specified Annual Demand'!Z$3,FALSE)</f>
        <v>1369.2077054604772</v>
      </c>
      <c r="AA49" s="7">
        <f>Z49*VLOOKUP($B49,'EU Ref Scenario 2020'!$A$126:$AE$153,'Specified Annual Demand'!AA$3,FALSE)</f>
        <v>1362.4614124556044</v>
      </c>
      <c r="AB49" s="7">
        <f>AA49*VLOOKUP($B49,'EU Ref Scenario 2020'!$A$126:$AE$153,'Specified Annual Demand'!AB$3,FALSE)</f>
        <v>1355.7151194507317</v>
      </c>
      <c r="AC49" s="7">
        <f>AB49*VLOOKUP($B49,'EU Ref Scenario 2020'!$A$126:$AE$153,'Specified Annual Demand'!AC$3,FALSE)</f>
        <v>1348.9688264458589</v>
      </c>
      <c r="AD49" s="7">
        <f>AC49*VLOOKUP($B49,'EU Ref Scenario 2020'!$A$126:$AE$153,'Specified Annual Demand'!AD$3,FALSE)</f>
        <v>1342.2225334409861</v>
      </c>
      <c r="AE49" s="7">
        <f>AD49*VLOOKUP($B49,'EU Ref Scenario 2020'!$A$126:$AE$153,'Specified Annual Demand'!AE$3,FALSE)</f>
        <v>1335.4762404361131</v>
      </c>
      <c r="AF49" s="7">
        <f>AE49*VLOOKUP($B49,'EU Ref Scenario 2020'!$A$126:$AE$153,'Specified Annual Demand'!AF$3,FALSE)</f>
        <v>1327.7883237786245</v>
      </c>
      <c r="AG49" s="7">
        <f>AF49*VLOOKUP($B49,'EU Ref Scenario 2020'!$A$126:$AE$153,'Specified Annual Demand'!AG$3,FALSE)</f>
        <v>1320.100407121136</v>
      </c>
      <c r="AH49" s="7">
        <f>AG49*VLOOKUP($B49,'EU Ref Scenario 2020'!$A$126:$AE$153,'Specified Annual Demand'!AH$3,FALSE)</f>
        <v>1312.4124904636474</v>
      </c>
      <c r="AI49" s="7">
        <f>AH49*VLOOKUP($B49,'EU Ref Scenario 2020'!$A$126:$AE$153,'Specified Annual Demand'!AI$3,FALSE)</f>
        <v>1304.7245738061588</v>
      </c>
      <c r="AJ49" s="7">
        <f>AI49*VLOOKUP($B49,'EU Ref Scenario 2020'!$A$126:$AE$153,'Specified Annual Demand'!AJ$3,FALSE)</f>
        <v>1297.03665714867</v>
      </c>
      <c r="AK49" s="8">
        <f t="shared" ref="AK49:AO49" si="45">AJ49</f>
        <v>1297.03665714867</v>
      </c>
      <c r="AL49" s="8">
        <f t="shared" si="45"/>
        <v>1297.03665714867</v>
      </c>
      <c r="AM49" s="8">
        <f t="shared" si="45"/>
        <v>1297.03665714867</v>
      </c>
      <c r="AN49" s="8">
        <f t="shared" si="45"/>
        <v>1297.03665714867</v>
      </c>
      <c r="AO49" s="8">
        <f t="shared" si="45"/>
        <v>1297.03665714867</v>
      </c>
    </row>
    <row r="50" spans="1:41" x14ac:dyDescent="0.3">
      <c r="A50" t="s">
        <v>146</v>
      </c>
      <c r="B50" t="str">
        <f t="shared" si="1"/>
        <v>FR</v>
      </c>
      <c r="C50" t="s">
        <v>46</v>
      </c>
      <c r="D50" s="2">
        <v>89.254829171180475</v>
      </c>
      <c r="E50" s="2">
        <v>95.951780439217004</v>
      </c>
      <c r="F50" s="2">
        <v>105.55996258092621</v>
      </c>
      <c r="G50" s="2">
        <v>100.08135399719835</v>
      </c>
      <c r="H50" s="7">
        <f>G50*VLOOKUP($B50,'EU Ref Scenario 2020'!$A$126:$AE$153,'Specified Annual Demand'!H$3,FALSE)</f>
        <v>99.443609407281059</v>
      </c>
      <c r="I50" s="7">
        <f>H50*VLOOKUP($B50,'EU Ref Scenario 2020'!$A$126:$AE$153,'Specified Annual Demand'!I$3,FALSE)</f>
        <v>98.805864817363783</v>
      </c>
      <c r="J50" s="7">
        <f>I50*VLOOKUP($B50,'EU Ref Scenario 2020'!$A$126:$AE$153,'Specified Annual Demand'!J$3,FALSE)</f>
        <v>98.168120227446508</v>
      </c>
      <c r="K50" s="7">
        <f>J50*VLOOKUP($B50,'EU Ref Scenario 2020'!$A$126:$AE$153,'Specified Annual Demand'!K$3,FALSE)</f>
        <v>97.530375637529218</v>
      </c>
      <c r="L50" s="7">
        <f>K50*VLOOKUP($B50,'EU Ref Scenario 2020'!$A$126:$AE$153,'Specified Annual Demand'!L$3,FALSE)</f>
        <v>96.082292386989181</v>
      </c>
      <c r="M50" s="7">
        <f>L50*VLOOKUP($B50,'EU Ref Scenario 2020'!$A$126:$AE$153,'Specified Annual Demand'!M$3,FALSE)</f>
        <v>94.634209136449144</v>
      </c>
      <c r="N50" s="7">
        <f>M50*VLOOKUP($B50,'EU Ref Scenario 2020'!$A$126:$AE$153,'Specified Annual Demand'!N$3,FALSE)</f>
        <v>93.186125885909107</v>
      </c>
      <c r="O50" s="7">
        <f>N50*VLOOKUP($B50,'EU Ref Scenario 2020'!$A$126:$AE$153,'Specified Annual Demand'!O$3,FALSE)</f>
        <v>91.738042635369069</v>
      </c>
      <c r="P50" s="7">
        <f>O50*VLOOKUP($B50,'EU Ref Scenario 2020'!$A$126:$AE$153,'Specified Annual Demand'!P$3,FALSE)</f>
        <v>90.289959384829061</v>
      </c>
      <c r="Q50" s="7">
        <f>P50*VLOOKUP($B50,'EU Ref Scenario 2020'!$A$126:$AE$153,'Specified Annual Demand'!Q$3,FALSE)</f>
        <v>89.95326943628875</v>
      </c>
      <c r="R50" s="7">
        <f>Q50*VLOOKUP($B50,'EU Ref Scenario 2020'!$A$126:$AE$153,'Specified Annual Demand'!R$3,FALSE)</f>
        <v>89.616579487748439</v>
      </c>
      <c r="S50" s="7">
        <f>R50*VLOOKUP($B50,'EU Ref Scenario 2020'!$A$126:$AE$153,'Specified Annual Demand'!S$3,FALSE)</f>
        <v>89.279889539208128</v>
      </c>
      <c r="T50" s="7">
        <f>S50*VLOOKUP($B50,'EU Ref Scenario 2020'!$A$126:$AE$153,'Specified Annual Demand'!T$3,FALSE)</f>
        <v>88.943199590667817</v>
      </c>
      <c r="U50" s="7">
        <f>T50*VLOOKUP($B50,'EU Ref Scenario 2020'!$A$126:$AE$153,'Specified Annual Demand'!U$3,FALSE)</f>
        <v>88.60650964212752</v>
      </c>
      <c r="V50" s="7">
        <f>U50*VLOOKUP($B50,'EU Ref Scenario 2020'!$A$126:$AE$153,'Specified Annual Demand'!V$3,FALSE)</f>
        <v>88.380647644102254</v>
      </c>
      <c r="W50" s="7">
        <f>V50*VLOOKUP($B50,'EU Ref Scenario 2020'!$A$126:$AE$153,'Specified Annual Demand'!W$3,FALSE)</f>
        <v>88.154785646076988</v>
      </c>
      <c r="X50" s="7">
        <f>W50*VLOOKUP($B50,'EU Ref Scenario 2020'!$A$126:$AE$153,'Specified Annual Demand'!X$3,FALSE)</f>
        <v>87.928923648051722</v>
      </c>
      <c r="Y50" s="7">
        <f>X50*VLOOKUP($B50,'EU Ref Scenario 2020'!$A$126:$AE$153,'Specified Annual Demand'!Y$3,FALSE)</f>
        <v>87.703061650026456</v>
      </c>
      <c r="Z50" s="7">
        <f>Y50*VLOOKUP($B50,'EU Ref Scenario 2020'!$A$126:$AE$153,'Specified Annual Demand'!Z$3,FALSE)</f>
        <v>87.477199652001218</v>
      </c>
      <c r="AA50" s="7">
        <f>Z50*VLOOKUP($B50,'EU Ref Scenario 2020'!$A$126:$AE$153,'Specified Annual Demand'!AA$3,FALSE)</f>
        <v>87.046186287305261</v>
      </c>
      <c r="AB50" s="7">
        <f>AA50*VLOOKUP($B50,'EU Ref Scenario 2020'!$A$126:$AE$153,'Specified Annual Demand'!AB$3,FALSE)</f>
        <v>86.615172922609304</v>
      </c>
      <c r="AC50" s="7">
        <f>AB50*VLOOKUP($B50,'EU Ref Scenario 2020'!$A$126:$AE$153,'Specified Annual Demand'!AC$3,FALSE)</f>
        <v>86.184159557913347</v>
      </c>
      <c r="AD50" s="7">
        <f>AC50*VLOOKUP($B50,'EU Ref Scenario 2020'!$A$126:$AE$153,'Specified Annual Demand'!AD$3,FALSE)</f>
        <v>85.75314619321739</v>
      </c>
      <c r="AE50" s="7">
        <f>AD50*VLOOKUP($B50,'EU Ref Scenario 2020'!$A$126:$AE$153,'Specified Annual Demand'!AE$3,FALSE)</f>
        <v>85.322132828521418</v>
      </c>
      <c r="AF50" s="7">
        <f>AE50*VLOOKUP($B50,'EU Ref Scenario 2020'!$A$126:$AE$153,'Specified Annual Demand'!AF$3,FALSE)</f>
        <v>84.830960146923843</v>
      </c>
      <c r="AG50" s="7">
        <f>AF50*VLOOKUP($B50,'EU Ref Scenario 2020'!$A$126:$AE$153,'Specified Annual Demand'!AG$3,FALSE)</f>
        <v>84.339787465326268</v>
      </c>
      <c r="AH50" s="7">
        <f>AG50*VLOOKUP($B50,'EU Ref Scenario 2020'!$A$126:$AE$153,'Specified Annual Demand'!AH$3,FALSE)</f>
        <v>83.848614783728692</v>
      </c>
      <c r="AI50" s="7">
        <f>AH50*VLOOKUP($B50,'EU Ref Scenario 2020'!$A$126:$AE$153,'Specified Annual Demand'!AI$3,FALSE)</f>
        <v>83.357442102131117</v>
      </c>
      <c r="AJ50" s="7">
        <f>AI50*VLOOKUP($B50,'EU Ref Scenario 2020'!$A$126:$AE$153,'Specified Annual Demand'!AJ$3,FALSE)</f>
        <v>82.866269420533541</v>
      </c>
      <c r="AK50" s="8">
        <f t="shared" ref="AK50:AO50" si="46">AJ50</f>
        <v>82.866269420533541</v>
      </c>
      <c r="AL50" s="8">
        <f t="shared" si="46"/>
        <v>82.866269420533541</v>
      </c>
      <c r="AM50" s="8">
        <f t="shared" si="46"/>
        <v>82.866269420533541</v>
      </c>
      <c r="AN50" s="8">
        <f t="shared" si="46"/>
        <v>82.866269420533541</v>
      </c>
      <c r="AO50" s="8">
        <f t="shared" si="46"/>
        <v>82.866269420533541</v>
      </c>
    </row>
    <row r="51" spans="1:41" x14ac:dyDescent="0.3">
      <c r="A51" t="s">
        <v>147</v>
      </c>
      <c r="B51" t="str">
        <f t="shared" si="1"/>
        <v>FR</v>
      </c>
      <c r="C51" t="s">
        <v>47</v>
      </c>
      <c r="D51" s="2">
        <v>130.80554517647508</v>
      </c>
      <c r="E51" s="2">
        <v>131.11479637786869</v>
      </c>
      <c r="F51" s="2">
        <v>129.56733996802421</v>
      </c>
      <c r="G51" s="2">
        <v>131.90439456434589</v>
      </c>
      <c r="H51" s="7">
        <f>G51*VLOOKUP($B51,'EU Ref Scenario 2020'!$A$126:$AE$153,'Specified Annual Demand'!H$3,FALSE)</f>
        <v>131.06386522836107</v>
      </c>
      <c r="I51" s="7">
        <f>H51*VLOOKUP($B51,'EU Ref Scenario 2020'!$A$126:$AE$153,'Specified Annual Demand'!I$3,FALSE)</f>
        <v>130.22333589237627</v>
      </c>
      <c r="J51" s="7">
        <f>I51*VLOOKUP($B51,'EU Ref Scenario 2020'!$A$126:$AE$153,'Specified Annual Demand'!J$3,FALSE)</f>
        <v>129.38280655639147</v>
      </c>
      <c r="K51" s="7">
        <f>J51*VLOOKUP($B51,'EU Ref Scenario 2020'!$A$126:$AE$153,'Specified Annual Demand'!K$3,FALSE)</f>
        <v>128.54227722040665</v>
      </c>
      <c r="L51" s="7">
        <f>K51*VLOOKUP($B51,'EU Ref Scenario 2020'!$A$126:$AE$153,'Specified Annual Demand'!L$3,FALSE)</f>
        <v>126.6337444436958</v>
      </c>
      <c r="M51" s="7">
        <f>L51*VLOOKUP($B51,'EU Ref Scenario 2020'!$A$126:$AE$153,'Specified Annual Demand'!M$3,FALSE)</f>
        <v>124.72521166698496</v>
      </c>
      <c r="N51" s="7">
        <f>M51*VLOOKUP($B51,'EU Ref Scenario 2020'!$A$126:$AE$153,'Specified Annual Demand'!N$3,FALSE)</f>
        <v>122.81667889027413</v>
      </c>
      <c r="O51" s="7">
        <f>N51*VLOOKUP($B51,'EU Ref Scenario 2020'!$A$126:$AE$153,'Specified Annual Demand'!O$3,FALSE)</f>
        <v>120.90814611356329</v>
      </c>
      <c r="P51" s="7">
        <f>O51*VLOOKUP($B51,'EU Ref Scenario 2020'!$A$126:$AE$153,'Specified Annual Demand'!P$3,FALSE)</f>
        <v>118.99961333685249</v>
      </c>
      <c r="Q51" s="7">
        <f>P51*VLOOKUP($B51,'EU Ref Scenario 2020'!$A$126:$AE$153,'Specified Annual Demand'!Q$3,FALSE)</f>
        <v>118.55586550526986</v>
      </c>
      <c r="R51" s="7">
        <f>Q51*VLOOKUP($B51,'EU Ref Scenario 2020'!$A$126:$AE$153,'Specified Annual Demand'!R$3,FALSE)</f>
        <v>118.11211767368724</v>
      </c>
      <c r="S51" s="7">
        <f>R51*VLOOKUP($B51,'EU Ref Scenario 2020'!$A$126:$AE$153,'Specified Annual Demand'!S$3,FALSE)</f>
        <v>117.66836984210461</v>
      </c>
      <c r="T51" s="7">
        <f>S51*VLOOKUP($B51,'EU Ref Scenario 2020'!$A$126:$AE$153,'Specified Annual Demand'!T$3,FALSE)</f>
        <v>117.22462201052198</v>
      </c>
      <c r="U51" s="7">
        <f>T51*VLOOKUP($B51,'EU Ref Scenario 2020'!$A$126:$AE$153,'Specified Annual Demand'!U$3,FALSE)</f>
        <v>116.78087417893937</v>
      </c>
      <c r="V51" s="7">
        <f>U51*VLOOKUP($B51,'EU Ref Scenario 2020'!$A$126:$AE$153,'Specified Annual Demand'!V$3,FALSE)</f>
        <v>116.48319445224972</v>
      </c>
      <c r="W51" s="7">
        <f>V51*VLOOKUP($B51,'EU Ref Scenario 2020'!$A$126:$AE$153,'Specified Annual Demand'!W$3,FALSE)</f>
        <v>116.18551472556007</v>
      </c>
      <c r="X51" s="7">
        <f>W51*VLOOKUP($B51,'EU Ref Scenario 2020'!$A$126:$AE$153,'Specified Annual Demand'!X$3,FALSE)</f>
        <v>115.88783499887043</v>
      </c>
      <c r="Y51" s="7">
        <f>X51*VLOOKUP($B51,'EU Ref Scenario 2020'!$A$126:$AE$153,'Specified Annual Demand'!Y$3,FALSE)</f>
        <v>115.59015527218079</v>
      </c>
      <c r="Z51" s="7">
        <f>Y51*VLOOKUP($B51,'EU Ref Scenario 2020'!$A$126:$AE$153,'Specified Annual Demand'!Z$3,FALSE)</f>
        <v>115.29247554549117</v>
      </c>
      <c r="AA51" s="7">
        <f>Z51*VLOOKUP($B51,'EU Ref Scenario 2020'!$A$126:$AE$153,'Specified Annual Demand'!AA$3,FALSE)</f>
        <v>114.72441211860195</v>
      </c>
      <c r="AB51" s="7">
        <f>AA51*VLOOKUP($B51,'EU Ref Scenario 2020'!$A$126:$AE$153,'Specified Annual Demand'!AB$3,FALSE)</f>
        <v>114.15634869171272</v>
      </c>
      <c r="AC51" s="7">
        <f>AB51*VLOOKUP($B51,'EU Ref Scenario 2020'!$A$126:$AE$153,'Specified Annual Demand'!AC$3,FALSE)</f>
        <v>113.5882852648235</v>
      </c>
      <c r="AD51" s="7">
        <f>AC51*VLOOKUP($B51,'EU Ref Scenario 2020'!$A$126:$AE$153,'Specified Annual Demand'!AD$3,FALSE)</f>
        <v>113.02022183793429</v>
      </c>
      <c r="AE51" s="7">
        <f>AD51*VLOOKUP($B51,'EU Ref Scenario 2020'!$A$126:$AE$153,'Specified Annual Demand'!AE$3,FALSE)</f>
        <v>112.45215841104505</v>
      </c>
      <c r="AF51" s="7">
        <f>AE51*VLOOKUP($B51,'EU Ref Scenario 2020'!$A$126:$AE$153,'Specified Annual Demand'!AF$3,FALSE)</f>
        <v>111.80480670560661</v>
      </c>
      <c r="AG51" s="7">
        <f>AF51*VLOOKUP($B51,'EU Ref Scenario 2020'!$A$126:$AE$153,'Specified Annual Demand'!AG$3,FALSE)</f>
        <v>111.15745500016818</v>
      </c>
      <c r="AH51" s="7">
        <f>AG51*VLOOKUP($B51,'EU Ref Scenario 2020'!$A$126:$AE$153,'Specified Annual Demand'!AH$3,FALSE)</f>
        <v>110.51010329472976</v>
      </c>
      <c r="AI51" s="7">
        <f>AH51*VLOOKUP($B51,'EU Ref Scenario 2020'!$A$126:$AE$153,'Specified Annual Demand'!AI$3,FALSE)</f>
        <v>109.86275158929134</v>
      </c>
      <c r="AJ51" s="7">
        <f>AI51*VLOOKUP($B51,'EU Ref Scenario 2020'!$A$126:$AE$153,'Specified Annual Demand'!AJ$3,FALSE)</f>
        <v>109.21539988385288</v>
      </c>
      <c r="AK51" s="8">
        <f t="shared" ref="AK51:AO51" si="47">AJ51</f>
        <v>109.21539988385288</v>
      </c>
      <c r="AL51" s="8">
        <f t="shared" si="47"/>
        <v>109.21539988385288</v>
      </c>
      <c r="AM51" s="8">
        <f t="shared" si="47"/>
        <v>109.21539988385288</v>
      </c>
      <c r="AN51" s="8">
        <f t="shared" si="47"/>
        <v>109.21539988385288</v>
      </c>
      <c r="AO51" s="8">
        <f t="shared" si="47"/>
        <v>109.21539988385288</v>
      </c>
    </row>
    <row r="52" spans="1:41" x14ac:dyDescent="0.3">
      <c r="A52" t="s">
        <v>148</v>
      </c>
      <c r="B52" t="str">
        <f t="shared" si="1"/>
        <v>FR</v>
      </c>
      <c r="C52" t="s">
        <v>48</v>
      </c>
      <c r="D52" s="2">
        <v>527.59900210249259</v>
      </c>
      <c r="E52" s="2">
        <v>521.94935353802418</v>
      </c>
      <c r="F52" s="2">
        <v>523.08893561718764</v>
      </c>
      <c r="G52" s="2">
        <v>520.01476005386166</v>
      </c>
      <c r="H52" s="7">
        <f>G52*VLOOKUP($B52,'EU Ref Scenario 2020'!$A$126:$AE$153,'Specified Annual Demand'!H$3,FALSE)</f>
        <v>516.70108985800505</v>
      </c>
      <c r="I52" s="7">
        <f>H52*VLOOKUP($B52,'EU Ref Scenario 2020'!$A$126:$AE$153,'Specified Annual Demand'!I$3,FALSE)</f>
        <v>513.38741966214855</v>
      </c>
      <c r="J52" s="7">
        <f>I52*VLOOKUP($B52,'EU Ref Scenario 2020'!$A$126:$AE$153,'Specified Annual Demand'!J$3,FALSE)</f>
        <v>510.07374946629204</v>
      </c>
      <c r="K52" s="7">
        <f>J52*VLOOKUP($B52,'EU Ref Scenario 2020'!$A$126:$AE$153,'Specified Annual Demand'!K$3,FALSE)</f>
        <v>506.76007927043543</v>
      </c>
      <c r="L52" s="7">
        <f>K52*VLOOKUP($B52,'EU Ref Scenario 2020'!$A$126:$AE$153,'Specified Annual Demand'!L$3,FALSE)</f>
        <v>499.23595380657855</v>
      </c>
      <c r="M52" s="7">
        <f>L52*VLOOKUP($B52,'EU Ref Scenario 2020'!$A$126:$AE$153,'Specified Annual Demand'!M$3,FALSE)</f>
        <v>491.71182834272173</v>
      </c>
      <c r="N52" s="7">
        <f>M52*VLOOKUP($B52,'EU Ref Scenario 2020'!$A$126:$AE$153,'Specified Annual Demand'!N$3,FALSE)</f>
        <v>484.18770287886491</v>
      </c>
      <c r="O52" s="7">
        <f>N52*VLOOKUP($B52,'EU Ref Scenario 2020'!$A$126:$AE$153,'Specified Annual Demand'!O$3,FALSE)</f>
        <v>476.66357741500804</v>
      </c>
      <c r="P52" s="7">
        <f>O52*VLOOKUP($B52,'EU Ref Scenario 2020'!$A$126:$AE$153,'Specified Annual Demand'!P$3,FALSE)</f>
        <v>469.13945195115133</v>
      </c>
      <c r="Q52" s="7">
        <f>P52*VLOOKUP($B52,'EU Ref Scenario 2020'!$A$126:$AE$153,'Specified Annual Demand'!Q$3,FALSE)</f>
        <v>467.39003774151104</v>
      </c>
      <c r="R52" s="7">
        <f>Q52*VLOOKUP($B52,'EU Ref Scenario 2020'!$A$126:$AE$153,'Specified Annual Demand'!R$3,FALSE)</f>
        <v>465.64062353187074</v>
      </c>
      <c r="S52" s="7">
        <f>R52*VLOOKUP($B52,'EU Ref Scenario 2020'!$A$126:$AE$153,'Specified Annual Demand'!S$3,FALSE)</f>
        <v>463.89120932223045</v>
      </c>
      <c r="T52" s="7">
        <f>S52*VLOOKUP($B52,'EU Ref Scenario 2020'!$A$126:$AE$153,'Specified Annual Demand'!T$3,FALSE)</f>
        <v>462.14179511259022</v>
      </c>
      <c r="U52" s="7">
        <f>T52*VLOOKUP($B52,'EU Ref Scenario 2020'!$A$126:$AE$153,'Specified Annual Demand'!U$3,FALSE)</f>
        <v>460.39238090295004</v>
      </c>
      <c r="V52" s="7">
        <f>U52*VLOOKUP($B52,'EU Ref Scenario 2020'!$A$126:$AE$153,'Specified Annual Demand'!V$3,FALSE)</f>
        <v>459.21881991463965</v>
      </c>
      <c r="W52" s="7">
        <f>V52*VLOOKUP($B52,'EU Ref Scenario 2020'!$A$126:$AE$153,'Specified Annual Demand'!W$3,FALSE)</f>
        <v>458.04525892632927</v>
      </c>
      <c r="X52" s="7">
        <f>W52*VLOOKUP($B52,'EU Ref Scenario 2020'!$A$126:$AE$153,'Specified Annual Demand'!X$3,FALSE)</f>
        <v>456.87169793801888</v>
      </c>
      <c r="Y52" s="7">
        <f>X52*VLOOKUP($B52,'EU Ref Scenario 2020'!$A$126:$AE$153,'Specified Annual Demand'!Y$3,FALSE)</f>
        <v>455.6981369497085</v>
      </c>
      <c r="Z52" s="7">
        <f>Y52*VLOOKUP($B52,'EU Ref Scenario 2020'!$A$126:$AE$153,'Specified Annual Demand'!Z$3,FALSE)</f>
        <v>454.52457596139823</v>
      </c>
      <c r="AA52" s="7">
        <f>Z52*VLOOKUP($B52,'EU Ref Scenario 2020'!$A$126:$AE$153,'Specified Annual Demand'!AA$3,FALSE)</f>
        <v>452.28506477903903</v>
      </c>
      <c r="AB52" s="7">
        <f>AA52*VLOOKUP($B52,'EU Ref Scenario 2020'!$A$126:$AE$153,'Specified Annual Demand'!AB$3,FALSE)</f>
        <v>450.04555359667984</v>
      </c>
      <c r="AC52" s="7">
        <f>AB52*VLOOKUP($B52,'EU Ref Scenario 2020'!$A$126:$AE$153,'Specified Annual Demand'!AC$3,FALSE)</f>
        <v>447.80604241432064</v>
      </c>
      <c r="AD52" s="7">
        <f>AC52*VLOOKUP($B52,'EU Ref Scenario 2020'!$A$126:$AE$153,'Specified Annual Demand'!AD$3,FALSE)</f>
        <v>445.56653123196145</v>
      </c>
      <c r="AE52" s="7">
        <f>AD52*VLOOKUP($B52,'EU Ref Scenario 2020'!$A$126:$AE$153,'Specified Annual Demand'!AE$3,FALSE)</f>
        <v>443.3270200496022</v>
      </c>
      <c r="AF52" s="7">
        <f>AE52*VLOOKUP($B52,'EU Ref Scenario 2020'!$A$126:$AE$153,'Specified Annual Demand'!AF$3,FALSE)</f>
        <v>440.77492583859538</v>
      </c>
      <c r="AG52" s="7">
        <f>AF52*VLOOKUP($B52,'EU Ref Scenario 2020'!$A$126:$AE$153,'Specified Annual Demand'!AG$3,FALSE)</f>
        <v>438.22283162758856</v>
      </c>
      <c r="AH52" s="7">
        <f>AG52*VLOOKUP($B52,'EU Ref Scenario 2020'!$A$126:$AE$153,'Specified Annual Demand'!AH$3,FALSE)</f>
        <v>435.67073741658174</v>
      </c>
      <c r="AI52" s="7">
        <f>AH52*VLOOKUP($B52,'EU Ref Scenario 2020'!$A$126:$AE$153,'Specified Annual Demand'!AI$3,FALSE)</f>
        <v>433.11864320557493</v>
      </c>
      <c r="AJ52" s="7">
        <f>AI52*VLOOKUP($B52,'EU Ref Scenario 2020'!$A$126:$AE$153,'Specified Annual Demand'!AJ$3,FALSE)</f>
        <v>430.56654899456805</v>
      </c>
      <c r="AK52" s="8">
        <f t="shared" ref="AK52:AO52" si="48">AJ52</f>
        <v>430.56654899456805</v>
      </c>
      <c r="AL52" s="8">
        <f t="shared" si="48"/>
        <v>430.56654899456805</v>
      </c>
      <c r="AM52" s="8">
        <f t="shared" si="48"/>
        <v>430.56654899456805</v>
      </c>
      <c r="AN52" s="8">
        <f t="shared" si="48"/>
        <v>430.56654899456805</v>
      </c>
      <c r="AO52" s="8">
        <f t="shared" si="48"/>
        <v>430.56654899456805</v>
      </c>
    </row>
    <row r="53" spans="1:41" x14ac:dyDescent="0.3">
      <c r="A53" t="s">
        <v>145</v>
      </c>
      <c r="B53" t="str">
        <f t="shared" si="1"/>
        <v>HR</v>
      </c>
      <c r="C53" t="s">
        <v>49</v>
      </c>
      <c r="D53" s="2">
        <v>64.193282886391657</v>
      </c>
      <c r="E53" s="2">
        <v>63.649199978483118</v>
      </c>
      <c r="F53" s="2">
        <v>64.495234916489068</v>
      </c>
      <c r="G53" s="2">
        <v>71.719167933259072</v>
      </c>
      <c r="H53" s="7">
        <f>G53*VLOOKUP($B53,'EU Ref Scenario 2020'!$A$126:$AE$153,'Specified Annual Demand'!H$3,FALSE)</f>
        <v>72.782884289604056</v>
      </c>
      <c r="I53" s="7">
        <f>H53*VLOOKUP($B53,'EU Ref Scenario 2020'!$A$126:$AE$153,'Specified Annual Demand'!I$3,FALSE)</f>
        <v>73.846600645949039</v>
      </c>
      <c r="J53" s="7">
        <f>I53*VLOOKUP($B53,'EU Ref Scenario 2020'!$A$126:$AE$153,'Specified Annual Demand'!J$3,FALSE)</f>
        <v>74.910317002294022</v>
      </c>
      <c r="K53" s="7">
        <f>J53*VLOOKUP($B53,'EU Ref Scenario 2020'!$A$126:$AE$153,'Specified Annual Demand'!K$3,FALSE)</f>
        <v>75.974033358639005</v>
      </c>
      <c r="L53" s="7">
        <f>K53*VLOOKUP($B53,'EU Ref Scenario 2020'!$A$126:$AE$153,'Specified Annual Demand'!L$3,FALSE)</f>
        <v>76.187382649148333</v>
      </c>
      <c r="M53" s="7">
        <f>L53*VLOOKUP($B53,'EU Ref Scenario 2020'!$A$126:$AE$153,'Specified Annual Demand'!M$3,FALSE)</f>
        <v>76.400731939657661</v>
      </c>
      <c r="N53" s="7">
        <f>M53*VLOOKUP($B53,'EU Ref Scenario 2020'!$A$126:$AE$153,'Specified Annual Demand'!N$3,FALSE)</f>
        <v>76.614081230167002</v>
      </c>
      <c r="O53" s="7">
        <f>N53*VLOOKUP($B53,'EU Ref Scenario 2020'!$A$126:$AE$153,'Specified Annual Demand'!O$3,FALSE)</f>
        <v>76.82743052067633</v>
      </c>
      <c r="P53" s="7">
        <f>O53*VLOOKUP($B53,'EU Ref Scenario 2020'!$A$126:$AE$153,'Specified Annual Demand'!P$3,FALSE)</f>
        <v>77.040779811185672</v>
      </c>
      <c r="Q53" s="7">
        <f>P53*VLOOKUP($B53,'EU Ref Scenario 2020'!$A$126:$AE$153,'Specified Annual Demand'!Q$3,FALSE)</f>
        <v>77.001175303142915</v>
      </c>
      <c r="R53" s="7">
        <f>Q53*VLOOKUP($B53,'EU Ref Scenario 2020'!$A$126:$AE$153,'Specified Annual Demand'!R$3,FALSE)</f>
        <v>76.961570795100144</v>
      </c>
      <c r="S53" s="7">
        <f>R53*VLOOKUP($B53,'EU Ref Scenario 2020'!$A$126:$AE$153,'Specified Annual Demand'!S$3,FALSE)</f>
        <v>76.921966287057387</v>
      </c>
      <c r="T53" s="7">
        <f>S53*VLOOKUP($B53,'EU Ref Scenario 2020'!$A$126:$AE$153,'Specified Annual Demand'!T$3,FALSE)</f>
        <v>76.88236177901463</v>
      </c>
      <c r="U53" s="7">
        <f>T53*VLOOKUP($B53,'EU Ref Scenario 2020'!$A$126:$AE$153,'Specified Annual Demand'!U$3,FALSE)</f>
        <v>76.842757270971887</v>
      </c>
      <c r="V53" s="7">
        <f>U53*VLOOKUP($B53,'EU Ref Scenario 2020'!$A$126:$AE$153,'Specified Annual Demand'!V$3,FALSE)</f>
        <v>76.302288481760755</v>
      </c>
      <c r="W53" s="7">
        <f>V53*VLOOKUP($B53,'EU Ref Scenario 2020'!$A$126:$AE$153,'Specified Annual Demand'!W$3,FALSE)</f>
        <v>75.761819692549608</v>
      </c>
      <c r="X53" s="7">
        <f>W53*VLOOKUP($B53,'EU Ref Scenario 2020'!$A$126:$AE$153,'Specified Annual Demand'!X$3,FALSE)</f>
        <v>75.221350903338475</v>
      </c>
      <c r="Y53" s="7">
        <f>X53*VLOOKUP($B53,'EU Ref Scenario 2020'!$A$126:$AE$153,'Specified Annual Demand'!Y$3,FALSE)</f>
        <v>74.680882114127343</v>
      </c>
      <c r="Z53" s="7">
        <f>Y53*VLOOKUP($B53,'EU Ref Scenario 2020'!$A$126:$AE$153,'Specified Annual Demand'!Z$3,FALSE)</f>
        <v>74.14041332491621</v>
      </c>
      <c r="AA53" s="7">
        <f>Z53*VLOOKUP($B53,'EU Ref Scenario 2020'!$A$126:$AE$153,'Specified Annual Demand'!AA$3,FALSE)</f>
        <v>73.620771525508957</v>
      </c>
      <c r="AB53" s="7">
        <f>AA53*VLOOKUP($B53,'EU Ref Scenario 2020'!$A$126:$AE$153,'Specified Annual Demand'!AB$3,FALSE)</f>
        <v>73.101129726101703</v>
      </c>
      <c r="AC53" s="7">
        <f>AB53*VLOOKUP($B53,'EU Ref Scenario 2020'!$A$126:$AE$153,'Specified Annual Demand'!AC$3,FALSE)</f>
        <v>72.58148792669445</v>
      </c>
      <c r="AD53" s="7">
        <f>AC53*VLOOKUP($B53,'EU Ref Scenario 2020'!$A$126:$AE$153,'Specified Annual Demand'!AD$3,FALSE)</f>
        <v>72.061846127287197</v>
      </c>
      <c r="AE53" s="7">
        <f>AD53*VLOOKUP($B53,'EU Ref Scenario 2020'!$A$126:$AE$153,'Specified Annual Demand'!AE$3,FALSE)</f>
        <v>71.542204327879929</v>
      </c>
      <c r="AF53" s="7">
        <f>AE53*VLOOKUP($B53,'EU Ref Scenario 2020'!$A$126:$AE$153,'Specified Annual Demand'!AF$3,FALSE)</f>
        <v>71.178622137035077</v>
      </c>
      <c r="AG53" s="7">
        <f>AF53*VLOOKUP($B53,'EU Ref Scenario 2020'!$A$126:$AE$153,'Specified Annual Demand'!AG$3,FALSE)</f>
        <v>70.81503994619024</v>
      </c>
      <c r="AH53" s="7">
        <f>AG53*VLOOKUP($B53,'EU Ref Scenario 2020'!$A$126:$AE$153,'Specified Annual Demand'!AH$3,FALSE)</f>
        <v>70.451457755345388</v>
      </c>
      <c r="AI53" s="7">
        <f>AH53*VLOOKUP($B53,'EU Ref Scenario 2020'!$A$126:$AE$153,'Specified Annual Demand'!AI$3,FALSE)</f>
        <v>70.087875564500536</v>
      </c>
      <c r="AJ53" s="7">
        <f>AI53*VLOOKUP($B53,'EU Ref Scenario 2020'!$A$126:$AE$153,'Specified Annual Demand'!AJ$3,FALSE)</f>
        <v>69.724293373655669</v>
      </c>
      <c r="AK53" s="8">
        <f t="shared" ref="AK53:AO53" si="49">AJ53</f>
        <v>69.724293373655669</v>
      </c>
      <c r="AL53" s="8">
        <f t="shared" si="49"/>
        <v>69.724293373655669</v>
      </c>
      <c r="AM53" s="8">
        <f t="shared" si="49"/>
        <v>69.724293373655669</v>
      </c>
      <c r="AN53" s="8">
        <f t="shared" si="49"/>
        <v>69.724293373655669</v>
      </c>
      <c r="AO53" s="8">
        <f t="shared" si="49"/>
        <v>69.724293373655669</v>
      </c>
    </row>
    <row r="54" spans="1:41" x14ac:dyDescent="0.3">
      <c r="A54" t="s">
        <v>146</v>
      </c>
      <c r="B54" t="str">
        <f t="shared" si="1"/>
        <v>HR</v>
      </c>
      <c r="C54" t="s">
        <v>50</v>
      </c>
      <c r="D54" s="2">
        <v>8.4771376077622449</v>
      </c>
      <c r="E54" s="2">
        <v>9.0905680563531686</v>
      </c>
      <c r="F54" s="2">
        <v>8.6037250081169763</v>
      </c>
      <c r="G54" s="2">
        <v>9.9980313139420094</v>
      </c>
      <c r="H54" s="7">
        <f>G54*VLOOKUP($B54,'EU Ref Scenario 2020'!$A$126:$AE$153,'Specified Annual Demand'!H$3,FALSE)</f>
        <v>10.146318999735943</v>
      </c>
      <c r="I54" s="7">
        <f>H54*VLOOKUP($B54,'EU Ref Scenario 2020'!$A$126:$AE$153,'Specified Annual Demand'!I$3,FALSE)</f>
        <v>10.294606685529876</v>
      </c>
      <c r="J54" s="7">
        <f>I54*VLOOKUP($B54,'EU Ref Scenario 2020'!$A$126:$AE$153,'Specified Annual Demand'!J$3,FALSE)</f>
        <v>10.44289437132381</v>
      </c>
      <c r="K54" s="7">
        <f>J54*VLOOKUP($B54,'EU Ref Scenario 2020'!$A$126:$AE$153,'Specified Annual Demand'!K$3,FALSE)</f>
        <v>10.591182057117743</v>
      </c>
      <c r="L54" s="7">
        <f>K54*VLOOKUP($B54,'EU Ref Scenario 2020'!$A$126:$AE$153,'Specified Annual Demand'!L$3,FALSE)</f>
        <v>10.620924076563711</v>
      </c>
      <c r="M54" s="7">
        <f>L54*VLOOKUP($B54,'EU Ref Scenario 2020'!$A$126:$AE$153,'Specified Annual Demand'!M$3,FALSE)</f>
        <v>10.650666096009678</v>
      </c>
      <c r="N54" s="7">
        <f>M54*VLOOKUP($B54,'EU Ref Scenario 2020'!$A$126:$AE$153,'Specified Annual Demand'!N$3,FALSE)</f>
        <v>10.680408115455647</v>
      </c>
      <c r="O54" s="7">
        <f>N54*VLOOKUP($B54,'EU Ref Scenario 2020'!$A$126:$AE$153,'Specified Annual Demand'!O$3,FALSE)</f>
        <v>10.710150134901614</v>
      </c>
      <c r="P54" s="7">
        <f>O54*VLOOKUP($B54,'EU Ref Scenario 2020'!$A$126:$AE$153,'Specified Annual Demand'!P$3,FALSE)</f>
        <v>10.739892154347583</v>
      </c>
      <c r="Q54" s="7">
        <f>P54*VLOOKUP($B54,'EU Ref Scenario 2020'!$A$126:$AE$153,'Specified Annual Demand'!Q$3,FALSE)</f>
        <v>10.734371076468468</v>
      </c>
      <c r="R54" s="7">
        <f>Q54*VLOOKUP($B54,'EU Ref Scenario 2020'!$A$126:$AE$153,'Specified Annual Demand'!R$3,FALSE)</f>
        <v>10.728849998589354</v>
      </c>
      <c r="S54" s="7">
        <f>R54*VLOOKUP($B54,'EU Ref Scenario 2020'!$A$126:$AE$153,'Specified Annual Demand'!S$3,FALSE)</f>
        <v>10.723328920710239</v>
      </c>
      <c r="T54" s="7">
        <f>S54*VLOOKUP($B54,'EU Ref Scenario 2020'!$A$126:$AE$153,'Specified Annual Demand'!T$3,FALSE)</f>
        <v>10.717807842831125</v>
      </c>
      <c r="U54" s="7">
        <f>T54*VLOOKUP($B54,'EU Ref Scenario 2020'!$A$126:$AE$153,'Specified Annual Demand'!U$3,FALSE)</f>
        <v>10.712286764952013</v>
      </c>
      <c r="V54" s="7">
        <f>U54*VLOOKUP($B54,'EU Ref Scenario 2020'!$A$126:$AE$153,'Specified Annual Demand'!V$3,FALSE)</f>
        <v>10.636942557336974</v>
      </c>
      <c r="W54" s="7">
        <f>V54*VLOOKUP($B54,'EU Ref Scenario 2020'!$A$126:$AE$153,'Specified Annual Demand'!W$3,FALSE)</f>
        <v>10.561598349721935</v>
      </c>
      <c r="X54" s="7">
        <f>W54*VLOOKUP($B54,'EU Ref Scenario 2020'!$A$126:$AE$153,'Specified Annual Demand'!X$3,FALSE)</f>
        <v>10.486254142106896</v>
      </c>
      <c r="Y54" s="7">
        <f>X54*VLOOKUP($B54,'EU Ref Scenario 2020'!$A$126:$AE$153,'Specified Annual Demand'!Y$3,FALSE)</f>
        <v>10.410909934491857</v>
      </c>
      <c r="Z54" s="7">
        <f>Y54*VLOOKUP($B54,'EU Ref Scenario 2020'!$A$126:$AE$153,'Specified Annual Demand'!Z$3,FALSE)</f>
        <v>10.335565726876819</v>
      </c>
      <c r="AA54" s="7">
        <f>Z54*VLOOKUP($B54,'EU Ref Scenario 2020'!$A$126:$AE$153,'Specified Annual Demand'!AA$3,FALSE)</f>
        <v>10.26312491178898</v>
      </c>
      <c r="AB54" s="7">
        <f>AA54*VLOOKUP($B54,'EU Ref Scenario 2020'!$A$126:$AE$153,'Specified Annual Demand'!AB$3,FALSE)</f>
        <v>10.190684096701141</v>
      </c>
      <c r="AC54" s="7">
        <f>AB54*VLOOKUP($B54,'EU Ref Scenario 2020'!$A$126:$AE$153,'Specified Annual Demand'!AC$3,FALSE)</f>
        <v>10.118243281613301</v>
      </c>
      <c r="AD54" s="7">
        <f>AC54*VLOOKUP($B54,'EU Ref Scenario 2020'!$A$126:$AE$153,'Specified Annual Demand'!AD$3,FALSE)</f>
        <v>10.045802466525462</v>
      </c>
      <c r="AE54" s="7">
        <f>AD54*VLOOKUP($B54,'EU Ref Scenario 2020'!$A$126:$AE$153,'Specified Annual Demand'!AE$3,FALSE)</f>
        <v>9.9733616514376209</v>
      </c>
      <c r="AF54" s="7">
        <f>AE54*VLOOKUP($B54,'EU Ref Scenario 2020'!$A$126:$AE$153,'Specified Annual Demand'!AF$3,FALSE)</f>
        <v>9.9226763711421047</v>
      </c>
      <c r="AG54" s="7">
        <f>AF54*VLOOKUP($B54,'EU Ref Scenario 2020'!$A$126:$AE$153,'Specified Annual Demand'!AG$3,FALSE)</f>
        <v>9.8719910908465884</v>
      </c>
      <c r="AH54" s="7">
        <f>AG54*VLOOKUP($B54,'EU Ref Scenario 2020'!$A$126:$AE$153,'Specified Annual Demand'!AH$3,FALSE)</f>
        <v>9.8213058105510722</v>
      </c>
      <c r="AI54" s="7">
        <f>AH54*VLOOKUP($B54,'EU Ref Scenario 2020'!$A$126:$AE$153,'Specified Annual Demand'!AI$3,FALSE)</f>
        <v>9.770620530255556</v>
      </c>
      <c r="AJ54" s="7">
        <f>AI54*VLOOKUP($B54,'EU Ref Scenario 2020'!$A$126:$AE$153,'Specified Annual Demand'!AJ$3,FALSE)</f>
        <v>9.7199352499600362</v>
      </c>
      <c r="AK54" s="8">
        <f t="shared" ref="AK54:AO54" si="50">AJ54</f>
        <v>9.7199352499600362</v>
      </c>
      <c r="AL54" s="8">
        <f t="shared" si="50"/>
        <v>9.7199352499600362</v>
      </c>
      <c r="AM54" s="8">
        <f t="shared" si="50"/>
        <v>9.7199352499600362</v>
      </c>
      <c r="AN54" s="8">
        <f t="shared" si="50"/>
        <v>9.7199352499600362</v>
      </c>
      <c r="AO54" s="8">
        <f t="shared" si="50"/>
        <v>9.7199352499600362</v>
      </c>
    </row>
    <row r="55" spans="1:41" x14ac:dyDescent="0.3">
      <c r="A55" t="s">
        <v>147</v>
      </c>
      <c r="B55" t="str">
        <f t="shared" si="1"/>
        <v>HR</v>
      </c>
      <c r="C55" t="s">
        <v>51</v>
      </c>
      <c r="D55" s="2">
        <v>7.2895908155262035</v>
      </c>
      <c r="E55" s="2">
        <v>7.3578991077481639</v>
      </c>
      <c r="F55" s="2">
        <v>6.8838756210889809</v>
      </c>
      <c r="G55" s="2">
        <v>7.6760288757674386</v>
      </c>
      <c r="H55" s="7">
        <f>G55*VLOOKUP($B55,'EU Ref Scenario 2020'!$A$126:$AE$153,'Specified Annual Demand'!H$3,FALSE)</f>
        <v>7.7898773447642986</v>
      </c>
      <c r="I55" s="7">
        <f>H55*VLOOKUP($B55,'EU Ref Scenario 2020'!$A$126:$AE$153,'Specified Annual Demand'!I$3,FALSE)</f>
        <v>7.9037258137611586</v>
      </c>
      <c r="J55" s="7">
        <f>I55*VLOOKUP($B55,'EU Ref Scenario 2020'!$A$126:$AE$153,'Specified Annual Demand'!J$3,FALSE)</f>
        <v>8.0175742827580176</v>
      </c>
      <c r="K55" s="7">
        <f>J55*VLOOKUP($B55,'EU Ref Scenario 2020'!$A$126:$AE$153,'Specified Annual Demand'!K$3,FALSE)</f>
        <v>8.1314227517548776</v>
      </c>
      <c r="L55" s="7">
        <f>K55*VLOOKUP($B55,'EU Ref Scenario 2020'!$A$126:$AE$153,'Specified Annual Demand'!L$3,FALSE)</f>
        <v>8.1542573071710542</v>
      </c>
      <c r="M55" s="7">
        <f>L55*VLOOKUP($B55,'EU Ref Scenario 2020'!$A$126:$AE$153,'Specified Annual Demand'!M$3,FALSE)</f>
        <v>8.1770918625872309</v>
      </c>
      <c r="N55" s="7">
        <f>M55*VLOOKUP($B55,'EU Ref Scenario 2020'!$A$126:$AE$153,'Specified Annual Demand'!N$3,FALSE)</f>
        <v>8.1999264180034093</v>
      </c>
      <c r="O55" s="7">
        <f>N55*VLOOKUP($B55,'EU Ref Scenario 2020'!$A$126:$AE$153,'Specified Annual Demand'!O$3,FALSE)</f>
        <v>8.2227609734195859</v>
      </c>
      <c r="P55" s="7">
        <f>O55*VLOOKUP($B55,'EU Ref Scenario 2020'!$A$126:$AE$153,'Specified Annual Demand'!P$3,FALSE)</f>
        <v>8.2455955288357643</v>
      </c>
      <c r="Q55" s="7">
        <f>P55*VLOOKUP($B55,'EU Ref Scenario 2020'!$A$126:$AE$153,'Specified Annual Demand'!Q$3,FALSE)</f>
        <v>8.2413566990207041</v>
      </c>
      <c r="R55" s="7">
        <f>Q55*VLOOKUP($B55,'EU Ref Scenario 2020'!$A$126:$AE$153,'Specified Annual Demand'!R$3,FALSE)</f>
        <v>8.2371178692056439</v>
      </c>
      <c r="S55" s="7">
        <f>R55*VLOOKUP($B55,'EU Ref Scenario 2020'!$A$126:$AE$153,'Specified Annual Demand'!S$3,FALSE)</f>
        <v>8.2328790393905837</v>
      </c>
      <c r="T55" s="7">
        <f>S55*VLOOKUP($B55,'EU Ref Scenario 2020'!$A$126:$AE$153,'Specified Annual Demand'!T$3,FALSE)</f>
        <v>8.2286402095755236</v>
      </c>
      <c r="U55" s="7">
        <f>T55*VLOOKUP($B55,'EU Ref Scenario 2020'!$A$126:$AE$153,'Specified Annual Demand'!U$3,FALSE)</f>
        <v>8.2244013797604669</v>
      </c>
      <c r="V55" s="7">
        <f>U55*VLOOKUP($B55,'EU Ref Scenario 2020'!$A$126:$AE$153,'Specified Annual Demand'!V$3,FALSE)</f>
        <v>8.1665555604071738</v>
      </c>
      <c r="W55" s="7">
        <f>V55*VLOOKUP($B55,'EU Ref Scenario 2020'!$A$126:$AE$153,'Specified Annual Demand'!W$3,FALSE)</f>
        <v>8.1087097410538806</v>
      </c>
      <c r="X55" s="7">
        <f>W55*VLOOKUP($B55,'EU Ref Scenario 2020'!$A$126:$AE$153,'Specified Annual Demand'!X$3,FALSE)</f>
        <v>8.0508639217005875</v>
      </c>
      <c r="Y55" s="7">
        <f>X55*VLOOKUP($B55,'EU Ref Scenario 2020'!$A$126:$AE$153,'Specified Annual Demand'!Y$3,FALSE)</f>
        <v>7.9930181023472953</v>
      </c>
      <c r="Z55" s="7">
        <f>Y55*VLOOKUP($B55,'EU Ref Scenario 2020'!$A$126:$AE$153,'Specified Annual Demand'!Z$3,FALSE)</f>
        <v>7.9351722829940039</v>
      </c>
      <c r="AA55" s="7">
        <f>Z55*VLOOKUP($B55,'EU Ref Scenario 2020'!$A$126:$AE$153,'Specified Annual Demand'!AA$3,FALSE)</f>
        <v>7.8795555549664602</v>
      </c>
      <c r="AB55" s="7">
        <f>AA55*VLOOKUP($B55,'EU Ref Scenario 2020'!$A$126:$AE$153,'Specified Annual Demand'!AB$3,FALSE)</f>
        <v>7.8239388269389165</v>
      </c>
      <c r="AC55" s="7">
        <f>AB55*VLOOKUP($B55,'EU Ref Scenario 2020'!$A$126:$AE$153,'Specified Annual Demand'!AC$3,FALSE)</f>
        <v>7.7683220989113728</v>
      </c>
      <c r="AD55" s="7">
        <f>AC55*VLOOKUP($B55,'EU Ref Scenario 2020'!$A$126:$AE$153,'Specified Annual Demand'!AD$3,FALSE)</f>
        <v>7.7127053708838291</v>
      </c>
      <c r="AE55" s="7">
        <f>AD55*VLOOKUP($B55,'EU Ref Scenario 2020'!$A$126:$AE$153,'Specified Annual Demand'!AE$3,FALSE)</f>
        <v>7.6570886428562837</v>
      </c>
      <c r="AF55" s="7">
        <f>AE55*VLOOKUP($B55,'EU Ref Scenario 2020'!$A$126:$AE$153,'Specified Annual Demand'!AF$3,FALSE)</f>
        <v>7.6181748144326606</v>
      </c>
      <c r="AG55" s="7">
        <f>AF55*VLOOKUP($B55,'EU Ref Scenario 2020'!$A$126:$AE$153,'Specified Annual Demand'!AG$3,FALSE)</f>
        <v>7.5792609860090385</v>
      </c>
      <c r="AH55" s="7">
        <f>AG55*VLOOKUP($B55,'EU Ref Scenario 2020'!$A$126:$AE$153,'Specified Annual Demand'!AH$3,FALSE)</f>
        <v>7.5403471575854155</v>
      </c>
      <c r="AI55" s="7">
        <f>AH55*VLOOKUP($B55,'EU Ref Scenario 2020'!$A$126:$AE$153,'Specified Annual Demand'!AI$3,FALSE)</f>
        <v>7.5014333291617925</v>
      </c>
      <c r="AJ55" s="7">
        <f>AI55*VLOOKUP($B55,'EU Ref Scenario 2020'!$A$126:$AE$153,'Specified Annual Demand'!AJ$3,FALSE)</f>
        <v>7.4625195007381677</v>
      </c>
      <c r="AK55" s="8">
        <f t="shared" ref="AK55:AO55" si="51">AJ55</f>
        <v>7.4625195007381677</v>
      </c>
      <c r="AL55" s="8">
        <f t="shared" si="51"/>
        <v>7.4625195007381677</v>
      </c>
      <c r="AM55" s="8">
        <f t="shared" si="51"/>
        <v>7.4625195007381677</v>
      </c>
      <c r="AN55" s="8">
        <f t="shared" si="51"/>
        <v>7.4625195007381677</v>
      </c>
      <c r="AO55" s="8">
        <f t="shared" si="51"/>
        <v>7.4625195007381677</v>
      </c>
    </row>
    <row r="56" spans="1:41" x14ac:dyDescent="0.3">
      <c r="A56" t="s">
        <v>148</v>
      </c>
      <c r="B56" t="str">
        <f t="shared" si="1"/>
        <v>HR</v>
      </c>
      <c r="C56" t="s">
        <v>52</v>
      </c>
      <c r="D56" s="2">
        <v>22.22418341860401</v>
      </c>
      <c r="E56" s="2">
        <v>22.170301806269176</v>
      </c>
      <c r="F56" s="2">
        <v>21.293309303059761</v>
      </c>
      <c r="G56" s="2">
        <v>21.963827014760291</v>
      </c>
      <c r="H56" s="7">
        <f>G56*VLOOKUP($B56,'EU Ref Scenario 2020'!$A$126:$AE$153,'Specified Annual Demand'!H$3,FALSE)</f>
        <v>22.289587654723011</v>
      </c>
      <c r="I56" s="7">
        <f>H56*VLOOKUP($B56,'EU Ref Scenario 2020'!$A$126:$AE$153,'Specified Annual Demand'!I$3,FALSE)</f>
        <v>22.615348294685731</v>
      </c>
      <c r="J56" s="7">
        <f>I56*VLOOKUP($B56,'EU Ref Scenario 2020'!$A$126:$AE$153,'Specified Annual Demand'!J$3,FALSE)</f>
        <v>22.941108934648451</v>
      </c>
      <c r="K56" s="7">
        <f>J56*VLOOKUP($B56,'EU Ref Scenario 2020'!$A$126:$AE$153,'Specified Annual Demand'!K$3,FALSE)</f>
        <v>23.266869574611171</v>
      </c>
      <c r="L56" s="7">
        <f>K56*VLOOKUP($B56,'EU Ref Scenario 2020'!$A$126:$AE$153,'Specified Annual Demand'!L$3,FALSE)</f>
        <v>23.332207294575092</v>
      </c>
      <c r="M56" s="7">
        <f>L56*VLOOKUP($B56,'EU Ref Scenario 2020'!$A$126:$AE$153,'Specified Annual Demand'!M$3,FALSE)</f>
        <v>23.397545014539013</v>
      </c>
      <c r="N56" s="7">
        <f>M56*VLOOKUP($B56,'EU Ref Scenario 2020'!$A$126:$AE$153,'Specified Annual Demand'!N$3,FALSE)</f>
        <v>23.462882734502937</v>
      </c>
      <c r="O56" s="7">
        <f>N56*VLOOKUP($B56,'EU Ref Scenario 2020'!$A$126:$AE$153,'Specified Annual Demand'!O$3,FALSE)</f>
        <v>23.528220454466858</v>
      </c>
      <c r="P56" s="7">
        <f>O56*VLOOKUP($B56,'EU Ref Scenario 2020'!$A$126:$AE$153,'Specified Annual Demand'!P$3,FALSE)</f>
        <v>23.593558174430783</v>
      </c>
      <c r="Q56" s="7">
        <f>P56*VLOOKUP($B56,'EU Ref Scenario 2020'!$A$126:$AE$153,'Specified Annual Demand'!Q$3,FALSE)</f>
        <v>23.581429386706063</v>
      </c>
      <c r="R56" s="7">
        <f>Q56*VLOOKUP($B56,'EU Ref Scenario 2020'!$A$126:$AE$153,'Specified Annual Demand'!R$3,FALSE)</f>
        <v>23.569300598981343</v>
      </c>
      <c r="S56" s="7">
        <f>R56*VLOOKUP($B56,'EU Ref Scenario 2020'!$A$126:$AE$153,'Specified Annual Demand'!S$3,FALSE)</f>
        <v>23.557171811256627</v>
      </c>
      <c r="T56" s="7">
        <f>S56*VLOOKUP($B56,'EU Ref Scenario 2020'!$A$126:$AE$153,'Specified Annual Demand'!T$3,FALSE)</f>
        <v>23.54504302353191</v>
      </c>
      <c r="U56" s="7">
        <f>T56*VLOOKUP($B56,'EU Ref Scenario 2020'!$A$126:$AE$153,'Specified Annual Demand'!U$3,FALSE)</f>
        <v>23.532914235807201</v>
      </c>
      <c r="V56" s="7">
        <f>U56*VLOOKUP($B56,'EU Ref Scenario 2020'!$A$126:$AE$153,'Specified Annual Demand'!V$3,FALSE)</f>
        <v>23.367396936385138</v>
      </c>
      <c r="W56" s="7">
        <f>V56*VLOOKUP($B56,'EU Ref Scenario 2020'!$A$126:$AE$153,'Specified Annual Demand'!W$3,FALSE)</f>
        <v>23.201879636963074</v>
      </c>
      <c r="X56" s="7">
        <f>W56*VLOOKUP($B56,'EU Ref Scenario 2020'!$A$126:$AE$153,'Specified Annual Demand'!X$3,FALSE)</f>
        <v>23.036362337541011</v>
      </c>
      <c r="Y56" s="7">
        <f>X56*VLOOKUP($B56,'EU Ref Scenario 2020'!$A$126:$AE$153,'Specified Annual Demand'!Y$3,FALSE)</f>
        <v>22.870845038118951</v>
      </c>
      <c r="Z56" s="7">
        <f>Y56*VLOOKUP($B56,'EU Ref Scenario 2020'!$A$126:$AE$153,'Specified Annual Demand'!Z$3,FALSE)</f>
        <v>22.705327738696891</v>
      </c>
      <c r="AA56" s="7">
        <f>Z56*VLOOKUP($B56,'EU Ref Scenario 2020'!$A$126:$AE$153,'Specified Annual Demand'!AA$3,FALSE)</f>
        <v>22.546188656067812</v>
      </c>
      <c r="AB56" s="7">
        <f>AA56*VLOOKUP($B56,'EU Ref Scenario 2020'!$A$126:$AE$153,'Specified Annual Demand'!AB$3,FALSE)</f>
        <v>22.387049573438734</v>
      </c>
      <c r="AC56" s="7">
        <f>AB56*VLOOKUP($B56,'EU Ref Scenario 2020'!$A$126:$AE$153,'Specified Annual Demand'!AC$3,FALSE)</f>
        <v>22.227910490809656</v>
      </c>
      <c r="AD56" s="7">
        <f>AC56*VLOOKUP($B56,'EU Ref Scenario 2020'!$A$126:$AE$153,'Specified Annual Demand'!AD$3,FALSE)</f>
        <v>22.068771408180577</v>
      </c>
      <c r="AE56" s="7">
        <f>AD56*VLOOKUP($B56,'EU Ref Scenario 2020'!$A$126:$AE$153,'Specified Annual Demand'!AE$3,FALSE)</f>
        <v>21.909632325551495</v>
      </c>
      <c r="AF56" s="7">
        <f>AE56*VLOOKUP($B56,'EU Ref Scenario 2020'!$A$126:$AE$153,'Specified Annual Demand'!AF$3,FALSE)</f>
        <v>21.798286132121099</v>
      </c>
      <c r="AG56" s="7">
        <f>AF56*VLOOKUP($B56,'EU Ref Scenario 2020'!$A$126:$AE$153,'Specified Annual Demand'!AG$3,FALSE)</f>
        <v>21.686939938690703</v>
      </c>
      <c r="AH56" s="7">
        <f>AG56*VLOOKUP($B56,'EU Ref Scenario 2020'!$A$126:$AE$153,'Specified Annual Demand'!AH$3,FALSE)</f>
        <v>21.575593745260306</v>
      </c>
      <c r="AI56" s="7">
        <f>AH56*VLOOKUP($B56,'EU Ref Scenario 2020'!$A$126:$AE$153,'Specified Annual Demand'!AI$3,FALSE)</f>
        <v>21.46424755182991</v>
      </c>
      <c r="AJ56" s="7">
        <f>AI56*VLOOKUP($B56,'EU Ref Scenario 2020'!$A$126:$AE$153,'Specified Annual Demand'!AJ$3,FALSE)</f>
        <v>21.352901358399507</v>
      </c>
      <c r="AK56" s="8">
        <f t="shared" ref="AK56:AO56" si="52">AJ56</f>
        <v>21.352901358399507</v>
      </c>
      <c r="AL56" s="8">
        <f t="shared" si="52"/>
        <v>21.352901358399507</v>
      </c>
      <c r="AM56" s="8">
        <f t="shared" si="52"/>
        <v>21.352901358399507</v>
      </c>
      <c r="AN56" s="8">
        <f t="shared" si="52"/>
        <v>21.352901358399507</v>
      </c>
      <c r="AO56" s="8">
        <f t="shared" si="52"/>
        <v>21.352901358399507</v>
      </c>
    </row>
    <row r="57" spans="1:41" x14ac:dyDescent="0.3">
      <c r="A57" t="s">
        <v>145</v>
      </c>
      <c r="B57" t="str">
        <f t="shared" si="1"/>
        <v>HU</v>
      </c>
      <c r="C57" t="s">
        <v>53</v>
      </c>
      <c r="D57" s="2">
        <v>178.95243587818558</v>
      </c>
      <c r="E57" s="2">
        <v>176.02298788146862</v>
      </c>
      <c r="F57" s="2">
        <v>184.08661576254173</v>
      </c>
      <c r="G57" s="2">
        <v>199.3723696960592</v>
      </c>
      <c r="H57" s="7">
        <f>G57*VLOOKUP($B57,'EU Ref Scenario 2020'!$A$126:$AE$153,'Specified Annual Demand'!H$3,FALSE)</f>
        <v>202.7598535270009</v>
      </c>
      <c r="I57" s="7">
        <f>H57*VLOOKUP($B57,'EU Ref Scenario 2020'!$A$126:$AE$153,'Specified Annual Demand'!I$3,FALSE)</f>
        <v>206.1473373579426</v>
      </c>
      <c r="J57" s="7">
        <f>I57*VLOOKUP($B57,'EU Ref Scenario 2020'!$A$126:$AE$153,'Specified Annual Demand'!J$3,FALSE)</f>
        <v>209.53482118888431</v>
      </c>
      <c r="K57" s="7">
        <f>J57*VLOOKUP($B57,'EU Ref Scenario 2020'!$A$126:$AE$153,'Specified Annual Demand'!K$3,FALSE)</f>
        <v>212.92230501982593</v>
      </c>
      <c r="L57" s="7">
        <f>K57*VLOOKUP($B57,'EU Ref Scenario 2020'!$A$126:$AE$153,'Specified Annual Demand'!L$3,FALSE)</f>
        <v>211.16458675884883</v>
      </c>
      <c r="M57" s="7">
        <f>L57*VLOOKUP($B57,'EU Ref Scenario 2020'!$A$126:$AE$153,'Specified Annual Demand'!M$3,FALSE)</f>
        <v>209.40686849787173</v>
      </c>
      <c r="N57" s="7">
        <f>M57*VLOOKUP($B57,'EU Ref Scenario 2020'!$A$126:$AE$153,'Specified Annual Demand'!N$3,FALSE)</f>
        <v>207.64915023689463</v>
      </c>
      <c r="O57" s="7">
        <f>N57*VLOOKUP($B57,'EU Ref Scenario 2020'!$A$126:$AE$153,'Specified Annual Demand'!O$3,FALSE)</f>
        <v>205.89143197591753</v>
      </c>
      <c r="P57" s="7">
        <f>O57*VLOOKUP($B57,'EU Ref Scenario 2020'!$A$126:$AE$153,'Specified Annual Demand'!P$3,FALSE)</f>
        <v>204.13371371494037</v>
      </c>
      <c r="Q57" s="7">
        <f>P57*VLOOKUP($B57,'EU Ref Scenario 2020'!$A$126:$AE$153,'Specified Annual Demand'!Q$3,FALSE)</f>
        <v>203.94201330841565</v>
      </c>
      <c r="R57" s="7">
        <f>Q57*VLOOKUP($B57,'EU Ref Scenario 2020'!$A$126:$AE$153,'Specified Annual Demand'!R$3,FALSE)</f>
        <v>203.75031290189094</v>
      </c>
      <c r="S57" s="7">
        <f>R57*VLOOKUP($B57,'EU Ref Scenario 2020'!$A$126:$AE$153,'Specified Annual Demand'!S$3,FALSE)</f>
        <v>203.55861249536622</v>
      </c>
      <c r="T57" s="7">
        <f>S57*VLOOKUP($B57,'EU Ref Scenario 2020'!$A$126:$AE$153,'Specified Annual Demand'!T$3,FALSE)</f>
        <v>203.3669120888415</v>
      </c>
      <c r="U57" s="7">
        <f>T57*VLOOKUP($B57,'EU Ref Scenario 2020'!$A$126:$AE$153,'Specified Annual Demand'!U$3,FALSE)</f>
        <v>203.17521168231681</v>
      </c>
      <c r="V57" s="7">
        <f>U57*VLOOKUP($B57,'EU Ref Scenario 2020'!$A$126:$AE$153,'Specified Annual Demand'!V$3,FALSE)</f>
        <v>202.32125303881105</v>
      </c>
      <c r="W57" s="7">
        <f>V57*VLOOKUP($B57,'EU Ref Scenario 2020'!$A$126:$AE$153,'Specified Annual Demand'!W$3,FALSE)</f>
        <v>201.46729439530529</v>
      </c>
      <c r="X57" s="7">
        <f>W57*VLOOKUP($B57,'EU Ref Scenario 2020'!$A$126:$AE$153,'Specified Annual Demand'!X$3,FALSE)</f>
        <v>200.61333575179953</v>
      </c>
      <c r="Y57" s="7">
        <f>X57*VLOOKUP($B57,'EU Ref Scenario 2020'!$A$126:$AE$153,'Specified Annual Demand'!Y$3,FALSE)</f>
        <v>199.75937710829379</v>
      </c>
      <c r="Z57" s="7">
        <f>Y57*VLOOKUP($B57,'EU Ref Scenario 2020'!$A$126:$AE$153,'Specified Annual Demand'!Z$3,FALSE)</f>
        <v>198.90541846478794</v>
      </c>
      <c r="AA57" s="7">
        <f>Z57*VLOOKUP($B57,'EU Ref Scenario 2020'!$A$126:$AE$153,'Specified Annual Demand'!AA$3,FALSE)</f>
        <v>198.87784046319135</v>
      </c>
      <c r="AB57" s="7">
        <f>AA57*VLOOKUP($B57,'EU Ref Scenario 2020'!$A$126:$AE$153,'Specified Annual Demand'!AB$3,FALSE)</f>
        <v>198.85026246159475</v>
      </c>
      <c r="AC57" s="7">
        <f>AB57*VLOOKUP($B57,'EU Ref Scenario 2020'!$A$126:$AE$153,'Specified Annual Demand'!AC$3,FALSE)</f>
        <v>198.82268445999813</v>
      </c>
      <c r="AD57" s="7">
        <f>AC57*VLOOKUP($B57,'EU Ref Scenario 2020'!$A$126:$AE$153,'Specified Annual Demand'!AD$3,FALSE)</f>
        <v>198.79510645840153</v>
      </c>
      <c r="AE57" s="7">
        <f>AD57*VLOOKUP($B57,'EU Ref Scenario 2020'!$A$126:$AE$153,'Specified Annual Demand'!AE$3,FALSE)</f>
        <v>198.76752845680497</v>
      </c>
      <c r="AF57" s="7">
        <f>AE57*VLOOKUP($B57,'EU Ref Scenario 2020'!$A$126:$AE$153,'Specified Annual Demand'!AF$3,FALSE)</f>
        <v>199.0541221962867</v>
      </c>
      <c r="AG57" s="7">
        <f>AF57*VLOOKUP($B57,'EU Ref Scenario 2020'!$A$126:$AE$153,'Specified Annual Demand'!AG$3,FALSE)</f>
        <v>199.34071593576846</v>
      </c>
      <c r="AH57" s="7">
        <f>AG57*VLOOKUP($B57,'EU Ref Scenario 2020'!$A$126:$AE$153,'Specified Annual Demand'!AH$3,FALSE)</f>
        <v>199.62730967525019</v>
      </c>
      <c r="AI57" s="7">
        <f>AH57*VLOOKUP($B57,'EU Ref Scenario 2020'!$A$126:$AE$153,'Specified Annual Demand'!AI$3,FALSE)</f>
        <v>199.91390341473192</v>
      </c>
      <c r="AJ57" s="7">
        <f>AI57*VLOOKUP($B57,'EU Ref Scenario 2020'!$A$126:$AE$153,'Specified Annual Demand'!AJ$3,FALSE)</f>
        <v>200.20049715421368</v>
      </c>
      <c r="AK57" s="8">
        <f t="shared" ref="AK57:AO57" si="53">AJ57</f>
        <v>200.20049715421368</v>
      </c>
      <c r="AL57" s="8">
        <f t="shared" si="53"/>
        <v>200.20049715421368</v>
      </c>
      <c r="AM57" s="8">
        <f t="shared" si="53"/>
        <v>200.20049715421368</v>
      </c>
      <c r="AN57" s="8">
        <f t="shared" si="53"/>
        <v>200.20049715421368</v>
      </c>
      <c r="AO57" s="8">
        <f t="shared" si="53"/>
        <v>200.20049715421368</v>
      </c>
    </row>
    <row r="58" spans="1:41" x14ac:dyDescent="0.3">
      <c r="A58" t="s">
        <v>146</v>
      </c>
      <c r="B58" t="str">
        <f t="shared" si="1"/>
        <v>HU</v>
      </c>
      <c r="C58" t="s">
        <v>54</v>
      </c>
      <c r="D58" s="2">
        <v>3.9673574887964698</v>
      </c>
      <c r="E58" s="2">
        <v>4.8062196301432039</v>
      </c>
      <c r="F58" s="2">
        <v>3.4893339928678788</v>
      </c>
      <c r="G58" s="2">
        <v>6.0989310579266371</v>
      </c>
      <c r="H58" s="7">
        <f>G58*VLOOKUP($B58,'EU Ref Scenario 2020'!$A$126:$AE$153,'Specified Annual Demand'!H$3,FALSE)</f>
        <v>6.2025564016803916</v>
      </c>
      <c r="I58" s="7">
        <f>H58*VLOOKUP($B58,'EU Ref Scenario 2020'!$A$126:$AE$153,'Specified Annual Demand'!I$3,FALSE)</f>
        <v>6.3061817454341451</v>
      </c>
      <c r="J58" s="7">
        <f>I58*VLOOKUP($B58,'EU Ref Scenario 2020'!$A$126:$AE$153,'Specified Annual Demand'!J$3,FALSE)</f>
        <v>6.4098070891878995</v>
      </c>
      <c r="K58" s="7">
        <f>J58*VLOOKUP($B58,'EU Ref Scenario 2020'!$A$126:$AE$153,'Specified Annual Demand'!K$3,FALSE)</f>
        <v>6.5134324329416513</v>
      </c>
      <c r="L58" s="7">
        <f>K58*VLOOKUP($B58,'EU Ref Scenario 2020'!$A$126:$AE$153,'Specified Annual Demand'!L$3,FALSE)</f>
        <v>6.4596626828539092</v>
      </c>
      <c r="M58" s="7">
        <f>L58*VLOOKUP($B58,'EU Ref Scenario 2020'!$A$126:$AE$153,'Specified Annual Demand'!M$3,FALSE)</f>
        <v>6.4058929327661671</v>
      </c>
      <c r="N58" s="7">
        <f>M58*VLOOKUP($B58,'EU Ref Scenario 2020'!$A$126:$AE$153,'Specified Annual Demand'!N$3,FALSE)</f>
        <v>6.352123182678425</v>
      </c>
      <c r="O58" s="7">
        <f>N58*VLOOKUP($B58,'EU Ref Scenario 2020'!$A$126:$AE$153,'Specified Annual Demand'!O$3,FALSE)</f>
        <v>6.2983534325906829</v>
      </c>
      <c r="P58" s="7">
        <f>O58*VLOOKUP($B58,'EU Ref Scenario 2020'!$A$126:$AE$153,'Specified Annual Demand'!P$3,FALSE)</f>
        <v>6.244583682502939</v>
      </c>
      <c r="Q58" s="7">
        <f>P58*VLOOKUP($B58,'EU Ref Scenario 2020'!$A$126:$AE$153,'Specified Annual Demand'!Q$3,FALSE)</f>
        <v>6.2387194418112468</v>
      </c>
      <c r="R58" s="7">
        <f>Q58*VLOOKUP($B58,'EU Ref Scenario 2020'!$A$126:$AE$153,'Specified Annual Demand'!R$3,FALSE)</f>
        <v>6.2328552011195546</v>
      </c>
      <c r="S58" s="7">
        <f>R58*VLOOKUP($B58,'EU Ref Scenario 2020'!$A$126:$AE$153,'Specified Annual Demand'!S$3,FALSE)</f>
        <v>6.2269909604278624</v>
      </c>
      <c r="T58" s="7">
        <f>S58*VLOOKUP($B58,'EU Ref Scenario 2020'!$A$126:$AE$153,'Specified Annual Demand'!T$3,FALSE)</f>
        <v>6.2211267197361702</v>
      </c>
      <c r="U58" s="7">
        <f>T58*VLOOKUP($B58,'EU Ref Scenario 2020'!$A$126:$AE$153,'Specified Annual Demand'!U$3,FALSE)</f>
        <v>6.2152624790444788</v>
      </c>
      <c r="V58" s="7">
        <f>U58*VLOOKUP($B58,'EU Ref Scenario 2020'!$A$126:$AE$153,'Specified Annual Demand'!V$3,FALSE)</f>
        <v>6.1891393261672665</v>
      </c>
      <c r="W58" s="7">
        <f>V58*VLOOKUP($B58,'EU Ref Scenario 2020'!$A$126:$AE$153,'Specified Annual Demand'!W$3,FALSE)</f>
        <v>6.1630161732900541</v>
      </c>
      <c r="X58" s="7">
        <f>W58*VLOOKUP($B58,'EU Ref Scenario 2020'!$A$126:$AE$153,'Specified Annual Demand'!X$3,FALSE)</f>
        <v>6.1368930204128418</v>
      </c>
      <c r="Y58" s="7">
        <f>X58*VLOOKUP($B58,'EU Ref Scenario 2020'!$A$126:$AE$153,'Specified Annual Demand'!Y$3,FALSE)</f>
        <v>6.1107698675356303</v>
      </c>
      <c r="Z58" s="7">
        <f>Y58*VLOOKUP($B58,'EU Ref Scenario 2020'!$A$126:$AE$153,'Specified Annual Demand'!Z$3,FALSE)</f>
        <v>6.0846467146584153</v>
      </c>
      <c r="AA58" s="7">
        <f>Z58*VLOOKUP($B58,'EU Ref Scenario 2020'!$A$126:$AE$153,'Specified Annual Demand'!AA$3,FALSE)</f>
        <v>6.0838030855702447</v>
      </c>
      <c r="AB58" s="7">
        <f>AA58*VLOOKUP($B58,'EU Ref Scenario 2020'!$A$126:$AE$153,'Specified Annual Demand'!AB$3,FALSE)</f>
        <v>6.0829594564820741</v>
      </c>
      <c r="AC58" s="7">
        <f>AB58*VLOOKUP($B58,'EU Ref Scenario 2020'!$A$126:$AE$153,'Specified Annual Demand'!AC$3,FALSE)</f>
        <v>6.0821158273939036</v>
      </c>
      <c r="AD58" s="7">
        <f>AC58*VLOOKUP($B58,'EU Ref Scenario 2020'!$A$126:$AE$153,'Specified Annual Demand'!AD$3,FALSE)</f>
        <v>6.081272198305733</v>
      </c>
      <c r="AE58" s="7">
        <f>AD58*VLOOKUP($B58,'EU Ref Scenario 2020'!$A$126:$AE$153,'Specified Annual Demand'!AE$3,FALSE)</f>
        <v>6.0804285692175641</v>
      </c>
      <c r="AF58" s="7">
        <f>AE58*VLOOKUP($B58,'EU Ref Scenario 2020'!$A$126:$AE$153,'Specified Annual Demand'!AF$3,FALSE)</f>
        <v>6.089195658967248</v>
      </c>
      <c r="AG58" s="7">
        <f>AF58*VLOOKUP($B58,'EU Ref Scenario 2020'!$A$126:$AE$153,'Specified Annual Demand'!AG$3,FALSE)</f>
        <v>6.0979627487169319</v>
      </c>
      <c r="AH58" s="7">
        <f>AG58*VLOOKUP($B58,'EU Ref Scenario 2020'!$A$126:$AE$153,'Specified Annual Demand'!AH$3,FALSE)</f>
        <v>6.1067298384666158</v>
      </c>
      <c r="AI58" s="7">
        <f>AH58*VLOOKUP($B58,'EU Ref Scenario 2020'!$A$126:$AE$153,'Specified Annual Demand'!AI$3,FALSE)</f>
        <v>6.1154969282162996</v>
      </c>
      <c r="AJ58" s="7">
        <f>AI58*VLOOKUP($B58,'EU Ref Scenario 2020'!$A$126:$AE$153,'Specified Annual Demand'!AJ$3,FALSE)</f>
        <v>6.1242640179659844</v>
      </c>
      <c r="AK58" s="8">
        <f t="shared" ref="AK58:AO58" si="54">AJ58</f>
        <v>6.1242640179659844</v>
      </c>
      <c r="AL58" s="8">
        <f t="shared" si="54"/>
        <v>6.1242640179659844</v>
      </c>
      <c r="AM58" s="8">
        <f t="shared" si="54"/>
        <v>6.1242640179659844</v>
      </c>
      <c r="AN58" s="8">
        <f t="shared" si="54"/>
        <v>6.1242640179659844</v>
      </c>
      <c r="AO58" s="8">
        <f t="shared" si="54"/>
        <v>6.1242640179659844</v>
      </c>
    </row>
    <row r="59" spans="1:41" x14ac:dyDescent="0.3">
      <c r="A59" t="s">
        <v>147</v>
      </c>
      <c r="B59" t="str">
        <f t="shared" si="1"/>
        <v>HU</v>
      </c>
      <c r="C59" t="s">
        <v>55</v>
      </c>
      <c r="D59" s="2">
        <v>12.769288060204243</v>
      </c>
      <c r="E59" s="2">
        <v>12.905974952191979</v>
      </c>
      <c r="F59" s="2">
        <v>15.164308314824964</v>
      </c>
      <c r="G59" s="2">
        <v>15.288889299116569</v>
      </c>
      <c r="H59" s="7">
        <f>G59*VLOOKUP($B59,'EU Ref Scenario 2020'!$A$126:$AE$153,'Specified Annual Demand'!H$3,FALSE)</f>
        <v>15.548658821707738</v>
      </c>
      <c r="I59" s="7">
        <f>H59*VLOOKUP($B59,'EU Ref Scenario 2020'!$A$126:$AE$153,'Specified Annual Demand'!I$3,FALSE)</f>
        <v>15.808428344298905</v>
      </c>
      <c r="J59" s="7">
        <f>I59*VLOOKUP($B59,'EU Ref Scenario 2020'!$A$126:$AE$153,'Specified Annual Demand'!J$3,FALSE)</f>
        <v>16.068197866890074</v>
      </c>
      <c r="K59" s="7">
        <f>J59*VLOOKUP($B59,'EU Ref Scenario 2020'!$A$126:$AE$153,'Specified Annual Demand'!K$3,FALSE)</f>
        <v>16.327967389481234</v>
      </c>
      <c r="L59" s="7">
        <f>K59*VLOOKUP($B59,'EU Ref Scenario 2020'!$A$126:$AE$153,'Specified Annual Demand'!L$3,FALSE)</f>
        <v>16.193176595992231</v>
      </c>
      <c r="M59" s="7">
        <f>L59*VLOOKUP($B59,'EU Ref Scenario 2020'!$A$126:$AE$153,'Specified Annual Demand'!M$3,FALSE)</f>
        <v>16.058385802503228</v>
      </c>
      <c r="N59" s="7">
        <f>M59*VLOOKUP($B59,'EU Ref Scenario 2020'!$A$126:$AE$153,'Specified Annual Demand'!N$3,FALSE)</f>
        <v>15.923595009014225</v>
      </c>
      <c r="O59" s="7">
        <f>N59*VLOOKUP($B59,'EU Ref Scenario 2020'!$A$126:$AE$153,'Specified Annual Demand'!O$3,FALSE)</f>
        <v>15.788804215525222</v>
      </c>
      <c r="P59" s="7">
        <f>O59*VLOOKUP($B59,'EU Ref Scenario 2020'!$A$126:$AE$153,'Specified Annual Demand'!P$3,FALSE)</f>
        <v>15.654013422036215</v>
      </c>
      <c r="Q59" s="7">
        <f>P59*VLOOKUP($B59,'EU Ref Scenario 2020'!$A$126:$AE$153,'Specified Annual Demand'!Q$3,FALSE)</f>
        <v>15.639312857968987</v>
      </c>
      <c r="R59" s="7">
        <f>Q59*VLOOKUP($B59,'EU Ref Scenario 2020'!$A$126:$AE$153,'Specified Annual Demand'!R$3,FALSE)</f>
        <v>15.624612293901759</v>
      </c>
      <c r="S59" s="7">
        <f>R59*VLOOKUP($B59,'EU Ref Scenario 2020'!$A$126:$AE$153,'Specified Annual Demand'!S$3,FALSE)</f>
        <v>15.609911729834531</v>
      </c>
      <c r="T59" s="7">
        <f>S59*VLOOKUP($B59,'EU Ref Scenario 2020'!$A$126:$AE$153,'Specified Annual Demand'!T$3,FALSE)</f>
        <v>15.595211165767303</v>
      </c>
      <c r="U59" s="7">
        <f>T59*VLOOKUP($B59,'EU Ref Scenario 2020'!$A$126:$AE$153,'Specified Annual Demand'!U$3,FALSE)</f>
        <v>15.580510601700079</v>
      </c>
      <c r="V59" s="7">
        <f>U59*VLOOKUP($B59,'EU Ref Scenario 2020'!$A$126:$AE$153,'Specified Annual Demand'!V$3,FALSE)</f>
        <v>15.515024701188954</v>
      </c>
      <c r="W59" s="7">
        <f>V59*VLOOKUP($B59,'EU Ref Scenario 2020'!$A$126:$AE$153,'Specified Annual Demand'!W$3,FALSE)</f>
        <v>15.44953880067783</v>
      </c>
      <c r="X59" s="7">
        <f>W59*VLOOKUP($B59,'EU Ref Scenario 2020'!$A$126:$AE$153,'Specified Annual Demand'!X$3,FALSE)</f>
        <v>15.384052900166706</v>
      </c>
      <c r="Y59" s="7">
        <f>X59*VLOOKUP($B59,'EU Ref Scenario 2020'!$A$126:$AE$153,'Specified Annual Demand'!Y$3,FALSE)</f>
        <v>15.318566999655582</v>
      </c>
      <c r="Z59" s="7">
        <f>Y59*VLOOKUP($B59,'EU Ref Scenario 2020'!$A$126:$AE$153,'Specified Annual Demand'!Z$3,FALSE)</f>
        <v>15.253081099144451</v>
      </c>
      <c r="AA59" s="7">
        <f>Z59*VLOOKUP($B59,'EU Ref Scenario 2020'!$A$126:$AE$153,'Specified Annual Demand'!AA$3,FALSE)</f>
        <v>15.250966277446018</v>
      </c>
      <c r="AB59" s="7">
        <f>AA59*VLOOKUP($B59,'EU Ref Scenario 2020'!$A$126:$AE$153,'Specified Annual Demand'!AB$3,FALSE)</f>
        <v>15.248851455747586</v>
      </c>
      <c r="AC59" s="7">
        <f>AB59*VLOOKUP($B59,'EU Ref Scenario 2020'!$A$126:$AE$153,'Specified Annual Demand'!AC$3,FALSE)</f>
        <v>15.246736634049151</v>
      </c>
      <c r="AD59" s="7">
        <f>AC59*VLOOKUP($B59,'EU Ref Scenario 2020'!$A$126:$AE$153,'Specified Annual Demand'!AD$3,FALSE)</f>
        <v>15.244621812350717</v>
      </c>
      <c r="AE59" s="7">
        <f>AD59*VLOOKUP($B59,'EU Ref Scenario 2020'!$A$126:$AE$153,'Specified Annual Demand'!AE$3,FALSE)</f>
        <v>15.242506990652286</v>
      </c>
      <c r="AF59" s="7">
        <f>AE59*VLOOKUP($B59,'EU Ref Scenario 2020'!$A$126:$AE$153,'Specified Annual Demand'!AF$3,FALSE)</f>
        <v>15.264484459061956</v>
      </c>
      <c r="AG59" s="7">
        <f>AF59*VLOOKUP($B59,'EU Ref Scenario 2020'!$A$126:$AE$153,'Specified Annual Demand'!AG$3,FALSE)</f>
        <v>15.286461927471626</v>
      </c>
      <c r="AH59" s="7">
        <f>AG59*VLOOKUP($B59,'EU Ref Scenario 2020'!$A$126:$AE$153,'Specified Annual Demand'!AH$3,FALSE)</f>
        <v>15.308439395881294</v>
      </c>
      <c r="AI59" s="7">
        <f>AH59*VLOOKUP($B59,'EU Ref Scenario 2020'!$A$126:$AE$153,'Specified Annual Demand'!AI$3,FALSE)</f>
        <v>15.330416864290964</v>
      </c>
      <c r="AJ59" s="7">
        <f>AI59*VLOOKUP($B59,'EU Ref Scenario 2020'!$A$126:$AE$153,'Specified Annual Demand'!AJ$3,FALSE)</f>
        <v>15.352394332700635</v>
      </c>
      <c r="AK59" s="8">
        <f t="shared" ref="AK59:AO59" si="55">AJ59</f>
        <v>15.352394332700635</v>
      </c>
      <c r="AL59" s="8">
        <f t="shared" si="55"/>
        <v>15.352394332700635</v>
      </c>
      <c r="AM59" s="8">
        <f t="shared" si="55"/>
        <v>15.352394332700635</v>
      </c>
      <c r="AN59" s="8">
        <f t="shared" si="55"/>
        <v>15.352394332700635</v>
      </c>
      <c r="AO59" s="8">
        <f t="shared" si="55"/>
        <v>15.352394332700635</v>
      </c>
    </row>
    <row r="60" spans="1:41" x14ac:dyDescent="0.3">
      <c r="A60" t="s">
        <v>148</v>
      </c>
      <c r="B60" t="str">
        <f t="shared" si="1"/>
        <v>HU</v>
      </c>
      <c r="C60" t="s">
        <v>56</v>
      </c>
      <c r="D60" s="2">
        <v>42.865606810565524</v>
      </c>
      <c r="E60" s="2">
        <v>43.223934917179903</v>
      </c>
      <c r="F60" s="2">
        <v>42.68515124644464</v>
      </c>
      <c r="G60" s="2">
        <v>43.628941885768256</v>
      </c>
      <c r="H60" s="7">
        <f>G60*VLOOKUP($B60,'EU Ref Scenario 2020'!$A$126:$AE$153,'Specified Annual Demand'!H$3,FALSE)</f>
        <v>44.370229835670457</v>
      </c>
      <c r="I60" s="7">
        <f>H60*VLOOKUP($B60,'EU Ref Scenario 2020'!$A$126:$AE$153,'Specified Annual Demand'!I$3,FALSE)</f>
        <v>45.111517785572659</v>
      </c>
      <c r="J60" s="7">
        <f>I60*VLOOKUP($B60,'EU Ref Scenario 2020'!$A$126:$AE$153,'Specified Annual Demand'!J$3,FALSE)</f>
        <v>45.85280573547486</v>
      </c>
      <c r="K60" s="7">
        <f>J60*VLOOKUP($B60,'EU Ref Scenario 2020'!$A$126:$AE$153,'Specified Annual Demand'!K$3,FALSE)</f>
        <v>46.594093685377047</v>
      </c>
      <c r="L60" s="7">
        <f>K60*VLOOKUP($B60,'EU Ref Scenario 2020'!$A$126:$AE$153,'Specified Annual Demand'!L$3,FALSE)</f>
        <v>46.209449674892383</v>
      </c>
      <c r="M60" s="7">
        <f>L60*VLOOKUP($B60,'EU Ref Scenario 2020'!$A$126:$AE$153,'Specified Annual Demand'!M$3,FALSE)</f>
        <v>45.82480566440772</v>
      </c>
      <c r="N60" s="7">
        <f>M60*VLOOKUP($B60,'EU Ref Scenario 2020'!$A$126:$AE$153,'Specified Annual Demand'!N$3,FALSE)</f>
        <v>45.440161653923049</v>
      </c>
      <c r="O60" s="7">
        <f>N60*VLOOKUP($B60,'EU Ref Scenario 2020'!$A$126:$AE$153,'Specified Annual Demand'!O$3,FALSE)</f>
        <v>45.055517643438385</v>
      </c>
      <c r="P60" s="7">
        <f>O60*VLOOKUP($B60,'EU Ref Scenario 2020'!$A$126:$AE$153,'Specified Annual Demand'!P$3,FALSE)</f>
        <v>44.670873632953707</v>
      </c>
      <c r="Q60" s="7">
        <f>P60*VLOOKUP($B60,'EU Ref Scenario 2020'!$A$126:$AE$153,'Specified Annual Demand'!Q$3,FALSE)</f>
        <v>44.628923557782834</v>
      </c>
      <c r="R60" s="7">
        <f>Q60*VLOOKUP($B60,'EU Ref Scenario 2020'!$A$126:$AE$153,'Specified Annual Demand'!R$3,FALSE)</f>
        <v>44.58697348261196</v>
      </c>
      <c r="S60" s="7">
        <f>R60*VLOOKUP($B60,'EU Ref Scenario 2020'!$A$126:$AE$153,'Specified Annual Demand'!S$3,FALSE)</f>
        <v>44.545023407441086</v>
      </c>
      <c r="T60" s="7">
        <f>S60*VLOOKUP($B60,'EU Ref Scenario 2020'!$A$126:$AE$153,'Specified Annual Demand'!T$3,FALSE)</f>
        <v>44.503073332270212</v>
      </c>
      <c r="U60" s="7">
        <f>T60*VLOOKUP($B60,'EU Ref Scenario 2020'!$A$126:$AE$153,'Specified Annual Demand'!U$3,FALSE)</f>
        <v>44.461123257099345</v>
      </c>
      <c r="V60" s="7">
        <f>U60*VLOOKUP($B60,'EU Ref Scenario 2020'!$A$126:$AE$153,'Specified Annual Demand'!V$3,FALSE)</f>
        <v>44.274250261171368</v>
      </c>
      <c r="W60" s="7">
        <f>V60*VLOOKUP($B60,'EU Ref Scenario 2020'!$A$126:$AE$153,'Specified Annual Demand'!W$3,FALSE)</f>
        <v>44.08737726524339</v>
      </c>
      <c r="X60" s="7">
        <f>W60*VLOOKUP($B60,'EU Ref Scenario 2020'!$A$126:$AE$153,'Specified Annual Demand'!X$3,FALSE)</f>
        <v>43.900504269315419</v>
      </c>
      <c r="Y60" s="7">
        <f>X60*VLOOKUP($B60,'EU Ref Scenario 2020'!$A$126:$AE$153,'Specified Annual Demand'!Y$3,FALSE)</f>
        <v>43.713631273387449</v>
      </c>
      <c r="Z60" s="7">
        <f>Y60*VLOOKUP($B60,'EU Ref Scenario 2020'!$A$126:$AE$153,'Specified Annual Demand'!Z$3,FALSE)</f>
        <v>43.526758277459457</v>
      </c>
      <c r="AA60" s="7">
        <f>Z60*VLOOKUP($B60,'EU Ref Scenario 2020'!$A$126:$AE$153,'Specified Annual Demand'!AA$3,FALSE)</f>
        <v>43.520723343778236</v>
      </c>
      <c r="AB60" s="7">
        <f>AA60*VLOOKUP($B60,'EU Ref Scenario 2020'!$A$126:$AE$153,'Specified Annual Demand'!AB$3,FALSE)</f>
        <v>43.514688410097015</v>
      </c>
      <c r="AC60" s="7">
        <f>AB60*VLOOKUP($B60,'EU Ref Scenario 2020'!$A$126:$AE$153,'Specified Annual Demand'!AC$3,FALSE)</f>
        <v>43.508653476415788</v>
      </c>
      <c r="AD60" s="7">
        <f>AC60*VLOOKUP($B60,'EU Ref Scenario 2020'!$A$126:$AE$153,'Specified Annual Demand'!AD$3,FALSE)</f>
        <v>43.502618542734567</v>
      </c>
      <c r="AE60" s="7">
        <f>AD60*VLOOKUP($B60,'EU Ref Scenario 2020'!$A$126:$AE$153,'Specified Annual Demand'!AE$3,FALSE)</f>
        <v>43.496583609053353</v>
      </c>
      <c r="AF60" s="7">
        <f>AE60*VLOOKUP($B60,'EU Ref Scenario 2020'!$A$126:$AE$153,'Specified Annual Demand'!AF$3,FALSE)</f>
        <v>43.559299328507038</v>
      </c>
      <c r="AG60" s="7">
        <f>AF60*VLOOKUP($B60,'EU Ref Scenario 2020'!$A$126:$AE$153,'Specified Annual Demand'!AG$3,FALSE)</f>
        <v>43.622015047960723</v>
      </c>
      <c r="AH60" s="7">
        <f>AG60*VLOOKUP($B60,'EU Ref Scenario 2020'!$A$126:$AE$153,'Specified Annual Demand'!AH$3,FALSE)</f>
        <v>43.684730767414401</v>
      </c>
      <c r="AI60" s="7">
        <f>AH60*VLOOKUP($B60,'EU Ref Scenario 2020'!$A$126:$AE$153,'Specified Annual Demand'!AI$3,FALSE)</f>
        <v>43.747446486868078</v>
      </c>
      <c r="AJ60" s="7">
        <f>AI60*VLOOKUP($B60,'EU Ref Scenario 2020'!$A$126:$AE$153,'Specified Annual Demand'!AJ$3,FALSE)</f>
        <v>43.810162206321763</v>
      </c>
      <c r="AK60" s="8">
        <f t="shared" ref="AK60:AO60" si="56">AJ60</f>
        <v>43.810162206321763</v>
      </c>
      <c r="AL60" s="8">
        <f t="shared" si="56"/>
        <v>43.810162206321763</v>
      </c>
      <c r="AM60" s="8">
        <f t="shared" si="56"/>
        <v>43.810162206321763</v>
      </c>
      <c r="AN60" s="8">
        <f t="shared" si="56"/>
        <v>43.810162206321763</v>
      </c>
      <c r="AO60" s="8">
        <f t="shared" si="56"/>
        <v>43.810162206321763</v>
      </c>
    </row>
    <row r="61" spans="1:41" x14ac:dyDescent="0.3">
      <c r="A61" t="s">
        <v>145</v>
      </c>
      <c r="B61" t="str">
        <f t="shared" si="1"/>
        <v>IE</v>
      </c>
      <c r="C61" t="s">
        <v>57</v>
      </c>
      <c r="D61" s="2">
        <v>108.77993114177185</v>
      </c>
      <c r="E61" s="2">
        <v>109.30424604610121</v>
      </c>
      <c r="F61" s="2">
        <v>115.00571998844677</v>
      </c>
      <c r="G61" s="2">
        <v>110.15088902614926</v>
      </c>
      <c r="H61" s="7">
        <f>G61*VLOOKUP($B61,'EU Ref Scenario 2020'!$A$126:$AE$153,'Specified Annual Demand'!H$3,FALSE)</f>
        <v>110.49859255414151</v>
      </c>
      <c r="I61" s="7">
        <f>H61*VLOOKUP($B61,'EU Ref Scenario 2020'!$A$126:$AE$153,'Specified Annual Demand'!I$3,FALSE)</f>
        <v>110.84629608213375</v>
      </c>
      <c r="J61" s="7">
        <f>I61*VLOOKUP($B61,'EU Ref Scenario 2020'!$A$126:$AE$153,'Specified Annual Demand'!J$3,FALSE)</f>
        <v>111.19399961012599</v>
      </c>
      <c r="K61" s="7">
        <f>J61*VLOOKUP($B61,'EU Ref Scenario 2020'!$A$126:$AE$153,'Specified Annual Demand'!K$3,FALSE)</f>
        <v>111.54170313811825</v>
      </c>
      <c r="L61" s="7">
        <f>K61*VLOOKUP($B61,'EU Ref Scenario 2020'!$A$126:$AE$153,'Specified Annual Demand'!L$3,FALSE)</f>
        <v>110.46777174827288</v>
      </c>
      <c r="M61" s="7">
        <f>L61*VLOOKUP($B61,'EU Ref Scenario 2020'!$A$126:$AE$153,'Specified Annual Demand'!M$3,FALSE)</f>
        <v>109.39384035842752</v>
      </c>
      <c r="N61" s="7">
        <f>M61*VLOOKUP($B61,'EU Ref Scenario 2020'!$A$126:$AE$153,'Specified Annual Demand'!N$3,FALSE)</f>
        <v>108.31990896858217</v>
      </c>
      <c r="O61" s="7">
        <f>N61*VLOOKUP($B61,'EU Ref Scenario 2020'!$A$126:$AE$153,'Specified Annual Demand'!O$3,FALSE)</f>
        <v>107.24597757873681</v>
      </c>
      <c r="P61" s="7">
        <f>O61*VLOOKUP($B61,'EU Ref Scenario 2020'!$A$126:$AE$153,'Specified Annual Demand'!P$3,FALSE)</f>
        <v>106.1720461888915</v>
      </c>
      <c r="Q61" s="7">
        <f>P61*VLOOKUP($B61,'EU Ref Scenario 2020'!$A$126:$AE$153,'Specified Annual Demand'!Q$3,FALSE)</f>
        <v>106.41399823423149</v>
      </c>
      <c r="R61" s="7">
        <f>Q61*VLOOKUP($B61,'EU Ref Scenario 2020'!$A$126:$AE$153,'Specified Annual Demand'!R$3,FALSE)</f>
        <v>106.65595027957147</v>
      </c>
      <c r="S61" s="7">
        <f>R61*VLOOKUP($B61,'EU Ref Scenario 2020'!$A$126:$AE$153,'Specified Annual Demand'!S$3,FALSE)</f>
        <v>106.89790232491146</v>
      </c>
      <c r="T61" s="7">
        <f>S61*VLOOKUP($B61,'EU Ref Scenario 2020'!$A$126:$AE$153,'Specified Annual Demand'!T$3,FALSE)</f>
        <v>107.13985437025146</v>
      </c>
      <c r="U61" s="7">
        <f>T61*VLOOKUP($B61,'EU Ref Scenario 2020'!$A$126:$AE$153,'Specified Annual Demand'!U$3,FALSE)</f>
        <v>107.3818064155914</v>
      </c>
      <c r="V61" s="7">
        <f>U61*VLOOKUP($B61,'EU Ref Scenario 2020'!$A$126:$AE$153,'Specified Annual Demand'!V$3,FALSE)</f>
        <v>107.54797967025424</v>
      </c>
      <c r="W61" s="7">
        <f>V61*VLOOKUP($B61,'EU Ref Scenario 2020'!$A$126:$AE$153,'Specified Annual Demand'!W$3,FALSE)</f>
        <v>107.71415292491707</v>
      </c>
      <c r="X61" s="7">
        <f>W61*VLOOKUP($B61,'EU Ref Scenario 2020'!$A$126:$AE$153,'Specified Annual Demand'!X$3,FALSE)</f>
        <v>107.88032617957991</v>
      </c>
      <c r="Y61" s="7">
        <f>X61*VLOOKUP($B61,'EU Ref Scenario 2020'!$A$126:$AE$153,'Specified Annual Demand'!Y$3,FALSE)</f>
        <v>108.04649943424273</v>
      </c>
      <c r="Z61" s="7">
        <f>Y61*VLOOKUP($B61,'EU Ref Scenario 2020'!$A$126:$AE$153,'Specified Annual Demand'!Z$3,FALSE)</f>
        <v>108.21267268890561</v>
      </c>
      <c r="AA61" s="7">
        <f>Z61*VLOOKUP($B61,'EU Ref Scenario 2020'!$A$126:$AE$153,'Specified Annual Demand'!AA$3,FALSE)</f>
        <v>108.46673602632673</v>
      </c>
      <c r="AB61" s="7">
        <f>AA61*VLOOKUP($B61,'EU Ref Scenario 2020'!$A$126:$AE$153,'Specified Annual Demand'!AB$3,FALSE)</f>
        <v>108.72079936374786</v>
      </c>
      <c r="AC61" s="7">
        <f>AB61*VLOOKUP($B61,'EU Ref Scenario 2020'!$A$126:$AE$153,'Specified Annual Demand'!AC$3,FALSE)</f>
        <v>108.97486270116899</v>
      </c>
      <c r="AD61" s="7">
        <f>AC61*VLOOKUP($B61,'EU Ref Scenario 2020'!$A$126:$AE$153,'Specified Annual Demand'!AD$3,FALSE)</f>
        <v>109.2289260385901</v>
      </c>
      <c r="AE61" s="7">
        <f>AD61*VLOOKUP($B61,'EU Ref Scenario 2020'!$A$126:$AE$153,'Specified Annual Demand'!AE$3,FALSE)</f>
        <v>109.48298937601122</v>
      </c>
      <c r="AF61" s="7">
        <f>AE61*VLOOKUP($B61,'EU Ref Scenario 2020'!$A$126:$AE$153,'Specified Annual Demand'!AF$3,FALSE)</f>
        <v>110.03382813871876</v>
      </c>
      <c r="AG61" s="7">
        <f>AF61*VLOOKUP($B61,'EU Ref Scenario 2020'!$A$126:$AE$153,'Specified Annual Demand'!AG$3,FALSE)</f>
        <v>110.5846669014263</v>
      </c>
      <c r="AH61" s="7">
        <f>AG61*VLOOKUP($B61,'EU Ref Scenario 2020'!$A$126:$AE$153,'Specified Annual Demand'!AH$3,FALSE)</f>
        <v>111.13550566413385</v>
      </c>
      <c r="AI61" s="7">
        <f>AH61*VLOOKUP($B61,'EU Ref Scenario 2020'!$A$126:$AE$153,'Specified Annual Demand'!AI$3,FALSE)</f>
        <v>111.68634442684139</v>
      </c>
      <c r="AJ61" s="7">
        <f>AI61*VLOOKUP($B61,'EU Ref Scenario 2020'!$A$126:$AE$153,'Specified Annual Demand'!AJ$3,FALSE)</f>
        <v>112.23718318954892</v>
      </c>
      <c r="AK61" s="8">
        <f t="shared" ref="AK61:AO61" si="57">AJ61</f>
        <v>112.23718318954892</v>
      </c>
      <c r="AL61" s="8">
        <f t="shared" si="57"/>
        <v>112.23718318954892</v>
      </c>
      <c r="AM61" s="8">
        <f t="shared" si="57"/>
        <v>112.23718318954892</v>
      </c>
      <c r="AN61" s="8">
        <f t="shared" si="57"/>
        <v>112.23718318954892</v>
      </c>
      <c r="AO61" s="8">
        <f t="shared" si="57"/>
        <v>112.23718318954892</v>
      </c>
    </row>
    <row r="62" spans="1:41" x14ac:dyDescent="0.3">
      <c r="A62" t="s">
        <v>146</v>
      </c>
      <c r="B62" t="str">
        <f t="shared" si="1"/>
        <v>IE</v>
      </c>
      <c r="C62" t="s">
        <v>58</v>
      </c>
      <c r="D62" s="2">
        <v>1.7107207677198961</v>
      </c>
      <c r="E62" s="2">
        <v>1.8269232882210904</v>
      </c>
      <c r="F62" s="2">
        <v>1.7881698590461503</v>
      </c>
      <c r="G62" s="2">
        <v>1.8432198950786129</v>
      </c>
      <c r="H62" s="7">
        <f>G62*VLOOKUP($B62,'EU Ref Scenario 2020'!$A$126:$AE$153,'Specified Annual Demand'!H$3,FALSE)</f>
        <v>1.8490382236100531</v>
      </c>
      <c r="I62" s="7">
        <f>H62*VLOOKUP($B62,'EU Ref Scenario 2020'!$A$126:$AE$153,'Specified Annual Demand'!I$3,FALSE)</f>
        <v>1.854856552141493</v>
      </c>
      <c r="J62" s="7">
        <f>I62*VLOOKUP($B62,'EU Ref Scenario 2020'!$A$126:$AE$153,'Specified Annual Demand'!J$3,FALSE)</f>
        <v>1.860674880672933</v>
      </c>
      <c r="K62" s="7">
        <f>J62*VLOOKUP($B62,'EU Ref Scenario 2020'!$A$126:$AE$153,'Specified Annual Demand'!K$3,FALSE)</f>
        <v>1.8664932092043733</v>
      </c>
      <c r="L62" s="7">
        <f>K62*VLOOKUP($B62,'EU Ref Scenario 2020'!$A$126:$AE$153,'Specified Annual Demand'!L$3,FALSE)</f>
        <v>1.8485224808587992</v>
      </c>
      <c r="M62" s="7">
        <f>L62*VLOOKUP($B62,'EU Ref Scenario 2020'!$A$126:$AE$153,'Specified Annual Demand'!M$3,FALSE)</f>
        <v>1.8305517525132253</v>
      </c>
      <c r="N62" s="7">
        <f>M62*VLOOKUP($B62,'EU Ref Scenario 2020'!$A$126:$AE$153,'Specified Annual Demand'!N$3,FALSE)</f>
        <v>1.8125810241676514</v>
      </c>
      <c r="O62" s="7">
        <f>N62*VLOOKUP($B62,'EU Ref Scenario 2020'!$A$126:$AE$153,'Specified Annual Demand'!O$3,FALSE)</f>
        <v>1.7946102958220775</v>
      </c>
      <c r="P62" s="7">
        <f>O62*VLOOKUP($B62,'EU Ref Scenario 2020'!$A$126:$AE$153,'Specified Annual Demand'!P$3,FALSE)</f>
        <v>1.7766395674765043</v>
      </c>
      <c r="Q62" s="7">
        <f>P62*VLOOKUP($B62,'EU Ref Scenario 2020'!$A$126:$AE$153,'Specified Annual Demand'!Q$3,FALSE)</f>
        <v>1.7806882939785642</v>
      </c>
      <c r="R62" s="7">
        <f>Q62*VLOOKUP($B62,'EU Ref Scenario 2020'!$A$126:$AE$153,'Specified Annual Demand'!R$3,FALSE)</f>
        <v>1.7847370204806241</v>
      </c>
      <c r="S62" s="7">
        <f>R62*VLOOKUP($B62,'EU Ref Scenario 2020'!$A$126:$AE$153,'Specified Annual Demand'!S$3,FALSE)</f>
        <v>1.788785746982684</v>
      </c>
      <c r="T62" s="7">
        <f>S62*VLOOKUP($B62,'EU Ref Scenario 2020'!$A$126:$AE$153,'Specified Annual Demand'!T$3,FALSE)</f>
        <v>1.7928344734847439</v>
      </c>
      <c r="U62" s="7">
        <f>T62*VLOOKUP($B62,'EU Ref Scenario 2020'!$A$126:$AE$153,'Specified Annual Demand'!U$3,FALSE)</f>
        <v>1.7968831999868029</v>
      </c>
      <c r="V62" s="7">
        <f>U62*VLOOKUP($B62,'EU Ref Scenario 2020'!$A$126:$AE$153,'Specified Annual Demand'!V$3,FALSE)</f>
        <v>1.7996638752199532</v>
      </c>
      <c r="W62" s="7">
        <f>V62*VLOOKUP($B62,'EU Ref Scenario 2020'!$A$126:$AE$153,'Specified Annual Demand'!W$3,FALSE)</f>
        <v>1.8024445504531035</v>
      </c>
      <c r="X62" s="7">
        <f>W62*VLOOKUP($B62,'EU Ref Scenario 2020'!$A$126:$AE$153,'Specified Annual Demand'!X$3,FALSE)</f>
        <v>1.8052252256862538</v>
      </c>
      <c r="Y62" s="7">
        <f>X62*VLOOKUP($B62,'EU Ref Scenario 2020'!$A$126:$AE$153,'Specified Annual Demand'!Y$3,FALSE)</f>
        <v>1.8080059009194038</v>
      </c>
      <c r="Z62" s="7">
        <f>Y62*VLOOKUP($B62,'EU Ref Scenario 2020'!$A$126:$AE$153,'Specified Annual Demand'!Z$3,FALSE)</f>
        <v>1.8107865761525548</v>
      </c>
      <c r="AA62" s="7">
        <f>Z62*VLOOKUP($B62,'EU Ref Scenario 2020'!$A$126:$AE$153,'Specified Annual Demand'!AA$3,FALSE)</f>
        <v>1.8150379680594644</v>
      </c>
      <c r="AB62" s="7">
        <f>AA62*VLOOKUP($B62,'EU Ref Scenario 2020'!$A$126:$AE$153,'Specified Annual Demand'!AB$3,FALSE)</f>
        <v>1.8192893599663742</v>
      </c>
      <c r="AC62" s="7">
        <f>AB62*VLOOKUP($B62,'EU Ref Scenario 2020'!$A$126:$AE$153,'Specified Annual Demand'!AC$3,FALSE)</f>
        <v>1.823540751873284</v>
      </c>
      <c r="AD62" s="7">
        <f>AC62*VLOOKUP($B62,'EU Ref Scenario 2020'!$A$126:$AE$153,'Specified Annual Demand'!AD$3,FALSE)</f>
        <v>1.8277921437801936</v>
      </c>
      <c r="AE62" s="7">
        <f>AD62*VLOOKUP($B62,'EU Ref Scenario 2020'!$A$126:$AE$153,'Specified Annual Demand'!AE$3,FALSE)</f>
        <v>1.8320435356871032</v>
      </c>
      <c r="AF62" s="7">
        <f>AE62*VLOOKUP($B62,'EU Ref Scenario 2020'!$A$126:$AE$153,'Specified Annual Demand'!AF$3,FALSE)</f>
        <v>1.8412610460983174</v>
      </c>
      <c r="AG62" s="7">
        <f>AF62*VLOOKUP($B62,'EU Ref Scenario 2020'!$A$126:$AE$153,'Specified Annual Demand'!AG$3,FALSE)</f>
        <v>1.8504785565095316</v>
      </c>
      <c r="AH62" s="7">
        <f>AG62*VLOOKUP($B62,'EU Ref Scenario 2020'!$A$126:$AE$153,'Specified Annual Demand'!AH$3,FALSE)</f>
        <v>1.8596960669207458</v>
      </c>
      <c r="AI62" s="7">
        <f>AH62*VLOOKUP($B62,'EU Ref Scenario 2020'!$A$126:$AE$153,'Specified Annual Demand'!AI$3,FALSE)</f>
        <v>1.8689135773319598</v>
      </c>
      <c r="AJ62" s="7">
        <f>AI62*VLOOKUP($B62,'EU Ref Scenario 2020'!$A$126:$AE$153,'Specified Annual Demand'!AJ$3,FALSE)</f>
        <v>1.8781310877431738</v>
      </c>
      <c r="AK62" s="8">
        <f t="shared" ref="AK62:AO62" si="58">AJ62</f>
        <v>1.8781310877431738</v>
      </c>
      <c r="AL62" s="8">
        <f t="shared" si="58"/>
        <v>1.8781310877431738</v>
      </c>
      <c r="AM62" s="8">
        <f t="shared" si="58"/>
        <v>1.8781310877431738</v>
      </c>
      <c r="AN62" s="8">
        <f t="shared" si="58"/>
        <v>1.8781310877431738</v>
      </c>
      <c r="AO62" s="8">
        <f t="shared" si="58"/>
        <v>1.8781310877431738</v>
      </c>
    </row>
    <row r="63" spans="1:41" x14ac:dyDescent="0.3">
      <c r="A63" t="s">
        <v>147</v>
      </c>
      <c r="B63" t="str">
        <f t="shared" si="1"/>
        <v>IE</v>
      </c>
      <c r="C63" t="s">
        <v>59</v>
      </c>
      <c r="D63" s="2">
        <v>7.0590790168124089</v>
      </c>
      <c r="E63" s="2">
        <v>7.2041599496625608</v>
      </c>
      <c r="F63" s="2">
        <v>7.1331457639548805</v>
      </c>
      <c r="G63" s="2">
        <v>7.6414904885263049</v>
      </c>
      <c r="H63" s="7">
        <f>G63*VLOOKUP($B63,'EU Ref Scenario 2020'!$A$126:$AE$153,'Specified Annual Demand'!H$3,FALSE)</f>
        <v>7.6656117028484978</v>
      </c>
      <c r="I63" s="7">
        <f>H63*VLOOKUP($B63,'EU Ref Scenario 2020'!$A$126:$AE$153,'Specified Annual Demand'!I$3,FALSE)</f>
        <v>7.6897329171706899</v>
      </c>
      <c r="J63" s="7">
        <f>I63*VLOOKUP($B63,'EU Ref Scenario 2020'!$A$126:$AE$153,'Specified Annual Demand'!J$3,FALSE)</f>
        <v>7.7138541314928819</v>
      </c>
      <c r="K63" s="7">
        <f>J63*VLOOKUP($B63,'EU Ref Scenario 2020'!$A$126:$AE$153,'Specified Annual Demand'!K$3,FALSE)</f>
        <v>7.7379753458150757</v>
      </c>
      <c r="L63" s="7">
        <f>K63*VLOOKUP($B63,'EU Ref Scenario 2020'!$A$126:$AE$153,'Specified Annual Demand'!L$3,FALSE)</f>
        <v>7.6634735730796324</v>
      </c>
      <c r="M63" s="7">
        <f>L63*VLOOKUP($B63,'EU Ref Scenario 2020'!$A$126:$AE$153,'Specified Annual Demand'!M$3,FALSE)</f>
        <v>7.5889718003441891</v>
      </c>
      <c r="N63" s="7">
        <f>M63*VLOOKUP($B63,'EU Ref Scenario 2020'!$A$126:$AE$153,'Specified Annual Demand'!N$3,FALSE)</f>
        <v>7.5144700276087466</v>
      </c>
      <c r="O63" s="7">
        <f>N63*VLOOKUP($B63,'EU Ref Scenario 2020'!$A$126:$AE$153,'Specified Annual Demand'!O$3,FALSE)</f>
        <v>7.4399682548733033</v>
      </c>
      <c r="P63" s="7">
        <f>O63*VLOOKUP($B63,'EU Ref Scenario 2020'!$A$126:$AE$153,'Specified Annual Demand'!P$3,FALSE)</f>
        <v>7.3654664821378635</v>
      </c>
      <c r="Q63" s="7">
        <f>P63*VLOOKUP($B63,'EU Ref Scenario 2020'!$A$126:$AE$153,'Specified Annual Demand'!Q$3,FALSE)</f>
        <v>7.3822514057048991</v>
      </c>
      <c r="R63" s="7">
        <f>Q63*VLOOKUP($B63,'EU Ref Scenario 2020'!$A$126:$AE$153,'Specified Annual Demand'!R$3,FALSE)</f>
        <v>7.3990363292719357</v>
      </c>
      <c r="S63" s="7">
        <f>R63*VLOOKUP($B63,'EU Ref Scenario 2020'!$A$126:$AE$153,'Specified Annual Demand'!S$3,FALSE)</f>
        <v>7.4158212528389713</v>
      </c>
      <c r="T63" s="7">
        <f>S63*VLOOKUP($B63,'EU Ref Scenario 2020'!$A$126:$AE$153,'Specified Annual Demand'!T$3,FALSE)</f>
        <v>7.4326061764060078</v>
      </c>
      <c r="U63" s="7">
        <f>T63*VLOOKUP($B63,'EU Ref Scenario 2020'!$A$126:$AE$153,'Specified Annual Demand'!U$3,FALSE)</f>
        <v>7.4493910999730408</v>
      </c>
      <c r="V63" s="7">
        <f>U63*VLOOKUP($B63,'EU Ref Scenario 2020'!$A$126:$AE$153,'Specified Annual Demand'!V$3,FALSE)</f>
        <v>7.4609190264035945</v>
      </c>
      <c r="W63" s="7">
        <f>V63*VLOOKUP($B63,'EU Ref Scenario 2020'!$A$126:$AE$153,'Specified Annual Demand'!W$3,FALSE)</f>
        <v>7.4724469528341473</v>
      </c>
      <c r="X63" s="7">
        <f>W63*VLOOKUP($B63,'EU Ref Scenario 2020'!$A$126:$AE$153,'Specified Annual Demand'!X$3,FALSE)</f>
        <v>7.483974879264701</v>
      </c>
      <c r="Y63" s="7">
        <f>X63*VLOOKUP($B63,'EU Ref Scenario 2020'!$A$126:$AE$153,'Specified Annual Demand'!Y$3,FALSE)</f>
        <v>7.4955028056952537</v>
      </c>
      <c r="Z63" s="7">
        <f>Y63*VLOOKUP($B63,'EU Ref Scenario 2020'!$A$126:$AE$153,'Specified Annual Demand'!Z$3,FALSE)</f>
        <v>7.5070307321258101</v>
      </c>
      <c r="AA63" s="7">
        <f>Z63*VLOOKUP($B63,'EU Ref Scenario 2020'!$A$126:$AE$153,'Specified Annual Demand'!AA$3,FALSE)</f>
        <v>7.5246558515737867</v>
      </c>
      <c r="AB63" s="7">
        <f>AA63*VLOOKUP($B63,'EU Ref Scenario 2020'!$A$126:$AE$153,'Specified Annual Demand'!AB$3,FALSE)</f>
        <v>7.5422809710217642</v>
      </c>
      <c r="AC63" s="7">
        <f>AB63*VLOOKUP($B63,'EU Ref Scenario 2020'!$A$126:$AE$153,'Specified Annual Demand'!AC$3,FALSE)</f>
        <v>7.5599060904697417</v>
      </c>
      <c r="AD63" s="7">
        <f>AC63*VLOOKUP($B63,'EU Ref Scenario 2020'!$A$126:$AE$153,'Specified Annual Demand'!AD$3,FALSE)</f>
        <v>7.5775312099177183</v>
      </c>
      <c r="AE63" s="7">
        <f>AD63*VLOOKUP($B63,'EU Ref Scenario 2020'!$A$126:$AE$153,'Specified Annual Demand'!AE$3,FALSE)</f>
        <v>7.595156329365695</v>
      </c>
      <c r="AF63" s="7">
        <f>AE63*VLOOKUP($B63,'EU Ref Scenario 2020'!$A$126:$AE$153,'Specified Annual Demand'!AF$3,FALSE)</f>
        <v>7.6333696311661194</v>
      </c>
      <c r="AG63" s="7">
        <f>AF63*VLOOKUP($B63,'EU Ref Scenario 2020'!$A$126:$AE$153,'Specified Annual Demand'!AG$3,FALSE)</f>
        <v>7.6715829329665439</v>
      </c>
      <c r="AH63" s="7">
        <f>AG63*VLOOKUP($B63,'EU Ref Scenario 2020'!$A$126:$AE$153,'Specified Annual Demand'!AH$3,FALSE)</f>
        <v>7.7097962347669684</v>
      </c>
      <c r="AI63" s="7">
        <f>AH63*VLOOKUP($B63,'EU Ref Scenario 2020'!$A$126:$AE$153,'Specified Annual Demand'!AI$3,FALSE)</f>
        <v>7.748009536567392</v>
      </c>
      <c r="AJ63" s="7">
        <f>AI63*VLOOKUP($B63,'EU Ref Scenario 2020'!$A$126:$AE$153,'Specified Annual Demand'!AJ$3,FALSE)</f>
        <v>7.7862228383678147</v>
      </c>
      <c r="AK63" s="8">
        <f t="shared" ref="AK63:AO63" si="59">AJ63</f>
        <v>7.7862228383678147</v>
      </c>
      <c r="AL63" s="8">
        <f t="shared" si="59"/>
        <v>7.7862228383678147</v>
      </c>
      <c r="AM63" s="8">
        <f t="shared" si="59"/>
        <v>7.7862228383678147</v>
      </c>
      <c r="AN63" s="8">
        <f t="shared" si="59"/>
        <v>7.7862228383678147</v>
      </c>
      <c r="AO63" s="8">
        <f t="shared" si="59"/>
        <v>7.7862228383678147</v>
      </c>
    </row>
    <row r="64" spans="1:41" x14ac:dyDescent="0.3">
      <c r="A64" t="s">
        <v>148</v>
      </c>
      <c r="B64" t="str">
        <f t="shared" si="1"/>
        <v>IE</v>
      </c>
      <c r="C64" t="s">
        <v>60</v>
      </c>
      <c r="D64" s="2">
        <v>36.177261627377433</v>
      </c>
      <c r="E64" s="2">
        <v>37.112143615527025</v>
      </c>
      <c r="F64" s="2">
        <v>38.586905542170179</v>
      </c>
      <c r="G64" s="2">
        <v>43.827698073140503</v>
      </c>
      <c r="H64" s="7">
        <f>G64*VLOOKUP($B64,'EU Ref Scenario 2020'!$A$126:$AE$153,'Specified Annual Demand'!H$3,FALSE)</f>
        <v>43.966045074953556</v>
      </c>
      <c r="I64" s="7">
        <f>H64*VLOOKUP($B64,'EU Ref Scenario 2020'!$A$126:$AE$153,'Specified Annual Demand'!I$3,FALSE)</f>
        <v>44.104392076766608</v>
      </c>
      <c r="J64" s="7">
        <f>I64*VLOOKUP($B64,'EU Ref Scenario 2020'!$A$126:$AE$153,'Specified Annual Demand'!J$3,FALSE)</f>
        <v>44.24273907857966</v>
      </c>
      <c r="K64" s="7">
        <f>J64*VLOOKUP($B64,'EU Ref Scenario 2020'!$A$126:$AE$153,'Specified Annual Demand'!K$3,FALSE)</f>
        <v>44.38108608039272</v>
      </c>
      <c r="L64" s="7">
        <f>K64*VLOOKUP($B64,'EU Ref Scenario 2020'!$A$126:$AE$153,'Specified Annual Demand'!L$3,FALSE)</f>
        <v>43.953781851425148</v>
      </c>
      <c r="M64" s="7">
        <f>L64*VLOOKUP($B64,'EU Ref Scenario 2020'!$A$126:$AE$153,'Specified Annual Demand'!M$3,FALSE)</f>
        <v>43.526477622457584</v>
      </c>
      <c r="N64" s="7">
        <f>M64*VLOOKUP($B64,'EU Ref Scenario 2020'!$A$126:$AE$153,'Specified Annual Demand'!N$3,FALSE)</f>
        <v>43.09917339349002</v>
      </c>
      <c r="O64" s="7">
        <f>N64*VLOOKUP($B64,'EU Ref Scenario 2020'!$A$126:$AE$153,'Specified Annual Demand'!O$3,FALSE)</f>
        <v>42.671869164522455</v>
      </c>
      <c r="P64" s="7">
        <f>O64*VLOOKUP($B64,'EU Ref Scenario 2020'!$A$126:$AE$153,'Specified Annual Demand'!P$3,FALSE)</f>
        <v>42.244564935554905</v>
      </c>
      <c r="Q64" s="7">
        <f>P64*VLOOKUP($B64,'EU Ref Scenario 2020'!$A$126:$AE$153,'Specified Annual Demand'!Q$3,FALSE)</f>
        <v>42.340834709544858</v>
      </c>
      <c r="R64" s="7">
        <f>Q64*VLOOKUP($B64,'EU Ref Scenario 2020'!$A$126:$AE$153,'Specified Annual Demand'!R$3,FALSE)</f>
        <v>42.43710448353481</v>
      </c>
      <c r="S64" s="7">
        <f>R64*VLOOKUP($B64,'EU Ref Scenario 2020'!$A$126:$AE$153,'Specified Annual Demand'!S$3,FALSE)</f>
        <v>42.533374257524763</v>
      </c>
      <c r="T64" s="7">
        <f>S64*VLOOKUP($B64,'EU Ref Scenario 2020'!$A$126:$AE$153,'Specified Annual Demand'!T$3,FALSE)</f>
        <v>42.629644031514715</v>
      </c>
      <c r="U64" s="7">
        <f>T64*VLOOKUP($B64,'EU Ref Scenario 2020'!$A$126:$AE$153,'Specified Annual Demand'!U$3,FALSE)</f>
        <v>42.725913805504646</v>
      </c>
      <c r="V64" s="7">
        <f>U64*VLOOKUP($B64,'EU Ref Scenario 2020'!$A$126:$AE$153,'Specified Annual Demand'!V$3,FALSE)</f>
        <v>42.792032121004262</v>
      </c>
      <c r="W64" s="7">
        <f>V64*VLOOKUP($B64,'EU Ref Scenario 2020'!$A$126:$AE$153,'Specified Annual Demand'!W$3,FALSE)</f>
        <v>42.85815043650387</v>
      </c>
      <c r="X64" s="7">
        <f>W64*VLOOKUP($B64,'EU Ref Scenario 2020'!$A$126:$AE$153,'Specified Annual Demand'!X$3,FALSE)</f>
        <v>42.924268752003485</v>
      </c>
      <c r="Y64" s="7">
        <f>X64*VLOOKUP($B64,'EU Ref Scenario 2020'!$A$126:$AE$153,'Specified Annual Demand'!Y$3,FALSE)</f>
        <v>42.990387067503093</v>
      </c>
      <c r="Z64" s="7">
        <f>Y64*VLOOKUP($B64,'EU Ref Scenario 2020'!$A$126:$AE$153,'Specified Annual Demand'!Z$3,FALSE)</f>
        <v>43.056505383002722</v>
      </c>
      <c r="AA64" s="7">
        <f>Z64*VLOOKUP($B64,'EU Ref Scenario 2020'!$A$126:$AE$153,'Specified Annual Demand'!AA$3,FALSE)</f>
        <v>43.157594092702595</v>
      </c>
      <c r="AB64" s="7">
        <f>AA64*VLOOKUP($B64,'EU Ref Scenario 2020'!$A$126:$AE$153,'Specified Annual Demand'!AB$3,FALSE)</f>
        <v>43.258682802402468</v>
      </c>
      <c r="AC64" s="7">
        <f>AB64*VLOOKUP($B64,'EU Ref Scenario 2020'!$A$126:$AE$153,'Specified Annual Demand'!AC$3,FALSE)</f>
        <v>43.359771512102341</v>
      </c>
      <c r="AD64" s="7">
        <f>AC64*VLOOKUP($B64,'EU Ref Scenario 2020'!$A$126:$AE$153,'Specified Annual Demand'!AD$3,FALSE)</f>
        <v>43.460860221802214</v>
      </c>
      <c r="AE64" s="7">
        <f>AD64*VLOOKUP($B64,'EU Ref Scenario 2020'!$A$126:$AE$153,'Specified Annual Demand'!AE$3,FALSE)</f>
        <v>43.561948931502087</v>
      </c>
      <c r="AF64" s="7">
        <f>AE64*VLOOKUP($B64,'EU Ref Scenario 2020'!$A$126:$AE$153,'Specified Annual Demand'!AF$3,FALSE)</f>
        <v>43.781120970805354</v>
      </c>
      <c r="AG64" s="7">
        <f>AF64*VLOOKUP($B64,'EU Ref Scenario 2020'!$A$126:$AE$153,'Specified Annual Demand'!AG$3,FALSE)</f>
        <v>44.000293010108621</v>
      </c>
      <c r="AH64" s="7">
        <f>AG64*VLOOKUP($B64,'EU Ref Scenario 2020'!$A$126:$AE$153,'Specified Annual Demand'!AH$3,FALSE)</f>
        <v>44.21946504941188</v>
      </c>
      <c r="AI64" s="7">
        <f>AH64*VLOOKUP($B64,'EU Ref Scenario 2020'!$A$126:$AE$153,'Specified Annual Demand'!AI$3,FALSE)</f>
        <v>44.43863708871514</v>
      </c>
      <c r="AJ64" s="7">
        <f>AI64*VLOOKUP($B64,'EU Ref Scenario 2020'!$A$126:$AE$153,'Specified Annual Demand'!AJ$3,FALSE)</f>
        <v>44.657809128018393</v>
      </c>
      <c r="AK64" s="8">
        <f t="shared" ref="AK64:AO64" si="60">AJ64</f>
        <v>44.657809128018393</v>
      </c>
      <c r="AL64" s="8">
        <f t="shared" si="60"/>
        <v>44.657809128018393</v>
      </c>
      <c r="AM64" s="8">
        <f t="shared" si="60"/>
        <v>44.657809128018393</v>
      </c>
      <c r="AN64" s="8">
        <f t="shared" si="60"/>
        <v>44.657809128018393</v>
      </c>
      <c r="AO64" s="8">
        <f t="shared" si="60"/>
        <v>44.657809128018393</v>
      </c>
    </row>
    <row r="65" spans="1:41" x14ac:dyDescent="0.3">
      <c r="A65" t="s">
        <v>145</v>
      </c>
      <c r="B65" t="str">
        <f t="shared" si="1"/>
        <v>IT</v>
      </c>
      <c r="C65" t="s">
        <v>61</v>
      </c>
      <c r="D65" s="2">
        <v>1215.5064203157631</v>
      </c>
      <c r="E65" s="2">
        <v>1179.8882878635304</v>
      </c>
      <c r="F65" s="2">
        <v>1141.7159588355887</v>
      </c>
      <c r="G65" s="2">
        <v>1167.7098509653595</v>
      </c>
      <c r="H65" s="7">
        <f>G65*VLOOKUP($B65,'EU Ref Scenario 2020'!$A$126:$AE$153,'Specified Annual Demand'!H$3,FALSE)</f>
        <v>1168.6139981253534</v>
      </c>
      <c r="I65" s="7">
        <f>H65*VLOOKUP($B65,'EU Ref Scenario 2020'!$A$126:$AE$153,'Specified Annual Demand'!I$3,FALSE)</f>
        <v>1169.5181452853471</v>
      </c>
      <c r="J65" s="7">
        <f>I65*VLOOKUP($B65,'EU Ref Scenario 2020'!$A$126:$AE$153,'Specified Annual Demand'!J$3,FALSE)</f>
        <v>1170.4222924453411</v>
      </c>
      <c r="K65" s="7">
        <f>J65*VLOOKUP($B65,'EU Ref Scenario 2020'!$A$126:$AE$153,'Specified Annual Demand'!K$3,FALSE)</f>
        <v>1171.3264396053346</v>
      </c>
      <c r="L65" s="7">
        <f>K65*VLOOKUP($B65,'EU Ref Scenario 2020'!$A$126:$AE$153,'Specified Annual Demand'!L$3,FALSE)</f>
        <v>1157.5109877104983</v>
      </c>
      <c r="M65" s="7">
        <f>L65*VLOOKUP($B65,'EU Ref Scenario 2020'!$A$126:$AE$153,'Specified Annual Demand'!M$3,FALSE)</f>
        <v>1143.6955358156617</v>
      </c>
      <c r="N65" s="7">
        <f>M65*VLOOKUP($B65,'EU Ref Scenario 2020'!$A$126:$AE$153,'Specified Annual Demand'!N$3,FALSE)</f>
        <v>1129.8800839208254</v>
      </c>
      <c r="O65" s="7">
        <f>N65*VLOOKUP($B65,'EU Ref Scenario 2020'!$A$126:$AE$153,'Specified Annual Demand'!O$3,FALSE)</f>
        <v>1116.0646320259889</v>
      </c>
      <c r="P65" s="7">
        <f>O65*VLOOKUP($B65,'EU Ref Scenario 2020'!$A$126:$AE$153,'Specified Annual Demand'!P$3,FALSE)</f>
        <v>1102.2491801311521</v>
      </c>
      <c r="Q65" s="7">
        <f>P65*VLOOKUP($B65,'EU Ref Scenario 2020'!$A$126:$AE$153,'Specified Annual Demand'!Q$3,FALSE)</f>
        <v>1089.5007002080008</v>
      </c>
      <c r="R65" s="7">
        <f>Q65*VLOOKUP($B65,'EU Ref Scenario 2020'!$A$126:$AE$153,'Specified Annual Demand'!R$3,FALSE)</f>
        <v>1076.7522202848497</v>
      </c>
      <c r="S65" s="7">
        <f>R65*VLOOKUP($B65,'EU Ref Scenario 2020'!$A$126:$AE$153,'Specified Annual Demand'!S$3,FALSE)</f>
        <v>1064.0037403616984</v>
      </c>
      <c r="T65" s="7">
        <f>S65*VLOOKUP($B65,'EU Ref Scenario 2020'!$A$126:$AE$153,'Specified Annual Demand'!T$3,FALSE)</f>
        <v>1051.2552604385471</v>
      </c>
      <c r="U65" s="7">
        <f>T65*VLOOKUP($B65,'EU Ref Scenario 2020'!$A$126:$AE$153,'Specified Annual Demand'!U$3,FALSE)</f>
        <v>1038.5067805153958</v>
      </c>
      <c r="V65" s="7">
        <f>U65*VLOOKUP($B65,'EU Ref Scenario 2020'!$A$126:$AE$153,'Specified Annual Demand'!V$3,FALSE)</f>
        <v>1030.8992721424581</v>
      </c>
      <c r="W65" s="7">
        <f>V65*VLOOKUP($B65,'EU Ref Scenario 2020'!$A$126:$AE$153,'Specified Annual Demand'!W$3,FALSE)</f>
        <v>1023.2917637695205</v>
      </c>
      <c r="X65" s="7">
        <f>W65*VLOOKUP($B65,'EU Ref Scenario 2020'!$A$126:$AE$153,'Specified Annual Demand'!X$3,FALSE)</f>
        <v>1015.6842553965829</v>
      </c>
      <c r="Y65" s="7">
        <f>X65*VLOOKUP($B65,'EU Ref Scenario 2020'!$A$126:$AE$153,'Specified Annual Demand'!Y$3,FALSE)</f>
        <v>1008.0767470236452</v>
      </c>
      <c r="Z65" s="7">
        <f>Y65*VLOOKUP($B65,'EU Ref Scenario 2020'!$A$126:$AE$153,'Specified Annual Demand'!Z$3,FALSE)</f>
        <v>1000.4692386507078</v>
      </c>
      <c r="AA65" s="7">
        <f>Z65*VLOOKUP($B65,'EU Ref Scenario 2020'!$A$126:$AE$153,'Specified Annual Demand'!AA$3,FALSE)</f>
        <v>993.71684044255596</v>
      </c>
      <c r="AB65" s="7">
        <f>AA65*VLOOKUP($B65,'EU Ref Scenario 2020'!$A$126:$AE$153,'Specified Annual Demand'!AB$3,FALSE)</f>
        <v>986.96444223440426</v>
      </c>
      <c r="AC65" s="7">
        <f>AB65*VLOOKUP($B65,'EU Ref Scenario 2020'!$A$126:$AE$153,'Specified Annual Demand'!AC$3,FALSE)</f>
        <v>980.21204402625244</v>
      </c>
      <c r="AD65" s="7">
        <f>AC65*VLOOKUP($B65,'EU Ref Scenario 2020'!$A$126:$AE$153,'Specified Annual Demand'!AD$3,FALSE)</f>
        <v>973.45964581810063</v>
      </c>
      <c r="AE65" s="7">
        <f>AD65*VLOOKUP($B65,'EU Ref Scenario 2020'!$A$126:$AE$153,'Specified Annual Demand'!AE$3,FALSE)</f>
        <v>966.70724760994904</v>
      </c>
      <c r="AF65" s="7">
        <f>AE65*VLOOKUP($B65,'EU Ref Scenario 2020'!$A$126:$AE$153,'Specified Annual Demand'!AF$3,FALSE)</f>
        <v>959.15361952438832</v>
      </c>
      <c r="AG65" s="7">
        <f>AF65*VLOOKUP($B65,'EU Ref Scenario 2020'!$A$126:$AE$153,'Specified Annual Demand'!AG$3,FALSE)</f>
        <v>951.5999914388276</v>
      </c>
      <c r="AH65" s="7">
        <f>AG65*VLOOKUP($B65,'EU Ref Scenario 2020'!$A$126:$AE$153,'Specified Annual Demand'!AH$3,FALSE)</f>
        <v>944.04636335326688</v>
      </c>
      <c r="AI65" s="7">
        <f>AH65*VLOOKUP($B65,'EU Ref Scenario 2020'!$A$126:$AE$153,'Specified Annual Demand'!AI$3,FALSE)</f>
        <v>936.49273526770628</v>
      </c>
      <c r="AJ65" s="7">
        <f>AI65*VLOOKUP($B65,'EU Ref Scenario 2020'!$A$126:$AE$153,'Specified Annual Demand'!AJ$3,FALSE)</f>
        <v>928.93910718214534</v>
      </c>
      <c r="AK65" s="8">
        <f t="shared" ref="AK65:AO65" si="61">AJ65</f>
        <v>928.93910718214534</v>
      </c>
      <c r="AL65" s="8">
        <f t="shared" si="61"/>
        <v>928.93910718214534</v>
      </c>
      <c r="AM65" s="8">
        <f t="shared" si="61"/>
        <v>928.93910718214534</v>
      </c>
      <c r="AN65" s="8">
        <f t="shared" si="61"/>
        <v>928.93910718214534</v>
      </c>
      <c r="AO65" s="8">
        <f t="shared" si="61"/>
        <v>928.93910718214534</v>
      </c>
    </row>
    <row r="66" spans="1:41" x14ac:dyDescent="0.3">
      <c r="A66" t="s">
        <v>146</v>
      </c>
      <c r="B66" t="str">
        <f t="shared" si="1"/>
        <v>IT</v>
      </c>
      <c r="C66" t="s">
        <v>62</v>
      </c>
      <c r="D66" s="2">
        <v>69.205944767354566</v>
      </c>
      <c r="E66" s="2">
        <v>90.568040338037108</v>
      </c>
      <c r="F66" s="2">
        <v>69.085997352500769</v>
      </c>
      <c r="G66" s="2">
        <v>86.189269301435573</v>
      </c>
      <c r="H66" s="7">
        <f>G66*VLOOKUP($B66,'EU Ref Scenario 2020'!$A$126:$AE$153,'Specified Annual Demand'!H$3,FALSE)</f>
        <v>86.2560048719169</v>
      </c>
      <c r="I66" s="7">
        <f>H66*VLOOKUP($B66,'EU Ref Scenario 2020'!$A$126:$AE$153,'Specified Annual Demand'!I$3,FALSE)</f>
        <v>86.322740442398228</v>
      </c>
      <c r="J66" s="7">
        <f>I66*VLOOKUP($B66,'EU Ref Scenario 2020'!$A$126:$AE$153,'Specified Annual Demand'!J$3,FALSE)</f>
        <v>86.389476012879555</v>
      </c>
      <c r="K66" s="7">
        <f>J66*VLOOKUP($B66,'EU Ref Scenario 2020'!$A$126:$AE$153,'Specified Annual Demand'!K$3,FALSE)</f>
        <v>86.456211583360869</v>
      </c>
      <c r="L66" s="7">
        <f>K66*VLOOKUP($B66,'EU Ref Scenario 2020'!$A$126:$AE$153,'Specified Annual Demand'!L$3,FALSE)</f>
        <v>85.436485918718503</v>
      </c>
      <c r="M66" s="7">
        <f>L66*VLOOKUP($B66,'EU Ref Scenario 2020'!$A$126:$AE$153,'Specified Annual Demand'!M$3,FALSE)</f>
        <v>84.416760254076138</v>
      </c>
      <c r="N66" s="7">
        <f>M66*VLOOKUP($B66,'EU Ref Scenario 2020'!$A$126:$AE$153,'Specified Annual Demand'!N$3,FALSE)</f>
        <v>83.397034589433773</v>
      </c>
      <c r="O66" s="7">
        <f>N66*VLOOKUP($B66,'EU Ref Scenario 2020'!$A$126:$AE$153,'Specified Annual Demand'!O$3,FALSE)</f>
        <v>82.377308924791407</v>
      </c>
      <c r="P66" s="7">
        <f>O66*VLOOKUP($B66,'EU Ref Scenario 2020'!$A$126:$AE$153,'Specified Annual Demand'!P$3,FALSE)</f>
        <v>81.357583260149028</v>
      </c>
      <c r="Q66" s="7">
        <f>P66*VLOOKUP($B66,'EU Ref Scenario 2020'!$A$126:$AE$153,'Specified Annual Demand'!Q$3,FALSE)</f>
        <v>80.416611349727916</v>
      </c>
      <c r="R66" s="7">
        <f>Q66*VLOOKUP($B66,'EU Ref Scenario 2020'!$A$126:$AE$153,'Specified Annual Demand'!R$3,FALSE)</f>
        <v>79.475639439306804</v>
      </c>
      <c r="S66" s="7">
        <f>R66*VLOOKUP($B66,'EU Ref Scenario 2020'!$A$126:$AE$153,'Specified Annual Demand'!S$3,FALSE)</f>
        <v>78.534667528885691</v>
      </c>
      <c r="T66" s="7">
        <f>S66*VLOOKUP($B66,'EU Ref Scenario 2020'!$A$126:$AE$153,'Specified Annual Demand'!T$3,FALSE)</f>
        <v>77.593695618464579</v>
      </c>
      <c r="U66" s="7">
        <f>T66*VLOOKUP($B66,'EU Ref Scenario 2020'!$A$126:$AE$153,'Specified Annual Demand'!U$3,FALSE)</f>
        <v>76.652723708043453</v>
      </c>
      <c r="V66" s="7">
        <f>U66*VLOOKUP($B66,'EU Ref Scenario 2020'!$A$126:$AE$153,'Specified Annual Demand'!V$3,FALSE)</f>
        <v>76.091209572210829</v>
      </c>
      <c r="W66" s="7">
        <f>V66*VLOOKUP($B66,'EU Ref Scenario 2020'!$A$126:$AE$153,'Specified Annual Demand'!W$3,FALSE)</f>
        <v>75.529695436378205</v>
      </c>
      <c r="X66" s="7">
        <f>W66*VLOOKUP($B66,'EU Ref Scenario 2020'!$A$126:$AE$153,'Specified Annual Demand'!X$3,FALSE)</f>
        <v>74.968181300545595</v>
      </c>
      <c r="Y66" s="7">
        <f>X66*VLOOKUP($B66,'EU Ref Scenario 2020'!$A$126:$AE$153,'Specified Annual Demand'!Y$3,FALSE)</f>
        <v>74.406667164712985</v>
      </c>
      <c r="Z66" s="7">
        <f>Y66*VLOOKUP($B66,'EU Ref Scenario 2020'!$A$126:$AE$153,'Specified Annual Demand'!Z$3,FALSE)</f>
        <v>73.845153028880389</v>
      </c>
      <c r="AA66" s="7">
        <f>Z66*VLOOKUP($B66,'EU Ref Scenario 2020'!$A$126:$AE$153,'Specified Annual Demand'!AA$3,FALSE)</f>
        <v>73.346755017497856</v>
      </c>
      <c r="AB66" s="7">
        <f>AA66*VLOOKUP($B66,'EU Ref Scenario 2020'!$A$126:$AE$153,'Specified Annual Demand'!AB$3,FALSE)</f>
        <v>72.848357006115336</v>
      </c>
      <c r="AC66" s="7">
        <f>AB66*VLOOKUP($B66,'EU Ref Scenario 2020'!$A$126:$AE$153,'Specified Annual Demand'!AC$3,FALSE)</f>
        <v>72.349958994732802</v>
      </c>
      <c r="AD66" s="7">
        <f>AC66*VLOOKUP($B66,'EU Ref Scenario 2020'!$A$126:$AE$153,'Specified Annual Demand'!AD$3,FALSE)</f>
        <v>71.851560983350268</v>
      </c>
      <c r="AE66" s="7">
        <f>AD66*VLOOKUP($B66,'EU Ref Scenario 2020'!$A$126:$AE$153,'Specified Annual Demand'!AE$3,FALSE)</f>
        <v>71.353162971967748</v>
      </c>
      <c r="AF66" s="7">
        <f>AE66*VLOOKUP($B66,'EU Ref Scenario 2020'!$A$126:$AE$153,'Specified Annual Demand'!AF$3,FALSE)</f>
        <v>70.795625768071545</v>
      </c>
      <c r="AG66" s="7">
        <f>AF66*VLOOKUP($B66,'EU Ref Scenario 2020'!$A$126:$AE$153,'Specified Annual Demand'!AG$3,FALSE)</f>
        <v>70.238088564175342</v>
      </c>
      <c r="AH66" s="7">
        <f>AG66*VLOOKUP($B66,'EU Ref Scenario 2020'!$A$126:$AE$153,'Specified Annual Demand'!AH$3,FALSE)</f>
        <v>69.680551360279139</v>
      </c>
      <c r="AI66" s="7">
        <f>AH66*VLOOKUP($B66,'EU Ref Scenario 2020'!$A$126:$AE$153,'Specified Annual Demand'!AI$3,FALSE)</f>
        <v>69.123014156382936</v>
      </c>
      <c r="AJ66" s="7">
        <f>AI66*VLOOKUP($B66,'EU Ref Scenario 2020'!$A$126:$AE$153,'Specified Annual Demand'!AJ$3,FALSE)</f>
        <v>68.565476952486705</v>
      </c>
      <c r="AK66" s="8">
        <f t="shared" ref="AK66:AO66" si="62">AJ66</f>
        <v>68.565476952486705</v>
      </c>
      <c r="AL66" s="8">
        <f t="shared" si="62"/>
        <v>68.565476952486705</v>
      </c>
      <c r="AM66" s="8">
        <f t="shared" si="62"/>
        <v>68.565476952486705</v>
      </c>
      <c r="AN66" s="8">
        <f t="shared" si="62"/>
        <v>68.565476952486705</v>
      </c>
      <c r="AO66" s="8">
        <f t="shared" si="62"/>
        <v>68.565476952486705</v>
      </c>
    </row>
    <row r="67" spans="1:41" x14ac:dyDescent="0.3">
      <c r="A67" t="s">
        <v>147</v>
      </c>
      <c r="B67" t="str">
        <f t="shared" si="1"/>
        <v>IT</v>
      </c>
      <c r="C67" t="s">
        <v>63</v>
      </c>
      <c r="D67" s="2">
        <v>99.268169954264323</v>
      </c>
      <c r="E67" s="2">
        <v>99.210801757592634</v>
      </c>
      <c r="F67" s="2">
        <v>96.092734444071951</v>
      </c>
      <c r="G67" s="2">
        <v>96.287112059003221</v>
      </c>
      <c r="H67" s="7">
        <f>G67*VLOOKUP($B67,'EU Ref Scenario 2020'!$A$126:$AE$153,'Specified Annual Demand'!H$3,FALSE)</f>
        <v>96.361666297661216</v>
      </c>
      <c r="I67" s="7">
        <f>H67*VLOOKUP($B67,'EU Ref Scenario 2020'!$A$126:$AE$153,'Specified Annual Demand'!I$3,FALSE)</f>
        <v>96.436220536319198</v>
      </c>
      <c r="J67" s="7">
        <f>I67*VLOOKUP($B67,'EU Ref Scenario 2020'!$A$126:$AE$153,'Specified Annual Demand'!J$3,FALSE)</f>
        <v>96.510774774977193</v>
      </c>
      <c r="K67" s="7">
        <f>J67*VLOOKUP($B67,'EU Ref Scenario 2020'!$A$126:$AE$153,'Specified Annual Demand'!K$3,FALSE)</f>
        <v>96.58532901363516</v>
      </c>
      <c r="L67" s="7">
        <f>K67*VLOOKUP($B67,'EU Ref Scenario 2020'!$A$126:$AE$153,'Specified Annual Demand'!L$3,FALSE)</f>
        <v>95.446133378996862</v>
      </c>
      <c r="M67" s="7">
        <f>L67*VLOOKUP($B67,'EU Ref Scenario 2020'!$A$126:$AE$153,'Specified Annual Demand'!M$3,FALSE)</f>
        <v>94.306937744358549</v>
      </c>
      <c r="N67" s="7">
        <f>M67*VLOOKUP($B67,'EU Ref Scenario 2020'!$A$126:$AE$153,'Specified Annual Demand'!N$3,FALSE)</f>
        <v>93.167742109720251</v>
      </c>
      <c r="O67" s="7">
        <f>N67*VLOOKUP($B67,'EU Ref Scenario 2020'!$A$126:$AE$153,'Specified Annual Demand'!O$3,FALSE)</f>
        <v>92.028546475081939</v>
      </c>
      <c r="P67" s="7">
        <f>O67*VLOOKUP($B67,'EU Ref Scenario 2020'!$A$126:$AE$153,'Specified Annual Demand'!P$3,FALSE)</f>
        <v>90.889350840443612</v>
      </c>
      <c r="Q67" s="7">
        <f>P67*VLOOKUP($B67,'EU Ref Scenario 2020'!$A$126:$AE$153,'Specified Annual Demand'!Q$3,FALSE)</f>
        <v>89.838135665777045</v>
      </c>
      <c r="R67" s="7">
        <f>Q67*VLOOKUP($B67,'EU Ref Scenario 2020'!$A$126:$AE$153,'Specified Annual Demand'!R$3,FALSE)</f>
        <v>88.786920491110493</v>
      </c>
      <c r="S67" s="7">
        <f>R67*VLOOKUP($B67,'EU Ref Scenario 2020'!$A$126:$AE$153,'Specified Annual Demand'!S$3,FALSE)</f>
        <v>87.735705316443926</v>
      </c>
      <c r="T67" s="7">
        <f>S67*VLOOKUP($B67,'EU Ref Scenario 2020'!$A$126:$AE$153,'Specified Annual Demand'!T$3,FALSE)</f>
        <v>86.68449014177736</v>
      </c>
      <c r="U67" s="7">
        <f>T67*VLOOKUP($B67,'EU Ref Scenario 2020'!$A$126:$AE$153,'Specified Annual Demand'!U$3,FALSE)</f>
        <v>85.633274967110793</v>
      </c>
      <c r="V67" s="7">
        <f>U67*VLOOKUP($B67,'EU Ref Scenario 2020'!$A$126:$AE$153,'Specified Annual Demand'!V$3,FALSE)</f>
        <v>85.005974434714602</v>
      </c>
      <c r="W67" s="7">
        <f>V67*VLOOKUP($B67,'EU Ref Scenario 2020'!$A$126:$AE$153,'Specified Annual Demand'!W$3,FALSE)</f>
        <v>84.378673902318411</v>
      </c>
      <c r="X67" s="7">
        <f>W67*VLOOKUP($B67,'EU Ref Scenario 2020'!$A$126:$AE$153,'Specified Annual Demand'!X$3,FALSE)</f>
        <v>83.75137336992222</v>
      </c>
      <c r="Y67" s="7">
        <f>X67*VLOOKUP($B67,'EU Ref Scenario 2020'!$A$126:$AE$153,'Specified Annual Demand'!Y$3,FALSE)</f>
        <v>83.124072837526029</v>
      </c>
      <c r="Z67" s="7">
        <f>Y67*VLOOKUP($B67,'EU Ref Scenario 2020'!$A$126:$AE$153,'Specified Annual Demand'!Z$3,FALSE)</f>
        <v>82.496772305129852</v>
      </c>
      <c r="AA67" s="7">
        <f>Z67*VLOOKUP($B67,'EU Ref Scenario 2020'!$A$126:$AE$153,'Specified Annual Demand'!AA$3,FALSE)</f>
        <v>81.939982514928275</v>
      </c>
      <c r="AB67" s="7">
        <f>AA67*VLOOKUP($B67,'EU Ref Scenario 2020'!$A$126:$AE$153,'Specified Annual Demand'!AB$3,FALSE)</f>
        <v>81.383192724726698</v>
      </c>
      <c r="AC67" s="7">
        <f>AB67*VLOOKUP($B67,'EU Ref Scenario 2020'!$A$126:$AE$153,'Specified Annual Demand'!AC$3,FALSE)</f>
        <v>80.82640293452512</v>
      </c>
      <c r="AD67" s="7">
        <f>AC67*VLOOKUP($B67,'EU Ref Scenario 2020'!$A$126:$AE$153,'Specified Annual Demand'!AD$3,FALSE)</f>
        <v>80.269613144323543</v>
      </c>
      <c r="AE67" s="7">
        <f>AD67*VLOOKUP($B67,'EU Ref Scenario 2020'!$A$126:$AE$153,'Specified Annual Demand'!AE$3,FALSE)</f>
        <v>79.71282335412198</v>
      </c>
      <c r="AF67" s="7">
        <f>AE67*VLOOKUP($B67,'EU Ref Scenario 2020'!$A$126:$AE$153,'Specified Annual Demand'!AF$3,FALSE)</f>
        <v>79.089965686761261</v>
      </c>
      <c r="AG67" s="7">
        <f>AF67*VLOOKUP($B67,'EU Ref Scenario 2020'!$A$126:$AE$153,'Specified Annual Demand'!AG$3,FALSE)</f>
        <v>78.467108019400541</v>
      </c>
      <c r="AH67" s="7">
        <f>AG67*VLOOKUP($B67,'EU Ref Scenario 2020'!$A$126:$AE$153,'Specified Annual Demand'!AH$3,FALSE)</f>
        <v>77.844250352039822</v>
      </c>
      <c r="AI67" s="7">
        <f>AH67*VLOOKUP($B67,'EU Ref Scenario 2020'!$A$126:$AE$153,'Specified Annual Demand'!AI$3,FALSE)</f>
        <v>77.221392684679103</v>
      </c>
      <c r="AJ67" s="7">
        <f>AI67*VLOOKUP($B67,'EU Ref Scenario 2020'!$A$126:$AE$153,'Specified Annual Demand'!AJ$3,FALSE)</f>
        <v>76.598535017318355</v>
      </c>
      <c r="AK67" s="8">
        <f t="shared" ref="AK67:AO67" si="63">AJ67</f>
        <v>76.598535017318355</v>
      </c>
      <c r="AL67" s="8">
        <f t="shared" si="63"/>
        <v>76.598535017318355</v>
      </c>
      <c r="AM67" s="8">
        <f t="shared" si="63"/>
        <v>76.598535017318355</v>
      </c>
      <c r="AN67" s="8">
        <f t="shared" si="63"/>
        <v>76.598535017318355</v>
      </c>
      <c r="AO67" s="8">
        <f t="shared" si="63"/>
        <v>76.598535017318355</v>
      </c>
    </row>
    <row r="68" spans="1:41" x14ac:dyDescent="0.3">
      <c r="A68" t="s">
        <v>148</v>
      </c>
      <c r="B68" t="str">
        <f t="shared" si="1"/>
        <v>IT</v>
      </c>
      <c r="C68" t="s">
        <v>64</v>
      </c>
      <c r="D68" s="2">
        <v>326.68976423758693</v>
      </c>
      <c r="E68" s="2">
        <v>323.67650260539716</v>
      </c>
      <c r="F68" s="2">
        <v>315.10491148311462</v>
      </c>
      <c r="G68" s="2">
        <v>318.19255525131058</v>
      </c>
      <c r="H68" s="7">
        <f>G68*VLOOKUP($B68,'EU Ref Scenario 2020'!$A$126:$AE$153,'Specified Annual Demand'!H$3,FALSE)</f>
        <v>318.4389288645192</v>
      </c>
      <c r="I68" s="7">
        <f>H68*VLOOKUP($B68,'EU Ref Scenario 2020'!$A$126:$AE$153,'Specified Annual Demand'!I$3,FALSE)</f>
        <v>318.68530247772782</v>
      </c>
      <c r="J68" s="7">
        <f>I68*VLOOKUP($B68,'EU Ref Scenario 2020'!$A$126:$AE$153,'Specified Annual Demand'!J$3,FALSE)</f>
        <v>318.93167609093649</v>
      </c>
      <c r="K68" s="7">
        <f>J68*VLOOKUP($B68,'EU Ref Scenario 2020'!$A$126:$AE$153,'Specified Annual Demand'!K$3,FALSE)</f>
        <v>319.17804970414505</v>
      </c>
      <c r="L68" s="7">
        <f>K68*VLOOKUP($B68,'EU Ref Scenario 2020'!$A$126:$AE$153,'Specified Annual Demand'!L$3,FALSE)</f>
        <v>315.41343819835419</v>
      </c>
      <c r="M68" s="7">
        <f>L68*VLOOKUP($B68,'EU Ref Scenario 2020'!$A$126:$AE$153,'Specified Annual Demand'!M$3,FALSE)</f>
        <v>311.64882669256326</v>
      </c>
      <c r="N68" s="7">
        <f>M68*VLOOKUP($B68,'EU Ref Scenario 2020'!$A$126:$AE$153,'Specified Annual Demand'!N$3,FALSE)</f>
        <v>307.88421518677239</v>
      </c>
      <c r="O68" s="7">
        <f>N68*VLOOKUP($B68,'EU Ref Scenario 2020'!$A$126:$AE$153,'Specified Annual Demand'!O$3,FALSE)</f>
        <v>304.11960368098147</v>
      </c>
      <c r="P68" s="7">
        <f>O68*VLOOKUP($B68,'EU Ref Scenario 2020'!$A$126:$AE$153,'Specified Annual Demand'!P$3,FALSE)</f>
        <v>300.35499217519049</v>
      </c>
      <c r="Q68" s="7">
        <f>P68*VLOOKUP($B68,'EU Ref Scenario 2020'!$A$126:$AE$153,'Specified Annual Demand'!Q$3,FALSE)</f>
        <v>296.88112287541196</v>
      </c>
      <c r="R68" s="7">
        <f>Q68*VLOOKUP($B68,'EU Ref Scenario 2020'!$A$126:$AE$153,'Specified Annual Demand'!R$3,FALSE)</f>
        <v>293.40725357563343</v>
      </c>
      <c r="S68" s="7">
        <f>R68*VLOOKUP($B68,'EU Ref Scenario 2020'!$A$126:$AE$153,'Specified Annual Demand'!S$3,FALSE)</f>
        <v>289.93338427585491</v>
      </c>
      <c r="T68" s="7">
        <f>S68*VLOOKUP($B68,'EU Ref Scenario 2020'!$A$126:$AE$153,'Specified Annual Demand'!T$3,FALSE)</f>
        <v>286.45951497607638</v>
      </c>
      <c r="U68" s="7">
        <f>T68*VLOOKUP($B68,'EU Ref Scenario 2020'!$A$126:$AE$153,'Specified Annual Demand'!U$3,FALSE)</f>
        <v>282.98564567629779</v>
      </c>
      <c r="V68" s="7">
        <f>U68*VLOOKUP($B68,'EU Ref Scenario 2020'!$A$126:$AE$153,'Specified Annual Demand'!V$3,FALSE)</f>
        <v>280.91265423387773</v>
      </c>
      <c r="W68" s="7">
        <f>V68*VLOOKUP($B68,'EU Ref Scenario 2020'!$A$126:$AE$153,'Specified Annual Demand'!W$3,FALSE)</f>
        <v>278.83966279145767</v>
      </c>
      <c r="X68" s="7">
        <f>W68*VLOOKUP($B68,'EU Ref Scenario 2020'!$A$126:$AE$153,'Specified Annual Demand'!X$3,FALSE)</f>
        <v>276.76667134903767</v>
      </c>
      <c r="Y68" s="7">
        <f>X68*VLOOKUP($B68,'EU Ref Scenario 2020'!$A$126:$AE$153,'Specified Annual Demand'!Y$3,FALSE)</f>
        <v>274.69367990661766</v>
      </c>
      <c r="Z68" s="7">
        <f>Y68*VLOOKUP($B68,'EU Ref Scenario 2020'!$A$126:$AE$153,'Specified Annual Demand'!Z$3,FALSE)</f>
        <v>272.62068846419771</v>
      </c>
      <c r="AA68" s="7">
        <f>Z68*VLOOKUP($B68,'EU Ref Scenario 2020'!$A$126:$AE$153,'Specified Annual Demand'!AA$3,FALSE)</f>
        <v>270.78070840566693</v>
      </c>
      <c r="AB68" s="7">
        <f>AA68*VLOOKUP($B68,'EU Ref Scenario 2020'!$A$126:$AE$153,'Specified Annual Demand'!AB$3,FALSE)</f>
        <v>268.9407283471362</v>
      </c>
      <c r="AC68" s="7">
        <f>AB68*VLOOKUP($B68,'EU Ref Scenario 2020'!$A$126:$AE$153,'Specified Annual Demand'!AC$3,FALSE)</f>
        <v>267.10074828860542</v>
      </c>
      <c r="AD68" s="7">
        <f>AC68*VLOOKUP($B68,'EU Ref Scenario 2020'!$A$126:$AE$153,'Specified Annual Demand'!AD$3,FALSE)</f>
        <v>265.26076823007469</v>
      </c>
      <c r="AE68" s="7">
        <f>AD68*VLOOKUP($B68,'EU Ref Scenario 2020'!$A$126:$AE$153,'Specified Annual Demand'!AE$3,FALSE)</f>
        <v>263.42078817154396</v>
      </c>
      <c r="AF68" s="7">
        <f>AE68*VLOOKUP($B68,'EU Ref Scenario 2020'!$A$126:$AE$153,'Specified Annual Demand'!AF$3,FALSE)</f>
        <v>261.36247872080531</v>
      </c>
      <c r="AG68" s="7">
        <f>AF68*VLOOKUP($B68,'EU Ref Scenario 2020'!$A$126:$AE$153,'Specified Annual Demand'!AG$3,FALSE)</f>
        <v>259.30416927006667</v>
      </c>
      <c r="AH68" s="7">
        <f>AG68*VLOOKUP($B68,'EU Ref Scenario 2020'!$A$126:$AE$153,'Specified Annual Demand'!AH$3,FALSE)</f>
        <v>257.24585981932802</v>
      </c>
      <c r="AI68" s="7">
        <f>AH68*VLOOKUP($B68,'EU Ref Scenario 2020'!$A$126:$AE$153,'Specified Annual Demand'!AI$3,FALSE)</f>
        <v>255.18755036858937</v>
      </c>
      <c r="AJ68" s="7">
        <f>AI68*VLOOKUP($B68,'EU Ref Scenario 2020'!$A$126:$AE$153,'Specified Annual Demand'!AJ$3,FALSE)</f>
        <v>253.12924091785064</v>
      </c>
      <c r="AK68" s="8">
        <f t="shared" ref="AK68:AO68" si="64">AJ68</f>
        <v>253.12924091785064</v>
      </c>
      <c r="AL68" s="8">
        <f t="shared" si="64"/>
        <v>253.12924091785064</v>
      </c>
      <c r="AM68" s="8">
        <f t="shared" si="64"/>
        <v>253.12924091785064</v>
      </c>
      <c r="AN68" s="8">
        <f t="shared" si="64"/>
        <v>253.12924091785064</v>
      </c>
      <c r="AO68" s="8">
        <f t="shared" si="64"/>
        <v>253.12924091785064</v>
      </c>
    </row>
    <row r="69" spans="1:41" x14ac:dyDescent="0.3">
      <c r="A69" t="s">
        <v>145</v>
      </c>
      <c r="B69" t="str">
        <f t="shared" si="1"/>
        <v>LT</v>
      </c>
      <c r="C69" t="s">
        <v>65</v>
      </c>
      <c r="D69" s="2">
        <v>48.911916009451723</v>
      </c>
      <c r="E69" s="2">
        <v>46.689934583900296</v>
      </c>
      <c r="F69" s="2">
        <v>45.772666582380452</v>
      </c>
      <c r="G69" s="2">
        <v>54.723748091726137</v>
      </c>
      <c r="H69" s="7">
        <f>G69*VLOOKUP($B69,'EU Ref Scenario 2020'!$A$126:$AE$153,'Specified Annual Demand'!H$3,FALSE)</f>
        <v>54.51915689722302</v>
      </c>
      <c r="I69" s="7">
        <f>H69*VLOOKUP($B69,'EU Ref Scenario 2020'!$A$126:$AE$153,'Specified Annual Demand'!I$3,FALSE)</f>
        <v>54.314565702719904</v>
      </c>
      <c r="J69" s="7">
        <f>I69*VLOOKUP($B69,'EU Ref Scenario 2020'!$A$126:$AE$153,'Specified Annual Demand'!J$3,FALSE)</f>
        <v>54.109974508216787</v>
      </c>
      <c r="K69" s="7">
        <f>J69*VLOOKUP($B69,'EU Ref Scenario 2020'!$A$126:$AE$153,'Specified Annual Demand'!K$3,FALSE)</f>
        <v>53.905383313713656</v>
      </c>
      <c r="L69" s="7">
        <f>K69*VLOOKUP($B69,'EU Ref Scenario 2020'!$A$126:$AE$153,'Specified Annual Demand'!L$3,FALSE)</f>
        <v>53.155979277207152</v>
      </c>
      <c r="M69" s="7">
        <f>L69*VLOOKUP($B69,'EU Ref Scenario 2020'!$A$126:$AE$153,'Specified Annual Demand'!M$3,FALSE)</f>
        <v>52.406575240700654</v>
      </c>
      <c r="N69" s="7">
        <f>M69*VLOOKUP($B69,'EU Ref Scenario 2020'!$A$126:$AE$153,'Specified Annual Demand'!N$3,FALSE)</f>
        <v>51.657171204194157</v>
      </c>
      <c r="O69" s="7">
        <f>N69*VLOOKUP($B69,'EU Ref Scenario 2020'!$A$126:$AE$153,'Specified Annual Demand'!O$3,FALSE)</f>
        <v>50.907767167687659</v>
      </c>
      <c r="P69" s="7">
        <f>O69*VLOOKUP($B69,'EU Ref Scenario 2020'!$A$126:$AE$153,'Specified Annual Demand'!P$3,FALSE)</f>
        <v>50.158363131181162</v>
      </c>
      <c r="Q69" s="7">
        <f>P69*VLOOKUP($B69,'EU Ref Scenario 2020'!$A$126:$AE$153,'Specified Annual Demand'!Q$3,FALSE)</f>
        <v>49.712796344584397</v>
      </c>
      <c r="R69" s="7">
        <f>Q69*VLOOKUP($B69,'EU Ref Scenario 2020'!$A$126:$AE$153,'Specified Annual Demand'!R$3,FALSE)</f>
        <v>49.267229557987633</v>
      </c>
      <c r="S69" s="7">
        <f>R69*VLOOKUP($B69,'EU Ref Scenario 2020'!$A$126:$AE$153,'Specified Annual Demand'!S$3,FALSE)</f>
        <v>48.821662771390862</v>
      </c>
      <c r="T69" s="7">
        <f>S69*VLOOKUP($B69,'EU Ref Scenario 2020'!$A$126:$AE$153,'Specified Annual Demand'!T$3,FALSE)</f>
        <v>48.376095984794091</v>
      </c>
      <c r="U69" s="7">
        <f>T69*VLOOKUP($B69,'EU Ref Scenario 2020'!$A$126:$AE$153,'Specified Annual Demand'!U$3,FALSE)</f>
        <v>47.930529198197334</v>
      </c>
      <c r="V69" s="7">
        <f>U69*VLOOKUP($B69,'EU Ref Scenario 2020'!$A$126:$AE$153,'Specified Annual Demand'!V$3,FALSE)</f>
        <v>47.663174965236756</v>
      </c>
      <c r="W69" s="7">
        <f>V69*VLOOKUP($B69,'EU Ref Scenario 2020'!$A$126:$AE$153,'Specified Annual Demand'!W$3,FALSE)</f>
        <v>47.395820732276178</v>
      </c>
      <c r="X69" s="7">
        <f>W69*VLOOKUP($B69,'EU Ref Scenario 2020'!$A$126:$AE$153,'Specified Annual Demand'!X$3,FALSE)</f>
        <v>47.1284664993156</v>
      </c>
      <c r="Y69" s="7">
        <f>X69*VLOOKUP($B69,'EU Ref Scenario 2020'!$A$126:$AE$153,'Specified Annual Demand'!Y$3,FALSE)</f>
        <v>46.861112266355022</v>
      </c>
      <c r="Z69" s="7">
        <f>Y69*VLOOKUP($B69,'EU Ref Scenario 2020'!$A$126:$AE$153,'Specified Annual Demand'!Z$3,FALSE)</f>
        <v>46.593758033394444</v>
      </c>
      <c r="AA69" s="7">
        <f>Z69*VLOOKUP($B69,'EU Ref Scenario 2020'!$A$126:$AE$153,'Specified Annual Demand'!AA$3,FALSE)</f>
        <v>46.378096814015848</v>
      </c>
      <c r="AB69" s="7">
        <f>AA69*VLOOKUP($B69,'EU Ref Scenario 2020'!$A$126:$AE$153,'Specified Annual Demand'!AB$3,FALSE)</f>
        <v>46.162435594637252</v>
      </c>
      <c r="AC69" s="7">
        <f>AB69*VLOOKUP($B69,'EU Ref Scenario 2020'!$A$126:$AE$153,'Specified Annual Demand'!AC$3,FALSE)</f>
        <v>45.946774375258656</v>
      </c>
      <c r="AD69" s="7">
        <f>AC69*VLOOKUP($B69,'EU Ref Scenario 2020'!$A$126:$AE$153,'Specified Annual Demand'!AD$3,FALSE)</f>
        <v>45.73111315588006</v>
      </c>
      <c r="AE69" s="7">
        <f>AD69*VLOOKUP($B69,'EU Ref Scenario 2020'!$A$126:$AE$153,'Specified Annual Demand'!AE$3,FALSE)</f>
        <v>45.515451936501456</v>
      </c>
      <c r="AF69" s="7">
        <f>AE69*VLOOKUP($B69,'EU Ref Scenario 2020'!$A$126:$AE$153,'Specified Annual Demand'!AF$3,FALSE)</f>
        <v>45.351279356989814</v>
      </c>
      <c r="AG69" s="7">
        <f>AF69*VLOOKUP($B69,'EU Ref Scenario 2020'!$A$126:$AE$153,'Specified Annual Demand'!AG$3,FALSE)</f>
        <v>45.187106777478171</v>
      </c>
      <c r="AH69" s="7">
        <f>AG69*VLOOKUP($B69,'EU Ref Scenario 2020'!$A$126:$AE$153,'Specified Annual Demand'!AH$3,FALSE)</f>
        <v>45.022934197966528</v>
      </c>
      <c r="AI69" s="7">
        <f>AH69*VLOOKUP($B69,'EU Ref Scenario 2020'!$A$126:$AE$153,'Specified Annual Demand'!AI$3,FALSE)</f>
        <v>44.858761618454885</v>
      </c>
      <c r="AJ69" s="7">
        <f>AI69*VLOOKUP($B69,'EU Ref Scenario 2020'!$A$126:$AE$153,'Specified Annual Demand'!AJ$3,FALSE)</f>
        <v>44.694589038943249</v>
      </c>
      <c r="AK69" s="8">
        <f t="shared" ref="AK69:AO69" si="65">AJ69</f>
        <v>44.694589038943249</v>
      </c>
      <c r="AL69" s="8">
        <f t="shared" si="65"/>
        <v>44.694589038943249</v>
      </c>
      <c r="AM69" s="8">
        <f t="shared" si="65"/>
        <v>44.694589038943249</v>
      </c>
      <c r="AN69" s="8">
        <f t="shared" si="65"/>
        <v>44.694589038943249</v>
      </c>
      <c r="AO69" s="8">
        <f t="shared" si="65"/>
        <v>44.694589038943249</v>
      </c>
    </row>
    <row r="70" spans="1:41" x14ac:dyDescent="0.3">
      <c r="A70" t="s">
        <v>146</v>
      </c>
      <c r="B70" t="str">
        <f t="shared" ref="B70:B112" si="66">LEFT(C70,2)</f>
        <v>LT</v>
      </c>
      <c r="C70" t="s">
        <v>66</v>
      </c>
      <c r="D70" s="2">
        <v>0.4138842453667711</v>
      </c>
      <c r="E70" s="2">
        <v>0.41666706684991051</v>
      </c>
      <c r="F70" s="2">
        <v>0.41648939066076512</v>
      </c>
      <c r="G70" s="2">
        <v>0.52290818644811887</v>
      </c>
      <c r="H70" s="7">
        <f>G70*VLOOKUP($B70,'EU Ref Scenario 2020'!$A$126:$AE$153,'Specified Annual Demand'!H$3,FALSE)</f>
        <v>0.52095323244347802</v>
      </c>
      <c r="I70" s="7">
        <f>H70*VLOOKUP($B70,'EU Ref Scenario 2020'!$A$126:$AE$153,'Specified Annual Demand'!I$3,FALSE)</f>
        <v>0.51899827843883717</v>
      </c>
      <c r="J70" s="7">
        <f>I70*VLOOKUP($B70,'EU Ref Scenario 2020'!$A$126:$AE$153,'Specified Annual Demand'!J$3,FALSE)</f>
        <v>0.51704332443419632</v>
      </c>
      <c r="K70" s="7">
        <f>J70*VLOOKUP($B70,'EU Ref Scenario 2020'!$A$126:$AE$153,'Specified Annual Demand'!K$3,FALSE)</f>
        <v>0.51508837042955535</v>
      </c>
      <c r="L70" s="7">
        <f>K70*VLOOKUP($B70,'EU Ref Scenario 2020'!$A$126:$AE$153,'Specified Annual Demand'!L$3,FALSE)</f>
        <v>0.50792750299427525</v>
      </c>
      <c r="M70" s="7">
        <f>L70*VLOOKUP($B70,'EU Ref Scenario 2020'!$A$126:$AE$153,'Specified Annual Demand'!M$3,FALSE)</f>
        <v>0.50076663555899514</v>
      </c>
      <c r="N70" s="7">
        <f>M70*VLOOKUP($B70,'EU Ref Scenario 2020'!$A$126:$AE$153,'Specified Annual Demand'!N$3,FALSE)</f>
        <v>0.49360576812371509</v>
      </c>
      <c r="O70" s="7">
        <f>N70*VLOOKUP($B70,'EU Ref Scenario 2020'!$A$126:$AE$153,'Specified Annual Demand'!O$3,FALSE)</f>
        <v>0.48644490068843499</v>
      </c>
      <c r="P70" s="7">
        <f>O70*VLOOKUP($B70,'EU Ref Scenario 2020'!$A$126:$AE$153,'Specified Annual Demand'!P$3,FALSE)</f>
        <v>0.47928403325315494</v>
      </c>
      <c r="Q70" s="7">
        <f>P70*VLOOKUP($B70,'EU Ref Scenario 2020'!$A$126:$AE$153,'Specified Annual Demand'!Q$3,FALSE)</f>
        <v>0.47502645718343289</v>
      </c>
      <c r="R70" s="7">
        <f>Q70*VLOOKUP($B70,'EU Ref Scenario 2020'!$A$126:$AE$153,'Specified Annual Demand'!R$3,FALSE)</f>
        <v>0.47076888111371085</v>
      </c>
      <c r="S70" s="7">
        <f>R70*VLOOKUP($B70,'EU Ref Scenario 2020'!$A$126:$AE$153,'Specified Annual Demand'!S$3,FALSE)</f>
        <v>0.4665113050439888</v>
      </c>
      <c r="T70" s="7">
        <f>S70*VLOOKUP($B70,'EU Ref Scenario 2020'!$A$126:$AE$153,'Specified Annual Demand'!T$3,FALSE)</f>
        <v>0.4622537289742667</v>
      </c>
      <c r="U70" s="7">
        <f>T70*VLOOKUP($B70,'EU Ref Scenario 2020'!$A$126:$AE$153,'Specified Annual Demand'!U$3,FALSE)</f>
        <v>0.45799615290454471</v>
      </c>
      <c r="V70" s="7">
        <f>U70*VLOOKUP($B70,'EU Ref Scenario 2020'!$A$126:$AE$153,'Specified Annual Demand'!V$3,FALSE)</f>
        <v>0.45544147194843926</v>
      </c>
      <c r="W70" s="7">
        <f>V70*VLOOKUP($B70,'EU Ref Scenario 2020'!$A$126:$AE$153,'Specified Annual Demand'!W$3,FALSE)</f>
        <v>0.45288679099233381</v>
      </c>
      <c r="X70" s="7">
        <f>W70*VLOOKUP($B70,'EU Ref Scenario 2020'!$A$126:$AE$153,'Specified Annual Demand'!X$3,FALSE)</f>
        <v>0.45033211003622836</v>
      </c>
      <c r="Y70" s="7">
        <f>X70*VLOOKUP($B70,'EU Ref Scenario 2020'!$A$126:$AE$153,'Specified Annual Demand'!Y$3,FALSE)</f>
        <v>0.44777742908012291</v>
      </c>
      <c r="Z70" s="7">
        <f>Y70*VLOOKUP($B70,'EU Ref Scenario 2020'!$A$126:$AE$153,'Specified Annual Demand'!Z$3,FALSE)</f>
        <v>0.44522274812401746</v>
      </c>
      <c r="AA70" s="7">
        <f>Z70*VLOOKUP($B70,'EU Ref Scenario 2020'!$A$126:$AE$153,'Specified Annual Demand'!AA$3,FALSE)</f>
        <v>0.44316201542487138</v>
      </c>
      <c r="AB70" s="7">
        <f>AA70*VLOOKUP($B70,'EU Ref Scenario 2020'!$A$126:$AE$153,'Specified Annual Demand'!AB$3,FALSE)</f>
        <v>0.44110128272572535</v>
      </c>
      <c r="AC70" s="7">
        <f>AB70*VLOOKUP($B70,'EU Ref Scenario 2020'!$A$126:$AE$153,'Specified Annual Demand'!AC$3,FALSE)</f>
        <v>0.43904055002657932</v>
      </c>
      <c r="AD70" s="7">
        <f>AC70*VLOOKUP($B70,'EU Ref Scenario 2020'!$A$126:$AE$153,'Specified Annual Demand'!AD$3,FALSE)</f>
        <v>0.4369798173274333</v>
      </c>
      <c r="AE70" s="7">
        <f>AD70*VLOOKUP($B70,'EU Ref Scenario 2020'!$A$126:$AE$153,'Specified Annual Demand'!AE$3,FALSE)</f>
        <v>0.43491908462828721</v>
      </c>
      <c r="AF70" s="7">
        <f>AE70*VLOOKUP($B70,'EU Ref Scenario 2020'!$A$126:$AE$153,'Specified Annual Demand'!AF$3,FALSE)</f>
        <v>0.43335034731020278</v>
      </c>
      <c r="AG70" s="7">
        <f>AF70*VLOOKUP($B70,'EU Ref Scenario 2020'!$A$126:$AE$153,'Specified Annual Demand'!AG$3,FALSE)</f>
        <v>0.43178160999211834</v>
      </c>
      <c r="AH70" s="7">
        <f>AG70*VLOOKUP($B70,'EU Ref Scenario 2020'!$A$126:$AE$153,'Specified Annual Demand'!AH$3,FALSE)</f>
        <v>0.43021287267403391</v>
      </c>
      <c r="AI70" s="7">
        <f>AH70*VLOOKUP($B70,'EU Ref Scenario 2020'!$A$126:$AE$153,'Specified Annual Demand'!AI$3,FALSE)</f>
        <v>0.42864413535594947</v>
      </c>
      <c r="AJ70" s="7">
        <f>AI70*VLOOKUP($B70,'EU Ref Scenario 2020'!$A$126:$AE$153,'Specified Annual Demand'!AJ$3,FALSE)</f>
        <v>0.42707539803786509</v>
      </c>
      <c r="AK70" s="8">
        <f t="shared" ref="AK70:AO70" si="67">AJ70</f>
        <v>0.42707539803786509</v>
      </c>
      <c r="AL70" s="8">
        <f t="shared" si="67"/>
        <v>0.42707539803786509</v>
      </c>
      <c r="AM70" s="8">
        <f t="shared" si="67"/>
        <v>0.42707539803786509</v>
      </c>
      <c r="AN70" s="8">
        <f t="shared" si="67"/>
        <v>0.42707539803786509</v>
      </c>
      <c r="AO70" s="8">
        <f t="shared" si="67"/>
        <v>0.42707539803786509</v>
      </c>
    </row>
    <row r="71" spans="1:41" x14ac:dyDescent="0.3">
      <c r="A71" t="s">
        <v>147</v>
      </c>
      <c r="B71" t="str">
        <f t="shared" si="66"/>
        <v>LT</v>
      </c>
      <c r="C71" t="s">
        <v>67</v>
      </c>
      <c r="D71" s="2">
        <v>2.9049830220212396</v>
      </c>
      <c r="E71" s="2">
        <v>3.0365862338812035</v>
      </c>
      <c r="F71" s="2">
        <v>2.8299684563409193</v>
      </c>
      <c r="G71" s="2">
        <v>3.1600409692665972</v>
      </c>
      <c r="H71" s="7">
        <f>G71*VLOOKUP($B71,'EU Ref Scenario 2020'!$A$126:$AE$153,'Specified Annual Demand'!H$3,FALSE)</f>
        <v>3.1482267829375217</v>
      </c>
      <c r="I71" s="7">
        <f>H71*VLOOKUP($B71,'EU Ref Scenario 2020'!$A$126:$AE$153,'Specified Annual Demand'!I$3,FALSE)</f>
        <v>3.1364125966084462</v>
      </c>
      <c r="J71" s="7">
        <f>I71*VLOOKUP($B71,'EU Ref Scenario 2020'!$A$126:$AE$153,'Specified Annual Demand'!J$3,FALSE)</f>
        <v>3.1245984102793707</v>
      </c>
      <c r="K71" s="7">
        <f>J71*VLOOKUP($B71,'EU Ref Scenario 2020'!$A$126:$AE$153,'Specified Annual Demand'!K$3,FALSE)</f>
        <v>3.1127842239502947</v>
      </c>
      <c r="L71" s="7">
        <f>K71*VLOOKUP($B71,'EU Ref Scenario 2020'!$A$126:$AE$153,'Specified Annual Demand'!L$3,FALSE)</f>
        <v>3.0695096395061721</v>
      </c>
      <c r="M71" s="7">
        <f>L71*VLOOKUP($B71,'EU Ref Scenario 2020'!$A$126:$AE$153,'Specified Annual Demand'!M$3,FALSE)</f>
        <v>3.0262350550620494</v>
      </c>
      <c r="N71" s="7">
        <f>M71*VLOOKUP($B71,'EU Ref Scenario 2020'!$A$126:$AE$153,'Specified Annual Demand'!N$3,FALSE)</f>
        <v>2.9829604706179271</v>
      </c>
      <c r="O71" s="7">
        <f>N71*VLOOKUP($B71,'EU Ref Scenario 2020'!$A$126:$AE$153,'Specified Annual Demand'!O$3,FALSE)</f>
        <v>2.9396858861738044</v>
      </c>
      <c r="P71" s="7">
        <f>O71*VLOOKUP($B71,'EU Ref Scenario 2020'!$A$126:$AE$153,'Specified Annual Demand'!P$3,FALSE)</f>
        <v>2.8964113017296822</v>
      </c>
      <c r="Q71" s="7">
        <f>P71*VLOOKUP($B71,'EU Ref Scenario 2020'!$A$126:$AE$153,'Specified Annual Demand'!Q$3,FALSE)</f>
        <v>2.8706818999747039</v>
      </c>
      <c r="R71" s="7">
        <f>Q71*VLOOKUP($B71,'EU Ref Scenario 2020'!$A$126:$AE$153,'Specified Annual Demand'!R$3,FALSE)</f>
        <v>2.8449524982197256</v>
      </c>
      <c r="S71" s="7">
        <f>R71*VLOOKUP($B71,'EU Ref Scenario 2020'!$A$126:$AE$153,'Specified Annual Demand'!S$3,FALSE)</f>
        <v>2.8192230964647473</v>
      </c>
      <c r="T71" s="7">
        <f>S71*VLOOKUP($B71,'EU Ref Scenario 2020'!$A$126:$AE$153,'Specified Annual Demand'!T$3,FALSE)</f>
        <v>2.793493694709769</v>
      </c>
      <c r="U71" s="7">
        <f>T71*VLOOKUP($B71,'EU Ref Scenario 2020'!$A$126:$AE$153,'Specified Annual Demand'!U$3,FALSE)</f>
        <v>2.7677642929547912</v>
      </c>
      <c r="V71" s="7">
        <f>U71*VLOOKUP($B71,'EU Ref Scenario 2020'!$A$126:$AE$153,'Specified Annual Demand'!V$3,FALSE)</f>
        <v>2.752325834170021</v>
      </c>
      <c r="W71" s="7">
        <f>V71*VLOOKUP($B71,'EU Ref Scenario 2020'!$A$126:$AE$153,'Specified Annual Demand'!W$3,FALSE)</f>
        <v>2.7368873753852503</v>
      </c>
      <c r="X71" s="7">
        <f>W71*VLOOKUP($B71,'EU Ref Scenario 2020'!$A$126:$AE$153,'Specified Annual Demand'!X$3,FALSE)</f>
        <v>2.7214489166004796</v>
      </c>
      <c r="Y71" s="7">
        <f>X71*VLOOKUP($B71,'EU Ref Scenario 2020'!$A$126:$AE$153,'Specified Annual Demand'!Y$3,FALSE)</f>
        <v>2.7060104578157089</v>
      </c>
      <c r="Z71" s="7">
        <f>Y71*VLOOKUP($B71,'EU Ref Scenario 2020'!$A$126:$AE$153,'Specified Annual Demand'!Z$3,FALSE)</f>
        <v>2.6905719990309382</v>
      </c>
      <c r="AA71" s="7">
        <f>Z71*VLOOKUP($B71,'EU Ref Scenario 2020'!$A$126:$AE$153,'Specified Annual Demand'!AA$3,FALSE)</f>
        <v>2.6781185704467694</v>
      </c>
      <c r="AB71" s="7">
        <f>AA71*VLOOKUP($B71,'EU Ref Scenario 2020'!$A$126:$AE$153,'Specified Annual Demand'!AB$3,FALSE)</f>
        <v>2.6656651418626005</v>
      </c>
      <c r="AC71" s="7">
        <f>AB71*VLOOKUP($B71,'EU Ref Scenario 2020'!$A$126:$AE$153,'Specified Annual Demand'!AC$3,FALSE)</f>
        <v>2.6532117132784316</v>
      </c>
      <c r="AD71" s="7">
        <f>AC71*VLOOKUP($B71,'EU Ref Scenario 2020'!$A$126:$AE$153,'Specified Annual Demand'!AD$3,FALSE)</f>
        <v>2.6407582846942628</v>
      </c>
      <c r="AE71" s="7">
        <f>AD71*VLOOKUP($B71,'EU Ref Scenario 2020'!$A$126:$AE$153,'Specified Annual Demand'!AE$3,FALSE)</f>
        <v>2.6283048561100939</v>
      </c>
      <c r="AF71" s="7">
        <f>AE71*VLOOKUP($B71,'EU Ref Scenario 2020'!$A$126:$AE$153,'Specified Annual Demand'!AF$3,FALSE)</f>
        <v>2.6188246560986217</v>
      </c>
      <c r="AG71" s="7">
        <f>AF71*VLOOKUP($B71,'EU Ref Scenario 2020'!$A$126:$AE$153,'Specified Annual Demand'!AG$3,FALSE)</f>
        <v>2.6093444560871499</v>
      </c>
      <c r="AH71" s="7">
        <f>AG71*VLOOKUP($B71,'EU Ref Scenario 2020'!$A$126:$AE$153,'Specified Annual Demand'!AH$3,FALSE)</f>
        <v>2.5998642560756782</v>
      </c>
      <c r="AI71" s="7">
        <f>AH71*VLOOKUP($B71,'EU Ref Scenario 2020'!$A$126:$AE$153,'Specified Annual Demand'!AI$3,FALSE)</f>
        <v>2.590384056064206</v>
      </c>
      <c r="AJ71" s="7">
        <f>AI71*VLOOKUP($B71,'EU Ref Scenario 2020'!$A$126:$AE$153,'Specified Annual Demand'!AJ$3,FALSE)</f>
        <v>2.5809038560527342</v>
      </c>
      <c r="AK71" s="8">
        <f t="shared" ref="AK71:AO71" si="68">AJ71</f>
        <v>2.5809038560527342</v>
      </c>
      <c r="AL71" s="8">
        <f t="shared" si="68"/>
        <v>2.5809038560527342</v>
      </c>
      <c r="AM71" s="8">
        <f t="shared" si="68"/>
        <v>2.5809038560527342</v>
      </c>
      <c r="AN71" s="8">
        <f t="shared" si="68"/>
        <v>2.5809038560527342</v>
      </c>
      <c r="AO71" s="8">
        <f t="shared" si="68"/>
        <v>2.5809038560527342</v>
      </c>
    </row>
    <row r="72" spans="1:41" x14ac:dyDescent="0.3">
      <c r="A72" t="s">
        <v>148</v>
      </c>
      <c r="B72" t="str">
        <f t="shared" si="66"/>
        <v>LT</v>
      </c>
      <c r="C72" t="s">
        <v>68</v>
      </c>
      <c r="D72" s="2">
        <v>17.405761088941599</v>
      </c>
      <c r="E72" s="2">
        <v>17.349684965832935</v>
      </c>
      <c r="F72" s="2">
        <v>17.095377384742886</v>
      </c>
      <c r="G72" s="2">
        <v>17.850536946786807</v>
      </c>
      <c r="H72" s="7">
        <f>G72*VLOOKUP($B72,'EU Ref Scenario 2020'!$A$126:$AE$153,'Specified Annual Demand'!H$3,FALSE)</f>
        <v>17.783800606462609</v>
      </c>
      <c r="I72" s="7">
        <f>H72*VLOOKUP($B72,'EU Ref Scenario 2020'!$A$126:$AE$153,'Specified Annual Demand'!I$3,FALSE)</f>
        <v>17.717064266138411</v>
      </c>
      <c r="J72" s="7">
        <f>I72*VLOOKUP($B72,'EU Ref Scenario 2020'!$A$126:$AE$153,'Specified Annual Demand'!J$3,FALSE)</f>
        <v>17.650327925814214</v>
      </c>
      <c r="K72" s="7">
        <f>J72*VLOOKUP($B72,'EU Ref Scenario 2020'!$A$126:$AE$153,'Specified Annual Demand'!K$3,FALSE)</f>
        <v>17.583591585490012</v>
      </c>
      <c r="L72" s="7">
        <f>K72*VLOOKUP($B72,'EU Ref Scenario 2020'!$A$126:$AE$153,'Specified Annual Demand'!L$3,FALSE)</f>
        <v>17.339140777418386</v>
      </c>
      <c r="M72" s="7">
        <f>L72*VLOOKUP($B72,'EU Ref Scenario 2020'!$A$126:$AE$153,'Specified Annual Demand'!M$3,FALSE)</f>
        <v>17.094689969346764</v>
      </c>
      <c r="N72" s="7">
        <f>M72*VLOOKUP($B72,'EU Ref Scenario 2020'!$A$126:$AE$153,'Specified Annual Demand'!N$3,FALSE)</f>
        <v>16.850239161275141</v>
      </c>
      <c r="O72" s="7">
        <f>N72*VLOOKUP($B72,'EU Ref Scenario 2020'!$A$126:$AE$153,'Specified Annual Demand'!O$3,FALSE)</f>
        <v>16.605788353203518</v>
      </c>
      <c r="P72" s="7">
        <f>O72*VLOOKUP($B72,'EU Ref Scenario 2020'!$A$126:$AE$153,'Specified Annual Demand'!P$3,FALSE)</f>
        <v>16.361337545131896</v>
      </c>
      <c r="Q72" s="7">
        <f>P72*VLOOKUP($B72,'EU Ref Scenario 2020'!$A$126:$AE$153,'Specified Annual Demand'!Q$3,FALSE)</f>
        <v>16.215996506483098</v>
      </c>
      <c r="R72" s="7">
        <f>Q72*VLOOKUP($B72,'EU Ref Scenario 2020'!$A$126:$AE$153,'Specified Annual Demand'!R$3,FALSE)</f>
        <v>16.0706554678343</v>
      </c>
      <c r="S72" s="7">
        <f>R72*VLOOKUP($B72,'EU Ref Scenario 2020'!$A$126:$AE$153,'Specified Annual Demand'!S$3,FALSE)</f>
        <v>15.925314429185502</v>
      </c>
      <c r="T72" s="7">
        <f>S72*VLOOKUP($B72,'EU Ref Scenario 2020'!$A$126:$AE$153,'Specified Annual Demand'!T$3,FALSE)</f>
        <v>15.779973390536703</v>
      </c>
      <c r="U72" s="7">
        <f>T72*VLOOKUP($B72,'EU Ref Scenario 2020'!$A$126:$AE$153,'Specified Annual Demand'!U$3,FALSE)</f>
        <v>15.634632351887907</v>
      </c>
      <c r="V72" s="7">
        <f>U72*VLOOKUP($B72,'EU Ref Scenario 2020'!$A$126:$AE$153,'Specified Annual Demand'!V$3,FALSE)</f>
        <v>15.547423109470095</v>
      </c>
      <c r="W72" s="7">
        <f>V72*VLOOKUP($B72,'EU Ref Scenario 2020'!$A$126:$AE$153,'Specified Annual Demand'!W$3,FALSE)</f>
        <v>15.460213867052282</v>
      </c>
      <c r="X72" s="7">
        <f>W72*VLOOKUP($B72,'EU Ref Scenario 2020'!$A$126:$AE$153,'Specified Annual Demand'!X$3,FALSE)</f>
        <v>15.373004624634468</v>
      </c>
      <c r="Y72" s="7">
        <f>X72*VLOOKUP($B72,'EU Ref Scenario 2020'!$A$126:$AE$153,'Specified Annual Demand'!Y$3,FALSE)</f>
        <v>15.285795382216655</v>
      </c>
      <c r="Z72" s="7">
        <f>Y72*VLOOKUP($B72,'EU Ref Scenario 2020'!$A$126:$AE$153,'Specified Annual Demand'!Z$3,FALSE)</f>
        <v>15.198586139798842</v>
      </c>
      <c r="AA72" s="7">
        <f>Z72*VLOOKUP($B72,'EU Ref Scenario 2020'!$A$126:$AE$153,'Specified Annual Demand'!AA$3,FALSE)</f>
        <v>15.128238828096908</v>
      </c>
      <c r="AB72" s="7">
        <f>AA72*VLOOKUP($B72,'EU Ref Scenario 2020'!$A$126:$AE$153,'Specified Annual Demand'!AB$3,FALSE)</f>
        <v>15.057891516394976</v>
      </c>
      <c r="AC72" s="7">
        <f>AB72*VLOOKUP($B72,'EU Ref Scenario 2020'!$A$126:$AE$153,'Specified Annual Demand'!AC$3,FALSE)</f>
        <v>14.987544204693043</v>
      </c>
      <c r="AD72" s="7">
        <f>AC72*VLOOKUP($B72,'EU Ref Scenario 2020'!$A$126:$AE$153,'Specified Annual Demand'!AD$3,FALSE)</f>
        <v>14.917196892991109</v>
      </c>
      <c r="AE72" s="7">
        <f>AD72*VLOOKUP($B72,'EU Ref Scenario 2020'!$A$126:$AE$153,'Specified Annual Demand'!AE$3,FALSE)</f>
        <v>14.846849581289174</v>
      </c>
      <c r="AF72" s="7">
        <f>AE72*VLOOKUP($B72,'EU Ref Scenario 2020'!$A$126:$AE$153,'Specified Annual Demand'!AF$3,FALSE)</f>
        <v>14.793297534903211</v>
      </c>
      <c r="AG72" s="7">
        <f>AF72*VLOOKUP($B72,'EU Ref Scenario 2020'!$A$126:$AE$153,'Specified Annual Demand'!AG$3,FALSE)</f>
        <v>14.739745488517247</v>
      </c>
      <c r="AH72" s="7">
        <f>AG72*VLOOKUP($B72,'EU Ref Scenario 2020'!$A$126:$AE$153,'Specified Annual Demand'!AH$3,FALSE)</f>
        <v>14.686193442131284</v>
      </c>
      <c r="AI72" s="7">
        <f>AH72*VLOOKUP($B72,'EU Ref Scenario 2020'!$A$126:$AE$153,'Specified Annual Demand'!AI$3,FALSE)</f>
        <v>14.632641395745321</v>
      </c>
      <c r="AJ72" s="7">
        <f>AI72*VLOOKUP($B72,'EU Ref Scenario 2020'!$A$126:$AE$153,'Specified Annual Demand'!AJ$3,FALSE)</f>
        <v>14.579089349359359</v>
      </c>
      <c r="AK72" s="8">
        <f t="shared" ref="AK72:AO72" si="69">AJ72</f>
        <v>14.579089349359359</v>
      </c>
      <c r="AL72" s="8">
        <f t="shared" si="69"/>
        <v>14.579089349359359</v>
      </c>
      <c r="AM72" s="8">
        <f t="shared" si="69"/>
        <v>14.579089349359359</v>
      </c>
      <c r="AN72" s="8">
        <f t="shared" si="69"/>
        <v>14.579089349359359</v>
      </c>
      <c r="AO72" s="8">
        <f t="shared" si="69"/>
        <v>14.579089349359359</v>
      </c>
    </row>
    <row r="73" spans="1:41" x14ac:dyDescent="0.3">
      <c r="A73" t="s">
        <v>145</v>
      </c>
      <c r="B73" t="str">
        <f t="shared" si="66"/>
        <v>LU</v>
      </c>
      <c r="C73" t="s">
        <v>69</v>
      </c>
      <c r="D73" s="2">
        <v>22.964935333854257</v>
      </c>
      <c r="E73" s="2">
        <v>23.979323473274128</v>
      </c>
      <c r="F73" s="2">
        <v>25.176400274852938</v>
      </c>
      <c r="G73" s="2">
        <v>26.462183122016249</v>
      </c>
      <c r="H73" s="7">
        <f>G73*VLOOKUP($B73,'EU Ref Scenario 2020'!$A$126:$AE$153,'Specified Annual Demand'!H$3,FALSE)</f>
        <v>25.392121885037419</v>
      </c>
      <c r="I73" s="7">
        <f>H73*VLOOKUP($B73,'EU Ref Scenario 2020'!$A$126:$AE$153,'Specified Annual Demand'!I$3,FALSE)</f>
        <v>24.322060648058589</v>
      </c>
      <c r="J73" s="7">
        <f>I73*VLOOKUP($B73,'EU Ref Scenario 2020'!$A$126:$AE$153,'Specified Annual Demand'!J$3,FALSE)</f>
        <v>23.251999411079758</v>
      </c>
      <c r="K73" s="7">
        <f>J73*VLOOKUP($B73,'EU Ref Scenario 2020'!$A$126:$AE$153,'Specified Annual Demand'!K$3,FALSE)</f>
        <v>22.181938174100921</v>
      </c>
      <c r="L73" s="7">
        <f>K73*VLOOKUP($B73,'EU Ref Scenario 2020'!$A$126:$AE$153,'Specified Annual Demand'!L$3,FALSE)</f>
        <v>21.828642486237989</v>
      </c>
      <c r="M73" s="7">
        <f>L73*VLOOKUP($B73,'EU Ref Scenario 2020'!$A$126:$AE$153,'Specified Annual Demand'!M$3,FALSE)</f>
        <v>21.475346798375053</v>
      </c>
      <c r="N73" s="7">
        <f>M73*VLOOKUP($B73,'EU Ref Scenario 2020'!$A$126:$AE$153,'Specified Annual Demand'!N$3,FALSE)</f>
        <v>21.122051110512121</v>
      </c>
      <c r="O73" s="7">
        <f>N73*VLOOKUP($B73,'EU Ref Scenario 2020'!$A$126:$AE$153,'Specified Annual Demand'!O$3,FALSE)</f>
        <v>20.768755422649186</v>
      </c>
      <c r="P73" s="7">
        <f>O73*VLOOKUP($B73,'EU Ref Scenario 2020'!$A$126:$AE$153,'Specified Annual Demand'!P$3,FALSE)</f>
        <v>20.415459734786246</v>
      </c>
      <c r="Q73" s="7">
        <f>P73*VLOOKUP($B73,'EU Ref Scenario 2020'!$A$126:$AE$153,'Specified Annual Demand'!Q$3,FALSE)</f>
        <v>20.351049796379847</v>
      </c>
      <c r="R73" s="7">
        <f>Q73*VLOOKUP($B73,'EU Ref Scenario 2020'!$A$126:$AE$153,'Specified Annual Demand'!R$3,FALSE)</f>
        <v>20.286639857973444</v>
      </c>
      <c r="S73" s="7">
        <f>R73*VLOOKUP($B73,'EU Ref Scenario 2020'!$A$126:$AE$153,'Specified Annual Demand'!S$3,FALSE)</f>
        <v>20.222229919567045</v>
      </c>
      <c r="T73" s="7">
        <f>S73*VLOOKUP($B73,'EU Ref Scenario 2020'!$A$126:$AE$153,'Specified Annual Demand'!T$3,FALSE)</f>
        <v>20.157819981160646</v>
      </c>
      <c r="U73" s="7">
        <f>T73*VLOOKUP($B73,'EU Ref Scenario 2020'!$A$126:$AE$153,'Specified Annual Demand'!U$3,FALSE)</f>
        <v>20.09341004275424</v>
      </c>
      <c r="V73" s="7">
        <f>U73*VLOOKUP($B73,'EU Ref Scenario 2020'!$A$126:$AE$153,'Specified Annual Demand'!V$3,FALSE)</f>
        <v>19.928621105573036</v>
      </c>
      <c r="W73" s="7">
        <f>V73*VLOOKUP($B73,'EU Ref Scenario 2020'!$A$126:$AE$153,'Specified Annual Demand'!W$3,FALSE)</f>
        <v>19.763832168391833</v>
      </c>
      <c r="X73" s="7">
        <f>W73*VLOOKUP($B73,'EU Ref Scenario 2020'!$A$126:$AE$153,'Specified Annual Demand'!X$3,FALSE)</f>
        <v>19.599043231210629</v>
      </c>
      <c r="Y73" s="7">
        <f>X73*VLOOKUP($B73,'EU Ref Scenario 2020'!$A$126:$AE$153,'Specified Annual Demand'!Y$3,FALSE)</f>
        <v>19.434254294029426</v>
      </c>
      <c r="Z73" s="7">
        <f>Y73*VLOOKUP($B73,'EU Ref Scenario 2020'!$A$126:$AE$153,'Specified Annual Demand'!Z$3,FALSE)</f>
        <v>19.269465356848222</v>
      </c>
      <c r="AA73" s="7">
        <f>Z73*VLOOKUP($B73,'EU Ref Scenario 2020'!$A$126:$AE$153,'Specified Annual Demand'!AA$3,FALSE)</f>
        <v>19.134497362936639</v>
      </c>
      <c r="AB73" s="7">
        <f>AA73*VLOOKUP($B73,'EU Ref Scenario 2020'!$A$126:$AE$153,'Specified Annual Demand'!AB$3,FALSE)</f>
        <v>18.999529369025058</v>
      </c>
      <c r="AC73" s="7">
        <f>AB73*VLOOKUP($B73,'EU Ref Scenario 2020'!$A$126:$AE$153,'Specified Annual Demand'!AC$3,FALSE)</f>
        <v>18.864561375113475</v>
      </c>
      <c r="AD73" s="7">
        <f>AC73*VLOOKUP($B73,'EU Ref Scenario 2020'!$A$126:$AE$153,'Specified Annual Demand'!AD$3,FALSE)</f>
        <v>18.729593381201891</v>
      </c>
      <c r="AE73" s="7">
        <f>AD73*VLOOKUP($B73,'EU Ref Scenario 2020'!$A$126:$AE$153,'Specified Annual Demand'!AE$3,FALSE)</f>
        <v>18.594625387290304</v>
      </c>
      <c r="AF73" s="7">
        <f>AE73*VLOOKUP($B73,'EU Ref Scenario 2020'!$A$126:$AE$153,'Specified Annual Demand'!AF$3,FALSE)</f>
        <v>18.480690692330402</v>
      </c>
      <c r="AG73" s="7">
        <f>AF73*VLOOKUP($B73,'EU Ref Scenario 2020'!$A$126:$AE$153,'Specified Annual Demand'!AG$3,FALSE)</f>
        <v>18.366755997370497</v>
      </c>
      <c r="AH73" s="7">
        <f>AG73*VLOOKUP($B73,'EU Ref Scenario 2020'!$A$126:$AE$153,'Specified Annual Demand'!AH$3,FALSE)</f>
        <v>18.252821302410592</v>
      </c>
      <c r="AI73" s="7">
        <f>AH73*VLOOKUP($B73,'EU Ref Scenario 2020'!$A$126:$AE$153,'Specified Annual Demand'!AI$3,FALSE)</f>
        <v>18.138886607450686</v>
      </c>
      <c r="AJ73" s="7">
        <f>AI73*VLOOKUP($B73,'EU Ref Scenario 2020'!$A$126:$AE$153,'Specified Annual Demand'!AJ$3,FALSE)</f>
        <v>18.024951912490785</v>
      </c>
      <c r="AK73" s="8">
        <f t="shared" ref="AK73:AO73" si="70">AJ73</f>
        <v>18.024951912490785</v>
      </c>
      <c r="AL73" s="8">
        <f t="shared" si="70"/>
        <v>18.024951912490785</v>
      </c>
      <c r="AM73" s="8">
        <f t="shared" si="70"/>
        <v>18.024951912490785</v>
      </c>
      <c r="AN73" s="8">
        <f t="shared" si="70"/>
        <v>18.024951912490785</v>
      </c>
      <c r="AO73" s="8">
        <f t="shared" si="70"/>
        <v>18.024951912490785</v>
      </c>
    </row>
    <row r="74" spans="1:41" x14ac:dyDescent="0.3">
      <c r="A74" t="s">
        <v>146</v>
      </c>
      <c r="B74" t="str">
        <f t="shared" si="66"/>
        <v>LU</v>
      </c>
      <c r="C74" t="s">
        <v>70</v>
      </c>
      <c r="D74" s="2">
        <v>1.0547419897688624</v>
      </c>
      <c r="E74" s="2">
        <v>1.1240144468108424</v>
      </c>
      <c r="F74" s="2">
        <v>1.1736333823696368</v>
      </c>
      <c r="G74" s="2">
        <v>1.1013854866982691</v>
      </c>
      <c r="H74" s="7">
        <f>G74*VLOOKUP($B74,'EU Ref Scenario 2020'!$A$126:$AE$153,'Specified Annual Demand'!H$3,FALSE)</f>
        <v>1.0568483481389663</v>
      </c>
      <c r="I74" s="7">
        <f>H74*VLOOKUP($B74,'EU Ref Scenario 2020'!$A$126:$AE$153,'Specified Annual Demand'!I$3,FALSE)</f>
        <v>1.0123112095796636</v>
      </c>
      <c r="J74" s="7">
        <f>I74*VLOOKUP($B74,'EU Ref Scenario 2020'!$A$126:$AE$153,'Specified Annual Demand'!J$3,FALSE)</f>
        <v>0.96777407102036073</v>
      </c>
      <c r="K74" s="7">
        <f>J74*VLOOKUP($B74,'EU Ref Scenario 2020'!$A$126:$AE$153,'Specified Annual Demand'!K$3,FALSE)</f>
        <v>0.92323693246105765</v>
      </c>
      <c r="L74" s="7">
        <f>K74*VLOOKUP($B74,'EU Ref Scenario 2020'!$A$126:$AE$153,'Specified Annual Demand'!L$3,FALSE)</f>
        <v>0.90853237307791368</v>
      </c>
      <c r="M74" s="7">
        <f>L74*VLOOKUP($B74,'EU Ref Scenario 2020'!$A$126:$AE$153,'Specified Annual Demand'!M$3,FALSE)</f>
        <v>0.89382781369476971</v>
      </c>
      <c r="N74" s="7">
        <f>M74*VLOOKUP($B74,'EU Ref Scenario 2020'!$A$126:$AE$153,'Specified Annual Demand'!N$3,FALSE)</f>
        <v>0.87912325431162575</v>
      </c>
      <c r="O74" s="7">
        <f>N74*VLOOKUP($B74,'EU Ref Scenario 2020'!$A$126:$AE$153,'Specified Annual Demand'!O$3,FALSE)</f>
        <v>0.86441869492848178</v>
      </c>
      <c r="P74" s="7">
        <f>O74*VLOOKUP($B74,'EU Ref Scenario 2020'!$A$126:$AE$153,'Specified Annual Demand'!P$3,FALSE)</f>
        <v>0.84971413554533759</v>
      </c>
      <c r="Q74" s="7">
        <f>P74*VLOOKUP($B74,'EU Ref Scenario 2020'!$A$126:$AE$153,'Specified Annual Demand'!Q$3,FALSE)</f>
        <v>0.84703332228692896</v>
      </c>
      <c r="R74" s="7">
        <f>Q74*VLOOKUP($B74,'EU Ref Scenario 2020'!$A$126:$AE$153,'Specified Annual Demand'!R$3,FALSE)</f>
        <v>0.84435250902852022</v>
      </c>
      <c r="S74" s="7">
        <f>R74*VLOOKUP($B74,'EU Ref Scenario 2020'!$A$126:$AE$153,'Specified Annual Demand'!S$3,FALSE)</f>
        <v>0.84167169577011158</v>
      </c>
      <c r="T74" s="7">
        <f>S74*VLOOKUP($B74,'EU Ref Scenario 2020'!$A$126:$AE$153,'Specified Annual Demand'!T$3,FALSE)</f>
        <v>0.83899088251170295</v>
      </c>
      <c r="U74" s="7">
        <f>T74*VLOOKUP($B74,'EU Ref Scenario 2020'!$A$126:$AE$153,'Specified Annual Demand'!U$3,FALSE)</f>
        <v>0.83631006925329399</v>
      </c>
      <c r="V74" s="7">
        <f>U74*VLOOKUP($B74,'EU Ref Scenario 2020'!$A$126:$AE$153,'Specified Annual Demand'!V$3,FALSE)</f>
        <v>0.82945137044741923</v>
      </c>
      <c r="W74" s="7">
        <f>V74*VLOOKUP($B74,'EU Ref Scenario 2020'!$A$126:$AE$153,'Specified Annual Demand'!W$3,FALSE)</f>
        <v>0.82259267164154459</v>
      </c>
      <c r="X74" s="7">
        <f>W74*VLOOKUP($B74,'EU Ref Scenario 2020'!$A$126:$AE$153,'Specified Annual Demand'!X$3,FALSE)</f>
        <v>0.81573397283566995</v>
      </c>
      <c r="Y74" s="7">
        <f>X74*VLOOKUP($B74,'EU Ref Scenario 2020'!$A$126:$AE$153,'Specified Annual Demand'!Y$3,FALSE)</f>
        <v>0.8088752740297952</v>
      </c>
      <c r="Z74" s="7">
        <f>Y74*VLOOKUP($B74,'EU Ref Scenario 2020'!$A$126:$AE$153,'Specified Annual Demand'!Z$3,FALSE)</f>
        <v>0.80201657522392056</v>
      </c>
      <c r="AA74" s="7">
        <f>Z74*VLOOKUP($B74,'EU Ref Scenario 2020'!$A$126:$AE$153,'Specified Annual Demand'!AA$3,FALSE)</f>
        <v>0.79639905723692872</v>
      </c>
      <c r="AB74" s="7">
        <f>AA74*VLOOKUP($B74,'EU Ref Scenario 2020'!$A$126:$AE$153,'Specified Annual Demand'!AB$3,FALSE)</f>
        <v>0.79078153924993699</v>
      </c>
      <c r="AC74" s="7">
        <f>AB74*VLOOKUP($B74,'EU Ref Scenario 2020'!$A$126:$AE$153,'Specified Annual Demand'!AC$3,FALSE)</f>
        <v>0.78516402126294516</v>
      </c>
      <c r="AD74" s="7">
        <f>AC74*VLOOKUP($B74,'EU Ref Scenario 2020'!$A$126:$AE$153,'Specified Annual Demand'!AD$3,FALSE)</f>
        <v>0.77954650327595332</v>
      </c>
      <c r="AE74" s="7">
        <f>AD74*VLOOKUP($B74,'EU Ref Scenario 2020'!$A$126:$AE$153,'Specified Annual Demand'!AE$3,FALSE)</f>
        <v>0.77392898528896137</v>
      </c>
      <c r="AF74" s="7">
        <f>AE74*VLOOKUP($B74,'EU Ref Scenario 2020'!$A$126:$AE$153,'Specified Annual Demand'!AF$3,FALSE)</f>
        <v>0.76918689659274087</v>
      </c>
      <c r="AG74" s="7">
        <f>AF74*VLOOKUP($B74,'EU Ref Scenario 2020'!$A$126:$AE$153,'Specified Annual Demand'!AG$3,FALSE)</f>
        <v>0.76444480789652025</v>
      </c>
      <c r="AH74" s="7">
        <f>AG74*VLOOKUP($B74,'EU Ref Scenario 2020'!$A$126:$AE$153,'Specified Annual Demand'!AH$3,FALSE)</f>
        <v>0.75970271920029964</v>
      </c>
      <c r="AI74" s="7">
        <f>AH74*VLOOKUP($B74,'EU Ref Scenario 2020'!$A$126:$AE$153,'Specified Annual Demand'!AI$3,FALSE)</f>
        <v>0.75496063050407902</v>
      </c>
      <c r="AJ74" s="7">
        <f>AI74*VLOOKUP($B74,'EU Ref Scenario 2020'!$A$126:$AE$153,'Specified Annual Demand'!AJ$3,FALSE)</f>
        <v>0.75021854180785852</v>
      </c>
      <c r="AK74" s="8">
        <f t="shared" ref="AK74:AO74" si="71">AJ74</f>
        <v>0.75021854180785852</v>
      </c>
      <c r="AL74" s="8">
        <f t="shared" si="71"/>
        <v>0.75021854180785852</v>
      </c>
      <c r="AM74" s="8">
        <f t="shared" si="71"/>
        <v>0.75021854180785852</v>
      </c>
      <c r="AN74" s="8">
        <f t="shared" si="71"/>
        <v>0.75021854180785852</v>
      </c>
      <c r="AO74" s="8">
        <f t="shared" si="71"/>
        <v>0.75021854180785852</v>
      </c>
    </row>
    <row r="75" spans="1:41" x14ac:dyDescent="0.3">
      <c r="A75" t="s">
        <v>147</v>
      </c>
      <c r="B75" t="str">
        <f t="shared" si="66"/>
        <v>LU</v>
      </c>
      <c r="C75" t="s">
        <v>71</v>
      </c>
      <c r="D75" s="2">
        <v>1.8632353541911013</v>
      </c>
      <c r="E75" s="2">
        <v>1.9332683215477235</v>
      </c>
      <c r="F75" s="2">
        <v>1.7371511741701333</v>
      </c>
      <c r="G75" s="2">
        <v>1.8641189717277289</v>
      </c>
      <c r="H75" s="7">
        <f>G75*VLOOKUP($B75,'EU Ref Scenario 2020'!$A$126:$AE$153,'Specified Annual Demand'!H$3,FALSE)</f>
        <v>1.7887388927839363</v>
      </c>
      <c r="I75" s="7">
        <f>H75*VLOOKUP($B75,'EU Ref Scenario 2020'!$A$126:$AE$153,'Specified Annual Demand'!I$3,FALSE)</f>
        <v>1.7133588138401437</v>
      </c>
      <c r="J75" s="7">
        <f>I75*VLOOKUP($B75,'EU Ref Scenario 2020'!$A$126:$AE$153,'Specified Annual Demand'!J$3,FALSE)</f>
        <v>1.637978734896351</v>
      </c>
      <c r="K75" s="7">
        <f>J75*VLOOKUP($B75,'EU Ref Scenario 2020'!$A$126:$AE$153,'Specified Annual Demand'!K$3,FALSE)</f>
        <v>1.562598655952558</v>
      </c>
      <c r="L75" s="7">
        <f>K75*VLOOKUP($B75,'EU Ref Scenario 2020'!$A$126:$AE$153,'Specified Annual Demand'!L$3,FALSE)</f>
        <v>1.5377108682995826</v>
      </c>
      <c r="M75" s="7">
        <f>L75*VLOOKUP($B75,'EU Ref Scenario 2020'!$A$126:$AE$153,'Specified Annual Demand'!M$3,FALSE)</f>
        <v>1.512823080646607</v>
      </c>
      <c r="N75" s="7">
        <f>M75*VLOOKUP($B75,'EU Ref Scenario 2020'!$A$126:$AE$153,'Specified Annual Demand'!N$3,FALSE)</f>
        <v>1.4879352929936316</v>
      </c>
      <c r="O75" s="7">
        <f>N75*VLOOKUP($B75,'EU Ref Scenario 2020'!$A$126:$AE$153,'Specified Annual Demand'!O$3,FALSE)</f>
        <v>1.463047505340656</v>
      </c>
      <c r="P75" s="7">
        <f>O75*VLOOKUP($B75,'EU Ref Scenario 2020'!$A$126:$AE$153,'Specified Annual Demand'!P$3,FALSE)</f>
        <v>1.4381597176876801</v>
      </c>
      <c r="Q75" s="7">
        <f>P75*VLOOKUP($B75,'EU Ref Scenario 2020'!$A$126:$AE$153,'Specified Annual Demand'!Q$3,FALSE)</f>
        <v>1.4336223827445442</v>
      </c>
      <c r="R75" s="7">
        <f>Q75*VLOOKUP($B75,'EU Ref Scenario 2020'!$A$126:$AE$153,'Specified Annual Demand'!R$3,FALSE)</f>
        <v>1.4290850478014083</v>
      </c>
      <c r="S75" s="7">
        <f>R75*VLOOKUP($B75,'EU Ref Scenario 2020'!$A$126:$AE$153,'Specified Annual Demand'!S$3,FALSE)</f>
        <v>1.4245477128582724</v>
      </c>
      <c r="T75" s="7">
        <f>S75*VLOOKUP($B75,'EU Ref Scenario 2020'!$A$126:$AE$153,'Specified Annual Demand'!T$3,FALSE)</f>
        <v>1.4200103779151365</v>
      </c>
      <c r="U75" s="7">
        <f>T75*VLOOKUP($B75,'EU Ref Scenario 2020'!$A$126:$AE$153,'Specified Annual Demand'!U$3,FALSE)</f>
        <v>1.4154730429720002</v>
      </c>
      <c r="V75" s="7">
        <f>U75*VLOOKUP($B75,'EU Ref Scenario 2020'!$A$126:$AE$153,'Specified Annual Demand'!V$3,FALSE)</f>
        <v>1.4038645455659506</v>
      </c>
      <c r="W75" s="7">
        <f>V75*VLOOKUP($B75,'EU Ref Scenario 2020'!$A$126:$AE$153,'Specified Annual Demand'!W$3,FALSE)</f>
        <v>1.3922560481599013</v>
      </c>
      <c r="X75" s="7">
        <f>W75*VLOOKUP($B75,'EU Ref Scenario 2020'!$A$126:$AE$153,'Specified Annual Demand'!X$3,FALSE)</f>
        <v>1.380647550753852</v>
      </c>
      <c r="Y75" s="7">
        <f>X75*VLOOKUP($B75,'EU Ref Scenario 2020'!$A$126:$AE$153,'Specified Annual Demand'!Y$3,FALSE)</f>
        <v>1.3690390533478025</v>
      </c>
      <c r="Z75" s="7">
        <f>Y75*VLOOKUP($B75,'EU Ref Scenario 2020'!$A$126:$AE$153,'Specified Annual Demand'!Z$3,FALSE)</f>
        <v>1.3574305559417532</v>
      </c>
      <c r="AA75" s="7">
        <f>Z75*VLOOKUP($B75,'EU Ref Scenario 2020'!$A$126:$AE$153,'Specified Annual Demand'!AA$3,FALSE)</f>
        <v>1.3479227841579018</v>
      </c>
      <c r="AB75" s="7">
        <f>AA75*VLOOKUP($B75,'EU Ref Scenario 2020'!$A$126:$AE$153,'Specified Annual Demand'!AB$3,FALSE)</f>
        <v>1.3384150123740506</v>
      </c>
      <c r="AC75" s="7">
        <f>AB75*VLOOKUP($B75,'EU Ref Scenario 2020'!$A$126:$AE$153,'Specified Annual Demand'!AC$3,FALSE)</f>
        <v>1.3289072405901992</v>
      </c>
      <c r="AD75" s="7">
        <f>AC75*VLOOKUP($B75,'EU Ref Scenario 2020'!$A$126:$AE$153,'Specified Annual Demand'!AD$3,FALSE)</f>
        <v>1.3193994688063477</v>
      </c>
      <c r="AE75" s="7">
        <f>AD75*VLOOKUP($B75,'EU Ref Scenario 2020'!$A$126:$AE$153,'Specified Annual Demand'!AE$3,FALSE)</f>
        <v>1.3098916970224961</v>
      </c>
      <c r="AF75" s="7">
        <f>AE75*VLOOKUP($B75,'EU Ref Scenario 2020'!$A$126:$AE$153,'Specified Annual Demand'!AF$3,FALSE)</f>
        <v>1.3018656084177331</v>
      </c>
      <c r="AG75" s="7">
        <f>AF75*VLOOKUP($B75,'EU Ref Scenario 2020'!$A$126:$AE$153,'Specified Annual Demand'!AG$3,FALSE)</f>
        <v>1.29383951981297</v>
      </c>
      <c r="AH75" s="7">
        <f>AG75*VLOOKUP($B75,'EU Ref Scenario 2020'!$A$126:$AE$153,'Specified Annual Demand'!AH$3,FALSE)</f>
        <v>1.2858134312082068</v>
      </c>
      <c r="AI75" s="7">
        <f>AH75*VLOOKUP($B75,'EU Ref Scenario 2020'!$A$126:$AE$153,'Specified Annual Demand'!AI$3,FALSE)</f>
        <v>1.2777873426034436</v>
      </c>
      <c r="AJ75" s="7">
        <f>AI75*VLOOKUP($B75,'EU Ref Scenario 2020'!$A$126:$AE$153,'Specified Annual Demand'!AJ$3,FALSE)</f>
        <v>1.2697612539986807</v>
      </c>
      <c r="AK75" s="8">
        <f t="shared" ref="AK75:AO75" si="72">AJ75</f>
        <v>1.2697612539986807</v>
      </c>
      <c r="AL75" s="8">
        <f t="shared" si="72"/>
        <v>1.2697612539986807</v>
      </c>
      <c r="AM75" s="8">
        <f t="shared" si="72"/>
        <v>1.2697612539986807</v>
      </c>
      <c r="AN75" s="8">
        <f t="shared" si="72"/>
        <v>1.2697612539986807</v>
      </c>
      <c r="AO75" s="8">
        <f t="shared" si="72"/>
        <v>1.2697612539986807</v>
      </c>
    </row>
    <row r="76" spans="1:41" x14ac:dyDescent="0.3">
      <c r="A76" t="s">
        <v>148</v>
      </c>
      <c r="B76" t="str">
        <f t="shared" si="66"/>
        <v>LU</v>
      </c>
      <c r="C76" t="s">
        <v>72</v>
      </c>
      <c r="D76" s="2">
        <v>5.6511530962811625</v>
      </c>
      <c r="E76" s="2">
        <v>5.6358028786729433</v>
      </c>
      <c r="F76" s="2">
        <v>5.4387798913737875</v>
      </c>
      <c r="G76" s="2">
        <v>5.6649140935865123</v>
      </c>
      <c r="H76" s="7">
        <f>G76*VLOOKUP($B76,'EU Ref Scenario 2020'!$A$126:$AE$153,'Specified Annual Demand'!H$3,FALSE)</f>
        <v>5.43583983488264</v>
      </c>
      <c r="I76" s="7">
        <f>H76*VLOOKUP($B76,'EU Ref Scenario 2020'!$A$126:$AE$153,'Specified Annual Demand'!I$3,FALSE)</f>
        <v>5.2067655761787677</v>
      </c>
      <c r="J76" s="7">
        <f>I76*VLOOKUP($B76,'EU Ref Scenario 2020'!$A$126:$AE$153,'Specified Annual Demand'!J$3,FALSE)</f>
        <v>4.9776913174748953</v>
      </c>
      <c r="K76" s="7">
        <f>J76*VLOOKUP($B76,'EU Ref Scenario 2020'!$A$126:$AE$153,'Specified Annual Demand'!K$3,FALSE)</f>
        <v>4.7486170587710212</v>
      </c>
      <c r="L76" s="7">
        <f>K76*VLOOKUP($B76,'EU Ref Scenario 2020'!$A$126:$AE$153,'Specified Annual Demand'!L$3,FALSE)</f>
        <v>4.672984987443054</v>
      </c>
      <c r="M76" s="7">
        <f>L76*VLOOKUP($B76,'EU Ref Scenario 2020'!$A$126:$AE$153,'Specified Annual Demand'!M$3,FALSE)</f>
        <v>4.5973529161150859</v>
      </c>
      <c r="N76" s="7">
        <f>M76*VLOOKUP($B76,'EU Ref Scenario 2020'!$A$126:$AE$153,'Specified Annual Demand'!N$3,FALSE)</f>
        <v>4.5217208447871187</v>
      </c>
      <c r="O76" s="7">
        <f>N76*VLOOKUP($B76,'EU Ref Scenario 2020'!$A$126:$AE$153,'Specified Annual Demand'!O$3,FALSE)</f>
        <v>4.4460887734591505</v>
      </c>
      <c r="P76" s="7">
        <f>O76*VLOOKUP($B76,'EU Ref Scenario 2020'!$A$126:$AE$153,'Specified Annual Demand'!P$3,FALSE)</f>
        <v>4.3704567021311815</v>
      </c>
      <c r="Q76" s="7">
        <f>P76*VLOOKUP($B76,'EU Ref Scenario 2020'!$A$126:$AE$153,'Specified Annual Demand'!Q$3,FALSE)</f>
        <v>4.3566680904296069</v>
      </c>
      <c r="R76" s="7">
        <f>Q76*VLOOKUP($B76,'EU Ref Scenario 2020'!$A$126:$AE$153,'Specified Annual Demand'!R$3,FALSE)</f>
        <v>4.3428794787280314</v>
      </c>
      <c r="S76" s="7">
        <f>R76*VLOOKUP($B76,'EU Ref Scenario 2020'!$A$126:$AE$153,'Specified Annual Demand'!S$3,FALSE)</f>
        <v>4.3290908670264558</v>
      </c>
      <c r="T76" s="7">
        <f>S76*VLOOKUP($B76,'EU Ref Scenario 2020'!$A$126:$AE$153,'Specified Annual Demand'!T$3,FALSE)</f>
        <v>4.3153022553248803</v>
      </c>
      <c r="U76" s="7">
        <f>T76*VLOOKUP($B76,'EU Ref Scenario 2020'!$A$126:$AE$153,'Specified Annual Demand'!U$3,FALSE)</f>
        <v>4.3015136436233039</v>
      </c>
      <c r="V76" s="7">
        <f>U76*VLOOKUP($B76,'EU Ref Scenario 2020'!$A$126:$AE$153,'Specified Annual Demand'!V$3,FALSE)</f>
        <v>4.2662363133894177</v>
      </c>
      <c r="W76" s="7">
        <f>V76*VLOOKUP($B76,'EU Ref Scenario 2020'!$A$126:$AE$153,'Specified Annual Demand'!W$3,FALSE)</f>
        <v>4.2309589831555314</v>
      </c>
      <c r="X76" s="7">
        <f>W76*VLOOKUP($B76,'EU Ref Scenario 2020'!$A$126:$AE$153,'Specified Annual Demand'!X$3,FALSE)</f>
        <v>4.1956816529216452</v>
      </c>
      <c r="Y76" s="7">
        <f>X76*VLOOKUP($B76,'EU Ref Scenario 2020'!$A$126:$AE$153,'Specified Annual Demand'!Y$3,FALSE)</f>
        <v>4.1604043226877589</v>
      </c>
      <c r="Z76" s="7">
        <f>Y76*VLOOKUP($B76,'EU Ref Scenario 2020'!$A$126:$AE$153,'Specified Annual Demand'!Z$3,FALSE)</f>
        <v>4.1251269924538727</v>
      </c>
      <c r="AA76" s="7">
        <f>Z76*VLOOKUP($B76,'EU Ref Scenario 2020'!$A$126:$AE$153,'Specified Annual Demand'!AA$3,FALSE)</f>
        <v>4.096233605715244</v>
      </c>
      <c r="AB76" s="7">
        <f>AA76*VLOOKUP($B76,'EU Ref Scenario 2020'!$A$126:$AE$153,'Specified Annual Demand'!AB$3,FALSE)</f>
        <v>4.0673402189766161</v>
      </c>
      <c r="AC76" s="7">
        <f>AB76*VLOOKUP($B76,'EU Ref Scenario 2020'!$A$126:$AE$153,'Specified Annual Demand'!AC$3,FALSE)</f>
        <v>4.0384468322379874</v>
      </c>
      <c r="AD76" s="7">
        <f>AC76*VLOOKUP($B76,'EU Ref Scenario 2020'!$A$126:$AE$153,'Specified Annual Demand'!AD$3,FALSE)</f>
        <v>4.0095534454993587</v>
      </c>
      <c r="AE76" s="7">
        <f>AD76*VLOOKUP($B76,'EU Ref Scenario 2020'!$A$126:$AE$153,'Specified Annual Demand'!AE$3,FALSE)</f>
        <v>3.9806600587607295</v>
      </c>
      <c r="AF76" s="7">
        <f>AE76*VLOOKUP($B76,'EU Ref Scenario 2020'!$A$126:$AE$153,'Specified Annual Demand'!AF$3,FALSE)</f>
        <v>3.9562693931738888</v>
      </c>
      <c r="AG76" s="7">
        <f>AF76*VLOOKUP($B76,'EU Ref Scenario 2020'!$A$126:$AE$153,'Specified Annual Demand'!AG$3,FALSE)</f>
        <v>3.9318787275870482</v>
      </c>
      <c r="AH76" s="7">
        <f>AG76*VLOOKUP($B76,'EU Ref Scenario 2020'!$A$126:$AE$153,'Specified Annual Demand'!AH$3,FALSE)</f>
        <v>3.9074880620002075</v>
      </c>
      <c r="AI76" s="7">
        <f>AH76*VLOOKUP($B76,'EU Ref Scenario 2020'!$A$126:$AE$153,'Specified Annual Demand'!AI$3,FALSE)</f>
        <v>3.8830973964133668</v>
      </c>
      <c r="AJ76" s="7">
        <f>AI76*VLOOKUP($B76,'EU Ref Scenario 2020'!$A$126:$AE$153,'Specified Annual Demand'!AJ$3,FALSE)</f>
        <v>3.8587067308265262</v>
      </c>
      <c r="AK76" s="8">
        <f t="shared" ref="AK76:AO76" si="73">AJ76</f>
        <v>3.8587067308265262</v>
      </c>
      <c r="AL76" s="8">
        <f t="shared" si="73"/>
        <v>3.8587067308265262</v>
      </c>
      <c r="AM76" s="8">
        <f t="shared" si="73"/>
        <v>3.8587067308265262</v>
      </c>
      <c r="AN76" s="8">
        <f t="shared" si="73"/>
        <v>3.8587067308265262</v>
      </c>
      <c r="AO76" s="8">
        <f t="shared" si="73"/>
        <v>3.8587067308265262</v>
      </c>
    </row>
    <row r="77" spans="1:41" x14ac:dyDescent="0.3">
      <c r="A77" t="s">
        <v>145</v>
      </c>
      <c r="B77" t="str">
        <f t="shared" si="66"/>
        <v>LV</v>
      </c>
      <c r="C77" t="s">
        <v>73</v>
      </c>
      <c r="D77" s="2">
        <v>44.80587809631092</v>
      </c>
      <c r="E77" s="2">
        <v>43.652121783506971</v>
      </c>
      <c r="F77" s="2">
        <v>41.692739747788778</v>
      </c>
      <c r="G77" s="2">
        <v>46.710164413027677</v>
      </c>
      <c r="H77" s="7">
        <f>G77*VLOOKUP($B77,'EU Ref Scenario 2020'!$A$126:$AE$153,'Specified Annual Demand'!H$3,FALSE)</f>
        <v>46.069325201955216</v>
      </c>
      <c r="I77" s="7">
        <f>H77*VLOOKUP($B77,'EU Ref Scenario 2020'!$A$126:$AE$153,'Specified Annual Demand'!I$3,FALSE)</f>
        <v>45.428485990882756</v>
      </c>
      <c r="J77" s="7">
        <f>I77*VLOOKUP($B77,'EU Ref Scenario 2020'!$A$126:$AE$153,'Specified Annual Demand'!J$3,FALSE)</f>
        <v>44.787646779810295</v>
      </c>
      <c r="K77" s="7">
        <f>J77*VLOOKUP($B77,'EU Ref Scenario 2020'!$A$126:$AE$153,'Specified Annual Demand'!K$3,FALSE)</f>
        <v>44.14680756873782</v>
      </c>
      <c r="L77" s="7">
        <f>K77*VLOOKUP($B77,'EU Ref Scenario 2020'!$A$126:$AE$153,'Specified Annual Demand'!L$3,FALSE)</f>
        <v>43.700212714269647</v>
      </c>
      <c r="M77" s="7">
        <f>L77*VLOOKUP($B77,'EU Ref Scenario 2020'!$A$126:$AE$153,'Specified Annual Demand'!M$3,FALSE)</f>
        <v>43.25361785980148</v>
      </c>
      <c r="N77" s="7">
        <f>M77*VLOOKUP($B77,'EU Ref Scenario 2020'!$A$126:$AE$153,'Specified Annual Demand'!N$3,FALSE)</f>
        <v>42.807023005333306</v>
      </c>
      <c r="O77" s="7">
        <f>N77*VLOOKUP($B77,'EU Ref Scenario 2020'!$A$126:$AE$153,'Specified Annual Demand'!O$3,FALSE)</f>
        <v>42.36042815086514</v>
      </c>
      <c r="P77" s="7">
        <f>O77*VLOOKUP($B77,'EU Ref Scenario 2020'!$A$126:$AE$153,'Specified Annual Demand'!P$3,FALSE)</f>
        <v>41.913833296396966</v>
      </c>
      <c r="Q77" s="7">
        <f>P77*VLOOKUP($B77,'EU Ref Scenario 2020'!$A$126:$AE$153,'Specified Annual Demand'!Q$3,FALSE)</f>
        <v>41.750828443157872</v>
      </c>
      <c r="R77" s="7">
        <f>Q77*VLOOKUP($B77,'EU Ref Scenario 2020'!$A$126:$AE$153,'Specified Annual Demand'!R$3,FALSE)</f>
        <v>41.587823589918777</v>
      </c>
      <c r="S77" s="7">
        <f>R77*VLOOKUP($B77,'EU Ref Scenario 2020'!$A$126:$AE$153,'Specified Annual Demand'!S$3,FALSE)</f>
        <v>41.42481873667969</v>
      </c>
      <c r="T77" s="7">
        <f>S77*VLOOKUP($B77,'EU Ref Scenario 2020'!$A$126:$AE$153,'Specified Annual Demand'!T$3,FALSE)</f>
        <v>41.261813883440603</v>
      </c>
      <c r="U77" s="7">
        <f>T77*VLOOKUP($B77,'EU Ref Scenario 2020'!$A$126:$AE$153,'Specified Annual Demand'!U$3,FALSE)</f>
        <v>41.098809030201508</v>
      </c>
      <c r="V77" s="7">
        <f>U77*VLOOKUP($B77,'EU Ref Scenario 2020'!$A$126:$AE$153,'Specified Annual Demand'!V$3,FALSE)</f>
        <v>40.834326158246014</v>
      </c>
      <c r="W77" s="7">
        <f>V77*VLOOKUP($B77,'EU Ref Scenario 2020'!$A$126:$AE$153,'Specified Annual Demand'!W$3,FALSE)</f>
        <v>40.569843286290521</v>
      </c>
      <c r="X77" s="7">
        <f>W77*VLOOKUP($B77,'EU Ref Scenario 2020'!$A$126:$AE$153,'Specified Annual Demand'!X$3,FALSE)</f>
        <v>40.305360414335034</v>
      </c>
      <c r="Y77" s="7">
        <f>X77*VLOOKUP($B77,'EU Ref Scenario 2020'!$A$126:$AE$153,'Specified Annual Demand'!Y$3,FALSE)</f>
        <v>40.040877542379548</v>
      </c>
      <c r="Z77" s="7">
        <f>Y77*VLOOKUP($B77,'EU Ref Scenario 2020'!$A$126:$AE$153,'Specified Annual Demand'!Z$3,FALSE)</f>
        <v>39.776394670424061</v>
      </c>
      <c r="AA77" s="7">
        <f>Z77*VLOOKUP($B77,'EU Ref Scenario 2020'!$A$126:$AE$153,'Specified Annual Demand'!AA$3,FALSE)</f>
        <v>39.457215961301372</v>
      </c>
      <c r="AB77" s="7">
        <f>AA77*VLOOKUP($B77,'EU Ref Scenario 2020'!$A$126:$AE$153,'Specified Annual Demand'!AB$3,FALSE)</f>
        <v>39.138037252178684</v>
      </c>
      <c r="AC77" s="7">
        <f>AB77*VLOOKUP($B77,'EU Ref Scenario 2020'!$A$126:$AE$153,'Specified Annual Demand'!AC$3,FALSE)</f>
        <v>38.818858543056002</v>
      </c>
      <c r="AD77" s="7">
        <f>AC77*VLOOKUP($B77,'EU Ref Scenario 2020'!$A$126:$AE$153,'Specified Annual Demand'!AD$3,FALSE)</f>
        <v>38.499679833933314</v>
      </c>
      <c r="AE77" s="7">
        <f>AD77*VLOOKUP($B77,'EU Ref Scenario 2020'!$A$126:$AE$153,'Specified Annual Demand'!AE$3,FALSE)</f>
        <v>38.180501124810625</v>
      </c>
      <c r="AF77" s="7">
        <f>AE77*VLOOKUP($B77,'EU Ref Scenario 2020'!$A$126:$AE$153,'Specified Annual Demand'!AF$3,FALSE)</f>
        <v>37.898431223626197</v>
      </c>
      <c r="AG77" s="7">
        <f>AF77*VLOOKUP($B77,'EU Ref Scenario 2020'!$A$126:$AE$153,'Specified Annual Demand'!AG$3,FALSE)</f>
        <v>37.616361322441769</v>
      </c>
      <c r="AH77" s="7">
        <f>AG77*VLOOKUP($B77,'EU Ref Scenario 2020'!$A$126:$AE$153,'Specified Annual Demand'!AH$3,FALSE)</f>
        <v>37.33429142125734</v>
      </c>
      <c r="AI77" s="7">
        <f>AH77*VLOOKUP($B77,'EU Ref Scenario 2020'!$A$126:$AE$153,'Specified Annual Demand'!AI$3,FALSE)</f>
        <v>37.052221520072912</v>
      </c>
      <c r="AJ77" s="7">
        <f>AI77*VLOOKUP($B77,'EU Ref Scenario 2020'!$A$126:$AE$153,'Specified Annual Demand'!AJ$3,FALSE)</f>
        <v>36.770151618888498</v>
      </c>
      <c r="AK77" s="8">
        <f t="shared" ref="AK77:AO77" si="74">AJ77</f>
        <v>36.770151618888498</v>
      </c>
      <c r="AL77" s="8">
        <f t="shared" si="74"/>
        <v>36.770151618888498</v>
      </c>
      <c r="AM77" s="8">
        <f t="shared" si="74"/>
        <v>36.770151618888498</v>
      </c>
      <c r="AN77" s="8">
        <f t="shared" si="74"/>
        <v>36.770151618888498</v>
      </c>
      <c r="AO77" s="8">
        <f t="shared" si="74"/>
        <v>36.770151618888498</v>
      </c>
    </row>
    <row r="78" spans="1:41" x14ac:dyDescent="0.3">
      <c r="A78" t="s">
        <v>146</v>
      </c>
      <c r="B78" t="str">
        <f t="shared" si="66"/>
        <v>LV</v>
      </c>
      <c r="C78" t="s">
        <v>74</v>
      </c>
      <c r="D78" s="2">
        <v>0.19561756592359669</v>
      </c>
      <c r="E78" s="2">
        <v>0.19067749368855647</v>
      </c>
      <c r="F78" s="2">
        <v>0.19826145549624793</v>
      </c>
      <c r="G78" s="2">
        <v>0.24319305688402254</v>
      </c>
      <c r="H78" s="7">
        <f>G78*VLOOKUP($B78,'EU Ref Scenario 2020'!$A$126:$AE$153,'Specified Annual Demand'!H$3,FALSE)</f>
        <v>0.23985657437169827</v>
      </c>
      <c r="I78" s="7">
        <f>H78*VLOOKUP($B78,'EU Ref Scenario 2020'!$A$126:$AE$153,'Specified Annual Demand'!I$3,FALSE)</f>
        <v>0.23652009185937403</v>
      </c>
      <c r="J78" s="7">
        <f>I78*VLOOKUP($B78,'EU Ref Scenario 2020'!$A$126:$AE$153,'Specified Annual Demand'!J$3,FALSE)</f>
        <v>0.23318360934704979</v>
      </c>
      <c r="K78" s="7">
        <f>J78*VLOOKUP($B78,'EU Ref Scenario 2020'!$A$126:$AE$153,'Specified Annual Demand'!K$3,FALSE)</f>
        <v>0.2298471268347255</v>
      </c>
      <c r="L78" s="7">
        <f>K78*VLOOKUP($B78,'EU Ref Scenario 2020'!$A$126:$AE$153,'Specified Annual Demand'!L$3,FALSE)</f>
        <v>0.22752196336738181</v>
      </c>
      <c r="M78" s="7">
        <f>L78*VLOOKUP($B78,'EU Ref Scenario 2020'!$A$126:$AE$153,'Specified Annual Demand'!M$3,FALSE)</f>
        <v>0.22519679990003813</v>
      </c>
      <c r="N78" s="7">
        <f>M78*VLOOKUP($B78,'EU Ref Scenario 2020'!$A$126:$AE$153,'Specified Annual Demand'!N$3,FALSE)</f>
        <v>0.22287163643269445</v>
      </c>
      <c r="O78" s="7">
        <f>N78*VLOOKUP($B78,'EU Ref Scenario 2020'!$A$126:$AE$153,'Specified Annual Demand'!O$3,FALSE)</f>
        <v>0.22054647296535076</v>
      </c>
      <c r="P78" s="7">
        <f>O78*VLOOKUP($B78,'EU Ref Scenario 2020'!$A$126:$AE$153,'Specified Annual Demand'!P$3,FALSE)</f>
        <v>0.21822130949800705</v>
      </c>
      <c r="Q78" s="7">
        <f>P78*VLOOKUP($B78,'EU Ref Scenario 2020'!$A$126:$AE$153,'Specified Annual Demand'!Q$3,FALSE)</f>
        <v>0.21737263664394427</v>
      </c>
      <c r="R78" s="7">
        <f>Q78*VLOOKUP($B78,'EU Ref Scenario 2020'!$A$126:$AE$153,'Specified Annual Demand'!R$3,FALSE)</f>
        <v>0.21652396378988148</v>
      </c>
      <c r="S78" s="7">
        <f>R78*VLOOKUP($B78,'EU Ref Scenario 2020'!$A$126:$AE$153,'Specified Annual Demand'!S$3,FALSE)</f>
        <v>0.21567529093581872</v>
      </c>
      <c r="T78" s="7">
        <f>S78*VLOOKUP($B78,'EU Ref Scenario 2020'!$A$126:$AE$153,'Specified Annual Demand'!T$3,FALSE)</f>
        <v>0.21482661808175596</v>
      </c>
      <c r="U78" s="7">
        <f>T78*VLOOKUP($B78,'EU Ref Scenario 2020'!$A$126:$AE$153,'Specified Annual Demand'!U$3,FALSE)</f>
        <v>0.21397794522769314</v>
      </c>
      <c r="V78" s="7">
        <f>U78*VLOOKUP($B78,'EU Ref Scenario 2020'!$A$126:$AE$153,'Specified Annual Demand'!V$3,FALSE)</f>
        <v>0.21260093448639972</v>
      </c>
      <c r="W78" s="7">
        <f>V78*VLOOKUP($B78,'EU Ref Scenario 2020'!$A$126:$AE$153,'Specified Annual Demand'!W$3,FALSE)</f>
        <v>0.21122392374510629</v>
      </c>
      <c r="X78" s="7">
        <f>W78*VLOOKUP($B78,'EU Ref Scenario 2020'!$A$126:$AE$153,'Specified Annual Demand'!X$3,FALSE)</f>
        <v>0.20984691300381286</v>
      </c>
      <c r="Y78" s="7">
        <f>X78*VLOOKUP($B78,'EU Ref Scenario 2020'!$A$126:$AE$153,'Specified Annual Demand'!Y$3,FALSE)</f>
        <v>0.20846990226251944</v>
      </c>
      <c r="Z78" s="7">
        <f>Y78*VLOOKUP($B78,'EU Ref Scenario 2020'!$A$126:$AE$153,'Specified Annual Demand'!Z$3,FALSE)</f>
        <v>0.20709289152122604</v>
      </c>
      <c r="AA78" s="7">
        <f>Z78*VLOOKUP($B78,'EU Ref Scenario 2020'!$A$126:$AE$153,'Specified Annual Demand'!AA$3,FALSE)</f>
        <v>0.20543111090154162</v>
      </c>
      <c r="AB78" s="7">
        <f>AA78*VLOOKUP($B78,'EU Ref Scenario 2020'!$A$126:$AE$153,'Specified Annual Demand'!AB$3,FALSE)</f>
        <v>0.2037693302818572</v>
      </c>
      <c r="AC78" s="7">
        <f>AB78*VLOOKUP($B78,'EU Ref Scenario 2020'!$A$126:$AE$153,'Specified Annual Demand'!AC$3,FALSE)</f>
        <v>0.20210754966217281</v>
      </c>
      <c r="AD78" s="7">
        <f>AC78*VLOOKUP($B78,'EU Ref Scenario 2020'!$A$126:$AE$153,'Specified Annual Demand'!AD$3,FALSE)</f>
        <v>0.2004457690424884</v>
      </c>
      <c r="AE78" s="7">
        <f>AD78*VLOOKUP($B78,'EU Ref Scenario 2020'!$A$126:$AE$153,'Specified Annual Demand'!AE$3,FALSE)</f>
        <v>0.19878398842280395</v>
      </c>
      <c r="AF78" s="7">
        <f>AE78*VLOOKUP($B78,'EU Ref Scenario 2020'!$A$126:$AE$153,'Specified Annual Demand'!AF$3,FALSE)</f>
        <v>0.19731541209929859</v>
      </c>
      <c r="AG78" s="7">
        <f>AF78*VLOOKUP($B78,'EU Ref Scenario 2020'!$A$126:$AE$153,'Specified Annual Demand'!AG$3,FALSE)</f>
        <v>0.19584683577579323</v>
      </c>
      <c r="AH78" s="7">
        <f>AG78*VLOOKUP($B78,'EU Ref Scenario 2020'!$A$126:$AE$153,'Specified Annual Demand'!AH$3,FALSE)</f>
        <v>0.19437825945228787</v>
      </c>
      <c r="AI78" s="7">
        <f>AH78*VLOOKUP($B78,'EU Ref Scenario 2020'!$A$126:$AE$153,'Specified Annual Demand'!AI$3,FALSE)</f>
        <v>0.19290968312878251</v>
      </c>
      <c r="AJ78" s="7">
        <f>AI78*VLOOKUP($B78,'EU Ref Scenario 2020'!$A$126:$AE$153,'Specified Annual Demand'!AJ$3,FALSE)</f>
        <v>0.19144110680527723</v>
      </c>
      <c r="AK78" s="8">
        <f t="shared" ref="AK78:AO78" si="75">AJ78</f>
        <v>0.19144110680527723</v>
      </c>
      <c r="AL78" s="8">
        <f t="shared" si="75"/>
        <v>0.19144110680527723</v>
      </c>
      <c r="AM78" s="8">
        <f t="shared" si="75"/>
        <v>0.19144110680527723</v>
      </c>
      <c r="AN78" s="8">
        <f t="shared" si="75"/>
        <v>0.19144110680527723</v>
      </c>
      <c r="AO78" s="8">
        <f t="shared" si="75"/>
        <v>0.19144110680527723</v>
      </c>
    </row>
    <row r="79" spans="1:41" x14ac:dyDescent="0.3">
      <c r="A79" t="s">
        <v>147</v>
      </c>
      <c r="B79" t="str">
        <f t="shared" si="66"/>
        <v>LV</v>
      </c>
      <c r="C79" t="s">
        <v>75</v>
      </c>
      <c r="D79" s="2">
        <v>2.5278923726803439</v>
      </c>
      <c r="E79" s="2">
        <v>2.4693023023843508</v>
      </c>
      <c r="F79" s="2">
        <v>2.4554195874050446</v>
      </c>
      <c r="G79" s="2">
        <v>2.5701085455343624</v>
      </c>
      <c r="H79" s="7">
        <f>G79*VLOOKUP($B79,'EU Ref Scenario 2020'!$A$126:$AE$153,'Specified Annual Demand'!H$3,FALSE)</f>
        <v>2.5348479902914551</v>
      </c>
      <c r="I79" s="7">
        <f>H79*VLOOKUP($B79,'EU Ref Scenario 2020'!$A$126:$AE$153,'Specified Annual Demand'!I$3,FALSE)</f>
        <v>2.4995874350485483</v>
      </c>
      <c r="J79" s="7">
        <f>I79*VLOOKUP($B79,'EU Ref Scenario 2020'!$A$126:$AE$153,'Specified Annual Demand'!J$3,FALSE)</f>
        <v>2.464326879805641</v>
      </c>
      <c r="K79" s="7">
        <f>J79*VLOOKUP($B79,'EU Ref Scenario 2020'!$A$126:$AE$153,'Specified Annual Demand'!K$3,FALSE)</f>
        <v>2.4290663245627333</v>
      </c>
      <c r="L79" s="7">
        <f>K79*VLOOKUP($B79,'EU Ref Scenario 2020'!$A$126:$AE$153,'Specified Annual Demand'!L$3,FALSE)</f>
        <v>2.4044935732936286</v>
      </c>
      <c r="M79" s="7">
        <f>L79*VLOOKUP($B79,'EU Ref Scenario 2020'!$A$126:$AE$153,'Specified Annual Demand'!M$3,FALSE)</f>
        <v>2.3799208220245238</v>
      </c>
      <c r="N79" s="7">
        <f>M79*VLOOKUP($B79,'EU Ref Scenario 2020'!$A$126:$AE$153,'Specified Annual Demand'!N$3,FALSE)</f>
        <v>2.3553480707554191</v>
      </c>
      <c r="O79" s="7">
        <f>N79*VLOOKUP($B79,'EU Ref Scenario 2020'!$A$126:$AE$153,'Specified Annual Demand'!O$3,FALSE)</f>
        <v>2.3307753194863143</v>
      </c>
      <c r="P79" s="7">
        <f>O79*VLOOKUP($B79,'EU Ref Scenario 2020'!$A$126:$AE$153,'Specified Annual Demand'!P$3,FALSE)</f>
        <v>2.3062025682172091</v>
      </c>
      <c r="Q79" s="7">
        <f>P79*VLOOKUP($B79,'EU Ref Scenario 2020'!$A$126:$AE$153,'Specified Annual Demand'!Q$3,FALSE)</f>
        <v>2.297233638830257</v>
      </c>
      <c r="R79" s="7">
        <f>Q79*VLOOKUP($B79,'EU Ref Scenario 2020'!$A$126:$AE$153,'Specified Annual Demand'!R$3,FALSE)</f>
        <v>2.2882647094433048</v>
      </c>
      <c r="S79" s="7">
        <f>R79*VLOOKUP($B79,'EU Ref Scenario 2020'!$A$126:$AE$153,'Specified Annual Demand'!S$3,FALSE)</f>
        <v>2.2792957800563531</v>
      </c>
      <c r="T79" s="7">
        <f>S79*VLOOKUP($B79,'EU Ref Scenario 2020'!$A$126:$AE$153,'Specified Annual Demand'!T$3,FALSE)</f>
        <v>2.2703268506694014</v>
      </c>
      <c r="U79" s="7">
        <f>T79*VLOOKUP($B79,'EU Ref Scenario 2020'!$A$126:$AE$153,'Specified Annual Demand'!U$3,FALSE)</f>
        <v>2.2613579212824493</v>
      </c>
      <c r="V79" s="7">
        <f>U79*VLOOKUP($B79,'EU Ref Scenario 2020'!$A$126:$AE$153,'Specified Annual Demand'!V$3,FALSE)</f>
        <v>2.2468054208170325</v>
      </c>
      <c r="W79" s="7">
        <f>V79*VLOOKUP($B79,'EU Ref Scenario 2020'!$A$126:$AE$153,'Specified Annual Demand'!W$3,FALSE)</f>
        <v>2.2322529203516157</v>
      </c>
      <c r="X79" s="7">
        <f>W79*VLOOKUP($B79,'EU Ref Scenario 2020'!$A$126:$AE$153,'Specified Annual Demand'!X$3,FALSE)</f>
        <v>2.2177004198861989</v>
      </c>
      <c r="Y79" s="7">
        <f>X79*VLOOKUP($B79,'EU Ref Scenario 2020'!$A$126:$AE$153,'Specified Annual Demand'!Y$3,FALSE)</f>
        <v>2.2031479194207821</v>
      </c>
      <c r="Z79" s="7">
        <f>Y79*VLOOKUP($B79,'EU Ref Scenario 2020'!$A$126:$AE$153,'Specified Annual Demand'!Z$3,FALSE)</f>
        <v>2.1885954189553658</v>
      </c>
      <c r="AA79" s="7">
        <f>Z79*VLOOKUP($B79,'EU Ref Scenario 2020'!$A$126:$AE$153,'Specified Annual Demand'!AA$3,FALSE)</f>
        <v>2.1710334185176183</v>
      </c>
      <c r="AB79" s="7">
        <f>AA79*VLOOKUP($B79,'EU Ref Scenario 2020'!$A$126:$AE$153,'Specified Annual Demand'!AB$3,FALSE)</f>
        <v>2.1534714180798709</v>
      </c>
      <c r="AC79" s="7">
        <f>AB79*VLOOKUP($B79,'EU Ref Scenario 2020'!$A$126:$AE$153,'Specified Annual Demand'!AC$3,FALSE)</f>
        <v>2.1359094176421238</v>
      </c>
      <c r="AD79" s="7">
        <f>AC79*VLOOKUP($B79,'EU Ref Scenario 2020'!$A$126:$AE$153,'Specified Annual Demand'!AD$3,FALSE)</f>
        <v>2.1183474172043764</v>
      </c>
      <c r="AE79" s="7">
        <f>AD79*VLOOKUP($B79,'EU Ref Scenario 2020'!$A$126:$AE$153,'Specified Annual Demand'!AE$3,FALSE)</f>
        <v>2.1007854167666289</v>
      </c>
      <c r="AF79" s="7">
        <f>AE79*VLOOKUP($B79,'EU Ref Scenario 2020'!$A$126:$AE$153,'Specified Annual Demand'!AF$3,FALSE)</f>
        <v>2.0852652345411529</v>
      </c>
      <c r="AG79" s="7">
        <f>AF79*VLOOKUP($B79,'EU Ref Scenario 2020'!$A$126:$AE$153,'Specified Annual Demand'!AG$3,FALSE)</f>
        <v>2.0697450523156768</v>
      </c>
      <c r="AH79" s="7">
        <f>AG79*VLOOKUP($B79,'EU Ref Scenario 2020'!$A$126:$AE$153,'Specified Annual Demand'!AH$3,FALSE)</f>
        <v>2.0542248700902008</v>
      </c>
      <c r="AI79" s="7">
        <f>AH79*VLOOKUP($B79,'EU Ref Scenario 2020'!$A$126:$AE$153,'Specified Annual Demand'!AI$3,FALSE)</f>
        <v>2.0387046878647248</v>
      </c>
      <c r="AJ79" s="7">
        <f>AI79*VLOOKUP($B79,'EU Ref Scenario 2020'!$A$126:$AE$153,'Specified Annual Demand'!AJ$3,FALSE)</f>
        <v>2.0231845056392497</v>
      </c>
      <c r="AK79" s="8">
        <f t="shared" ref="AK79:AO79" si="76">AJ79</f>
        <v>2.0231845056392497</v>
      </c>
      <c r="AL79" s="8">
        <f t="shared" si="76"/>
        <v>2.0231845056392497</v>
      </c>
      <c r="AM79" s="8">
        <f t="shared" si="76"/>
        <v>2.0231845056392497</v>
      </c>
      <c r="AN79" s="8">
        <f t="shared" si="76"/>
        <v>2.0231845056392497</v>
      </c>
      <c r="AO79" s="8">
        <f t="shared" si="76"/>
        <v>2.0231845056392497</v>
      </c>
    </row>
    <row r="80" spans="1:41" x14ac:dyDescent="0.3">
      <c r="A80" t="s">
        <v>148</v>
      </c>
      <c r="B80" t="str">
        <f t="shared" si="66"/>
        <v>LV</v>
      </c>
      <c r="C80" t="s">
        <v>76</v>
      </c>
      <c r="D80" s="2">
        <v>10.247340227800969</v>
      </c>
      <c r="E80" s="2">
        <v>10.327440421409326</v>
      </c>
      <c r="F80" s="2">
        <v>10.057654357664008</v>
      </c>
      <c r="G80" s="2">
        <v>10.208833578060323</v>
      </c>
      <c r="H80" s="7">
        <f>G80*VLOOKUP($B80,'EU Ref Scenario 2020'!$A$126:$AE$153,'Specified Annual Demand'!H$3,FALSE)</f>
        <v>10.068773680212702</v>
      </c>
      <c r="I80" s="7">
        <f>H80*VLOOKUP($B80,'EU Ref Scenario 2020'!$A$126:$AE$153,'Specified Annual Demand'!I$3,FALSE)</f>
        <v>9.9287137823650813</v>
      </c>
      <c r="J80" s="7">
        <f>I80*VLOOKUP($B80,'EU Ref Scenario 2020'!$A$126:$AE$153,'Specified Annual Demand'!J$3,FALSE)</f>
        <v>9.7886538845174602</v>
      </c>
      <c r="K80" s="7">
        <f>J80*VLOOKUP($B80,'EU Ref Scenario 2020'!$A$126:$AE$153,'Specified Annual Demand'!K$3,FALSE)</f>
        <v>9.6485939866698374</v>
      </c>
      <c r="L80" s="7">
        <f>K80*VLOOKUP($B80,'EU Ref Scenario 2020'!$A$126:$AE$153,'Specified Annual Demand'!L$3,FALSE)</f>
        <v>9.5509875533939983</v>
      </c>
      <c r="M80" s="7">
        <f>L80*VLOOKUP($B80,'EU Ref Scenario 2020'!$A$126:$AE$153,'Specified Annual Demand'!M$3,FALSE)</f>
        <v>9.453381120118161</v>
      </c>
      <c r="N80" s="7">
        <f>M80*VLOOKUP($B80,'EU Ref Scenario 2020'!$A$126:$AE$153,'Specified Annual Demand'!N$3,FALSE)</f>
        <v>9.3557746868423219</v>
      </c>
      <c r="O80" s="7">
        <f>N80*VLOOKUP($B80,'EU Ref Scenario 2020'!$A$126:$AE$153,'Specified Annual Demand'!O$3,FALSE)</f>
        <v>9.2581682535664847</v>
      </c>
      <c r="P80" s="7">
        <f>O80*VLOOKUP($B80,'EU Ref Scenario 2020'!$A$126:$AE$153,'Specified Annual Demand'!P$3,FALSE)</f>
        <v>9.1605618202906456</v>
      </c>
      <c r="Q80" s="7">
        <f>P80*VLOOKUP($B80,'EU Ref Scenario 2020'!$A$126:$AE$153,'Specified Annual Demand'!Q$3,FALSE)</f>
        <v>9.124935967972517</v>
      </c>
      <c r="R80" s="7">
        <f>Q80*VLOOKUP($B80,'EU Ref Scenario 2020'!$A$126:$AE$153,'Specified Annual Demand'!R$3,FALSE)</f>
        <v>9.0893101156543885</v>
      </c>
      <c r="S80" s="7">
        <f>R80*VLOOKUP($B80,'EU Ref Scenario 2020'!$A$126:$AE$153,'Specified Annual Demand'!S$3,FALSE)</f>
        <v>9.05368426333626</v>
      </c>
      <c r="T80" s="7">
        <f>S80*VLOOKUP($B80,'EU Ref Scenario 2020'!$A$126:$AE$153,'Specified Annual Demand'!T$3,FALSE)</f>
        <v>9.0180584110181314</v>
      </c>
      <c r="U80" s="7">
        <f>T80*VLOOKUP($B80,'EU Ref Scenario 2020'!$A$126:$AE$153,'Specified Annual Demand'!U$3,FALSE)</f>
        <v>8.9824325587000011</v>
      </c>
      <c r="V80" s="7">
        <f>U80*VLOOKUP($B80,'EU Ref Scenario 2020'!$A$126:$AE$153,'Specified Annual Demand'!V$3,FALSE)</f>
        <v>8.9246279746662953</v>
      </c>
      <c r="W80" s="7">
        <f>V80*VLOOKUP($B80,'EU Ref Scenario 2020'!$A$126:$AE$153,'Specified Annual Demand'!W$3,FALSE)</f>
        <v>8.8668233906325895</v>
      </c>
      <c r="X80" s="7">
        <f>W80*VLOOKUP($B80,'EU Ref Scenario 2020'!$A$126:$AE$153,'Specified Annual Demand'!X$3,FALSE)</f>
        <v>8.8090188065988855</v>
      </c>
      <c r="Y80" s="7">
        <f>X80*VLOOKUP($B80,'EU Ref Scenario 2020'!$A$126:$AE$153,'Specified Annual Demand'!Y$3,FALSE)</f>
        <v>8.7512142225651814</v>
      </c>
      <c r="Z80" s="7">
        <f>Y80*VLOOKUP($B80,'EU Ref Scenario 2020'!$A$126:$AE$153,'Specified Annual Demand'!Z$3,FALSE)</f>
        <v>8.6934096385314774</v>
      </c>
      <c r="AA80" s="7">
        <f>Z80*VLOOKUP($B80,'EU Ref Scenario 2020'!$A$126:$AE$153,'Specified Annual Demand'!AA$3,FALSE)</f>
        <v>8.6236508962097567</v>
      </c>
      <c r="AB80" s="7">
        <f>AA80*VLOOKUP($B80,'EU Ref Scenario 2020'!$A$126:$AE$153,'Specified Annual Demand'!AB$3,FALSE)</f>
        <v>8.5538921538880359</v>
      </c>
      <c r="AC80" s="7">
        <f>AB80*VLOOKUP($B80,'EU Ref Scenario 2020'!$A$126:$AE$153,'Specified Annual Demand'!AC$3,FALSE)</f>
        <v>8.4841334115663152</v>
      </c>
      <c r="AD80" s="7">
        <f>AC80*VLOOKUP($B80,'EU Ref Scenario 2020'!$A$126:$AE$153,'Specified Annual Demand'!AD$3,FALSE)</f>
        <v>8.4143746692445944</v>
      </c>
      <c r="AE80" s="7">
        <f>AD80*VLOOKUP($B80,'EU Ref Scenario 2020'!$A$126:$AE$153,'Specified Annual Demand'!AE$3,FALSE)</f>
        <v>8.3446159269228719</v>
      </c>
      <c r="AF80" s="7">
        <f>AE80*VLOOKUP($B80,'EU Ref Scenario 2020'!$A$126:$AE$153,'Specified Annual Demand'!AF$3,FALSE)</f>
        <v>8.2829675744762987</v>
      </c>
      <c r="AG80" s="7">
        <f>AF80*VLOOKUP($B80,'EU Ref Scenario 2020'!$A$126:$AE$153,'Specified Annual Demand'!AG$3,FALSE)</f>
        <v>8.2213192220297255</v>
      </c>
      <c r="AH80" s="7">
        <f>AG80*VLOOKUP($B80,'EU Ref Scenario 2020'!$A$126:$AE$153,'Specified Annual Demand'!AH$3,FALSE)</f>
        <v>8.1596708695831524</v>
      </c>
      <c r="AI80" s="7">
        <f>AH80*VLOOKUP($B80,'EU Ref Scenario 2020'!$A$126:$AE$153,'Specified Annual Demand'!AI$3,FALSE)</f>
        <v>8.0980225171365792</v>
      </c>
      <c r="AJ80" s="7">
        <f>AI80*VLOOKUP($B80,'EU Ref Scenario 2020'!$A$126:$AE$153,'Specified Annual Demand'!AJ$3,FALSE)</f>
        <v>8.0363741646900095</v>
      </c>
      <c r="AK80" s="8">
        <f t="shared" ref="AK80:AO80" si="77">AJ80</f>
        <v>8.0363741646900095</v>
      </c>
      <c r="AL80" s="8">
        <f t="shared" si="77"/>
        <v>8.0363741646900095</v>
      </c>
      <c r="AM80" s="8">
        <f t="shared" si="77"/>
        <v>8.0363741646900095</v>
      </c>
      <c r="AN80" s="8">
        <f t="shared" si="77"/>
        <v>8.0363741646900095</v>
      </c>
      <c r="AO80" s="8">
        <f t="shared" si="77"/>
        <v>8.0363741646900095</v>
      </c>
    </row>
    <row r="81" spans="1:41" x14ac:dyDescent="0.3">
      <c r="A81" t="s">
        <v>145</v>
      </c>
      <c r="B81" t="str">
        <f t="shared" si="66"/>
        <v>MT</v>
      </c>
      <c r="C81" t="s">
        <v>77</v>
      </c>
      <c r="D81" s="2">
        <v>3.4068035950064548</v>
      </c>
      <c r="E81" s="2">
        <v>3.6138433171253705</v>
      </c>
      <c r="F81" s="2">
        <v>3.4286750630146665</v>
      </c>
      <c r="G81" s="2">
        <v>3.5298879247202404</v>
      </c>
      <c r="H81" s="7">
        <f>G81*VLOOKUP($B81,'EU Ref Scenario 2020'!$A$126:$AE$153,'Specified Annual Demand'!H$3,FALSE)</f>
        <v>3.7706159371247581</v>
      </c>
      <c r="I81" s="7">
        <f>H81*VLOOKUP($B81,'EU Ref Scenario 2020'!$A$126:$AE$153,'Specified Annual Demand'!I$3,FALSE)</f>
        <v>4.0113439495292766</v>
      </c>
      <c r="J81" s="7">
        <f>I81*VLOOKUP($B81,'EU Ref Scenario 2020'!$A$126:$AE$153,'Specified Annual Demand'!J$3,FALSE)</f>
        <v>4.2520719619337948</v>
      </c>
      <c r="K81" s="7">
        <f>J81*VLOOKUP($B81,'EU Ref Scenario 2020'!$A$126:$AE$153,'Specified Annual Demand'!K$3,FALSE)</f>
        <v>4.4927999743383138</v>
      </c>
      <c r="L81" s="7">
        <f>K81*VLOOKUP($B81,'EU Ref Scenario 2020'!$A$126:$AE$153,'Specified Annual Demand'!L$3,FALSE)</f>
        <v>4.5300305054537047</v>
      </c>
      <c r="M81" s="7">
        <f>L81*VLOOKUP($B81,'EU Ref Scenario 2020'!$A$126:$AE$153,'Specified Annual Demand'!M$3,FALSE)</f>
        <v>4.5672610365690955</v>
      </c>
      <c r="N81" s="7">
        <f>M81*VLOOKUP($B81,'EU Ref Scenario 2020'!$A$126:$AE$153,'Specified Annual Demand'!N$3,FALSE)</f>
        <v>4.6044915676844855</v>
      </c>
      <c r="O81" s="7">
        <f>N81*VLOOKUP($B81,'EU Ref Scenario 2020'!$A$126:$AE$153,'Specified Annual Demand'!O$3,FALSE)</f>
        <v>4.6417220987998764</v>
      </c>
      <c r="P81" s="7">
        <f>O81*VLOOKUP($B81,'EU Ref Scenario 2020'!$A$126:$AE$153,'Specified Annual Demand'!P$3,FALSE)</f>
        <v>4.6789526299152655</v>
      </c>
      <c r="Q81" s="7">
        <f>P81*VLOOKUP($B81,'EU Ref Scenario 2020'!$A$126:$AE$153,'Specified Annual Demand'!Q$3,FALSE)</f>
        <v>4.6965300879449412</v>
      </c>
      <c r="R81" s="7">
        <f>Q81*VLOOKUP($B81,'EU Ref Scenario 2020'!$A$126:$AE$153,'Specified Annual Demand'!R$3,FALSE)</f>
        <v>4.7141075459746178</v>
      </c>
      <c r="S81" s="7">
        <f>R81*VLOOKUP($B81,'EU Ref Scenario 2020'!$A$126:$AE$153,'Specified Annual Demand'!S$3,FALSE)</f>
        <v>4.7316850040042944</v>
      </c>
      <c r="T81" s="7">
        <f>S81*VLOOKUP($B81,'EU Ref Scenario 2020'!$A$126:$AE$153,'Specified Annual Demand'!T$3,FALSE)</f>
        <v>4.7492624620339701</v>
      </c>
      <c r="U81" s="7">
        <f>T81*VLOOKUP($B81,'EU Ref Scenario 2020'!$A$126:$AE$153,'Specified Annual Demand'!U$3,FALSE)</f>
        <v>4.7668399200636458</v>
      </c>
      <c r="V81" s="7">
        <f>U81*VLOOKUP($B81,'EU Ref Scenario 2020'!$A$126:$AE$153,'Specified Annual Demand'!V$3,FALSE)</f>
        <v>4.7344958487112878</v>
      </c>
      <c r="W81" s="7">
        <f>V81*VLOOKUP($B81,'EU Ref Scenario 2020'!$A$126:$AE$153,'Specified Annual Demand'!W$3,FALSE)</f>
        <v>4.7021517773589299</v>
      </c>
      <c r="X81" s="7">
        <f>W81*VLOOKUP($B81,'EU Ref Scenario 2020'!$A$126:$AE$153,'Specified Annual Demand'!X$3,FALSE)</f>
        <v>4.6698077060065719</v>
      </c>
      <c r="Y81" s="7">
        <f>X81*VLOOKUP($B81,'EU Ref Scenario 2020'!$A$126:$AE$153,'Specified Annual Demand'!Y$3,FALSE)</f>
        <v>4.637463634654214</v>
      </c>
      <c r="Z81" s="7">
        <f>Y81*VLOOKUP($B81,'EU Ref Scenario 2020'!$A$126:$AE$153,'Specified Annual Demand'!Z$3,FALSE)</f>
        <v>4.6051195633018569</v>
      </c>
      <c r="AA81" s="7">
        <f>Z81*VLOOKUP($B81,'EU Ref Scenario 2020'!$A$126:$AE$153,'Specified Annual Demand'!AA$3,FALSE)</f>
        <v>4.6083501817022583</v>
      </c>
      <c r="AB81" s="7">
        <f>AA81*VLOOKUP($B81,'EU Ref Scenario 2020'!$A$126:$AE$153,'Specified Annual Demand'!AB$3,FALSE)</f>
        <v>4.6115808001026597</v>
      </c>
      <c r="AC81" s="7">
        <f>AB81*VLOOKUP($B81,'EU Ref Scenario 2020'!$A$126:$AE$153,'Specified Annual Demand'!AC$3,FALSE)</f>
        <v>4.6148114185030611</v>
      </c>
      <c r="AD81" s="7">
        <f>AC81*VLOOKUP($B81,'EU Ref Scenario 2020'!$A$126:$AE$153,'Specified Annual Demand'!AD$3,FALSE)</f>
        <v>4.6180420369034625</v>
      </c>
      <c r="AE81" s="7">
        <f>AD81*VLOOKUP($B81,'EU Ref Scenario 2020'!$A$126:$AE$153,'Specified Annual Demand'!AE$3,FALSE)</f>
        <v>4.6212726553038639</v>
      </c>
      <c r="AF81" s="7">
        <f>AE81*VLOOKUP($B81,'EU Ref Scenario 2020'!$A$126:$AE$153,'Specified Annual Demand'!AF$3,FALSE)</f>
        <v>4.6302392686465419</v>
      </c>
      <c r="AG81" s="7">
        <f>AF81*VLOOKUP($B81,'EU Ref Scenario 2020'!$A$126:$AE$153,'Specified Annual Demand'!AG$3,FALSE)</f>
        <v>4.6392058819892199</v>
      </c>
      <c r="AH81" s="7">
        <f>AG81*VLOOKUP($B81,'EU Ref Scenario 2020'!$A$126:$AE$153,'Specified Annual Demand'!AH$3,FALSE)</f>
        <v>4.6481724953318988</v>
      </c>
      <c r="AI81" s="7">
        <f>AH81*VLOOKUP($B81,'EU Ref Scenario 2020'!$A$126:$AE$153,'Specified Annual Demand'!AI$3,FALSE)</f>
        <v>4.6571391086745768</v>
      </c>
      <c r="AJ81" s="7">
        <f>AI81*VLOOKUP($B81,'EU Ref Scenario 2020'!$A$126:$AE$153,'Specified Annual Demand'!AJ$3,FALSE)</f>
        <v>4.6661057220172566</v>
      </c>
      <c r="AK81" s="8">
        <f t="shared" ref="AK81:AO81" si="78">AJ81</f>
        <v>4.6661057220172566</v>
      </c>
      <c r="AL81" s="8">
        <f t="shared" si="78"/>
        <v>4.6661057220172566</v>
      </c>
      <c r="AM81" s="8">
        <f t="shared" si="78"/>
        <v>4.6661057220172566</v>
      </c>
      <c r="AN81" s="8">
        <f t="shared" si="78"/>
        <v>4.6661057220172566</v>
      </c>
      <c r="AO81" s="8">
        <f t="shared" si="78"/>
        <v>4.6661057220172566</v>
      </c>
    </row>
    <row r="82" spans="1:41" x14ac:dyDescent="0.3">
      <c r="A82" t="s">
        <v>146</v>
      </c>
      <c r="B82" t="str">
        <f t="shared" si="66"/>
        <v>MT</v>
      </c>
      <c r="C82" t="s">
        <v>78</v>
      </c>
      <c r="D82" s="2">
        <v>2.6187832202697781</v>
      </c>
      <c r="E82" s="2">
        <v>3.2779730025364691</v>
      </c>
      <c r="F82" s="2">
        <v>3.3568184295979955</v>
      </c>
      <c r="G82" s="2">
        <v>5.0053407013013249</v>
      </c>
      <c r="H82" s="7">
        <f>G82*VLOOKUP($B82,'EU Ref Scenario 2020'!$A$126:$AE$153,'Specified Annual Demand'!H$3,FALSE)</f>
        <v>5.3466902693693248</v>
      </c>
      <c r="I82" s="7">
        <f>H82*VLOOKUP($B82,'EU Ref Scenario 2020'!$A$126:$AE$153,'Specified Annual Demand'!I$3,FALSE)</f>
        <v>5.6880398374373256</v>
      </c>
      <c r="J82" s="7">
        <f>I82*VLOOKUP($B82,'EU Ref Scenario 2020'!$A$126:$AE$153,'Specified Annual Demand'!J$3,FALSE)</f>
        <v>6.0293894055053263</v>
      </c>
      <c r="K82" s="7">
        <f>J82*VLOOKUP($B82,'EU Ref Scenario 2020'!$A$126:$AE$153,'Specified Annual Demand'!K$3,FALSE)</f>
        <v>6.370738973573328</v>
      </c>
      <c r="L82" s="7">
        <f>K82*VLOOKUP($B82,'EU Ref Scenario 2020'!$A$126:$AE$153,'Specified Annual Demand'!L$3,FALSE)</f>
        <v>6.4235314408406001</v>
      </c>
      <c r="M82" s="7">
        <f>L82*VLOOKUP($B82,'EU Ref Scenario 2020'!$A$126:$AE$153,'Specified Annual Demand'!M$3,FALSE)</f>
        <v>6.4763239081078714</v>
      </c>
      <c r="N82" s="7">
        <f>M82*VLOOKUP($B82,'EU Ref Scenario 2020'!$A$126:$AE$153,'Specified Annual Demand'!N$3,FALSE)</f>
        <v>6.5291163753751427</v>
      </c>
      <c r="O82" s="7">
        <f>N82*VLOOKUP($B82,'EU Ref Scenario 2020'!$A$126:$AE$153,'Specified Annual Demand'!O$3,FALSE)</f>
        <v>6.5819088426424139</v>
      </c>
      <c r="P82" s="7">
        <f>O82*VLOOKUP($B82,'EU Ref Scenario 2020'!$A$126:$AE$153,'Specified Annual Demand'!P$3,FALSE)</f>
        <v>6.6347013099096834</v>
      </c>
      <c r="Q82" s="7">
        <f>P82*VLOOKUP($B82,'EU Ref Scenario 2020'!$A$126:$AE$153,'Specified Annual Demand'!Q$3,FALSE)</f>
        <v>6.6596259443393517</v>
      </c>
      <c r="R82" s="7">
        <f>Q82*VLOOKUP($B82,'EU Ref Scenario 2020'!$A$126:$AE$153,'Specified Annual Demand'!R$3,FALSE)</f>
        <v>6.6845505787690209</v>
      </c>
      <c r="S82" s="7">
        <f>R82*VLOOKUP($B82,'EU Ref Scenario 2020'!$A$126:$AE$153,'Specified Annual Demand'!S$3,FALSE)</f>
        <v>6.7094752131986901</v>
      </c>
      <c r="T82" s="7">
        <f>S82*VLOOKUP($B82,'EU Ref Scenario 2020'!$A$126:$AE$153,'Specified Annual Demand'!T$3,FALSE)</f>
        <v>6.7343998476283584</v>
      </c>
      <c r="U82" s="7">
        <f>T82*VLOOKUP($B82,'EU Ref Scenario 2020'!$A$126:$AE$153,'Specified Annual Demand'!U$3,FALSE)</f>
        <v>6.7593244820580267</v>
      </c>
      <c r="V82" s="7">
        <f>U82*VLOOKUP($B82,'EU Ref Scenario 2020'!$A$126:$AE$153,'Specified Annual Demand'!V$3,FALSE)</f>
        <v>6.7134609588418943</v>
      </c>
      <c r="W82" s="7">
        <f>V82*VLOOKUP($B82,'EU Ref Scenario 2020'!$A$126:$AE$153,'Specified Annual Demand'!W$3,FALSE)</f>
        <v>6.6675974356257619</v>
      </c>
      <c r="X82" s="7">
        <f>W82*VLOOKUP($B82,'EU Ref Scenario 2020'!$A$126:$AE$153,'Specified Annual Demand'!X$3,FALSE)</f>
        <v>6.6217339124096295</v>
      </c>
      <c r="Y82" s="7">
        <f>X82*VLOOKUP($B82,'EU Ref Scenario 2020'!$A$126:$AE$153,'Specified Annual Demand'!Y$3,FALSE)</f>
        <v>6.5758703891934971</v>
      </c>
      <c r="Z82" s="7">
        <f>Y82*VLOOKUP($B82,'EU Ref Scenario 2020'!$A$126:$AE$153,'Specified Annual Demand'!Z$3,FALSE)</f>
        <v>6.5300068659773656</v>
      </c>
      <c r="AA82" s="7">
        <f>Z82*VLOOKUP($B82,'EU Ref Scenario 2020'!$A$126:$AE$153,'Specified Annual Demand'!AA$3,FALSE)</f>
        <v>6.5345878459163202</v>
      </c>
      <c r="AB82" s="7">
        <f>AA82*VLOOKUP($B82,'EU Ref Scenario 2020'!$A$126:$AE$153,'Specified Annual Demand'!AB$3,FALSE)</f>
        <v>6.5391688258552749</v>
      </c>
      <c r="AC82" s="7">
        <f>AB82*VLOOKUP($B82,'EU Ref Scenario 2020'!$A$126:$AE$153,'Specified Annual Demand'!AC$3,FALSE)</f>
        <v>6.5437498057942296</v>
      </c>
      <c r="AD82" s="7">
        <f>AC82*VLOOKUP($B82,'EU Ref Scenario 2020'!$A$126:$AE$153,'Specified Annual Demand'!AD$3,FALSE)</f>
        <v>6.5483307857331843</v>
      </c>
      <c r="AE82" s="7">
        <f>AD82*VLOOKUP($B82,'EU Ref Scenario 2020'!$A$126:$AE$153,'Specified Annual Demand'!AE$3,FALSE)</f>
        <v>6.5529117656721398</v>
      </c>
      <c r="AF82" s="7">
        <f>AE82*VLOOKUP($B82,'EU Ref Scenario 2020'!$A$126:$AE$153,'Specified Annual Demand'!AF$3,FALSE)</f>
        <v>6.5656263208291552</v>
      </c>
      <c r="AG82" s="7">
        <f>AF82*VLOOKUP($B82,'EU Ref Scenario 2020'!$A$126:$AE$153,'Specified Annual Demand'!AG$3,FALSE)</f>
        <v>6.5783408759861706</v>
      </c>
      <c r="AH82" s="7">
        <f>AG82*VLOOKUP($B82,'EU Ref Scenario 2020'!$A$126:$AE$153,'Specified Annual Demand'!AH$3,FALSE)</f>
        <v>6.5910554311431877</v>
      </c>
      <c r="AI82" s="7">
        <f>AH82*VLOOKUP($B82,'EU Ref Scenario 2020'!$A$126:$AE$153,'Specified Annual Demand'!AI$3,FALSE)</f>
        <v>6.6037699863002031</v>
      </c>
      <c r="AJ82" s="7">
        <f>AI82*VLOOKUP($B82,'EU Ref Scenario 2020'!$A$126:$AE$153,'Specified Annual Demand'!AJ$3,FALSE)</f>
        <v>6.6164845414572211</v>
      </c>
      <c r="AK82" s="8">
        <f t="shared" ref="AK82:AO82" si="79">AJ82</f>
        <v>6.6164845414572211</v>
      </c>
      <c r="AL82" s="8">
        <f t="shared" si="79"/>
        <v>6.6164845414572211</v>
      </c>
      <c r="AM82" s="8">
        <f t="shared" si="79"/>
        <v>6.6164845414572211</v>
      </c>
      <c r="AN82" s="8">
        <f t="shared" si="79"/>
        <v>6.6164845414572211</v>
      </c>
      <c r="AO82" s="8">
        <f t="shared" si="79"/>
        <v>6.6164845414572211</v>
      </c>
    </row>
    <row r="83" spans="1:41" x14ac:dyDescent="0.3">
      <c r="A83" t="s">
        <v>147</v>
      </c>
      <c r="B83" t="str">
        <f t="shared" si="66"/>
        <v>MT</v>
      </c>
      <c r="C83" t="s">
        <v>79</v>
      </c>
      <c r="D83" s="2">
        <v>0.92875475072781599</v>
      </c>
      <c r="E83" s="2">
        <v>0.94501774287738605</v>
      </c>
      <c r="F83" s="2">
        <v>0.9199387313487204</v>
      </c>
      <c r="G83" s="2">
        <v>0.93446294354723058</v>
      </c>
      <c r="H83" s="7">
        <f>G83*VLOOKUP($B83,'EU Ref Scenario 2020'!$A$126:$AE$153,'Specified Annual Demand'!H$3,FALSE)</f>
        <v>0.99819057792633858</v>
      </c>
      <c r="I83" s="7">
        <f>H83*VLOOKUP($B83,'EU Ref Scenario 2020'!$A$126:$AE$153,'Specified Annual Demand'!I$3,FALSE)</f>
        <v>1.0619182123054467</v>
      </c>
      <c r="J83" s="7">
        <f>I83*VLOOKUP($B83,'EU Ref Scenario 2020'!$A$126:$AE$153,'Specified Annual Demand'!J$3,FALSE)</f>
        <v>1.1256458466845549</v>
      </c>
      <c r="K83" s="7">
        <f>J83*VLOOKUP($B83,'EU Ref Scenario 2020'!$A$126:$AE$153,'Specified Annual Demand'!K$3,FALSE)</f>
        <v>1.1893734810636634</v>
      </c>
      <c r="L83" s="7">
        <f>K83*VLOOKUP($B83,'EU Ref Scenario 2020'!$A$126:$AE$153,'Specified Annual Demand'!L$3,FALSE)</f>
        <v>1.1992294743523659</v>
      </c>
      <c r="M83" s="7">
        <f>L83*VLOOKUP($B83,'EU Ref Scenario 2020'!$A$126:$AE$153,'Specified Annual Demand'!M$3,FALSE)</f>
        <v>1.2090854676410685</v>
      </c>
      <c r="N83" s="7">
        <f>M83*VLOOKUP($B83,'EU Ref Scenario 2020'!$A$126:$AE$153,'Specified Annual Demand'!N$3,FALSE)</f>
        <v>1.2189414609297708</v>
      </c>
      <c r="O83" s="7">
        <f>N83*VLOOKUP($B83,'EU Ref Scenario 2020'!$A$126:$AE$153,'Specified Annual Demand'!O$3,FALSE)</f>
        <v>1.2287974542184734</v>
      </c>
      <c r="P83" s="7">
        <f>O83*VLOOKUP($B83,'EU Ref Scenario 2020'!$A$126:$AE$153,'Specified Annual Demand'!P$3,FALSE)</f>
        <v>1.2386534475071755</v>
      </c>
      <c r="Q83" s="7">
        <f>P83*VLOOKUP($B83,'EU Ref Scenario 2020'!$A$126:$AE$153,'Specified Annual Demand'!Q$3,FALSE)</f>
        <v>1.2433067066249677</v>
      </c>
      <c r="R83" s="7">
        <f>Q83*VLOOKUP($B83,'EU Ref Scenario 2020'!$A$126:$AE$153,'Specified Annual Demand'!R$3,FALSE)</f>
        <v>1.24795996574276</v>
      </c>
      <c r="S83" s="7">
        <f>R83*VLOOKUP($B83,'EU Ref Scenario 2020'!$A$126:$AE$153,'Specified Annual Demand'!S$3,FALSE)</f>
        <v>1.2526132248605524</v>
      </c>
      <c r="T83" s="7">
        <f>S83*VLOOKUP($B83,'EU Ref Scenario 2020'!$A$126:$AE$153,'Specified Annual Demand'!T$3,FALSE)</f>
        <v>1.2572664839783445</v>
      </c>
      <c r="U83" s="7">
        <f>T83*VLOOKUP($B83,'EU Ref Scenario 2020'!$A$126:$AE$153,'Specified Annual Demand'!U$3,FALSE)</f>
        <v>1.2619197430961366</v>
      </c>
      <c r="V83" s="7">
        <f>U83*VLOOKUP($B83,'EU Ref Scenario 2020'!$A$126:$AE$153,'Specified Annual Demand'!V$3,FALSE)</f>
        <v>1.2533573363662909</v>
      </c>
      <c r="W83" s="7">
        <f>V83*VLOOKUP($B83,'EU Ref Scenario 2020'!$A$126:$AE$153,'Specified Annual Demand'!W$3,FALSE)</f>
        <v>1.2447949296364449</v>
      </c>
      <c r="X83" s="7">
        <f>W83*VLOOKUP($B83,'EU Ref Scenario 2020'!$A$126:$AE$153,'Specified Annual Demand'!X$3,FALSE)</f>
        <v>1.2362325229065989</v>
      </c>
      <c r="Y83" s="7">
        <f>X83*VLOOKUP($B83,'EU Ref Scenario 2020'!$A$126:$AE$153,'Specified Annual Demand'!Y$3,FALSE)</f>
        <v>1.2276701161767531</v>
      </c>
      <c r="Z83" s="7">
        <f>Y83*VLOOKUP($B83,'EU Ref Scenario 2020'!$A$126:$AE$153,'Specified Annual Demand'!Z$3,FALSE)</f>
        <v>1.2191077094469076</v>
      </c>
      <c r="AA83" s="7">
        <f>Z83*VLOOKUP($B83,'EU Ref Scenario 2020'!$A$126:$AE$153,'Specified Annual Demand'!AA$3,FALSE)</f>
        <v>1.2199629471327207</v>
      </c>
      <c r="AB83" s="7">
        <f>AA83*VLOOKUP($B83,'EU Ref Scenario 2020'!$A$126:$AE$153,'Specified Annual Demand'!AB$3,FALSE)</f>
        <v>1.2208181848185338</v>
      </c>
      <c r="AC83" s="7">
        <f>AB83*VLOOKUP($B83,'EU Ref Scenario 2020'!$A$126:$AE$153,'Specified Annual Demand'!AC$3,FALSE)</f>
        <v>1.2216734225043466</v>
      </c>
      <c r="AD83" s="7">
        <f>AC83*VLOOKUP($B83,'EU Ref Scenario 2020'!$A$126:$AE$153,'Specified Annual Demand'!AD$3,FALSE)</f>
        <v>1.2225286601901595</v>
      </c>
      <c r="AE83" s="7">
        <f>AD83*VLOOKUP($B83,'EU Ref Scenario 2020'!$A$126:$AE$153,'Specified Annual Demand'!AE$3,FALSE)</f>
        <v>1.2233838978759726</v>
      </c>
      <c r="AF83" s="7">
        <f>AE83*VLOOKUP($B83,'EU Ref Scenario 2020'!$A$126:$AE$153,'Specified Annual Demand'!AF$3,FALSE)</f>
        <v>1.2257576185369516</v>
      </c>
      <c r="AG83" s="7">
        <f>AF83*VLOOKUP($B83,'EU Ref Scenario 2020'!$A$126:$AE$153,'Specified Annual Demand'!AG$3,FALSE)</f>
        <v>1.2281313391979307</v>
      </c>
      <c r="AH83" s="7">
        <f>AG83*VLOOKUP($B83,'EU Ref Scenario 2020'!$A$126:$AE$153,'Specified Annual Demand'!AH$3,FALSE)</f>
        <v>1.23050505985891</v>
      </c>
      <c r="AI83" s="7">
        <f>AH83*VLOOKUP($B83,'EU Ref Scenario 2020'!$A$126:$AE$153,'Specified Annual Demand'!AI$3,FALSE)</f>
        <v>1.2328787805198891</v>
      </c>
      <c r="AJ83" s="7">
        <f>AI83*VLOOKUP($B83,'EU Ref Scenario 2020'!$A$126:$AE$153,'Specified Annual Demand'!AJ$3,FALSE)</f>
        <v>1.2352525011808686</v>
      </c>
      <c r="AK83" s="8">
        <f t="shared" ref="AK83:AO83" si="80">AJ83</f>
        <v>1.2352525011808686</v>
      </c>
      <c r="AL83" s="8">
        <f t="shared" si="80"/>
        <v>1.2352525011808686</v>
      </c>
      <c r="AM83" s="8">
        <f t="shared" si="80"/>
        <v>1.2352525011808686</v>
      </c>
      <c r="AN83" s="8">
        <f t="shared" si="80"/>
        <v>1.2352525011808686</v>
      </c>
      <c r="AO83" s="8">
        <f t="shared" si="80"/>
        <v>1.2352525011808686</v>
      </c>
    </row>
    <row r="84" spans="1:41" x14ac:dyDescent="0.3">
      <c r="A84" t="s">
        <v>148</v>
      </c>
      <c r="B84" t="str">
        <f t="shared" si="66"/>
        <v>MT</v>
      </c>
      <c r="C84" t="s">
        <v>80</v>
      </c>
      <c r="D84" s="2">
        <v>2.2741146584054936</v>
      </c>
      <c r="E84" s="2">
        <v>2.3936763830509009</v>
      </c>
      <c r="F84" s="2">
        <v>2.3311529110461104</v>
      </c>
      <c r="G84" s="2">
        <v>2.3472950507873076</v>
      </c>
      <c r="H84" s="7">
        <f>G84*VLOOKUP($B84,'EU Ref Scenario 2020'!$A$126:$AE$153,'Specified Annual Demand'!H$3,FALSE)</f>
        <v>2.5073736946858314</v>
      </c>
      <c r="I84" s="7">
        <f>H84*VLOOKUP($B84,'EU Ref Scenario 2020'!$A$126:$AE$153,'Specified Annual Demand'!I$3,FALSE)</f>
        <v>2.6674523385843552</v>
      </c>
      <c r="J84" s="7">
        <f>I84*VLOOKUP($B84,'EU Ref Scenario 2020'!$A$126:$AE$153,'Specified Annual Demand'!J$3,FALSE)</f>
        <v>2.8275309824828789</v>
      </c>
      <c r="K84" s="7">
        <f>J84*VLOOKUP($B84,'EU Ref Scenario 2020'!$A$126:$AE$153,'Specified Annual Demand'!K$3,FALSE)</f>
        <v>2.9876096263814036</v>
      </c>
      <c r="L84" s="7">
        <f>K84*VLOOKUP($B84,'EU Ref Scenario 2020'!$A$126:$AE$153,'Specified Annual Demand'!L$3,FALSE)</f>
        <v>3.0123670813740482</v>
      </c>
      <c r="M84" s="7">
        <f>L84*VLOOKUP($B84,'EU Ref Scenario 2020'!$A$126:$AE$153,'Specified Annual Demand'!M$3,FALSE)</f>
        <v>3.0371245363666923</v>
      </c>
      <c r="N84" s="7">
        <f>M84*VLOOKUP($B84,'EU Ref Scenario 2020'!$A$126:$AE$153,'Specified Annual Demand'!N$3,FALSE)</f>
        <v>3.0618819913593365</v>
      </c>
      <c r="O84" s="7">
        <f>N84*VLOOKUP($B84,'EU Ref Scenario 2020'!$A$126:$AE$153,'Specified Annual Demand'!O$3,FALSE)</f>
        <v>3.0866394463519806</v>
      </c>
      <c r="P84" s="7">
        <f>O84*VLOOKUP($B84,'EU Ref Scenario 2020'!$A$126:$AE$153,'Specified Annual Demand'!P$3,FALSE)</f>
        <v>3.1113969013446239</v>
      </c>
      <c r="Q84" s="7">
        <f>P84*VLOOKUP($B84,'EU Ref Scenario 2020'!$A$126:$AE$153,'Specified Annual Demand'!Q$3,FALSE)</f>
        <v>3.1230855104785102</v>
      </c>
      <c r="R84" s="7">
        <f>Q84*VLOOKUP($B84,'EU Ref Scenario 2020'!$A$126:$AE$153,'Specified Annual Demand'!R$3,FALSE)</f>
        <v>3.134774119612397</v>
      </c>
      <c r="S84" s="7">
        <f>R84*VLOOKUP($B84,'EU Ref Scenario 2020'!$A$126:$AE$153,'Specified Annual Demand'!S$3,FALSE)</f>
        <v>3.1464627287462839</v>
      </c>
      <c r="T84" s="7">
        <f>S84*VLOOKUP($B84,'EU Ref Scenario 2020'!$A$126:$AE$153,'Specified Annual Demand'!T$3,FALSE)</f>
        <v>3.1581513378801702</v>
      </c>
      <c r="U84" s="7">
        <f>T84*VLOOKUP($B84,'EU Ref Scenario 2020'!$A$126:$AE$153,'Specified Annual Demand'!U$3,FALSE)</f>
        <v>3.1698399470140566</v>
      </c>
      <c r="V84" s="7">
        <f>U84*VLOOKUP($B84,'EU Ref Scenario 2020'!$A$126:$AE$153,'Specified Annual Demand'!V$3,FALSE)</f>
        <v>3.1483318764387795</v>
      </c>
      <c r="W84" s="7">
        <f>V84*VLOOKUP($B84,'EU Ref Scenario 2020'!$A$126:$AE$153,'Specified Annual Demand'!W$3,FALSE)</f>
        <v>3.1268238058635021</v>
      </c>
      <c r="X84" s="7">
        <f>W84*VLOOKUP($B84,'EU Ref Scenario 2020'!$A$126:$AE$153,'Specified Annual Demand'!X$3,FALSE)</f>
        <v>3.1053157352882246</v>
      </c>
      <c r="Y84" s="7">
        <f>X84*VLOOKUP($B84,'EU Ref Scenario 2020'!$A$126:$AE$153,'Specified Annual Demand'!Y$3,FALSE)</f>
        <v>3.0838076647129475</v>
      </c>
      <c r="Z84" s="7">
        <f>Y84*VLOOKUP($B84,'EU Ref Scenario 2020'!$A$126:$AE$153,'Specified Annual Demand'!Z$3,FALSE)</f>
        <v>3.0622995941376709</v>
      </c>
      <c r="AA84" s="7">
        <f>Z84*VLOOKUP($B84,'EU Ref Scenario 2020'!$A$126:$AE$153,'Specified Annual Demand'!AA$3,FALSE)</f>
        <v>3.0644478817728502</v>
      </c>
      <c r="AB84" s="7">
        <f>AA84*VLOOKUP($B84,'EU Ref Scenario 2020'!$A$126:$AE$153,'Specified Annual Demand'!AB$3,FALSE)</f>
        <v>3.0665961694080295</v>
      </c>
      <c r="AC84" s="7">
        <f>AB84*VLOOKUP($B84,'EU Ref Scenario 2020'!$A$126:$AE$153,'Specified Annual Demand'!AC$3,FALSE)</f>
        <v>3.0687444570432083</v>
      </c>
      <c r="AD84" s="7">
        <f>AC84*VLOOKUP($B84,'EU Ref Scenario 2020'!$A$126:$AE$153,'Specified Annual Demand'!AD$3,FALSE)</f>
        <v>3.0708927446783871</v>
      </c>
      <c r="AE84" s="7">
        <f>AD84*VLOOKUP($B84,'EU Ref Scenario 2020'!$A$126:$AE$153,'Specified Annual Demand'!AE$3,FALSE)</f>
        <v>3.0730410323135664</v>
      </c>
      <c r="AF84" s="7">
        <f>AE84*VLOOKUP($B84,'EU Ref Scenario 2020'!$A$126:$AE$153,'Specified Annual Demand'!AF$3,FALSE)</f>
        <v>3.0790036259058997</v>
      </c>
      <c r="AG84" s="7">
        <f>AF84*VLOOKUP($B84,'EU Ref Scenario 2020'!$A$126:$AE$153,'Specified Annual Demand'!AG$3,FALSE)</f>
        <v>3.084966219498233</v>
      </c>
      <c r="AH84" s="7">
        <f>AG84*VLOOKUP($B84,'EU Ref Scenario 2020'!$A$126:$AE$153,'Specified Annual Demand'!AH$3,FALSE)</f>
        <v>3.0909288130905668</v>
      </c>
      <c r="AI84" s="7">
        <f>AH84*VLOOKUP($B84,'EU Ref Scenario 2020'!$A$126:$AE$153,'Specified Annual Demand'!AI$3,FALSE)</f>
        <v>3.0968914066829001</v>
      </c>
      <c r="AJ84" s="7">
        <f>AI84*VLOOKUP($B84,'EU Ref Scenario 2020'!$A$126:$AE$153,'Specified Annual Demand'!AJ$3,FALSE)</f>
        <v>3.1028540002752347</v>
      </c>
      <c r="AK84" s="8">
        <f t="shared" ref="AK84:AO84" si="81">AJ84</f>
        <v>3.1028540002752347</v>
      </c>
      <c r="AL84" s="8">
        <f t="shared" si="81"/>
        <v>3.1028540002752347</v>
      </c>
      <c r="AM84" s="8">
        <f t="shared" si="81"/>
        <v>3.1028540002752347</v>
      </c>
      <c r="AN84" s="8">
        <f t="shared" si="81"/>
        <v>3.1028540002752347</v>
      </c>
      <c r="AO84" s="8">
        <f t="shared" si="81"/>
        <v>3.1028540002752347</v>
      </c>
    </row>
    <row r="85" spans="1:41" x14ac:dyDescent="0.3">
      <c r="A85" t="s">
        <v>145</v>
      </c>
      <c r="B85" t="str">
        <f t="shared" si="66"/>
        <v>NL</v>
      </c>
      <c r="C85" t="s">
        <v>81</v>
      </c>
      <c r="D85" s="2">
        <v>386.7510890135249</v>
      </c>
      <c r="E85" s="2">
        <v>380.1941985438711</v>
      </c>
      <c r="F85" s="2">
        <v>368.07709956768929</v>
      </c>
      <c r="G85" s="2">
        <v>412.41712364928094</v>
      </c>
      <c r="H85" s="7">
        <f>G85*VLOOKUP($B85,'EU Ref Scenario 2020'!$A$126:$AE$153,'Specified Annual Demand'!H$3,FALSE)</f>
        <v>413.45268806071556</v>
      </c>
      <c r="I85" s="7">
        <f>H85*VLOOKUP($B85,'EU Ref Scenario 2020'!$A$126:$AE$153,'Specified Annual Demand'!I$3,FALSE)</f>
        <v>414.48825247215012</v>
      </c>
      <c r="J85" s="7">
        <f>I85*VLOOKUP($B85,'EU Ref Scenario 2020'!$A$126:$AE$153,'Specified Annual Demand'!J$3,FALSE)</f>
        <v>415.52381688358474</v>
      </c>
      <c r="K85" s="7">
        <f>J85*VLOOKUP($B85,'EU Ref Scenario 2020'!$A$126:$AE$153,'Specified Annual Demand'!K$3,FALSE)</f>
        <v>416.55938129501925</v>
      </c>
      <c r="L85" s="7">
        <f>K85*VLOOKUP($B85,'EU Ref Scenario 2020'!$A$126:$AE$153,'Specified Annual Demand'!L$3,FALSE)</f>
        <v>414.25290953146168</v>
      </c>
      <c r="M85" s="7">
        <f>L85*VLOOKUP($B85,'EU Ref Scenario 2020'!$A$126:$AE$153,'Specified Annual Demand'!M$3,FALSE)</f>
        <v>411.94643776790411</v>
      </c>
      <c r="N85" s="7">
        <f>M85*VLOOKUP($B85,'EU Ref Scenario 2020'!$A$126:$AE$153,'Specified Annual Demand'!N$3,FALSE)</f>
        <v>409.63996600434655</v>
      </c>
      <c r="O85" s="7">
        <f>N85*VLOOKUP($B85,'EU Ref Scenario 2020'!$A$126:$AE$153,'Specified Annual Demand'!O$3,FALSE)</f>
        <v>407.33349424078898</v>
      </c>
      <c r="P85" s="7">
        <f>O85*VLOOKUP($B85,'EU Ref Scenario 2020'!$A$126:$AE$153,'Specified Annual Demand'!P$3,FALSE)</f>
        <v>405.02702247723147</v>
      </c>
      <c r="Q85" s="7">
        <f>P85*VLOOKUP($B85,'EU Ref Scenario 2020'!$A$126:$AE$153,'Specified Annual Demand'!Q$3,FALSE)</f>
        <v>405.56615885434991</v>
      </c>
      <c r="R85" s="7">
        <f>Q85*VLOOKUP($B85,'EU Ref Scenario 2020'!$A$126:$AE$153,'Specified Annual Demand'!R$3,FALSE)</f>
        <v>406.10529523146829</v>
      </c>
      <c r="S85" s="7">
        <f>R85*VLOOKUP($B85,'EU Ref Scenario 2020'!$A$126:$AE$153,'Specified Annual Demand'!S$3,FALSE)</f>
        <v>406.64443160858667</v>
      </c>
      <c r="T85" s="7">
        <f>S85*VLOOKUP($B85,'EU Ref Scenario 2020'!$A$126:$AE$153,'Specified Annual Demand'!T$3,FALSE)</f>
        <v>407.183567985705</v>
      </c>
      <c r="U85" s="7">
        <f>T85*VLOOKUP($B85,'EU Ref Scenario 2020'!$A$126:$AE$153,'Specified Annual Demand'!U$3,FALSE)</f>
        <v>407.72270436282338</v>
      </c>
      <c r="V85" s="7">
        <f>U85*VLOOKUP($B85,'EU Ref Scenario 2020'!$A$126:$AE$153,'Specified Annual Demand'!V$3,FALSE)</f>
        <v>405.49347036853311</v>
      </c>
      <c r="W85" s="7">
        <f>V85*VLOOKUP($B85,'EU Ref Scenario 2020'!$A$126:$AE$153,'Specified Annual Demand'!W$3,FALSE)</f>
        <v>403.26423637424284</v>
      </c>
      <c r="X85" s="7">
        <f>W85*VLOOKUP($B85,'EU Ref Scenario 2020'!$A$126:$AE$153,'Specified Annual Demand'!X$3,FALSE)</f>
        <v>401.03500237995257</v>
      </c>
      <c r="Y85" s="7">
        <f>X85*VLOOKUP($B85,'EU Ref Scenario 2020'!$A$126:$AE$153,'Specified Annual Demand'!Y$3,FALSE)</f>
        <v>398.80576838566225</v>
      </c>
      <c r="Z85" s="7">
        <f>Y85*VLOOKUP($B85,'EU Ref Scenario 2020'!$A$126:$AE$153,'Specified Annual Demand'!Z$3,FALSE)</f>
        <v>396.57653439137175</v>
      </c>
      <c r="AA85" s="7">
        <f>Z85*VLOOKUP($B85,'EU Ref Scenario 2020'!$A$126:$AE$153,'Specified Annual Demand'!AA$3,FALSE)</f>
        <v>395.21915709571749</v>
      </c>
      <c r="AB85" s="7">
        <f>AA85*VLOOKUP($B85,'EU Ref Scenario 2020'!$A$126:$AE$153,'Specified Annual Demand'!AB$3,FALSE)</f>
        <v>393.86177980006329</v>
      </c>
      <c r="AC85" s="7">
        <f>AB85*VLOOKUP($B85,'EU Ref Scenario 2020'!$A$126:$AE$153,'Specified Annual Demand'!AC$3,FALSE)</f>
        <v>392.50440250440909</v>
      </c>
      <c r="AD85" s="7">
        <f>AC85*VLOOKUP($B85,'EU Ref Scenario 2020'!$A$126:$AE$153,'Specified Annual Demand'!AD$3,FALSE)</f>
        <v>391.14702520875488</v>
      </c>
      <c r="AE85" s="7">
        <f>AD85*VLOOKUP($B85,'EU Ref Scenario 2020'!$A$126:$AE$153,'Specified Annual Demand'!AE$3,FALSE)</f>
        <v>389.78964791310074</v>
      </c>
      <c r="AF85" s="7">
        <f>AE85*VLOOKUP($B85,'EU Ref Scenario 2020'!$A$126:$AE$153,'Specified Annual Demand'!AF$3,FALSE)</f>
        <v>389.17568835817303</v>
      </c>
      <c r="AG85" s="7">
        <f>AF85*VLOOKUP($B85,'EU Ref Scenario 2020'!$A$126:$AE$153,'Specified Annual Demand'!AG$3,FALSE)</f>
        <v>388.56172880324533</v>
      </c>
      <c r="AH85" s="7">
        <f>AG85*VLOOKUP($B85,'EU Ref Scenario 2020'!$A$126:$AE$153,'Specified Annual Demand'!AH$3,FALSE)</f>
        <v>387.94776924831763</v>
      </c>
      <c r="AI85" s="7">
        <f>AH85*VLOOKUP($B85,'EU Ref Scenario 2020'!$A$126:$AE$153,'Specified Annual Demand'!AI$3,FALSE)</f>
        <v>387.33380969338992</v>
      </c>
      <c r="AJ85" s="7">
        <f>AI85*VLOOKUP($B85,'EU Ref Scenario 2020'!$A$126:$AE$153,'Specified Annual Demand'!AJ$3,FALSE)</f>
        <v>386.71985013846216</v>
      </c>
      <c r="AK85" s="8">
        <f t="shared" ref="AK85:AO85" si="82">AJ85</f>
        <v>386.71985013846216</v>
      </c>
      <c r="AL85" s="8">
        <f t="shared" si="82"/>
        <v>386.71985013846216</v>
      </c>
      <c r="AM85" s="8">
        <f t="shared" si="82"/>
        <v>386.71985013846216</v>
      </c>
      <c r="AN85" s="8">
        <f t="shared" si="82"/>
        <v>386.71985013846216</v>
      </c>
      <c r="AO85" s="8">
        <f t="shared" si="82"/>
        <v>386.71985013846216</v>
      </c>
    </row>
    <row r="86" spans="1:41" x14ac:dyDescent="0.3">
      <c r="A86" t="s">
        <v>146</v>
      </c>
      <c r="B86" t="str">
        <f t="shared" si="66"/>
        <v>NL</v>
      </c>
      <c r="C86" t="s">
        <v>82</v>
      </c>
      <c r="D86" s="2">
        <v>22.149704874699715</v>
      </c>
      <c r="E86" s="2">
        <v>23.250120536701083</v>
      </c>
      <c r="F86" s="2">
        <v>23.821142407848448</v>
      </c>
      <c r="G86" s="2">
        <v>22.791470190046585</v>
      </c>
      <c r="H86" s="7">
        <f>G86*VLOOKUP($B86,'EU Ref Scenario 2020'!$A$126:$AE$153,'Specified Annual Demand'!H$3,FALSE)</f>
        <v>22.848698743517506</v>
      </c>
      <c r="I86" s="7">
        <f>H86*VLOOKUP($B86,'EU Ref Scenario 2020'!$A$126:$AE$153,'Specified Annual Demand'!I$3,FALSE)</f>
        <v>22.905927296988423</v>
      </c>
      <c r="J86" s="7">
        <f>I86*VLOOKUP($B86,'EU Ref Scenario 2020'!$A$126:$AE$153,'Specified Annual Demand'!J$3,FALSE)</f>
        <v>22.963155850459341</v>
      </c>
      <c r="K86" s="7">
        <f>J86*VLOOKUP($B86,'EU Ref Scenario 2020'!$A$126:$AE$153,'Specified Annual Demand'!K$3,FALSE)</f>
        <v>23.020384403930251</v>
      </c>
      <c r="L86" s="7">
        <f>K86*VLOOKUP($B86,'EU Ref Scenario 2020'!$A$126:$AE$153,'Specified Annual Demand'!L$3,FALSE)</f>
        <v>22.892921504285933</v>
      </c>
      <c r="M86" s="7">
        <f>L86*VLOOKUP($B86,'EU Ref Scenario 2020'!$A$126:$AE$153,'Specified Annual Demand'!M$3,FALSE)</f>
        <v>22.765458604641616</v>
      </c>
      <c r="N86" s="7">
        <f>M86*VLOOKUP($B86,'EU Ref Scenario 2020'!$A$126:$AE$153,'Specified Annual Demand'!N$3,FALSE)</f>
        <v>22.637995704997298</v>
      </c>
      <c r="O86" s="7">
        <f>N86*VLOOKUP($B86,'EU Ref Scenario 2020'!$A$126:$AE$153,'Specified Annual Demand'!O$3,FALSE)</f>
        <v>22.51053280535298</v>
      </c>
      <c r="P86" s="7">
        <f>O86*VLOOKUP($B86,'EU Ref Scenario 2020'!$A$126:$AE$153,'Specified Annual Demand'!P$3,FALSE)</f>
        <v>22.383069905708666</v>
      </c>
      <c r="Q86" s="7">
        <f>P86*VLOOKUP($B86,'EU Ref Scenario 2020'!$A$126:$AE$153,'Specified Annual Demand'!Q$3,FALSE)</f>
        <v>22.412864281264017</v>
      </c>
      <c r="R86" s="7">
        <f>Q86*VLOOKUP($B86,'EU Ref Scenario 2020'!$A$126:$AE$153,'Specified Annual Demand'!R$3,FALSE)</f>
        <v>22.442658656819365</v>
      </c>
      <c r="S86" s="7">
        <f>R86*VLOOKUP($B86,'EU Ref Scenario 2020'!$A$126:$AE$153,'Specified Annual Demand'!S$3,FALSE)</f>
        <v>22.472453032374712</v>
      </c>
      <c r="T86" s="7">
        <f>S86*VLOOKUP($B86,'EU Ref Scenario 2020'!$A$126:$AE$153,'Specified Annual Demand'!T$3,FALSE)</f>
        <v>22.50224740793006</v>
      </c>
      <c r="U86" s="7">
        <f>T86*VLOOKUP($B86,'EU Ref Scenario 2020'!$A$126:$AE$153,'Specified Annual Demand'!U$3,FALSE)</f>
        <v>22.532041783485408</v>
      </c>
      <c r="V86" s="7">
        <f>U86*VLOOKUP($B86,'EU Ref Scenario 2020'!$A$126:$AE$153,'Specified Annual Demand'!V$3,FALSE)</f>
        <v>22.408847286423953</v>
      </c>
      <c r="W86" s="7">
        <f>V86*VLOOKUP($B86,'EU Ref Scenario 2020'!$A$126:$AE$153,'Specified Annual Demand'!W$3,FALSE)</f>
        <v>22.285652789362498</v>
      </c>
      <c r="X86" s="7">
        <f>W86*VLOOKUP($B86,'EU Ref Scenario 2020'!$A$126:$AE$153,'Specified Annual Demand'!X$3,FALSE)</f>
        <v>22.162458292301043</v>
      </c>
      <c r="Y86" s="7">
        <f>X86*VLOOKUP($B86,'EU Ref Scenario 2020'!$A$126:$AE$153,'Specified Annual Demand'!Y$3,FALSE)</f>
        <v>22.039263795239584</v>
      </c>
      <c r="Z86" s="7">
        <f>Y86*VLOOKUP($B86,'EU Ref Scenario 2020'!$A$126:$AE$153,'Specified Annual Demand'!Z$3,FALSE)</f>
        <v>21.916069298178119</v>
      </c>
      <c r="AA86" s="7">
        <f>Z86*VLOOKUP($B86,'EU Ref Scenario 2020'!$A$126:$AE$153,'Specified Annual Demand'!AA$3,FALSE)</f>
        <v>21.841056350372252</v>
      </c>
      <c r="AB86" s="7">
        <f>AA86*VLOOKUP($B86,'EU Ref Scenario 2020'!$A$126:$AE$153,'Specified Annual Demand'!AB$3,FALSE)</f>
        <v>21.766043402566385</v>
      </c>
      <c r="AC86" s="7">
        <f>AB86*VLOOKUP($B86,'EU Ref Scenario 2020'!$A$126:$AE$153,'Specified Annual Demand'!AC$3,FALSE)</f>
        <v>21.691030454760519</v>
      </c>
      <c r="AD86" s="7">
        <f>AC86*VLOOKUP($B86,'EU Ref Scenario 2020'!$A$126:$AE$153,'Specified Annual Demand'!AD$3,FALSE)</f>
        <v>21.616017506954652</v>
      </c>
      <c r="AE86" s="7">
        <f>AD86*VLOOKUP($B86,'EU Ref Scenario 2020'!$A$126:$AE$153,'Specified Annual Demand'!AE$3,FALSE)</f>
        <v>21.541004559148789</v>
      </c>
      <c r="AF86" s="7">
        <f>AE86*VLOOKUP($B86,'EU Ref Scenario 2020'!$A$126:$AE$153,'Specified Annual Demand'!AF$3,FALSE)</f>
        <v>21.507075218945328</v>
      </c>
      <c r="AG86" s="7">
        <f>AF86*VLOOKUP($B86,'EU Ref Scenario 2020'!$A$126:$AE$153,'Specified Annual Demand'!AG$3,FALSE)</f>
        <v>21.473145878741867</v>
      </c>
      <c r="AH86" s="7">
        <f>AG86*VLOOKUP($B86,'EU Ref Scenario 2020'!$A$126:$AE$153,'Specified Annual Demand'!AH$3,FALSE)</f>
        <v>21.439216538538407</v>
      </c>
      <c r="AI86" s="7">
        <f>AH86*VLOOKUP($B86,'EU Ref Scenario 2020'!$A$126:$AE$153,'Specified Annual Demand'!AI$3,FALSE)</f>
        <v>21.405287198334946</v>
      </c>
      <c r="AJ86" s="7">
        <f>AI86*VLOOKUP($B86,'EU Ref Scenario 2020'!$A$126:$AE$153,'Specified Annual Demand'!AJ$3,FALSE)</f>
        <v>21.371357858131482</v>
      </c>
      <c r="AK86" s="8">
        <f t="shared" ref="AK86:AO86" si="83">AJ86</f>
        <v>21.371357858131482</v>
      </c>
      <c r="AL86" s="8">
        <f t="shared" si="83"/>
        <v>21.371357858131482</v>
      </c>
      <c r="AM86" s="8">
        <f t="shared" si="83"/>
        <v>21.371357858131482</v>
      </c>
      <c r="AN86" s="8">
        <f t="shared" si="83"/>
        <v>21.371357858131482</v>
      </c>
      <c r="AO86" s="8">
        <f t="shared" si="83"/>
        <v>21.371357858131482</v>
      </c>
    </row>
    <row r="87" spans="1:41" x14ac:dyDescent="0.3">
      <c r="A87" t="s">
        <v>147</v>
      </c>
      <c r="B87" t="str">
        <f t="shared" si="66"/>
        <v>NL</v>
      </c>
      <c r="C87" t="s">
        <v>83</v>
      </c>
      <c r="D87" s="2">
        <v>27.726661458353888</v>
      </c>
      <c r="E87" s="2">
        <v>27.81971981464795</v>
      </c>
      <c r="F87" s="2">
        <v>27.575863654693983</v>
      </c>
      <c r="G87" s="2">
        <v>27.685058721091359</v>
      </c>
      <c r="H87" s="7">
        <f>G87*VLOOKUP($B87,'EU Ref Scenario 2020'!$A$126:$AE$153,'Specified Annual Demand'!H$3,FALSE)</f>
        <v>27.754574897544838</v>
      </c>
      <c r="I87" s="7">
        <f>H87*VLOOKUP($B87,'EU Ref Scenario 2020'!$A$126:$AE$153,'Specified Annual Demand'!I$3,FALSE)</f>
        <v>27.824091073998314</v>
      </c>
      <c r="J87" s="7">
        <f>I87*VLOOKUP($B87,'EU Ref Scenario 2020'!$A$126:$AE$153,'Specified Annual Demand'!J$3,FALSE)</f>
        <v>27.893607250451794</v>
      </c>
      <c r="K87" s="7">
        <f>J87*VLOOKUP($B87,'EU Ref Scenario 2020'!$A$126:$AE$153,'Specified Annual Demand'!K$3,FALSE)</f>
        <v>27.963123426905263</v>
      </c>
      <c r="L87" s="7">
        <f>K87*VLOOKUP($B87,'EU Ref Scenario 2020'!$A$126:$AE$153,'Specified Annual Demand'!L$3,FALSE)</f>
        <v>27.808292789303188</v>
      </c>
      <c r="M87" s="7">
        <f>L87*VLOOKUP($B87,'EU Ref Scenario 2020'!$A$126:$AE$153,'Specified Annual Demand'!M$3,FALSE)</f>
        <v>27.653462151701117</v>
      </c>
      <c r="N87" s="7">
        <f>M87*VLOOKUP($B87,'EU Ref Scenario 2020'!$A$126:$AE$153,'Specified Annual Demand'!N$3,FALSE)</f>
        <v>27.498631514099046</v>
      </c>
      <c r="O87" s="7">
        <f>N87*VLOOKUP($B87,'EU Ref Scenario 2020'!$A$126:$AE$153,'Specified Annual Demand'!O$3,FALSE)</f>
        <v>27.343800876496974</v>
      </c>
      <c r="P87" s="7">
        <f>O87*VLOOKUP($B87,'EU Ref Scenario 2020'!$A$126:$AE$153,'Specified Annual Demand'!P$3,FALSE)</f>
        <v>27.188970238894907</v>
      </c>
      <c r="Q87" s="7">
        <f>P87*VLOOKUP($B87,'EU Ref Scenario 2020'!$A$126:$AE$153,'Specified Annual Demand'!Q$3,FALSE)</f>
        <v>27.225161806614324</v>
      </c>
      <c r="R87" s="7">
        <f>Q87*VLOOKUP($B87,'EU Ref Scenario 2020'!$A$126:$AE$153,'Specified Annual Demand'!R$3,FALSE)</f>
        <v>27.261353374333737</v>
      </c>
      <c r="S87" s="7">
        <f>R87*VLOOKUP($B87,'EU Ref Scenario 2020'!$A$126:$AE$153,'Specified Annual Demand'!S$3,FALSE)</f>
        <v>27.29754494205315</v>
      </c>
      <c r="T87" s="7">
        <f>S87*VLOOKUP($B87,'EU Ref Scenario 2020'!$A$126:$AE$153,'Specified Annual Demand'!T$3,FALSE)</f>
        <v>27.33373650977256</v>
      </c>
      <c r="U87" s="7">
        <f>T87*VLOOKUP($B87,'EU Ref Scenario 2020'!$A$126:$AE$153,'Specified Annual Demand'!U$3,FALSE)</f>
        <v>27.369928077491974</v>
      </c>
      <c r="V87" s="7">
        <f>U87*VLOOKUP($B87,'EU Ref Scenario 2020'!$A$126:$AE$153,'Specified Annual Demand'!V$3,FALSE)</f>
        <v>27.220282317178047</v>
      </c>
      <c r="W87" s="7">
        <f>V87*VLOOKUP($B87,'EU Ref Scenario 2020'!$A$126:$AE$153,'Specified Annual Demand'!W$3,FALSE)</f>
        <v>27.07063655686412</v>
      </c>
      <c r="X87" s="7">
        <f>W87*VLOOKUP($B87,'EU Ref Scenario 2020'!$A$126:$AE$153,'Specified Annual Demand'!X$3,FALSE)</f>
        <v>26.920990796550193</v>
      </c>
      <c r="Y87" s="7">
        <f>X87*VLOOKUP($B87,'EU Ref Scenario 2020'!$A$126:$AE$153,'Specified Annual Demand'!Y$3,FALSE)</f>
        <v>26.771345036236262</v>
      </c>
      <c r="Z87" s="7">
        <f>Y87*VLOOKUP($B87,'EU Ref Scenario 2020'!$A$126:$AE$153,'Specified Annual Demand'!Z$3,FALSE)</f>
        <v>26.621699275922321</v>
      </c>
      <c r="AA87" s="7">
        <f>Z87*VLOOKUP($B87,'EU Ref Scenario 2020'!$A$126:$AE$153,'Specified Annual Demand'!AA$3,FALSE)</f>
        <v>26.53058019288245</v>
      </c>
      <c r="AB87" s="7">
        <f>AA87*VLOOKUP($B87,'EU Ref Scenario 2020'!$A$126:$AE$153,'Specified Annual Demand'!AB$3,FALSE)</f>
        <v>26.439461109842579</v>
      </c>
      <c r="AC87" s="7">
        <f>AB87*VLOOKUP($B87,'EU Ref Scenario 2020'!$A$126:$AE$153,'Specified Annual Demand'!AC$3,FALSE)</f>
        <v>26.348342026802708</v>
      </c>
      <c r="AD87" s="7">
        <f>AC87*VLOOKUP($B87,'EU Ref Scenario 2020'!$A$126:$AE$153,'Specified Annual Demand'!AD$3,FALSE)</f>
        <v>26.257222943762837</v>
      </c>
      <c r="AE87" s="7">
        <f>AD87*VLOOKUP($B87,'EU Ref Scenario 2020'!$A$126:$AE$153,'Specified Annual Demand'!AE$3,FALSE)</f>
        <v>26.166103860722973</v>
      </c>
      <c r="AF87" s="7">
        <f>AE87*VLOOKUP($B87,'EU Ref Scenario 2020'!$A$126:$AE$153,'Specified Annual Demand'!AF$3,FALSE)</f>
        <v>26.124889504296291</v>
      </c>
      <c r="AG87" s="7">
        <f>AF87*VLOOKUP($B87,'EU Ref Scenario 2020'!$A$126:$AE$153,'Specified Annual Demand'!AG$3,FALSE)</f>
        <v>26.083675147869609</v>
      </c>
      <c r="AH87" s="7">
        <f>AG87*VLOOKUP($B87,'EU Ref Scenario 2020'!$A$126:$AE$153,'Specified Annual Demand'!AH$3,FALSE)</f>
        <v>26.042460791442927</v>
      </c>
      <c r="AI87" s="7">
        <f>AH87*VLOOKUP($B87,'EU Ref Scenario 2020'!$A$126:$AE$153,'Specified Annual Demand'!AI$3,FALSE)</f>
        <v>26.001246435016245</v>
      </c>
      <c r="AJ87" s="7">
        <f>AI87*VLOOKUP($B87,'EU Ref Scenario 2020'!$A$126:$AE$153,'Specified Annual Demand'!AJ$3,FALSE)</f>
        <v>25.96003207858956</v>
      </c>
      <c r="AK87" s="8">
        <f t="shared" ref="AK87:AO87" si="84">AJ87</f>
        <v>25.96003207858956</v>
      </c>
      <c r="AL87" s="8">
        <f t="shared" si="84"/>
        <v>25.96003207858956</v>
      </c>
      <c r="AM87" s="8">
        <f t="shared" si="84"/>
        <v>25.96003207858956</v>
      </c>
      <c r="AN87" s="8">
        <f t="shared" si="84"/>
        <v>25.96003207858956</v>
      </c>
      <c r="AO87" s="8">
        <f t="shared" si="84"/>
        <v>25.96003207858956</v>
      </c>
    </row>
    <row r="88" spans="1:41" x14ac:dyDescent="0.3">
      <c r="A88" t="s">
        <v>148</v>
      </c>
      <c r="B88" t="str">
        <f t="shared" si="66"/>
        <v>NL</v>
      </c>
      <c r="C88" t="s">
        <v>84</v>
      </c>
      <c r="D88" s="2">
        <v>143.76989809104685</v>
      </c>
      <c r="E88" s="2">
        <v>142.53756018108737</v>
      </c>
      <c r="F88" s="2">
        <v>141.47324272710017</v>
      </c>
      <c r="G88" s="2">
        <v>142.62079044965449</v>
      </c>
      <c r="H88" s="7">
        <f>G88*VLOOKUP($B88,'EU Ref Scenario 2020'!$A$126:$AE$153,'Specified Annual Demand'!H$3,FALSE)</f>
        <v>142.97890607204542</v>
      </c>
      <c r="I88" s="7">
        <f>H88*VLOOKUP($B88,'EU Ref Scenario 2020'!$A$126:$AE$153,'Specified Annual Demand'!I$3,FALSE)</f>
        <v>143.33702169443632</v>
      </c>
      <c r="J88" s="7">
        <f>I88*VLOOKUP($B88,'EU Ref Scenario 2020'!$A$126:$AE$153,'Specified Annual Demand'!J$3,FALSE)</f>
        <v>143.69513731682724</v>
      </c>
      <c r="K88" s="7">
        <f>J88*VLOOKUP($B88,'EU Ref Scenario 2020'!$A$126:$AE$153,'Specified Annual Demand'!K$3,FALSE)</f>
        <v>144.05325293921811</v>
      </c>
      <c r="L88" s="7">
        <f>K88*VLOOKUP($B88,'EU Ref Scenario 2020'!$A$126:$AE$153,'Specified Annual Demand'!L$3,FALSE)</f>
        <v>143.25563614009573</v>
      </c>
      <c r="M88" s="7">
        <f>L88*VLOOKUP($B88,'EU Ref Scenario 2020'!$A$126:$AE$153,'Specified Annual Demand'!M$3,FALSE)</f>
        <v>142.45801934097338</v>
      </c>
      <c r="N88" s="7">
        <f>M88*VLOOKUP($B88,'EU Ref Scenario 2020'!$A$126:$AE$153,'Specified Annual Demand'!N$3,FALSE)</f>
        <v>141.66040254185103</v>
      </c>
      <c r="O88" s="7">
        <f>N88*VLOOKUP($B88,'EU Ref Scenario 2020'!$A$126:$AE$153,'Specified Annual Demand'!O$3,FALSE)</f>
        <v>140.86278574272868</v>
      </c>
      <c r="P88" s="7">
        <f>O88*VLOOKUP($B88,'EU Ref Scenario 2020'!$A$126:$AE$153,'Specified Annual Demand'!P$3,FALSE)</f>
        <v>140.06516894360635</v>
      </c>
      <c r="Q88" s="7">
        <f>P88*VLOOKUP($B88,'EU Ref Scenario 2020'!$A$126:$AE$153,'Specified Annual Demand'!Q$3,FALSE)</f>
        <v>140.25161138708302</v>
      </c>
      <c r="R88" s="7">
        <f>Q88*VLOOKUP($B88,'EU Ref Scenario 2020'!$A$126:$AE$153,'Specified Annual Demand'!R$3,FALSE)</f>
        <v>140.43805383055968</v>
      </c>
      <c r="S88" s="7">
        <f>R88*VLOOKUP($B88,'EU Ref Scenario 2020'!$A$126:$AE$153,'Specified Annual Demand'!S$3,FALSE)</f>
        <v>140.62449627403632</v>
      </c>
      <c r="T88" s="7">
        <f>S88*VLOOKUP($B88,'EU Ref Scenario 2020'!$A$126:$AE$153,'Specified Annual Demand'!T$3,FALSE)</f>
        <v>140.81093871751295</v>
      </c>
      <c r="U88" s="7">
        <f>T88*VLOOKUP($B88,'EU Ref Scenario 2020'!$A$126:$AE$153,'Specified Annual Demand'!U$3,FALSE)</f>
        <v>140.99738116098962</v>
      </c>
      <c r="V88" s="7">
        <f>U88*VLOOKUP($B88,'EU Ref Scenario 2020'!$A$126:$AE$153,'Specified Annual Demand'!V$3,FALSE)</f>
        <v>140.22647448391069</v>
      </c>
      <c r="W88" s="7">
        <f>V88*VLOOKUP($B88,'EU Ref Scenario 2020'!$A$126:$AE$153,'Specified Annual Demand'!W$3,FALSE)</f>
        <v>139.45556780683177</v>
      </c>
      <c r="X88" s="7">
        <f>W88*VLOOKUP($B88,'EU Ref Scenario 2020'!$A$126:$AE$153,'Specified Annual Demand'!X$3,FALSE)</f>
        <v>138.68466112975284</v>
      </c>
      <c r="Y88" s="7">
        <f>X88*VLOOKUP($B88,'EU Ref Scenario 2020'!$A$126:$AE$153,'Specified Annual Demand'!Y$3,FALSE)</f>
        <v>137.91375445267388</v>
      </c>
      <c r="Z88" s="7">
        <f>Y88*VLOOKUP($B88,'EU Ref Scenario 2020'!$A$126:$AE$153,'Specified Annual Demand'!Z$3,FALSE)</f>
        <v>137.14284777559487</v>
      </c>
      <c r="AA88" s="7">
        <f>Z88*VLOOKUP($B88,'EU Ref Scenario 2020'!$A$126:$AE$153,'Specified Annual Demand'!AA$3,FALSE)</f>
        <v>136.67344383540046</v>
      </c>
      <c r="AB88" s="7">
        <f>AA88*VLOOKUP($B88,'EU Ref Scenario 2020'!$A$126:$AE$153,'Specified Annual Demand'!AB$3,FALSE)</f>
        <v>136.20403989520605</v>
      </c>
      <c r="AC88" s="7">
        <f>AB88*VLOOKUP($B88,'EU Ref Scenario 2020'!$A$126:$AE$153,'Specified Annual Demand'!AC$3,FALSE)</f>
        <v>135.73463595501164</v>
      </c>
      <c r="AD88" s="7">
        <f>AC88*VLOOKUP($B88,'EU Ref Scenario 2020'!$A$126:$AE$153,'Specified Annual Demand'!AD$3,FALSE)</f>
        <v>135.26523201481723</v>
      </c>
      <c r="AE88" s="7">
        <f>AD88*VLOOKUP($B88,'EU Ref Scenario 2020'!$A$126:$AE$153,'Specified Annual Demand'!AE$3,FALSE)</f>
        <v>134.79582807462285</v>
      </c>
      <c r="AF88" s="7">
        <f>AE88*VLOOKUP($B88,'EU Ref Scenario 2020'!$A$126:$AE$153,'Specified Annual Demand'!AF$3,FALSE)</f>
        <v>134.58351051551401</v>
      </c>
      <c r="AG88" s="7">
        <f>AF88*VLOOKUP($B88,'EU Ref Scenario 2020'!$A$126:$AE$153,'Specified Annual Demand'!AG$3,FALSE)</f>
        <v>134.37119295640517</v>
      </c>
      <c r="AH88" s="7">
        <f>AG88*VLOOKUP($B88,'EU Ref Scenario 2020'!$A$126:$AE$153,'Specified Annual Demand'!AH$3,FALSE)</f>
        <v>134.15887539729633</v>
      </c>
      <c r="AI88" s="7">
        <f>AH88*VLOOKUP($B88,'EU Ref Scenario 2020'!$A$126:$AE$153,'Specified Annual Demand'!AI$3,FALSE)</f>
        <v>133.94655783818749</v>
      </c>
      <c r="AJ88" s="7">
        <f>AI88*VLOOKUP($B88,'EU Ref Scenario 2020'!$A$126:$AE$153,'Specified Annual Demand'!AJ$3,FALSE)</f>
        <v>133.73424027907862</v>
      </c>
      <c r="AK88" s="8">
        <f t="shared" ref="AK88:AO88" si="85">AJ88</f>
        <v>133.73424027907862</v>
      </c>
      <c r="AL88" s="8">
        <f t="shared" si="85"/>
        <v>133.73424027907862</v>
      </c>
      <c r="AM88" s="8">
        <f t="shared" si="85"/>
        <v>133.73424027907862</v>
      </c>
      <c r="AN88" s="8">
        <f t="shared" si="85"/>
        <v>133.73424027907862</v>
      </c>
      <c r="AO88" s="8">
        <f t="shared" si="85"/>
        <v>133.73424027907862</v>
      </c>
    </row>
    <row r="89" spans="1:41" x14ac:dyDescent="0.3">
      <c r="A89" t="s">
        <v>145</v>
      </c>
      <c r="B89" t="str">
        <f t="shared" si="66"/>
        <v>PL</v>
      </c>
      <c r="C89" t="s">
        <v>85</v>
      </c>
      <c r="D89" s="2">
        <v>731.18478040576315</v>
      </c>
      <c r="E89" s="2">
        <v>692.49427756437876</v>
      </c>
      <c r="F89" s="2">
        <v>700.64612593657444</v>
      </c>
      <c r="G89" s="2">
        <v>763.51021958217575</v>
      </c>
      <c r="H89" s="7">
        <f>G89*VLOOKUP($B89,'EU Ref Scenario 2020'!$A$126:$AE$153,'Specified Annual Demand'!H$3,FALSE)</f>
        <v>776.92703563494081</v>
      </c>
      <c r="I89" s="7">
        <f>H89*VLOOKUP($B89,'EU Ref Scenario 2020'!$A$126:$AE$153,'Specified Annual Demand'!I$3,FALSE)</f>
        <v>790.34385168770586</v>
      </c>
      <c r="J89" s="7">
        <f>I89*VLOOKUP($B89,'EU Ref Scenario 2020'!$A$126:$AE$153,'Specified Annual Demand'!J$3,FALSE)</f>
        <v>803.76066774047081</v>
      </c>
      <c r="K89" s="7">
        <f>J89*VLOOKUP($B89,'EU Ref Scenario 2020'!$A$126:$AE$153,'Specified Annual Demand'!K$3,FALSE)</f>
        <v>817.17748379323598</v>
      </c>
      <c r="L89" s="7">
        <f>K89*VLOOKUP($B89,'EU Ref Scenario 2020'!$A$126:$AE$153,'Specified Annual Demand'!L$3,FALSE)</f>
        <v>811.39769648612298</v>
      </c>
      <c r="M89" s="7">
        <f>L89*VLOOKUP($B89,'EU Ref Scenario 2020'!$A$126:$AE$153,'Specified Annual Demand'!M$3,FALSE)</f>
        <v>805.61790917900998</v>
      </c>
      <c r="N89" s="7">
        <f>M89*VLOOKUP($B89,'EU Ref Scenario 2020'!$A$126:$AE$153,'Specified Annual Demand'!N$3,FALSE)</f>
        <v>799.83812187189699</v>
      </c>
      <c r="O89" s="7">
        <f>N89*VLOOKUP($B89,'EU Ref Scenario 2020'!$A$126:$AE$153,'Specified Annual Demand'!O$3,FALSE)</f>
        <v>794.05833456478399</v>
      </c>
      <c r="P89" s="7">
        <f>O89*VLOOKUP($B89,'EU Ref Scenario 2020'!$A$126:$AE$153,'Specified Annual Demand'!P$3,FALSE)</f>
        <v>788.27854725767111</v>
      </c>
      <c r="Q89" s="7">
        <f>P89*VLOOKUP($B89,'EU Ref Scenario 2020'!$A$126:$AE$153,'Specified Annual Demand'!Q$3,FALSE)</f>
        <v>787.51195274503516</v>
      </c>
      <c r="R89" s="7">
        <f>Q89*VLOOKUP($B89,'EU Ref Scenario 2020'!$A$126:$AE$153,'Specified Annual Demand'!R$3,FALSE)</f>
        <v>786.74535823239921</v>
      </c>
      <c r="S89" s="7">
        <f>R89*VLOOKUP($B89,'EU Ref Scenario 2020'!$A$126:$AE$153,'Specified Annual Demand'!S$3,FALSE)</f>
        <v>785.97876371976326</v>
      </c>
      <c r="T89" s="7">
        <f>S89*VLOOKUP($B89,'EU Ref Scenario 2020'!$A$126:$AE$153,'Specified Annual Demand'!T$3,FALSE)</f>
        <v>785.21216920712732</v>
      </c>
      <c r="U89" s="7">
        <f>T89*VLOOKUP($B89,'EU Ref Scenario 2020'!$A$126:$AE$153,'Specified Annual Demand'!U$3,FALSE)</f>
        <v>784.44557469449148</v>
      </c>
      <c r="V89" s="7">
        <f>U89*VLOOKUP($B89,'EU Ref Scenario 2020'!$A$126:$AE$153,'Specified Annual Demand'!V$3,FALSE)</f>
        <v>781.92649933434438</v>
      </c>
      <c r="W89" s="7">
        <f>V89*VLOOKUP($B89,'EU Ref Scenario 2020'!$A$126:$AE$153,'Specified Annual Demand'!W$3,FALSE)</f>
        <v>779.40742397419717</v>
      </c>
      <c r="X89" s="7">
        <f>W89*VLOOKUP($B89,'EU Ref Scenario 2020'!$A$126:$AE$153,'Specified Annual Demand'!X$3,FALSE)</f>
        <v>776.88834861405007</v>
      </c>
      <c r="Y89" s="7">
        <f>X89*VLOOKUP($B89,'EU Ref Scenario 2020'!$A$126:$AE$153,'Specified Annual Demand'!Y$3,FALSE)</f>
        <v>774.36927325390297</v>
      </c>
      <c r="Z89" s="7">
        <f>Y89*VLOOKUP($B89,'EU Ref Scenario 2020'!$A$126:$AE$153,'Specified Annual Demand'!Z$3,FALSE)</f>
        <v>771.85019789375588</v>
      </c>
      <c r="AA89" s="7">
        <f>Z89*VLOOKUP($B89,'EU Ref Scenario 2020'!$A$126:$AE$153,'Specified Annual Demand'!AA$3,FALSE)</f>
        <v>770.16534660428977</v>
      </c>
      <c r="AB89" s="7">
        <f>AA89*VLOOKUP($B89,'EU Ref Scenario 2020'!$A$126:$AE$153,'Specified Annual Demand'!AB$3,FALSE)</f>
        <v>768.48049531482366</v>
      </c>
      <c r="AC89" s="7">
        <f>AB89*VLOOKUP($B89,'EU Ref Scenario 2020'!$A$126:$AE$153,'Specified Annual Demand'!AC$3,FALSE)</f>
        <v>766.79564402535766</v>
      </c>
      <c r="AD89" s="7">
        <f>AC89*VLOOKUP($B89,'EU Ref Scenario 2020'!$A$126:$AE$153,'Specified Annual Demand'!AD$3,FALSE)</f>
        <v>765.11079273589166</v>
      </c>
      <c r="AE89" s="7">
        <f>AD89*VLOOKUP($B89,'EU Ref Scenario 2020'!$A$126:$AE$153,'Specified Annual Demand'!AE$3,FALSE)</f>
        <v>763.42594144642578</v>
      </c>
      <c r="AF89" s="7">
        <f>AE89*VLOOKUP($B89,'EU Ref Scenario 2020'!$A$126:$AE$153,'Specified Annual Demand'!AF$3,FALSE)</f>
        <v>761.86626233253992</v>
      </c>
      <c r="AG89" s="7">
        <f>AF89*VLOOKUP($B89,'EU Ref Scenario 2020'!$A$126:$AE$153,'Specified Annual Demand'!AG$3,FALSE)</f>
        <v>760.30658321865405</v>
      </c>
      <c r="AH89" s="7">
        <f>AG89*VLOOKUP($B89,'EU Ref Scenario 2020'!$A$126:$AE$153,'Specified Annual Demand'!AH$3,FALSE)</f>
        <v>758.74690410476819</v>
      </c>
      <c r="AI89" s="7">
        <f>AH89*VLOOKUP($B89,'EU Ref Scenario 2020'!$A$126:$AE$153,'Specified Annual Demand'!AI$3,FALSE)</f>
        <v>757.18722499088233</v>
      </c>
      <c r="AJ89" s="7">
        <f>AI89*VLOOKUP($B89,'EU Ref Scenario 2020'!$A$126:$AE$153,'Specified Annual Demand'!AJ$3,FALSE)</f>
        <v>755.62754587699669</v>
      </c>
      <c r="AK89" s="8">
        <f t="shared" ref="AK89:AO89" si="86">AJ89</f>
        <v>755.62754587699669</v>
      </c>
      <c r="AL89" s="8">
        <f t="shared" si="86"/>
        <v>755.62754587699669</v>
      </c>
      <c r="AM89" s="8">
        <f t="shared" si="86"/>
        <v>755.62754587699669</v>
      </c>
      <c r="AN89" s="8">
        <f t="shared" si="86"/>
        <v>755.62754587699669</v>
      </c>
      <c r="AO89" s="8">
        <f t="shared" si="86"/>
        <v>755.62754587699669</v>
      </c>
    </row>
    <row r="90" spans="1:41" x14ac:dyDescent="0.3">
      <c r="A90" t="s">
        <v>146</v>
      </c>
      <c r="B90" t="str">
        <f t="shared" si="66"/>
        <v>PL</v>
      </c>
      <c r="C90" t="s">
        <v>86</v>
      </c>
      <c r="D90" s="2">
        <v>6.5849743081213754</v>
      </c>
      <c r="E90" s="2">
        <v>7.6787143462280367</v>
      </c>
      <c r="F90" s="2">
        <v>6.5625490367535821</v>
      </c>
      <c r="G90" s="2">
        <v>7.243884358105694</v>
      </c>
      <c r="H90" s="7">
        <f>G90*VLOOKUP($B90,'EU Ref Scenario 2020'!$A$126:$AE$153,'Specified Annual Demand'!H$3,FALSE)</f>
        <v>7.3711778264149883</v>
      </c>
      <c r="I90" s="7">
        <f>H90*VLOOKUP($B90,'EU Ref Scenario 2020'!$A$126:$AE$153,'Specified Annual Demand'!I$3,FALSE)</f>
        <v>7.4984712947242835</v>
      </c>
      <c r="J90" s="7">
        <f>I90*VLOOKUP($B90,'EU Ref Scenario 2020'!$A$126:$AE$153,'Specified Annual Demand'!J$3,FALSE)</f>
        <v>7.6257647630335779</v>
      </c>
      <c r="K90" s="7">
        <f>J90*VLOOKUP($B90,'EU Ref Scenario 2020'!$A$126:$AE$153,'Specified Annual Demand'!K$3,FALSE)</f>
        <v>7.7530582313428731</v>
      </c>
      <c r="L90" s="7">
        <f>K90*VLOOKUP($B90,'EU Ref Scenario 2020'!$A$126:$AE$153,'Specified Annual Demand'!L$3,FALSE)</f>
        <v>7.6982218849609136</v>
      </c>
      <c r="M90" s="7">
        <f>L90*VLOOKUP($B90,'EU Ref Scenario 2020'!$A$126:$AE$153,'Specified Annual Demand'!M$3,FALSE)</f>
        <v>7.6433855385789542</v>
      </c>
      <c r="N90" s="7">
        <f>M90*VLOOKUP($B90,'EU Ref Scenario 2020'!$A$126:$AE$153,'Specified Annual Demand'!N$3,FALSE)</f>
        <v>7.5885491921969948</v>
      </c>
      <c r="O90" s="7">
        <f>N90*VLOOKUP($B90,'EU Ref Scenario 2020'!$A$126:$AE$153,'Specified Annual Demand'!O$3,FALSE)</f>
        <v>7.5337128458150353</v>
      </c>
      <c r="P90" s="7">
        <f>O90*VLOOKUP($B90,'EU Ref Scenario 2020'!$A$126:$AE$153,'Specified Annual Demand'!P$3,FALSE)</f>
        <v>7.4788764994330768</v>
      </c>
      <c r="Q90" s="7">
        <f>P90*VLOOKUP($B90,'EU Ref Scenario 2020'!$A$126:$AE$153,'Specified Annual Demand'!Q$3,FALSE)</f>
        <v>7.4716033525168086</v>
      </c>
      <c r="R90" s="7">
        <f>Q90*VLOOKUP($B90,'EU Ref Scenario 2020'!$A$126:$AE$153,'Specified Annual Demand'!R$3,FALSE)</f>
        <v>7.4643302056005405</v>
      </c>
      <c r="S90" s="7">
        <f>R90*VLOOKUP($B90,'EU Ref Scenario 2020'!$A$126:$AE$153,'Specified Annual Demand'!S$3,FALSE)</f>
        <v>7.4570570586842724</v>
      </c>
      <c r="T90" s="7">
        <f>S90*VLOOKUP($B90,'EU Ref Scenario 2020'!$A$126:$AE$153,'Specified Annual Demand'!T$3,FALSE)</f>
        <v>7.4497839117680043</v>
      </c>
      <c r="U90" s="7">
        <f>T90*VLOOKUP($B90,'EU Ref Scenario 2020'!$A$126:$AE$153,'Specified Annual Demand'!U$3,FALSE)</f>
        <v>7.442510764851737</v>
      </c>
      <c r="V90" s="7">
        <f>U90*VLOOKUP($B90,'EU Ref Scenario 2020'!$A$126:$AE$153,'Specified Annual Demand'!V$3,FALSE)</f>
        <v>7.4186107696319672</v>
      </c>
      <c r="W90" s="7">
        <f>V90*VLOOKUP($B90,'EU Ref Scenario 2020'!$A$126:$AE$153,'Specified Annual Demand'!W$3,FALSE)</f>
        <v>7.3947107744121974</v>
      </c>
      <c r="X90" s="7">
        <f>W90*VLOOKUP($B90,'EU Ref Scenario 2020'!$A$126:$AE$153,'Specified Annual Demand'!X$3,FALSE)</f>
        <v>7.3708107791924276</v>
      </c>
      <c r="Y90" s="7">
        <f>X90*VLOOKUP($B90,'EU Ref Scenario 2020'!$A$126:$AE$153,'Specified Annual Demand'!Y$3,FALSE)</f>
        <v>7.3469107839726577</v>
      </c>
      <c r="Z90" s="7">
        <f>Y90*VLOOKUP($B90,'EU Ref Scenario 2020'!$A$126:$AE$153,'Specified Annual Demand'!Z$3,FALSE)</f>
        <v>7.3230107887528879</v>
      </c>
      <c r="AA90" s="7">
        <f>Z90*VLOOKUP($B90,'EU Ref Scenario 2020'!$A$126:$AE$153,'Specified Annual Demand'!AA$3,FALSE)</f>
        <v>7.3070255830693585</v>
      </c>
      <c r="AB90" s="7">
        <f>AA90*VLOOKUP($B90,'EU Ref Scenario 2020'!$A$126:$AE$153,'Specified Annual Demand'!AB$3,FALSE)</f>
        <v>7.291040377385829</v>
      </c>
      <c r="AC90" s="7">
        <f>AB90*VLOOKUP($B90,'EU Ref Scenario 2020'!$A$126:$AE$153,'Specified Annual Demand'!AC$3,FALSE)</f>
        <v>7.2750551717023004</v>
      </c>
      <c r="AD90" s="7">
        <f>AC90*VLOOKUP($B90,'EU Ref Scenario 2020'!$A$126:$AE$153,'Specified Annual Demand'!AD$3,FALSE)</f>
        <v>7.2590699660187719</v>
      </c>
      <c r="AE90" s="7">
        <f>AD90*VLOOKUP($B90,'EU Ref Scenario 2020'!$A$126:$AE$153,'Specified Annual Demand'!AE$3,FALSE)</f>
        <v>7.2430847603352451</v>
      </c>
      <c r="AF90" s="7">
        <f>AE90*VLOOKUP($B90,'EU Ref Scenario 2020'!$A$126:$AE$153,'Specified Annual Demand'!AF$3,FALSE)</f>
        <v>7.2282871389714805</v>
      </c>
      <c r="AG90" s="7">
        <f>AF90*VLOOKUP($B90,'EU Ref Scenario 2020'!$A$126:$AE$153,'Specified Annual Demand'!AG$3,FALSE)</f>
        <v>7.2134895176077158</v>
      </c>
      <c r="AH90" s="7">
        <f>AG90*VLOOKUP($B90,'EU Ref Scenario 2020'!$A$126:$AE$153,'Specified Annual Demand'!AH$3,FALSE)</f>
        <v>7.1986918962439512</v>
      </c>
      <c r="AI90" s="7">
        <f>AH90*VLOOKUP($B90,'EU Ref Scenario 2020'!$A$126:$AE$153,'Specified Annual Demand'!AI$3,FALSE)</f>
        <v>7.1838942748801866</v>
      </c>
      <c r="AJ90" s="7">
        <f>AI90*VLOOKUP($B90,'EU Ref Scenario 2020'!$A$126:$AE$153,'Specified Annual Demand'!AJ$3,FALSE)</f>
        <v>7.1690966535164238</v>
      </c>
      <c r="AK90" s="8">
        <f t="shared" ref="AK90:AO90" si="87">AJ90</f>
        <v>7.1690966535164238</v>
      </c>
      <c r="AL90" s="8">
        <f t="shared" si="87"/>
        <v>7.1690966535164238</v>
      </c>
      <c r="AM90" s="8">
        <f t="shared" si="87"/>
        <v>7.1690966535164238</v>
      </c>
      <c r="AN90" s="8">
        <f t="shared" si="87"/>
        <v>7.1690966535164238</v>
      </c>
      <c r="AO90" s="8">
        <f t="shared" si="87"/>
        <v>7.1690966535164238</v>
      </c>
    </row>
    <row r="91" spans="1:41" x14ac:dyDescent="0.3">
      <c r="A91" t="s">
        <v>147</v>
      </c>
      <c r="B91" t="str">
        <f t="shared" si="66"/>
        <v>PL</v>
      </c>
      <c r="C91" t="s">
        <v>87</v>
      </c>
      <c r="D91" s="2">
        <v>50.432467093071764</v>
      </c>
      <c r="E91" s="2">
        <v>52.102749837612762</v>
      </c>
      <c r="F91" s="2">
        <v>50.339930433081463</v>
      </c>
      <c r="G91" s="2">
        <v>50.481418777280908</v>
      </c>
      <c r="H91" s="7">
        <f>G91*VLOOKUP($B91,'EU Ref Scenario 2020'!$A$126:$AE$153,'Specified Annual Demand'!H$3,FALSE)</f>
        <v>51.368505672054923</v>
      </c>
      <c r="I91" s="7">
        <f>H91*VLOOKUP($B91,'EU Ref Scenario 2020'!$A$126:$AE$153,'Specified Annual Demand'!I$3,FALSE)</f>
        <v>52.255592566828938</v>
      </c>
      <c r="J91" s="7">
        <f>I91*VLOOKUP($B91,'EU Ref Scenario 2020'!$A$126:$AE$153,'Specified Annual Demand'!J$3,FALSE)</f>
        <v>53.142679461602945</v>
      </c>
      <c r="K91" s="7">
        <f>J91*VLOOKUP($B91,'EU Ref Scenario 2020'!$A$126:$AE$153,'Specified Annual Demand'!K$3,FALSE)</f>
        <v>54.029766356376967</v>
      </c>
      <c r="L91" s="7">
        <f>K91*VLOOKUP($B91,'EU Ref Scenario 2020'!$A$126:$AE$153,'Specified Annual Demand'!L$3,FALSE)</f>
        <v>53.647621028114493</v>
      </c>
      <c r="M91" s="7">
        <f>L91*VLOOKUP($B91,'EU Ref Scenario 2020'!$A$126:$AE$153,'Specified Annual Demand'!M$3,FALSE)</f>
        <v>53.265475699852018</v>
      </c>
      <c r="N91" s="7">
        <f>M91*VLOOKUP($B91,'EU Ref Scenario 2020'!$A$126:$AE$153,'Specified Annual Demand'!N$3,FALSE)</f>
        <v>52.883330371589544</v>
      </c>
      <c r="O91" s="7">
        <f>N91*VLOOKUP($B91,'EU Ref Scenario 2020'!$A$126:$AE$153,'Specified Annual Demand'!O$3,FALSE)</f>
        <v>52.501185043327069</v>
      </c>
      <c r="P91" s="7">
        <f>O91*VLOOKUP($B91,'EU Ref Scenario 2020'!$A$126:$AE$153,'Specified Annual Demand'!P$3,FALSE)</f>
        <v>52.119039715064602</v>
      </c>
      <c r="Q91" s="7">
        <f>P91*VLOOKUP($B91,'EU Ref Scenario 2020'!$A$126:$AE$153,'Specified Annual Demand'!Q$3,FALSE)</f>
        <v>52.068354370412742</v>
      </c>
      <c r="R91" s="7">
        <f>Q91*VLOOKUP($B91,'EU Ref Scenario 2020'!$A$126:$AE$153,'Specified Annual Demand'!R$3,FALSE)</f>
        <v>52.017669025760881</v>
      </c>
      <c r="S91" s="7">
        <f>R91*VLOOKUP($B91,'EU Ref Scenario 2020'!$A$126:$AE$153,'Specified Annual Demand'!S$3,FALSE)</f>
        <v>51.966983681109021</v>
      </c>
      <c r="T91" s="7">
        <f>S91*VLOOKUP($B91,'EU Ref Scenario 2020'!$A$126:$AE$153,'Specified Annual Demand'!T$3,FALSE)</f>
        <v>51.91629833645716</v>
      </c>
      <c r="U91" s="7">
        <f>T91*VLOOKUP($B91,'EU Ref Scenario 2020'!$A$126:$AE$153,'Specified Annual Demand'!U$3,FALSE)</f>
        <v>51.865612991805307</v>
      </c>
      <c r="V91" s="7">
        <f>U91*VLOOKUP($B91,'EU Ref Scenario 2020'!$A$126:$AE$153,'Specified Annual Demand'!V$3,FALSE)</f>
        <v>51.69905792164959</v>
      </c>
      <c r="W91" s="7">
        <f>V91*VLOOKUP($B91,'EU Ref Scenario 2020'!$A$126:$AE$153,'Specified Annual Demand'!W$3,FALSE)</f>
        <v>51.532502851493867</v>
      </c>
      <c r="X91" s="7">
        <f>W91*VLOOKUP($B91,'EU Ref Scenario 2020'!$A$126:$AE$153,'Specified Annual Demand'!X$3,FALSE)</f>
        <v>51.36594778133815</v>
      </c>
      <c r="Y91" s="7">
        <f>X91*VLOOKUP($B91,'EU Ref Scenario 2020'!$A$126:$AE$153,'Specified Annual Demand'!Y$3,FALSE)</f>
        <v>51.199392711182433</v>
      </c>
      <c r="Z91" s="7">
        <f>Y91*VLOOKUP($B91,'EU Ref Scenario 2020'!$A$126:$AE$153,'Specified Annual Demand'!Z$3,FALSE)</f>
        <v>51.032837641026717</v>
      </c>
      <c r="AA91" s="7">
        <f>Z91*VLOOKUP($B91,'EU Ref Scenario 2020'!$A$126:$AE$153,'Specified Annual Demand'!AA$3,FALSE)</f>
        <v>50.921439415646674</v>
      </c>
      <c r="AB91" s="7">
        <f>AA91*VLOOKUP($B91,'EU Ref Scenario 2020'!$A$126:$AE$153,'Specified Annual Demand'!AB$3,FALSE)</f>
        <v>50.810041190266631</v>
      </c>
      <c r="AC91" s="7">
        <f>AB91*VLOOKUP($B91,'EU Ref Scenario 2020'!$A$126:$AE$153,'Specified Annual Demand'!AC$3,FALSE)</f>
        <v>50.698642964886595</v>
      </c>
      <c r="AD91" s="7">
        <f>AC91*VLOOKUP($B91,'EU Ref Scenario 2020'!$A$126:$AE$153,'Specified Annual Demand'!AD$3,FALSE)</f>
        <v>50.587244739506559</v>
      </c>
      <c r="AE91" s="7">
        <f>AD91*VLOOKUP($B91,'EU Ref Scenario 2020'!$A$126:$AE$153,'Specified Annual Demand'!AE$3,FALSE)</f>
        <v>50.475846514126538</v>
      </c>
      <c r="AF91" s="7">
        <f>AE91*VLOOKUP($B91,'EU Ref Scenario 2020'!$A$126:$AE$153,'Specified Annual Demand'!AF$3,FALSE)</f>
        <v>50.372724365284398</v>
      </c>
      <c r="AG91" s="7">
        <f>AF91*VLOOKUP($B91,'EU Ref Scenario 2020'!$A$126:$AE$153,'Specified Annual Demand'!AG$3,FALSE)</f>
        <v>50.269602216442259</v>
      </c>
      <c r="AH91" s="7">
        <f>AG91*VLOOKUP($B91,'EU Ref Scenario 2020'!$A$126:$AE$153,'Specified Annual Demand'!AH$3,FALSE)</f>
        <v>50.166480067600119</v>
      </c>
      <c r="AI91" s="7">
        <f>AH91*VLOOKUP($B91,'EU Ref Scenario 2020'!$A$126:$AE$153,'Specified Annual Demand'!AI$3,FALSE)</f>
        <v>50.063357918757973</v>
      </c>
      <c r="AJ91" s="7">
        <f>AI91*VLOOKUP($B91,'EU Ref Scenario 2020'!$A$126:$AE$153,'Specified Annual Demand'!AJ$3,FALSE)</f>
        <v>49.960235769915847</v>
      </c>
      <c r="AK91" s="8">
        <f t="shared" ref="AK91:AO91" si="88">AJ91</f>
        <v>49.960235769915847</v>
      </c>
      <c r="AL91" s="8">
        <f t="shared" si="88"/>
        <v>49.960235769915847</v>
      </c>
      <c r="AM91" s="8">
        <f t="shared" si="88"/>
        <v>49.960235769915847</v>
      </c>
      <c r="AN91" s="8">
        <f t="shared" si="88"/>
        <v>49.960235769915847</v>
      </c>
      <c r="AO91" s="8">
        <f t="shared" si="88"/>
        <v>49.960235769915847</v>
      </c>
    </row>
    <row r="92" spans="1:41" x14ac:dyDescent="0.3">
      <c r="A92" t="s">
        <v>148</v>
      </c>
      <c r="B92" t="str">
        <f t="shared" si="66"/>
        <v>PL</v>
      </c>
      <c r="C92" t="s">
        <v>88</v>
      </c>
      <c r="D92" s="2">
        <v>173.28996896484429</v>
      </c>
      <c r="E92" s="2">
        <v>171.89421729518224</v>
      </c>
      <c r="F92" s="2">
        <v>171.66588688724309</v>
      </c>
      <c r="G92" s="2">
        <v>176.24970213507609</v>
      </c>
      <c r="H92" s="7">
        <f>G92*VLOOKUP($B92,'EU Ref Scenario 2020'!$A$126:$AE$153,'Specified Annual Demand'!H$3,FALSE)</f>
        <v>179.34685757877799</v>
      </c>
      <c r="I92" s="7">
        <f>H92*VLOOKUP($B92,'EU Ref Scenario 2020'!$A$126:$AE$153,'Specified Annual Demand'!I$3,FALSE)</f>
        <v>182.44401302247988</v>
      </c>
      <c r="J92" s="7">
        <f>I92*VLOOKUP($B92,'EU Ref Scenario 2020'!$A$126:$AE$153,'Specified Annual Demand'!J$3,FALSE)</f>
        <v>185.54116846618174</v>
      </c>
      <c r="K92" s="7">
        <f>J92*VLOOKUP($B92,'EU Ref Scenario 2020'!$A$126:$AE$153,'Specified Annual Demand'!K$3,FALSE)</f>
        <v>188.63832390988364</v>
      </c>
      <c r="L92" s="7">
        <f>K92*VLOOKUP($B92,'EU Ref Scenario 2020'!$A$126:$AE$153,'Specified Annual Demand'!L$3,FALSE)</f>
        <v>187.30411021482632</v>
      </c>
      <c r="M92" s="7">
        <f>L92*VLOOKUP($B92,'EU Ref Scenario 2020'!$A$126:$AE$153,'Specified Annual Demand'!M$3,FALSE)</f>
        <v>185.96989651976901</v>
      </c>
      <c r="N92" s="7">
        <f>M92*VLOOKUP($B92,'EU Ref Scenario 2020'!$A$126:$AE$153,'Specified Annual Demand'!N$3,FALSE)</f>
        <v>184.63568282471169</v>
      </c>
      <c r="O92" s="7">
        <f>N92*VLOOKUP($B92,'EU Ref Scenario 2020'!$A$126:$AE$153,'Specified Annual Demand'!O$3,FALSE)</f>
        <v>183.30146912965438</v>
      </c>
      <c r="P92" s="7">
        <f>O92*VLOOKUP($B92,'EU Ref Scenario 2020'!$A$126:$AE$153,'Specified Annual Demand'!P$3,FALSE)</f>
        <v>181.96725543459706</v>
      </c>
      <c r="Q92" s="7">
        <f>P92*VLOOKUP($B92,'EU Ref Scenario 2020'!$A$126:$AE$153,'Specified Annual Demand'!Q$3,FALSE)</f>
        <v>181.79029375020153</v>
      </c>
      <c r="R92" s="7">
        <f>Q92*VLOOKUP($B92,'EU Ref Scenario 2020'!$A$126:$AE$153,'Specified Annual Demand'!R$3,FALSE)</f>
        <v>181.61333206580599</v>
      </c>
      <c r="S92" s="7">
        <f>R92*VLOOKUP($B92,'EU Ref Scenario 2020'!$A$126:$AE$153,'Specified Annual Demand'!S$3,FALSE)</f>
        <v>181.43637038141046</v>
      </c>
      <c r="T92" s="7">
        <f>S92*VLOOKUP($B92,'EU Ref Scenario 2020'!$A$126:$AE$153,'Specified Annual Demand'!T$3,FALSE)</f>
        <v>181.25940869701492</v>
      </c>
      <c r="U92" s="7">
        <f>T92*VLOOKUP($B92,'EU Ref Scenario 2020'!$A$126:$AE$153,'Specified Annual Demand'!U$3,FALSE)</f>
        <v>181.08244701261938</v>
      </c>
      <c r="V92" s="7">
        <f>U92*VLOOKUP($B92,'EU Ref Scenario 2020'!$A$126:$AE$153,'Specified Annual Demand'!V$3,FALSE)</f>
        <v>180.50094034709667</v>
      </c>
      <c r="W92" s="7">
        <f>V92*VLOOKUP($B92,'EU Ref Scenario 2020'!$A$126:$AE$153,'Specified Annual Demand'!W$3,FALSE)</f>
        <v>179.91943368157396</v>
      </c>
      <c r="X92" s="7">
        <f>W92*VLOOKUP($B92,'EU Ref Scenario 2020'!$A$126:$AE$153,'Specified Annual Demand'!X$3,FALSE)</f>
        <v>179.33792701605125</v>
      </c>
      <c r="Y92" s="7">
        <f>X92*VLOOKUP($B92,'EU Ref Scenario 2020'!$A$126:$AE$153,'Specified Annual Demand'!Y$3,FALSE)</f>
        <v>178.75642035052854</v>
      </c>
      <c r="Z92" s="7">
        <f>Y92*VLOOKUP($B92,'EU Ref Scenario 2020'!$A$126:$AE$153,'Specified Annual Demand'!Z$3,FALSE)</f>
        <v>178.17491368500583</v>
      </c>
      <c r="AA92" s="7">
        <f>Z92*VLOOKUP($B92,'EU Ref Scenario 2020'!$A$126:$AE$153,'Specified Annual Demand'!AA$3,FALSE)</f>
        <v>177.78598039990482</v>
      </c>
      <c r="AB92" s="7">
        <f>AA92*VLOOKUP($B92,'EU Ref Scenario 2020'!$A$126:$AE$153,'Specified Annual Demand'!AB$3,FALSE)</f>
        <v>177.3970471148038</v>
      </c>
      <c r="AC92" s="7">
        <f>AB92*VLOOKUP($B92,'EU Ref Scenario 2020'!$A$126:$AE$153,'Specified Annual Demand'!AC$3,FALSE)</f>
        <v>177.00811382970278</v>
      </c>
      <c r="AD92" s="7">
        <f>AC92*VLOOKUP($B92,'EU Ref Scenario 2020'!$A$126:$AE$153,'Specified Annual Demand'!AD$3,FALSE)</f>
        <v>176.61918054460176</v>
      </c>
      <c r="AE92" s="7">
        <f>AD92*VLOOKUP($B92,'EU Ref Scenario 2020'!$A$126:$AE$153,'Specified Annual Demand'!AE$3,FALSE)</f>
        <v>176.2302472595008</v>
      </c>
      <c r="AF92" s="7">
        <f>AE92*VLOOKUP($B92,'EU Ref Scenario 2020'!$A$126:$AE$153,'Specified Annual Demand'!AF$3,FALSE)</f>
        <v>175.87020888385325</v>
      </c>
      <c r="AG92" s="7">
        <f>AF92*VLOOKUP($B92,'EU Ref Scenario 2020'!$A$126:$AE$153,'Specified Annual Demand'!AG$3,FALSE)</f>
        <v>175.5101705082057</v>
      </c>
      <c r="AH92" s="7">
        <f>AG92*VLOOKUP($B92,'EU Ref Scenario 2020'!$A$126:$AE$153,'Specified Annual Demand'!AH$3,FALSE)</f>
        <v>175.15013213255816</v>
      </c>
      <c r="AI92" s="7">
        <f>AH92*VLOOKUP($B92,'EU Ref Scenario 2020'!$A$126:$AE$153,'Specified Annual Demand'!AI$3,FALSE)</f>
        <v>174.79009375691058</v>
      </c>
      <c r="AJ92" s="7">
        <f>AI92*VLOOKUP($B92,'EU Ref Scenario 2020'!$A$126:$AE$153,'Specified Annual Demand'!AJ$3,FALSE)</f>
        <v>174.43005538126306</v>
      </c>
      <c r="AK92" s="8">
        <f t="shared" ref="AK92:AO92" si="89">AJ92</f>
        <v>174.43005538126306</v>
      </c>
      <c r="AL92" s="8">
        <f t="shared" si="89"/>
        <v>174.43005538126306</v>
      </c>
      <c r="AM92" s="8">
        <f t="shared" si="89"/>
        <v>174.43005538126306</v>
      </c>
      <c r="AN92" s="8">
        <f t="shared" si="89"/>
        <v>174.43005538126306</v>
      </c>
      <c r="AO92" s="8">
        <f t="shared" si="89"/>
        <v>174.43005538126306</v>
      </c>
    </row>
    <row r="93" spans="1:41" x14ac:dyDescent="0.3">
      <c r="A93" t="s">
        <v>145</v>
      </c>
      <c r="B93" t="str">
        <f t="shared" si="66"/>
        <v>PT</v>
      </c>
      <c r="C93" t="s">
        <v>89</v>
      </c>
      <c r="D93" s="2">
        <v>92.263847872876951</v>
      </c>
      <c r="E93" s="2">
        <v>94.354622071835763</v>
      </c>
      <c r="F93" s="2">
        <v>92.965606908291804</v>
      </c>
      <c r="G93" s="2">
        <v>96.246276115751627</v>
      </c>
      <c r="H93" s="7">
        <f>G93*VLOOKUP($B93,'EU Ref Scenario 2020'!$A$126:$AE$153,'Specified Annual Demand'!H$3,FALSE)</f>
        <v>95.806601126368705</v>
      </c>
      <c r="I93" s="7">
        <f>H93*VLOOKUP($B93,'EU Ref Scenario 2020'!$A$126:$AE$153,'Specified Annual Demand'!I$3,FALSE)</f>
        <v>95.366926136985782</v>
      </c>
      <c r="J93" s="7">
        <f>I93*VLOOKUP($B93,'EU Ref Scenario 2020'!$A$126:$AE$153,'Specified Annual Demand'!J$3,FALSE)</f>
        <v>94.92725114760286</v>
      </c>
      <c r="K93" s="7">
        <f>J93*VLOOKUP($B93,'EU Ref Scenario 2020'!$A$126:$AE$153,'Specified Annual Demand'!K$3,FALSE)</f>
        <v>94.487576158219909</v>
      </c>
      <c r="L93" s="7">
        <f>K93*VLOOKUP($B93,'EU Ref Scenario 2020'!$A$126:$AE$153,'Specified Annual Demand'!L$3,FALSE)</f>
        <v>93.458741012587055</v>
      </c>
      <c r="M93" s="7">
        <f>L93*VLOOKUP($B93,'EU Ref Scenario 2020'!$A$126:$AE$153,'Specified Annual Demand'!M$3,FALSE)</f>
        <v>92.429905866954201</v>
      </c>
      <c r="N93" s="7">
        <f>M93*VLOOKUP($B93,'EU Ref Scenario 2020'!$A$126:$AE$153,'Specified Annual Demand'!N$3,FALSE)</f>
        <v>91.401070721321346</v>
      </c>
      <c r="O93" s="7">
        <f>N93*VLOOKUP($B93,'EU Ref Scenario 2020'!$A$126:$AE$153,'Specified Annual Demand'!O$3,FALSE)</f>
        <v>90.372235575688492</v>
      </c>
      <c r="P93" s="7">
        <f>O93*VLOOKUP($B93,'EU Ref Scenario 2020'!$A$126:$AE$153,'Specified Annual Demand'!P$3,FALSE)</f>
        <v>89.343400430055596</v>
      </c>
      <c r="Q93" s="7">
        <f>P93*VLOOKUP($B93,'EU Ref Scenario 2020'!$A$126:$AE$153,'Specified Annual Demand'!Q$3,FALSE)</f>
        <v>89.365968215161033</v>
      </c>
      <c r="R93" s="7">
        <f>Q93*VLOOKUP($B93,'EU Ref Scenario 2020'!$A$126:$AE$153,'Specified Annual Demand'!R$3,FALSE)</f>
        <v>89.38853600026647</v>
      </c>
      <c r="S93" s="7">
        <f>R93*VLOOKUP($B93,'EU Ref Scenario 2020'!$A$126:$AE$153,'Specified Annual Demand'!S$3,FALSE)</f>
        <v>89.411103785371907</v>
      </c>
      <c r="T93" s="7">
        <f>S93*VLOOKUP($B93,'EU Ref Scenario 2020'!$A$126:$AE$153,'Specified Annual Demand'!T$3,FALSE)</f>
        <v>89.433671570477358</v>
      </c>
      <c r="U93" s="7">
        <f>T93*VLOOKUP($B93,'EU Ref Scenario 2020'!$A$126:$AE$153,'Specified Annual Demand'!U$3,FALSE)</f>
        <v>89.456239355582809</v>
      </c>
      <c r="V93" s="7">
        <f>U93*VLOOKUP($B93,'EU Ref Scenario 2020'!$A$126:$AE$153,'Specified Annual Demand'!V$3,FALSE)</f>
        <v>89.4534178677049</v>
      </c>
      <c r="W93" s="7">
        <f>V93*VLOOKUP($B93,'EU Ref Scenario 2020'!$A$126:$AE$153,'Specified Annual Demand'!W$3,FALSE)</f>
        <v>89.450596379827005</v>
      </c>
      <c r="X93" s="7">
        <f>W93*VLOOKUP($B93,'EU Ref Scenario 2020'!$A$126:$AE$153,'Specified Annual Demand'!X$3,FALSE)</f>
        <v>89.447774891949109</v>
      </c>
      <c r="Y93" s="7">
        <f>X93*VLOOKUP($B93,'EU Ref Scenario 2020'!$A$126:$AE$153,'Specified Annual Demand'!Y$3,FALSE)</f>
        <v>89.444953404071214</v>
      </c>
      <c r="Z93" s="7">
        <f>Y93*VLOOKUP($B93,'EU Ref Scenario 2020'!$A$126:$AE$153,'Specified Annual Demand'!Z$3,FALSE)</f>
        <v>89.442131916193276</v>
      </c>
      <c r="AA93" s="7">
        <f>Z93*VLOOKUP($B93,'EU Ref Scenario 2020'!$A$126:$AE$153,'Specified Annual Demand'!AA$3,FALSE)</f>
        <v>88.983583661452599</v>
      </c>
      <c r="AB93" s="7">
        <f>AA93*VLOOKUP($B93,'EU Ref Scenario 2020'!$A$126:$AE$153,'Specified Annual Demand'!AB$3,FALSE)</f>
        <v>88.525035406711922</v>
      </c>
      <c r="AC93" s="7">
        <f>AB93*VLOOKUP($B93,'EU Ref Scenario 2020'!$A$126:$AE$153,'Specified Annual Demand'!AC$3,FALSE)</f>
        <v>88.066487151971245</v>
      </c>
      <c r="AD93" s="7">
        <f>AC93*VLOOKUP($B93,'EU Ref Scenario 2020'!$A$126:$AE$153,'Specified Annual Demand'!AD$3,FALSE)</f>
        <v>87.607938897230568</v>
      </c>
      <c r="AE93" s="7">
        <f>AD93*VLOOKUP($B93,'EU Ref Scenario 2020'!$A$126:$AE$153,'Specified Annual Demand'!AE$3,FALSE)</f>
        <v>87.149390642489891</v>
      </c>
      <c r="AF93" s="7">
        <f>AE93*VLOOKUP($B93,'EU Ref Scenario 2020'!$A$126:$AE$153,'Specified Annual Demand'!AF$3,FALSE)</f>
        <v>87.261852935822091</v>
      </c>
      <c r="AG93" s="7">
        <f>AF93*VLOOKUP($B93,'EU Ref Scenario 2020'!$A$126:$AE$153,'Specified Annual Demand'!AG$3,FALSE)</f>
        <v>87.374315229154291</v>
      </c>
      <c r="AH93" s="7">
        <f>AG93*VLOOKUP($B93,'EU Ref Scenario 2020'!$A$126:$AE$153,'Specified Annual Demand'!AH$3,FALSE)</f>
        <v>87.486777522486491</v>
      </c>
      <c r="AI93" s="7">
        <f>AH93*VLOOKUP($B93,'EU Ref Scenario 2020'!$A$126:$AE$153,'Specified Annual Demand'!AI$3,FALSE)</f>
        <v>87.599239815818677</v>
      </c>
      <c r="AJ93" s="7">
        <f>AI93*VLOOKUP($B93,'EU Ref Scenario 2020'!$A$126:$AE$153,'Specified Annual Demand'!AJ$3,FALSE)</f>
        <v>87.711702109150849</v>
      </c>
      <c r="AK93" s="8">
        <f t="shared" ref="AK93:AO93" si="90">AJ93</f>
        <v>87.711702109150849</v>
      </c>
      <c r="AL93" s="8">
        <f t="shared" si="90"/>
        <v>87.711702109150849</v>
      </c>
      <c r="AM93" s="8">
        <f t="shared" si="90"/>
        <v>87.711702109150849</v>
      </c>
      <c r="AN93" s="8">
        <f t="shared" si="90"/>
        <v>87.711702109150849</v>
      </c>
      <c r="AO93" s="8">
        <f t="shared" si="90"/>
        <v>87.711702109150849</v>
      </c>
    </row>
    <row r="94" spans="1:41" x14ac:dyDescent="0.3">
      <c r="A94" t="s">
        <v>146</v>
      </c>
      <c r="B94" t="str">
        <f t="shared" si="66"/>
        <v>PT</v>
      </c>
      <c r="C94" t="s">
        <v>90</v>
      </c>
      <c r="D94" s="2">
        <v>15.971224137370548</v>
      </c>
      <c r="E94" s="2">
        <v>13.650417721800459</v>
      </c>
      <c r="F94" s="2">
        <v>18.363498292535908</v>
      </c>
      <c r="G94" s="2">
        <v>13.383051791659776</v>
      </c>
      <c r="H94" s="7">
        <f>G94*VLOOKUP($B94,'EU Ref Scenario 2020'!$A$126:$AE$153,'Specified Annual Demand'!H$3,FALSE)</f>
        <v>13.321914951961871</v>
      </c>
      <c r="I94" s="7">
        <f>H94*VLOOKUP($B94,'EU Ref Scenario 2020'!$A$126:$AE$153,'Specified Annual Demand'!I$3,FALSE)</f>
        <v>13.260778112263964</v>
      </c>
      <c r="J94" s="7">
        <f>I94*VLOOKUP($B94,'EU Ref Scenario 2020'!$A$126:$AE$153,'Specified Annual Demand'!J$3,FALSE)</f>
        <v>13.199641272566058</v>
      </c>
      <c r="K94" s="7">
        <f>J94*VLOOKUP($B94,'EU Ref Scenario 2020'!$A$126:$AE$153,'Specified Annual Demand'!K$3,FALSE)</f>
        <v>13.138504432868148</v>
      </c>
      <c r="L94" s="7">
        <f>K94*VLOOKUP($B94,'EU Ref Scenario 2020'!$A$126:$AE$153,'Specified Annual Demand'!L$3,FALSE)</f>
        <v>12.995444829995565</v>
      </c>
      <c r="M94" s="7">
        <f>L94*VLOOKUP($B94,'EU Ref Scenario 2020'!$A$126:$AE$153,'Specified Annual Demand'!M$3,FALSE)</f>
        <v>12.852385227122982</v>
      </c>
      <c r="N94" s="7">
        <f>M94*VLOOKUP($B94,'EU Ref Scenario 2020'!$A$126:$AE$153,'Specified Annual Demand'!N$3,FALSE)</f>
        <v>12.709325624250399</v>
      </c>
      <c r="O94" s="7">
        <f>N94*VLOOKUP($B94,'EU Ref Scenario 2020'!$A$126:$AE$153,'Specified Annual Demand'!O$3,FALSE)</f>
        <v>12.566266021377816</v>
      </c>
      <c r="P94" s="7">
        <f>O94*VLOOKUP($B94,'EU Ref Scenario 2020'!$A$126:$AE$153,'Specified Annual Demand'!P$3,FALSE)</f>
        <v>12.423206418505227</v>
      </c>
      <c r="Q94" s="7">
        <f>P94*VLOOKUP($B94,'EU Ref Scenario 2020'!$A$126:$AE$153,'Specified Annual Demand'!Q$3,FALSE)</f>
        <v>12.426344470688418</v>
      </c>
      <c r="R94" s="7">
        <f>Q94*VLOOKUP($B94,'EU Ref Scenario 2020'!$A$126:$AE$153,'Specified Annual Demand'!R$3,FALSE)</f>
        <v>12.429482522871611</v>
      </c>
      <c r="S94" s="7">
        <f>R94*VLOOKUP($B94,'EU Ref Scenario 2020'!$A$126:$AE$153,'Specified Annual Demand'!S$3,FALSE)</f>
        <v>12.432620575054804</v>
      </c>
      <c r="T94" s="7">
        <f>S94*VLOOKUP($B94,'EU Ref Scenario 2020'!$A$126:$AE$153,'Specified Annual Demand'!T$3,FALSE)</f>
        <v>12.435758627237997</v>
      </c>
      <c r="U94" s="7">
        <f>T94*VLOOKUP($B94,'EU Ref Scenario 2020'!$A$126:$AE$153,'Specified Annual Demand'!U$3,FALSE)</f>
        <v>12.438896679421191</v>
      </c>
      <c r="V94" s="7">
        <f>U94*VLOOKUP($B94,'EU Ref Scenario 2020'!$A$126:$AE$153,'Specified Annual Demand'!V$3,FALSE)</f>
        <v>12.438504351323695</v>
      </c>
      <c r="W94" s="7">
        <f>V94*VLOOKUP($B94,'EU Ref Scenario 2020'!$A$126:$AE$153,'Specified Annual Demand'!W$3,FALSE)</f>
        <v>12.4381120232262</v>
      </c>
      <c r="X94" s="7">
        <f>W94*VLOOKUP($B94,'EU Ref Scenario 2020'!$A$126:$AE$153,'Specified Annual Demand'!X$3,FALSE)</f>
        <v>12.437719695128704</v>
      </c>
      <c r="Y94" s="7">
        <f>X94*VLOOKUP($B94,'EU Ref Scenario 2020'!$A$126:$AE$153,'Specified Annual Demand'!Y$3,FALSE)</f>
        <v>12.437327367031209</v>
      </c>
      <c r="Z94" s="7">
        <f>Y94*VLOOKUP($B94,'EU Ref Scenario 2020'!$A$126:$AE$153,'Specified Annual Demand'!Z$3,FALSE)</f>
        <v>12.43693503893371</v>
      </c>
      <c r="AA94" s="7">
        <f>Z94*VLOOKUP($B94,'EU Ref Scenario 2020'!$A$126:$AE$153,'Specified Annual Demand'!AA$3,FALSE)</f>
        <v>12.373173870295982</v>
      </c>
      <c r="AB94" s="7">
        <f>AA94*VLOOKUP($B94,'EU Ref Scenario 2020'!$A$126:$AE$153,'Specified Annual Demand'!AB$3,FALSE)</f>
        <v>12.309412701658255</v>
      </c>
      <c r="AC94" s="7">
        <f>AB94*VLOOKUP($B94,'EU Ref Scenario 2020'!$A$126:$AE$153,'Specified Annual Demand'!AC$3,FALSE)</f>
        <v>12.245651533020528</v>
      </c>
      <c r="AD94" s="7">
        <f>AC94*VLOOKUP($B94,'EU Ref Scenario 2020'!$A$126:$AE$153,'Specified Annual Demand'!AD$3,FALSE)</f>
        <v>12.1818903643828</v>
      </c>
      <c r="AE94" s="7">
        <f>AD94*VLOOKUP($B94,'EU Ref Scenario 2020'!$A$126:$AE$153,'Specified Annual Demand'!AE$3,FALSE)</f>
        <v>12.118129195745073</v>
      </c>
      <c r="AF94" s="7">
        <f>AE94*VLOOKUP($B94,'EU Ref Scenario 2020'!$A$126:$AE$153,'Specified Annual Demand'!AF$3,FALSE)</f>
        <v>12.133767085926543</v>
      </c>
      <c r="AG94" s="7">
        <f>AF94*VLOOKUP($B94,'EU Ref Scenario 2020'!$A$126:$AE$153,'Specified Annual Demand'!AG$3,FALSE)</f>
        <v>12.149404976108015</v>
      </c>
      <c r="AH94" s="7">
        <f>AG94*VLOOKUP($B94,'EU Ref Scenario 2020'!$A$126:$AE$153,'Specified Annual Demand'!AH$3,FALSE)</f>
        <v>12.165042866289486</v>
      </c>
      <c r="AI94" s="7">
        <f>AH94*VLOOKUP($B94,'EU Ref Scenario 2020'!$A$126:$AE$153,'Specified Annual Demand'!AI$3,FALSE)</f>
        <v>12.180680756470956</v>
      </c>
      <c r="AJ94" s="7">
        <f>AI94*VLOOKUP($B94,'EU Ref Scenario 2020'!$A$126:$AE$153,'Specified Annual Demand'!AJ$3,FALSE)</f>
        <v>12.196318646652422</v>
      </c>
      <c r="AK94" s="8">
        <f t="shared" ref="AK94:AO94" si="91">AJ94</f>
        <v>12.196318646652422</v>
      </c>
      <c r="AL94" s="8">
        <f t="shared" si="91"/>
        <v>12.196318646652422</v>
      </c>
      <c r="AM94" s="8">
        <f t="shared" si="91"/>
        <v>12.196318646652422</v>
      </c>
      <c r="AN94" s="8">
        <f t="shared" si="91"/>
        <v>12.196318646652422</v>
      </c>
      <c r="AO94" s="8">
        <f t="shared" si="91"/>
        <v>12.196318646652422</v>
      </c>
    </row>
    <row r="95" spans="1:41" x14ac:dyDescent="0.3">
      <c r="A95" t="s">
        <v>147</v>
      </c>
      <c r="B95" t="str">
        <f t="shared" si="66"/>
        <v>PT</v>
      </c>
      <c r="C95" t="s">
        <v>91</v>
      </c>
      <c r="D95" s="2">
        <v>18.762241184529927</v>
      </c>
      <c r="E95" s="2">
        <v>19.526168633409178</v>
      </c>
      <c r="F95" s="2">
        <v>20.855554714182325</v>
      </c>
      <c r="G95" s="2">
        <v>21.850071640749881</v>
      </c>
      <c r="H95" s="7">
        <f>G95*VLOOKUP($B95,'EU Ref Scenario 2020'!$A$126:$AE$153,'Specified Annual Demand'!H$3,FALSE)</f>
        <v>21.750255518980047</v>
      </c>
      <c r="I95" s="7">
        <f>H95*VLOOKUP($B95,'EU Ref Scenario 2020'!$A$126:$AE$153,'Specified Annual Demand'!I$3,FALSE)</f>
        <v>21.650439397210214</v>
      </c>
      <c r="J95" s="7">
        <f>I95*VLOOKUP($B95,'EU Ref Scenario 2020'!$A$126:$AE$153,'Specified Annual Demand'!J$3,FALSE)</f>
        <v>21.55062327544038</v>
      </c>
      <c r="K95" s="7">
        <f>J95*VLOOKUP($B95,'EU Ref Scenario 2020'!$A$126:$AE$153,'Specified Annual Demand'!K$3,FALSE)</f>
        <v>21.450807153670542</v>
      </c>
      <c r="L95" s="7">
        <f>K95*VLOOKUP($B95,'EU Ref Scenario 2020'!$A$126:$AE$153,'Specified Annual Demand'!L$3,FALSE)</f>
        <v>21.217238411628376</v>
      </c>
      <c r="M95" s="7">
        <f>L95*VLOOKUP($B95,'EU Ref Scenario 2020'!$A$126:$AE$153,'Specified Annual Demand'!M$3,FALSE)</f>
        <v>20.983669669586206</v>
      </c>
      <c r="N95" s="7">
        <f>M95*VLOOKUP($B95,'EU Ref Scenario 2020'!$A$126:$AE$153,'Specified Annual Demand'!N$3,FALSE)</f>
        <v>20.750100927544036</v>
      </c>
      <c r="O95" s="7">
        <f>N95*VLOOKUP($B95,'EU Ref Scenario 2020'!$A$126:$AE$153,'Specified Annual Demand'!O$3,FALSE)</f>
        <v>20.516532185501866</v>
      </c>
      <c r="P95" s="7">
        <f>O95*VLOOKUP($B95,'EU Ref Scenario 2020'!$A$126:$AE$153,'Specified Annual Demand'!P$3,FALSE)</f>
        <v>20.282963443459689</v>
      </c>
      <c r="Q95" s="7">
        <f>P95*VLOOKUP($B95,'EU Ref Scenario 2020'!$A$126:$AE$153,'Specified Annual Demand'!Q$3,FALSE)</f>
        <v>20.288086838787045</v>
      </c>
      <c r="R95" s="7">
        <f>Q95*VLOOKUP($B95,'EU Ref Scenario 2020'!$A$126:$AE$153,'Specified Annual Demand'!R$3,FALSE)</f>
        <v>20.293210234114401</v>
      </c>
      <c r="S95" s="7">
        <f>R95*VLOOKUP($B95,'EU Ref Scenario 2020'!$A$126:$AE$153,'Specified Annual Demand'!S$3,FALSE)</f>
        <v>20.298333629441757</v>
      </c>
      <c r="T95" s="7">
        <f>S95*VLOOKUP($B95,'EU Ref Scenario 2020'!$A$126:$AE$153,'Specified Annual Demand'!T$3,FALSE)</f>
        <v>20.303457024769116</v>
      </c>
      <c r="U95" s="7">
        <f>T95*VLOOKUP($B95,'EU Ref Scenario 2020'!$A$126:$AE$153,'Specified Annual Demand'!U$3,FALSE)</f>
        <v>20.308580420096476</v>
      </c>
      <c r="V95" s="7">
        <f>U95*VLOOKUP($B95,'EU Ref Scenario 2020'!$A$126:$AE$153,'Specified Annual Demand'!V$3,FALSE)</f>
        <v>20.307939878823049</v>
      </c>
      <c r="W95" s="7">
        <f>V95*VLOOKUP($B95,'EU Ref Scenario 2020'!$A$126:$AE$153,'Specified Annual Demand'!W$3,FALSE)</f>
        <v>20.307299337549622</v>
      </c>
      <c r="X95" s="7">
        <f>W95*VLOOKUP($B95,'EU Ref Scenario 2020'!$A$126:$AE$153,'Specified Annual Demand'!X$3,FALSE)</f>
        <v>20.306658796276196</v>
      </c>
      <c r="Y95" s="7">
        <f>X95*VLOOKUP($B95,'EU Ref Scenario 2020'!$A$126:$AE$153,'Specified Annual Demand'!Y$3,FALSE)</f>
        <v>20.306018255002769</v>
      </c>
      <c r="Z95" s="7">
        <f>Y95*VLOOKUP($B95,'EU Ref Scenario 2020'!$A$126:$AE$153,'Specified Annual Demand'!Z$3,FALSE)</f>
        <v>20.305377713729335</v>
      </c>
      <c r="AA95" s="7">
        <f>Z95*VLOOKUP($B95,'EU Ref Scenario 2020'!$A$126:$AE$153,'Specified Annual Demand'!AA$3,FALSE)</f>
        <v>20.201276935796123</v>
      </c>
      <c r="AB95" s="7">
        <f>AA95*VLOOKUP($B95,'EU Ref Scenario 2020'!$A$126:$AE$153,'Specified Annual Demand'!AB$3,FALSE)</f>
        <v>20.097176157862908</v>
      </c>
      <c r="AC95" s="7">
        <f>AB95*VLOOKUP($B95,'EU Ref Scenario 2020'!$A$126:$AE$153,'Specified Annual Demand'!AC$3,FALSE)</f>
        <v>19.993075379929692</v>
      </c>
      <c r="AD95" s="7">
        <f>AC95*VLOOKUP($B95,'EU Ref Scenario 2020'!$A$126:$AE$153,'Specified Annual Demand'!AD$3,FALSE)</f>
        <v>19.88897460199648</v>
      </c>
      <c r="AE95" s="7">
        <f>AD95*VLOOKUP($B95,'EU Ref Scenario 2020'!$A$126:$AE$153,'Specified Annual Demand'!AE$3,FALSE)</f>
        <v>19.784873824063268</v>
      </c>
      <c r="AF95" s="7">
        <f>AE95*VLOOKUP($B95,'EU Ref Scenario 2020'!$A$126:$AE$153,'Specified Annual Demand'!AF$3,FALSE)</f>
        <v>19.810405296711998</v>
      </c>
      <c r="AG95" s="7">
        <f>AF95*VLOOKUP($B95,'EU Ref Scenario 2020'!$A$126:$AE$153,'Specified Annual Demand'!AG$3,FALSE)</f>
        <v>19.835936769360732</v>
      </c>
      <c r="AH95" s="7">
        <f>AG95*VLOOKUP($B95,'EU Ref Scenario 2020'!$A$126:$AE$153,'Specified Annual Demand'!AH$3,FALSE)</f>
        <v>19.861468242009465</v>
      </c>
      <c r="AI95" s="7">
        <f>AH95*VLOOKUP($B95,'EU Ref Scenario 2020'!$A$126:$AE$153,'Specified Annual Demand'!AI$3,FALSE)</f>
        <v>19.886999714658195</v>
      </c>
      <c r="AJ95" s="7">
        <f>AI95*VLOOKUP($B95,'EU Ref Scenario 2020'!$A$126:$AE$153,'Specified Annual Demand'!AJ$3,FALSE)</f>
        <v>19.912531187306922</v>
      </c>
      <c r="AK95" s="8">
        <f t="shared" ref="AK95:AO95" si="92">AJ95</f>
        <v>19.912531187306922</v>
      </c>
      <c r="AL95" s="8">
        <f t="shared" si="92"/>
        <v>19.912531187306922</v>
      </c>
      <c r="AM95" s="8">
        <f t="shared" si="92"/>
        <v>19.912531187306922</v>
      </c>
      <c r="AN95" s="8">
        <f t="shared" si="92"/>
        <v>19.912531187306922</v>
      </c>
      <c r="AO95" s="8">
        <f t="shared" si="92"/>
        <v>19.912531187306922</v>
      </c>
    </row>
    <row r="96" spans="1:41" x14ac:dyDescent="0.3">
      <c r="A96" t="s">
        <v>148</v>
      </c>
      <c r="B96" t="str">
        <f t="shared" si="66"/>
        <v>PT</v>
      </c>
      <c r="C96" t="s">
        <v>92</v>
      </c>
      <c r="D96" s="2">
        <v>65.789110102057322</v>
      </c>
      <c r="E96" s="2">
        <v>64.378229902150565</v>
      </c>
      <c r="F96" s="2">
        <v>62.398101058976742</v>
      </c>
      <c r="G96" s="2">
        <v>61.731767598928393</v>
      </c>
      <c r="H96" s="7">
        <f>G96*VLOOKUP($B96,'EU Ref Scenario 2020'!$A$126:$AE$153,'Specified Annual Demand'!H$3,FALSE)</f>
        <v>61.449762773816971</v>
      </c>
      <c r="I96" s="7">
        <f>H96*VLOOKUP($B96,'EU Ref Scenario 2020'!$A$126:$AE$153,'Specified Annual Demand'!I$3,FALSE)</f>
        <v>61.16775794870555</v>
      </c>
      <c r="J96" s="7">
        <f>I96*VLOOKUP($B96,'EU Ref Scenario 2020'!$A$126:$AE$153,'Specified Annual Demand'!J$3,FALSE)</f>
        <v>60.885753123594128</v>
      </c>
      <c r="K96" s="7">
        <f>J96*VLOOKUP($B96,'EU Ref Scenario 2020'!$A$126:$AE$153,'Specified Annual Demand'!K$3,FALSE)</f>
        <v>60.603748298482692</v>
      </c>
      <c r="L96" s="7">
        <f>K96*VLOOKUP($B96,'EU Ref Scenario 2020'!$A$126:$AE$153,'Specified Annual Demand'!L$3,FALSE)</f>
        <v>59.943859784651423</v>
      </c>
      <c r="M96" s="7">
        <f>L96*VLOOKUP($B96,'EU Ref Scenario 2020'!$A$126:$AE$153,'Specified Annual Demand'!M$3,FALSE)</f>
        <v>59.283971270820153</v>
      </c>
      <c r="N96" s="7">
        <f>M96*VLOOKUP($B96,'EU Ref Scenario 2020'!$A$126:$AE$153,'Specified Annual Demand'!N$3,FALSE)</f>
        <v>58.624082756988884</v>
      </c>
      <c r="O96" s="7">
        <f>N96*VLOOKUP($B96,'EU Ref Scenario 2020'!$A$126:$AE$153,'Specified Annual Demand'!O$3,FALSE)</f>
        <v>57.964194243157614</v>
      </c>
      <c r="P96" s="7">
        <f>O96*VLOOKUP($B96,'EU Ref Scenario 2020'!$A$126:$AE$153,'Specified Annual Demand'!P$3,FALSE)</f>
        <v>57.304305729326323</v>
      </c>
      <c r="Q96" s="7">
        <f>P96*VLOOKUP($B96,'EU Ref Scenario 2020'!$A$126:$AE$153,'Specified Annual Demand'!Q$3,FALSE)</f>
        <v>57.318780567435134</v>
      </c>
      <c r="R96" s="7">
        <f>Q96*VLOOKUP($B96,'EU Ref Scenario 2020'!$A$126:$AE$153,'Specified Annual Demand'!R$3,FALSE)</f>
        <v>57.333255405543952</v>
      </c>
      <c r="S96" s="7">
        <f>R96*VLOOKUP($B96,'EU Ref Scenario 2020'!$A$126:$AE$153,'Specified Annual Demand'!S$3,FALSE)</f>
        <v>57.347730243652762</v>
      </c>
      <c r="T96" s="7">
        <f>S96*VLOOKUP($B96,'EU Ref Scenario 2020'!$A$126:$AE$153,'Specified Annual Demand'!T$3,FALSE)</f>
        <v>57.36220508176158</v>
      </c>
      <c r="U96" s="7">
        <f>T96*VLOOKUP($B96,'EU Ref Scenario 2020'!$A$126:$AE$153,'Specified Annual Demand'!U$3,FALSE)</f>
        <v>57.376679919870405</v>
      </c>
      <c r="V96" s="7">
        <f>U96*VLOOKUP($B96,'EU Ref Scenario 2020'!$A$126:$AE$153,'Specified Annual Demand'!V$3,FALSE)</f>
        <v>57.374870234955921</v>
      </c>
      <c r="W96" s="7">
        <f>V96*VLOOKUP($B96,'EU Ref Scenario 2020'!$A$126:$AE$153,'Specified Annual Demand'!W$3,FALSE)</f>
        <v>57.373060550041437</v>
      </c>
      <c r="X96" s="7">
        <f>W96*VLOOKUP($B96,'EU Ref Scenario 2020'!$A$126:$AE$153,'Specified Annual Demand'!X$3,FALSE)</f>
        <v>57.371250865126953</v>
      </c>
      <c r="Y96" s="7">
        <f>X96*VLOOKUP($B96,'EU Ref Scenario 2020'!$A$126:$AE$153,'Specified Annual Demand'!Y$3,FALSE)</f>
        <v>57.369441180212469</v>
      </c>
      <c r="Z96" s="7">
        <f>Y96*VLOOKUP($B96,'EU Ref Scenario 2020'!$A$126:$AE$153,'Specified Annual Demand'!Z$3,FALSE)</f>
        <v>57.367631495297964</v>
      </c>
      <c r="AA96" s="7">
        <f>Z96*VLOOKUP($B96,'EU Ref Scenario 2020'!$A$126:$AE$153,'Specified Annual Demand'!AA$3,FALSE)</f>
        <v>57.073521474246327</v>
      </c>
      <c r="AB96" s="7">
        <f>AA96*VLOOKUP($B96,'EU Ref Scenario 2020'!$A$126:$AE$153,'Specified Annual Demand'!AB$3,FALSE)</f>
        <v>56.779411453194683</v>
      </c>
      <c r="AC96" s="7">
        <f>AB96*VLOOKUP($B96,'EU Ref Scenario 2020'!$A$126:$AE$153,'Specified Annual Demand'!AC$3,FALSE)</f>
        <v>56.485301432143039</v>
      </c>
      <c r="AD96" s="7">
        <f>AC96*VLOOKUP($B96,'EU Ref Scenario 2020'!$A$126:$AE$153,'Specified Annual Demand'!AD$3,FALSE)</f>
        <v>56.191191411091403</v>
      </c>
      <c r="AE96" s="7">
        <f>AD96*VLOOKUP($B96,'EU Ref Scenario 2020'!$A$126:$AE$153,'Specified Annual Demand'!AE$3,FALSE)</f>
        <v>55.897081390039766</v>
      </c>
      <c r="AF96" s="7">
        <f>AE96*VLOOKUP($B96,'EU Ref Scenario 2020'!$A$126:$AE$153,'Specified Annual Demand'!AF$3,FALSE)</f>
        <v>55.969214011018018</v>
      </c>
      <c r="AG96" s="7">
        <f>AF96*VLOOKUP($B96,'EU Ref Scenario 2020'!$A$126:$AE$153,'Specified Annual Demand'!AG$3,FALSE)</f>
        <v>56.041346631996269</v>
      </c>
      <c r="AH96" s="7">
        <f>AG96*VLOOKUP($B96,'EU Ref Scenario 2020'!$A$126:$AE$153,'Specified Annual Demand'!AH$3,FALSE)</f>
        <v>56.113479252974528</v>
      </c>
      <c r="AI96" s="7">
        <f>AH96*VLOOKUP($B96,'EU Ref Scenario 2020'!$A$126:$AE$153,'Specified Annual Demand'!AI$3,FALSE)</f>
        <v>56.185611873952773</v>
      </c>
      <c r="AJ96" s="7">
        <f>AI96*VLOOKUP($B96,'EU Ref Scenario 2020'!$A$126:$AE$153,'Specified Annual Demand'!AJ$3,FALSE)</f>
        <v>56.257744494931011</v>
      </c>
      <c r="AK96" s="8">
        <f t="shared" ref="AK96:AO96" si="93">AJ96</f>
        <v>56.257744494931011</v>
      </c>
      <c r="AL96" s="8">
        <f t="shared" si="93"/>
        <v>56.257744494931011</v>
      </c>
      <c r="AM96" s="8">
        <f t="shared" si="93"/>
        <v>56.257744494931011</v>
      </c>
      <c r="AN96" s="8">
        <f t="shared" si="93"/>
        <v>56.257744494931011</v>
      </c>
      <c r="AO96" s="8">
        <f t="shared" si="93"/>
        <v>56.257744494931011</v>
      </c>
    </row>
    <row r="97" spans="1:41" x14ac:dyDescent="0.3">
      <c r="A97" t="s">
        <v>145</v>
      </c>
      <c r="B97" t="str">
        <f t="shared" si="66"/>
        <v>RO</v>
      </c>
      <c r="C97" t="s">
        <v>93</v>
      </c>
      <c r="D97" s="2">
        <v>210.03563036318755</v>
      </c>
      <c r="E97" s="2">
        <v>211.29949712932091</v>
      </c>
      <c r="F97" s="2">
        <v>218.92102984166476</v>
      </c>
      <c r="G97" s="2">
        <v>246.29289057413845</v>
      </c>
      <c r="H97" s="7">
        <f>G97*VLOOKUP($B97,'EU Ref Scenario 2020'!$A$126:$AE$153,'Specified Annual Demand'!H$3,FALSE)</f>
        <v>248.19797080128913</v>
      </c>
      <c r="I97" s="7">
        <f>H97*VLOOKUP($B97,'EU Ref Scenario 2020'!$A$126:$AE$153,'Specified Annual Demand'!I$3,FALSE)</f>
        <v>250.10305102843981</v>
      </c>
      <c r="J97" s="7">
        <f>I97*VLOOKUP($B97,'EU Ref Scenario 2020'!$A$126:$AE$153,'Specified Annual Demand'!J$3,FALSE)</f>
        <v>252.00813125559051</v>
      </c>
      <c r="K97" s="7">
        <f>J97*VLOOKUP($B97,'EU Ref Scenario 2020'!$A$126:$AE$153,'Specified Annual Demand'!K$3,FALSE)</f>
        <v>253.91321148274119</v>
      </c>
      <c r="L97" s="7">
        <f>K97*VLOOKUP($B97,'EU Ref Scenario 2020'!$A$126:$AE$153,'Specified Annual Demand'!L$3,FALSE)</f>
        <v>253.42980085543627</v>
      </c>
      <c r="M97" s="7">
        <f>L97*VLOOKUP($B97,'EU Ref Scenario 2020'!$A$126:$AE$153,'Specified Annual Demand'!M$3,FALSE)</f>
        <v>252.94639022813135</v>
      </c>
      <c r="N97" s="7">
        <f>M97*VLOOKUP($B97,'EU Ref Scenario 2020'!$A$126:$AE$153,'Specified Annual Demand'!N$3,FALSE)</f>
        <v>252.46297960082643</v>
      </c>
      <c r="O97" s="7">
        <f>N97*VLOOKUP($B97,'EU Ref Scenario 2020'!$A$126:$AE$153,'Specified Annual Demand'!O$3,FALSE)</f>
        <v>251.97956897352154</v>
      </c>
      <c r="P97" s="7">
        <f>O97*VLOOKUP($B97,'EU Ref Scenario 2020'!$A$126:$AE$153,'Specified Annual Demand'!P$3,FALSE)</f>
        <v>251.49615834621653</v>
      </c>
      <c r="Q97" s="7">
        <f>P97*VLOOKUP($B97,'EU Ref Scenario 2020'!$A$126:$AE$153,'Specified Annual Demand'!Q$3,FALSE)</f>
        <v>250.68578839576205</v>
      </c>
      <c r="R97" s="7">
        <f>Q97*VLOOKUP($B97,'EU Ref Scenario 2020'!$A$126:$AE$153,'Specified Annual Demand'!R$3,FALSE)</f>
        <v>249.87541844530756</v>
      </c>
      <c r="S97" s="7">
        <f>R97*VLOOKUP($B97,'EU Ref Scenario 2020'!$A$126:$AE$153,'Specified Annual Demand'!S$3,FALSE)</f>
        <v>249.06504849485307</v>
      </c>
      <c r="T97" s="7">
        <f>S97*VLOOKUP($B97,'EU Ref Scenario 2020'!$A$126:$AE$153,'Specified Annual Demand'!T$3,FALSE)</f>
        <v>248.25467854439862</v>
      </c>
      <c r="U97" s="7">
        <f>T97*VLOOKUP($B97,'EU Ref Scenario 2020'!$A$126:$AE$153,'Specified Annual Demand'!U$3,FALSE)</f>
        <v>247.4443085939441</v>
      </c>
      <c r="V97" s="7">
        <f>U97*VLOOKUP($B97,'EU Ref Scenario 2020'!$A$126:$AE$153,'Specified Annual Demand'!V$3,FALSE)</f>
        <v>245.39067964220388</v>
      </c>
      <c r="W97" s="7">
        <f>V97*VLOOKUP($B97,'EU Ref Scenario 2020'!$A$126:$AE$153,'Specified Annual Demand'!W$3,FALSE)</f>
        <v>243.33705069046363</v>
      </c>
      <c r="X97" s="7">
        <f>W97*VLOOKUP($B97,'EU Ref Scenario 2020'!$A$126:$AE$153,'Specified Annual Demand'!X$3,FALSE)</f>
        <v>241.2834217387234</v>
      </c>
      <c r="Y97" s="7">
        <f>X97*VLOOKUP($B97,'EU Ref Scenario 2020'!$A$126:$AE$153,'Specified Annual Demand'!Y$3,FALSE)</f>
        <v>239.22979278698315</v>
      </c>
      <c r="Z97" s="7">
        <f>Y97*VLOOKUP($B97,'EU Ref Scenario 2020'!$A$126:$AE$153,'Specified Annual Demand'!Z$3,FALSE)</f>
        <v>237.17616383524296</v>
      </c>
      <c r="AA97" s="7">
        <f>Z97*VLOOKUP($B97,'EU Ref Scenario 2020'!$A$126:$AE$153,'Specified Annual Demand'!AA$3,FALSE)</f>
        <v>235.5586070163568</v>
      </c>
      <c r="AB97" s="7">
        <f>AA97*VLOOKUP($B97,'EU Ref Scenario 2020'!$A$126:$AE$153,'Specified Annual Demand'!AB$3,FALSE)</f>
        <v>233.94105019747064</v>
      </c>
      <c r="AC97" s="7">
        <f>AB97*VLOOKUP($B97,'EU Ref Scenario 2020'!$A$126:$AE$153,'Specified Annual Demand'!AC$3,FALSE)</f>
        <v>232.32349337858449</v>
      </c>
      <c r="AD97" s="7">
        <f>AC97*VLOOKUP($B97,'EU Ref Scenario 2020'!$A$126:$AE$153,'Specified Annual Demand'!AD$3,FALSE)</f>
        <v>230.70593655969833</v>
      </c>
      <c r="AE97" s="7">
        <f>AD97*VLOOKUP($B97,'EU Ref Scenario 2020'!$A$126:$AE$153,'Specified Annual Demand'!AE$3,FALSE)</f>
        <v>229.08837974081223</v>
      </c>
      <c r="AF97" s="7">
        <f>AE97*VLOOKUP($B97,'EU Ref Scenario 2020'!$A$126:$AE$153,'Specified Annual Demand'!AF$3,FALSE)</f>
        <v>227.61247053176774</v>
      </c>
      <c r="AG97" s="7">
        <f>AF97*VLOOKUP($B97,'EU Ref Scenario 2020'!$A$126:$AE$153,'Specified Annual Demand'!AG$3,FALSE)</f>
        <v>226.13656132272325</v>
      </c>
      <c r="AH97" s="7">
        <f>AG97*VLOOKUP($B97,'EU Ref Scenario 2020'!$A$126:$AE$153,'Specified Annual Demand'!AH$3,FALSE)</f>
        <v>224.66065211367876</v>
      </c>
      <c r="AI97" s="7">
        <f>AH97*VLOOKUP($B97,'EU Ref Scenario 2020'!$A$126:$AE$153,'Specified Annual Demand'!AI$3,FALSE)</f>
        <v>223.18474290463428</v>
      </c>
      <c r="AJ97" s="7">
        <f>AI97*VLOOKUP($B97,'EU Ref Scenario 2020'!$A$126:$AE$153,'Specified Annual Demand'!AJ$3,FALSE)</f>
        <v>221.70883369558973</v>
      </c>
      <c r="AK97" s="8">
        <f t="shared" ref="AK97:AO97" si="94">AJ97</f>
        <v>221.70883369558973</v>
      </c>
      <c r="AL97" s="8">
        <f t="shared" si="94"/>
        <v>221.70883369558973</v>
      </c>
      <c r="AM97" s="8">
        <f t="shared" si="94"/>
        <v>221.70883369558973</v>
      </c>
      <c r="AN97" s="8">
        <f t="shared" si="94"/>
        <v>221.70883369558973</v>
      </c>
      <c r="AO97" s="8">
        <f t="shared" si="94"/>
        <v>221.70883369558973</v>
      </c>
    </row>
    <row r="98" spans="1:41" x14ac:dyDescent="0.3">
      <c r="A98" t="s">
        <v>146</v>
      </c>
      <c r="B98" t="str">
        <f t="shared" si="66"/>
        <v>RO</v>
      </c>
      <c r="C98" t="s">
        <v>94</v>
      </c>
      <c r="D98" s="2">
        <v>4.3720580014462049</v>
      </c>
      <c r="E98" s="2">
        <v>4.6669073693987011</v>
      </c>
      <c r="F98" s="2">
        <v>4.805787407726049</v>
      </c>
      <c r="G98" s="2">
        <v>5.2317662304039247</v>
      </c>
      <c r="H98" s="7">
        <f>G98*VLOOKUP($B98,'EU Ref Scenario 2020'!$A$126:$AE$153,'Specified Annual Demand'!H$3,FALSE)</f>
        <v>5.2722340424279874</v>
      </c>
      <c r="I98" s="7">
        <f>H98*VLOOKUP($B98,'EU Ref Scenario 2020'!$A$126:$AE$153,'Specified Annual Demand'!I$3,FALSE)</f>
        <v>5.3127018544520501</v>
      </c>
      <c r="J98" s="7">
        <f>I98*VLOOKUP($B98,'EU Ref Scenario 2020'!$A$126:$AE$153,'Specified Annual Demand'!J$3,FALSE)</f>
        <v>5.3531696664761128</v>
      </c>
      <c r="K98" s="7">
        <f>J98*VLOOKUP($B98,'EU Ref Scenario 2020'!$A$126:$AE$153,'Specified Annual Demand'!K$3,FALSE)</f>
        <v>5.3936374785001746</v>
      </c>
      <c r="L98" s="7">
        <f>K98*VLOOKUP($B98,'EU Ref Scenario 2020'!$A$126:$AE$153,'Specified Annual Demand'!L$3,FALSE)</f>
        <v>5.3833688451285147</v>
      </c>
      <c r="M98" s="7">
        <f>L98*VLOOKUP($B98,'EU Ref Scenario 2020'!$A$126:$AE$153,'Specified Annual Demand'!M$3,FALSE)</f>
        <v>5.3731002117568547</v>
      </c>
      <c r="N98" s="7">
        <f>M98*VLOOKUP($B98,'EU Ref Scenario 2020'!$A$126:$AE$153,'Specified Annual Demand'!N$3,FALSE)</f>
        <v>5.3628315783851948</v>
      </c>
      <c r="O98" s="7">
        <f>N98*VLOOKUP($B98,'EU Ref Scenario 2020'!$A$126:$AE$153,'Specified Annual Demand'!O$3,FALSE)</f>
        <v>5.3525629450135348</v>
      </c>
      <c r="P98" s="7">
        <f>O98*VLOOKUP($B98,'EU Ref Scenario 2020'!$A$126:$AE$153,'Specified Annual Demand'!P$3,FALSE)</f>
        <v>5.3422943116418731</v>
      </c>
      <c r="Q98" s="7">
        <f>P98*VLOOKUP($B98,'EU Ref Scenario 2020'!$A$126:$AE$153,'Specified Annual Demand'!Q$3,FALSE)</f>
        <v>5.3250803915362681</v>
      </c>
      <c r="R98" s="7">
        <f>Q98*VLOOKUP($B98,'EU Ref Scenario 2020'!$A$126:$AE$153,'Specified Annual Demand'!R$3,FALSE)</f>
        <v>5.3078664714306631</v>
      </c>
      <c r="S98" s="7">
        <f>R98*VLOOKUP($B98,'EU Ref Scenario 2020'!$A$126:$AE$153,'Specified Annual Demand'!S$3,FALSE)</f>
        <v>5.2906525513250582</v>
      </c>
      <c r="T98" s="7">
        <f>S98*VLOOKUP($B98,'EU Ref Scenario 2020'!$A$126:$AE$153,'Specified Annual Demand'!T$3,FALSE)</f>
        <v>5.2734386312194532</v>
      </c>
      <c r="U98" s="7">
        <f>T98*VLOOKUP($B98,'EU Ref Scenario 2020'!$A$126:$AE$153,'Specified Annual Demand'!U$3,FALSE)</f>
        <v>5.2562247111138474</v>
      </c>
      <c r="V98" s="7">
        <f>U98*VLOOKUP($B98,'EU Ref Scenario 2020'!$A$126:$AE$153,'Specified Annual Demand'!V$3,FALSE)</f>
        <v>5.2126014194530583</v>
      </c>
      <c r="W98" s="7">
        <f>V98*VLOOKUP($B98,'EU Ref Scenario 2020'!$A$126:$AE$153,'Specified Annual Demand'!W$3,FALSE)</f>
        <v>5.1689781277922693</v>
      </c>
      <c r="X98" s="7">
        <f>W98*VLOOKUP($B98,'EU Ref Scenario 2020'!$A$126:$AE$153,'Specified Annual Demand'!X$3,FALSE)</f>
        <v>5.1253548361314802</v>
      </c>
      <c r="Y98" s="7">
        <f>X98*VLOOKUP($B98,'EU Ref Scenario 2020'!$A$126:$AE$153,'Specified Annual Demand'!Y$3,FALSE)</f>
        <v>5.0817315444706912</v>
      </c>
      <c r="Z98" s="7">
        <f>Y98*VLOOKUP($B98,'EU Ref Scenario 2020'!$A$126:$AE$153,'Specified Annual Demand'!Z$3,FALSE)</f>
        <v>5.038108252809903</v>
      </c>
      <c r="AA98" s="7">
        <f>Z98*VLOOKUP($B98,'EU Ref Scenario 2020'!$A$126:$AE$153,'Specified Annual Demand'!AA$3,FALSE)</f>
        <v>5.0037480277904933</v>
      </c>
      <c r="AB98" s="7">
        <f>AA98*VLOOKUP($B98,'EU Ref Scenario 2020'!$A$126:$AE$153,'Specified Annual Demand'!AB$3,FALSE)</f>
        <v>4.9693878027710836</v>
      </c>
      <c r="AC98" s="7">
        <f>AB98*VLOOKUP($B98,'EU Ref Scenario 2020'!$A$126:$AE$153,'Specified Annual Demand'!AC$3,FALSE)</f>
        <v>4.9350275777516739</v>
      </c>
      <c r="AD98" s="7">
        <f>AC98*VLOOKUP($B98,'EU Ref Scenario 2020'!$A$126:$AE$153,'Specified Annual Demand'!AD$3,FALSE)</f>
        <v>4.9006673527322642</v>
      </c>
      <c r="AE98" s="7">
        <f>AD98*VLOOKUP($B98,'EU Ref Scenario 2020'!$A$126:$AE$153,'Specified Annual Demand'!AE$3,FALSE)</f>
        <v>4.8663071277128562</v>
      </c>
      <c r="AF98" s="7">
        <f>AE98*VLOOKUP($B98,'EU Ref Scenario 2020'!$A$126:$AE$153,'Specified Annual Demand'!AF$3,FALSE)</f>
        <v>4.8349557884962788</v>
      </c>
      <c r="AG98" s="7">
        <f>AF98*VLOOKUP($B98,'EU Ref Scenario 2020'!$A$126:$AE$153,'Specified Annual Demand'!AG$3,FALSE)</f>
        <v>4.8036044492797023</v>
      </c>
      <c r="AH98" s="7">
        <f>AG98*VLOOKUP($B98,'EU Ref Scenario 2020'!$A$126:$AE$153,'Specified Annual Demand'!AH$3,FALSE)</f>
        <v>4.7722531100631258</v>
      </c>
      <c r="AI98" s="7">
        <f>AH98*VLOOKUP($B98,'EU Ref Scenario 2020'!$A$126:$AE$153,'Specified Annual Demand'!AI$3,FALSE)</f>
        <v>4.7409017708465484</v>
      </c>
      <c r="AJ98" s="7">
        <f>AI98*VLOOKUP($B98,'EU Ref Scenario 2020'!$A$126:$AE$153,'Specified Annual Demand'!AJ$3,FALSE)</f>
        <v>4.7095504316299701</v>
      </c>
      <c r="AK98" s="8">
        <f t="shared" ref="AK98:AO98" si="95">AJ98</f>
        <v>4.7095504316299701</v>
      </c>
      <c r="AL98" s="8">
        <f t="shared" si="95"/>
        <v>4.7095504316299701</v>
      </c>
      <c r="AM98" s="8">
        <f t="shared" si="95"/>
        <v>4.7095504316299701</v>
      </c>
      <c r="AN98" s="8">
        <f t="shared" si="95"/>
        <v>4.7095504316299701</v>
      </c>
      <c r="AO98" s="8">
        <f t="shared" si="95"/>
        <v>4.7095504316299701</v>
      </c>
    </row>
    <row r="99" spans="1:41" x14ac:dyDescent="0.3">
      <c r="A99" t="s">
        <v>147</v>
      </c>
      <c r="B99" t="str">
        <f t="shared" si="66"/>
        <v>RO</v>
      </c>
      <c r="C99" t="s">
        <v>95</v>
      </c>
      <c r="D99" s="2">
        <v>20.820976648749788</v>
      </c>
      <c r="E99" s="2">
        <v>21.47350391410005</v>
      </c>
      <c r="F99" s="2">
        <v>19.866068205703023</v>
      </c>
      <c r="G99" s="2">
        <v>21.577402139260741</v>
      </c>
      <c r="H99" s="7">
        <f>G99*VLOOKUP($B99,'EU Ref Scenario 2020'!$A$126:$AE$153,'Specified Annual Demand'!H$3,FALSE)</f>
        <v>21.74430375819485</v>
      </c>
      <c r="I99" s="7">
        <f>H99*VLOOKUP($B99,'EU Ref Scenario 2020'!$A$126:$AE$153,'Specified Annual Demand'!I$3,FALSE)</f>
        <v>21.911205377128958</v>
      </c>
      <c r="J99" s="7">
        <f>I99*VLOOKUP($B99,'EU Ref Scenario 2020'!$A$126:$AE$153,'Specified Annual Demand'!J$3,FALSE)</f>
        <v>22.078106996063067</v>
      </c>
      <c r="K99" s="7">
        <f>J99*VLOOKUP($B99,'EU Ref Scenario 2020'!$A$126:$AE$153,'Specified Annual Demand'!K$3,FALSE)</f>
        <v>22.245008614997172</v>
      </c>
      <c r="L99" s="7">
        <f>K99*VLOOKUP($B99,'EU Ref Scenario 2020'!$A$126:$AE$153,'Specified Annual Demand'!L$3,FALSE)</f>
        <v>22.202657634100259</v>
      </c>
      <c r="M99" s="7">
        <f>L99*VLOOKUP($B99,'EU Ref Scenario 2020'!$A$126:$AE$153,'Specified Annual Demand'!M$3,FALSE)</f>
        <v>22.160306653203346</v>
      </c>
      <c r="N99" s="7">
        <f>M99*VLOOKUP($B99,'EU Ref Scenario 2020'!$A$126:$AE$153,'Specified Annual Demand'!N$3,FALSE)</f>
        <v>22.117955672306437</v>
      </c>
      <c r="O99" s="7">
        <f>N99*VLOOKUP($B99,'EU Ref Scenario 2020'!$A$126:$AE$153,'Specified Annual Demand'!O$3,FALSE)</f>
        <v>22.075604691409527</v>
      </c>
      <c r="P99" s="7">
        <f>O99*VLOOKUP($B99,'EU Ref Scenario 2020'!$A$126:$AE$153,'Specified Annual Demand'!P$3,FALSE)</f>
        <v>22.033253710512607</v>
      </c>
      <c r="Q99" s="7">
        <f>P99*VLOOKUP($B99,'EU Ref Scenario 2020'!$A$126:$AE$153,'Specified Annual Demand'!Q$3,FALSE)</f>
        <v>21.962258245471908</v>
      </c>
      <c r="R99" s="7">
        <f>Q99*VLOOKUP($B99,'EU Ref Scenario 2020'!$A$126:$AE$153,'Specified Annual Demand'!R$3,FALSE)</f>
        <v>21.891262780431209</v>
      </c>
      <c r="S99" s="7">
        <f>R99*VLOOKUP($B99,'EU Ref Scenario 2020'!$A$126:$AE$153,'Specified Annual Demand'!S$3,FALSE)</f>
        <v>21.82026731539051</v>
      </c>
      <c r="T99" s="7">
        <f>S99*VLOOKUP($B99,'EU Ref Scenario 2020'!$A$126:$AE$153,'Specified Annual Demand'!T$3,FALSE)</f>
        <v>21.74927185034981</v>
      </c>
      <c r="U99" s="7">
        <f>T99*VLOOKUP($B99,'EU Ref Scenario 2020'!$A$126:$AE$153,'Specified Annual Demand'!U$3,FALSE)</f>
        <v>21.678276385309108</v>
      </c>
      <c r="V99" s="7">
        <f>U99*VLOOKUP($B99,'EU Ref Scenario 2020'!$A$126:$AE$153,'Specified Annual Demand'!V$3,FALSE)</f>
        <v>21.498360604414128</v>
      </c>
      <c r="W99" s="7">
        <f>V99*VLOOKUP($B99,'EU Ref Scenario 2020'!$A$126:$AE$153,'Specified Annual Demand'!W$3,FALSE)</f>
        <v>21.318444823519147</v>
      </c>
      <c r="X99" s="7">
        <f>W99*VLOOKUP($B99,'EU Ref Scenario 2020'!$A$126:$AE$153,'Specified Annual Demand'!X$3,FALSE)</f>
        <v>21.138529042624171</v>
      </c>
      <c r="Y99" s="7">
        <f>X99*VLOOKUP($B99,'EU Ref Scenario 2020'!$A$126:$AE$153,'Specified Annual Demand'!Y$3,FALSE)</f>
        <v>20.958613261729191</v>
      </c>
      <c r="Z99" s="7">
        <f>Y99*VLOOKUP($B99,'EU Ref Scenario 2020'!$A$126:$AE$153,'Specified Annual Demand'!Z$3,FALSE)</f>
        <v>20.778697480834214</v>
      </c>
      <c r="AA99" s="7">
        <f>Z99*VLOOKUP($B99,'EU Ref Scenario 2020'!$A$126:$AE$153,'Specified Annual Demand'!AA$3,FALSE)</f>
        <v>20.636985416458959</v>
      </c>
      <c r="AB99" s="7">
        <f>AA99*VLOOKUP($B99,'EU Ref Scenario 2020'!$A$126:$AE$153,'Specified Annual Demand'!AB$3,FALSE)</f>
        <v>20.495273352083704</v>
      </c>
      <c r="AC99" s="7">
        <f>AB99*VLOOKUP($B99,'EU Ref Scenario 2020'!$A$126:$AE$153,'Specified Annual Demand'!AC$3,FALSE)</f>
        <v>20.353561287708448</v>
      </c>
      <c r="AD99" s="7">
        <f>AC99*VLOOKUP($B99,'EU Ref Scenario 2020'!$A$126:$AE$153,'Specified Annual Demand'!AD$3,FALSE)</f>
        <v>20.211849223333193</v>
      </c>
      <c r="AE99" s="7">
        <f>AD99*VLOOKUP($B99,'EU Ref Scenario 2020'!$A$126:$AE$153,'Specified Annual Demand'!AE$3,FALSE)</f>
        <v>20.070137158957941</v>
      </c>
      <c r="AF99" s="7">
        <f>AE99*VLOOKUP($B99,'EU Ref Scenario 2020'!$A$126:$AE$153,'Specified Annual Demand'!AF$3,FALSE)</f>
        <v>19.940834658790948</v>
      </c>
      <c r="AG99" s="7">
        <f>AF99*VLOOKUP($B99,'EU Ref Scenario 2020'!$A$126:$AE$153,'Specified Annual Demand'!AG$3,FALSE)</f>
        <v>19.811532158623958</v>
      </c>
      <c r="AH99" s="7">
        <f>AG99*VLOOKUP($B99,'EU Ref Scenario 2020'!$A$126:$AE$153,'Specified Annual Demand'!AH$3,FALSE)</f>
        <v>19.682229658456968</v>
      </c>
      <c r="AI99" s="7">
        <f>AH99*VLOOKUP($B99,'EU Ref Scenario 2020'!$A$126:$AE$153,'Specified Annual Demand'!AI$3,FALSE)</f>
        <v>19.552927158289975</v>
      </c>
      <c r="AJ99" s="7">
        <f>AI99*VLOOKUP($B99,'EU Ref Scenario 2020'!$A$126:$AE$153,'Specified Annual Demand'!AJ$3,FALSE)</f>
        <v>19.423624658122979</v>
      </c>
      <c r="AK99" s="8">
        <f t="shared" ref="AK99:AO99" si="96">AJ99</f>
        <v>19.423624658122979</v>
      </c>
      <c r="AL99" s="8">
        <f t="shared" si="96"/>
        <v>19.423624658122979</v>
      </c>
      <c r="AM99" s="8">
        <f t="shared" si="96"/>
        <v>19.423624658122979</v>
      </c>
      <c r="AN99" s="8">
        <f t="shared" si="96"/>
        <v>19.423624658122979</v>
      </c>
      <c r="AO99" s="8">
        <f t="shared" si="96"/>
        <v>19.423624658122979</v>
      </c>
    </row>
    <row r="100" spans="1:41" x14ac:dyDescent="0.3">
      <c r="A100" t="s">
        <v>148</v>
      </c>
      <c r="B100" t="str">
        <f t="shared" si="66"/>
        <v>RO</v>
      </c>
      <c r="C100" t="s">
        <v>96</v>
      </c>
      <c r="D100" s="2">
        <v>60.69553019533808</v>
      </c>
      <c r="E100" s="2">
        <v>61.169240840191861</v>
      </c>
      <c r="F100" s="2">
        <v>62.891545991334375</v>
      </c>
      <c r="G100" s="2">
        <v>64.711360347318831</v>
      </c>
      <c r="H100" s="7">
        <f>G100*VLOOKUP($B100,'EU Ref Scenario 2020'!$A$126:$AE$153,'Specified Annual Demand'!H$3,FALSE)</f>
        <v>65.211903959366737</v>
      </c>
      <c r="I100" s="7">
        <f>H100*VLOOKUP($B100,'EU Ref Scenario 2020'!$A$126:$AE$153,'Specified Annual Demand'!I$3,FALSE)</f>
        <v>65.712447571414643</v>
      </c>
      <c r="J100" s="7">
        <f>I100*VLOOKUP($B100,'EU Ref Scenario 2020'!$A$126:$AE$153,'Specified Annual Demand'!J$3,FALSE)</f>
        <v>66.212991183462563</v>
      </c>
      <c r="K100" s="7">
        <f>J100*VLOOKUP($B100,'EU Ref Scenario 2020'!$A$126:$AE$153,'Specified Annual Demand'!K$3,FALSE)</f>
        <v>66.713534795510469</v>
      </c>
      <c r="L100" s="7">
        <f>K100*VLOOKUP($B100,'EU Ref Scenario 2020'!$A$126:$AE$153,'Specified Annual Demand'!L$3,FALSE)</f>
        <v>66.586522768381599</v>
      </c>
      <c r="M100" s="7">
        <f>L100*VLOOKUP($B100,'EU Ref Scenario 2020'!$A$126:$AE$153,'Specified Annual Demand'!M$3,FALSE)</f>
        <v>66.459510741252728</v>
      </c>
      <c r="N100" s="7">
        <f>M100*VLOOKUP($B100,'EU Ref Scenario 2020'!$A$126:$AE$153,'Specified Annual Demand'!N$3,FALSE)</f>
        <v>66.332498714123858</v>
      </c>
      <c r="O100" s="7">
        <f>N100*VLOOKUP($B100,'EU Ref Scenario 2020'!$A$126:$AE$153,'Specified Annual Demand'!O$3,FALSE)</f>
        <v>66.205486686994988</v>
      </c>
      <c r="P100" s="7">
        <f>O100*VLOOKUP($B100,'EU Ref Scenario 2020'!$A$126:$AE$153,'Specified Annual Demand'!P$3,FALSE)</f>
        <v>66.078474659866089</v>
      </c>
      <c r="Q100" s="7">
        <f>P100*VLOOKUP($B100,'EU Ref Scenario 2020'!$A$126:$AE$153,'Specified Annual Demand'!Q$3,FALSE)</f>
        <v>65.865556853930826</v>
      </c>
      <c r="R100" s="7">
        <f>Q100*VLOOKUP($B100,'EU Ref Scenario 2020'!$A$126:$AE$153,'Specified Annual Demand'!R$3,FALSE)</f>
        <v>65.652639047995564</v>
      </c>
      <c r="S100" s="7">
        <f>R100*VLOOKUP($B100,'EU Ref Scenario 2020'!$A$126:$AE$153,'Specified Annual Demand'!S$3,FALSE)</f>
        <v>65.439721242060301</v>
      </c>
      <c r="T100" s="7">
        <f>S100*VLOOKUP($B100,'EU Ref Scenario 2020'!$A$126:$AE$153,'Specified Annual Demand'!T$3,FALSE)</f>
        <v>65.226803436125039</v>
      </c>
      <c r="U100" s="7">
        <f>T100*VLOOKUP($B100,'EU Ref Scenario 2020'!$A$126:$AE$153,'Specified Annual Demand'!U$3,FALSE)</f>
        <v>65.013885630189776</v>
      </c>
      <c r="V100" s="7">
        <f>U100*VLOOKUP($B100,'EU Ref Scenario 2020'!$A$126:$AE$153,'Specified Annual Demand'!V$3,FALSE)</f>
        <v>64.474312105326916</v>
      </c>
      <c r="W100" s="7">
        <f>V100*VLOOKUP($B100,'EU Ref Scenario 2020'!$A$126:$AE$153,'Specified Annual Demand'!W$3,FALSE)</f>
        <v>63.934738580464064</v>
      </c>
      <c r="X100" s="7">
        <f>W100*VLOOKUP($B100,'EU Ref Scenario 2020'!$A$126:$AE$153,'Specified Annual Demand'!X$3,FALSE)</f>
        <v>63.395165055601211</v>
      </c>
      <c r="Y100" s="7">
        <f>X100*VLOOKUP($B100,'EU Ref Scenario 2020'!$A$126:$AE$153,'Specified Annual Demand'!Y$3,FALSE)</f>
        <v>62.855591530738359</v>
      </c>
      <c r="Z100" s="7">
        <f>Y100*VLOOKUP($B100,'EU Ref Scenario 2020'!$A$126:$AE$153,'Specified Annual Demand'!Z$3,FALSE)</f>
        <v>62.316018005875513</v>
      </c>
      <c r="AA100" s="7">
        <f>Z100*VLOOKUP($B100,'EU Ref Scenario 2020'!$A$126:$AE$153,'Specified Annual Demand'!AA$3,FALSE)</f>
        <v>61.891018721709429</v>
      </c>
      <c r="AB100" s="7">
        <f>AA100*VLOOKUP($B100,'EU Ref Scenario 2020'!$A$126:$AE$153,'Specified Annual Demand'!AB$3,FALSE)</f>
        <v>61.466019437543338</v>
      </c>
      <c r="AC100" s="7">
        <f>AB100*VLOOKUP($B100,'EU Ref Scenario 2020'!$A$126:$AE$153,'Specified Annual Demand'!AC$3,FALSE)</f>
        <v>61.041020153377247</v>
      </c>
      <c r="AD100" s="7">
        <f>AC100*VLOOKUP($B100,'EU Ref Scenario 2020'!$A$126:$AE$153,'Specified Annual Demand'!AD$3,FALSE)</f>
        <v>60.616020869211162</v>
      </c>
      <c r="AE100" s="7">
        <f>AD100*VLOOKUP($B100,'EU Ref Scenario 2020'!$A$126:$AE$153,'Specified Annual Demand'!AE$3,FALSE)</f>
        <v>60.191021585045092</v>
      </c>
      <c r="AF100" s="7">
        <f>AE100*VLOOKUP($B100,'EU Ref Scenario 2020'!$A$126:$AE$153,'Specified Annual Demand'!AF$3,FALSE)</f>
        <v>59.803239004542</v>
      </c>
      <c r="AG100" s="7">
        <f>AF100*VLOOKUP($B100,'EU Ref Scenario 2020'!$A$126:$AE$153,'Specified Annual Demand'!AG$3,FALSE)</f>
        <v>59.415456424038915</v>
      </c>
      <c r="AH100" s="7">
        <f>AG100*VLOOKUP($B100,'EU Ref Scenario 2020'!$A$126:$AE$153,'Specified Annual Demand'!AH$3,FALSE)</f>
        <v>59.02767384353583</v>
      </c>
      <c r="AI100" s="7">
        <f>AH100*VLOOKUP($B100,'EU Ref Scenario 2020'!$A$126:$AE$153,'Specified Annual Demand'!AI$3,FALSE)</f>
        <v>58.639891263032737</v>
      </c>
      <c r="AJ100" s="7">
        <f>AI100*VLOOKUP($B100,'EU Ref Scenario 2020'!$A$126:$AE$153,'Specified Annual Demand'!AJ$3,FALSE)</f>
        <v>58.252108682529638</v>
      </c>
      <c r="AK100" s="8">
        <f t="shared" ref="AK100:AO100" si="97">AJ100</f>
        <v>58.252108682529638</v>
      </c>
      <c r="AL100" s="8">
        <f t="shared" si="97"/>
        <v>58.252108682529638</v>
      </c>
      <c r="AM100" s="8">
        <f t="shared" si="97"/>
        <v>58.252108682529638</v>
      </c>
      <c r="AN100" s="8">
        <f t="shared" si="97"/>
        <v>58.252108682529638</v>
      </c>
      <c r="AO100" s="8">
        <f t="shared" si="97"/>
        <v>58.252108682529638</v>
      </c>
    </row>
    <row r="101" spans="1:41" x14ac:dyDescent="0.3">
      <c r="A101" t="s">
        <v>145</v>
      </c>
      <c r="B101" t="str">
        <f t="shared" si="66"/>
        <v>SE</v>
      </c>
      <c r="C101" t="s">
        <v>97</v>
      </c>
      <c r="D101" s="2">
        <v>346.90620163844937</v>
      </c>
      <c r="E101" s="2">
        <v>340.63996648988797</v>
      </c>
      <c r="F101" s="2">
        <v>335.66043138708483</v>
      </c>
      <c r="G101" s="2">
        <v>368.64385553648134</v>
      </c>
      <c r="H101" s="7">
        <f>G101*VLOOKUP($B101,'EU Ref Scenario 2020'!$A$126:$AE$153,'Specified Annual Demand'!H$3,FALSE)</f>
        <v>366.53293176871551</v>
      </c>
      <c r="I101" s="7">
        <f>H101*VLOOKUP($B101,'EU Ref Scenario 2020'!$A$126:$AE$153,'Specified Annual Demand'!I$3,FALSE)</f>
        <v>364.42200800094975</v>
      </c>
      <c r="J101" s="7">
        <f>I101*VLOOKUP($B101,'EU Ref Scenario 2020'!$A$126:$AE$153,'Specified Annual Demand'!J$3,FALSE)</f>
        <v>362.31108423318398</v>
      </c>
      <c r="K101" s="7">
        <f>J101*VLOOKUP($B101,'EU Ref Scenario 2020'!$A$126:$AE$153,'Specified Annual Demand'!K$3,FALSE)</f>
        <v>360.20016046541826</v>
      </c>
      <c r="L101" s="7">
        <f>K101*VLOOKUP($B101,'EU Ref Scenario 2020'!$A$126:$AE$153,'Specified Annual Demand'!L$3,FALSE)</f>
        <v>359.58976691621262</v>
      </c>
      <c r="M101" s="7">
        <f>L101*VLOOKUP($B101,'EU Ref Scenario 2020'!$A$126:$AE$153,'Specified Annual Demand'!M$3,FALSE)</f>
        <v>358.97937336700699</v>
      </c>
      <c r="N101" s="7">
        <f>M101*VLOOKUP($B101,'EU Ref Scenario 2020'!$A$126:$AE$153,'Specified Annual Demand'!N$3,FALSE)</f>
        <v>358.36897981780135</v>
      </c>
      <c r="O101" s="7">
        <f>N101*VLOOKUP($B101,'EU Ref Scenario 2020'!$A$126:$AE$153,'Specified Annual Demand'!O$3,FALSE)</f>
        <v>357.75858626859571</v>
      </c>
      <c r="P101" s="7">
        <f>O101*VLOOKUP($B101,'EU Ref Scenario 2020'!$A$126:$AE$153,'Specified Annual Demand'!P$3,FALSE)</f>
        <v>357.14819271939001</v>
      </c>
      <c r="Q101" s="7">
        <f>P101*VLOOKUP($B101,'EU Ref Scenario 2020'!$A$126:$AE$153,'Specified Annual Demand'!Q$3,FALSE)</f>
        <v>353.42127723468195</v>
      </c>
      <c r="R101" s="7">
        <f>Q101*VLOOKUP($B101,'EU Ref Scenario 2020'!$A$126:$AE$153,'Specified Annual Demand'!R$3,FALSE)</f>
        <v>349.69436174997395</v>
      </c>
      <c r="S101" s="7">
        <f>R101*VLOOKUP($B101,'EU Ref Scenario 2020'!$A$126:$AE$153,'Specified Annual Demand'!S$3,FALSE)</f>
        <v>345.96744626526595</v>
      </c>
      <c r="T101" s="7">
        <f>S101*VLOOKUP($B101,'EU Ref Scenario 2020'!$A$126:$AE$153,'Specified Annual Demand'!T$3,FALSE)</f>
        <v>342.24053078055789</v>
      </c>
      <c r="U101" s="7">
        <f>T101*VLOOKUP($B101,'EU Ref Scenario 2020'!$A$126:$AE$153,'Specified Annual Demand'!U$3,FALSE)</f>
        <v>338.51361529584972</v>
      </c>
      <c r="V101" s="7">
        <f>U101*VLOOKUP($B101,'EU Ref Scenario 2020'!$A$126:$AE$153,'Specified Annual Demand'!V$3,FALSE)</f>
        <v>336.75781774871473</v>
      </c>
      <c r="W101" s="7">
        <f>V101*VLOOKUP($B101,'EU Ref Scenario 2020'!$A$126:$AE$153,'Specified Annual Demand'!W$3,FALSE)</f>
        <v>335.00202020157974</v>
      </c>
      <c r="X101" s="7">
        <f>W101*VLOOKUP($B101,'EU Ref Scenario 2020'!$A$126:$AE$153,'Specified Annual Demand'!X$3,FALSE)</f>
        <v>333.24622265444475</v>
      </c>
      <c r="Y101" s="7">
        <f>X101*VLOOKUP($B101,'EU Ref Scenario 2020'!$A$126:$AE$153,'Specified Annual Demand'!Y$3,FALSE)</f>
        <v>331.49042510730976</v>
      </c>
      <c r="Z101" s="7">
        <f>Y101*VLOOKUP($B101,'EU Ref Scenario 2020'!$A$126:$AE$153,'Specified Annual Demand'!Z$3,FALSE)</f>
        <v>329.73462756017477</v>
      </c>
      <c r="AA101" s="7">
        <f>Z101*VLOOKUP($B101,'EU Ref Scenario 2020'!$A$126:$AE$153,'Specified Annual Demand'!AA$3,FALSE)</f>
        <v>328.12040216520336</v>
      </c>
      <c r="AB101" s="7">
        <f>AA101*VLOOKUP($B101,'EU Ref Scenario 2020'!$A$126:$AE$153,'Specified Annual Demand'!AB$3,FALSE)</f>
        <v>326.506176770232</v>
      </c>
      <c r="AC101" s="7">
        <f>AB101*VLOOKUP($B101,'EU Ref Scenario 2020'!$A$126:$AE$153,'Specified Annual Demand'!AC$3,FALSE)</f>
        <v>324.89195137526065</v>
      </c>
      <c r="AD101" s="7">
        <f>AC101*VLOOKUP($B101,'EU Ref Scenario 2020'!$A$126:$AE$153,'Specified Annual Demand'!AD$3,FALSE)</f>
        <v>323.27772598028929</v>
      </c>
      <c r="AE101" s="7">
        <f>AD101*VLOOKUP($B101,'EU Ref Scenario 2020'!$A$126:$AE$153,'Specified Annual Demand'!AE$3,FALSE)</f>
        <v>321.66350058531799</v>
      </c>
      <c r="AF101" s="7">
        <f>AE101*VLOOKUP($B101,'EU Ref Scenario 2020'!$A$126:$AE$153,'Specified Annual Demand'!AF$3,FALSE)</f>
        <v>320.60134136141193</v>
      </c>
      <c r="AG101" s="7">
        <f>AF101*VLOOKUP($B101,'EU Ref Scenario 2020'!$A$126:$AE$153,'Specified Annual Demand'!AG$3,FALSE)</f>
        <v>319.53918213750586</v>
      </c>
      <c r="AH101" s="7">
        <f>AG101*VLOOKUP($B101,'EU Ref Scenario 2020'!$A$126:$AE$153,'Specified Annual Demand'!AH$3,FALSE)</f>
        <v>318.4770229135998</v>
      </c>
      <c r="AI101" s="7">
        <f>AH101*VLOOKUP($B101,'EU Ref Scenario 2020'!$A$126:$AE$153,'Specified Annual Demand'!AI$3,FALSE)</f>
        <v>317.41486368969373</v>
      </c>
      <c r="AJ101" s="7">
        <f>AI101*VLOOKUP($B101,'EU Ref Scenario 2020'!$A$126:$AE$153,'Specified Annual Demand'!AJ$3,FALSE)</f>
        <v>316.35270446578778</v>
      </c>
      <c r="AK101" s="8">
        <f t="shared" ref="AK101:AO101" si="98">AJ101</f>
        <v>316.35270446578778</v>
      </c>
      <c r="AL101" s="8">
        <f t="shared" si="98"/>
        <v>316.35270446578778</v>
      </c>
      <c r="AM101" s="8">
        <f t="shared" si="98"/>
        <v>316.35270446578778</v>
      </c>
      <c r="AN101" s="8">
        <f t="shared" si="98"/>
        <v>316.35270446578778</v>
      </c>
      <c r="AO101" s="8">
        <f t="shared" si="98"/>
        <v>316.35270446578778</v>
      </c>
    </row>
    <row r="102" spans="1:41" x14ac:dyDescent="0.3">
      <c r="A102" t="s">
        <v>146</v>
      </c>
      <c r="B102" t="str">
        <f t="shared" si="66"/>
        <v>SE</v>
      </c>
      <c r="C102" t="s">
        <v>98</v>
      </c>
      <c r="D102" s="2">
        <v>5.9161404662886268</v>
      </c>
      <c r="E102" s="2">
        <v>5.9838486528929664</v>
      </c>
      <c r="F102" s="2">
        <v>5.9901832649964888</v>
      </c>
      <c r="G102" s="2">
        <v>6.2201371352845714</v>
      </c>
      <c r="H102" s="7">
        <f>G102*VLOOKUP($B102,'EU Ref Scenario 2020'!$A$126:$AE$153,'Specified Annual Demand'!H$3,FALSE)</f>
        <v>6.1845194649492647</v>
      </c>
      <c r="I102" s="7">
        <f>H102*VLOOKUP($B102,'EU Ref Scenario 2020'!$A$126:$AE$153,'Specified Annual Demand'!I$3,FALSE)</f>
        <v>6.1489017946139581</v>
      </c>
      <c r="J102" s="7">
        <f>I102*VLOOKUP($B102,'EU Ref Scenario 2020'!$A$126:$AE$153,'Specified Annual Demand'!J$3,FALSE)</f>
        <v>6.1132841242786515</v>
      </c>
      <c r="K102" s="7">
        <f>J102*VLOOKUP($B102,'EU Ref Scenario 2020'!$A$126:$AE$153,'Specified Annual Demand'!K$3,FALSE)</f>
        <v>6.0776664539433467</v>
      </c>
      <c r="L102" s="7">
        <f>K102*VLOOKUP($B102,'EU Ref Scenario 2020'!$A$126:$AE$153,'Specified Annual Demand'!L$3,FALSE)</f>
        <v>6.0673672680881348</v>
      </c>
      <c r="M102" s="7">
        <f>L102*VLOOKUP($B102,'EU Ref Scenario 2020'!$A$126:$AE$153,'Specified Annual Demand'!M$3,FALSE)</f>
        <v>6.0570680822329228</v>
      </c>
      <c r="N102" s="7">
        <f>M102*VLOOKUP($B102,'EU Ref Scenario 2020'!$A$126:$AE$153,'Specified Annual Demand'!N$3,FALSE)</f>
        <v>6.0467688963777109</v>
      </c>
      <c r="O102" s="7">
        <f>N102*VLOOKUP($B102,'EU Ref Scenario 2020'!$A$126:$AE$153,'Specified Annual Demand'!O$3,FALSE)</f>
        <v>6.0364697105224989</v>
      </c>
      <c r="P102" s="7">
        <f>O102*VLOOKUP($B102,'EU Ref Scenario 2020'!$A$126:$AE$153,'Specified Annual Demand'!P$3,FALSE)</f>
        <v>6.0261705246672861</v>
      </c>
      <c r="Q102" s="7">
        <f>P102*VLOOKUP($B102,'EU Ref Scenario 2020'!$A$126:$AE$153,'Specified Annual Demand'!Q$3,FALSE)</f>
        <v>5.9632861850578189</v>
      </c>
      <c r="R102" s="7">
        <f>Q102*VLOOKUP($B102,'EU Ref Scenario 2020'!$A$126:$AE$153,'Specified Annual Demand'!R$3,FALSE)</f>
        <v>5.9004018454483518</v>
      </c>
      <c r="S102" s="7">
        <f>R102*VLOOKUP($B102,'EU Ref Scenario 2020'!$A$126:$AE$153,'Specified Annual Demand'!S$3,FALSE)</f>
        <v>5.8375175058388846</v>
      </c>
      <c r="T102" s="7">
        <f>S102*VLOOKUP($B102,'EU Ref Scenario 2020'!$A$126:$AE$153,'Specified Annual Demand'!T$3,FALSE)</f>
        <v>5.7746331662294175</v>
      </c>
      <c r="U102" s="7">
        <f>T102*VLOOKUP($B102,'EU Ref Scenario 2020'!$A$126:$AE$153,'Specified Annual Demand'!U$3,FALSE)</f>
        <v>5.7117488266199476</v>
      </c>
      <c r="V102" s="7">
        <f>U102*VLOOKUP($B102,'EU Ref Scenario 2020'!$A$126:$AE$153,'Specified Annual Demand'!V$3,FALSE)</f>
        <v>5.6821232100229144</v>
      </c>
      <c r="W102" s="7">
        <f>V102*VLOOKUP($B102,'EU Ref Scenario 2020'!$A$126:$AE$153,'Specified Annual Demand'!W$3,FALSE)</f>
        <v>5.6524975934258812</v>
      </c>
      <c r="X102" s="7">
        <f>W102*VLOOKUP($B102,'EU Ref Scenario 2020'!$A$126:$AE$153,'Specified Annual Demand'!X$3,FALSE)</f>
        <v>5.622871976828848</v>
      </c>
      <c r="Y102" s="7">
        <f>X102*VLOOKUP($B102,'EU Ref Scenario 2020'!$A$126:$AE$153,'Specified Annual Demand'!Y$3,FALSE)</f>
        <v>5.5932463602318148</v>
      </c>
      <c r="Z102" s="7">
        <f>Y102*VLOOKUP($B102,'EU Ref Scenario 2020'!$A$126:$AE$153,'Specified Annual Demand'!Z$3,FALSE)</f>
        <v>5.5636207436347815</v>
      </c>
      <c r="AA102" s="7">
        <f>Z102*VLOOKUP($B102,'EU Ref Scenario 2020'!$A$126:$AE$153,'Specified Annual Demand'!AA$3,FALSE)</f>
        <v>5.5363838775560863</v>
      </c>
      <c r="AB102" s="7">
        <f>AA102*VLOOKUP($B102,'EU Ref Scenario 2020'!$A$126:$AE$153,'Specified Annual Demand'!AB$3,FALSE)</f>
        <v>5.5091470114773919</v>
      </c>
      <c r="AC102" s="7">
        <f>AB102*VLOOKUP($B102,'EU Ref Scenario 2020'!$A$126:$AE$153,'Specified Annual Demand'!AC$3,FALSE)</f>
        <v>5.4819101453986976</v>
      </c>
      <c r="AD102" s="7">
        <f>AC102*VLOOKUP($B102,'EU Ref Scenario 2020'!$A$126:$AE$153,'Specified Annual Demand'!AD$3,FALSE)</f>
        <v>5.4546732793200032</v>
      </c>
      <c r="AE102" s="7">
        <f>AD102*VLOOKUP($B102,'EU Ref Scenario 2020'!$A$126:$AE$153,'Specified Annual Demand'!AE$3,FALSE)</f>
        <v>5.4274364132413098</v>
      </c>
      <c r="AF102" s="7">
        <f>AE102*VLOOKUP($B102,'EU Ref Scenario 2020'!$A$126:$AE$153,'Specified Annual Demand'!AF$3,FALSE)</f>
        <v>5.4095145736853825</v>
      </c>
      <c r="AG102" s="7">
        <f>AF102*VLOOKUP($B102,'EU Ref Scenario 2020'!$A$126:$AE$153,'Specified Annual Demand'!AG$3,FALSE)</f>
        <v>5.3915927341294552</v>
      </c>
      <c r="AH102" s="7">
        <f>AG102*VLOOKUP($B102,'EU Ref Scenario 2020'!$A$126:$AE$153,'Specified Annual Demand'!AH$3,FALSE)</f>
        <v>5.3736708945735279</v>
      </c>
      <c r="AI102" s="7">
        <f>AH102*VLOOKUP($B102,'EU Ref Scenario 2020'!$A$126:$AE$153,'Specified Annual Demand'!AI$3,FALSE)</f>
        <v>5.3557490550176006</v>
      </c>
      <c r="AJ102" s="7">
        <f>AI102*VLOOKUP($B102,'EU Ref Scenario 2020'!$A$126:$AE$153,'Specified Annual Demand'!AJ$3,FALSE)</f>
        <v>5.337827215461675</v>
      </c>
      <c r="AK102" s="8">
        <f t="shared" ref="AK102:AO102" si="99">AJ102</f>
        <v>5.337827215461675</v>
      </c>
      <c r="AL102" s="8">
        <f t="shared" si="99"/>
        <v>5.337827215461675</v>
      </c>
      <c r="AM102" s="8">
        <f t="shared" si="99"/>
        <v>5.337827215461675</v>
      </c>
      <c r="AN102" s="8">
        <f t="shared" si="99"/>
        <v>5.337827215461675</v>
      </c>
      <c r="AO102" s="8">
        <f t="shared" si="99"/>
        <v>5.337827215461675</v>
      </c>
    </row>
    <row r="103" spans="1:41" x14ac:dyDescent="0.3">
      <c r="A103" t="s">
        <v>147</v>
      </c>
      <c r="B103" t="str">
        <f t="shared" si="66"/>
        <v>SE</v>
      </c>
      <c r="C103" t="s">
        <v>99</v>
      </c>
      <c r="D103" s="2">
        <v>15.92834374225926</v>
      </c>
      <c r="E103" s="2">
        <v>16.261755190773791</v>
      </c>
      <c r="F103" s="2">
        <v>15.923650858911991</v>
      </c>
      <c r="G103" s="2">
        <v>16.236169448994481</v>
      </c>
      <c r="H103" s="7">
        <f>G103*VLOOKUP($B103,'EU Ref Scenario 2020'!$A$126:$AE$153,'Specified Annual Demand'!H$3,FALSE)</f>
        <v>16.143198101520159</v>
      </c>
      <c r="I103" s="7">
        <f>H103*VLOOKUP($B103,'EU Ref Scenario 2020'!$A$126:$AE$153,'Specified Annual Demand'!I$3,FALSE)</f>
        <v>16.050226754045841</v>
      </c>
      <c r="J103" s="7">
        <f>I103*VLOOKUP($B103,'EU Ref Scenario 2020'!$A$126:$AE$153,'Specified Annual Demand'!J$3,FALSE)</f>
        <v>15.957255406571523</v>
      </c>
      <c r="K103" s="7">
        <f>J103*VLOOKUP($B103,'EU Ref Scenario 2020'!$A$126:$AE$153,'Specified Annual Demand'!K$3,FALSE)</f>
        <v>15.864284059097209</v>
      </c>
      <c r="L103" s="7">
        <f>K103*VLOOKUP($B103,'EU Ref Scenario 2020'!$A$126:$AE$153,'Specified Annual Demand'!L$3,FALSE)</f>
        <v>15.837400515680885</v>
      </c>
      <c r="M103" s="7">
        <f>L103*VLOOKUP($B103,'EU Ref Scenario 2020'!$A$126:$AE$153,'Specified Annual Demand'!M$3,FALSE)</f>
        <v>15.81051697226456</v>
      </c>
      <c r="N103" s="7">
        <f>M103*VLOOKUP($B103,'EU Ref Scenario 2020'!$A$126:$AE$153,'Specified Annual Demand'!N$3,FALSE)</f>
        <v>15.783633428848237</v>
      </c>
      <c r="O103" s="7">
        <f>N103*VLOOKUP($B103,'EU Ref Scenario 2020'!$A$126:$AE$153,'Specified Annual Demand'!O$3,FALSE)</f>
        <v>15.756749885431914</v>
      </c>
      <c r="P103" s="7">
        <f>O103*VLOOKUP($B103,'EU Ref Scenario 2020'!$A$126:$AE$153,'Specified Annual Demand'!P$3,FALSE)</f>
        <v>15.729866342015589</v>
      </c>
      <c r="Q103" s="7">
        <f>P103*VLOOKUP($B103,'EU Ref Scenario 2020'!$A$126:$AE$153,'Specified Annual Demand'!Q$3,FALSE)</f>
        <v>15.565721923431042</v>
      </c>
      <c r="R103" s="7">
        <f>Q103*VLOOKUP($B103,'EU Ref Scenario 2020'!$A$126:$AE$153,'Specified Annual Demand'!R$3,FALSE)</f>
        <v>15.401577504846497</v>
      </c>
      <c r="S103" s="7">
        <f>R103*VLOOKUP($B103,'EU Ref Scenario 2020'!$A$126:$AE$153,'Specified Annual Demand'!S$3,FALSE)</f>
        <v>15.237433086261952</v>
      </c>
      <c r="T103" s="7">
        <f>S103*VLOOKUP($B103,'EU Ref Scenario 2020'!$A$126:$AE$153,'Specified Annual Demand'!T$3,FALSE)</f>
        <v>15.073288667677406</v>
      </c>
      <c r="U103" s="7">
        <f>T103*VLOOKUP($B103,'EU Ref Scenario 2020'!$A$126:$AE$153,'Specified Annual Demand'!U$3,FALSE)</f>
        <v>14.909144249092854</v>
      </c>
      <c r="V103" s="7">
        <f>U103*VLOOKUP($B103,'EU Ref Scenario 2020'!$A$126:$AE$153,'Specified Annual Demand'!V$3,FALSE)</f>
        <v>14.831813714309014</v>
      </c>
      <c r="W103" s="7">
        <f>V103*VLOOKUP($B103,'EU Ref Scenario 2020'!$A$126:$AE$153,'Specified Annual Demand'!W$3,FALSE)</f>
        <v>14.754483179525174</v>
      </c>
      <c r="X103" s="7">
        <f>W103*VLOOKUP($B103,'EU Ref Scenario 2020'!$A$126:$AE$153,'Specified Annual Demand'!X$3,FALSE)</f>
        <v>14.677152644741334</v>
      </c>
      <c r="Y103" s="7">
        <f>X103*VLOOKUP($B103,'EU Ref Scenario 2020'!$A$126:$AE$153,'Specified Annual Demand'!Y$3,FALSE)</f>
        <v>14.599822109957495</v>
      </c>
      <c r="Z103" s="7">
        <f>Y103*VLOOKUP($B103,'EU Ref Scenario 2020'!$A$126:$AE$153,'Specified Annual Demand'!Z$3,FALSE)</f>
        <v>14.522491575173657</v>
      </c>
      <c r="AA103" s="7">
        <f>Z103*VLOOKUP($B103,'EU Ref Scenario 2020'!$A$126:$AE$153,'Specified Annual Demand'!AA$3,FALSE)</f>
        <v>14.451396298125069</v>
      </c>
      <c r="AB103" s="7">
        <f>AA103*VLOOKUP($B103,'EU Ref Scenario 2020'!$A$126:$AE$153,'Specified Annual Demand'!AB$3,FALSE)</f>
        <v>14.380301021076482</v>
      </c>
      <c r="AC103" s="7">
        <f>AB103*VLOOKUP($B103,'EU Ref Scenario 2020'!$A$126:$AE$153,'Specified Annual Demand'!AC$3,FALSE)</f>
        <v>14.309205744027896</v>
      </c>
      <c r="AD103" s="7">
        <f>AC103*VLOOKUP($B103,'EU Ref Scenario 2020'!$A$126:$AE$153,'Specified Annual Demand'!AD$3,FALSE)</f>
        <v>14.238110466979309</v>
      </c>
      <c r="AE103" s="7">
        <f>AD103*VLOOKUP($B103,'EU Ref Scenario 2020'!$A$126:$AE$153,'Specified Annual Demand'!AE$3,FALSE)</f>
        <v>14.167015189930726</v>
      </c>
      <c r="AF103" s="7">
        <f>AE103*VLOOKUP($B103,'EU Ref Scenario 2020'!$A$126:$AE$153,'Specified Annual Demand'!AF$3,FALSE)</f>
        <v>14.120234545462761</v>
      </c>
      <c r="AG103" s="7">
        <f>AF103*VLOOKUP($B103,'EU Ref Scenario 2020'!$A$126:$AE$153,'Specified Annual Demand'!AG$3,FALSE)</f>
        <v>14.073453900994798</v>
      </c>
      <c r="AH103" s="7">
        <f>AG103*VLOOKUP($B103,'EU Ref Scenario 2020'!$A$126:$AE$153,'Specified Annual Demand'!AH$3,FALSE)</f>
        <v>14.026673256526834</v>
      </c>
      <c r="AI103" s="7">
        <f>AH103*VLOOKUP($B103,'EU Ref Scenario 2020'!$A$126:$AE$153,'Specified Annual Demand'!AI$3,FALSE)</f>
        <v>13.979892612058871</v>
      </c>
      <c r="AJ103" s="7">
        <f>AI103*VLOOKUP($B103,'EU Ref Scenario 2020'!$A$126:$AE$153,'Specified Annual Demand'!AJ$3,FALSE)</f>
        <v>13.933111967590913</v>
      </c>
      <c r="AK103" s="8">
        <f t="shared" ref="AK103:AO103" si="100">AJ103</f>
        <v>13.933111967590913</v>
      </c>
      <c r="AL103" s="8">
        <f t="shared" si="100"/>
        <v>13.933111967590913</v>
      </c>
      <c r="AM103" s="8">
        <f t="shared" si="100"/>
        <v>13.933111967590913</v>
      </c>
      <c r="AN103" s="8">
        <f t="shared" si="100"/>
        <v>13.933111967590913</v>
      </c>
      <c r="AO103" s="8">
        <f t="shared" si="100"/>
        <v>13.933111967590913</v>
      </c>
    </row>
    <row r="104" spans="1:41" x14ac:dyDescent="0.3">
      <c r="A104" t="s">
        <v>148</v>
      </c>
      <c r="B104" t="str">
        <f t="shared" si="66"/>
        <v>SE</v>
      </c>
      <c r="C104" t="s">
        <v>100</v>
      </c>
      <c r="D104" s="2">
        <v>93.740829958819447</v>
      </c>
      <c r="E104" s="2">
        <v>95.045443590292464</v>
      </c>
      <c r="F104" s="2">
        <v>101.38535363178612</v>
      </c>
      <c r="G104" s="2">
        <v>103.25218321720756</v>
      </c>
      <c r="H104" s="7">
        <f>G104*VLOOKUP($B104,'EU Ref Scenario 2020'!$A$126:$AE$153,'Specified Annual Demand'!H$3,FALSE)</f>
        <v>102.66094187586003</v>
      </c>
      <c r="I104" s="7">
        <f>H104*VLOOKUP($B104,'EU Ref Scenario 2020'!$A$126:$AE$153,'Specified Annual Demand'!I$3,FALSE)</f>
        <v>102.06970053451251</v>
      </c>
      <c r="J104" s="7">
        <f>I104*VLOOKUP($B104,'EU Ref Scenario 2020'!$A$126:$AE$153,'Specified Annual Demand'!J$3,FALSE)</f>
        <v>101.47845919316499</v>
      </c>
      <c r="K104" s="7">
        <f>J104*VLOOKUP($B104,'EU Ref Scenario 2020'!$A$126:$AE$153,'Specified Annual Demand'!K$3,FALSE)</f>
        <v>100.8872178518175</v>
      </c>
      <c r="L104" s="7">
        <f>K104*VLOOKUP($B104,'EU Ref Scenario 2020'!$A$126:$AE$153,'Specified Annual Demand'!L$3,FALSE)</f>
        <v>100.71625483254931</v>
      </c>
      <c r="M104" s="7">
        <f>L104*VLOOKUP($B104,'EU Ref Scenario 2020'!$A$126:$AE$153,'Specified Annual Demand'!M$3,FALSE)</f>
        <v>100.54529181328112</v>
      </c>
      <c r="N104" s="7">
        <f>M104*VLOOKUP($B104,'EU Ref Scenario 2020'!$A$126:$AE$153,'Specified Annual Demand'!N$3,FALSE)</f>
        <v>100.37432879401294</v>
      </c>
      <c r="O104" s="7">
        <f>N104*VLOOKUP($B104,'EU Ref Scenario 2020'!$A$126:$AE$153,'Specified Annual Demand'!O$3,FALSE)</f>
        <v>100.20336577474475</v>
      </c>
      <c r="P104" s="7">
        <f>O104*VLOOKUP($B104,'EU Ref Scenario 2020'!$A$126:$AE$153,'Specified Annual Demand'!P$3,FALSE)</f>
        <v>100.03240275547655</v>
      </c>
      <c r="Q104" s="7">
        <f>P104*VLOOKUP($B104,'EU Ref Scenario 2020'!$A$126:$AE$153,'Specified Annual Demand'!Q$3,FALSE)</f>
        <v>98.988543880080101</v>
      </c>
      <c r="R104" s="7">
        <f>Q104*VLOOKUP($B104,'EU Ref Scenario 2020'!$A$126:$AE$153,'Specified Annual Demand'!R$3,FALSE)</f>
        <v>97.944685004683663</v>
      </c>
      <c r="S104" s="7">
        <f>R104*VLOOKUP($B104,'EU Ref Scenario 2020'!$A$126:$AE$153,'Specified Annual Demand'!S$3,FALSE)</f>
        <v>96.900826129287225</v>
      </c>
      <c r="T104" s="7">
        <f>S104*VLOOKUP($B104,'EU Ref Scenario 2020'!$A$126:$AE$153,'Specified Annual Demand'!T$3,FALSE)</f>
        <v>95.856967253890772</v>
      </c>
      <c r="U104" s="7">
        <f>T104*VLOOKUP($B104,'EU Ref Scenario 2020'!$A$126:$AE$153,'Specified Annual Demand'!U$3,FALSE)</f>
        <v>94.813108378494292</v>
      </c>
      <c r="V104" s="7">
        <f>U104*VLOOKUP($B104,'EU Ref Scenario 2020'!$A$126:$AE$153,'Specified Annual Demand'!V$3,FALSE)</f>
        <v>94.321333112729235</v>
      </c>
      <c r="W104" s="7">
        <f>V104*VLOOKUP($B104,'EU Ref Scenario 2020'!$A$126:$AE$153,'Specified Annual Demand'!W$3,FALSE)</f>
        <v>93.829557846964178</v>
      </c>
      <c r="X104" s="7">
        <f>W104*VLOOKUP($B104,'EU Ref Scenario 2020'!$A$126:$AE$153,'Specified Annual Demand'!X$3,FALSE)</f>
        <v>93.337782581199122</v>
      </c>
      <c r="Y104" s="7">
        <f>X104*VLOOKUP($B104,'EU Ref Scenario 2020'!$A$126:$AE$153,'Specified Annual Demand'!Y$3,FALSE)</f>
        <v>92.846007315434079</v>
      </c>
      <c r="Z104" s="7">
        <f>Y104*VLOOKUP($B104,'EU Ref Scenario 2020'!$A$126:$AE$153,'Specified Annual Demand'!Z$3,FALSE)</f>
        <v>92.354232049669037</v>
      </c>
      <c r="AA104" s="7">
        <f>Z104*VLOOKUP($B104,'EU Ref Scenario 2020'!$A$126:$AE$153,'Specified Annual Demand'!AA$3,FALSE)</f>
        <v>91.902109238635333</v>
      </c>
      <c r="AB104" s="7">
        <f>AA104*VLOOKUP($B104,'EU Ref Scenario 2020'!$A$126:$AE$153,'Specified Annual Demand'!AB$3,FALSE)</f>
        <v>91.449986427601644</v>
      </c>
      <c r="AC104" s="7">
        <f>AB104*VLOOKUP($B104,'EU Ref Scenario 2020'!$A$126:$AE$153,'Specified Annual Demand'!AC$3,FALSE)</f>
        <v>90.997863616567955</v>
      </c>
      <c r="AD104" s="7">
        <f>AC104*VLOOKUP($B104,'EU Ref Scenario 2020'!$A$126:$AE$153,'Specified Annual Demand'!AD$3,FALSE)</f>
        <v>90.545740805534265</v>
      </c>
      <c r="AE104" s="7">
        <f>AD104*VLOOKUP($B104,'EU Ref Scenario 2020'!$A$126:$AE$153,'Specified Annual Demand'!AE$3,FALSE)</f>
        <v>90.09361799450059</v>
      </c>
      <c r="AF104" s="7">
        <f>AE104*VLOOKUP($B104,'EU Ref Scenario 2020'!$A$126:$AE$153,'Specified Annual Demand'!AF$3,FALSE)</f>
        <v>89.796121489010218</v>
      </c>
      <c r="AG104" s="7">
        <f>AF104*VLOOKUP($B104,'EU Ref Scenario 2020'!$A$126:$AE$153,'Specified Annual Demand'!AG$3,FALSE)</f>
        <v>89.498624983519861</v>
      </c>
      <c r="AH104" s="7">
        <f>AG104*VLOOKUP($B104,'EU Ref Scenario 2020'!$A$126:$AE$153,'Specified Annual Demand'!AH$3,FALSE)</f>
        <v>89.201128478029503</v>
      </c>
      <c r="AI104" s="7">
        <f>AH104*VLOOKUP($B104,'EU Ref Scenario 2020'!$A$126:$AE$153,'Specified Annual Demand'!AI$3,FALSE)</f>
        <v>88.903631972539145</v>
      </c>
      <c r="AJ104" s="7">
        <f>AI104*VLOOKUP($B104,'EU Ref Scenario 2020'!$A$126:$AE$153,'Specified Annual Demand'!AJ$3,FALSE)</f>
        <v>88.606135467048816</v>
      </c>
      <c r="AK104" s="8">
        <f t="shared" ref="AK104:AO104" si="101">AJ104</f>
        <v>88.606135467048816</v>
      </c>
      <c r="AL104" s="8">
        <f t="shared" si="101"/>
        <v>88.606135467048816</v>
      </c>
      <c r="AM104" s="8">
        <f t="shared" si="101"/>
        <v>88.606135467048816</v>
      </c>
      <c r="AN104" s="8">
        <f t="shared" si="101"/>
        <v>88.606135467048816</v>
      </c>
      <c r="AO104" s="8">
        <f t="shared" si="101"/>
        <v>88.606135467048816</v>
      </c>
    </row>
    <row r="105" spans="1:41" x14ac:dyDescent="0.3">
      <c r="A105" t="s">
        <v>145</v>
      </c>
      <c r="B105" t="str">
        <f t="shared" si="66"/>
        <v>SI</v>
      </c>
      <c r="C105" t="s">
        <v>101</v>
      </c>
      <c r="D105" s="2">
        <v>35.927363977890394</v>
      </c>
      <c r="E105" s="2">
        <v>35.172371802045873</v>
      </c>
      <c r="F105" s="2">
        <v>35.391174962378273</v>
      </c>
      <c r="G105" s="2">
        <v>38.020123656386779</v>
      </c>
      <c r="H105" s="7">
        <f>G105*VLOOKUP($B105,'EU Ref Scenario 2020'!$A$126:$AE$153,'Specified Annual Demand'!H$3,FALSE)</f>
        <v>39.225850769458496</v>
      </c>
      <c r="I105" s="7">
        <f>H105*VLOOKUP($B105,'EU Ref Scenario 2020'!$A$126:$AE$153,'Specified Annual Demand'!I$3,FALSE)</f>
        <v>40.431577882530213</v>
      </c>
      <c r="J105" s="7">
        <f>I105*VLOOKUP($B105,'EU Ref Scenario 2020'!$A$126:$AE$153,'Specified Annual Demand'!J$3,FALSE)</f>
        <v>41.63730499560193</v>
      </c>
      <c r="K105" s="7">
        <f>J105*VLOOKUP($B105,'EU Ref Scenario 2020'!$A$126:$AE$153,'Specified Annual Demand'!K$3,FALSE)</f>
        <v>42.843032108673654</v>
      </c>
      <c r="L105" s="7">
        <f>K105*VLOOKUP($B105,'EU Ref Scenario 2020'!$A$126:$AE$153,'Specified Annual Demand'!L$3,FALSE)</f>
        <v>42.651504275837915</v>
      </c>
      <c r="M105" s="7">
        <f>L105*VLOOKUP($B105,'EU Ref Scenario 2020'!$A$126:$AE$153,'Specified Annual Demand'!M$3,FALSE)</f>
        <v>42.459976443002176</v>
      </c>
      <c r="N105" s="7">
        <f>M105*VLOOKUP($B105,'EU Ref Scenario 2020'!$A$126:$AE$153,'Specified Annual Demand'!N$3,FALSE)</f>
        <v>42.268448610166438</v>
      </c>
      <c r="O105" s="7">
        <f>N105*VLOOKUP($B105,'EU Ref Scenario 2020'!$A$126:$AE$153,'Specified Annual Demand'!O$3,FALSE)</f>
        <v>42.076920777330699</v>
      </c>
      <c r="P105" s="7">
        <f>O105*VLOOKUP($B105,'EU Ref Scenario 2020'!$A$126:$AE$153,'Specified Annual Demand'!P$3,FALSE)</f>
        <v>41.885392944494953</v>
      </c>
      <c r="Q105" s="7">
        <f>P105*VLOOKUP($B105,'EU Ref Scenario 2020'!$A$126:$AE$153,'Specified Annual Demand'!Q$3,FALSE)</f>
        <v>41.824012897374487</v>
      </c>
      <c r="R105" s="7">
        <f>Q105*VLOOKUP($B105,'EU Ref Scenario 2020'!$A$126:$AE$153,'Specified Annual Demand'!R$3,FALSE)</f>
        <v>41.762632850254022</v>
      </c>
      <c r="S105" s="7">
        <f>R105*VLOOKUP($B105,'EU Ref Scenario 2020'!$A$126:$AE$153,'Specified Annual Demand'!S$3,FALSE)</f>
        <v>41.701252803133556</v>
      </c>
      <c r="T105" s="7">
        <f>S105*VLOOKUP($B105,'EU Ref Scenario 2020'!$A$126:$AE$153,'Specified Annual Demand'!T$3,FALSE)</f>
        <v>41.639872756013091</v>
      </c>
      <c r="U105" s="7">
        <f>T105*VLOOKUP($B105,'EU Ref Scenario 2020'!$A$126:$AE$153,'Specified Annual Demand'!U$3,FALSE)</f>
        <v>41.578492708892618</v>
      </c>
      <c r="V105" s="7">
        <f>U105*VLOOKUP($B105,'EU Ref Scenario 2020'!$A$126:$AE$153,'Specified Annual Demand'!V$3,FALSE)</f>
        <v>41.416174945124617</v>
      </c>
      <c r="W105" s="7">
        <f>V105*VLOOKUP($B105,'EU Ref Scenario 2020'!$A$126:$AE$153,'Specified Annual Demand'!W$3,FALSE)</f>
        <v>41.253857181356615</v>
      </c>
      <c r="X105" s="7">
        <f>W105*VLOOKUP($B105,'EU Ref Scenario 2020'!$A$126:$AE$153,'Specified Annual Demand'!X$3,FALSE)</f>
        <v>41.091539417588614</v>
      </c>
      <c r="Y105" s="7">
        <f>X105*VLOOKUP($B105,'EU Ref Scenario 2020'!$A$126:$AE$153,'Specified Annual Demand'!Y$3,FALSE)</f>
        <v>40.929221653820612</v>
      </c>
      <c r="Z105" s="7">
        <f>Y105*VLOOKUP($B105,'EU Ref Scenario 2020'!$A$126:$AE$153,'Specified Annual Demand'!Z$3,FALSE)</f>
        <v>40.766903890052617</v>
      </c>
      <c r="AA105" s="7">
        <f>Z105*VLOOKUP($B105,'EU Ref Scenario 2020'!$A$126:$AE$153,'Specified Annual Demand'!AA$3,FALSE)</f>
        <v>40.76386485041445</v>
      </c>
      <c r="AB105" s="7">
        <f>AA105*VLOOKUP($B105,'EU Ref Scenario 2020'!$A$126:$AE$153,'Specified Annual Demand'!AB$3,FALSE)</f>
        <v>40.760825810776282</v>
      </c>
      <c r="AC105" s="7">
        <f>AB105*VLOOKUP($B105,'EU Ref Scenario 2020'!$A$126:$AE$153,'Specified Annual Demand'!AC$3,FALSE)</f>
        <v>40.757786771138115</v>
      </c>
      <c r="AD105" s="7">
        <f>AC105*VLOOKUP($B105,'EU Ref Scenario 2020'!$A$126:$AE$153,'Specified Annual Demand'!AD$3,FALSE)</f>
        <v>40.754747731499954</v>
      </c>
      <c r="AE105" s="7">
        <f>AD105*VLOOKUP($B105,'EU Ref Scenario 2020'!$A$126:$AE$153,'Specified Annual Demand'!AE$3,FALSE)</f>
        <v>40.751708691861779</v>
      </c>
      <c r="AF105" s="7">
        <f>AE105*VLOOKUP($B105,'EU Ref Scenario 2020'!$A$126:$AE$153,'Specified Annual Demand'!AF$3,FALSE)</f>
        <v>40.636703456691237</v>
      </c>
      <c r="AG105" s="7">
        <f>AF105*VLOOKUP($B105,'EU Ref Scenario 2020'!$A$126:$AE$153,'Specified Annual Demand'!AG$3,FALSE)</f>
        <v>40.521698221520701</v>
      </c>
      <c r="AH105" s="7">
        <f>AG105*VLOOKUP($B105,'EU Ref Scenario 2020'!$A$126:$AE$153,'Specified Annual Demand'!AH$3,FALSE)</f>
        <v>40.406692986350158</v>
      </c>
      <c r="AI105" s="7">
        <f>AH105*VLOOKUP($B105,'EU Ref Scenario 2020'!$A$126:$AE$153,'Specified Annual Demand'!AI$3,FALSE)</f>
        <v>40.291687751179623</v>
      </c>
      <c r="AJ105" s="7">
        <f>AI105*VLOOKUP($B105,'EU Ref Scenario 2020'!$A$126:$AE$153,'Specified Annual Demand'!AJ$3,FALSE)</f>
        <v>40.176682516009095</v>
      </c>
      <c r="AK105" s="8">
        <f t="shared" ref="AK105:AO105" si="102">AJ105</f>
        <v>40.176682516009095</v>
      </c>
      <c r="AL105" s="8">
        <f t="shared" si="102"/>
        <v>40.176682516009095</v>
      </c>
      <c r="AM105" s="8">
        <f t="shared" si="102"/>
        <v>40.176682516009095</v>
      </c>
      <c r="AN105" s="8">
        <f t="shared" si="102"/>
        <v>40.176682516009095</v>
      </c>
      <c r="AO105" s="8">
        <f t="shared" si="102"/>
        <v>40.176682516009095</v>
      </c>
    </row>
    <row r="106" spans="1:41" x14ac:dyDescent="0.3">
      <c r="A106" t="s">
        <v>146</v>
      </c>
      <c r="B106" t="str">
        <f t="shared" si="66"/>
        <v>SI</v>
      </c>
      <c r="C106" t="s">
        <v>102</v>
      </c>
      <c r="D106" s="2">
        <v>1.6430773244496579</v>
      </c>
      <c r="E106" s="2">
        <v>2.0344862924790958</v>
      </c>
      <c r="F106" s="2">
        <v>1.6573086853939676</v>
      </c>
      <c r="G106" s="2">
        <v>2.4319970588133488</v>
      </c>
      <c r="H106" s="7">
        <f>G106*VLOOKUP($B106,'EU Ref Scenario 2020'!$A$126:$AE$153,'Specified Annual Demand'!H$3,FALSE)</f>
        <v>2.50912265733121</v>
      </c>
      <c r="I106" s="7">
        <f>H106*VLOOKUP($B106,'EU Ref Scenario 2020'!$A$126:$AE$153,'Specified Annual Demand'!I$3,FALSE)</f>
        <v>2.5862482558490711</v>
      </c>
      <c r="J106" s="7">
        <f>I106*VLOOKUP($B106,'EU Ref Scenario 2020'!$A$126:$AE$153,'Specified Annual Demand'!J$3,FALSE)</f>
        <v>2.6633738543669323</v>
      </c>
      <c r="K106" s="7">
        <f>J106*VLOOKUP($B106,'EU Ref Scenario 2020'!$A$126:$AE$153,'Specified Annual Demand'!K$3,FALSE)</f>
        <v>2.7404994528847939</v>
      </c>
      <c r="L106" s="7">
        <f>K106*VLOOKUP($B106,'EU Ref Scenario 2020'!$A$126:$AE$153,'Specified Annual Demand'!L$3,FALSE)</f>
        <v>2.7282481743159206</v>
      </c>
      <c r="M106" s="7">
        <f>L106*VLOOKUP($B106,'EU Ref Scenario 2020'!$A$126:$AE$153,'Specified Annual Demand'!M$3,FALSE)</f>
        <v>2.7159968957470468</v>
      </c>
      <c r="N106" s="7">
        <f>M106*VLOOKUP($B106,'EU Ref Scenario 2020'!$A$126:$AE$153,'Specified Annual Demand'!N$3,FALSE)</f>
        <v>2.7037456171781735</v>
      </c>
      <c r="O106" s="7">
        <f>N106*VLOOKUP($B106,'EU Ref Scenario 2020'!$A$126:$AE$153,'Specified Annual Demand'!O$3,FALSE)</f>
        <v>2.6914943386093002</v>
      </c>
      <c r="P106" s="7">
        <f>O106*VLOOKUP($B106,'EU Ref Scenario 2020'!$A$126:$AE$153,'Specified Annual Demand'!P$3,FALSE)</f>
        <v>2.679243060040426</v>
      </c>
      <c r="Q106" s="7">
        <f>P106*VLOOKUP($B106,'EU Ref Scenario 2020'!$A$126:$AE$153,'Specified Annual Demand'!Q$3,FALSE)</f>
        <v>2.6753168209935487</v>
      </c>
      <c r="R106" s="7">
        <f>Q106*VLOOKUP($B106,'EU Ref Scenario 2020'!$A$126:$AE$153,'Specified Annual Demand'!R$3,FALSE)</f>
        <v>2.6713905819466714</v>
      </c>
      <c r="S106" s="7">
        <f>R106*VLOOKUP($B106,'EU Ref Scenario 2020'!$A$126:$AE$153,'Specified Annual Demand'!S$3,FALSE)</f>
        <v>2.6674643428997946</v>
      </c>
      <c r="T106" s="7">
        <f>S106*VLOOKUP($B106,'EU Ref Scenario 2020'!$A$126:$AE$153,'Specified Annual Demand'!T$3,FALSE)</f>
        <v>2.6635381038529178</v>
      </c>
      <c r="U106" s="7">
        <f>T106*VLOOKUP($B106,'EU Ref Scenario 2020'!$A$126:$AE$153,'Specified Annual Demand'!U$3,FALSE)</f>
        <v>2.6596118648060405</v>
      </c>
      <c r="V106" s="7">
        <f>U106*VLOOKUP($B106,'EU Ref Scenario 2020'!$A$126:$AE$153,'Specified Annual Demand'!V$3,FALSE)</f>
        <v>2.6492290389203434</v>
      </c>
      <c r="W106" s="7">
        <f>V106*VLOOKUP($B106,'EU Ref Scenario 2020'!$A$126:$AE$153,'Specified Annual Demand'!W$3,FALSE)</f>
        <v>2.6388462130346464</v>
      </c>
      <c r="X106" s="7">
        <f>W106*VLOOKUP($B106,'EU Ref Scenario 2020'!$A$126:$AE$153,'Specified Annual Demand'!X$3,FALSE)</f>
        <v>2.6284633871489493</v>
      </c>
      <c r="Y106" s="7">
        <f>X106*VLOOKUP($B106,'EU Ref Scenario 2020'!$A$126:$AE$153,'Specified Annual Demand'!Y$3,FALSE)</f>
        <v>2.6180805612632523</v>
      </c>
      <c r="Z106" s="7">
        <f>Y106*VLOOKUP($B106,'EU Ref Scenario 2020'!$A$126:$AE$153,'Specified Annual Demand'!Z$3,FALSE)</f>
        <v>2.6076977353775557</v>
      </c>
      <c r="AA106" s="7">
        <f>Z106*VLOOKUP($B106,'EU Ref Scenario 2020'!$A$126:$AE$153,'Specified Annual Demand'!AA$3,FALSE)</f>
        <v>2.6075033400218639</v>
      </c>
      <c r="AB106" s="7">
        <f>AA106*VLOOKUP($B106,'EU Ref Scenario 2020'!$A$126:$AE$153,'Specified Annual Demand'!AB$3,FALSE)</f>
        <v>2.6073089446661717</v>
      </c>
      <c r="AC106" s="7">
        <f>AB106*VLOOKUP($B106,'EU Ref Scenario 2020'!$A$126:$AE$153,'Specified Annual Demand'!AC$3,FALSE)</f>
        <v>2.6071145493104799</v>
      </c>
      <c r="AD106" s="7">
        <f>AC106*VLOOKUP($B106,'EU Ref Scenario 2020'!$A$126:$AE$153,'Specified Annual Demand'!AD$3,FALSE)</f>
        <v>2.6069201539547882</v>
      </c>
      <c r="AE106" s="7">
        <f>AD106*VLOOKUP($B106,'EU Ref Scenario 2020'!$A$126:$AE$153,'Specified Annual Demand'!AE$3,FALSE)</f>
        <v>2.6067257585990959</v>
      </c>
      <c r="AF106" s="7">
        <f>AE106*VLOOKUP($B106,'EU Ref Scenario 2020'!$A$126:$AE$153,'Specified Annual Demand'!AF$3,FALSE)</f>
        <v>2.5993693281936965</v>
      </c>
      <c r="AG106" s="7">
        <f>AF106*VLOOKUP($B106,'EU Ref Scenario 2020'!$A$126:$AE$153,'Specified Annual Demand'!AG$3,FALSE)</f>
        <v>2.592012897788297</v>
      </c>
      <c r="AH106" s="7">
        <f>AG106*VLOOKUP($B106,'EU Ref Scenario 2020'!$A$126:$AE$153,'Specified Annual Demand'!AH$3,FALSE)</f>
        <v>2.5846564673828976</v>
      </c>
      <c r="AI106" s="7">
        <f>AH106*VLOOKUP($B106,'EU Ref Scenario 2020'!$A$126:$AE$153,'Specified Annual Demand'!AI$3,FALSE)</f>
        <v>2.5773000369774981</v>
      </c>
      <c r="AJ106" s="7">
        <f>AI106*VLOOKUP($B106,'EU Ref Scenario 2020'!$A$126:$AE$153,'Specified Annual Demand'!AJ$3,FALSE)</f>
        <v>2.5699436065720995</v>
      </c>
      <c r="AK106" s="8">
        <f t="shared" ref="AK106:AO106" si="103">AJ106</f>
        <v>2.5699436065720995</v>
      </c>
      <c r="AL106" s="8">
        <f t="shared" si="103"/>
        <v>2.5699436065720995</v>
      </c>
      <c r="AM106" s="8">
        <f t="shared" si="103"/>
        <v>2.5699436065720995</v>
      </c>
      <c r="AN106" s="8">
        <f t="shared" si="103"/>
        <v>2.5699436065720995</v>
      </c>
      <c r="AO106" s="8">
        <f t="shared" si="103"/>
        <v>2.5699436065720995</v>
      </c>
    </row>
    <row r="107" spans="1:41" x14ac:dyDescent="0.3">
      <c r="A107" t="s">
        <v>147</v>
      </c>
      <c r="B107" t="str">
        <f t="shared" si="66"/>
        <v>SI</v>
      </c>
      <c r="C107" t="s">
        <v>103</v>
      </c>
      <c r="D107" s="2">
        <v>3.0693973375939838</v>
      </c>
      <c r="E107" s="2">
        <v>3.1328783875776085</v>
      </c>
      <c r="F107" s="2">
        <v>3.4262988886519894</v>
      </c>
      <c r="G107" s="2">
        <v>3.3804375207529733</v>
      </c>
      <c r="H107" s="7">
        <f>G107*VLOOKUP($B107,'EU Ref Scenario 2020'!$A$126:$AE$153,'Specified Annual Demand'!H$3,FALSE)</f>
        <v>3.487640885204212</v>
      </c>
      <c r="I107" s="7">
        <f>H107*VLOOKUP($B107,'EU Ref Scenario 2020'!$A$126:$AE$153,'Specified Annual Demand'!I$3,FALSE)</f>
        <v>3.5948442496554507</v>
      </c>
      <c r="J107" s="7">
        <f>I107*VLOOKUP($B107,'EU Ref Scenario 2020'!$A$126:$AE$153,'Specified Annual Demand'!J$3,FALSE)</f>
        <v>3.7020476141066894</v>
      </c>
      <c r="K107" s="7">
        <f>J107*VLOOKUP($B107,'EU Ref Scenario 2020'!$A$126:$AE$153,'Specified Annual Demand'!K$3,FALSE)</f>
        <v>3.8092509785579285</v>
      </c>
      <c r="L107" s="7">
        <f>K107*VLOOKUP($B107,'EU Ref Scenario 2020'!$A$126:$AE$153,'Specified Annual Demand'!L$3,FALSE)</f>
        <v>3.7922218947433191</v>
      </c>
      <c r="M107" s="7">
        <f>L107*VLOOKUP($B107,'EU Ref Scenario 2020'!$A$126:$AE$153,'Specified Annual Demand'!M$3,FALSE)</f>
        <v>3.7751928109287092</v>
      </c>
      <c r="N107" s="7">
        <f>M107*VLOOKUP($B107,'EU Ref Scenario 2020'!$A$126:$AE$153,'Specified Annual Demand'!N$3,FALSE)</f>
        <v>3.7581637271140997</v>
      </c>
      <c r="O107" s="7">
        <f>N107*VLOOKUP($B107,'EU Ref Scenario 2020'!$A$126:$AE$153,'Specified Annual Demand'!O$3,FALSE)</f>
        <v>3.7411346432994903</v>
      </c>
      <c r="P107" s="7">
        <f>O107*VLOOKUP($B107,'EU Ref Scenario 2020'!$A$126:$AE$153,'Specified Annual Demand'!P$3,FALSE)</f>
        <v>3.72410555948488</v>
      </c>
      <c r="Q107" s="7">
        <f>P107*VLOOKUP($B107,'EU Ref Scenario 2020'!$A$126:$AE$153,'Specified Annual Demand'!Q$3,FALSE)</f>
        <v>3.7186481491885104</v>
      </c>
      <c r="R107" s="7">
        <f>Q107*VLOOKUP($B107,'EU Ref Scenario 2020'!$A$126:$AE$153,'Specified Annual Demand'!R$3,FALSE)</f>
        <v>3.7131907388921408</v>
      </c>
      <c r="S107" s="7">
        <f>R107*VLOOKUP($B107,'EU Ref Scenario 2020'!$A$126:$AE$153,'Specified Annual Demand'!S$3,FALSE)</f>
        <v>3.7077333285957712</v>
      </c>
      <c r="T107" s="7">
        <f>S107*VLOOKUP($B107,'EU Ref Scenario 2020'!$A$126:$AE$153,'Specified Annual Demand'!T$3,FALSE)</f>
        <v>3.7022759182994021</v>
      </c>
      <c r="U107" s="7">
        <f>T107*VLOOKUP($B107,'EU Ref Scenario 2020'!$A$126:$AE$153,'Specified Annual Demand'!U$3,FALSE)</f>
        <v>3.696818508003032</v>
      </c>
      <c r="V107" s="7">
        <f>U107*VLOOKUP($B107,'EU Ref Scenario 2020'!$A$126:$AE$153,'Specified Annual Demand'!V$3,FALSE)</f>
        <v>3.6823865439230339</v>
      </c>
      <c r="W107" s="7">
        <f>V107*VLOOKUP($B107,'EU Ref Scenario 2020'!$A$126:$AE$153,'Specified Annual Demand'!W$3,FALSE)</f>
        <v>3.6679545798430353</v>
      </c>
      <c r="X107" s="7">
        <f>W107*VLOOKUP($B107,'EU Ref Scenario 2020'!$A$126:$AE$153,'Specified Annual Demand'!X$3,FALSE)</f>
        <v>3.6535226157630372</v>
      </c>
      <c r="Y107" s="7">
        <f>X107*VLOOKUP($B107,'EU Ref Scenario 2020'!$A$126:$AE$153,'Specified Annual Demand'!Y$3,FALSE)</f>
        <v>3.6390906516830386</v>
      </c>
      <c r="Z107" s="7">
        <f>Y107*VLOOKUP($B107,'EU Ref Scenario 2020'!$A$126:$AE$153,'Specified Annual Demand'!Z$3,FALSE)</f>
        <v>3.6246586876030409</v>
      </c>
      <c r="AA107" s="7">
        <f>Z107*VLOOKUP($B107,'EU Ref Scenario 2020'!$A$126:$AE$153,'Specified Annual Demand'!AA$3,FALSE)</f>
        <v>3.6243884811273137</v>
      </c>
      <c r="AB107" s="7">
        <f>AA107*VLOOKUP($B107,'EU Ref Scenario 2020'!$A$126:$AE$153,'Specified Annual Demand'!AB$3,FALSE)</f>
        <v>3.6241182746515861</v>
      </c>
      <c r="AC107" s="7">
        <f>AB107*VLOOKUP($B107,'EU Ref Scenario 2020'!$A$126:$AE$153,'Specified Annual Demand'!AC$3,FALSE)</f>
        <v>3.6238480681758589</v>
      </c>
      <c r="AD107" s="7">
        <f>AC107*VLOOKUP($B107,'EU Ref Scenario 2020'!$A$126:$AE$153,'Specified Annual Demand'!AD$3,FALSE)</f>
        <v>3.6235778617001317</v>
      </c>
      <c r="AE107" s="7">
        <f>AD107*VLOOKUP($B107,'EU Ref Scenario 2020'!$A$126:$AE$153,'Specified Annual Demand'!AE$3,FALSE)</f>
        <v>3.6233076552244037</v>
      </c>
      <c r="AF107" s="7">
        <f>AE107*VLOOKUP($B107,'EU Ref Scenario 2020'!$A$126:$AE$153,'Specified Annual Demand'!AF$3,FALSE)</f>
        <v>3.6130823330879722</v>
      </c>
      <c r="AG107" s="7">
        <f>AF107*VLOOKUP($B107,'EU Ref Scenario 2020'!$A$126:$AE$153,'Specified Annual Demand'!AG$3,FALSE)</f>
        <v>3.6028570109515408</v>
      </c>
      <c r="AH107" s="7">
        <f>AG107*VLOOKUP($B107,'EU Ref Scenario 2020'!$A$126:$AE$153,'Specified Annual Demand'!AH$3,FALSE)</f>
        <v>3.5926316888151093</v>
      </c>
      <c r="AI107" s="7">
        <f>AH107*VLOOKUP($B107,'EU Ref Scenario 2020'!$A$126:$AE$153,'Specified Annual Demand'!AI$3,FALSE)</f>
        <v>3.5824063666786778</v>
      </c>
      <c r="AJ107" s="7">
        <f>AI107*VLOOKUP($B107,'EU Ref Scenario 2020'!$A$126:$AE$153,'Specified Annual Demand'!AJ$3,FALSE)</f>
        <v>3.5721810445422473</v>
      </c>
      <c r="AK107" s="8">
        <f t="shared" ref="AK107:AO107" si="104">AJ107</f>
        <v>3.5721810445422473</v>
      </c>
      <c r="AL107" s="8">
        <f t="shared" si="104"/>
        <v>3.5721810445422473</v>
      </c>
      <c r="AM107" s="8">
        <f t="shared" si="104"/>
        <v>3.5721810445422473</v>
      </c>
      <c r="AN107" s="8">
        <f t="shared" si="104"/>
        <v>3.5721810445422473</v>
      </c>
      <c r="AO107" s="8">
        <f t="shared" si="104"/>
        <v>3.5721810445422473</v>
      </c>
    </row>
    <row r="108" spans="1:41" x14ac:dyDescent="0.3">
      <c r="A108" t="s">
        <v>148</v>
      </c>
      <c r="B108" t="str">
        <f t="shared" si="66"/>
        <v>SI</v>
      </c>
      <c r="C108" t="s">
        <v>104</v>
      </c>
      <c r="D108" s="2">
        <v>13.067825430063722</v>
      </c>
      <c r="E108" s="2">
        <v>12.866178724021017</v>
      </c>
      <c r="F108" s="2">
        <v>12.661417643369646</v>
      </c>
      <c r="G108" s="2">
        <v>12.982240816038043</v>
      </c>
      <c r="H108" s="7">
        <f>G108*VLOOKUP($B108,'EU Ref Scenario 2020'!$A$126:$AE$153,'Specified Annual Demand'!H$3,FALSE)</f>
        <v>13.393944888381162</v>
      </c>
      <c r="I108" s="7">
        <f>H108*VLOOKUP($B108,'EU Ref Scenario 2020'!$A$126:$AE$153,'Specified Annual Demand'!I$3,FALSE)</f>
        <v>13.80564896072428</v>
      </c>
      <c r="J108" s="7">
        <f>I108*VLOOKUP($B108,'EU Ref Scenario 2020'!$A$126:$AE$153,'Specified Annual Demand'!J$3,FALSE)</f>
        <v>14.217353033067399</v>
      </c>
      <c r="K108" s="7">
        <f>J108*VLOOKUP($B108,'EU Ref Scenario 2020'!$A$126:$AE$153,'Specified Annual Demand'!K$3,FALSE)</f>
        <v>14.629057105410519</v>
      </c>
      <c r="L108" s="7">
        <f>K108*VLOOKUP($B108,'EU Ref Scenario 2020'!$A$126:$AE$153,'Specified Annual Demand'!L$3,FALSE)</f>
        <v>14.563658568800822</v>
      </c>
      <c r="M108" s="7">
        <f>L108*VLOOKUP($B108,'EU Ref Scenario 2020'!$A$126:$AE$153,'Specified Annual Demand'!M$3,FALSE)</f>
        <v>14.498260032191125</v>
      </c>
      <c r="N108" s="7">
        <f>M108*VLOOKUP($B108,'EU Ref Scenario 2020'!$A$126:$AE$153,'Specified Annual Demand'!N$3,FALSE)</f>
        <v>14.432861495581427</v>
      </c>
      <c r="O108" s="7">
        <f>N108*VLOOKUP($B108,'EU Ref Scenario 2020'!$A$126:$AE$153,'Specified Annual Demand'!O$3,FALSE)</f>
        <v>14.36746295897173</v>
      </c>
      <c r="P108" s="7">
        <f>O108*VLOOKUP($B108,'EU Ref Scenario 2020'!$A$126:$AE$153,'Specified Annual Demand'!P$3,FALSE)</f>
        <v>14.302064422362029</v>
      </c>
      <c r="Q108" s="7">
        <f>P108*VLOOKUP($B108,'EU Ref Scenario 2020'!$A$126:$AE$153,'Specified Annual Demand'!Q$3,FALSE)</f>
        <v>14.281105770038346</v>
      </c>
      <c r="R108" s="7">
        <f>Q108*VLOOKUP($B108,'EU Ref Scenario 2020'!$A$126:$AE$153,'Specified Annual Demand'!R$3,FALSE)</f>
        <v>14.260147117714663</v>
      </c>
      <c r="S108" s="7">
        <f>R108*VLOOKUP($B108,'EU Ref Scenario 2020'!$A$126:$AE$153,'Specified Annual Demand'!S$3,FALSE)</f>
        <v>14.239188465390979</v>
      </c>
      <c r="T108" s="7">
        <f>S108*VLOOKUP($B108,'EU Ref Scenario 2020'!$A$126:$AE$153,'Specified Annual Demand'!T$3,FALSE)</f>
        <v>14.218229813067296</v>
      </c>
      <c r="U108" s="7">
        <f>T108*VLOOKUP($B108,'EU Ref Scenario 2020'!$A$126:$AE$153,'Specified Annual Demand'!U$3,FALSE)</f>
        <v>14.197271160743611</v>
      </c>
      <c r="V108" s="7">
        <f>U108*VLOOKUP($B108,'EU Ref Scenario 2020'!$A$126:$AE$153,'Specified Annual Demand'!V$3,FALSE)</f>
        <v>14.141846609340213</v>
      </c>
      <c r="W108" s="7">
        <f>V108*VLOOKUP($B108,'EU Ref Scenario 2020'!$A$126:$AE$153,'Specified Annual Demand'!W$3,FALSE)</f>
        <v>14.086422057936815</v>
      </c>
      <c r="X108" s="7">
        <f>W108*VLOOKUP($B108,'EU Ref Scenario 2020'!$A$126:$AE$153,'Specified Annual Demand'!X$3,FALSE)</f>
        <v>14.030997506533417</v>
      </c>
      <c r="Y108" s="7">
        <f>X108*VLOOKUP($B108,'EU Ref Scenario 2020'!$A$126:$AE$153,'Specified Annual Demand'!Y$3,FALSE)</f>
        <v>13.975572955130019</v>
      </c>
      <c r="Z108" s="7">
        <f>Y108*VLOOKUP($B108,'EU Ref Scenario 2020'!$A$126:$AE$153,'Specified Annual Demand'!Z$3,FALSE)</f>
        <v>13.920148403726625</v>
      </c>
      <c r="AA108" s="7">
        <f>Z108*VLOOKUP($B108,'EU Ref Scenario 2020'!$A$126:$AE$153,'Specified Annual Demand'!AA$3,FALSE)</f>
        <v>13.919110702092913</v>
      </c>
      <c r="AB108" s="7">
        <f>AA108*VLOOKUP($B108,'EU Ref Scenario 2020'!$A$126:$AE$153,'Specified Annual Demand'!AB$3,FALSE)</f>
        <v>13.918073000459202</v>
      </c>
      <c r="AC108" s="7">
        <f>AB108*VLOOKUP($B108,'EU Ref Scenario 2020'!$A$126:$AE$153,'Specified Annual Demand'!AC$3,FALSE)</f>
        <v>13.917035298825491</v>
      </c>
      <c r="AD108" s="7">
        <f>AC108*VLOOKUP($B108,'EU Ref Scenario 2020'!$A$126:$AE$153,'Specified Annual Demand'!AD$3,FALSE)</f>
        <v>13.91599759719178</v>
      </c>
      <c r="AE108" s="7">
        <f>AD108*VLOOKUP($B108,'EU Ref Scenario 2020'!$A$126:$AE$153,'Specified Annual Demand'!AE$3,FALSE)</f>
        <v>13.914959895558066</v>
      </c>
      <c r="AF108" s="7">
        <f>AE108*VLOOKUP($B108,'EU Ref Scenario 2020'!$A$126:$AE$153,'Specified Annual Demand'!AF$3,FALSE)</f>
        <v>13.875690542528536</v>
      </c>
      <c r="AG108" s="7">
        <f>AF108*VLOOKUP($B108,'EU Ref Scenario 2020'!$A$126:$AE$153,'Specified Annual Demand'!AG$3,FALSE)</f>
        <v>13.836421189499006</v>
      </c>
      <c r="AH108" s="7">
        <f>AG108*VLOOKUP($B108,'EU Ref Scenario 2020'!$A$126:$AE$153,'Specified Annual Demand'!AH$3,FALSE)</f>
        <v>13.797151836469476</v>
      </c>
      <c r="AI108" s="7">
        <f>AH108*VLOOKUP($B108,'EU Ref Scenario 2020'!$A$126:$AE$153,'Specified Annual Demand'!AI$3,FALSE)</f>
        <v>13.757882483439946</v>
      </c>
      <c r="AJ108" s="7">
        <f>AI108*VLOOKUP($B108,'EU Ref Scenario 2020'!$A$126:$AE$153,'Specified Annual Demand'!AJ$3,FALSE)</f>
        <v>13.71861313041042</v>
      </c>
      <c r="AK108" s="8">
        <f t="shared" ref="AK108:AO108" si="105">AJ108</f>
        <v>13.71861313041042</v>
      </c>
      <c r="AL108" s="8">
        <f t="shared" si="105"/>
        <v>13.71861313041042</v>
      </c>
      <c r="AM108" s="8">
        <f t="shared" si="105"/>
        <v>13.71861313041042</v>
      </c>
      <c r="AN108" s="8">
        <f t="shared" si="105"/>
        <v>13.71861313041042</v>
      </c>
      <c r="AO108" s="8">
        <f t="shared" si="105"/>
        <v>13.71861313041042</v>
      </c>
    </row>
    <row r="109" spans="1:41" x14ac:dyDescent="0.3">
      <c r="A109" t="s">
        <v>145</v>
      </c>
      <c r="B109" t="str">
        <f t="shared" si="66"/>
        <v>SK</v>
      </c>
      <c r="C109" t="s">
        <v>105</v>
      </c>
      <c r="D109" s="2">
        <v>88.316666512928833</v>
      </c>
      <c r="E109" s="2">
        <v>88.280372053090559</v>
      </c>
      <c r="F109" s="2">
        <v>89.664227477600463</v>
      </c>
      <c r="G109" s="2">
        <v>105.28862166583039</v>
      </c>
      <c r="H109" s="7">
        <f>G109*VLOOKUP($B109,'EU Ref Scenario 2020'!$A$126:$AE$153,'Specified Annual Demand'!H$3,FALSE)</f>
        <v>106.28343174331789</v>
      </c>
      <c r="I109" s="7">
        <f>H109*VLOOKUP($B109,'EU Ref Scenario 2020'!$A$126:$AE$153,'Specified Annual Demand'!I$3,FALSE)</f>
        <v>107.27824182080541</v>
      </c>
      <c r="J109" s="7">
        <f>I109*VLOOKUP($B109,'EU Ref Scenario 2020'!$A$126:$AE$153,'Specified Annual Demand'!J$3,FALSE)</f>
        <v>108.27305189829292</v>
      </c>
      <c r="K109" s="7">
        <f>J109*VLOOKUP($B109,'EU Ref Scenario 2020'!$A$126:$AE$153,'Specified Annual Demand'!K$3,FALSE)</f>
        <v>109.26786197578042</v>
      </c>
      <c r="L109" s="7">
        <f>K109*VLOOKUP($B109,'EU Ref Scenario 2020'!$A$126:$AE$153,'Specified Annual Demand'!L$3,FALSE)</f>
        <v>109.59517131131165</v>
      </c>
      <c r="M109" s="7">
        <f>L109*VLOOKUP($B109,'EU Ref Scenario 2020'!$A$126:$AE$153,'Specified Annual Demand'!M$3,FALSE)</f>
        <v>109.92248064684289</v>
      </c>
      <c r="N109" s="7">
        <f>M109*VLOOKUP($B109,'EU Ref Scenario 2020'!$A$126:$AE$153,'Specified Annual Demand'!N$3,FALSE)</f>
        <v>110.24978998237411</v>
      </c>
      <c r="O109" s="7">
        <f>N109*VLOOKUP($B109,'EU Ref Scenario 2020'!$A$126:$AE$153,'Specified Annual Demand'!O$3,FALSE)</f>
        <v>110.57709931790532</v>
      </c>
      <c r="P109" s="7">
        <f>O109*VLOOKUP($B109,'EU Ref Scenario 2020'!$A$126:$AE$153,'Specified Annual Demand'!P$3,FALSE)</f>
        <v>110.90440865343653</v>
      </c>
      <c r="Q109" s="7">
        <f>P109*VLOOKUP($B109,'EU Ref Scenario 2020'!$A$126:$AE$153,'Specified Annual Demand'!Q$3,FALSE)</f>
        <v>111.84348227226586</v>
      </c>
      <c r="R109" s="7">
        <f>Q109*VLOOKUP($B109,'EU Ref Scenario 2020'!$A$126:$AE$153,'Specified Annual Demand'!R$3,FALSE)</f>
        <v>112.7825558910952</v>
      </c>
      <c r="S109" s="7">
        <f>R109*VLOOKUP($B109,'EU Ref Scenario 2020'!$A$126:$AE$153,'Specified Annual Demand'!S$3,FALSE)</f>
        <v>113.72162950992453</v>
      </c>
      <c r="T109" s="7">
        <f>S109*VLOOKUP($B109,'EU Ref Scenario 2020'!$A$126:$AE$153,'Specified Annual Demand'!T$3,FALSE)</f>
        <v>114.66070312875385</v>
      </c>
      <c r="U109" s="7">
        <f>T109*VLOOKUP($B109,'EU Ref Scenario 2020'!$A$126:$AE$153,'Specified Annual Demand'!U$3,FALSE)</f>
        <v>115.59977674758323</v>
      </c>
      <c r="V109" s="7">
        <f>U109*VLOOKUP($B109,'EU Ref Scenario 2020'!$A$126:$AE$153,'Specified Annual Demand'!V$3,FALSE)</f>
        <v>115.62355575094402</v>
      </c>
      <c r="W109" s="7">
        <f>V109*VLOOKUP($B109,'EU Ref Scenario 2020'!$A$126:$AE$153,'Specified Annual Demand'!W$3,FALSE)</f>
        <v>115.64733475430481</v>
      </c>
      <c r="X109" s="7">
        <f>W109*VLOOKUP($B109,'EU Ref Scenario 2020'!$A$126:$AE$153,'Specified Annual Demand'!X$3,FALSE)</f>
        <v>115.67111375766559</v>
      </c>
      <c r="Y109" s="7">
        <f>X109*VLOOKUP($B109,'EU Ref Scenario 2020'!$A$126:$AE$153,'Specified Annual Demand'!Y$3,FALSE)</f>
        <v>115.69489276102638</v>
      </c>
      <c r="Z109" s="7">
        <f>Y109*VLOOKUP($B109,'EU Ref Scenario 2020'!$A$126:$AE$153,'Specified Annual Demand'!Z$3,FALSE)</f>
        <v>115.71867176438724</v>
      </c>
      <c r="AA109" s="7">
        <f>Z109*VLOOKUP($B109,'EU Ref Scenario 2020'!$A$126:$AE$153,'Specified Annual Demand'!AA$3,FALSE)</f>
        <v>115.55683419771998</v>
      </c>
      <c r="AB109" s="7">
        <f>AA109*VLOOKUP($B109,'EU Ref Scenario 2020'!$A$126:$AE$153,'Specified Annual Demand'!AB$3,FALSE)</f>
        <v>115.39499663105272</v>
      </c>
      <c r="AC109" s="7">
        <f>AB109*VLOOKUP($B109,'EU Ref Scenario 2020'!$A$126:$AE$153,'Specified Annual Demand'!AC$3,FALSE)</f>
        <v>115.23315906438546</v>
      </c>
      <c r="AD109" s="7">
        <f>AC109*VLOOKUP($B109,'EU Ref Scenario 2020'!$A$126:$AE$153,'Specified Annual Demand'!AD$3,FALSE)</f>
        <v>115.0713214977182</v>
      </c>
      <c r="AE109" s="7">
        <f>AD109*VLOOKUP($B109,'EU Ref Scenario 2020'!$A$126:$AE$153,'Specified Annual Demand'!AE$3,FALSE)</f>
        <v>114.9094839310509</v>
      </c>
      <c r="AF109" s="7">
        <f>AE109*VLOOKUP($B109,'EU Ref Scenario 2020'!$A$126:$AE$153,'Specified Annual Demand'!AF$3,FALSE)</f>
        <v>114.82904811060489</v>
      </c>
      <c r="AG109" s="7">
        <f>AF109*VLOOKUP($B109,'EU Ref Scenario 2020'!$A$126:$AE$153,'Specified Annual Demand'!AG$3,FALSE)</f>
        <v>114.74861229015887</v>
      </c>
      <c r="AH109" s="7">
        <f>AG109*VLOOKUP($B109,'EU Ref Scenario 2020'!$A$126:$AE$153,'Specified Annual Demand'!AH$3,FALSE)</f>
        <v>114.66817646971286</v>
      </c>
      <c r="AI109" s="7">
        <f>AH109*VLOOKUP($B109,'EU Ref Scenario 2020'!$A$126:$AE$153,'Specified Annual Demand'!AI$3,FALSE)</f>
        <v>114.58774064926685</v>
      </c>
      <c r="AJ109" s="7">
        <f>AI109*VLOOKUP($B109,'EU Ref Scenario 2020'!$A$126:$AE$153,'Specified Annual Demand'!AJ$3,FALSE)</f>
        <v>114.50730482882086</v>
      </c>
      <c r="AK109" s="8">
        <f t="shared" ref="AK109:AO109" si="106">AJ109</f>
        <v>114.50730482882086</v>
      </c>
      <c r="AL109" s="8">
        <f t="shared" si="106"/>
        <v>114.50730482882086</v>
      </c>
      <c r="AM109" s="8">
        <f t="shared" si="106"/>
        <v>114.50730482882086</v>
      </c>
      <c r="AN109" s="8">
        <f t="shared" si="106"/>
        <v>114.50730482882086</v>
      </c>
      <c r="AO109" s="8">
        <f t="shared" si="106"/>
        <v>114.50730482882086</v>
      </c>
    </row>
    <row r="110" spans="1:41" x14ac:dyDescent="0.3">
      <c r="A110" t="s">
        <v>146</v>
      </c>
      <c r="B110" t="str">
        <f t="shared" si="66"/>
        <v>SK</v>
      </c>
      <c r="C110" t="s">
        <v>106</v>
      </c>
      <c r="D110" s="2">
        <v>1.3852515653854238</v>
      </c>
      <c r="E110" s="2">
        <v>1.4553891279260758</v>
      </c>
      <c r="F110" s="2">
        <v>1.3957377520004883</v>
      </c>
      <c r="G110" s="2">
        <v>1.4932011627742239</v>
      </c>
      <c r="H110" s="7">
        <f>G110*VLOOKUP($B110,'EU Ref Scenario 2020'!$A$126:$AE$153,'Specified Annual Demand'!H$3,FALSE)</f>
        <v>1.5073095397378662</v>
      </c>
      <c r="I110" s="7">
        <f>H110*VLOOKUP($B110,'EU Ref Scenario 2020'!$A$126:$AE$153,'Specified Annual Demand'!I$3,FALSE)</f>
        <v>1.5214179167015087</v>
      </c>
      <c r="J110" s="7">
        <f>I110*VLOOKUP($B110,'EU Ref Scenario 2020'!$A$126:$AE$153,'Specified Annual Demand'!J$3,FALSE)</f>
        <v>1.5355262936651513</v>
      </c>
      <c r="K110" s="7">
        <f>J110*VLOOKUP($B110,'EU Ref Scenario 2020'!$A$126:$AE$153,'Specified Annual Demand'!K$3,FALSE)</f>
        <v>1.5496346706287936</v>
      </c>
      <c r="L110" s="7">
        <f>K110*VLOOKUP($B110,'EU Ref Scenario 2020'!$A$126:$AE$153,'Specified Annual Demand'!L$3,FALSE)</f>
        <v>1.5542765651912778</v>
      </c>
      <c r="M110" s="7">
        <f>L110*VLOOKUP($B110,'EU Ref Scenario 2020'!$A$126:$AE$153,'Specified Annual Demand'!M$3,FALSE)</f>
        <v>1.5589184597537622</v>
      </c>
      <c r="N110" s="7">
        <f>M110*VLOOKUP($B110,'EU Ref Scenario 2020'!$A$126:$AE$153,'Specified Annual Demand'!N$3,FALSE)</f>
        <v>1.5635603543162464</v>
      </c>
      <c r="O110" s="7">
        <f>N110*VLOOKUP($B110,'EU Ref Scenario 2020'!$A$126:$AE$153,'Specified Annual Demand'!O$3,FALSE)</f>
        <v>1.5682022488787306</v>
      </c>
      <c r="P110" s="7">
        <f>O110*VLOOKUP($B110,'EU Ref Scenario 2020'!$A$126:$AE$153,'Specified Annual Demand'!P$3,FALSE)</f>
        <v>1.5728441434412146</v>
      </c>
      <c r="Q110" s="7">
        <f>P110*VLOOKUP($B110,'EU Ref Scenario 2020'!$A$126:$AE$153,'Specified Annual Demand'!Q$3,FALSE)</f>
        <v>1.5861620670437953</v>
      </c>
      <c r="R110" s="7">
        <f>Q110*VLOOKUP($B110,'EU Ref Scenario 2020'!$A$126:$AE$153,'Specified Annual Demand'!R$3,FALSE)</f>
        <v>1.5994799906463761</v>
      </c>
      <c r="S110" s="7">
        <f>R110*VLOOKUP($B110,'EU Ref Scenario 2020'!$A$126:$AE$153,'Specified Annual Demand'!S$3,FALSE)</f>
        <v>1.6127979142489568</v>
      </c>
      <c r="T110" s="7">
        <f>S110*VLOOKUP($B110,'EU Ref Scenario 2020'!$A$126:$AE$153,'Specified Annual Demand'!T$3,FALSE)</f>
        <v>1.6261158378515375</v>
      </c>
      <c r="U110" s="7">
        <f>T110*VLOOKUP($B110,'EU Ref Scenario 2020'!$A$126:$AE$153,'Specified Annual Demand'!U$3,FALSE)</f>
        <v>1.6394337614541188</v>
      </c>
      <c r="V110" s="7">
        <f>U110*VLOOKUP($B110,'EU Ref Scenario 2020'!$A$126:$AE$153,'Specified Annual Demand'!V$3,FALSE)</f>
        <v>1.6397709948123504</v>
      </c>
      <c r="W110" s="7">
        <f>V110*VLOOKUP($B110,'EU Ref Scenario 2020'!$A$126:$AE$153,'Specified Annual Demand'!W$3,FALSE)</f>
        <v>1.6401082281705821</v>
      </c>
      <c r="X110" s="7">
        <f>W110*VLOOKUP($B110,'EU Ref Scenario 2020'!$A$126:$AE$153,'Specified Annual Demand'!X$3,FALSE)</f>
        <v>1.6404454615288138</v>
      </c>
      <c r="Y110" s="7">
        <f>X110*VLOOKUP($B110,'EU Ref Scenario 2020'!$A$126:$AE$153,'Specified Annual Demand'!Y$3,FALSE)</f>
        <v>1.6407826948870452</v>
      </c>
      <c r="Z110" s="7">
        <f>Y110*VLOOKUP($B110,'EU Ref Scenario 2020'!$A$126:$AE$153,'Specified Annual Demand'!Z$3,FALSE)</f>
        <v>1.6411199282452777</v>
      </c>
      <c r="AA110" s="7">
        <f>Z110*VLOOKUP($B110,'EU Ref Scenario 2020'!$A$126:$AE$153,'Specified Annual Demand'!AA$3,FALSE)</f>
        <v>1.6388247510560932</v>
      </c>
      <c r="AB110" s="7">
        <f>AA110*VLOOKUP($B110,'EU Ref Scenario 2020'!$A$126:$AE$153,'Specified Annual Demand'!AB$3,FALSE)</f>
        <v>1.6365295738669086</v>
      </c>
      <c r="AC110" s="7">
        <f>AB110*VLOOKUP($B110,'EU Ref Scenario 2020'!$A$126:$AE$153,'Specified Annual Demand'!AC$3,FALSE)</f>
        <v>1.634234396677724</v>
      </c>
      <c r="AD110" s="7">
        <f>AC110*VLOOKUP($B110,'EU Ref Scenario 2020'!$A$126:$AE$153,'Specified Annual Demand'!AD$3,FALSE)</f>
        <v>1.6319392194885394</v>
      </c>
      <c r="AE110" s="7">
        <f>AD110*VLOOKUP($B110,'EU Ref Scenario 2020'!$A$126:$AE$153,'Specified Annual Demand'!AE$3,FALSE)</f>
        <v>1.6296440422993541</v>
      </c>
      <c r="AF110" s="7">
        <f>AE110*VLOOKUP($B110,'EU Ref Scenario 2020'!$A$126:$AE$153,'Specified Annual Demand'!AF$3,FALSE)</f>
        <v>1.6285033030749403</v>
      </c>
      <c r="AG110" s="7">
        <f>AF110*VLOOKUP($B110,'EU Ref Scenario 2020'!$A$126:$AE$153,'Specified Annual Demand'!AG$3,FALSE)</f>
        <v>1.6273625638505265</v>
      </c>
      <c r="AH110" s="7">
        <f>AG110*VLOOKUP($B110,'EU Ref Scenario 2020'!$A$126:$AE$153,'Specified Annual Demand'!AH$3,FALSE)</f>
        <v>1.6262218246261124</v>
      </c>
      <c r="AI110" s="7">
        <f>AH110*VLOOKUP($B110,'EU Ref Scenario 2020'!$A$126:$AE$153,'Specified Annual Demand'!AI$3,FALSE)</f>
        <v>1.6250810854016986</v>
      </c>
      <c r="AJ110" s="7">
        <f>AI110*VLOOKUP($B110,'EU Ref Scenario 2020'!$A$126:$AE$153,'Specified Annual Demand'!AJ$3,FALSE)</f>
        <v>1.623940346177285</v>
      </c>
      <c r="AK110" s="8">
        <f t="shared" ref="AK110:AO110" si="107">AJ110</f>
        <v>1.623940346177285</v>
      </c>
      <c r="AL110" s="8">
        <f t="shared" si="107"/>
        <v>1.623940346177285</v>
      </c>
      <c r="AM110" s="8">
        <f t="shared" si="107"/>
        <v>1.623940346177285</v>
      </c>
      <c r="AN110" s="8">
        <f t="shared" si="107"/>
        <v>1.623940346177285</v>
      </c>
      <c r="AO110" s="8">
        <f t="shared" si="107"/>
        <v>1.623940346177285</v>
      </c>
    </row>
    <row r="111" spans="1:41" x14ac:dyDescent="0.3">
      <c r="A111" t="s">
        <v>147</v>
      </c>
      <c r="B111" t="str">
        <f t="shared" si="66"/>
        <v>SK</v>
      </c>
      <c r="C111" t="s">
        <v>107</v>
      </c>
      <c r="D111" s="2">
        <v>5.6967847153531102</v>
      </c>
      <c r="E111" s="2">
        <v>5.7476067639539572</v>
      </c>
      <c r="F111" s="2">
        <v>5.5292661426906609</v>
      </c>
      <c r="G111" s="2">
        <v>6.3330492478256151</v>
      </c>
      <c r="H111" s="7">
        <f>G111*VLOOKUP($B111,'EU Ref Scenario 2020'!$A$126:$AE$153,'Specified Annual Demand'!H$3,FALSE)</f>
        <v>6.3928864943702362</v>
      </c>
      <c r="I111" s="7">
        <f>H111*VLOOKUP($B111,'EU Ref Scenario 2020'!$A$126:$AE$153,'Specified Annual Demand'!I$3,FALSE)</f>
        <v>6.4527237409148572</v>
      </c>
      <c r="J111" s="7">
        <f>I111*VLOOKUP($B111,'EU Ref Scenario 2020'!$A$126:$AE$153,'Specified Annual Demand'!J$3,FALSE)</f>
        <v>6.5125609874594783</v>
      </c>
      <c r="K111" s="7">
        <f>J111*VLOOKUP($B111,'EU Ref Scenario 2020'!$A$126:$AE$153,'Specified Annual Demand'!K$3,FALSE)</f>
        <v>6.5723982340040994</v>
      </c>
      <c r="L111" s="7">
        <f>K111*VLOOKUP($B111,'EU Ref Scenario 2020'!$A$126:$AE$153,'Specified Annual Demand'!L$3,FALSE)</f>
        <v>6.5920856998327553</v>
      </c>
      <c r="M111" s="7">
        <f>L111*VLOOKUP($B111,'EU Ref Scenario 2020'!$A$126:$AE$153,'Specified Annual Demand'!M$3,FALSE)</f>
        <v>6.611773165661412</v>
      </c>
      <c r="N111" s="7">
        <f>M111*VLOOKUP($B111,'EU Ref Scenario 2020'!$A$126:$AE$153,'Specified Annual Demand'!N$3,FALSE)</f>
        <v>6.6314606314900679</v>
      </c>
      <c r="O111" s="7">
        <f>N111*VLOOKUP($B111,'EU Ref Scenario 2020'!$A$126:$AE$153,'Specified Annual Demand'!O$3,FALSE)</f>
        <v>6.6511480973187229</v>
      </c>
      <c r="P111" s="7">
        <f>O111*VLOOKUP($B111,'EU Ref Scenario 2020'!$A$126:$AE$153,'Specified Annual Demand'!P$3,FALSE)</f>
        <v>6.6708355631473779</v>
      </c>
      <c r="Q111" s="7">
        <f>P111*VLOOKUP($B111,'EU Ref Scenario 2020'!$A$126:$AE$153,'Specified Annual Demand'!Q$3,FALSE)</f>
        <v>6.7273202941780053</v>
      </c>
      <c r="R111" s="7">
        <f>Q111*VLOOKUP($B111,'EU Ref Scenario 2020'!$A$126:$AE$153,'Specified Annual Demand'!R$3,FALSE)</f>
        <v>6.7838050252086335</v>
      </c>
      <c r="S111" s="7">
        <f>R111*VLOOKUP($B111,'EU Ref Scenario 2020'!$A$126:$AE$153,'Specified Annual Demand'!S$3,FALSE)</f>
        <v>6.8402897562392608</v>
      </c>
      <c r="T111" s="7">
        <f>S111*VLOOKUP($B111,'EU Ref Scenario 2020'!$A$126:$AE$153,'Specified Annual Demand'!T$3,FALSE)</f>
        <v>6.8967744872698882</v>
      </c>
      <c r="U111" s="7">
        <f>T111*VLOOKUP($B111,'EU Ref Scenario 2020'!$A$126:$AE$153,'Specified Annual Demand'!U$3,FALSE)</f>
        <v>6.9532592183005191</v>
      </c>
      <c r="V111" s="7">
        <f>U111*VLOOKUP($B111,'EU Ref Scenario 2020'!$A$126:$AE$153,'Specified Annual Demand'!V$3,FALSE)</f>
        <v>6.9546895114980698</v>
      </c>
      <c r="W111" s="7">
        <f>V111*VLOOKUP($B111,'EU Ref Scenario 2020'!$A$126:$AE$153,'Specified Annual Demand'!W$3,FALSE)</f>
        <v>6.9561198046956205</v>
      </c>
      <c r="X111" s="7">
        <f>W111*VLOOKUP($B111,'EU Ref Scenario 2020'!$A$126:$AE$153,'Specified Annual Demand'!X$3,FALSE)</f>
        <v>6.9575500978931712</v>
      </c>
      <c r="Y111" s="7">
        <f>X111*VLOOKUP($B111,'EU Ref Scenario 2020'!$A$126:$AE$153,'Specified Annual Demand'!Y$3,FALSE)</f>
        <v>6.9589803910907211</v>
      </c>
      <c r="Z111" s="7">
        <f>Y111*VLOOKUP($B111,'EU Ref Scenario 2020'!$A$126:$AE$153,'Specified Annual Demand'!Z$3,FALSE)</f>
        <v>6.9604106842882754</v>
      </c>
      <c r="AA111" s="7">
        <f>Z111*VLOOKUP($B111,'EU Ref Scenario 2020'!$A$126:$AE$153,'Specified Annual Demand'!AA$3,FALSE)</f>
        <v>6.950676248946297</v>
      </c>
      <c r="AB111" s="7">
        <f>AA111*VLOOKUP($B111,'EU Ref Scenario 2020'!$A$126:$AE$153,'Specified Annual Demand'!AB$3,FALSE)</f>
        <v>6.9409418136043186</v>
      </c>
      <c r="AC111" s="7">
        <f>AB111*VLOOKUP($B111,'EU Ref Scenario 2020'!$A$126:$AE$153,'Specified Annual Demand'!AC$3,FALSE)</f>
        <v>6.9312073782623411</v>
      </c>
      <c r="AD111" s="7">
        <f>AC111*VLOOKUP($B111,'EU Ref Scenario 2020'!$A$126:$AE$153,'Specified Annual Demand'!AD$3,FALSE)</f>
        <v>6.9214729429203636</v>
      </c>
      <c r="AE111" s="7">
        <f>AD111*VLOOKUP($B111,'EU Ref Scenario 2020'!$A$126:$AE$153,'Specified Annual Demand'!AE$3,FALSE)</f>
        <v>6.9117385075783826</v>
      </c>
      <c r="AF111" s="7">
        <f>AE111*VLOOKUP($B111,'EU Ref Scenario 2020'!$A$126:$AE$153,'Specified Annual Demand'!AF$3,FALSE)</f>
        <v>6.9069003398436903</v>
      </c>
      <c r="AG111" s="7">
        <f>AF111*VLOOKUP($B111,'EU Ref Scenario 2020'!$A$126:$AE$153,'Specified Annual Demand'!AG$3,FALSE)</f>
        <v>6.9020621721089981</v>
      </c>
      <c r="AH111" s="7">
        <f>AG111*VLOOKUP($B111,'EU Ref Scenario 2020'!$A$126:$AE$153,'Specified Annual Demand'!AH$3,FALSE)</f>
        <v>6.8972240043743058</v>
      </c>
      <c r="AI111" s="7">
        <f>AH111*VLOOKUP($B111,'EU Ref Scenario 2020'!$A$126:$AE$153,'Specified Annual Demand'!AI$3,FALSE)</f>
        <v>6.8923858366396136</v>
      </c>
      <c r="AJ111" s="7">
        <f>AI111*VLOOKUP($B111,'EU Ref Scenario 2020'!$A$126:$AE$153,'Specified Annual Demand'!AJ$3,FALSE)</f>
        <v>6.8875476689049231</v>
      </c>
      <c r="AK111" s="8">
        <f t="shared" ref="AK111:AO111" si="108">AJ111</f>
        <v>6.8875476689049231</v>
      </c>
      <c r="AL111" s="8">
        <f t="shared" si="108"/>
        <v>6.8875476689049231</v>
      </c>
      <c r="AM111" s="8">
        <f t="shared" si="108"/>
        <v>6.8875476689049231</v>
      </c>
      <c r="AN111" s="8">
        <f t="shared" si="108"/>
        <v>6.8875476689049231</v>
      </c>
      <c r="AO111" s="8">
        <f t="shared" si="108"/>
        <v>6.8875476689049231</v>
      </c>
    </row>
    <row r="112" spans="1:41" x14ac:dyDescent="0.3">
      <c r="A112" t="s">
        <v>148</v>
      </c>
      <c r="B112" t="str">
        <f t="shared" si="66"/>
        <v>SK</v>
      </c>
      <c r="C112" t="s">
        <v>108</v>
      </c>
      <c r="D112" s="2">
        <v>22.159861936468449</v>
      </c>
      <c r="E112" s="2">
        <v>22.083560777217716</v>
      </c>
      <c r="F112" s="2">
        <v>22.449472774505782</v>
      </c>
      <c r="G112" s="2">
        <v>22.53709146367855</v>
      </c>
      <c r="H112" s="7">
        <f>G112*VLOOKUP($B112,'EU Ref Scenario 2020'!$A$126:$AE$153,'Specified Annual Demand'!H$3,FALSE)</f>
        <v>22.750031146529398</v>
      </c>
      <c r="I112" s="7">
        <f>H112*VLOOKUP($B112,'EU Ref Scenario 2020'!$A$126:$AE$153,'Specified Annual Demand'!I$3,FALSE)</f>
        <v>22.96297082938025</v>
      </c>
      <c r="J112" s="7">
        <f>I112*VLOOKUP($B112,'EU Ref Scenario 2020'!$A$126:$AE$153,'Specified Annual Demand'!J$3,FALSE)</f>
        <v>23.175910512231102</v>
      </c>
      <c r="K112" s="7">
        <f>J112*VLOOKUP($B112,'EU Ref Scenario 2020'!$A$126:$AE$153,'Specified Annual Demand'!K$3,FALSE)</f>
        <v>23.388850195081954</v>
      </c>
      <c r="L112" s="7">
        <f>K112*VLOOKUP($B112,'EU Ref Scenario 2020'!$A$126:$AE$153,'Specified Annual Demand'!L$3,FALSE)</f>
        <v>23.458910951078884</v>
      </c>
      <c r="M112" s="7">
        <f>L112*VLOOKUP($B112,'EU Ref Scenario 2020'!$A$126:$AE$153,'Specified Annual Demand'!M$3,FALSE)</f>
        <v>23.528971707075819</v>
      </c>
      <c r="N112" s="7">
        <f>M112*VLOOKUP($B112,'EU Ref Scenario 2020'!$A$126:$AE$153,'Specified Annual Demand'!N$3,FALSE)</f>
        <v>23.599032463072749</v>
      </c>
      <c r="O112" s="7">
        <f>N112*VLOOKUP($B112,'EU Ref Scenario 2020'!$A$126:$AE$153,'Specified Annual Demand'!O$3,FALSE)</f>
        <v>23.66909321906968</v>
      </c>
      <c r="P112" s="7">
        <f>O112*VLOOKUP($B112,'EU Ref Scenario 2020'!$A$126:$AE$153,'Specified Annual Demand'!P$3,FALSE)</f>
        <v>23.739153975066607</v>
      </c>
      <c r="Q112" s="7">
        <f>P112*VLOOKUP($B112,'EU Ref Scenario 2020'!$A$126:$AE$153,'Specified Annual Demand'!Q$3,FALSE)</f>
        <v>23.940163236122899</v>
      </c>
      <c r="R112" s="7">
        <f>Q112*VLOOKUP($B112,'EU Ref Scenario 2020'!$A$126:$AE$153,'Specified Annual Demand'!R$3,FALSE)</f>
        <v>24.141172497179195</v>
      </c>
      <c r="S112" s="7">
        <f>R112*VLOOKUP($B112,'EU Ref Scenario 2020'!$A$126:$AE$153,'Specified Annual Demand'!S$3,FALSE)</f>
        <v>24.342181758235487</v>
      </c>
      <c r="T112" s="7">
        <f>S112*VLOOKUP($B112,'EU Ref Scenario 2020'!$A$126:$AE$153,'Specified Annual Demand'!T$3,FALSE)</f>
        <v>24.543191019291779</v>
      </c>
      <c r="U112" s="7">
        <f>T112*VLOOKUP($B112,'EU Ref Scenario 2020'!$A$126:$AE$153,'Specified Annual Demand'!U$3,FALSE)</f>
        <v>24.744200280348082</v>
      </c>
      <c r="V112" s="7">
        <f>U112*VLOOKUP($B112,'EU Ref Scenario 2020'!$A$126:$AE$153,'Specified Annual Demand'!V$3,FALSE)</f>
        <v>24.749290190019025</v>
      </c>
      <c r="W112" s="7">
        <f>V112*VLOOKUP($B112,'EU Ref Scenario 2020'!$A$126:$AE$153,'Specified Annual Demand'!W$3,FALSE)</f>
        <v>24.754380099689968</v>
      </c>
      <c r="X112" s="7">
        <f>W112*VLOOKUP($B112,'EU Ref Scenario 2020'!$A$126:$AE$153,'Specified Annual Demand'!X$3,FALSE)</f>
        <v>24.759470009360911</v>
      </c>
      <c r="Y112" s="7">
        <f>X112*VLOOKUP($B112,'EU Ref Scenario 2020'!$A$126:$AE$153,'Specified Annual Demand'!Y$3,FALSE)</f>
        <v>24.764559919031853</v>
      </c>
      <c r="Z112" s="7">
        <f>Y112*VLOOKUP($B112,'EU Ref Scenario 2020'!$A$126:$AE$153,'Specified Annual Demand'!Z$3,FALSE)</f>
        <v>24.769649828702811</v>
      </c>
      <c r="AA112" s="7">
        <f>Z112*VLOOKUP($B112,'EU Ref Scenario 2020'!$A$126:$AE$153,'Specified Annual Demand'!AA$3,FALSE)</f>
        <v>24.735008402264391</v>
      </c>
      <c r="AB112" s="7">
        <f>AA112*VLOOKUP($B112,'EU Ref Scenario 2020'!$A$126:$AE$153,'Specified Annual Demand'!AB$3,FALSE)</f>
        <v>24.700366975825975</v>
      </c>
      <c r="AC112" s="7">
        <f>AB112*VLOOKUP($B112,'EU Ref Scenario 2020'!$A$126:$AE$153,'Specified Annual Demand'!AC$3,FALSE)</f>
        <v>24.66572554938756</v>
      </c>
      <c r="AD112" s="7">
        <f>AC112*VLOOKUP($B112,'EU Ref Scenario 2020'!$A$126:$AE$153,'Specified Annual Demand'!AD$3,FALSE)</f>
        <v>24.631084122949144</v>
      </c>
      <c r="AE112" s="7">
        <f>AD112*VLOOKUP($B112,'EU Ref Scenario 2020'!$A$126:$AE$153,'Specified Annual Demand'!AE$3,FALSE)</f>
        <v>24.596442696510717</v>
      </c>
      <c r="AF112" s="7">
        <f>AE112*VLOOKUP($B112,'EU Ref Scenario 2020'!$A$126:$AE$153,'Specified Annual Demand'!AF$3,FALSE)</f>
        <v>24.57922536178198</v>
      </c>
      <c r="AG112" s="7">
        <f>AF112*VLOOKUP($B112,'EU Ref Scenario 2020'!$A$126:$AE$153,'Specified Annual Demand'!AG$3,FALSE)</f>
        <v>24.562008027053242</v>
      </c>
      <c r="AH112" s="7">
        <f>AG112*VLOOKUP($B112,'EU Ref Scenario 2020'!$A$126:$AE$153,'Specified Annual Demand'!AH$3,FALSE)</f>
        <v>24.544790692324504</v>
      </c>
      <c r="AI112" s="7">
        <f>AH112*VLOOKUP($B112,'EU Ref Scenario 2020'!$A$126:$AE$153,'Specified Annual Demand'!AI$3,FALSE)</f>
        <v>24.527573357595767</v>
      </c>
      <c r="AJ112" s="7">
        <f>AI112*VLOOKUP($B112,'EU Ref Scenario 2020'!$A$126:$AE$153,'Specified Annual Demand'!AJ$3,FALSE)</f>
        <v>24.510356022867036</v>
      </c>
      <c r="AK112" s="8">
        <f t="shared" ref="AK112:AO112" si="109">AJ112</f>
        <v>24.510356022867036</v>
      </c>
      <c r="AL112" s="8">
        <f t="shared" si="109"/>
        <v>24.510356022867036</v>
      </c>
      <c r="AM112" s="8">
        <f t="shared" si="109"/>
        <v>24.510356022867036</v>
      </c>
      <c r="AN112" s="8">
        <f t="shared" si="109"/>
        <v>24.510356022867036</v>
      </c>
      <c r="AO112" s="8">
        <f t="shared" si="109"/>
        <v>24.510356022867036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5129-0D58-4B65-8D44-EA3C932046C9}">
  <dimension ref="A1:AG153"/>
  <sheetViews>
    <sheetView workbookViewId="0">
      <selection activeCell="C1" sqref="C1"/>
    </sheetView>
  </sheetViews>
  <sheetFormatPr defaultRowHeight="14.4" x14ac:dyDescent="0.3"/>
  <cols>
    <col min="2" max="2" width="12.77734375" bestFit="1" customWidth="1"/>
  </cols>
  <sheetData>
    <row r="1" spans="1:33" x14ac:dyDescent="0.3">
      <c r="A1" t="s">
        <v>117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</row>
    <row r="2" spans="1:33" x14ac:dyDescent="0.3">
      <c r="A2" t="s">
        <v>113</v>
      </c>
      <c r="B2" t="s">
        <v>111</v>
      </c>
      <c r="C2" s="4">
        <v>251101.34957510207</v>
      </c>
      <c r="D2" s="5">
        <f>C2+(($H2-$C2)/5)</f>
        <v>247863.38602289738</v>
      </c>
      <c r="E2" s="5">
        <f t="shared" ref="E2:G2" si="0">D2+(($H2-$C2)/5)</f>
        <v>244625.42247069269</v>
      </c>
      <c r="F2" s="5">
        <f t="shared" si="0"/>
        <v>241387.458918488</v>
      </c>
      <c r="G2" s="5">
        <f t="shared" si="0"/>
        <v>238149.49536628331</v>
      </c>
      <c r="H2" s="4">
        <v>234911.53181407857</v>
      </c>
      <c r="I2" s="5">
        <f>H2+(($M2-$H2)/5)</f>
        <v>232606.71467693557</v>
      </c>
      <c r="J2" s="5">
        <f t="shared" ref="J2:L2" si="1">I2+(($M2-$H2)/5)</f>
        <v>230301.89753979258</v>
      </c>
      <c r="K2" s="5">
        <f t="shared" si="1"/>
        <v>227997.08040264959</v>
      </c>
      <c r="L2" s="5">
        <f t="shared" si="1"/>
        <v>225692.2632655066</v>
      </c>
      <c r="M2" s="4">
        <v>223387.44612836366</v>
      </c>
      <c r="N2" s="5">
        <f>M2+(($R2-$M2)/5)</f>
        <v>222202.33127418102</v>
      </c>
      <c r="O2" s="5">
        <f t="shared" ref="O2:Q2" si="2">N2+(($R2-$M2)/5)</f>
        <v>221017.21641999838</v>
      </c>
      <c r="P2" s="5">
        <f t="shared" si="2"/>
        <v>219832.10156581574</v>
      </c>
      <c r="Q2" s="5">
        <f t="shared" si="2"/>
        <v>218646.9867116331</v>
      </c>
      <c r="R2" s="4">
        <v>217461.87185745052</v>
      </c>
      <c r="S2" s="5">
        <f>R2+(($W2-$R2)/5)</f>
        <v>216295.58583425885</v>
      </c>
      <c r="T2" s="5">
        <f t="shared" ref="T2:V2" si="3">S2+(($W2-$R2)/5)</f>
        <v>215129.29981106718</v>
      </c>
      <c r="U2" s="5">
        <f t="shared" si="3"/>
        <v>213963.0137878755</v>
      </c>
      <c r="V2" s="5">
        <f t="shared" si="3"/>
        <v>212796.72776468383</v>
      </c>
      <c r="W2" s="4">
        <v>211630.44174149222</v>
      </c>
      <c r="X2" s="5">
        <f>W2+(($AB2-$W2)/5)</f>
        <v>210637.82501099122</v>
      </c>
      <c r="Y2" s="5">
        <f t="shared" ref="Y2:AA2" si="4">X2+(($AB2-$W2)/5)</f>
        <v>209645.20828049022</v>
      </c>
      <c r="Z2" s="5">
        <f t="shared" si="4"/>
        <v>208652.59154998921</v>
      </c>
      <c r="AA2" s="5">
        <f t="shared" si="4"/>
        <v>207659.97481948821</v>
      </c>
      <c r="AB2" s="4">
        <v>206667.35808898715</v>
      </c>
      <c r="AC2" s="5">
        <f>AB2+(($AG2-$AB2)/5)</f>
        <v>205710.29013638326</v>
      </c>
      <c r="AD2" s="5">
        <f t="shared" ref="AD2:AF2" si="5">AC2+(($AG2-$AB2)/5)</f>
        <v>204753.22218377938</v>
      </c>
      <c r="AE2" s="5">
        <f t="shared" si="5"/>
        <v>203796.15423117549</v>
      </c>
      <c r="AF2" s="5">
        <f t="shared" si="5"/>
        <v>202839.0862785716</v>
      </c>
      <c r="AG2" s="4">
        <v>201882.01832596771</v>
      </c>
    </row>
    <row r="3" spans="1:33" x14ac:dyDescent="0.3">
      <c r="A3" t="s">
        <v>113</v>
      </c>
      <c r="B3" t="s">
        <v>112</v>
      </c>
      <c r="C3" s="4">
        <v>140269.31791278269</v>
      </c>
      <c r="D3" s="5">
        <f t="shared" ref="D3:G3" si="6">C3+(($H3-$C3)/5)</f>
        <v>143973.19130624374</v>
      </c>
      <c r="E3" s="5">
        <f t="shared" si="6"/>
        <v>147677.06469970479</v>
      </c>
      <c r="F3" s="5">
        <f t="shared" si="6"/>
        <v>151380.93809316584</v>
      </c>
      <c r="G3" s="5">
        <f t="shared" si="6"/>
        <v>155084.81148662689</v>
      </c>
      <c r="H3" s="4">
        <v>158788.68488008788</v>
      </c>
      <c r="I3" s="5">
        <f t="shared" ref="I3:L3" si="7">H3+(($M3-$H3)/5)</f>
        <v>157576.50889598645</v>
      </c>
      <c r="J3" s="5">
        <f t="shared" si="7"/>
        <v>156364.33291188502</v>
      </c>
      <c r="K3" s="5">
        <f t="shared" si="7"/>
        <v>155152.1569277836</v>
      </c>
      <c r="L3" s="5">
        <f t="shared" si="7"/>
        <v>153939.98094368217</v>
      </c>
      <c r="M3" s="4">
        <v>152727.80495958068</v>
      </c>
      <c r="N3" s="5">
        <f t="shared" ref="N3:Q3" si="8">M3+(($R3-$M3)/5)</f>
        <v>152832.40905054801</v>
      </c>
      <c r="O3" s="5">
        <f t="shared" si="8"/>
        <v>152937.01314151534</v>
      </c>
      <c r="P3" s="5">
        <f t="shared" si="8"/>
        <v>153041.61723248268</v>
      </c>
      <c r="Q3" s="5">
        <f t="shared" si="8"/>
        <v>153146.22132345001</v>
      </c>
      <c r="R3" s="4">
        <v>153250.82541441734</v>
      </c>
      <c r="S3" s="5">
        <f t="shared" ref="S3:V3" si="9">R3+(($W3-$R3)/5)</f>
        <v>153003.17844450969</v>
      </c>
      <c r="T3" s="5">
        <f t="shared" si="9"/>
        <v>152755.53147460203</v>
      </c>
      <c r="U3" s="5">
        <f t="shared" si="9"/>
        <v>152507.88450469438</v>
      </c>
      <c r="V3" s="5">
        <f t="shared" si="9"/>
        <v>152260.23753478672</v>
      </c>
      <c r="W3" s="4">
        <v>152012.59056487906</v>
      </c>
      <c r="X3" s="5">
        <f t="shared" ref="X3:AA3" si="10">W3+(($AB3-$W3)/5)</f>
        <v>151802.59262864382</v>
      </c>
      <c r="Y3" s="5">
        <f t="shared" si="10"/>
        <v>151592.59469240857</v>
      </c>
      <c r="Z3" s="5">
        <f t="shared" si="10"/>
        <v>151382.59675617333</v>
      </c>
      <c r="AA3" s="5">
        <f t="shared" si="10"/>
        <v>151172.59881993808</v>
      </c>
      <c r="AB3" s="4">
        <v>150962.60088370283</v>
      </c>
      <c r="AC3" s="5">
        <f t="shared" ref="AC3:AF3" si="11">AB3+(($AG3-$AB3)/5)</f>
        <v>150908.53487830373</v>
      </c>
      <c r="AD3" s="5">
        <f t="shared" si="11"/>
        <v>150854.46887290463</v>
      </c>
      <c r="AE3" s="5">
        <f t="shared" si="11"/>
        <v>150800.40286750553</v>
      </c>
      <c r="AF3" s="5">
        <f t="shared" si="11"/>
        <v>150746.33686210643</v>
      </c>
      <c r="AG3" s="4">
        <v>150692.27085670727</v>
      </c>
    </row>
    <row r="4" spans="1:33" x14ac:dyDescent="0.3">
      <c r="A4" t="str">
        <f>A3</f>
        <v>EU</v>
      </c>
      <c r="B4" t="s">
        <v>142</v>
      </c>
      <c r="C4" s="4">
        <f t="shared" ref="C4:AG4" si="12">SUM(C2:C3)</f>
        <v>391370.66748788476</v>
      </c>
      <c r="D4" s="5">
        <f t="shared" ref="D4:G4" si="13">C4+(($H4-$C4)/5)</f>
        <v>391836.57732914109</v>
      </c>
      <c r="E4" s="5">
        <f t="shared" si="13"/>
        <v>392302.48717039742</v>
      </c>
      <c r="F4" s="5">
        <f t="shared" si="13"/>
        <v>392768.39701165375</v>
      </c>
      <c r="G4" s="5">
        <f t="shared" si="13"/>
        <v>393234.30685291009</v>
      </c>
      <c r="H4" s="4">
        <f t="shared" si="12"/>
        <v>393700.21669416642</v>
      </c>
      <c r="I4" s="5">
        <f t="shared" ref="I4:L4" si="14">H4+(($M4-$H4)/5)</f>
        <v>390183.223572922</v>
      </c>
      <c r="J4" s="5">
        <f t="shared" si="14"/>
        <v>386666.23045167758</v>
      </c>
      <c r="K4" s="5">
        <f t="shared" si="14"/>
        <v>383149.23733043316</v>
      </c>
      <c r="L4" s="5">
        <f t="shared" si="14"/>
        <v>379632.24420918874</v>
      </c>
      <c r="M4" s="4">
        <f t="shared" si="12"/>
        <v>376115.25108794437</v>
      </c>
      <c r="N4" s="5">
        <f t="shared" ref="N4:Q4" si="15">M4+(($R4-$M4)/5)</f>
        <v>375034.74032472906</v>
      </c>
      <c r="O4" s="5">
        <f t="shared" si="15"/>
        <v>373954.22956151376</v>
      </c>
      <c r="P4" s="5">
        <f t="shared" si="15"/>
        <v>372873.71879829845</v>
      </c>
      <c r="Q4" s="5">
        <f t="shared" si="15"/>
        <v>371793.20803508314</v>
      </c>
      <c r="R4" s="4">
        <f t="shared" si="12"/>
        <v>370712.69727186789</v>
      </c>
      <c r="S4" s="5">
        <f t="shared" ref="S4:V4" si="16">R4+(($W4-$R4)/5)</f>
        <v>369298.76427876856</v>
      </c>
      <c r="T4" s="5">
        <f t="shared" si="16"/>
        <v>367884.83128566924</v>
      </c>
      <c r="U4" s="5">
        <f t="shared" si="16"/>
        <v>366470.89829256991</v>
      </c>
      <c r="V4" s="5">
        <f t="shared" si="16"/>
        <v>365056.96529947058</v>
      </c>
      <c r="W4" s="4">
        <f t="shared" si="12"/>
        <v>363643.03230637126</v>
      </c>
      <c r="X4" s="5">
        <f t="shared" ref="X4:AA4" si="17">W4+(($AB4-$W4)/5)</f>
        <v>362440.41763963498</v>
      </c>
      <c r="Y4" s="5">
        <f t="shared" si="17"/>
        <v>361237.8029728987</v>
      </c>
      <c r="Z4" s="5">
        <f t="shared" si="17"/>
        <v>360035.18830616242</v>
      </c>
      <c r="AA4" s="5">
        <f t="shared" si="17"/>
        <v>358832.57363942615</v>
      </c>
      <c r="AB4" s="4">
        <f t="shared" si="12"/>
        <v>357629.95897268999</v>
      </c>
      <c r="AC4" s="5">
        <f t="shared" ref="AC4:AF4" si="18">AB4+(($AG4-$AB4)/5)</f>
        <v>356618.82501468697</v>
      </c>
      <c r="AD4" s="5">
        <f t="shared" si="18"/>
        <v>355607.69105668395</v>
      </c>
      <c r="AE4" s="5">
        <f t="shared" si="18"/>
        <v>354596.55709868093</v>
      </c>
      <c r="AF4" s="5">
        <f t="shared" si="18"/>
        <v>353585.42314067791</v>
      </c>
      <c r="AG4" s="4">
        <f t="shared" si="12"/>
        <v>352574.28918267495</v>
      </c>
    </row>
    <row r="5" spans="1:33" x14ac:dyDescent="0.3">
      <c r="A5" t="s">
        <v>114</v>
      </c>
      <c r="B5" t="s">
        <v>111</v>
      </c>
      <c r="C5" s="4">
        <v>6815.4932525411296</v>
      </c>
      <c r="D5" s="5">
        <f t="shared" ref="D5:G5" si="19">C5+(($H5-$C5)/5)</f>
        <v>6755.7050516561976</v>
      </c>
      <c r="E5" s="5">
        <f t="shared" si="19"/>
        <v>6695.9168507712657</v>
      </c>
      <c r="F5" s="5">
        <f t="shared" si="19"/>
        <v>6636.1286498863337</v>
      </c>
      <c r="G5" s="5">
        <f t="shared" si="19"/>
        <v>6576.3404490014018</v>
      </c>
      <c r="H5" s="4">
        <v>6516.552248116468</v>
      </c>
      <c r="I5" s="5">
        <f t="shared" ref="I5:L5" si="20">H5+(($M5-$H5)/5)</f>
        <v>6480.7071195941471</v>
      </c>
      <c r="J5" s="5">
        <f t="shared" si="20"/>
        <v>6444.8619910718262</v>
      </c>
      <c r="K5" s="5">
        <f t="shared" si="20"/>
        <v>6409.0168625495053</v>
      </c>
      <c r="L5" s="5">
        <f t="shared" si="20"/>
        <v>6373.1717340271844</v>
      </c>
      <c r="M5" s="4">
        <v>6337.3266055048616</v>
      </c>
      <c r="N5" s="5">
        <f t="shared" ref="N5:Q5" si="21">M5+(($R5-$M5)/5)</f>
        <v>6339.1376154291338</v>
      </c>
      <c r="O5" s="5">
        <f t="shared" si="21"/>
        <v>6340.948625353406</v>
      </c>
      <c r="P5" s="5">
        <f t="shared" si="21"/>
        <v>6342.7596352776782</v>
      </c>
      <c r="Q5" s="5">
        <f t="shared" si="21"/>
        <v>6344.5706452019504</v>
      </c>
      <c r="R5" s="4">
        <v>6346.3816551262216</v>
      </c>
      <c r="S5" s="5">
        <f t="shared" ref="S5:V5" si="22">R5+(($W5-$R5)/5)</f>
        <v>6338.7036709490458</v>
      </c>
      <c r="T5" s="5">
        <f t="shared" si="22"/>
        <v>6331.0256867718699</v>
      </c>
      <c r="U5" s="5">
        <f t="shared" si="22"/>
        <v>6323.3477025946941</v>
      </c>
      <c r="V5" s="5">
        <f t="shared" si="22"/>
        <v>6315.6697184175182</v>
      </c>
      <c r="W5" s="4">
        <v>6307.9917342403405</v>
      </c>
      <c r="X5" s="5">
        <f t="shared" ref="X5:AA5" si="23">W5+(($AB5-$W5)/5)</f>
        <v>6313.3931035928626</v>
      </c>
      <c r="Y5" s="5">
        <f t="shared" si="23"/>
        <v>6318.7944729453848</v>
      </c>
      <c r="Z5" s="5">
        <f t="shared" si="23"/>
        <v>6324.1958422979069</v>
      </c>
      <c r="AA5" s="5">
        <f t="shared" si="23"/>
        <v>6329.597211650429</v>
      </c>
      <c r="AB5" s="4">
        <v>6334.9985810029502</v>
      </c>
      <c r="AC5" s="5">
        <f t="shared" ref="AC5:AF5" si="24">AB5+(($AG5-$AB5)/5)</f>
        <v>6335.962514975432</v>
      </c>
      <c r="AD5" s="5">
        <f t="shared" si="24"/>
        <v>6336.9264489479137</v>
      </c>
      <c r="AE5" s="5">
        <f t="shared" si="24"/>
        <v>6337.8903829203955</v>
      </c>
      <c r="AF5" s="5">
        <f t="shared" si="24"/>
        <v>6338.8543168928773</v>
      </c>
      <c r="AG5" s="4">
        <v>6339.8182508653599</v>
      </c>
    </row>
    <row r="6" spans="1:33" x14ac:dyDescent="0.3">
      <c r="A6" t="s">
        <v>114</v>
      </c>
      <c r="B6" t="s">
        <v>112</v>
      </c>
      <c r="C6" s="4">
        <v>2887.961725708315</v>
      </c>
      <c r="D6" s="5">
        <f t="shared" ref="D6:G6" si="25">C6+(($H6-$C6)/5)</f>
        <v>2873.0513744568989</v>
      </c>
      <c r="E6" s="5">
        <f t="shared" si="25"/>
        <v>2858.1410232054827</v>
      </c>
      <c r="F6" s="5">
        <f t="shared" si="25"/>
        <v>2843.2306719540666</v>
      </c>
      <c r="G6" s="5">
        <f t="shared" si="25"/>
        <v>2828.3203207026504</v>
      </c>
      <c r="H6" s="4">
        <v>2813.4099694512333</v>
      </c>
      <c r="I6" s="5">
        <f t="shared" ref="I6:L6" si="26">H6+(($M6-$H6)/5)</f>
        <v>2774.9280743572058</v>
      </c>
      <c r="J6" s="5">
        <f t="shared" si="26"/>
        <v>2736.4461792631782</v>
      </c>
      <c r="K6" s="5">
        <f t="shared" si="26"/>
        <v>2697.9642841691507</v>
      </c>
      <c r="L6" s="5">
        <f t="shared" si="26"/>
        <v>2659.4823890751231</v>
      </c>
      <c r="M6" s="4">
        <v>2621.000493981096</v>
      </c>
      <c r="N6" s="5">
        <f t="shared" ref="N6:Q6" si="27">M6+(($R6-$M6)/5)</f>
        <v>2629.5931639241248</v>
      </c>
      <c r="O6" s="5">
        <f t="shared" si="27"/>
        <v>2638.1858338671536</v>
      </c>
      <c r="P6" s="5">
        <f t="shared" si="27"/>
        <v>2646.7785038101824</v>
      </c>
      <c r="Q6" s="5">
        <f t="shared" si="27"/>
        <v>2655.3711737532112</v>
      </c>
      <c r="R6" s="4">
        <v>2663.9638436962405</v>
      </c>
      <c r="S6" s="5">
        <f t="shared" ref="S6:V6" si="28">R6+(($W6-$R6)/5)</f>
        <v>2664.1827329665898</v>
      </c>
      <c r="T6" s="5">
        <f t="shared" si="28"/>
        <v>2664.4016222369391</v>
      </c>
      <c r="U6" s="5">
        <f t="shared" si="28"/>
        <v>2664.6205115072885</v>
      </c>
      <c r="V6" s="5">
        <f t="shared" si="28"/>
        <v>2664.8394007776378</v>
      </c>
      <c r="W6" s="4">
        <v>2665.0582900479872</v>
      </c>
      <c r="X6" s="5">
        <f t="shared" ref="X6:AA6" si="29">W6+(($AB6-$W6)/5)</f>
        <v>2661.8382692654004</v>
      </c>
      <c r="Y6" s="5">
        <f t="shared" si="29"/>
        <v>2658.6182484828137</v>
      </c>
      <c r="Z6" s="5">
        <f t="shared" si="29"/>
        <v>2655.3982277002269</v>
      </c>
      <c r="AA6" s="5">
        <f t="shared" si="29"/>
        <v>2652.1782069176402</v>
      </c>
      <c r="AB6" s="4">
        <v>2648.9581861350539</v>
      </c>
      <c r="AC6" s="5">
        <f t="shared" ref="AC6:AF6" si="30">AB6+(($AG6-$AB6)/5)</f>
        <v>2643.5059908221656</v>
      </c>
      <c r="AD6" s="5">
        <f t="shared" si="30"/>
        <v>2638.0537955092773</v>
      </c>
      <c r="AE6" s="5">
        <f t="shared" si="30"/>
        <v>2632.601600196389</v>
      </c>
      <c r="AF6" s="5">
        <f t="shared" si="30"/>
        <v>2627.1494048835007</v>
      </c>
      <c r="AG6" s="4">
        <v>2621.6972095706119</v>
      </c>
    </row>
    <row r="7" spans="1:33" x14ac:dyDescent="0.3">
      <c r="A7" t="str">
        <f>A6</f>
        <v>AT</v>
      </c>
      <c r="B7" t="s">
        <v>142</v>
      </c>
      <c r="C7" s="4">
        <f t="shared" ref="C7" si="31">SUM(C5:C6)</f>
        <v>9703.454978249445</v>
      </c>
      <c r="D7" s="5">
        <f t="shared" ref="D7:G7" si="32">C7+(($H7-$C7)/5)</f>
        <v>9628.7564261130956</v>
      </c>
      <c r="E7" s="5">
        <f t="shared" si="32"/>
        <v>9554.0578739767461</v>
      </c>
      <c r="F7" s="5">
        <f t="shared" si="32"/>
        <v>9479.3593218403967</v>
      </c>
      <c r="G7" s="5">
        <f t="shared" si="32"/>
        <v>9404.6607697040472</v>
      </c>
      <c r="H7" s="4">
        <f t="shared" ref="H7" si="33">SUM(H5:H6)</f>
        <v>9329.9622175677014</v>
      </c>
      <c r="I7" s="5">
        <f t="shared" ref="I7:L7" si="34">H7+(($M7-$H7)/5)</f>
        <v>9255.6351939513534</v>
      </c>
      <c r="J7" s="5">
        <f t="shared" si="34"/>
        <v>9181.3081703350053</v>
      </c>
      <c r="K7" s="5">
        <f t="shared" si="34"/>
        <v>9106.9811467186573</v>
      </c>
      <c r="L7" s="5">
        <f t="shared" si="34"/>
        <v>9032.6541231023093</v>
      </c>
      <c r="M7" s="4">
        <f t="shared" ref="M7" si="35">SUM(M5:M6)</f>
        <v>8958.3270994859577</v>
      </c>
      <c r="N7" s="5">
        <f t="shared" ref="N7:Q7" si="36">M7+(($R7-$M7)/5)</f>
        <v>8968.7307793532582</v>
      </c>
      <c r="O7" s="5">
        <f t="shared" si="36"/>
        <v>8979.1344592205587</v>
      </c>
      <c r="P7" s="5">
        <f t="shared" si="36"/>
        <v>8989.5381390878592</v>
      </c>
      <c r="Q7" s="5">
        <f t="shared" si="36"/>
        <v>8999.9418189551598</v>
      </c>
      <c r="R7" s="4">
        <f t="shared" ref="R7" si="37">SUM(R5:R6)</f>
        <v>9010.3454988224621</v>
      </c>
      <c r="S7" s="5">
        <f t="shared" ref="S7:V7" si="38">R7+(($W7-$R7)/5)</f>
        <v>9002.886403915636</v>
      </c>
      <c r="T7" s="5">
        <f t="shared" si="38"/>
        <v>8995.42730900881</v>
      </c>
      <c r="U7" s="5">
        <f t="shared" si="38"/>
        <v>8987.9682141019839</v>
      </c>
      <c r="V7" s="5">
        <f t="shared" si="38"/>
        <v>8980.5091191951578</v>
      </c>
      <c r="W7" s="4">
        <f t="shared" ref="W7" si="39">SUM(W5:W6)</f>
        <v>8973.0500242883281</v>
      </c>
      <c r="X7" s="5">
        <f t="shared" ref="X7:AA7" si="40">W7+(($AB7-$W7)/5)</f>
        <v>8975.2313728582631</v>
      </c>
      <c r="Y7" s="5">
        <f t="shared" si="40"/>
        <v>8977.412721428198</v>
      </c>
      <c r="Z7" s="5">
        <f t="shared" si="40"/>
        <v>8979.5940699981329</v>
      </c>
      <c r="AA7" s="5">
        <f t="shared" si="40"/>
        <v>8981.7754185680678</v>
      </c>
      <c r="AB7" s="4">
        <f t="shared" ref="AB7" si="41">SUM(AB5:AB6)</f>
        <v>8983.9567671380046</v>
      </c>
      <c r="AC7" s="5">
        <f t="shared" ref="AC7:AF7" si="42">AB7+(($AG7-$AB7)/5)</f>
        <v>8979.4685057975985</v>
      </c>
      <c r="AD7" s="5">
        <f t="shared" si="42"/>
        <v>8974.9802444571924</v>
      </c>
      <c r="AE7" s="5">
        <f t="shared" si="42"/>
        <v>8970.4919831167863</v>
      </c>
      <c r="AF7" s="5">
        <f t="shared" si="42"/>
        <v>8966.0037217763802</v>
      </c>
      <c r="AG7" s="4">
        <f t="shared" ref="AG7" si="43">SUM(AG5:AG6)</f>
        <v>8961.5154604359723</v>
      </c>
    </row>
    <row r="8" spans="1:33" x14ac:dyDescent="0.3">
      <c r="A8" t="s">
        <v>115</v>
      </c>
      <c r="B8" t="s">
        <v>111</v>
      </c>
      <c r="C8" s="4">
        <v>8058.7750205520833</v>
      </c>
      <c r="D8" s="5">
        <f t="shared" ref="D8:G8" si="44">C8+(($H8-$C8)/5)</f>
        <v>7994.0358754798644</v>
      </c>
      <c r="E8" s="5">
        <f t="shared" si="44"/>
        <v>7929.2967304076456</v>
      </c>
      <c r="F8" s="5">
        <f t="shared" si="44"/>
        <v>7864.5575853354267</v>
      </c>
      <c r="G8" s="5">
        <f t="shared" si="44"/>
        <v>7799.8184402632078</v>
      </c>
      <c r="H8" s="4">
        <v>7735.0792951909889</v>
      </c>
      <c r="I8" s="5">
        <f t="shared" ref="I8:L8" si="45">H8+(($M8-$H8)/5)</f>
        <v>7607.2467319086554</v>
      </c>
      <c r="J8" s="5">
        <f t="shared" si="45"/>
        <v>7479.414168626322</v>
      </c>
      <c r="K8" s="5">
        <f t="shared" si="45"/>
        <v>7351.5816053439885</v>
      </c>
      <c r="L8" s="5">
        <f t="shared" si="45"/>
        <v>7223.749042061655</v>
      </c>
      <c r="M8" s="4">
        <v>7095.9164787793216</v>
      </c>
      <c r="N8" s="5">
        <f t="shared" ref="N8:Q8" si="46">M8+(($R8-$M8)/5)</f>
        <v>6986.2643967914228</v>
      </c>
      <c r="O8" s="5">
        <f t="shared" si="46"/>
        <v>6876.612314803524</v>
      </c>
      <c r="P8" s="5">
        <f t="shared" si="46"/>
        <v>6766.9602328156252</v>
      </c>
      <c r="Q8" s="5">
        <f t="shared" si="46"/>
        <v>6657.3081508277264</v>
      </c>
      <c r="R8" s="4">
        <v>6547.6560688398276</v>
      </c>
      <c r="S8" s="5">
        <f t="shared" ref="S8:V8" si="47">R8+(($W8-$R8)/5)</f>
        <v>6509.8183504171029</v>
      </c>
      <c r="T8" s="5">
        <f t="shared" si="47"/>
        <v>6471.9806319943782</v>
      </c>
      <c r="U8" s="5">
        <f t="shared" si="47"/>
        <v>6434.1429135716535</v>
      </c>
      <c r="V8" s="5">
        <f t="shared" si="47"/>
        <v>6396.3051951489288</v>
      </c>
      <c r="W8" s="4">
        <v>6358.4674767262022</v>
      </c>
      <c r="X8" s="5">
        <f t="shared" ref="X8:AA8" si="48">W8+(($AB8-$W8)/5)</f>
        <v>6333.8246499476672</v>
      </c>
      <c r="Y8" s="5">
        <f t="shared" si="48"/>
        <v>6309.1818231691323</v>
      </c>
      <c r="Z8" s="5">
        <f t="shared" si="48"/>
        <v>6284.5389963905973</v>
      </c>
      <c r="AA8" s="5">
        <f t="shared" si="48"/>
        <v>6259.8961696120623</v>
      </c>
      <c r="AB8" s="4">
        <v>6235.2533428335282</v>
      </c>
      <c r="AC8" s="5">
        <f t="shared" ref="AC8:AF8" si="49">AB8+(($AG8-$AB8)/5)</f>
        <v>6211.3851342516737</v>
      </c>
      <c r="AD8" s="5">
        <f t="shared" si="49"/>
        <v>6187.5169256698191</v>
      </c>
      <c r="AE8" s="5">
        <f t="shared" si="49"/>
        <v>6163.6487170879645</v>
      </c>
      <c r="AF8" s="5">
        <f t="shared" si="49"/>
        <v>6139.78050850611</v>
      </c>
      <c r="AG8" s="4">
        <v>6115.9122999242563</v>
      </c>
    </row>
    <row r="9" spans="1:33" x14ac:dyDescent="0.3">
      <c r="A9" t="s">
        <v>115</v>
      </c>
      <c r="B9" t="s">
        <v>112</v>
      </c>
      <c r="C9" s="4">
        <v>4641.4944893064921</v>
      </c>
      <c r="D9" s="5">
        <f t="shared" ref="D9:G9" si="50">C9+(($H9-$C9)/5)</f>
        <v>4730.6504492274635</v>
      </c>
      <c r="E9" s="5">
        <f t="shared" si="50"/>
        <v>4819.8064091484348</v>
      </c>
      <c r="F9" s="5">
        <f t="shared" si="50"/>
        <v>4908.9623690694061</v>
      </c>
      <c r="G9" s="5">
        <f t="shared" si="50"/>
        <v>4998.1183289903774</v>
      </c>
      <c r="H9" s="4">
        <v>5087.2742889113506</v>
      </c>
      <c r="I9" s="5">
        <f t="shared" ref="I9:L9" si="51">H9+(($M9-$H9)/5)</f>
        <v>5050.5206389149398</v>
      </c>
      <c r="J9" s="5">
        <f t="shared" si="51"/>
        <v>5013.766988918529</v>
      </c>
      <c r="K9" s="5">
        <f t="shared" si="51"/>
        <v>4977.0133389221182</v>
      </c>
      <c r="L9" s="5">
        <f t="shared" si="51"/>
        <v>4940.2596889257075</v>
      </c>
      <c r="M9" s="4">
        <v>4903.5060389292958</v>
      </c>
      <c r="N9" s="5">
        <f t="shared" ref="N9:Q9" si="52">M9+(($R9-$M9)/5)</f>
        <v>4970.3329866798531</v>
      </c>
      <c r="O9" s="5">
        <f t="shared" si="52"/>
        <v>5037.1599344304104</v>
      </c>
      <c r="P9" s="5">
        <f t="shared" si="52"/>
        <v>5103.9868821809678</v>
      </c>
      <c r="Q9" s="5">
        <f t="shared" si="52"/>
        <v>5170.8138299315251</v>
      </c>
      <c r="R9" s="4">
        <v>5237.6407776820834</v>
      </c>
      <c r="S9" s="5">
        <f t="shared" ref="S9:V9" si="53">R9+(($W9-$R9)/5)</f>
        <v>5254.0956469299981</v>
      </c>
      <c r="T9" s="5">
        <f t="shared" si="53"/>
        <v>5270.5505161779129</v>
      </c>
      <c r="U9" s="5">
        <f t="shared" si="53"/>
        <v>5287.0053854258276</v>
      </c>
      <c r="V9" s="5">
        <f t="shared" si="53"/>
        <v>5303.4602546737424</v>
      </c>
      <c r="W9" s="4">
        <v>5319.9151239216571</v>
      </c>
      <c r="X9" s="5">
        <f t="shared" ref="X9:AA9" si="54">W9+(($AB9-$W9)/5)</f>
        <v>5333.4537819739808</v>
      </c>
      <c r="Y9" s="5">
        <f t="shared" si="54"/>
        <v>5346.9924400263044</v>
      </c>
      <c r="Z9" s="5">
        <f t="shared" si="54"/>
        <v>5360.531098078628</v>
      </c>
      <c r="AA9" s="5">
        <f t="shared" si="54"/>
        <v>5374.0697561309516</v>
      </c>
      <c r="AB9" s="4">
        <v>5387.6084141832735</v>
      </c>
      <c r="AC9" s="5">
        <f t="shared" ref="AC9:AF9" si="55">AB9+(($AG9-$AB9)/5)</f>
        <v>5376.5266277211867</v>
      </c>
      <c r="AD9" s="5">
        <f t="shared" si="55"/>
        <v>5365.4448412591</v>
      </c>
      <c r="AE9" s="5">
        <f t="shared" si="55"/>
        <v>5354.3630547970133</v>
      </c>
      <c r="AF9" s="5">
        <f t="shared" si="55"/>
        <v>5343.2812683349266</v>
      </c>
      <c r="AG9" s="4">
        <v>5332.1994818728408</v>
      </c>
    </row>
    <row r="10" spans="1:33" x14ac:dyDescent="0.3">
      <c r="A10" t="str">
        <f>A9</f>
        <v>BE</v>
      </c>
      <c r="B10" t="s">
        <v>142</v>
      </c>
      <c r="C10" s="4">
        <f t="shared" ref="C10" si="56">SUM(C8:C9)</f>
        <v>12700.269509858575</v>
      </c>
      <c r="D10" s="5">
        <f t="shared" ref="D10:G10" si="57">C10+(($H10-$C10)/5)</f>
        <v>12724.686324707329</v>
      </c>
      <c r="E10" s="5">
        <f t="shared" si="57"/>
        <v>12749.103139556082</v>
      </c>
      <c r="F10" s="5">
        <f t="shared" si="57"/>
        <v>12773.519954404836</v>
      </c>
      <c r="G10" s="5">
        <f t="shared" si="57"/>
        <v>12797.936769253589</v>
      </c>
      <c r="H10" s="4">
        <f t="shared" ref="H10" si="58">SUM(H8:H9)</f>
        <v>12822.35358410234</v>
      </c>
      <c r="I10" s="5">
        <f t="shared" ref="I10:L10" si="59">H10+(($M10-$H10)/5)</f>
        <v>12657.767370823596</v>
      </c>
      <c r="J10" s="5">
        <f t="shared" si="59"/>
        <v>12493.181157544852</v>
      </c>
      <c r="K10" s="5">
        <f t="shared" si="59"/>
        <v>12328.594944266108</v>
      </c>
      <c r="L10" s="5">
        <f t="shared" si="59"/>
        <v>12164.008730987363</v>
      </c>
      <c r="M10" s="4">
        <f t="shared" ref="M10" si="60">SUM(M8:M9)</f>
        <v>11999.422517708617</v>
      </c>
      <c r="N10" s="5">
        <f t="shared" ref="N10:Q10" si="61">M10+(($R10-$M10)/5)</f>
        <v>11956.597383471277</v>
      </c>
      <c r="O10" s="5">
        <f t="shared" si="61"/>
        <v>11913.772249233936</v>
      </c>
      <c r="P10" s="5">
        <f t="shared" si="61"/>
        <v>11870.947114996596</v>
      </c>
      <c r="Q10" s="5">
        <f t="shared" si="61"/>
        <v>11828.121980759255</v>
      </c>
      <c r="R10" s="4">
        <f t="shared" ref="R10" si="62">SUM(R8:R9)</f>
        <v>11785.296846521911</v>
      </c>
      <c r="S10" s="5">
        <f t="shared" ref="S10:V10" si="63">R10+(($W10-$R10)/5)</f>
        <v>11763.913997347101</v>
      </c>
      <c r="T10" s="5">
        <f t="shared" si="63"/>
        <v>11742.531148172291</v>
      </c>
      <c r="U10" s="5">
        <f t="shared" si="63"/>
        <v>11721.148298997481</v>
      </c>
      <c r="V10" s="5">
        <f t="shared" si="63"/>
        <v>11699.765449822671</v>
      </c>
      <c r="W10" s="4">
        <f t="shared" ref="W10" si="64">SUM(W8:W9)</f>
        <v>11678.382600647859</v>
      </c>
      <c r="X10" s="5">
        <f t="shared" ref="X10:AA10" si="65">W10+(($AB10-$W10)/5)</f>
        <v>11667.278431921648</v>
      </c>
      <c r="Y10" s="5">
        <f t="shared" si="65"/>
        <v>11656.174263195437</v>
      </c>
      <c r="Z10" s="5">
        <f t="shared" si="65"/>
        <v>11645.070094469225</v>
      </c>
      <c r="AA10" s="5">
        <f t="shared" si="65"/>
        <v>11633.965925743014</v>
      </c>
      <c r="AB10" s="4">
        <f t="shared" ref="AB10" si="66">SUM(AB8:AB9)</f>
        <v>11622.861757016803</v>
      </c>
      <c r="AC10" s="5">
        <f t="shared" ref="AC10:AF10" si="67">AB10+(($AG10-$AB10)/5)</f>
        <v>11587.911761972862</v>
      </c>
      <c r="AD10" s="5">
        <f t="shared" si="67"/>
        <v>11552.961766928922</v>
      </c>
      <c r="AE10" s="5">
        <f t="shared" si="67"/>
        <v>11518.011771884981</v>
      </c>
      <c r="AF10" s="5">
        <f t="shared" si="67"/>
        <v>11483.061776841041</v>
      </c>
      <c r="AG10" s="4">
        <f t="shared" ref="AG10" si="68">SUM(AG8:AG9)</f>
        <v>11448.111781797097</v>
      </c>
    </row>
    <row r="11" spans="1:33" x14ac:dyDescent="0.3">
      <c r="A11" t="s">
        <v>116</v>
      </c>
      <c r="B11" t="s">
        <v>111</v>
      </c>
      <c r="C11" s="4">
        <v>2185.9519468438912</v>
      </c>
      <c r="D11" s="5">
        <f t="shared" ref="D11:G11" si="69">C11+(($H11-$C11)/5)</f>
        <v>2206.3303228911818</v>
      </c>
      <c r="E11" s="5">
        <f t="shared" si="69"/>
        <v>2226.7086989384725</v>
      </c>
      <c r="F11" s="5">
        <f t="shared" si="69"/>
        <v>2247.0870749857631</v>
      </c>
      <c r="G11" s="5">
        <f t="shared" si="69"/>
        <v>2267.4654510330538</v>
      </c>
      <c r="H11" s="4">
        <v>2287.8438270803445</v>
      </c>
      <c r="I11" s="5">
        <f t="shared" ref="I11:L11" si="70">H11+(($M11-$H11)/5)</f>
        <v>2294.6227334600358</v>
      </c>
      <c r="J11" s="5">
        <f t="shared" si="70"/>
        <v>2301.4016398397271</v>
      </c>
      <c r="K11" s="5">
        <f t="shared" si="70"/>
        <v>2308.1805462194184</v>
      </c>
      <c r="L11" s="5">
        <f t="shared" si="70"/>
        <v>2314.9594525991097</v>
      </c>
      <c r="M11" s="4">
        <v>2321.7383589788019</v>
      </c>
      <c r="N11" s="5">
        <f t="shared" ref="N11:Q11" si="71">M11+(($R11-$M11)/5)</f>
        <v>2328.8192453991664</v>
      </c>
      <c r="O11" s="5">
        <f t="shared" si="71"/>
        <v>2335.900131819531</v>
      </c>
      <c r="P11" s="5">
        <f t="shared" si="71"/>
        <v>2342.9810182398955</v>
      </c>
      <c r="Q11" s="5">
        <f t="shared" si="71"/>
        <v>2350.0619046602601</v>
      </c>
      <c r="R11" s="4">
        <v>2357.1427910806246</v>
      </c>
      <c r="S11" s="5">
        <f t="shared" ref="S11:V11" si="72">R11+(($W11-$R11)/5)</f>
        <v>2358.9932240098378</v>
      </c>
      <c r="T11" s="5">
        <f t="shared" si="72"/>
        <v>2360.843656939051</v>
      </c>
      <c r="U11" s="5">
        <f t="shared" si="72"/>
        <v>2362.6940898682642</v>
      </c>
      <c r="V11" s="5">
        <f t="shared" si="72"/>
        <v>2364.5445227974774</v>
      </c>
      <c r="W11" s="4">
        <v>2366.3949557266906</v>
      </c>
      <c r="X11" s="5">
        <f t="shared" ref="X11:AA11" si="73">W11+(($AB11-$W11)/5)</f>
        <v>2366.5730768004646</v>
      </c>
      <c r="Y11" s="5">
        <f t="shared" si="73"/>
        <v>2366.7511978742386</v>
      </c>
      <c r="Z11" s="5">
        <f t="shared" si="73"/>
        <v>2366.9293189480127</v>
      </c>
      <c r="AA11" s="5">
        <f t="shared" si="73"/>
        <v>2367.1074400217867</v>
      </c>
      <c r="AB11" s="4">
        <v>2367.2855610955617</v>
      </c>
      <c r="AC11" s="5">
        <f t="shared" ref="AC11:AF11" si="74">AB11+(($AG11-$AB11)/5)</f>
        <v>2362.8297126192556</v>
      </c>
      <c r="AD11" s="5">
        <f t="shared" si="74"/>
        <v>2358.3738641429495</v>
      </c>
      <c r="AE11" s="5">
        <f t="shared" si="74"/>
        <v>2353.9180156666434</v>
      </c>
      <c r="AF11" s="5">
        <f t="shared" si="74"/>
        <v>2349.4621671903374</v>
      </c>
      <c r="AG11" s="4">
        <v>2345.0063187140308</v>
      </c>
    </row>
    <row r="12" spans="1:33" x14ac:dyDescent="0.3">
      <c r="A12" t="s">
        <v>116</v>
      </c>
      <c r="B12" t="s">
        <v>112</v>
      </c>
      <c r="C12" s="4">
        <v>1228.0164294092313</v>
      </c>
      <c r="D12" s="5">
        <f t="shared" ref="D12:G12" si="75">C12+(($H12-$C12)/5)</f>
        <v>1267.7591694638058</v>
      </c>
      <c r="E12" s="5">
        <f t="shared" si="75"/>
        <v>1307.5019095183804</v>
      </c>
      <c r="F12" s="5">
        <f t="shared" si="75"/>
        <v>1347.244649572955</v>
      </c>
      <c r="G12" s="5">
        <f t="shared" si="75"/>
        <v>1386.9873896275296</v>
      </c>
      <c r="H12" s="4">
        <v>1426.7301296821042</v>
      </c>
      <c r="I12" s="5">
        <f t="shared" ref="I12:L12" si="76">H12+(($M12-$H12)/5)</f>
        <v>1413.8161659214345</v>
      </c>
      <c r="J12" s="5">
        <f t="shared" si="76"/>
        <v>1400.9022021607648</v>
      </c>
      <c r="K12" s="5">
        <f t="shared" si="76"/>
        <v>1387.988238400095</v>
      </c>
      <c r="L12" s="5">
        <f t="shared" si="76"/>
        <v>1375.0742746394253</v>
      </c>
      <c r="M12" s="4">
        <v>1362.1603108787558</v>
      </c>
      <c r="N12" s="5">
        <f t="shared" ref="N12:Q12" si="77">M12+(($R12-$M12)/5)</f>
        <v>1361.6194166409209</v>
      </c>
      <c r="O12" s="5">
        <f t="shared" si="77"/>
        <v>1361.078522403086</v>
      </c>
      <c r="P12" s="5">
        <f t="shared" si="77"/>
        <v>1360.5376281652511</v>
      </c>
      <c r="Q12" s="5">
        <f t="shared" si="77"/>
        <v>1359.9967339274162</v>
      </c>
      <c r="R12" s="4">
        <v>1359.4558396895809</v>
      </c>
      <c r="S12" s="5">
        <f t="shared" ref="S12:V12" si="78">R12+(($W12-$R12)/5)</f>
        <v>1350.0760647915736</v>
      </c>
      <c r="T12" s="5">
        <f t="shared" si="78"/>
        <v>1340.6962898935662</v>
      </c>
      <c r="U12" s="5">
        <f t="shared" si="78"/>
        <v>1331.3165149955589</v>
      </c>
      <c r="V12" s="5">
        <f t="shared" si="78"/>
        <v>1321.9367400975516</v>
      </c>
      <c r="W12" s="4">
        <v>1312.556965199544</v>
      </c>
      <c r="X12" s="5">
        <f t="shared" ref="X12:AA12" si="79">W12+(($AB12-$W12)/5)</f>
        <v>1308.585229451151</v>
      </c>
      <c r="Y12" s="5">
        <f t="shared" si="79"/>
        <v>1304.613493702758</v>
      </c>
      <c r="Z12" s="5">
        <f t="shared" si="79"/>
        <v>1300.6417579543649</v>
      </c>
      <c r="AA12" s="5">
        <f t="shared" si="79"/>
        <v>1296.6700222059719</v>
      </c>
      <c r="AB12" s="4">
        <v>1292.6982864575784</v>
      </c>
      <c r="AC12" s="5">
        <f t="shared" ref="AC12:AF12" si="80">AB12+(($AG12-$AB12)/5)</f>
        <v>1290.118437092965</v>
      </c>
      <c r="AD12" s="5">
        <f t="shared" si="80"/>
        <v>1287.5385877283516</v>
      </c>
      <c r="AE12" s="5">
        <f t="shared" si="80"/>
        <v>1284.9587383637381</v>
      </c>
      <c r="AF12" s="5">
        <f t="shared" si="80"/>
        <v>1282.3788889991247</v>
      </c>
      <c r="AG12" s="4">
        <v>1279.7990396345115</v>
      </c>
    </row>
    <row r="13" spans="1:33" x14ac:dyDescent="0.3">
      <c r="A13" t="str">
        <f>A12</f>
        <v>BG</v>
      </c>
      <c r="B13" t="s">
        <v>142</v>
      </c>
      <c r="C13" s="4">
        <f t="shared" ref="C13" si="81">SUM(C11:C12)</f>
        <v>3413.9683762531222</v>
      </c>
      <c r="D13" s="5">
        <f t="shared" ref="D13:G13" si="82">C13+(($H13-$C13)/5)</f>
        <v>3474.0894923549877</v>
      </c>
      <c r="E13" s="5">
        <f t="shared" si="82"/>
        <v>3534.2106084568532</v>
      </c>
      <c r="F13" s="5">
        <f t="shared" si="82"/>
        <v>3594.3317245587186</v>
      </c>
      <c r="G13" s="5">
        <f t="shared" si="82"/>
        <v>3654.4528406605841</v>
      </c>
      <c r="H13" s="4">
        <f t="shared" ref="H13" si="83">SUM(H11:H12)</f>
        <v>3714.5739567624487</v>
      </c>
      <c r="I13" s="5">
        <f t="shared" ref="I13:L13" si="84">H13+(($M13-$H13)/5)</f>
        <v>3708.4388993814705</v>
      </c>
      <c r="J13" s="5">
        <f t="shared" si="84"/>
        <v>3702.3038420004923</v>
      </c>
      <c r="K13" s="5">
        <f t="shared" si="84"/>
        <v>3696.1687846195141</v>
      </c>
      <c r="L13" s="5">
        <f t="shared" si="84"/>
        <v>3690.0337272385359</v>
      </c>
      <c r="M13" s="4">
        <f t="shared" ref="M13" si="85">SUM(M11:M12)</f>
        <v>3683.8986698575577</v>
      </c>
      <c r="N13" s="5">
        <f t="shared" ref="N13:Q13" si="86">M13+(($R13-$M13)/5)</f>
        <v>3690.4386620400874</v>
      </c>
      <c r="O13" s="5">
        <f t="shared" si="86"/>
        <v>3696.978654222617</v>
      </c>
      <c r="P13" s="5">
        <f t="shared" si="86"/>
        <v>3703.5186464051467</v>
      </c>
      <c r="Q13" s="5">
        <f t="shared" si="86"/>
        <v>3710.0586385876763</v>
      </c>
      <c r="R13" s="4">
        <f t="shared" ref="R13" si="87">SUM(R11:R12)</f>
        <v>3716.5986307702055</v>
      </c>
      <c r="S13" s="5">
        <f t="shared" ref="S13:V13" si="88">R13+(($W13-$R13)/5)</f>
        <v>3709.0692888014114</v>
      </c>
      <c r="T13" s="5">
        <f t="shared" si="88"/>
        <v>3701.5399468326173</v>
      </c>
      <c r="U13" s="5">
        <f t="shared" si="88"/>
        <v>3694.0106048638231</v>
      </c>
      <c r="V13" s="5">
        <f t="shared" si="88"/>
        <v>3686.481262895029</v>
      </c>
      <c r="W13" s="4">
        <f t="shared" ref="W13" si="89">SUM(W11:W12)</f>
        <v>3678.9519209262344</v>
      </c>
      <c r="X13" s="5">
        <f t="shared" ref="X13:AA13" si="90">W13+(($AB13-$W13)/5)</f>
        <v>3675.1583062516156</v>
      </c>
      <c r="Y13" s="5">
        <f t="shared" si="90"/>
        <v>3671.3646915769968</v>
      </c>
      <c r="Z13" s="5">
        <f t="shared" si="90"/>
        <v>3667.5710769023781</v>
      </c>
      <c r="AA13" s="5">
        <f t="shared" si="90"/>
        <v>3663.7774622277593</v>
      </c>
      <c r="AB13" s="4">
        <f t="shared" ref="AB13" si="91">SUM(AB11:AB12)</f>
        <v>3659.9838475531401</v>
      </c>
      <c r="AC13" s="5">
        <f t="shared" ref="AC13:AF13" si="92">AB13+(($AG13-$AB13)/5)</f>
        <v>3652.9481497122206</v>
      </c>
      <c r="AD13" s="5">
        <f t="shared" si="92"/>
        <v>3645.9124518713011</v>
      </c>
      <c r="AE13" s="5">
        <f t="shared" si="92"/>
        <v>3638.8767540303816</v>
      </c>
      <c r="AF13" s="5">
        <f t="shared" si="92"/>
        <v>3631.8410561894621</v>
      </c>
      <c r="AG13" s="4">
        <f t="shared" ref="AG13" si="93">SUM(AG11:AG12)</f>
        <v>3624.8053583485425</v>
      </c>
    </row>
    <row r="14" spans="1:33" x14ac:dyDescent="0.3">
      <c r="A14" t="s">
        <v>118</v>
      </c>
      <c r="B14" t="s">
        <v>111</v>
      </c>
      <c r="C14" s="4">
        <v>367.4554672873378</v>
      </c>
      <c r="D14" s="5">
        <f t="shared" ref="D14:G14" si="94">C14+(($H14-$C14)/5)</f>
        <v>380.77472740676387</v>
      </c>
      <c r="E14" s="5">
        <f t="shared" si="94"/>
        <v>394.09398752618995</v>
      </c>
      <c r="F14" s="5">
        <f t="shared" si="94"/>
        <v>407.41324764561602</v>
      </c>
      <c r="G14" s="5">
        <f t="shared" si="94"/>
        <v>420.7325077650421</v>
      </c>
      <c r="H14" s="4">
        <v>434.05176788446812</v>
      </c>
      <c r="I14" s="5">
        <f t="shared" ref="I14:L14" si="95">H14+(($M14-$H14)/5)</f>
        <v>442.11908080564081</v>
      </c>
      <c r="J14" s="5">
        <f t="shared" si="95"/>
        <v>450.18639372681349</v>
      </c>
      <c r="K14" s="5">
        <f t="shared" si="95"/>
        <v>458.25370664798618</v>
      </c>
      <c r="L14" s="5">
        <f t="shared" si="95"/>
        <v>466.32101956915886</v>
      </c>
      <c r="M14" s="4">
        <v>474.38833249033155</v>
      </c>
      <c r="N14" s="5">
        <f t="shared" ref="N14:Q14" si="96">M14+(($R14-$M14)/5)</f>
        <v>478.03928036157976</v>
      </c>
      <c r="O14" s="5">
        <f t="shared" si="96"/>
        <v>481.69022823282796</v>
      </c>
      <c r="P14" s="5">
        <f t="shared" si="96"/>
        <v>485.34117610407617</v>
      </c>
      <c r="Q14" s="5">
        <f t="shared" si="96"/>
        <v>488.99212397532438</v>
      </c>
      <c r="R14" s="4">
        <v>492.64307184657252</v>
      </c>
      <c r="S14" s="5">
        <f t="shared" ref="S14:V14" si="97">R14+(($W14-$R14)/5)</f>
        <v>492.42497048615348</v>
      </c>
      <c r="T14" s="5">
        <f t="shared" si="97"/>
        <v>492.20686912573444</v>
      </c>
      <c r="U14" s="5">
        <f t="shared" si="97"/>
        <v>491.9887677653154</v>
      </c>
      <c r="V14" s="5">
        <f t="shared" si="97"/>
        <v>491.77066640489636</v>
      </c>
      <c r="W14" s="4">
        <v>491.55256504447738</v>
      </c>
      <c r="X14" s="5">
        <f t="shared" ref="X14:AA14" si="98">W14+(($AB14-$W14)/5)</f>
        <v>493.51252997115841</v>
      </c>
      <c r="Y14" s="5">
        <f t="shared" si="98"/>
        <v>495.47249489783945</v>
      </c>
      <c r="Z14" s="5">
        <f t="shared" si="98"/>
        <v>497.43245982452049</v>
      </c>
      <c r="AA14" s="5">
        <f t="shared" si="98"/>
        <v>499.39242475120153</v>
      </c>
      <c r="AB14" s="4">
        <v>501.35238967788263</v>
      </c>
      <c r="AC14" s="5">
        <f t="shared" ref="AC14:AF14" si="99">AB14+(($AG14-$AB14)/5)</f>
        <v>505.43988233086566</v>
      </c>
      <c r="AD14" s="5">
        <f t="shared" si="99"/>
        <v>509.52737498384869</v>
      </c>
      <c r="AE14" s="5">
        <f t="shared" si="99"/>
        <v>513.61486763683172</v>
      </c>
      <c r="AF14" s="5">
        <f t="shared" si="99"/>
        <v>517.70236028981481</v>
      </c>
      <c r="AG14" s="4">
        <v>521.78985294279789</v>
      </c>
    </row>
    <row r="15" spans="1:33" x14ac:dyDescent="0.3">
      <c r="A15" t="s">
        <v>118</v>
      </c>
      <c r="B15" t="s">
        <v>112</v>
      </c>
      <c r="C15" s="4">
        <v>294.68604914458189</v>
      </c>
      <c r="D15" s="5">
        <f t="shared" ref="D15:G15" si="100">C15+(($H15-$C15)/5)</f>
        <v>312.59339777875357</v>
      </c>
      <c r="E15" s="5">
        <f t="shared" si="100"/>
        <v>330.50074641292525</v>
      </c>
      <c r="F15" s="5">
        <f t="shared" si="100"/>
        <v>348.40809504709694</v>
      </c>
      <c r="G15" s="5">
        <f t="shared" si="100"/>
        <v>366.31544368126862</v>
      </c>
      <c r="H15" s="4">
        <v>384.22279231544024</v>
      </c>
      <c r="I15" s="5">
        <f t="shared" ref="I15:L15" si="101">H15+(($M15-$H15)/5)</f>
        <v>388.47259121476753</v>
      </c>
      <c r="J15" s="5">
        <f t="shared" si="101"/>
        <v>392.72239011409482</v>
      </c>
      <c r="K15" s="5">
        <f t="shared" si="101"/>
        <v>396.97218901342211</v>
      </c>
      <c r="L15" s="5">
        <f t="shared" si="101"/>
        <v>401.2219879127494</v>
      </c>
      <c r="M15" s="4">
        <v>405.47178681207669</v>
      </c>
      <c r="N15" s="5">
        <f t="shared" ref="N15:Q15" si="102">M15+(($R15-$M15)/5)</f>
        <v>410.46641468696532</v>
      </c>
      <c r="O15" s="5">
        <f t="shared" si="102"/>
        <v>415.46104256185396</v>
      </c>
      <c r="P15" s="5">
        <f t="shared" si="102"/>
        <v>420.45567043674259</v>
      </c>
      <c r="Q15" s="5">
        <f t="shared" si="102"/>
        <v>425.45029831163123</v>
      </c>
      <c r="R15" s="4">
        <v>430.44492618651975</v>
      </c>
      <c r="S15" s="5">
        <f t="shared" ref="S15:V15" si="103">R15+(($W15-$R15)/5)</f>
        <v>432.50883089488019</v>
      </c>
      <c r="T15" s="5">
        <f t="shared" si="103"/>
        <v>434.57273560324063</v>
      </c>
      <c r="U15" s="5">
        <f t="shared" si="103"/>
        <v>436.63664031160107</v>
      </c>
      <c r="V15" s="5">
        <f t="shared" si="103"/>
        <v>438.70054501996151</v>
      </c>
      <c r="W15" s="4">
        <v>440.76444972832201</v>
      </c>
      <c r="X15" s="5">
        <f t="shared" ref="X15:AA15" si="104">W15+(($AB15-$W15)/5)</f>
        <v>439.79414430361709</v>
      </c>
      <c r="Y15" s="5">
        <f t="shared" si="104"/>
        <v>438.82383887891217</v>
      </c>
      <c r="Z15" s="5">
        <f t="shared" si="104"/>
        <v>437.85353345420725</v>
      </c>
      <c r="AA15" s="5">
        <f t="shared" si="104"/>
        <v>436.88322802950233</v>
      </c>
      <c r="AB15" s="4">
        <v>435.91292260479736</v>
      </c>
      <c r="AC15" s="5">
        <f t="shared" ref="AC15:AF15" si="105">AB15+(($AG15-$AB15)/5)</f>
        <v>434.13308291107336</v>
      </c>
      <c r="AD15" s="5">
        <f t="shared" si="105"/>
        <v>432.35324321734936</v>
      </c>
      <c r="AE15" s="5">
        <f t="shared" si="105"/>
        <v>430.57340352362536</v>
      </c>
      <c r="AF15" s="5">
        <f t="shared" si="105"/>
        <v>428.79356382990136</v>
      </c>
      <c r="AG15" s="4">
        <v>427.01372413617742</v>
      </c>
    </row>
    <row r="16" spans="1:33" x14ac:dyDescent="0.3">
      <c r="A16" t="str">
        <f>A15</f>
        <v>CY</v>
      </c>
      <c r="B16" t="s">
        <v>142</v>
      </c>
      <c r="C16" s="4">
        <f t="shared" ref="C16" si="106">SUM(C14:C15)</f>
        <v>662.14151643191963</v>
      </c>
      <c r="D16" s="5">
        <f t="shared" ref="D16:G16" si="107">C16+(($H16-$C16)/5)</f>
        <v>693.36812518551733</v>
      </c>
      <c r="E16" s="5">
        <f t="shared" si="107"/>
        <v>724.59473393911503</v>
      </c>
      <c r="F16" s="5">
        <f t="shared" si="107"/>
        <v>755.82134269271273</v>
      </c>
      <c r="G16" s="5">
        <f t="shared" si="107"/>
        <v>787.04795144631044</v>
      </c>
      <c r="H16" s="4">
        <f t="shared" ref="H16" si="108">SUM(H14:H15)</f>
        <v>818.27456019990836</v>
      </c>
      <c r="I16" s="5">
        <f t="shared" ref="I16:L16" si="109">H16+(($M16-$H16)/5)</f>
        <v>830.5916720204084</v>
      </c>
      <c r="J16" s="5">
        <f t="shared" si="109"/>
        <v>842.90878384090843</v>
      </c>
      <c r="K16" s="5">
        <f t="shared" si="109"/>
        <v>855.22589566140846</v>
      </c>
      <c r="L16" s="5">
        <f t="shared" si="109"/>
        <v>867.54300748190849</v>
      </c>
      <c r="M16" s="4">
        <f t="shared" ref="M16" si="110">SUM(M14:M15)</f>
        <v>879.86011930240829</v>
      </c>
      <c r="N16" s="5">
        <f t="shared" ref="N16:Q16" si="111">M16+(($R16-$M16)/5)</f>
        <v>888.50569504854514</v>
      </c>
      <c r="O16" s="5">
        <f t="shared" si="111"/>
        <v>897.15127079468198</v>
      </c>
      <c r="P16" s="5">
        <f t="shared" si="111"/>
        <v>905.79684654081882</v>
      </c>
      <c r="Q16" s="5">
        <f t="shared" si="111"/>
        <v>914.44242228695566</v>
      </c>
      <c r="R16" s="4">
        <f t="shared" ref="R16" si="112">SUM(R14:R15)</f>
        <v>923.08799803309228</v>
      </c>
      <c r="S16" s="5">
        <f t="shared" ref="S16:V16" si="113">R16+(($W16-$R16)/5)</f>
        <v>924.93380138103373</v>
      </c>
      <c r="T16" s="5">
        <f t="shared" si="113"/>
        <v>926.77960472897519</v>
      </c>
      <c r="U16" s="5">
        <f t="shared" si="113"/>
        <v>928.62540807691664</v>
      </c>
      <c r="V16" s="5">
        <f t="shared" si="113"/>
        <v>930.4712114248581</v>
      </c>
      <c r="W16" s="4">
        <f t="shared" ref="W16" si="114">SUM(W14:W15)</f>
        <v>932.31701477279944</v>
      </c>
      <c r="X16" s="5">
        <f t="shared" ref="X16:AA16" si="115">W16+(($AB16-$W16)/5)</f>
        <v>933.30667427477556</v>
      </c>
      <c r="Y16" s="5">
        <f t="shared" si="115"/>
        <v>934.29633377675168</v>
      </c>
      <c r="Z16" s="5">
        <f t="shared" si="115"/>
        <v>935.2859932787278</v>
      </c>
      <c r="AA16" s="5">
        <f t="shared" si="115"/>
        <v>936.27565278070392</v>
      </c>
      <c r="AB16" s="4">
        <f t="shared" ref="AB16" si="116">SUM(AB14:AB15)</f>
        <v>937.26531228268004</v>
      </c>
      <c r="AC16" s="5">
        <f t="shared" ref="AC16:AF16" si="117">AB16+(($AG16-$AB16)/5)</f>
        <v>939.57296524193907</v>
      </c>
      <c r="AD16" s="5">
        <f t="shared" si="117"/>
        <v>941.8806182011981</v>
      </c>
      <c r="AE16" s="5">
        <f t="shared" si="117"/>
        <v>944.18827116045713</v>
      </c>
      <c r="AF16" s="5">
        <f t="shared" si="117"/>
        <v>946.49592411971616</v>
      </c>
      <c r="AG16" s="4">
        <f t="shared" ref="AG16" si="118">SUM(AG14:AG15)</f>
        <v>948.80357707897531</v>
      </c>
    </row>
    <row r="17" spans="1:33" x14ac:dyDescent="0.3">
      <c r="A17" t="s">
        <v>119</v>
      </c>
      <c r="B17" t="s">
        <v>111</v>
      </c>
      <c r="C17" s="4">
        <v>7041.5526878571718</v>
      </c>
      <c r="D17" s="5">
        <f t="shared" ref="D17:G17" si="119">C17+(($H17-$C17)/5)</f>
        <v>7003.4097161610189</v>
      </c>
      <c r="E17" s="5">
        <f t="shared" si="119"/>
        <v>6965.266744464866</v>
      </c>
      <c r="F17" s="5">
        <f t="shared" si="119"/>
        <v>6927.123772768713</v>
      </c>
      <c r="G17" s="5">
        <f t="shared" si="119"/>
        <v>6888.9808010725601</v>
      </c>
      <c r="H17" s="4">
        <v>6850.8378293764081</v>
      </c>
      <c r="I17" s="5">
        <f t="shared" ref="I17:L17" si="120">H17+(($M17-$H17)/5)</f>
        <v>6784.6595319287362</v>
      </c>
      <c r="J17" s="5">
        <f t="shared" si="120"/>
        <v>6718.4812344810643</v>
      </c>
      <c r="K17" s="5">
        <f t="shared" si="120"/>
        <v>6652.3029370333925</v>
      </c>
      <c r="L17" s="5">
        <f t="shared" si="120"/>
        <v>6586.1246395857206</v>
      </c>
      <c r="M17" s="4">
        <v>6519.9463421380497</v>
      </c>
      <c r="N17" s="5">
        <f t="shared" ref="N17:Q17" si="121">M17+(($R17-$M17)/5)</f>
        <v>6489.1471267367406</v>
      </c>
      <c r="O17" s="5">
        <f t="shared" si="121"/>
        <v>6458.3479113354315</v>
      </c>
      <c r="P17" s="5">
        <f t="shared" si="121"/>
        <v>6427.5486959341224</v>
      </c>
      <c r="Q17" s="5">
        <f t="shared" si="121"/>
        <v>6396.7494805328133</v>
      </c>
      <c r="R17" s="4">
        <v>6365.9502651315024</v>
      </c>
      <c r="S17" s="5">
        <f t="shared" ref="S17:V17" si="122">R17+(($W17-$R17)/5)</f>
        <v>6332.2587768858248</v>
      </c>
      <c r="T17" s="5">
        <f t="shared" si="122"/>
        <v>6298.5672886401471</v>
      </c>
      <c r="U17" s="5">
        <f t="shared" si="122"/>
        <v>6264.8758003944695</v>
      </c>
      <c r="V17" s="5">
        <f t="shared" si="122"/>
        <v>6231.1843121487918</v>
      </c>
      <c r="W17" s="4">
        <v>6197.4928239031124</v>
      </c>
      <c r="X17" s="5">
        <f t="shared" ref="X17:AA17" si="123">W17+(($AB17-$W17)/5)</f>
        <v>6170.8701218579699</v>
      </c>
      <c r="Y17" s="5">
        <f t="shared" si="123"/>
        <v>6144.2474198128275</v>
      </c>
      <c r="Z17" s="5">
        <f t="shared" si="123"/>
        <v>6117.6247177676851</v>
      </c>
      <c r="AA17" s="5">
        <f t="shared" si="123"/>
        <v>6091.0020157225426</v>
      </c>
      <c r="AB17" s="4">
        <v>6064.3793136774002</v>
      </c>
      <c r="AC17" s="5">
        <f t="shared" ref="AC17:AF17" si="124">AB17+(($AG17-$AB17)/5)</f>
        <v>6048.5611669432947</v>
      </c>
      <c r="AD17" s="5">
        <f t="shared" si="124"/>
        <v>6032.7430202091891</v>
      </c>
      <c r="AE17" s="5">
        <f t="shared" si="124"/>
        <v>6016.9248734750836</v>
      </c>
      <c r="AF17" s="5">
        <f t="shared" si="124"/>
        <v>6001.106726740978</v>
      </c>
      <c r="AG17" s="4">
        <v>5985.2885800068707</v>
      </c>
    </row>
    <row r="18" spans="1:33" x14ac:dyDescent="0.3">
      <c r="A18" t="s">
        <v>119</v>
      </c>
      <c r="B18" t="s">
        <v>112</v>
      </c>
      <c r="C18" s="4">
        <v>3317.2268049836371</v>
      </c>
      <c r="D18" s="5">
        <f t="shared" ref="D18:G18" si="125">C18+(($H18-$C18)/5)</f>
        <v>3421.3773090805939</v>
      </c>
      <c r="E18" s="5">
        <f t="shared" si="125"/>
        <v>3525.5278131775508</v>
      </c>
      <c r="F18" s="5">
        <f t="shared" si="125"/>
        <v>3629.6783172745077</v>
      </c>
      <c r="G18" s="5">
        <f t="shared" si="125"/>
        <v>3733.8288213714645</v>
      </c>
      <c r="H18" s="4">
        <v>3837.9793254684205</v>
      </c>
      <c r="I18" s="5">
        <f t="shared" ref="I18:L18" si="126">H18+(($M18-$H18)/5)</f>
        <v>3796.8601654340141</v>
      </c>
      <c r="J18" s="5">
        <f t="shared" si="126"/>
        <v>3755.7410053996077</v>
      </c>
      <c r="K18" s="5">
        <f t="shared" si="126"/>
        <v>3714.6218453652014</v>
      </c>
      <c r="L18" s="5">
        <f t="shared" si="126"/>
        <v>3673.502685330795</v>
      </c>
      <c r="M18" s="4">
        <v>3632.3835252963877</v>
      </c>
      <c r="N18" s="5">
        <f t="shared" ref="N18:Q18" si="127">M18+(($R18-$M18)/5)</f>
        <v>3641.9601373203177</v>
      </c>
      <c r="O18" s="5">
        <f t="shared" si="127"/>
        <v>3651.5367493442477</v>
      </c>
      <c r="P18" s="5">
        <f t="shared" si="127"/>
        <v>3661.1133613681777</v>
      </c>
      <c r="Q18" s="5">
        <f t="shared" si="127"/>
        <v>3670.6899733921077</v>
      </c>
      <c r="R18" s="4">
        <v>3680.2665854160377</v>
      </c>
      <c r="S18" s="5">
        <f t="shared" ref="S18:V18" si="128">R18+(($W18-$R18)/5)</f>
        <v>3680.8929979338809</v>
      </c>
      <c r="T18" s="5">
        <f t="shared" si="128"/>
        <v>3681.5194104517241</v>
      </c>
      <c r="U18" s="5">
        <f t="shared" si="128"/>
        <v>3682.1458229695672</v>
      </c>
      <c r="V18" s="5">
        <f t="shared" si="128"/>
        <v>3682.7722354874104</v>
      </c>
      <c r="W18" s="4">
        <v>3683.3986480052531</v>
      </c>
      <c r="X18" s="5">
        <f t="shared" ref="X18:AA18" si="129">W18+(($AB18-$W18)/5)</f>
        <v>3680.8807003618354</v>
      </c>
      <c r="Y18" s="5">
        <f t="shared" si="129"/>
        <v>3678.3627527184176</v>
      </c>
      <c r="Z18" s="5">
        <f t="shared" si="129"/>
        <v>3675.8448050749998</v>
      </c>
      <c r="AA18" s="5">
        <f t="shared" si="129"/>
        <v>3673.3268574315821</v>
      </c>
      <c r="AB18" s="4">
        <v>3670.8089097881639</v>
      </c>
      <c r="AC18" s="5">
        <f t="shared" ref="AC18:AF18" si="130">AB18+(($AG18-$AB18)/5)</f>
        <v>3667.959757106159</v>
      </c>
      <c r="AD18" s="5">
        <f t="shared" si="130"/>
        <v>3665.1106044241542</v>
      </c>
      <c r="AE18" s="5">
        <f t="shared" si="130"/>
        <v>3662.2614517421493</v>
      </c>
      <c r="AF18" s="5">
        <f t="shared" si="130"/>
        <v>3659.4122990601445</v>
      </c>
      <c r="AG18" s="4">
        <v>3656.5631463781397</v>
      </c>
    </row>
    <row r="19" spans="1:33" x14ac:dyDescent="0.3">
      <c r="A19" t="str">
        <f>A18</f>
        <v>CZ</v>
      </c>
      <c r="B19" t="s">
        <v>142</v>
      </c>
      <c r="C19" s="4">
        <f t="shared" ref="C19" si="131">SUM(C17:C18)</f>
        <v>10358.779492840809</v>
      </c>
      <c r="D19" s="5">
        <f t="shared" ref="D19:G19" si="132">C19+(($H19-$C19)/5)</f>
        <v>10424.787025241612</v>
      </c>
      <c r="E19" s="5">
        <f t="shared" si="132"/>
        <v>10490.794557642415</v>
      </c>
      <c r="F19" s="5">
        <f t="shared" si="132"/>
        <v>10556.802090043218</v>
      </c>
      <c r="G19" s="5">
        <f t="shared" si="132"/>
        <v>10622.809622444021</v>
      </c>
      <c r="H19" s="4">
        <f t="shared" ref="H19" si="133">SUM(H17:H18)</f>
        <v>10688.817154844828</v>
      </c>
      <c r="I19" s="5">
        <f t="shared" ref="I19:L19" si="134">H19+(($M19-$H19)/5)</f>
        <v>10581.51969736275</v>
      </c>
      <c r="J19" s="5">
        <f t="shared" si="134"/>
        <v>10474.222239880672</v>
      </c>
      <c r="K19" s="5">
        <f t="shared" si="134"/>
        <v>10366.924782398593</v>
      </c>
      <c r="L19" s="5">
        <f t="shared" si="134"/>
        <v>10259.627324916515</v>
      </c>
      <c r="M19" s="4">
        <f t="shared" ref="M19" si="135">SUM(M17:M18)</f>
        <v>10152.329867434437</v>
      </c>
      <c r="N19" s="5">
        <f t="shared" ref="N19:Q19" si="136">M19+(($R19-$M19)/5)</f>
        <v>10131.107264057058</v>
      </c>
      <c r="O19" s="5">
        <f t="shared" si="136"/>
        <v>10109.88466067968</v>
      </c>
      <c r="P19" s="5">
        <f t="shared" si="136"/>
        <v>10088.662057302301</v>
      </c>
      <c r="Q19" s="5">
        <f t="shared" si="136"/>
        <v>10067.439453924922</v>
      </c>
      <c r="R19" s="4">
        <f t="shared" ref="R19" si="137">SUM(R17:R18)</f>
        <v>10046.21685054754</v>
      </c>
      <c r="S19" s="5">
        <f t="shared" ref="S19:V19" si="138">R19+(($W19-$R19)/5)</f>
        <v>10013.151774819706</v>
      </c>
      <c r="T19" s="5">
        <f t="shared" si="138"/>
        <v>9980.0866990918712</v>
      </c>
      <c r="U19" s="5">
        <f t="shared" si="138"/>
        <v>9947.0216233640367</v>
      </c>
      <c r="V19" s="5">
        <f t="shared" si="138"/>
        <v>9913.9565476362022</v>
      </c>
      <c r="W19" s="4">
        <f t="shared" ref="W19" si="139">SUM(W17:W18)</f>
        <v>9880.8914719083659</v>
      </c>
      <c r="X19" s="5">
        <f t="shared" ref="X19:AA19" si="140">W19+(($AB19-$W19)/5)</f>
        <v>9851.7508222198048</v>
      </c>
      <c r="Y19" s="5">
        <f t="shared" si="140"/>
        <v>9822.6101725312437</v>
      </c>
      <c r="Z19" s="5">
        <f t="shared" si="140"/>
        <v>9793.4695228426826</v>
      </c>
      <c r="AA19" s="5">
        <f t="shared" si="140"/>
        <v>9764.3288731541215</v>
      </c>
      <c r="AB19" s="4">
        <f t="shared" ref="AB19" si="141">SUM(AB17:AB18)</f>
        <v>9735.1882234655641</v>
      </c>
      <c r="AC19" s="5">
        <f t="shared" ref="AC19:AF19" si="142">AB19+(($AG19-$AB19)/5)</f>
        <v>9716.5209240494532</v>
      </c>
      <c r="AD19" s="5">
        <f t="shared" si="142"/>
        <v>9697.8536246333424</v>
      </c>
      <c r="AE19" s="5">
        <f t="shared" si="142"/>
        <v>9679.1863252172316</v>
      </c>
      <c r="AF19" s="5">
        <f t="shared" si="142"/>
        <v>9660.5190258011207</v>
      </c>
      <c r="AG19" s="4">
        <f t="shared" ref="AG19" si="143">SUM(AG17:AG18)</f>
        <v>9641.8517263850099</v>
      </c>
    </row>
    <row r="20" spans="1:33" x14ac:dyDescent="0.3">
      <c r="A20" t="s">
        <v>120</v>
      </c>
      <c r="B20" t="s">
        <v>111</v>
      </c>
      <c r="C20" s="4">
        <v>58251.361551520036</v>
      </c>
      <c r="D20" s="5">
        <f t="shared" ref="D20:G20" si="144">C20+(($H20-$C20)/5)</f>
        <v>56750.483706445753</v>
      </c>
      <c r="E20" s="5">
        <f t="shared" si="144"/>
        <v>55249.60586137147</v>
      </c>
      <c r="F20" s="5">
        <f t="shared" si="144"/>
        <v>53748.728016297187</v>
      </c>
      <c r="G20" s="5">
        <f t="shared" si="144"/>
        <v>52247.850171222904</v>
      </c>
      <c r="H20" s="4">
        <v>50746.972326148614</v>
      </c>
      <c r="I20" s="5">
        <f t="shared" ref="I20:L20" si="145">H20+(($M20-$H20)/5)</f>
        <v>50088.881541311348</v>
      </c>
      <c r="J20" s="5">
        <f t="shared" si="145"/>
        <v>49430.790756474082</v>
      </c>
      <c r="K20" s="5">
        <f t="shared" si="145"/>
        <v>48772.699971636815</v>
      </c>
      <c r="L20" s="5">
        <f t="shared" si="145"/>
        <v>48114.609186799549</v>
      </c>
      <c r="M20" s="4">
        <v>47456.518401962298</v>
      </c>
      <c r="N20" s="5">
        <f t="shared" ref="N20:Q20" si="146">M20+(($R20-$M20)/5)</f>
        <v>47121.595534396729</v>
      </c>
      <c r="O20" s="5">
        <f t="shared" si="146"/>
        <v>46786.67266683116</v>
      </c>
      <c r="P20" s="5">
        <f t="shared" si="146"/>
        <v>46451.749799265592</v>
      </c>
      <c r="Q20" s="5">
        <f t="shared" si="146"/>
        <v>46116.826931700023</v>
      </c>
      <c r="R20" s="4">
        <v>45781.904064134469</v>
      </c>
      <c r="S20" s="5">
        <f t="shared" ref="S20:V20" si="147">R20+(($W20-$R20)/5)</f>
        <v>45390.774428342498</v>
      </c>
      <c r="T20" s="5">
        <f t="shared" si="147"/>
        <v>44999.644792550527</v>
      </c>
      <c r="U20" s="5">
        <f t="shared" si="147"/>
        <v>44608.515156758556</v>
      </c>
      <c r="V20" s="5">
        <f t="shared" si="147"/>
        <v>44217.385520966585</v>
      </c>
      <c r="W20" s="4">
        <v>43826.255885174629</v>
      </c>
      <c r="X20" s="5">
        <f t="shared" ref="X20:AA20" si="148">W20+(($AB20-$W20)/5)</f>
        <v>43582.083343511942</v>
      </c>
      <c r="Y20" s="5">
        <f t="shared" si="148"/>
        <v>43337.910801849255</v>
      </c>
      <c r="Z20" s="5">
        <f t="shared" si="148"/>
        <v>43093.738260186568</v>
      </c>
      <c r="AA20" s="5">
        <f t="shared" si="148"/>
        <v>42849.565718523882</v>
      </c>
      <c r="AB20" s="4">
        <v>42605.393176861209</v>
      </c>
      <c r="AC20" s="5">
        <f t="shared" ref="AC20:AF20" si="149">AB20+(($AG20-$AB20)/5)</f>
        <v>42410.748161332194</v>
      </c>
      <c r="AD20" s="5">
        <f t="shared" si="149"/>
        <v>42216.103145803179</v>
      </c>
      <c r="AE20" s="5">
        <f t="shared" si="149"/>
        <v>42021.458130274164</v>
      </c>
      <c r="AF20" s="5">
        <f t="shared" si="149"/>
        <v>41826.81311474515</v>
      </c>
      <c r="AG20" s="4">
        <v>41632.168099216149</v>
      </c>
    </row>
    <row r="21" spans="1:33" x14ac:dyDescent="0.3">
      <c r="A21" t="s">
        <v>120</v>
      </c>
      <c r="B21" t="s">
        <v>112</v>
      </c>
      <c r="C21" s="4">
        <v>28403.905563124619</v>
      </c>
      <c r="D21" s="5">
        <f t="shared" ref="D21:G21" si="150">C21+(($H21-$C21)/5)</f>
        <v>29366.848759866938</v>
      </c>
      <c r="E21" s="5">
        <f t="shared" si="150"/>
        <v>30329.791956609257</v>
      </c>
      <c r="F21" s="5">
        <f t="shared" si="150"/>
        <v>31292.735153351576</v>
      </c>
      <c r="G21" s="5">
        <f t="shared" si="150"/>
        <v>32255.678350093895</v>
      </c>
      <c r="H21" s="4">
        <v>33218.621546836206</v>
      </c>
      <c r="I21" s="5">
        <f t="shared" ref="I21:L21" si="151">H21+(($M21-$H21)/5)</f>
        <v>32978.252493503162</v>
      </c>
      <c r="J21" s="5">
        <f t="shared" si="151"/>
        <v>32737.883440170117</v>
      </c>
      <c r="K21" s="5">
        <f t="shared" si="151"/>
        <v>32497.514386837072</v>
      </c>
      <c r="L21" s="5">
        <f t="shared" si="151"/>
        <v>32257.145333504028</v>
      </c>
      <c r="M21" s="4">
        <v>32016.776280170987</v>
      </c>
      <c r="N21" s="5">
        <f t="shared" ref="N21:Q21" si="152">M21+(($R21-$M21)/5)</f>
        <v>32253.298786274871</v>
      </c>
      <c r="O21" s="5">
        <f t="shared" si="152"/>
        <v>32489.821292378754</v>
      </c>
      <c r="P21" s="5">
        <f t="shared" si="152"/>
        <v>32726.343798482638</v>
      </c>
      <c r="Q21" s="5">
        <f t="shared" si="152"/>
        <v>32962.866304586525</v>
      </c>
      <c r="R21" s="4">
        <v>33199.388810690405</v>
      </c>
      <c r="S21" s="5">
        <f t="shared" ref="S21:V21" si="153">R21+(($W21-$R21)/5)</f>
        <v>33241.153228350799</v>
      </c>
      <c r="T21" s="5">
        <f t="shared" si="153"/>
        <v>33282.917646011192</v>
      </c>
      <c r="U21" s="5">
        <f t="shared" si="153"/>
        <v>33324.682063671586</v>
      </c>
      <c r="V21" s="5">
        <f t="shared" si="153"/>
        <v>33366.446481331979</v>
      </c>
      <c r="W21" s="4">
        <v>33408.210898992373</v>
      </c>
      <c r="X21" s="5">
        <f t="shared" ref="X21:AA21" si="154">W21+(($AB21-$W21)/5)</f>
        <v>33480.468567805096</v>
      </c>
      <c r="Y21" s="5">
        <f t="shared" si="154"/>
        <v>33552.726236617818</v>
      </c>
      <c r="Z21" s="5">
        <f t="shared" si="154"/>
        <v>33624.983905430541</v>
      </c>
      <c r="AA21" s="5">
        <f t="shared" si="154"/>
        <v>33697.241574243264</v>
      </c>
      <c r="AB21" s="4">
        <v>33769.499243056001</v>
      </c>
      <c r="AC21" s="5">
        <f t="shared" ref="AC21:AF21" si="155">AB21+(($AG21-$AB21)/5)</f>
        <v>33876.666466247101</v>
      </c>
      <c r="AD21" s="5">
        <f t="shared" si="155"/>
        <v>33983.833689438201</v>
      </c>
      <c r="AE21" s="5">
        <f t="shared" si="155"/>
        <v>34091.000912629301</v>
      </c>
      <c r="AF21" s="5">
        <f t="shared" si="155"/>
        <v>34198.1681358204</v>
      </c>
      <c r="AG21" s="4">
        <v>34305.335359011508</v>
      </c>
    </row>
    <row r="22" spans="1:33" x14ac:dyDescent="0.3">
      <c r="A22" t="str">
        <f>A21</f>
        <v>DE</v>
      </c>
      <c r="B22" t="s">
        <v>142</v>
      </c>
      <c r="C22" s="4">
        <f t="shared" ref="C22" si="156">SUM(C20:C21)</f>
        <v>86655.267114644652</v>
      </c>
      <c r="D22" s="5">
        <f t="shared" ref="D22:G22" si="157">C22+(($H22-$C22)/5)</f>
        <v>86117.332466312684</v>
      </c>
      <c r="E22" s="5">
        <f t="shared" si="157"/>
        <v>85579.397817980716</v>
      </c>
      <c r="F22" s="5">
        <f t="shared" si="157"/>
        <v>85041.463169648749</v>
      </c>
      <c r="G22" s="5">
        <f t="shared" si="157"/>
        <v>84503.528521316781</v>
      </c>
      <c r="H22" s="4">
        <f t="shared" ref="H22" si="158">SUM(H20:H21)</f>
        <v>83965.593872984813</v>
      </c>
      <c r="I22" s="5">
        <f t="shared" ref="I22:L22" si="159">H22+(($M22-$H22)/5)</f>
        <v>83067.134034814502</v>
      </c>
      <c r="J22" s="5">
        <f t="shared" si="159"/>
        <v>82168.674196644191</v>
      </c>
      <c r="K22" s="5">
        <f t="shared" si="159"/>
        <v>81270.214358473881</v>
      </c>
      <c r="L22" s="5">
        <f t="shared" si="159"/>
        <v>80371.75452030357</v>
      </c>
      <c r="M22" s="4">
        <f t="shared" ref="M22" si="160">SUM(M20:M21)</f>
        <v>79473.294682133288</v>
      </c>
      <c r="N22" s="5">
        <f t="shared" ref="N22:Q22" si="161">M22+(($R22-$M22)/5)</f>
        <v>79374.894320671607</v>
      </c>
      <c r="O22" s="5">
        <f t="shared" si="161"/>
        <v>79276.493959209925</v>
      </c>
      <c r="P22" s="5">
        <f t="shared" si="161"/>
        <v>79178.093597748244</v>
      </c>
      <c r="Q22" s="5">
        <f t="shared" si="161"/>
        <v>79079.693236286563</v>
      </c>
      <c r="R22" s="4">
        <f t="shared" ref="R22" si="162">SUM(R20:R21)</f>
        <v>78981.292874824867</v>
      </c>
      <c r="S22" s="5">
        <f t="shared" ref="S22:V22" si="163">R22+(($W22-$R22)/5)</f>
        <v>78631.927656693297</v>
      </c>
      <c r="T22" s="5">
        <f t="shared" si="163"/>
        <v>78282.562438561727</v>
      </c>
      <c r="U22" s="5">
        <f t="shared" si="163"/>
        <v>77933.197220430156</v>
      </c>
      <c r="V22" s="5">
        <f t="shared" si="163"/>
        <v>77583.832002298586</v>
      </c>
      <c r="W22" s="4">
        <f t="shared" ref="W22" si="164">SUM(W20:W21)</f>
        <v>77234.466784167002</v>
      </c>
      <c r="X22" s="5">
        <f t="shared" ref="X22:AA22" si="165">W22+(($AB22-$W22)/5)</f>
        <v>77062.551911317045</v>
      </c>
      <c r="Y22" s="5">
        <f t="shared" si="165"/>
        <v>76890.637038467088</v>
      </c>
      <c r="Z22" s="5">
        <f t="shared" si="165"/>
        <v>76718.722165617131</v>
      </c>
      <c r="AA22" s="5">
        <f t="shared" si="165"/>
        <v>76546.807292767175</v>
      </c>
      <c r="AB22" s="4">
        <f t="shared" ref="AB22" si="166">SUM(AB20:AB21)</f>
        <v>76374.892419917218</v>
      </c>
      <c r="AC22" s="5">
        <f t="shared" ref="AC22:AF22" si="167">AB22+(($AG22-$AB22)/5)</f>
        <v>76287.414627579303</v>
      </c>
      <c r="AD22" s="5">
        <f t="shared" si="167"/>
        <v>76199.936835241388</v>
      </c>
      <c r="AE22" s="5">
        <f t="shared" si="167"/>
        <v>76112.459042903472</v>
      </c>
      <c r="AF22" s="5">
        <f t="shared" si="167"/>
        <v>76024.981250565557</v>
      </c>
      <c r="AG22" s="4">
        <f t="shared" ref="AG22" si="168">SUM(AG20:AG21)</f>
        <v>75937.503458227657</v>
      </c>
    </row>
    <row r="23" spans="1:33" x14ac:dyDescent="0.3">
      <c r="A23" t="s">
        <v>121</v>
      </c>
      <c r="B23" t="s">
        <v>111</v>
      </c>
      <c r="C23" s="4">
        <v>4417.6037171749604</v>
      </c>
      <c r="D23" s="5">
        <f t="shared" ref="D23:G23" si="169">C23+(($H23-$C23)/5)</f>
        <v>4449.0178274369455</v>
      </c>
      <c r="E23" s="5">
        <f t="shared" si="169"/>
        <v>4480.4319376989306</v>
      </c>
      <c r="F23" s="5">
        <f t="shared" si="169"/>
        <v>4511.8460479609157</v>
      </c>
      <c r="G23" s="5">
        <f t="shared" si="169"/>
        <v>4543.2601582229008</v>
      </c>
      <c r="H23" s="4">
        <v>4574.6742684848869</v>
      </c>
      <c r="I23" s="5">
        <f t="shared" ref="I23:L23" si="170">H23+(($M23-$H23)/5)</f>
        <v>4562.549621697226</v>
      </c>
      <c r="J23" s="5">
        <f t="shared" si="170"/>
        <v>4550.4249749095652</v>
      </c>
      <c r="K23" s="5">
        <f t="shared" si="170"/>
        <v>4538.3003281219044</v>
      </c>
      <c r="L23" s="5">
        <f t="shared" si="170"/>
        <v>4526.1756813342436</v>
      </c>
      <c r="M23" s="4">
        <v>4514.0510345465837</v>
      </c>
      <c r="N23" s="5">
        <f t="shared" ref="N23:Q23" si="171">M23+(($R23-$M23)/5)</f>
        <v>4509.1873242758184</v>
      </c>
      <c r="O23" s="5">
        <f t="shared" si="171"/>
        <v>4504.3236140050531</v>
      </c>
      <c r="P23" s="5">
        <f t="shared" si="171"/>
        <v>4499.4599037342878</v>
      </c>
      <c r="Q23" s="5">
        <f t="shared" si="171"/>
        <v>4494.5961934635225</v>
      </c>
      <c r="R23" s="4">
        <v>4489.7324831927572</v>
      </c>
      <c r="S23" s="5">
        <f t="shared" ref="S23:V23" si="172">R23+(($W23-$R23)/5)</f>
        <v>4480.3744834909576</v>
      </c>
      <c r="T23" s="5">
        <f t="shared" si="172"/>
        <v>4471.016483789158</v>
      </c>
      <c r="U23" s="5">
        <f t="shared" si="172"/>
        <v>4461.6584840873584</v>
      </c>
      <c r="V23" s="5">
        <f t="shared" si="172"/>
        <v>4452.3004843855588</v>
      </c>
      <c r="W23" s="4">
        <v>4442.9424846837601</v>
      </c>
      <c r="X23" s="5">
        <f t="shared" ref="X23:AA23" si="173">W23+(($AB23-$W23)/5)</f>
        <v>4439.813561642809</v>
      </c>
      <c r="Y23" s="5">
        <f t="shared" si="173"/>
        <v>4436.6846386018578</v>
      </c>
      <c r="Z23" s="5">
        <f t="shared" si="173"/>
        <v>4433.5557155609067</v>
      </c>
      <c r="AA23" s="5">
        <f t="shared" si="173"/>
        <v>4430.4267925199556</v>
      </c>
      <c r="AB23" s="4">
        <v>4427.2978694790036</v>
      </c>
      <c r="AC23" s="5">
        <f t="shared" ref="AC23:AF23" si="174">AB23+(($AG23-$AB23)/5)</f>
        <v>4425.7621288591245</v>
      </c>
      <c r="AD23" s="5">
        <f t="shared" si="174"/>
        <v>4424.2263882392454</v>
      </c>
      <c r="AE23" s="5">
        <f t="shared" si="174"/>
        <v>4422.6906476193662</v>
      </c>
      <c r="AF23" s="5">
        <f t="shared" si="174"/>
        <v>4421.1549069994871</v>
      </c>
      <c r="AG23" s="4">
        <v>4419.6191663796089</v>
      </c>
    </row>
    <row r="24" spans="1:33" x14ac:dyDescent="0.3">
      <c r="A24" t="s">
        <v>121</v>
      </c>
      <c r="B24" t="s">
        <v>112</v>
      </c>
      <c r="C24" s="4">
        <v>2414.5903738608117</v>
      </c>
      <c r="D24" s="5">
        <f t="shared" ref="D24:G24" si="175">C24+(($H24-$C24)/5)</f>
        <v>2655.3685148968366</v>
      </c>
      <c r="E24" s="5">
        <f t="shared" si="175"/>
        <v>2896.1466559328614</v>
      </c>
      <c r="F24" s="5">
        <f t="shared" si="175"/>
        <v>3136.9247969688863</v>
      </c>
      <c r="G24" s="5">
        <f t="shared" si="175"/>
        <v>3377.7029380049112</v>
      </c>
      <c r="H24" s="4">
        <v>3618.4810790409356</v>
      </c>
      <c r="I24" s="5">
        <f t="shared" ref="I24:L24" si="176">H24+(($M24-$H24)/5)</f>
        <v>3670.1561044029554</v>
      </c>
      <c r="J24" s="5">
        <f t="shared" si="176"/>
        <v>3721.8311297649752</v>
      </c>
      <c r="K24" s="5">
        <f t="shared" si="176"/>
        <v>3773.5061551269951</v>
      </c>
      <c r="L24" s="5">
        <f t="shared" si="176"/>
        <v>3825.1811804890149</v>
      </c>
      <c r="M24" s="4">
        <v>3876.8562058510342</v>
      </c>
      <c r="N24" s="5">
        <f t="shared" ref="N24:Q24" si="177">M24+(($R24-$M24)/5)</f>
        <v>3904.7128612601646</v>
      </c>
      <c r="O24" s="5">
        <f t="shared" si="177"/>
        <v>3932.5695166692949</v>
      </c>
      <c r="P24" s="5">
        <f t="shared" si="177"/>
        <v>3960.4261720784252</v>
      </c>
      <c r="Q24" s="5">
        <f t="shared" si="177"/>
        <v>3988.2828274875556</v>
      </c>
      <c r="R24" s="4">
        <v>4016.1394828966854</v>
      </c>
      <c r="S24" s="5">
        <f t="shared" ref="S24:V24" si="178">R24+(($W24-$R24)/5)</f>
        <v>4025.7463756125312</v>
      </c>
      <c r="T24" s="5">
        <f t="shared" si="178"/>
        <v>4035.353268328377</v>
      </c>
      <c r="U24" s="5">
        <f t="shared" si="178"/>
        <v>4044.9601610442228</v>
      </c>
      <c r="V24" s="5">
        <f t="shared" si="178"/>
        <v>4054.5670537600686</v>
      </c>
      <c r="W24" s="4">
        <v>4064.1739464759148</v>
      </c>
      <c r="X24" s="5">
        <f t="shared" ref="X24:AA24" si="179">W24+(($AB24-$W24)/5)</f>
        <v>4070.6957650690642</v>
      </c>
      <c r="Y24" s="5">
        <f t="shared" si="179"/>
        <v>4077.2175836622137</v>
      </c>
      <c r="Z24" s="5">
        <f t="shared" si="179"/>
        <v>4083.7394022553631</v>
      </c>
      <c r="AA24" s="5">
        <f t="shared" si="179"/>
        <v>4090.2612208485125</v>
      </c>
      <c r="AB24" s="4">
        <v>4096.7830394416624</v>
      </c>
      <c r="AC24" s="5">
        <f t="shared" ref="AC24:AF24" si="180">AB24+(($AG24-$AB24)/5)</f>
        <v>4118.9374541771203</v>
      </c>
      <c r="AD24" s="5">
        <f t="shared" si="180"/>
        <v>4141.0918689125783</v>
      </c>
      <c r="AE24" s="5">
        <f t="shared" si="180"/>
        <v>4163.2462836480363</v>
      </c>
      <c r="AF24" s="5">
        <f t="shared" si="180"/>
        <v>4185.4006983834943</v>
      </c>
      <c r="AG24" s="4">
        <v>4207.5551131189513</v>
      </c>
    </row>
    <row r="25" spans="1:33" x14ac:dyDescent="0.3">
      <c r="A25" t="str">
        <f>A24</f>
        <v>DK</v>
      </c>
      <c r="B25" t="s">
        <v>142</v>
      </c>
      <c r="C25" s="4">
        <f t="shared" ref="C25" si="181">SUM(C23:C24)</f>
        <v>6832.1940910357716</v>
      </c>
      <c r="D25" s="5">
        <f t="shared" ref="D25:G25" si="182">C25+(($H25-$C25)/5)</f>
        <v>7104.3863423337816</v>
      </c>
      <c r="E25" s="5">
        <f t="shared" si="182"/>
        <v>7376.5785936317916</v>
      </c>
      <c r="F25" s="5">
        <f t="shared" si="182"/>
        <v>7648.7708449298016</v>
      </c>
      <c r="G25" s="5">
        <f t="shared" si="182"/>
        <v>7920.9630962278115</v>
      </c>
      <c r="H25" s="4">
        <f t="shared" ref="H25" si="183">SUM(H23:H24)</f>
        <v>8193.1553475258224</v>
      </c>
      <c r="I25" s="5">
        <f t="shared" ref="I25:L25" si="184">H25+(($M25-$H25)/5)</f>
        <v>8232.705726100181</v>
      </c>
      <c r="J25" s="5">
        <f t="shared" si="184"/>
        <v>8272.2561046745395</v>
      </c>
      <c r="K25" s="5">
        <f t="shared" si="184"/>
        <v>8311.8064832488981</v>
      </c>
      <c r="L25" s="5">
        <f t="shared" si="184"/>
        <v>8351.3568618232566</v>
      </c>
      <c r="M25" s="4">
        <f t="shared" ref="M25" si="185">SUM(M23:M24)</f>
        <v>8390.907240397617</v>
      </c>
      <c r="N25" s="5">
        <f t="shared" ref="N25:Q25" si="186">M25+(($R25-$M25)/5)</f>
        <v>8413.900185535982</v>
      </c>
      <c r="O25" s="5">
        <f t="shared" si="186"/>
        <v>8436.893130674347</v>
      </c>
      <c r="P25" s="5">
        <f t="shared" si="186"/>
        <v>8459.8860758127121</v>
      </c>
      <c r="Q25" s="5">
        <f t="shared" si="186"/>
        <v>8482.8790209510771</v>
      </c>
      <c r="R25" s="4">
        <f t="shared" ref="R25" si="187">SUM(R23:R24)</f>
        <v>8505.8719660894421</v>
      </c>
      <c r="S25" s="5">
        <f t="shared" ref="S25:V25" si="188">R25+(($W25-$R25)/5)</f>
        <v>8506.1208591034883</v>
      </c>
      <c r="T25" s="5">
        <f t="shared" si="188"/>
        <v>8506.3697521175345</v>
      </c>
      <c r="U25" s="5">
        <f t="shared" si="188"/>
        <v>8506.6186451315807</v>
      </c>
      <c r="V25" s="5">
        <f t="shared" si="188"/>
        <v>8506.8675381456269</v>
      </c>
      <c r="W25" s="4">
        <f t="shared" ref="W25" si="189">SUM(W23:W24)</f>
        <v>8507.1164311596749</v>
      </c>
      <c r="X25" s="5">
        <f t="shared" ref="X25:AA25" si="190">W25+(($AB25-$W25)/5)</f>
        <v>8510.5093267118737</v>
      </c>
      <c r="Y25" s="5">
        <f t="shared" si="190"/>
        <v>8513.9022222640724</v>
      </c>
      <c r="Z25" s="5">
        <f t="shared" si="190"/>
        <v>8517.2951178162712</v>
      </c>
      <c r="AA25" s="5">
        <f t="shared" si="190"/>
        <v>8520.6880133684699</v>
      </c>
      <c r="AB25" s="4">
        <f t="shared" ref="AB25" si="191">SUM(AB23:AB24)</f>
        <v>8524.0809089206668</v>
      </c>
      <c r="AC25" s="5">
        <f t="shared" ref="AC25:AF25" si="192">AB25+(($AG25-$AB25)/5)</f>
        <v>8544.6995830362448</v>
      </c>
      <c r="AD25" s="5">
        <f t="shared" si="192"/>
        <v>8565.3182571518228</v>
      </c>
      <c r="AE25" s="5">
        <f t="shared" si="192"/>
        <v>8585.9369312674007</v>
      </c>
      <c r="AF25" s="5">
        <f t="shared" si="192"/>
        <v>8606.5556053829787</v>
      </c>
      <c r="AG25" s="4">
        <f t="shared" ref="AG25" si="193">SUM(AG23:AG24)</f>
        <v>8627.1742794985603</v>
      </c>
    </row>
    <row r="26" spans="1:33" x14ac:dyDescent="0.3">
      <c r="A26" t="s">
        <v>122</v>
      </c>
      <c r="B26" t="s">
        <v>111</v>
      </c>
      <c r="C26" s="4">
        <v>977.76389877688086</v>
      </c>
      <c r="D26" s="5">
        <f t="shared" ref="D26:G26" si="194">C26+(($H26-$C26)/5)</f>
        <v>942.69057202068768</v>
      </c>
      <c r="E26" s="5">
        <f t="shared" si="194"/>
        <v>907.6172452644945</v>
      </c>
      <c r="F26" s="5">
        <f t="shared" si="194"/>
        <v>872.54391850830132</v>
      </c>
      <c r="G26" s="5">
        <f t="shared" si="194"/>
        <v>837.47059175210813</v>
      </c>
      <c r="H26" s="4">
        <v>802.39726499591484</v>
      </c>
      <c r="I26" s="5">
        <f t="shared" ref="I26:L26" si="195">H26+(($M26-$H26)/5)</f>
        <v>786.93337866350225</v>
      </c>
      <c r="J26" s="5">
        <f t="shared" si="195"/>
        <v>771.46949233108967</v>
      </c>
      <c r="K26" s="5">
        <f t="shared" si="195"/>
        <v>756.00560599867708</v>
      </c>
      <c r="L26" s="5">
        <f t="shared" si="195"/>
        <v>740.5417196662645</v>
      </c>
      <c r="M26" s="4">
        <v>725.07783333385169</v>
      </c>
      <c r="N26" s="5">
        <f t="shared" ref="N26:Q26" si="196">M26+(($R26-$M26)/5)</f>
        <v>718.84116146662916</v>
      </c>
      <c r="O26" s="5">
        <f t="shared" si="196"/>
        <v>712.60448959940663</v>
      </c>
      <c r="P26" s="5">
        <f t="shared" si="196"/>
        <v>706.36781773218411</v>
      </c>
      <c r="Q26" s="5">
        <f t="shared" si="196"/>
        <v>700.13114586496158</v>
      </c>
      <c r="R26" s="4">
        <v>693.89447399773894</v>
      </c>
      <c r="S26" s="5">
        <f t="shared" ref="S26:V26" si="197">R26+(($W26-$R26)/5)</f>
        <v>689.2703449413641</v>
      </c>
      <c r="T26" s="5">
        <f t="shared" si="197"/>
        <v>684.64621588498926</v>
      </c>
      <c r="U26" s="5">
        <f t="shared" si="197"/>
        <v>680.02208682861442</v>
      </c>
      <c r="V26" s="5">
        <f t="shared" si="197"/>
        <v>675.39795777223958</v>
      </c>
      <c r="W26" s="4">
        <v>670.77382871586474</v>
      </c>
      <c r="X26" s="5">
        <f t="shared" ref="X26:AA26" si="198">W26+(($AB26-$W26)/5)</f>
        <v>667.27378509147513</v>
      </c>
      <c r="Y26" s="5">
        <f t="shared" si="198"/>
        <v>663.77374146708553</v>
      </c>
      <c r="Z26" s="5">
        <f t="shared" si="198"/>
        <v>660.27369784269592</v>
      </c>
      <c r="AA26" s="5">
        <f t="shared" si="198"/>
        <v>656.77365421830632</v>
      </c>
      <c r="AB26" s="4">
        <v>653.27361059391671</v>
      </c>
      <c r="AC26" s="5">
        <f t="shared" ref="AC26:AF26" si="199">AB26+(($AG26-$AB26)/5)</f>
        <v>650.94828800437347</v>
      </c>
      <c r="AD26" s="5">
        <f t="shared" si="199"/>
        <v>648.62296541483022</v>
      </c>
      <c r="AE26" s="5">
        <f t="shared" si="199"/>
        <v>646.29764282528697</v>
      </c>
      <c r="AF26" s="5">
        <f t="shared" si="199"/>
        <v>643.97232023574372</v>
      </c>
      <c r="AG26" s="4">
        <v>641.64699764620048</v>
      </c>
    </row>
    <row r="27" spans="1:33" x14ac:dyDescent="0.3">
      <c r="A27" t="s">
        <v>122</v>
      </c>
      <c r="B27" t="s">
        <v>112</v>
      </c>
      <c r="C27" s="4">
        <v>537.0089233007908</v>
      </c>
      <c r="D27" s="5">
        <f t="shared" ref="D27:G27" si="200">C27+(($H27-$C27)/5)</f>
        <v>563.63025749739802</v>
      </c>
      <c r="E27" s="5">
        <f t="shared" si="200"/>
        <v>590.25159169400524</v>
      </c>
      <c r="F27" s="5">
        <f t="shared" si="200"/>
        <v>616.87292589061246</v>
      </c>
      <c r="G27" s="5">
        <f t="shared" si="200"/>
        <v>643.49426008721969</v>
      </c>
      <c r="H27" s="4">
        <v>670.11559428382714</v>
      </c>
      <c r="I27" s="5">
        <f t="shared" ref="I27:L27" si="201">H27+(($M27-$H27)/5)</f>
        <v>670.84451940372799</v>
      </c>
      <c r="J27" s="5">
        <f t="shared" si="201"/>
        <v>671.57344452362884</v>
      </c>
      <c r="K27" s="5">
        <f t="shared" si="201"/>
        <v>672.30236964352969</v>
      </c>
      <c r="L27" s="5">
        <f t="shared" si="201"/>
        <v>673.03129476343054</v>
      </c>
      <c r="M27" s="4">
        <v>673.76021988333127</v>
      </c>
      <c r="N27" s="5">
        <f t="shared" ref="N27:Q27" si="202">M27+(($R27-$M27)/5)</f>
        <v>675.23165761972587</v>
      </c>
      <c r="O27" s="5">
        <f t="shared" si="202"/>
        <v>676.70309535612046</v>
      </c>
      <c r="P27" s="5">
        <f t="shared" si="202"/>
        <v>678.17453309251505</v>
      </c>
      <c r="Q27" s="5">
        <f t="shared" si="202"/>
        <v>679.64597082890964</v>
      </c>
      <c r="R27" s="4">
        <v>681.117408565304</v>
      </c>
      <c r="S27" s="5">
        <f t="shared" ref="S27:V27" si="203">R27+(($W27-$R27)/5)</f>
        <v>681.89201987831393</v>
      </c>
      <c r="T27" s="5">
        <f t="shared" si="203"/>
        <v>682.66663119132386</v>
      </c>
      <c r="U27" s="5">
        <f t="shared" si="203"/>
        <v>683.44124250433379</v>
      </c>
      <c r="V27" s="5">
        <f t="shared" si="203"/>
        <v>684.21585381734371</v>
      </c>
      <c r="W27" s="4">
        <v>684.99046513035353</v>
      </c>
      <c r="X27" s="5">
        <f t="shared" ref="X27:AA27" si="204">W27+(($AB27-$W27)/5)</f>
        <v>684.23397324770235</v>
      </c>
      <c r="Y27" s="5">
        <f t="shared" si="204"/>
        <v>683.47748136505118</v>
      </c>
      <c r="Z27" s="5">
        <f t="shared" si="204"/>
        <v>682.7209894824</v>
      </c>
      <c r="AA27" s="5">
        <f t="shared" si="204"/>
        <v>681.96449759974882</v>
      </c>
      <c r="AB27" s="4">
        <v>681.20800571709754</v>
      </c>
      <c r="AC27" s="5">
        <f t="shared" ref="AC27:AF27" si="205">AB27+(($AG27-$AB27)/5)</f>
        <v>681.31336916754185</v>
      </c>
      <c r="AD27" s="5">
        <f t="shared" si="205"/>
        <v>681.41873261798617</v>
      </c>
      <c r="AE27" s="5">
        <f t="shared" si="205"/>
        <v>681.52409606843048</v>
      </c>
      <c r="AF27" s="5">
        <f t="shared" si="205"/>
        <v>681.6294595188748</v>
      </c>
      <c r="AG27" s="4">
        <v>681.734822969319</v>
      </c>
    </row>
    <row r="28" spans="1:33" x14ac:dyDescent="0.3">
      <c r="A28" t="str">
        <f>A27</f>
        <v>EE</v>
      </c>
      <c r="B28" t="s">
        <v>142</v>
      </c>
      <c r="C28" s="4">
        <f t="shared" ref="C28" si="206">SUM(C26:C27)</f>
        <v>1514.7728220776717</v>
      </c>
      <c r="D28" s="5">
        <f t="shared" ref="D28:G28" si="207">C28+(($H28-$C28)/5)</f>
        <v>1506.3208295180857</v>
      </c>
      <c r="E28" s="5">
        <f t="shared" si="207"/>
        <v>1497.8688369584997</v>
      </c>
      <c r="F28" s="5">
        <f t="shared" si="207"/>
        <v>1489.4168443989138</v>
      </c>
      <c r="G28" s="5">
        <f t="shared" si="207"/>
        <v>1480.9648518393278</v>
      </c>
      <c r="H28" s="4">
        <f t="shared" ref="H28" si="208">SUM(H26:H27)</f>
        <v>1472.5128592797419</v>
      </c>
      <c r="I28" s="5">
        <f t="shared" ref="I28:L28" si="209">H28+(($M28-$H28)/5)</f>
        <v>1457.7778980672301</v>
      </c>
      <c r="J28" s="5">
        <f t="shared" si="209"/>
        <v>1443.0429368547184</v>
      </c>
      <c r="K28" s="5">
        <f t="shared" si="209"/>
        <v>1428.3079756422067</v>
      </c>
      <c r="L28" s="5">
        <f t="shared" si="209"/>
        <v>1413.5730144296949</v>
      </c>
      <c r="M28" s="4">
        <f t="shared" ref="M28" si="210">SUM(M26:M27)</f>
        <v>1398.838053217183</v>
      </c>
      <c r="N28" s="5">
        <f t="shared" ref="N28:Q28" si="211">M28+(($R28-$M28)/5)</f>
        <v>1394.0728190863549</v>
      </c>
      <c r="O28" s="5">
        <f t="shared" si="211"/>
        <v>1389.3075849555269</v>
      </c>
      <c r="P28" s="5">
        <f t="shared" si="211"/>
        <v>1384.5423508246988</v>
      </c>
      <c r="Q28" s="5">
        <f t="shared" si="211"/>
        <v>1379.7771166938708</v>
      </c>
      <c r="R28" s="4">
        <f t="shared" ref="R28" si="212">SUM(R26:R27)</f>
        <v>1375.0118825630429</v>
      </c>
      <c r="S28" s="5">
        <f t="shared" ref="S28:V28" si="213">R28+(($W28-$R28)/5)</f>
        <v>1371.162364819678</v>
      </c>
      <c r="T28" s="5">
        <f t="shared" si="213"/>
        <v>1367.3128470763131</v>
      </c>
      <c r="U28" s="5">
        <f t="shared" si="213"/>
        <v>1363.4633293329482</v>
      </c>
      <c r="V28" s="5">
        <f t="shared" si="213"/>
        <v>1359.6138115895833</v>
      </c>
      <c r="W28" s="4">
        <f t="shared" ref="W28" si="214">SUM(W26:W27)</f>
        <v>1355.7642938462182</v>
      </c>
      <c r="X28" s="5">
        <f t="shared" ref="X28:AA28" si="215">W28+(($AB28-$W28)/5)</f>
        <v>1351.5077583391774</v>
      </c>
      <c r="Y28" s="5">
        <f t="shared" si="215"/>
        <v>1347.2512228321366</v>
      </c>
      <c r="Z28" s="5">
        <f t="shared" si="215"/>
        <v>1342.9946873250958</v>
      </c>
      <c r="AA28" s="5">
        <f t="shared" si="215"/>
        <v>1338.738151818055</v>
      </c>
      <c r="AB28" s="4">
        <f t="shared" ref="AB28" si="216">SUM(AB26:AB27)</f>
        <v>1334.4816163110142</v>
      </c>
      <c r="AC28" s="5">
        <f t="shared" ref="AC28:AF28" si="217">AB28+(($AG28-$AB28)/5)</f>
        <v>1332.2616571719152</v>
      </c>
      <c r="AD28" s="5">
        <f t="shared" si="217"/>
        <v>1330.0416980328162</v>
      </c>
      <c r="AE28" s="5">
        <f t="shared" si="217"/>
        <v>1327.8217388937171</v>
      </c>
      <c r="AF28" s="5">
        <f t="shared" si="217"/>
        <v>1325.6017797546181</v>
      </c>
      <c r="AG28" s="4">
        <f t="shared" ref="AG28" si="218">SUM(AG26:AG27)</f>
        <v>1323.3818206155195</v>
      </c>
    </row>
    <row r="29" spans="1:33" x14ac:dyDescent="0.3">
      <c r="A29" t="s">
        <v>123</v>
      </c>
      <c r="B29" t="s">
        <v>111</v>
      </c>
      <c r="C29" s="4">
        <v>4115.8736589938881</v>
      </c>
      <c r="D29" s="5">
        <f t="shared" ref="D29:G29" si="219">C29+(($H29-$C29)/5)</f>
        <v>4220.5142598820394</v>
      </c>
      <c r="E29" s="5">
        <f t="shared" si="219"/>
        <v>4325.1548607701907</v>
      </c>
      <c r="F29" s="5">
        <f t="shared" si="219"/>
        <v>4429.795461658342</v>
      </c>
      <c r="G29" s="5">
        <f t="shared" si="219"/>
        <v>4534.4360625464933</v>
      </c>
      <c r="H29" s="4">
        <v>4639.0766634346446</v>
      </c>
      <c r="I29" s="5">
        <f t="shared" ref="I29:L29" si="220">H29+(($M29-$H29)/5)</f>
        <v>4605.4116051859482</v>
      </c>
      <c r="J29" s="5">
        <f t="shared" si="220"/>
        <v>4571.7465469372519</v>
      </c>
      <c r="K29" s="5">
        <f t="shared" si="220"/>
        <v>4538.0814886885555</v>
      </c>
      <c r="L29" s="5">
        <f t="shared" si="220"/>
        <v>4504.4164304398591</v>
      </c>
      <c r="M29" s="4">
        <v>4470.7513721911628</v>
      </c>
      <c r="N29" s="5">
        <f t="shared" ref="N29:Q29" si="221">M29+(($R29-$M29)/5)</f>
        <v>4442.3391918137477</v>
      </c>
      <c r="O29" s="5">
        <f t="shared" si="221"/>
        <v>4413.9270114363326</v>
      </c>
      <c r="P29" s="5">
        <f t="shared" si="221"/>
        <v>4385.5148310589175</v>
      </c>
      <c r="Q29" s="5">
        <f t="shared" si="221"/>
        <v>4357.1026506815024</v>
      </c>
      <c r="R29" s="4">
        <v>4328.6904703040882</v>
      </c>
      <c r="S29" s="5">
        <f t="shared" ref="S29:V29" si="222">R29+(($W29-$R29)/5)</f>
        <v>4308.8001570532679</v>
      </c>
      <c r="T29" s="5">
        <f t="shared" si="222"/>
        <v>4288.9098438024475</v>
      </c>
      <c r="U29" s="5">
        <f t="shared" si="222"/>
        <v>4269.0195305516272</v>
      </c>
      <c r="V29" s="5">
        <f t="shared" si="222"/>
        <v>4249.1292173008069</v>
      </c>
      <c r="W29" s="4">
        <v>4229.2389040499847</v>
      </c>
      <c r="X29" s="5">
        <f t="shared" ref="X29:AA29" si="223">W29+(($AB29-$W29)/5)</f>
        <v>4205.6540924526371</v>
      </c>
      <c r="Y29" s="5">
        <f t="shared" si="223"/>
        <v>4182.0692808552894</v>
      </c>
      <c r="Z29" s="5">
        <f t="shared" si="223"/>
        <v>4158.4844692579418</v>
      </c>
      <c r="AA29" s="5">
        <f t="shared" si="223"/>
        <v>4134.8996576605941</v>
      </c>
      <c r="AB29" s="4">
        <v>4111.3148460632447</v>
      </c>
      <c r="AC29" s="5">
        <f t="shared" ref="AC29:AF29" si="224">AB29+(($AG29-$AB29)/5)</f>
        <v>4075.5570238310179</v>
      </c>
      <c r="AD29" s="5">
        <f t="shared" si="224"/>
        <v>4039.7992015987911</v>
      </c>
      <c r="AE29" s="5">
        <f t="shared" si="224"/>
        <v>4004.0413793665643</v>
      </c>
      <c r="AF29" s="5">
        <f t="shared" si="224"/>
        <v>3968.2835571343376</v>
      </c>
      <c r="AG29" s="4">
        <v>3932.5257349021099</v>
      </c>
    </row>
    <row r="30" spans="1:33" x14ac:dyDescent="0.3">
      <c r="A30" t="s">
        <v>123</v>
      </c>
      <c r="B30" t="s">
        <v>112</v>
      </c>
      <c r="C30" s="4">
        <v>2313.5709691694974</v>
      </c>
      <c r="D30" s="5">
        <f t="shared" ref="D30:G30" si="225">C30+(($H30-$C30)/5)</f>
        <v>2421.4131901594587</v>
      </c>
      <c r="E30" s="5">
        <f t="shared" si="225"/>
        <v>2529.2554111494201</v>
      </c>
      <c r="F30" s="5">
        <f t="shared" si="225"/>
        <v>2637.0976321393814</v>
      </c>
      <c r="G30" s="5">
        <f t="shared" si="225"/>
        <v>2744.9398531293427</v>
      </c>
      <c r="H30" s="4">
        <v>2852.7820741193041</v>
      </c>
      <c r="I30" s="5">
        <f t="shared" ref="I30:L30" si="226">H30+(($M30-$H30)/5)</f>
        <v>2838.3805297075241</v>
      </c>
      <c r="J30" s="5">
        <f t="shared" si="226"/>
        <v>2823.9789852957442</v>
      </c>
      <c r="K30" s="5">
        <f t="shared" si="226"/>
        <v>2809.5774408839643</v>
      </c>
      <c r="L30" s="5">
        <f t="shared" si="226"/>
        <v>2795.1758964721844</v>
      </c>
      <c r="M30" s="4">
        <v>2780.7743520604045</v>
      </c>
      <c r="N30" s="5">
        <f t="shared" ref="N30:Q30" si="227">M30+(($R30-$M30)/5)</f>
        <v>2769.9163498431744</v>
      </c>
      <c r="O30" s="5">
        <f t="shared" si="227"/>
        <v>2759.0583476259444</v>
      </c>
      <c r="P30" s="5">
        <f t="shared" si="227"/>
        <v>2748.2003454087144</v>
      </c>
      <c r="Q30" s="5">
        <f t="shared" si="227"/>
        <v>2737.3423431914844</v>
      </c>
      <c r="R30" s="4">
        <v>2726.4843409742552</v>
      </c>
      <c r="S30" s="5">
        <f t="shared" ref="S30:V30" si="228">R30+(($W30-$R30)/5)</f>
        <v>2733.488134349609</v>
      </c>
      <c r="T30" s="5">
        <f t="shared" si="228"/>
        <v>2740.4919277249628</v>
      </c>
      <c r="U30" s="5">
        <f t="shared" si="228"/>
        <v>2747.4957211003166</v>
      </c>
      <c r="V30" s="5">
        <f t="shared" si="228"/>
        <v>2754.4995144756704</v>
      </c>
      <c r="W30" s="4">
        <v>2761.5033078510251</v>
      </c>
      <c r="X30" s="5">
        <f t="shared" ref="X30:AA30" si="229">W30+(($AB30-$W30)/5)</f>
        <v>2799.8604277908175</v>
      </c>
      <c r="Y30" s="5">
        <f t="shared" si="229"/>
        <v>2838.21754773061</v>
      </c>
      <c r="Z30" s="5">
        <f t="shared" si="229"/>
        <v>2876.5746676704025</v>
      </c>
      <c r="AA30" s="5">
        <f t="shared" si="229"/>
        <v>2914.931787610195</v>
      </c>
      <c r="AB30" s="4">
        <v>2953.2889075499884</v>
      </c>
      <c r="AC30" s="5">
        <f t="shared" ref="AC30:AF30" si="230">AB30+(($AG30-$AB30)/5)</f>
        <v>3051.1859079631963</v>
      </c>
      <c r="AD30" s="5">
        <f t="shared" si="230"/>
        <v>3149.0829083764042</v>
      </c>
      <c r="AE30" s="5">
        <f t="shared" si="230"/>
        <v>3246.9799087896122</v>
      </c>
      <c r="AF30" s="5">
        <f t="shared" si="230"/>
        <v>3344.8769092028201</v>
      </c>
      <c r="AG30" s="4">
        <v>3442.7739096160276</v>
      </c>
    </row>
    <row r="31" spans="1:33" x14ac:dyDescent="0.3">
      <c r="A31" t="str">
        <f>A30</f>
        <v>GR</v>
      </c>
      <c r="B31" t="s">
        <v>142</v>
      </c>
      <c r="C31" s="4">
        <f t="shared" ref="C31" si="231">SUM(C29:C30)</f>
        <v>6429.4446281633855</v>
      </c>
      <c r="D31" s="5">
        <f t="shared" ref="D31:G31" si="232">C31+(($H31-$C31)/5)</f>
        <v>6641.9274500414977</v>
      </c>
      <c r="E31" s="5">
        <f t="shared" si="232"/>
        <v>6854.4102719196098</v>
      </c>
      <c r="F31" s="5">
        <f t="shared" si="232"/>
        <v>7066.893093797722</v>
      </c>
      <c r="G31" s="5">
        <f t="shared" si="232"/>
        <v>7279.3759156758342</v>
      </c>
      <c r="H31" s="4">
        <f t="shared" ref="H31" si="233">SUM(H29:H30)</f>
        <v>7491.8587375539482</v>
      </c>
      <c r="I31" s="5">
        <f t="shared" ref="I31:L31" si="234">H31+(($M31-$H31)/5)</f>
        <v>7443.7921348934724</v>
      </c>
      <c r="J31" s="5">
        <f t="shared" si="234"/>
        <v>7395.7255322329966</v>
      </c>
      <c r="K31" s="5">
        <f t="shared" si="234"/>
        <v>7347.6589295725207</v>
      </c>
      <c r="L31" s="5">
        <f t="shared" si="234"/>
        <v>7299.5923269120449</v>
      </c>
      <c r="M31" s="4">
        <f t="shared" ref="M31" si="235">SUM(M29:M30)</f>
        <v>7251.5257242515672</v>
      </c>
      <c r="N31" s="5">
        <f t="shared" ref="N31:Q31" si="236">M31+(($R31-$M31)/5)</f>
        <v>7212.2555416569221</v>
      </c>
      <c r="O31" s="5">
        <f t="shared" si="236"/>
        <v>7172.985359062277</v>
      </c>
      <c r="P31" s="5">
        <f t="shared" si="236"/>
        <v>7133.7151764676319</v>
      </c>
      <c r="Q31" s="5">
        <f t="shared" si="236"/>
        <v>7094.4449938729867</v>
      </c>
      <c r="R31" s="4">
        <f t="shared" ref="R31" si="237">SUM(R29:R30)</f>
        <v>7055.1748112783434</v>
      </c>
      <c r="S31" s="5">
        <f t="shared" ref="S31:V31" si="238">R31+(($W31-$R31)/5)</f>
        <v>7042.2882914028769</v>
      </c>
      <c r="T31" s="5">
        <f t="shared" si="238"/>
        <v>7029.4017715274103</v>
      </c>
      <c r="U31" s="5">
        <f t="shared" si="238"/>
        <v>7016.5152516519438</v>
      </c>
      <c r="V31" s="5">
        <f t="shared" si="238"/>
        <v>7003.6287317764773</v>
      </c>
      <c r="W31" s="4">
        <f t="shared" ref="W31" si="239">SUM(W29:W30)</f>
        <v>6990.7422119010098</v>
      </c>
      <c r="X31" s="5">
        <f t="shared" ref="X31:AA31" si="240">W31+(($AB31-$W31)/5)</f>
        <v>7005.5145202434542</v>
      </c>
      <c r="Y31" s="5">
        <f t="shared" si="240"/>
        <v>7020.2868285858985</v>
      </c>
      <c r="Z31" s="5">
        <f t="shared" si="240"/>
        <v>7035.0591369283429</v>
      </c>
      <c r="AA31" s="5">
        <f t="shared" si="240"/>
        <v>7049.8314452707873</v>
      </c>
      <c r="AB31" s="4">
        <f t="shared" ref="AB31" si="241">SUM(AB29:AB30)</f>
        <v>7064.6037536132335</v>
      </c>
      <c r="AC31" s="5">
        <f t="shared" ref="AC31:AF31" si="242">AB31+(($AG31-$AB31)/5)</f>
        <v>7126.7429317942142</v>
      </c>
      <c r="AD31" s="5">
        <f t="shared" si="242"/>
        <v>7188.8821099751949</v>
      </c>
      <c r="AE31" s="5">
        <f t="shared" si="242"/>
        <v>7251.0212881561756</v>
      </c>
      <c r="AF31" s="5">
        <f t="shared" si="242"/>
        <v>7313.1604663371563</v>
      </c>
      <c r="AG31" s="4">
        <f t="shared" ref="AG31" si="243">SUM(AG29:AG30)</f>
        <v>7375.2996445181379</v>
      </c>
    </row>
    <row r="32" spans="1:33" x14ac:dyDescent="0.3">
      <c r="A32" t="s">
        <v>124</v>
      </c>
      <c r="B32" t="s">
        <v>111</v>
      </c>
      <c r="C32" s="4">
        <v>15058.183534548458</v>
      </c>
      <c r="D32" s="5">
        <f t="shared" ref="D32:G32" si="244">C32+(($H32-$C32)/5)</f>
        <v>14901.256170837187</v>
      </c>
      <c r="E32" s="5">
        <f t="shared" si="244"/>
        <v>14744.328807125916</v>
      </c>
      <c r="F32" s="5">
        <f t="shared" si="244"/>
        <v>14587.401443414645</v>
      </c>
      <c r="G32" s="5">
        <f t="shared" si="244"/>
        <v>14430.474079703374</v>
      </c>
      <c r="H32" s="4">
        <v>14273.546715992103</v>
      </c>
      <c r="I32" s="5">
        <f t="shared" ref="I32:L32" si="245">H32+(($M32-$H32)/5)</f>
        <v>14059.804796427172</v>
      </c>
      <c r="J32" s="5">
        <f t="shared" si="245"/>
        <v>13846.062876862241</v>
      </c>
      <c r="K32" s="5">
        <f t="shared" si="245"/>
        <v>13632.32095729731</v>
      </c>
      <c r="L32" s="5">
        <f t="shared" si="245"/>
        <v>13418.579037732379</v>
      </c>
      <c r="M32" s="4">
        <v>13204.837118167445</v>
      </c>
      <c r="N32" s="5">
        <f t="shared" ref="N32:Q32" si="246">M32+(($R32-$M32)/5)</f>
        <v>13132.807816027433</v>
      </c>
      <c r="O32" s="5">
        <f t="shared" si="246"/>
        <v>13060.778513887421</v>
      </c>
      <c r="P32" s="5">
        <f t="shared" si="246"/>
        <v>12988.749211747408</v>
      </c>
      <c r="Q32" s="5">
        <f t="shared" si="246"/>
        <v>12916.719909607396</v>
      </c>
      <c r="R32" s="4">
        <v>12844.690607467384</v>
      </c>
      <c r="S32" s="5">
        <f t="shared" ref="S32:V32" si="247">R32+(($W32-$R32)/5)</f>
        <v>12795.870362981685</v>
      </c>
      <c r="T32" s="5">
        <f t="shared" si="247"/>
        <v>12747.050118495985</v>
      </c>
      <c r="U32" s="5">
        <f t="shared" si="247"/>
        <v>12698.229874010285</v>
      </c>
      <c r="V32" s="5">
        <f t="shared" si="247"/>
        <v>12649.409629524585</v>
      </c>
      <c r="W32" s="4">
        <v>12600.589385038886</v>
      </c>
      <c r="X32" s="5">
        <f t="shared" ref="X32:AA32" si="248">W32+(($AB32-$W32)/5)</f>
        <v>12538.829444363944</v>
      </c>
      <c r="Y32" s="5">
        <f t="shared" si="248"/>
        <v>12477.069503689003</v>
      </c>
      <c r="Z32" s="5">
        <f t="shared" si="248"/>
        <v>12415.309563014061</v>
      </c>
      <c r="AA32" s="5">
        <f t="shared" si="248"/>
        <v>12353.54962233912</v>
      </c>
      <c r="AB32" s="4">
        <v>12291.789681664175</v>
      </c>
      <c r="AC32" s="5">
        <f t="shared" ref="AC32:AF32" si="249">AB32+(($AG32-$AB32)/5)</f>
        <v>12226.237351087622</v>
      </c>
      <c r="AD32" s="5">
        <f t="shared" si="249"/>
        <v>12160.68502051107</v>
      </c>
      <c r="AE32" s="5">
        <f t="shared" si="249"/>
        <v>12095.132689934517</v>
      </c>
      <c r="AF32" s="5">
        <f t="shared" si="249"/>
        <v>12029.580359357964</v>
      </c>
      <c r="AG32" s="4">
        <v>11964.028028781408</v>
      </c>
    </row>
    <row r="33" spans="1:33" x14ac:dyDescent="0.3">
      <c r="A33" t="s">
        <v>124</v>
      </c>
      <c r="B33" t="s">
        <v>112</v>
      </c>
      <c r="C33" s="4">
        <v>11593.016631979079</v>
      </c>
      <c r="D33" s="5">
        <f t="shared" ref="D33:G33" si="250">C33+(($H33-$C33)/5)</f>
        <v>11646.036810796573</v>
      </c>
      <c r="E33" s="5">
        <f t="shared" si="250"/>
        <v>11699.056989614068</v>
      </c>
      <c r="F33" s="5">
        <f t="shared" si="250"/>
        <v>11752.077168431562</v>
      </c>
      <c r="G33" s="5">
        <f t="shared" si="250"/>
        <v>11805.097347249057</v>
      </c>
      <c r="H33" s="4">
        <v>11858.117526066555</v>
      </c>
      <c r="I33" s="5">
        <f t="shared" ref="I33:L33" si="251">H33+(($M33-$H33)/5)</f>
        <v>11887.022994389981</v>
      </c>
      <c r="J33" s="5">
        <f t="shared" si="251"/>
        <v>11915.928462713407</v>
      </c>
      <c r="K33" s="5">
        <f t="shared" si="251"/>
        <v>11944.833931036834</v>
      </c>
      <c r="L33" s="5">
        <f t="shared" si="251"/>
        <v>11973.73939936026</v>
      </c>
      <c r="M33" s="4">
        <v>12002.644867683683</v>
      </c>
      <c r="N33" s="5">
        <f t="shared" ref="N33:Q33" si="252">M33+(($R33-$M33)/5)</f>
        <v>12094.440194849241</v>
      </c>
      <c r="O33" s="5">
        <f t="shared" si="252"/>
        <v>12186.2355220148</v>
      </c>
      <c r="P33" s="5">
        <f t="shared" si="252"/>
        <v>12278.030849180359</v>
      </c>
      <c r="Q33" s="5">
        <f t="shared" si="252"/>
        <v>12369.826176345918</v>
      </c>
      <c r="R33" s="4">
        <v>12461.621503511478</v>
      </c>
      <c r="S33" s="5">
        <f t="shared" ref="S33:V33" si="253">R33+(($W33-$R33)/5)</f>
        <v>12442.939491017629</v>
      </c>
      <c r="T33" s="5">
        <f t="shared" si="253"/>
        <v>12424.257478523779</v>
      </c>
      <c r="U33" s="5">
        <f t="shared" si="253"/>
        <v>12405.57546602993</v>
      </c>
      <c r="V33" s="5">
        <f t="shared" si="253"/>
        <v>12386.89345353608</v>
      </c>
      <c r="W33" s="4">
        <v>12368.211441042229</v>
      </c>
      <c r="X33" s="5">
        <f t="shared" ref="X33:AA33" si="254">W33+(($AB33-$W33)/5)</f>
        <v>12305.154878067933</v>
      </c>
      <c r="Y33" s="5">
        <f t="shared" si="254"/>
        <v>12242.098315093637</v>
      </c>
      <c r="Z33" s="5">
        <f t="shared" si="254"/>
        <v>12179.041752119341</v>
      </c>
      <c r="AA33" s="5">
        <f t="shared" si="254"/>
        <v>12115.985189145045</v>
      </c>
      <c r="AB33" s="4">
        <v>12052.928626170749</v>
      </c>
      <c r="AC33" s="5">
        <f t="shared" ref="AC33:AF33" si="255">AB33+(($AG33-$AB33)/5)</f>
        <v>11993.51077011181</v>
      </c>
      <c r="AD33" s="5">
        <f t="shared" si="255"/>
        <v>11934.092914052871</v>
      </c>
      <c r="AE33" s="5">
        <f t="shared" si="255"/>
        <v>11874.675057993933</v>
      </c>
      <c r="AF33" s="5">
        <f t="shared" si="255"/>
        <v>11815.257201934994</v>
      </c>
      <c r="AG33" s="4">
        <v>11755.839345876051</v>
      </c>
    </row>
    <row r="34" spans="1:33" x14ac:dyDescent="0.3">
      <c r="A34" t="str">
        <f>A33</f>
        <v>ES</v>
      </c>
      <c r="B34" t="s">
        <v>142</v>
      </c>
      <c r="C34" s="4">
        <f t="shared" ref="C34" si="256">SUM(C32:C33)</f>
        <v>26651.200166527538</v>
      </c>
      <c r="D34" s="5">
        <f t="shared" ref="D34:G34" si="257">C34+(($H34-$C34)/5)</f>
        <v>26547.292981633764</v>
      </c>
      <c r="E34" s="5">
        <f t="shared" si="257"/>
        <v>26443.385796739989</v>
      </c>
      <c r="F34" s="5">
        <f t="shared" si="257"/>
        <v>26339.478611846214</v>
      </c>
      <c r="G34" s="5">
        <f t="shared" si="257"/>
        <v>26235.57142695244</v>
      </c>
      <c r="H34" s="4">
        <f t="shared" ref="H34" si="258">SUM(H32:H33)</f>
        <v>26131.664242058658</v>
      </c>
      <c r="I34" s="5">
        <f t="shared" ref="I34:L34" si="259">H34+(($M34-$H34)/5)</f>
        <v>25946.827790817151</v>
      </c>
      <c r="J34" s="5">
        <f t="shared" si="259"/>
        <v>25761.991339575645</v>
      </c>
      <c r="K34" s="5">
        <f t="shared" si="259"/>
        <v>25577.154888334138</v>
      </c>
      <c r="L34" s="5">
        <f t="shared" si="259"/>
        <v>25392.318437092632</v>
      </c>
      <c r="M34" s="4">
        <f t="shared" ref="M34" si="260">SUM(M32:M33)</f>
        <v>25207.481985851126</v>
      </c>
      <c r="N34" s="5">
        <f t="shared" ref="N34:Q34" si="261">M34+(($R34-$M34)/5)</f>
        <v>25227.248010876672</v>
      </c>
      <c r="O34" s="5">
        <f t="shared" si="261"/>
        <v>25247.014035902219</v>
      </c>
      <c r="P34" s="5">
        <f t="shared" si="261"/>
        <v>25266.780060927766</v>
      </c>
      <c r="Q34" s="5">
        <f t="shared" si="261"/>
        <v>25286.546085953312</v>
      </c>
      <c r="R34" s="4">
        <f t="shared" ref="R34" si="262">SUM(R32:R33)</f>
        <v>25306.312110978863</v>
      </c>
      <c r="S34" s="5">
        <f t="shared" ref="S34:V34" si="263">R34+(($W34-$R34)/5)</f>
        <v>25238.809853999312</v>
      </c>
      <c r="T34" s="5">
        <f t="shared" si="263"/>
        <v>25171.307597019761</v>
      </c>
      <c r="U34" s="5">
        <f t="shared" si="263"/>
        <v>25103.80534004021</v>
      </c>
      <c r="V34" s="5">
        <f t="shared" si="263"/>
        <v>25036.303083060659</v>
      </c>
      <c r="W34" s="4">
        <f t="shared" ref="W34" si="264">SUM(W32:W33)</f>
        <v>24968.800826081115</v>
      </c>
      <c r="X34" s="5">
        <f t="shared" ref="X34:AA34" si="265">W34+(($AB34-$W34)/5)</f>
        <v>24843.984322431876</v>
      </c>
      <c r="Y34" s="5">
        <f t="shared" si="265"/>
        <v>24719.167818782636</v>
      </c>
      <c r="Z34" s="5">
        <f t="shared" si="265"/>
        <v>24594.351315133397</v>
      </c>
      <c r="AA34" s="5">
        <f t="shared" si="265"/>
        <v>24469.534811484158</v>
      </c>
      <c r="AB34" s="4">
        <f t="shared" ref="AB34" si="266">SUM(AB32:AB33)</f>
        <v>24344.718307834926</v>
      </c>
      <c r="AC34" s="5">
        <f t="shared" ref="AC34:AF34" si="267">AB34+(($AG34-$AB34)/5)</f>
        <v>24219.748121199431</v>
      </c>
      <c r="AD34" s="5">
        <f t="shared" si="267"/>
        <v>24094.777934563936</v>
      </c>
      <c r="AE34" s="5">
        <f t="shared" si="267"/>
        <v>23969.80774792844</v>
      </c>
      <c r="AF34" s="5">
        <f t="shared" si="267"/>
        <v>23844.837561292945</v>
      </c>
      <c r="AG34" s="4">
        <f t="shared" ref="AG34" si="268">SUM(AG32:AG33)</f>
        <v>23719.867374657457</v>
      </c>
    </row>
    <row r="35" spans="1:33" x14ac:dyDescent="0.3">
      <c r="A35" t="s">
        <v>125</v>
      </c>
      <c r="B35" t="s">
        <v>111</v>
      </c>
      <c r="C35" s="4">
        <v>5584.3681250123454</v>
      </c>
      <c r="D35" s="5">
        <f t="shared" ref="D35:G35" si="269">C35+(($H35-$C35)/5)</f>
        <v>5579.0827084063149</v>
      </c>
      <c r="E35" s="5">
        <f t="shared" si="269"/>
        <v>5573.7972918002843</v>
      </c>
      <c r="F35" s="5">
        <f t="shared" si="269"/>
        <v>5568.5118751942537</v>
      </c>
      <c r="G35" s="5">
        <f t="shared" si="269"/>
        <v>5563.2264585882231</v>
      </c>
      <c r="H35" s="4">
        <v>5557.9410419821925</v>
      </c>
      <c r="I35" s="5">
        <f t="shared" ref="I35:L35" si="270">H35+(($M35-$H35)/5)</f>
        <v>5598.499662504194</v>
      </c>
      <c r="J35" s="5">
        <f t="shared" si="270"/>
        <v>5639.0582830261956</v>
      </c>
      <c r="K35" s="5">
        <f t="shared" si="270"/>
        <v>5679.6169035481971</v>
      </c>
      <c r="L35" s="5">
        <f t="shared" si="270"/>
        <v>5720.1755240701987</v>
      </c>
      <c r="M35" s="4">
        <v>5760.7341445921984</v>
      </c>
      <c r="N35" s="5">
        <f t="shared" ref="N35:Q35" si="271">M35+(($R35-$M35)/5)</f>
        <v>5750.9281607939038</v>
      </c>
      <c r="O35" s="5">
        <f t="shared" si="271"/>
        <v>5741.1221769956092</v>
      </c>
      <c r="P35" s="5">
        <f t="shared" si="271"/>
        <v>5731.3161931973145</v>
      </c>
      <c r="Q35" s="5">
        <f t="shared" si="271"/>
        <v>5721.5102093990199</v>
      </c>
      <c r="R35" s="4">
        <v>5711.7042256007253</v>
      </c>
      <c r="S35" s="5">
        <f t="shared" ref="S35:V35" si="272">R35+(($W35-$R35)/5)</f>
        <v>5712.2910997598319</v>
      </c>
      <c r="T35" s="5">
        <f t="shared" si="272"/>
        <v>5712.8779739189386</v>
      </c>
      <c r="U35" s="5">
        <f t="shared" si="272"/>
        <v>5713.4648480780452</v>
      </c>
      <c r="V35" s="5">
        <f t="shared" si="272"/>
        <v>5714.0517222371518</v>
      </c>
      <c r="W35" s="4">
        <v>5714.6385963962584</v>
      </c>
      <c r="X35" s="5">
        <f t="shared" ref="X35:AA35" si="273">W35+(($AB35-$W35)/5)</f>
        <v>5729.5289133537462</v>
      </c>
      <c r="Y35" s="5">
        <f t="shared" si="273"/>
        <v>5744.4192303112341</v>
      </c>
      <c r="Z35" s="5">
        <f t="shared" si="273"/>
        <v>5759.3095472687219</v>
      </c>
      <c r="AA35" s="5">
        <f t="shared" si="273"/>
        <v>5774.1998642262097</v>
      </c>
      <c r="AB35" s="4">
        <v>5789.0901811836966</v>
      </c>
      <c r="AC35" s="5">
        <f t="shared" ref="AC35:AF35" si="274">AB35+(($AG35-$AB35)/5)</f>
        <v>5800.6120888477217</v>
      </c>
      <c r="AD35" s="5">
        <f t="shared" si="274"/>
        <v>5812.1339965117468</v>
      </c>
      <c r="AE35" s="5">
        <f t="shared" si="274"/>
        <v>5823.6559041757719</v>
      </c>
      <c r="AF35" s="5">
        <f t="shared" si="274"/>
        <v>5835.177811839797</v>
      </c>
      <c r="AG35" s="4">
        <v>5846.6997195038221</v>
      </c>
    </row>
    <row r="36" spans="1:33" x14ac:dyDescent="0.3">
      <c r="A36" t="s">
        <v>125</v>
      </c>
      <c r="B36" t="s">
        <v>112</v>
      </c>
      <c r="C36" s="4">
        <v>3589.6813893094727</v>
      </c>
      <c r="D36" s="5">
        <f t="shared" ref="D36:G36" si="275">C36+(($H36-$C36)/5)</f>
        <v>3690.1303202642698</v>
      </c>
      <c r="E36" s="5">
        <f t="shared" si="275"/>
        <v>3790.5792512190669</v>
      </c>
      <c r="F36" s="5">
        <f t="shared" si="275"/>
        <v>3891.028182173864</v>
      </c>
      <c r="G36" s="5">
        <f t="shared" si="275"/>
        <v>3991.4771131286611</v>
      </c>
      <c r="H36" s="4">
        <v>4091.9260440834587</v>
      </c>
      <c r="I36" s="5">
        <f t="shared" ref="I36:L36" si="276">H36+(($M36-$H36)/5)</f>
        <v>4080.0257241723889</v>
      </c>
      <c r="J36" s="5">
        <f t="shared" si="276"/>
        <v>4068.1254042613191</v>
      </c>
      <c r="K36" s="5">
        <f t="shared" si="276"/>
        <v>4056.2250843502493</v>
      </c>
      <c r="L36" s="5">
        <f t="shared" si="276"/>
        <v>4044.3247644391795</v>
      </c>
      <c r="M36" s="4">
        <v>4032.4244445281106</v>
      </c>
      <c r="N36" s="5">
        <f t="shared" ref="N36:Q36" si="277">M36+(($R36-$M36)/5)</f>
        <v>4022.1604433113753</v>
      </c>
      <c r="O36" s="5">
        <f t="shared" si="277"/>
        <v>4011.89644209464</v>
      </c>
      <c r="P36" s="5">
        <f t="shared" si="277"/>
        <v>4001.6324408779046</v>
      </c>
      <c r="Q36" s="5">
        <f t="shared" si="277"/>
        <v>3991.3684396611693</v>
      </c>
      <c r="R36" s="4">
        <v>3981.1044384444349</v>
      </c>
      <c r="S36" s="5">
        <f t="shared" ref="S36:V36" si="278">R36+(($W36-$R36)/5)</f>
        <v>3976.990193486015</v>
      </c>
      <c r="T36" s="5">
        <f t="shared" si="278"/>
        <v>3972.875948527595</v>
      </c>
      <c r="U36" s="5">
        <f t="shared" si="278"/>
        <v>3968.7617035691751</v>
      </c>
      <c r="V36" s="5">
        <f t="shared" si="278"/>
        <v>3964.6474586107552</v>
      </c>
      <c r="W36" s="4">
        <v>3960.5332136523352</v>
      </c>
      <c r="X36" s="5">
        <f t="shared" ref="X36:AA36" si="279">W36+(($AB36-$W36)/5)</f>
        <v>3955.059180705272</v>
      </c>
      <c r="Y36" s="5">
        <f t="shared" si="279"/>
        <v>3949.5851477582087</v>
      </c>
      <c r="Z36" s="5">
        <f t="shared" si="279"/>
        <v>3944.1111148111454</v>
      </c>
      <c r="AA36" s="5">
        <f t="shared" si="279"/>
        <v>3938.6370818640821</v>
      </c>
      <c r="AB36" s="4">
        <v>3933.1630489170198</v>
      </c>
      <c r="AC36" s="5">
        <f t="shared" ref="AC36:AF36" si="280">AB36+(($AG36-$AB36)/5)</f>
        <v>3933.4973830175009</v>
      </c>
      <c r="AD36" s="5">
        <f t="shared" si="280"/>
        <v>3933.831717117982</v>
      </c>
      <c r="AE36" s="5">
        <f t="shared" si="280"/>
        <v>3934.1660512184631</v>
      </c>
      <c r="AF36" s="5">
        <f t="shared" si="280"/>
        <v>3934.5003853189442</v>
      </c>
      <c r="AG36" s="4">
        <v>3934.8347194194257</v>
      </c>
    </row>
    <row r="37" spans="1:33" x14ac:dyDescent="0.3">
      <c r="A37" t="str">
        <f>A36</f>
        <v>FI</v>
      </c>
      <c r="B37" t="s">
        <v>142</v>
      </c>
      <c r="C37" s="4">
        <f t="shared" ref="C37" si="281">SUM(C35:C36)</f>
        <v>9174.0495143218177</v>
      </c>
      <c r="D37" s="5">
        <f t="shared" ref="D37:G37" si="282">C37+(($H37-$C37)/5)</f>
        <v>9269.2130286705851</v>
      </c>
      <c r="E37" s="5">
        <f t="shared" si="282"/>
        <v>9364.3765430193525</v>
      </c>
      <c r="F37" s="5">
        <f t="shared" si="282"/>
        <v>9459.54005736812</v>
      </c>
      <c r="G37" s="5">
        <f t="shared" si="282"/>
        <v>9554.7035717168874</v>
      </c>
      <c r="H37" s="4">
        <f t="shared" ref="H37" si="283">SUM(H35:H36)</f>
        <v>9649.8670860656512</v>
      </c>
      <c r="I37" s="5">
        <f t="shared" ref="I37:L37" si="284">H37+(($M37-$H37)/5)</f>
        <v>9678.5253866765834</v>
      </c>
      <c r="J37" s="5">
        <f t="shared" si="284"/>
        <v>9707.1836872875156</v>
      </c>
      <c r="K37" s="5">
        <f t="shared" si="284"/>
        <v>9735.8419878984478</v>
      </c>
      <c r="L37" s="5">
        <f t="shared" si="284"/>
        <v>9764.50028850938</v>
      </c>
      <c r="M37" s="4">
        <f t="shared" ref="M37" si="285">SUM(M35:M36)</f>
        <v>9793.1585891203085</v>
      </c>
      <c r="N37" s="5">
        <f t="shared" ref="N37:Q37" si="286">M37+(($R37-$M37)/5)</f>
        <v>9773.0886041052781</v>
      </c>
      <c r="O37" s="5">
        <f t="shared" si="286"/>
        <v>9753.0186190902477</v>
      </c>
      <c r="P37" s="5">
        <f t="shared" si="286"/>
        <v>9732.9486340752173</v>
      </c>
      <c r="Q37" s="5">
        <f t="shared" si="286"/>
        <v>9712.8786490601869</v>
      </c>
      <c r="R37" s="4">
        <f t="shared" ref="R37" si="287">SUM(R35:R36)</f>
        <v>9692.8086640451602</v>
      </c>
      <c r="S37" s="5">
        <f t="shared" ref="S37:V37" si="288">R37+(($W37-$R37)/5)</f>
        <v>9689.2812932458473</v>
      </c>
      <c r="T37" s="5">
        <f t="shared" si="288"/>
        <v>9685.7539224465345</v>
      </c>
      <c r="U37" s="5">
        <f t="shared" si="288"/>
        <v>9682.2265516472216</v>
      </c>
      <c r="V37" s="5">
        <f t="shared" si="288"/>
        <v>9678.6991808479088</v>
      </c>
      <c r="W37" s="4">
        <f t="shared" ref="W37" si="289">SUM(W35:W36)</f>
        <v>9675.1718100485941</v>
      </c>
      <c r="X37" s="5">
        <f t="shared" ref="X37:AA37" si="290">W37+(($AB37-$W37)/5)</f>
        <v>9684.5880940590177</v>
      </c>
      <c r="Y37" s="5">
        <f t="shared" si="290"/>
        <v>9694.0043780694414</v>
      </c>
      <c r="Z37" s="5">
        <f t="shared" si="290"/>
        <v>9703.420662079865</v>
      </c>
      <c r="AA37" s="5">
        <f t="shared" si="290"/>
        <v>9712.8369460902886</v>
      </c>
      <c r="AB37" s="4">
        <f t="shared" ref="AB37" si="291">SUM(AB35:AB36)</f>
        <v>9722.2532301007159</v>
      </c>
      <c r="AC37" s="5">
        <f t="shared" ref="AC37:AF37" si="292">AB37+(($AG37-$AB37)/5)</f>
        <v>9734.1094718652221</v>
      </c>
      <c r="AD37" s="5">
        <f t="shared" si="292"/>
        <v>9745.9657136297283</v>
      </c>
      <c r="AE37" s="5">
        <f t="shared" si="292"/>
        <v>9757.8219553942345</v>
      </c>
      <c r="AF37" s="5">
        <f t="shared" si="292"/>
        <v>9769.6781971587407</v>
      </c>
      <c r="AG37" s="4">
        <f t="shared" ref="AG37" si="293">SUM(AG35:AG36)</f>
        <v>9781.5344389232487</v>
      </c>
    </row>
    <row r="38" spans="1:33" x14ac:dyDescent="0.3">
      <c r="A38" t="s">
        <v>126</v>
      </c>
      <c r="B38" t="s">
        <v>111</v>
      </c>
      <c r="C38" s="4">
        <v>40709.133054290658</v>
      </c>
      <c r="D38" s="5">
        <f t="shared" ref="D38:G38" si="294">C38+(($H38-$C38)/5)</f>
        <v>39894.773763238918</v>
      </c>
      <c r="E38" s="5">
        <f t="shared" si="294"/>
        <v>39080.414472187178</v>
      </c>
      <c r="F38" s="5">
        <f t="shared" si="294"/>
        <v>38266.055181135438</v>
      </c>
      <c r="G38" s="5">
        <f t="shared" si="294"/>
        <v>37451.695890083698</v>
      </c>
      <c r="H38" s="4">
        <v>36637.336599031951</v>
      </c>
      <c r="I38" s="5">
        <f t="shared" ref="I38:L38" si="295">H38+(($M38-$H38)/5)</f>
        <v>36302.488275878983</v>
      </c>
      <c r="J38" s="5">
        <f t="shared" si="295"/>
        <v>35967.639952726015</v>
      </c>
      <c r="K38" s="5">
        <f t="shared" si="295"/>
        <v>35632.791629573047</v>
      </c>
      <c r="L38" s="5">
        <f t="shared" si="295"/>
        <v>35297.943306420078</v>
      </c>
      <c r="M38" s="4">
        <v>34963.094983267103</v>
      </c>
      <c r="N38" s="5">
        <f t="shared" ref="N38:Q38" si="296">M38+(($R38-$M38)/5)</f>
        <v>34860.19253691117</v>
      </c>
      <c r="O38" s="5">
        <f t="shared" si="296"/>
        <v>34757.290090555238</v>
      </c>
      <c r="P38" s="5">
        <f t="shared" si="296"/>
        <v>34654.387644199305</v>
      </c>
      <c r="Q38" s="5">
        <f t="shared" si="296"/>
        <v>34551.485197843373</v>
      </c>
      <c r="R38" s="4">
        <v>34448.582751487425</v>
      </c>
      <c r="S38" s="5">
        <f t="shared" ref="S38:V38" si="297">R38+(($W38-$R38)/5)</f>
        <v>34361.756535661858</v>
      </c>
      <c r="T38" s="5">
        <f t="shared" si="297"/>
        <v>34274.93031983629</v>
      </c>
      <c r="U38" s="5">
        <f t="shared" si="297"/>
        <v>34188.104104010723</v>
      </c>
      <c r="V38" s="5">
        <f t="shared" si="297"/>
        <v>34101.277888185155</v>
      </c>
      <c r="W38" s="4">
        <v>34014.451672359595</v>
      </c>
      <c r="X38" s="5">
        <f t="shared" ref="X38:AA38" si="298">W38+(($AB38-$W38)/5)</f>
        <v>33856.356837136387</v>
      </c>
      <c r="Y38" s="5">
        <f t="shared" si="298"/>
        <v>33698.262001913179</v>
      </c>
      <c r="Z38" s="5">
        <f t="shared" si="298"/>
        <v>33540.167166689971</v>
      </c>
      <c r="AA38" s="5">
        <f t="shared" si="298"/>
        <v>33382.072331466763</v>
      </c>
      <c r="AB38" s="4">
        <v>33223.97749624354</v>
      </c>
      <c r="AC38" s="5">
        <f t="shared" ref="AC38:AF38" si="299">AB38+(($AG38-$AB38)/5)</f>
        <v>32994.729266829301</v>
      </c>
      <c r="AD38" s="5">
        <f t="shared" si="299"/>
        <v>32765.481037415062</v>
      </c>
      <c r="AE38" s="5">
        <f t="shared" si="299"/>
        <v>32536.232808000823</v>
      </c>
      <c r="AF38" s="5">
        <f t="shared" si="299"/>
        <v>32306.984578586584</v>
      </c>
      <c r="AG38" s="4">
        <v>32077.736349172352</v>
      </c>
    </row>
    <row r="39" spans="1:33" x14ac:dyDescent="0.3">
      <c r="A39" t="s">
        <v>126</v>
      </c>
      <c r="B39" t="s">
        <v>112</v>
      </c>
      <c r="C39" s="4">
        <v>22567.314137249865</v>
      </c>
      <c r="D39" s="5">
        <f t="shared" ref="D39:G39" si="300">C39+(($H39-$C39)/5)</f>
        <v>22981.012457029232</v>
      </c>
      <c r="E39" s="5">
        <f t="shared" si="300"/>
        <v>23394.710776808599</v>
      </c>
      <c r="F39" s="5">
        <f t="shared" si="300"/>
        <v>23808.409096587966</v>
      </c>
      <c r="G39" s="5">
        <f t="shared" si="300"/>
        <v>24222.107416367333</v>
      </c>
      <c r="H39" s="4">
        <v>24635.805736146704</v>
      </c>
      <c r="I39" s="5">
        <f t="shared" ref="I39:L39" si="301">H39+(($M39-$H39)/5)</f>
        <v>24060.900451323359</v>
      </c>
      <c r="J39" s="5">
        <f t="shared" si="301"/>
        <v>23485.995166500015</v>
      </c>
      <c r="K39" s="5">
        <f t="shared" si="301"/>
        <v>22911.089881676671</v>
      </c>
      <c r="L39" s="5">
        <f t="shared" si="301"/>
        <v>22336.184596853327</v>
      </c>
      <c r="M39" s="4">
        <v>21761.279312029983</v>
      </c>
      <c r="N39" s="5">
        <f t="shared" ref="N39:Q39" si="302">M39+(($R39-$M39)/5)</f>
        <v>21652.657389645599</v>
      </c>
      <c r="O39" s="5">
        <f t="shared" si="302"/>
        <v>21544.035467261216</v>
      </c>
      <c r="P39" s="5">
        <f t="shared" si="302"/>
        <v>21435.413544876832</v>
      </c>
      <c r="Q39" s="5">
        <f t="shared" si="302"/>
        <v>21326.791622492448</v>
      </c>
      <c r="R39" s="4">
        <v>21218.169700108072</v>
      </c>
      <c r="S39" s="5">
        <f t="shared" ref="S39:V39" si="303">R39+(($W39-$R39)/5)</f>
        <v>21163.09884783925</v>
      </c>
      <c r="T39" s="5">
        <f t="shared" si="303"/>
        <v>21108.027995570428</v>
      </c>
      <c r="U39" s="5">
        <f t="shared" si="303"/>
        <v>21052.957143301606</v>
      </c>
      <c r="V39" s="5">
        <f t="shared" si="303"/>
        <v>20997.886291032784</v>
      </c>
      <c r="W39" s="4">
        <v>20942.81543876397</v>
      </c>
      <c r="X39" s="5">
        <f t="shared" ref="X39:AA39" si="304">W39+(($AB39-$W39)/5)</f>
        <v>20830.127524810348</v>
      </c>
      <c r="Y39" s="5">
        <f t="shared" si="304"/>
        <v>20717.439610856727</v>
      </c>
      <c r="Z39" s="5">
        <f t="shared" si="304"/>
        <v>20604.751696903106</v>
      </c>
      <c r="AA39" s="5">
        <f t="shared" si="304"/>
        <v>20492.063782949484</v>
      </c>
      <c r="AB39" s="4">
        <v>20379.375868995856</v>
      </c>
      <c r="AC39" s="5">
        <f t="shared" ref="AC39:AF39" si="305">AB39+(($AG39-$AB39)/5)</f>
        <v>20300.046453405117</v>
      </c>
      <c r="AD39" s="5">
        <f t="shared" si="305"/>
        <v>20220.717037814378</v>
      </c>
      <c r="AE39" s="5">
        <f t="shared" si="305"/>
        <v>20141.387622223639</v>
      </c>
      <c r="AF39" s="5">
        <f t="shared" si="305"/>
        <v>20062.058206632901</v>
      </c>
      <c r="AG39" s="4">
        <v>19982.728791042166</v>
      </c>
    </row>
    <row r="40" spans="1:33" x14ac:dyDescent="0.3">
      <c r="A40" t="str">
        <f>A39</f>
        <v>FR</v>
      </c>
      <c r="B40" t="s">
        <v>142</v>
      </c>
      <c r="C40" s="4">
        <f t="shared" ref="C40" si="306">SUM(C38:C39)</f>
        <v>63276.447191540523</v>
      </c>
      <c r="D40" s="5">
        <f t="shared" ref="D40:G40" si="307">C40+(($H40-$C40)/5)</f>
        <v>62875.78622026815</v>
      </c>
      <c r="E40" s="5">
        <f t="shared" si="307"/>
        <v>62475.125248995777</v>
      </c>
      <c r="F40" s="5">
        <f t="shared" si="307"/>
        <v>62074.464277723404</v>
      </c>
      <c r="G40" s="5">
        <f t="shared" si="307"/>
        <v>61673.803306451031</v>
      </c>
      <c r="H40" s="4">
        <f t="shared" ref="H40" si="308">SUM(H38:H39)</f>
        <v>61273.142335178651</v>
      </c>
      <c r="I40" s="5">
        <f t="shared" ref="I40:L40" si="309">H40+(($M40-$H40)/5)</f>
        <v>60363.388727202335</v>
      </c>
      <c r="J40" s="5">
        <f t="shared" si="309"/>
        <v>59453.635119226019</v>
      </c>
      <c r="K40" s="5">
        <f t="shared" si="309"/>
        <v>58543.881511249703</v>
      </c>
      <c r="L40" s="5">
        <f t="shared" si="309"/>
        <v>57634.127903273387</v>
      </c>
      <c r="M40" s="4">
        <f t="shared" ref="M40" si="310">SUM(M38:M39)</f>
        <v>56724.374295297086</v>
      </c>
      <c r="N40" s="5">
        <f t="shared" ref="N40:Q40" si="311">M40+(($R40-$M40)/5)</f>
        <v>56512.849926556766</v>
      </c>
      <c r="O40" s="5">
        <f t="shared" si="311"/>
        <v>56301.325557816446</v>
      </c>
      <c r="P40" s="5">
        <f t="shared" si="311"/>
        <v>56089.801189076126</v>
      </c>
      <c r="Q40" s="5">
        <f t="shared" si="311"/>
        <v>55878.276820335806</v>
      </c>
      <c r="R40" s="4">
        <f t="shared" ref="R40" si="312">SUM(R38:R39)</f>
        <v>55666.752451595501</v>
      </c>
      <c r="S40" s="5">
        <f t="shared" ref="S40:V40" si="313">R40+(($W40-$R40)/5)</f>
        <v>55524.855383501112</v>
      </c>
      <c r="T40" s="5">
        <f t="shared" si="313"/>
        <v>55382.958315406722</v>
      </c>
      <c r="U40" s="5">
        <f t="shared" si="313"/>
        <v>55241.061247312333</v>
      </c>
      <c r="V40" s="5">
        <f t="shared" si="313"/>
        <v>55099.164179217943</v>
      </c>
      <c r="W40" s="4">
        <f t="shared" ref="W40" si="314">SUM(W38:W39)</f>
        <v>54957.267111123569</v>
      </c>
      <c r="X40" s="5">
        <f t="shared" ref="X40:AA40" si="315">W40+(($AB40-$W40)/5)</f>
        <v>54686.484361946736</v>
      </c>
      <c r="Y40" s="5">
        <f t="shared" si="315"/>
        <v>54415.701612769903</v>
      </c>
      <c r="Z40" s="5">
        <f t="shared" si="315"/>
        <v>54144.91886359307</v>
      </c>
      <c r="AA40" s="5">
        <f t="shared" si="315"/>
        <v>53874.136114416237</v>
      </c>
      <c r="AB40" s="4">
        <f t="shared" ref="AB40" si="316">SUM(AB38:AB39)</f>
        <v>53603.353365239396</v>
      </c>
      <c r="AC40" s="5">
        <f t="shared" ref="AC40:AF40" si="317">AB40+(($AG40-$AB40)/5)</f>
        <v>53294.775720234422</v>
      </c>
      <c r="AD40" s="5">
        <f t="shared" si="317"/>
        <v>52986.198075229448</v>
      </c>
      <c r="AE40" s="5">
        <f t="shared" si="317"/>
        <v>52677.620430224473</v>
      </c>
      <c r="AF40" s="5">
        <f t="shared" si="317"/>
        <v>52369.042785219499</v>
      </c>
      <c r="AG40" s="4">
        <f t="shared" ref="AG40" si="318">SUM(AG38:AG39)</f>
        <v>52060.465140214517</v>
      </c>
    </row>
    <row r="41" spans="1:33" x14ac:dyDescent="0.3">
      <c r="A41" t="s">
        <v>127</v>
      </c>
      <c r="B41" t="s">
        <v>111</v>
      </c>
      <c r="C41" s="4">
        <v>2290.2751863562212</v>
      </c>
      <c r="D41" s="5">
        <f t="shared" ref="D41:G41" si="319">C41+(($H41-$C41)/5)</f>
        <v>2304.5233355400851</v>
      </c>
      <c r="E41" s="5">
        <f t="shared" si="319"/>
        <v>2318.771484723949</v>
      </c>
      <c r="F41" s="5">
        <f t="shared" si="319"/>
        <v>2333.0196339078129</v>
      </c>
      <c r="G41" s="5">
        <f t="shared" si="319"/>
        <v>2347.2677830916768</v>
      </c>
      <c r="H41" s="4">
        <v>2361.5159322755408</v>
      </c>
      <c r="I41" s="5">
        <f t="shared" ref="I41:L41" si="320">H41+(($M41-$H41)/5)</f>
        <v>2376.6953793759744</v>
      </c>
      <c r="J41" s="5">
        <f t="shared" si="320"/>
        <v>2391.8748264764081</v>
      </c>
      <c r="K41" s="5">
        <f t="shared" si="320"/>
        <v>2407.0542735768418</v>
      </c>
      <c r="L41" s="5">
        <f t="shared" si="320"/>
        <v>2422.2337206772754</v>
      </c>
      <c r="M41" s="4">
        <v>2437.4131677777095</v>
      </c>
      <c r="N41" s="5">
        <f t="shared" ref="N41:Q41" si="321">M41+(($R41-$M41)/5)</f>
        <v>2432.5278100348219</v>
      </c>
      <c r="O41" s="5">
        <f t="shared" si="321"/>
        <v>2427.6424522919342</v>
      </c>
      <c r="P41" s="5">
        <f t="shared" si="321"/>
        <v>2422.7570945490465</v>
      </c>
      <c r="Q41" s="5">
        <f t="shared" si="321"/>
        <v>2417.8717368061589</v>
      </c>
      <c r="R41" s="4">
        <v>2412.9863790632712</v>
      </c>
      <c r="S41" s="5">
        <f t="shared" ref="S41:V41" si="322">R41+(($W41-$R41)/5)</f>
        <v>2393.5676067286395</v>
      </c>
      <c r="T41" s="5">
        <f t="shared" si="322"/>
        <v>2374.1488343940077</v>
      </c>
      <c r="U41" s="5">
        <f t="shared" si="322"/>
        <v>2354.730062059376</v>
      </c>
      <c r="V41" s="5">
        <f t="shared" si="322"/>
        <v>2335.3112897247443</v>
      </c>
      <c r="W41" s="4">
        <v>2315.8925173901116</v>
      </c>
      <c r="X41" s="5">
        <f t="shared" ref="X41:AA41" si="323">W41+(($AB41-$W41)/5)</f>
        <v>2292.3752257889732</v>
      </c>
      <c r="Y41" s="5">
        <f t="shared" si="323"/>
        <v>2268.8579341878349</v>
      </c>
      <c r="Z41" s="5">
        <f t="shared" si="323"/>
        <v>2245.3406425866965</v>
      </c>
      <c r="AA41" s="5">
        <f t="shared" si="323"/>
        <v>2221.8233509855581</v>
      </c>
      <c r="AB41" s="4">
        <v>2198.3060593844202</v>
      </c>
      <c r="AC41" s="5">
        <f t="shared" ref="AC41:AF41" si="324">AB41+(($AG41-$AB41)/5)</f>
        <v>2179.5548379303909</v>
      </c>
      <c r="AD41" s="5">
        <f t="shared" si="324"/>
        <v>2160.8036164763616</v>
      </c>
      <c r="AE41" s="5">
        <f t="shared" si="324"/>
        <v>2142.0523950223323</v>
      </c>
      <c r="AF41" s="5">
        <f t="shared" si="324"/>
        <v>2123.3011735683031</v>
      </c>
      <c r="AG41" s="4">
        <v>2104.5499521142738</v>
      </c>
    </row>
    <row r="42" spans="1:33" x14ac:dyDescent="0.3">
      <c r="A42" t="s">
        <v>127</v>
      </c>
      <c r="B42" t="s">
        <v>112</v>
      </c>
      <c r="C42" s="4">
        <v>949.04270681018579</v>
      </c>
      <c r="D42" s="5">
        <f t="shared" ref="D42:G42" si="325">C42+(($H42-$C42)/5)</f>
        <v>983.5624212441935</v>
      </c>
      <c r="E42" s="5">
        <f t="shared" si="325"/>
        <v>1018.0821356782012</v>
      </c>
      <c r="F42" s="5">
        <f t="shared" si="325"/>
        <v>1052.6018501122089</v>
      </c>
      <c r="G42" s="5">
        <f t="shared" si="325"/>
        <v>1087.1215645462166</v>
      </c>
      <c r="H42" s="4">
        <v>1121.6412789802246</v>
      </c>
      <c r="I42" s="5">
        <f t="shared" ref="I42:L42" si="326">H42+(($M42-$H42)/5)</f>
        <v>1116.2431885736748</v>
      </c>
      <c r="J42" s="5">
        <f t="shared" si="326"/>
        <v>1110.8450981671251</v>
      </c>
      <c r="K42" s="5">
        <f t="shared" si="326"/>
        <v>1105.4470077605754</v>
      </c>
      <c r="L42" s="5">
        <f t="shared" si="326"/>
        <v>1100.0489173540257</v>
      </c>
      <c r="M42" s="4">
        <v>1094.6508269474757</v>
      </c>
      <c r="N42" s="5">
        <f t="shared" ref="N42:Q42" si="327">M42+(($R42-$M42)/5)</f>
        <v>1097.7204494754621</v>
      </c>
      <c r="O42" s="5">
        <f t="shared" si="327"/>
        <v>1100.7900720034486</v>
      </c>
      <c r="P42" s="5">
        <f t="shared" si="327"/>
        <v>1103.859694531435</v>
      </c>
      <c r="Q42" s="5">
        <f t="shared" si="327"/>
        <v>1106.9293170594215</v>
      </c>
      <c r="R42" s="4">
        <v>1109.9989395874074</v>
      </c>
      <c r="S42" s="5">
        <f t="shared" ref="S42:V42" si="328">R42+(($W42-$R42)/5)</f>
        <v>1104.6390121824477</v>
      </c>
      <c r="T42" s="5">
        <f t="shared" si="328"/>
        <v>1099.2790847774879</v>
      </c>
      <c r="U42" s="5">
        <f t="shared" si="328"/>
        <v>1093.9191573725282</v>
      </c>
      <c r="V42" s="5">
        <f t="shared" si="328"/>
        <v>1088.5592299675684</v>
      </c>
      <c r="W42" s="4">
        <v>1083.1993025626082</v>
      </c>
      <c r="X42" s="5">
        <f t="shared" ref="X42:AA42" si="329">W42+(($AB42-$W42)/5)</f>
        <v>1082.8927427653202</v>
      </c>
      <c r="Y42" s="5">
        <f t="shared" si="329"/>
        <v>1082.5861829680323</v>
      </c>
      <c r="Z42" s="5">
        <f t="shared" si="329"/>
        <v>1082.2796231707443</v>
      </c>
      <c r="AA42" s="5">
        <f t="shared" si="329"/>
        <v>1081.9730633734564</v>
      </c>
      <c r="AB42" s="4">
        <v>1081.666503576168</v>
      </c>
      <c r="AC42" s="5">
        <f t="shared" ref="AC42:AF42" si="330">AB42+(($AG42-$AB42)/5)</f>
        <v>1083.7486885984042</v>
      </c>
      <c r="AD42" s="5">
        <f t="shared" si="330"/>
        <v>1085.8308736206404</v>
      </c>
      <c r="AE42" s="5">
        <f t="shared" si="330"/>
        <v>1087.9130586428766</v>
      </c>
      <c r="AF42" s="5">
        <f t="shared" si="330"/>
        <v>1089.9952436651129</v>
      </c>
      <c r="AG42" s="4">
        <v>1092.0774286873491</v>
      </c>
    </row>
    <row r="43" spans="1:33" x14ac:dyDescent="0.3">
      <c r="A43" t="str">
        <f>A42</f>
        <v>HR</v>
      </c>
      <c r="B43" t="s">
        <v>142</v>
      </c>
      <c r="C43" s="4">
        <f t="shared" ref="C43" si="331">SUM(C41:C42)</f>
        <v>3239.317893166407</v>
      </c>
      <c r="D43" s="5">
        <f t="shared" ref="D43:G43" si="332">C43+(($H43-$C43)/5)</f>
        <v>3288.0857567842786</v>
      </c>
      <c r="E43" s="5">
        <f t="shared" si="332"/>
        <v>3336.8536204021502</v>
      </c>
      <c r="F43" s="5">
        <f t="shared" si="332"/>
        <v>3385.6214840200219</v>
      </c>
      <c r="G43" s="5">
        <f t="shared" si="332"/>
        <v>3434.3893476378935</v>
      </c>
      <c r="H43" s="4">
        <f t="shared" ref="H43" si="333">SUM(H41:H42)</f>
        <v>3483.1572112557651</v>
      </c>
      <c r="I43" s="5">
        <f t="shared" ref="I43:L43" si="334">H43+(($M43-$H43)/5)</f>
        <v>3492.938567949649</v>
      </c>
      <c r="J43" s="5">
        <f t="shared" si="334"/>
        <v>3502.719924643533</v>
      </c>
      <c r="K43" s="5">
        <f t="shared" si="334"/>
        <v>3512.5012813374169</v>
      </c>
      <c r="L43" s="5">
        <f t="shared" si="334"/>
        <v>3522.2826380313008</v>
      </c>
      <c r="M43" s="4">
        <f t="shared" ref="M43" si="335">SUM(M41:M42)</f>
        <v>3532.0639947251852</v>
      </c>
      <c r="N43" s="5">
        <f t="shared" ref="N43:Q43" si="336">M43+(($R43-$M43)/5)</f>
        <v>3530.2482595102838</v>
      </c>
      <c r="O43" s="5">
        <f t="shared" si="336"/>
        <v>3528.4325242953823</v>
      </c>
      <c r="P43" s="5">
        <f t="shared" si="336"/>
        <v>3526.6167890804809</v>
      </c>
      <c r="Q43" s="5">
        <f t="shared" si="336"/>
        <v>3524.8010538655794</v>
      </c>
      <c r="R43" s="4">
        <f t="shared" ref="R43" si="337">SUM(R41:R42)</f>
        <v>3522.9853186506789</v>
      </c>
      <c r="S43" s="5">
        <f t="shared" ref="S43:V43" si="338">R43+(($W43-$R43)/5)</f>
        <v>3498.2066189110869</v>
      </c>
      <c r="T43" s="5">
        <f t="shared" si="338"/>
        <v>3473.427919171495</v>
      </c>
      <c r="U43" s="5">
        <f t="shared" si="338"/>
        <v>3448.649219431903</v>
      </c>
      <c r="V43" s="5">
        <f t="shared" si="338"/>
        <v>3423.8705196923111</v>
      </c>
      <c r="W43" s="4">
        <f t="shared" ref="W43" si="339">SUM(W41:W42)</f>
        <v>3399.0918199527196</v>
      </c>
      <c r="X43" s="5">
        <f t="shared" ref="X43:AA43" si="340">W43+(($AB43-$W43)/5)</f>
        <v>3375.2679685542935</v>
      </c>
      <c r="Y43" s="5">
        <f t="shared" si="340"/>
        <v>3351.4441171558674</v>
      </c>
      <c r="Z43" s="5">
        <f t="shared" si="340"/>
        <v>3327.6202657574413</v>
      </c>
      <c r="AA43" s="5">
        <f t="shared" si="340"/>
        <v>3303.7964143590152</v>
      </c>
      <c r="AB43" s="4">
        <f t="shared" ref="AB43" si="341">SUM(AB41:AB42)</f>
        <v>3279.9725629605882</v>
      </c>
      <c r="AC43" s="5">
        <f t="shared" ref="AC43:AF43" si="342">AB43+(($AG43-$AB43)/5)</f>
        <v>3263.3035265287954</v>
      </c>
      <c r="AD43" s="5">
        <f t="shared" si="342"/>
        <v>3246.6344900970025</v>
      </c>
      <c r="AE43" s="5">
        <f t="shared" si="342"/>
        <v>3229.9654536652097</v>
      </c>
      <c r="AF43" s="5">
        <f t="shared" si="342"/>
        <v>3213.2964172334168</v>
      </c>
      <c r="AG43" s="4">
        <f t="shared" ref="AG43" si="343">SUM(AG41:AG42)</f>
        <v>3196.6273808016231</v>
      </c>
    </row>
    <row r="44" spans="1:33" x14ac:dyDescent="0.3">
      <c r="A44" t="s">
        <v>128</v>
      </c>
      <c r="B44" t="s">
        <v>111</v>
      </c>
      <c r="C44" s="4">
        <v>5778.6828618742993</v>
      </c>
      <c r="D44" s="5">
        <f t="shared" ref="D44:G44" si="344">C44+(($H44-$C44)/5)</f>
        <v>5849.7935785225191</v>
      </c>
      <c r="E44" s="5">
        <f t="shared" si="344"/>
        <v>5920.9042951707388</v>
      </c>
      <c r="F44" s="5">
        <f t="shared" si="344"/>
        <v>5992.0150118189586</v>
      </c>
      <c r="G44" s="5">
        <f t="shared" si="344"/>
        <v>6063.1257284671783</v>
      </c>
      <c r="H44" s="4">
        <v>6134.2364451153981</v>
      </c>
      <c r="I44" s="5">
        <f t="shared" ref="I44:L44" si="345">H44+(($M44-$H44)/5)</f>
        <v>6081.1521545979767</v>
      </c>
      <c r="J44" s="5">
        <f t="shared" si="345"/>
        <v>6028.0678640805554</v>
      </c>
      <c r="K44" s="5">
        <f t="shared" si="345"/>
        <v>5974.9835735631341</v>
      </c>
      <c r="L44" s="5">
        <f t="shared" si="345"/>
        <v>5921.8992830457128</v>
      </c>
      <c r="M44" s="4">
        <v>5868.8149925282896</v>
      </c>
      <c r="N44" s="5">
        <f t="shared" ref="N44:Q44" si="346">M44+(($R44-$M44)/5)</f>
        <v>5853.0937727106239</v>
      </c>
      <c r="O44" s="5">
        <f t="shared" si="346"/>
        <v>5837.3725528929581</v>
      </c>
      <c r="P44" s="5">
        <f t="shared" si="346"/>
        <v>5821.6513330752923</v>
      </c>
      <c r="Q44" s="5">
        <f t="shared" si="346"/>
        <v>5805.9301132576265</v>
      </c>
      <c r="R44" s="4">
        <v>5790.2088934399626</v>
      </c>
      <c r="S44" s="5">
        <f t="shared" ref="S44:V44" si="347">R44+(($W44-$R44)/5)</f>
        <v>5767.7939100188478</v>
      </c>
      <c r="T44" s="5">
        <f t="shared" si="347"/>
        <v>5745.378926597733</v>
      </c>
      <c r="U44" s="5">
        <f t="shared" si="347"/>
        <v>5722.9639431766182</v>
      </c>
      <c r="V44" s="5">
        <f t="shared" si="347"/>
        <v>5700.5489597555033</v>
      </c>
      <c r="W44" s="4">
        <v>5678.1339763343885</v>
      </c>
      <c r="X44" s="5">
        <f t="shared" ref="X44:AA44" si="348">W44+(($AB44-$W44)/5)</f>
        <v>5677.1911446941895</v>
      </c>
      <c r="Y44" s="5">
        <f t="shared" si="348"/>
        <v>5676.2483130539904</v>
      </c>
      <c r="Z44" s="5">
        <f t="shared" si="348"/>
        <v>5675.3054814137913</v>
      </c>
      <c r="AA44" s="5">
        <f t="shared" si="348"/>
        <v>5674.3626497735922</v>
      </c>
      <c r="AB44" s="4">
        <v>5673.4198181333913</v>
      </c>
      <c r="AC44" s="5">
        <f t="shared" ref="AC44:AF44" si="349">AB44+(($AG44-$AB44)/5)</f>
        <v>5681.5457760334511</v>
      </c>
      <c r="AD44" s="5">
        <f t="shared" si="349"/>
        <v>5689.671733933511</v>
      </c>
      <c r="AE44" s="5">
        <f t="shared" si="349"/>
        <v>5697.7976918335708</v>
      </c>
      <c r="AF44" s="5">
        <f t="shared" si="349"/>
        <v>5705.9236497336306</v>
      </c>
      <c r="AG44" s="4">
        <v>5714.0496076336913</v>
      </c>
    </row>
    <row r="45" spans="1:33" x14ac:dyDescent="0.3">
      <c r="A45" t="s">
        <v>128</v>
      </c>
      <c r="B45" t="s">
        <v>112</v>
      </c>
      <c r="C45" s="4">
        <v>2460.926563074976</v>
      </c>
      <c r="D45" s="5">
        <f t="shared" ref="D45:G45" si="350">C45+(($H45-$C45)/5)</f>
        <v>2532.232663810827</v>
      </c>
      <c r="E45" s="5">
        <f t="shared" si="350"/>
        <v>2603.5387645466781</v>
      </c>
      <c r="F45" s="5">
        <f t="shared" si="350"/>
        <v>2674.8448652825291</v>
      </c>
      <c r="G45" s="5">
        <f t="shared" si="350"/>
        <v>2746.1509660183801</v>
      </c>
      <c r="H45" s="4">
        <v>2817.4570667542316</v>
      </c>
      <c r="I45" s="5">
        <f t="shared" ref="I45:L45" si="351">H45+(($M45-$H45)/5)</f>
        <v>2796.6432508660396</v>
      </c>
      <c r="J45" s="5">
        <f t="shared" si="351"/>
        <v>2775.8294349778475</v>
      </c>
      <c r="K45" s="5">
        <f t="shared" si="351"/>
        <v>2755.0156190896555</v>
      </c>
      <c r="L45" s="5">
        <f t="shared" si="351"/>
        <v>2734.2018032014635</v>
      </c>
      <c r="M45" s="4">
        <v>2713.3879873132719</v>
      </c>
      <c r="N45" s="5">
        <f t="shared" ref="N45:Q45" si="352">M45+(($R45-$M45)/5)</f>
        <v>2721.0497260674088</v>
      </c>
      <c r="O45" s="5">
        <f t="shared" si="352"/>
        <v>2728.7114648215456</v>
      </c>
      <c r="P45" s="5">
        <f t="shared" si="352"/>
        <v>2736.3732035756825</v>
      </c>
      <c r="Q45" s="5">
        <f t="shared" si="352"/>
        <v>2744.0349423298194</v>
      </c>
      <c r="R45" s="4">
        <v>2751.6966810839572</v>
      </c>
      <c r="S45" s="5">
        <f t="shared" ref="S45:V45" si="353">R45+(($W45-$R45)/5)</f>
        <v>2738.2094792090611</v>
      </c>
      <c r="T45" s="5">
        <f t="shared" si="353"/>
        <v>2724.722277334165</v>
      </c>
      <c r="U45" s="5">
        <f t="shared" si="353"/>
        <v>2711.235075459269</v>
      </c>
      <c r="V45" s="5">
        <f t="shared" si="353"/>
        <v>2697.7478735843729</v>
      </c>
      <c r="W45" s="4">
        <v>2684.2606717094759</v>
      </c>
      <c r="X45" s="5">
        <f t="shared" ref="X45:AA45" si="354">W45+(($AB45-$W45)/5)</f>
        <v>2684.0440671978849</v>
      </c>
      <c r="Y45" s="5">
        <f t="shared" si="354"/>
        <v>2683.827462686294</v>
      </c>
      <c r="Z45" s="5">
        <f t="shared" si="354"/>
        <v>2683.610858174703</v>
      </c>
      <c r="AA45" s="5">
        <f t="shared" si="354"/>
        <v>2683.3942536631121</v>
      </c>
      <c r="AB45" s="4">
        <v>2683.1776491515207</v>
      </c>
      <c r="AC45" s="5">
        <f t="shared" ref="AC45:AF45" si="355">AB45+(($AG45-$AB45)/5)</f>
        <v>2687.1006840426212</v>
      </c>
      <c r="AD45" s="5">
        <f t="shared" si="355"/>
        <v>2691.0237189337217</v>
      </c>
      <c r="AE45" s="5">
        <f t="shared" si="355"/>
        <v>2694.9467538248223</v>
      </c>
      <c r="AF45" s="5">
        <f t="shared" si="355"/>
        <v>2698.8697887159228</v>
      </c>
      <c r="AG45" s="4">
        <v>2702.7928236070229</v>
      </c>
    </row>
    <row r="46" spans="1:33" x14ac:dyDescent="0.3">
      <c r="A46" t="str">
        <f>A45</f>
        <v>HU</v>
      </c>
      <c r="B46" t="s">
        <v>142</v>
      </c>
      <c r="C46" s="4">
        <f t="shared" ref="C46" si="356">SUM(C44:C45)</f>
        <v>8239.6094249492744</v>
      </c>
      <c r="D46" s="5">
        <f t="shared" ref="D46:G46" si="357">C46+(($H46-$C46)/5)</f>
        <v>8382.0262423333461</v>
      </c>
      <c r="E46" s="5">
        <f t="shared" si="357"/>
        <v>8524.4430597174178</v>
      </c>
      <c r="F46" s="5">
        <f t="shared" si="357"/>
        <v>8666.8598771014895</v>
      </c>
      <c r="G46" s="5">
        <f t="shared" si="357"/>
        <v>8809.2766944855612</v>
      </c>
      <c r="H46" s="4">
        <f t="shared" ref="H46" si="358">SUM(H44:H45)</f>
        <v>8951.6935118696292</v>
      </c>
      <c r="I46" s="5">
        <f t="shared" ref="I46:L46" si="359">H46+(($M46-$H46)/5)</f>
        <v>8877.7954054640159</v>
      </c>
      <c r="J46" s="5">
        <f t="shared" si="359"/>
        <v>8803.8972990584025</v>
      </c>
      <c r="K46" s="5">
        <f t="shared" si="359"/>
        <v>8729.9991926527891</v>
      </c>
      <c r="L46" s="5">
        <f t="shared" si="359"/>
        <v>8656.1010862471758</v>
      </c>
      <c r="M46" s="4">
        <f t="shared" ref="M46" si="360">SUM(M44:M45)</f>
        <v>8582.2029798415606</v>
      </c>
      <c r="N46" s="5">
        <f t="shared" ref="N46:Q46" si="361">M46+(($R46-$M46)/5)</f>
        <v>8574.1434987780322</v>
      </c>
      <c r="O46" s="5">
        <f t="shared" si="361"/>
        <v>8566.0840177145037</v>
      </c>
      <c r="P46" s="5">
        <f t="shared" si="361"/>
        <v>8558.0245366509753</v>
      </c>
      <c r="Q46" s="5">
        <f t="shared" si="361"/>
        <v>8549.9650555874468</v>
      </c>
      <c r="R46" s="4">
        <f t="shared" ref="R46" si="362">SUM(R44:R45)</f>
        <v>8541.9055745239202</v>
      </c>
      <c r="S46" s="5">
        <f t="shared" ref="S46:V46" si="363">R46+(($W46-$R46)/5)</f>
        <v>8506.0033892279098</v>
      </c>
      <c r="T46" s="5">
        <f t="shared" si="363"/>
        <v>8470.1012039318994</v>
      </c>
      <c r="U46" s="5">
        <f t="shared" si="363"/>
        <v>8434.1990186358889</v>
      </c>
      <c r="V46" s="5">
        <f t="shared" si="363"/>
        <v>8398.2968333398785</v>
      </c>
      <c r="W46" s="4">
        <f t="shared" ref="W46" si="364">SUM(W44:W45)</f>
        <v>8362.3946480438644</v>
      </c>
      <c r="X46" s="5">
        <f t="shared" ref="X46:AA46" si="365">W46+(($AB46-$W46)/5)</f>
        <v>8361.2352118920735</v>
      </c>
      <c r="Y46" s="5">
        <f t="shared" si="365"/>
        <v>8360.0757757402826</v>
      </c>
      <c r="Z46" s="5">
        <f t="shared" si="365"/>
        <v>8358.9163395884916</v>
      </c>
      <c r="AA46" s="5">
        <f t="shared" si="365"/>
        <v>8357.7569034367007</v>
      </c>
      <c r="AB46" s="4">
        <f t="shared" ref="AB46" si="366">SUM(AB44:AB45)</f>
        <v>8356.5974672849115</v>
      </c>
      <c r="AC46" s="5">
        <f t="shared" ref="AC46:AF46" si="367">AB46+(($AG46-$AB46)/5)</f>
        <v>8368.6464600760719</v>
      </c>
      <c r="AD46" s="5">
        <f t="shared" si="367"/>
        <v>8380.6954528672322</v>
      </c>
      <c r="AE46" s="5">
        <f t="shared" si="367"/>
        <v>8392.7444456583926</v>
      </c>
      <c r="AF46" s="5">
        <f t="shared" si="367"/>
        <v>8404.7934384495529</v>
      </c>
      <c r="AG46" s="4">
        <f t="shared" ref="AG46" si="368">SUM(AG44:AG45)</f>
        <v>8416.8424312407151</v>
      </c>
    </row>
    <row r="47" spans="1:33" x14ac:dyDescent="0.3">
      <c r="A47" t="s">
        <v>129</v>
      </c>
      <c r="B47" t="s">
        <v>111</v>
      </c>
      <c r="C47" s="4">
        <v>2873.7559130698064</v>
      </c>
      <c r="D47" s="5">
        <f t="shared" ref="D47:G47" si="369">C47+(($H47-$C47)/5)</f>
        <v>2859.0034856105776</v>
      </c>
      <c r="E47" s="5">
        <f t="shared" si="369"/>
        <v>2844.2510581513488</v>
      </c>
      <c r="F47" s="5">
        <f t="shared" si="369"/>
        <v>2829.4986306921201</v>
      </c>
      <c r="G47" s="5">
        <f t="shared" si="369"/>
        <v>2814.7462032328913</v>
      </c>
      <c r="H47" s="4">
        <v>2799.9937757736625</v>
      </c>
      <c r="I47" s="5">
        <f t="shared" ref="I47:L47" si="370">H47+(($M47-$H47)/5)</f>
        <v>2758.640893777309</v>
      </c>
      <c r="J47" s="5">
        <f t="shared" si="370"/>
        <v>2717.2880117809555</v>
      </c>
      <c r="K47" s="5">
        <f t="shared" si="370"/>
        <v>2675.9351297846019</v>
      </c>
      <c r="L47" s="5">
        <f t="shared" si="370"/>
        <v>2634.5822477882484</v>
      </c>
      <c r="M47" s="4">
        <v>2593.2293657918945</v>
      </c>
      <c r="N47" s="5">
        <f t="shared" ref="N47:Q47" si="371">M47+(($R47-$M47)/5)</f>
        <v>2580.4019988692521</v>
      </c>
      <c r="O47" s="5">
        <f t="shared" si="371"/>
        <v>2567.5746319466098</v>
      </c>
      <c r="P47" s="5">
        <f t="shared" si="371"/>
        <v>2554.7472650239674</v>
      </c>
      <c r="Q47" s="5">
        <f t="shared" si="371"/>
        <v>2541.9198981013251</v>
      </c>
      <c r="R47" s="4">
        <v>2529.0925311786827</v>
      </c>
      <c r="S47" s="5">
        <f t="shared" ref="S47:V47" si="372">R47+(($W47-$R47)/5)</f>
        <v>2521.1607638110745</v>
      </c>
      <c r="T47" s="5">
        <f t="shared" si="372"/>
        <v>2513.2289964434663</v>
      </c>
      <c r="U47" s="5">
        <f t="shared" si="372"/>
        <v>2505.297229075858</v>
      </c>
      <c r="V47" s="5">
        <f t="shared" si="372"/>
        <v>2497.3654617082498</v>
      </c>
      <c r="W47" s="4">
        <v>2489.4336943406406</v>
      </c>
      <c r="X47" s="5">
        <f t="shared" ref="X47:AA47" si="373">W47+(($AB47-$W47)/5)</f>
        <v>2490.9950325004429</v>
      </c>
      <c r="Y47" s="5">
        <f t="shared" si="373"/>
        <v>2492.5563706602452</v>
      </c>
      <c r="Z47" s="5">
        <f t="shared" si="373"/>
        <v>2494.1177088200475</v>
      </c>
      <c r="AA47" s="5">
        <f t="shared" si="373"/>
        <v>2495.6790469798498</v>
      </c>
      <c r="AB47" s="4">
        <v>2497.240385139653</v>
      </c>
      <c r="AC47" s="5">
        <f t="shared" ref="AC47:AF47" si="374">AB47+(($AG47-$AB47)/5)</f>
        <v>2496.3312114724349</v>
      </c>
      <c r="AD47" s="5">
        <f t="shared" si="374"/>
        <v>2495.4220378052169</v>
      </c>
      <c r="AE47" s="5">
        <f t="shared" si="374"/>
        <v>2494.5128641379988</v>
      </c>
      <c r="AF47" s="5">
        <f t="shared" si="374"/>
        <v>2493.6036904707807</v>
      </c>
      <c r="AG47" s="4">
        <v>2492.6945168035622</v>
      </c>
    </row>
    <row r="48" spans="1:33" x14ac:dyDescent="0.3">
      <c r="A48" t="s">
        <v>129</v>
      </c>
      <c r="B48" t="s">
        <v>112</v>
      </c>
      <c r="C48" s="4">
        <v>1626.4254176974011</v>
      </c>
      <c r="D48" s="5">
        <f t="shared" ref="D48:G48" si="375">C48+(($H48-$C48)/5)</f>
        <v>1655.4281505390622</v>
      </c>
      <c r="E48" s="5">
        <f t="shared" si="375"/>
        <v>1684.4308833807233</v>
      </c>
      <c r="F48" s="5">
        <f t="shared" si="375"/>
        <v>1713.4336162223844</v>
      </c>
      <c r="G48" s="5">
        <f t="shared" si="375"/>
        <v>1742.4363490640455</v>
      </c>
      <c r="H48" s="4">
        <v>1771.4390819057062</v>
      </c>
      <c r="I48" s="5">
        <f t="shared" ref="I48:L48" si="376">H48+(($M48-$H48)/5)</f>
        <v>1768.7778857204385</v>
      </c>
      <c r="J48" s="5">
        <f t="shared" si="376"/>
        <v>1766.1166895351707</v>
      </c>
      <c r="K48" s="5">
        <f t="shared" si="376"/>
        <v>1763.455493349903</v>
      </c>
      <c r="L48" s="5">
        <f t="shared" si="376"/>
        <v>1760.7942971646353</v>
      </c>
      <c r="M48" s="4">
        <v>1758.1331009793673</v>
      </c>
      <c r="N48" s="5">
        <f t="shared" ref="N48:Q48" si="377">M48+(($R48-$M48)/5)</f>
        <v>1780.8766472226744</v>
      </c>
      <c r="O48" s="5">
        <f t="shared" si="377"/>
        <v>1803.6201934659814</v>
      </c>
      <c r="P48" s="5">
        <f t="shared" si="377"/>
        <v>1826.3637397092884</v>
      </c>
      <c r="Q48" s="5">
        <f t="shared" si="377"/>
        <v>1849.1072859525955</v>
      </c>
      <c r="R48" s="4">
        <v>1871.8508321959021</v>
      </c>
      <c r="S48" s="5">
        <f t="shared" ref="S48:V48" si="378">R48+(($W48-$R48)/5)</f>
        <v>1886.5930556984017</v>
      </c>
      <c r="T48" s="5">
        <f t="shared" si="378"/>
        <v>1901.3352792009014</v>
      </c>
      <c r="U48" s="5">
        <f t="shared" si="378"/>
        <v>1916.077502703401</v>
      </c>
      <c r="V48" s="5">
        <f t="shared" si="378"/>
        <v>1930.8197262059007</v>
      </c>
      <c r="W48" s="4">
        <v>1945.5619497084006</v>
      </c>
      <c r="X48" s="5">
        <f t="shared" ref="X48:AA48" si="379">W48+(($AB48-$W48)/5)</f>
        <v>1954.4131608995835</v>
      </c>
      <c r="Y48" s="5">
        <f t="shared" si="379"/>
        <v>1963.2643720907665</v>
      </c>
      <c r="Z48" s="5">
        <f t="shared" si="379"/>
        <v>1972.1155832819495</v>
      </c>
      <c r="AA48" s="5">
        <f t="shared" si="379"/>
        <v>1980.9667944731325</v>
      </c>
      <c r="AB48" s="4">
        <v>1989.8180056643155</v>
      </c>
      <c r="AC48" s="5">
        <f t="shared" ref="AC48:AF48" si="380">AB48+(($AG48-$AB48)/5)</f>
        <v>2013.3027931896672</v>
      </c>
      <c r="AD48" s="5">
        <f t="shared" si="380"/>
        <v>2036.787580715019</v>
      </c>
      <c r="AE48" s="5">
        <f t="shared" si="380"/>
        <v>2060.2723682403707</v>
      </c>
      <c r="AF48" s="5">
        <f t="shared" si="380"/>
        <v>2083.7571557657225</v>
      </c>
      <c r="AG48" s="4">
        <v>2107.2419432910738</v>
      </c>
    </row>
    <row r="49" spans="1:33" x14ac:dyDescent="0.3">
      <c r="A49" t="str">
        <f>A48</f>
        <v>IE</v>
      </c>
      <c r="B49" t="s">
        <v>142</v>
      </c>
      <c r="C49" s="4">
        <f t="shared" ref="C49" si="381">SUM(C47:C48)</f>
        <v>4500.1813307672073</v>
      </c>
      <c r="D49" s="5">
        <f t="shared" ref="D49:G49" si="382">C49+(($H49-$C49)/5)</f>
        <v>4514.4316361496394</v>
      </c>
      <c r="E49" s="5">
        <f t="shared" si="382"/>
        <v>4528.6819415320715</v>
      </c>
      <c r="F49" s="5">
        <f t="shared" si="382"/>
        <v>4542.9322469145036</v>
      </c>
      <c r="G49" s="5">
        <f t="shared" si="382"/>
        <v>4557.1825522969357</v>
      </c>
      <c r="H49" s="4">
        <f t="shared" ref="H49" si="383">SUM(H47:H48)</f>
        <v>4571.4328576793687</v>
      </c>
      <c r="I49" s="5">
        <f t="shared" ref="I49:L49" si="384">H49+(($M49-$H49)/5)</f>
        <v>4527.418779497747</v>
      </c>
      <c r="J49" s="5">
        <f t="shared" si="384"/>
        <v>4483.4047013161253</v>
      </c>
      <c r="K49" s="5">
        <f t="shared" si="384"/>
        <v>4439.3906231345036</v>
      </c>
      <c r="L49" s="5">
        <f t="shared" si="384"/>
        <v>4395.3765449528819</v>
      </c>
      <c r="M49" s="4">
        <f t="shared" ref="M49" si="385">SUM(M47:M48)</f>
        <v>4351.362466771262</v>
      </c>
      <c r="N49" s="5">
        <f t="shared" ref="N49:Q49" si="386">M49+(($R49-$M49)/5)</f>
        <v>4361.2786460919269</v>
      </c>
      <c r="O49" s="5">
        <f t="shared" si="386"/>
        <v>4371.1948254125919</v>
      </c>
      <c r="P49" s="5">
        <f t="shared" si="386"/>
        <v>4381.1110047332568</v>
      </c>
      <c r="Q49" s="5">
        <f t="shared" si="386"/>
        <v>4391.0271840539217</v>
      </c>
      <c r="R49" s="4">
        <f t="shared" ref="R49" si="387">SUM(R47:R48)</f>
        <v>4400.9433633745848</v>
      </c>
      <c r="S49" s="5">
        <f t="shared" ref="S49:V49" si="388">R49+(($W49-$R49)/5)</f>
        <v>4407.7538195094758</v>
      </c>
      <c r="T49" s="5">
        <f t="shared" si="388"/>
        <v>4414.5642756443667</v>
      </c>
      <c r="U49" s="5">
        <f t="shared" si="388"/>
        <v>4421.3747317792577</v>
      </c>
      <c r="V49" s="5">
        <f t="shared" si="388"/>
        <v>4428.1851879141486</v>
      </c>
      <c r="W49" s="4">
        <f t="shared" ref="W49" si="389">SUM(W47:W48)</f>
        <v>4434.9956440490414</v>
      </c>
      <c r="X49" s="5">
        <f t="shared" ref="X49:AA49" si="390">W49+(($AB49-$W49)/5)</f>
        <v>4445.4081934000269</v>
      </c>
      <c r="Y49" s="5">
        <f t="shared" si="390"/>
        <v>4455.8207427510124</v>
      </c>
      <c r="Z49" s="5">
        <f t="shared" si="390"/>
        <v>4466.2332921019979</v>
      </c>
      <c r="AA49" s="5">
        <f t="shared" si="390"/>
        <v>4476.6458414529834</v>
      </c>
      <c r="AB49" s="4">
        <f t="shared" ref="AB49" si="391">SUM(AB47:AB48)</f>
        <v>4487.058390803968</v>
      </c>
      <c r="AC49" s="5">
        <f t="shared" ref="AC49:AF49" si="392">AB49+(($AG49-$AB49)/5)</f>
        <v>4509.6340046621017</v>
      </c>
      <c r="AD49" s="5">
        <f t="shared" si="392"/>
        <v>4532.2096185202354</v>
      </c>
      <c r="AE49" s="5">
        <f t="shared" si="392"/>
        <v>4554.7852323783691</v>
      </c>
      <c r="AF49" s="5">
        <f t="shared" si="392"/>
        <v>4577.3608462365028</v>
      </c>
      <c r="AG49" s="4">
        <f t="shared" ref="AG49" si="393">SUM(AG47:AG48)</f>
        <v>4599.9364600946355</v>
      </c>
    </row>
    <row r="50" spans="1:33" x14ac:dyDescent="0.3">
      <c r="A50" t="s">
        <v>130</v>
      </c>
      <c r="B50" t="s">
        <v>111</v>
      </c>
      <c r="C50" s="4">
        <v>32076.565694613819</v>
      </c>
      <c r="D50" s="5">
        <f t="shared" ref="D50:G50" si="394">C50+(($H50-$C50)/5)</f>
        <v>31582.668332686459</v>
      </c>
      <c r="E50" s="5">
        <f t="shared" si="394"/>
        <v>31088.770970759098</v>
      </c>
      <c r="F50" s="5">
        <f t="shared" si="394"/>
        <v>30594.873608831738</v>
      </c>
      <c r="G50" s="5">
        <f t="shared" si="394"/>
        <v>30100.976246904378</v>
      </c>
      <c r="H50" s="4">
        <v>29607.078884977025</v>
      </c>
      <c r="I50" s="5">
        <f t="shared" ref="I50:L50" si="395">H50+(($M50-$H50)/5)</f>
        <v>29210.514829738349</v>
      </c>
      <c r="J50" s="5">
        <f t="shared" si="395"/>
        <v>28813.950774499674</v>
      </c>
      <c r="K50" s="5">
        <f t="shared" si="395"/>
        <v>28417.386719260998</v>
      </c>
      <c r="L50" s="5">
        <f t="shared" si="395"/>
        <v>28020.822664022322</v>
      </c>
      <c r="M50" s="4">
        <v>27624.258608783653</v>
      </c>
      <c r="N50" s="5">
        <f t="shared" ref="N50:Q50" si="396">M50+(($R50-$M50)/5)</f>
        <v>27432.36437241075</v>
      </c>
      <c r="O50" s="5">
        <f t="shared" si="396"/>
        <v>27240.470136037846</v>
      </c>
      <c r="P50" s="5">
        <f t="shared" si="396"/>
        <v>27048.575899664942</v>
      </c>
      <c r="Q50" s="5">
        <f t="shared" si="396"/>
        <v>26856.681663292038</v>
      </c>
      <c r="R50" s="4">
        <v>26664.787426919138</v>
      </c>
      <c r="S50" s="5">
        <f t="shared" ref="S50:V50" si="397">R50+(($W50-$R50)/5)</f>
        <v>26453.611933338874</v>
      </c>
      <c r="T50" s="5">
        <f t="shared" si="397"/>
        <v>26242.436439758611</v>
      </c>
      <c r="U50" s="5">
        <f t="shared" si="397"/>
        <v>26031.260946178347</v>
      </c>
      <c r="V50" s="5">
        <f t="shared" si="397"/>
        <v>25820.085452598083</v>
      </c>
      <c r="W50" s="4">
        <v>25608.909959017812</v>
      </c>
      <c r="X50" s="5">
        <f t="shared" ref="X50:AA50" si="398">W50+(($AB50-$W50)/5)</f>
        <v>25387.204762829919</v>
      </c>
      <c r="Y50" s="5">
        <f t="shared" si="398"/>
        <v>25165.499566642025</v>
      </c>
      <c r="Z50" s="5">
        <f t="shared" si="398"/>
        <v>24943.794370454132</v>
      </c>
      <c r="AA50" s="5">
        <f t="shared" si="398"/>
        <v>24722.089174266239</v>
      </c>
      <c r="AB50" s="4">
        <v>24500.383978078342</v>
      </c>
      <c r="AC50" s="5">
        <f t="shared" ref="AC50:AF50" si="399">AB50+(($AG50-$AB50)/5)</f>
        <v>24275.309522723055</v>
      </c>
      <c r="AD50" s="5">
        <f t="shared" si="399"/>
        <v>24050.235067367768</v>
      </c>
      <c r="AE50" s="5">
        <f t="shared" si="399"/>
        <v>23825.160612012482</v>
      </c>
      <c r="AF50" s="5">
        <f t="shared" si="399"/>
        <v>23600.086156657195</v>
      </c>
      <c r="AG50" s="4">
        <v>23375.011701301904</v>
      </c>
    </row>
    <row r="51" spans="1:33" x14ac:dyDescent="0.3">
      <c r="A51" t="s">
        <v>130</v>
      </c>
      <c r="B51" t="s">
        <v>112</v>
      </c>
      <c r="C51" s="4">
        <v>18342.290154795264</v>
      </c>
      <c r="D51" s="5">
        <f t="shared" ref="D51:G51" si="400">C51+(($H51-$C51)/5)</f>
        <v>18875.256630952787</v>
      </c>
      <c r="E51" s="5">
        <f t="shared" si="400"/>
        <v>19408.223107110309</v>
      </c>
      <c r="F51" s="5">
        <f t="shared" si="400"/>
        <v>19941.189583267831</v>
      </c>
      <c r="G51" s="5">
        <f t="shared" si="400"/>
        <v>20474.156059425353</v>
      </c>
      <c r="H51" s="4">
        <v>21007.122535582872</v>
      </c>
      <c r="I51" s="5">
        <f t="shared" ref="I51:L51" si="401">H51+(($M51-$H51)/5)</f>
        <v>20806.706926333722</v>
      </c>
      <c r="J51" s="5">
        <f t="shared" si="401"/>
        <v>20606.291317084571</v>
      </c>
      <c r="K51" s="5">
        <f t="shared" si="401"/>
        <v>20405.875707835421</v>
      </c>
      <c r="L51" s="5">
        <f t="shared" si="401"/>
        <v>20205.460098586271</v>
      </c>
      <c r="M51" s="4">
        <v>20005.044489337124</v>
      </c>
      <c r="N51" s="5">
        <f t="shared" ref="N51:Q51" si="402">M51+(($R51-$M51)/5)</f>
        <v>19646.064000425285</v>
      </c>
      <c r="O51" s="5">
        <f t="shared" si="402"/>
        <v>19287.083511513447</v>
      </c>
      <c r="P51" s="5">
        <f t="shared" si="402"/>
        <v>18928.103022601608</v>
      </c>
      <c r="Q51" s="5">
        <f t="shared" si="402"/>
        <v>18569.12253368977</v>
      </c>
      <c r="R51" s="4">
        <v>18210.142044777938</v>
      </c>
      <c r="S51" s="5">
        <f t="shared" ref="S51:V51" si="403">R51+(($W51-$R51)/5)</f>
        <v>18092.589398979573</v>
      </c>
      <c r="T51" s="5">
        <f t="shared" si="403"/>
        <v>17975.036753181208</v>
      </c>
      <c r="U51" s="5">
        <f t="shared" si="403"/>
        <v>17857.484107382843</v>
      </c>
      <c r="V51" s="5">
        <f t="shared" si="403"/>
        <v>17739.931461584478</v>
      </c>
      <c r="W51" s="4">
        <v>17622.378815786113</v>
      </c>
      <c r="X51" s="5">
        <f t="shared" ref="X51:AA51" si="404">W51+(($AB51-$W51)/5)</f>
        <v>17552.306048612762</v>
      </c>
      <c r="Y51" s="5">
        <f t="shared" si="404"/>
        <v>17482.23328143941</v>
      </c>
      <c r="Z51" s="5">
        <f t="shared" si="404"/>
        <v>17412.160514266059</v>
      </c>
      <c r="AA51" s="5">
        <f t="shared" si="404"/>
        <v>17342.087747092708</v>
      </c>
      <c r="AB51" s="4">
        <v>17272.014979919364</v>
      </c>
      <c r="AC51" s="5">
        <f t="shared" ref="AC51:AF51" si="405">AB51+(($AG51-$AB51)/5)</f>
        <v>17170.689517667233</v>
      </c>
      <c r="AD51" s="5">
        <f t="shared" si="405"/>
        <v>17069.364055415102</v>
      </c>
      <c r="AE51" s="5">
        <f t="shared" si="405"/>
        <v>16968.038593162972</v>
      </c>
      <c r="AF51" s="5">
        <f t="shared" si="405"/>
        <v>16866.713130910841</v>
      </c>
      <c r="AG51" s="4">
        <v>16765.387668658717</v>
      </c>
    </row>
    <row r="52" spans="1:33" x14ac:dyDescent="0.3">
      <c r="A52" t="str">
        <f>A51</f>
        <v>IT</v>
      </c>
      <c r="B52" t="s">
        <v>142</v>
      </c>
      <c r="C52" s="4">
        <f t="shared" ref="C52" si="406">SUM(C50:C51)</f>
        <v>50418.855849409083</v>
      </c>
      <c r="D52" s="5">
        <f t="shared" ref="D52:G52" si="407">C52+(($H52-$C52)/5)</f>
        <v>50457.924963639249</v>
      </c>
      <c r="E52" s="5">
        <f t="shared" si="407"/>
        <v>50496.994077869414</v>
      </c>
      <c r="F52" s="5">
        <f t="shared" si="407"/>
        <v>50536.06319209958</v>
      </c>
      <c r="G52" s="5">
        <f t="shared" si="407"/>
        <v>50575.132306329746</v>
      </c>
      <c r="H52" s="4">
        <f t="shared" ref="H52" si="408">SUM(H50:H51)</f>
        <v>50614.201420559897</v>
      </c>
      <c r="I52" s="5">
        <f t="shared" ref="I52:L52" si="409">H52+(($M52-$H52)/5)</f>
        <v>50017.221756072075</v>
      </c>
      <c r="J52" s="5">
        <f t="shared" si="409"/>
        <v>49420.242091584252</v>
      </c>
      <c r="K52" s="5">
        <f t="shared" si="409"/>
        <v>48823.26242709643</v>
      </c>
      <c r="L52" s="5">
        <f t="shared" si="409"/>
        <v>48226.282762608607</v>
      </c>
      <c r="M52" s="4">
        <f t="shared" ref="M52" si="410">SUM(M50:M51)</f>
        <v>47629.303098120778</v>
      </c>
      <c r="N52" s="5">
        <f t="shared" ref="N52:Q52" si="411">M52+(($R52-$M52)/5)</f>
        <v>47078.428372836039</v>
      </c>
      <c r="O52" s="5">
        <f t="shared" si="411"/>
        <v>46527.5536475513</v>
      </c>
      <c r="P52" s="5">
        <f t="shared" si="411"/>
        <v>45976.678922266561</v>
      </c>
      <c r="Q52" s="5">
        <f t="shared" si="411"/>
        <v>45425.804196981822</v>
      </c>
      <c r="R52" s="4">
        <f t="shared" ref="R52" si="412">SUM(R50:R51)</f>
        <v>44874.929471697076</v>
      </c>
      <c r="S52" s="5">
        <f t="shared" ref="S52:V52" si="413">R52+(($W52-$R52)/5)</f>
        <v>44546.201332318444</v>
      </c>
      <c r="T52" s="5">
        <f t="shared" si="413"/>
        <v>44217.473192939811</v>
      </c>
      <c r="U52" s="5">
        <f t="shared" si="413"/>
        <v>43888.745053561179</v>
      </c>
      <c r="V52" s="5">
        <f t="shared" si="413"/>
        <v>43560.016914182546</v>
      </c>
      <c r="W52" s="4">
        <f t="shared" ref="W52" si="414">SUM(W50:W51)</f>
        <v>43231.288774803921</v>
      </c>
      <c r="X52" s="5">
        <f t="shared" ref="X52:AA52" si="415">W52+(($AB52-$W52)/5)</f>
        <v>42939.510811442677</v>
      </c>
      <c r="Y52" s="5">
        <f t="shared" si="415"/>
        <v>42647.732848081432</v>
      </c>
      <c r="Z52" s="5">
        <f t="shared" si="415"/>
        <v>42355.954884720188</v>
      </c>
      <c r="AA52" s="5">
        <f t="shared" si="415"/>
        <v>42064.176921358943</v>
      </c>
      <c r="AB52" s="4">
        <f t="shared" ref="AB52" si="416">SUM(AB50:AB51)</f>
        <v>41772.398957997706</v>
      </c>
      <c r="AC52" s="5">
        <f t="shared" ref="AC52:AF52" si="417">AB52+(($AG52-$AB52)/5)</f>
        <v>41445.999040390292</v>
      </c>
      <c r="AD52" s="5">
        <f t="shared" si="417"/>
        <v>41119.599122782878</v>
      </c>
      <c r="AE52" s="5">
        <f t="shared" si="417"/>
        <v>40793.199205175464</v>
      </c>
      <c r="AF52" s="5">
        <f t="shared" si="417"/>
        <v>40466.79928756805</v>
      </c>
      <c r="AG52" s="4">
        <f t="shared" ref="AG52" si="418">SUM(AG50:AG51)</f>
        <v>40140.399369960622</v>
      </c>
    </row>
    <row r="53" spans="1:33" x14ac:dyDescent="0.3">
      <c r="A53" t="s">
        <v>131</v>
      </c>
      <c r="B53" t="s">
        <v>111</v>
      </c>
      <c r="C53" s="4">
        <v>1463.2655026893658</v>
      </c>
      <c r="D53" s="5">
        <f t="shared" ref="D53:G53" si="419">C53+(($H53-$C53)/5)</f>
        <v>1459.2945405326711</v>
      </c>
      <c r="E53" s="5">
        <f t="shared" si="419"/>
        <v>1455.3235783759765</v>
      </c>
      <c r="F53" s="5">
        <f t="shared" si="419"/>
        <v>1451.3526162192818</v>
      </c>
      <c r="G53" s="5">
        <f t="shared" si="419"/>
        <v>1447.3816540625871</v>
      </c>
      <c r="H53" s="4">
        <v>1443.4106919058929</v>
      </c>
      <c r="I53" s="5">
        <f t="shared" ref="I53:L53" si="420">H53+(($M53-$H53)/5)</f>
        <v>1435.0598670459333</v>
      </c>
      <c r="J53" s="5">
        <f t="shared" si="420"/>
        <v>1426.7090421859737</v>
      </c>
      <c r="K53" s="5">
        <f t="shared" si="420"/>
        <v>1418.358217326014</v>
      </c>
      <c r="L53" s="5">
        <f t="shared" si="420"/>
        <v>1410.0073924660544</v>
      </c>
      <c r="M53" s="4">
        <v>1401.6565676060943</v>
      </c>
      <c r="N53" s="5">
        <f t="shared" ref="N53:Q53" si="421">M53+(($R53-$M53)/5)</f>
        <v>1381.7529546994647</v>
      </c>
      <c r="O53" s="5">
        <f t="shared" si="421"/>
        <v>1361.849341792835</v>
      </c>
      <c r="P53" s="5">
        <f t="shared" si="421"/>
        <v>1341.9457288862054</v>
      </c>
      <c r="Q53" s="5">
        <f t="shared" si="421"/>
        <v>1322.0421159795758</v>
      </c>
      <c r="R53" s="4">
        <v>1302.1385030729459</v>
      </c>
      <c r="S53" s="5">
        <f t="shared" ref="S53:V53" si="422">R53+(($W53-$R53)/5)</f>
        <v>1291.5416289394082</v>
      </c>
      <c r="T53" s="5">
        <f t="shared" si="422"/>
        <v>1280.9447548058704</v>
      </c>
      <c r="U53" s="5">
        <f t="shared" si="422"/>
        <v>1270.3478806723326</v>
      </c>
      <c r="V53" s="5">
        <f t="shared" si="422"/>
        <v>1259.7510065387949</v>
      </c>
      <c r="W53" s="4">
        <v>1249.1541324052571</v>
      </c>
      <c r="X53" s="5">
        <f t="shared" ref="X53:AA53" si="423">W53+(($AB53-$W53)/5)</f>
        <v>1238.8669309347219</v>
      </c>
      <c r="Y53" s="5">
        <f t="shared" si="423"/>
        <v>1228.5797294641868</v>
      </c>
      <c r="Z53" s="5">
        <f t="shared" si="423"/>
        <v>1218.2925279936517</v>
      </c>
      <c r="AA53" s="5">
        <f t="shared" si="423"/>
        <v>1208.0053265231165</v>
      </c>
      <c r="AB53" s="4">
        <v>1197.7181250525819</v>
      </c>
      <c r="AC53" s="5">
        <f t="shared" ref="AC53:AF53" si="424">AB53+(($AG53-$AB53)/5)</f>
        <v>1190.1239755580832</v>
      </c>
      <c r="AD53" s="5">
        <f t="shared" si="424"/>
        <v>1182.5298260635846</v>
      </c>
      <c r="AE53" s="5">
        <f t="shared" si="424"/>
        <v>1174.9356765690859</v>
      </c>
      <c r="AF53" s="5">
        <f t="shared" si="424"/>
        <v>1167.3415270745872</v>
      </c>
      <c r="AG53" s="4">
        <v>1159.7473775800886</v>
      </c>
    </row>
    <row r="54" spans="1:33" x14ac:dyDescent="0.3">
      <c r="A54" t="s">
        <v>131</v>
      </c>
      <c r="B54" t="s">
        <v>112</v>
      </c>
      <c r="C54" s="4">
        <v>679.09726943885255</v>
      </c>
      <c r="D54" s="5">
        <f t="shared" ref="D54:G54" si="425">C54+(($H54-$C54)/5)</f>
        <v>675.08858822193781</v>
      </c>
      <c r="E54" s="5">
        <f t="shared" si="425"/>
        <v>671.07990700502307</v>
      </c>
      <c r="F54" s="5">
        <f t="shared" si="425"/>
        <v>667.07122578810834</v>
      </c>
      <c r="G54" s="5">
        <f t="shared" si="425"/>
        <v>663.0625445711936</v>
      </c>
      <c r="H54" s="4">
        <v>659.05386335427909</v>
      </c>
      <c r="I54" s="5">
        <f t="shared" ref="I54:L54" si="426">H54+(($M54-$H54)/5)</f>
        <v>638.17578142483137</v>
      </c>
      <c r="J54" s="5">
        <f t="shared" si="426"/>
        <v>617.29769949538365</v>
      </c>
      <c r="K54" s="5">
        <f t="shared" si="426"/>
        <v>596.41961756593594</v>
      </c>
      <c r="L54" s="5">
        <f t="shared" si="426"/>
        <v>575.54153563648822</v>
      </c>
      <c r="M54" s="4">
        <v>554.6634537070405</v>
      </c>
      <c r="N54" s="5">
        <f t="shared" ref="N54:Q54" si="427">M54+(($R54-$M54)/5)</f>
        <v>557.18868400633323</v>
      </c>
      <c r="O54" s="5">
        <f t="shared" si="427"/>
        <v>559.71391430562596</v>
      </c>
      <c r="P54" s="5">
        <f t="shared" si="427"/>
        <v>562.23914460491869</v>
      </c>
      <c r="Q54" s="5">
        <f t="shared" si="427"/>
        <v>564.76437490421142</v>
      </c>
      <c r="R54" s="4">
        <v>567.28960520350404</v>
      </c>
      <c r="S54" s="5">
        <f t="shared" ref="S54:V54" si="428">R54+(($W54-$R54)/5)</f>
        <v>567.45889745292618</v>
      </c>
      <c r="T54" s="5">
        <f t="shared" si="428"/>
        <v>567.62818970234832</v>
      </c>
      <c r="U54" s="5">
        <f t="shared" si="428"/>
        <v>567.79748195177046</v>
      </c>
      <c r="V54" s="5">
        <f t="shared" si="428"/>
        <v>567.96677420119261</v>
      </c>
      <c r="W54" s="4">
        <v>568.13606645061486</v>
      </c>
      <c r="X54" s="5">
        <f t="shared" ref="X54:AA54" si="429">W54+(($AB54-$W54)/5)</f>
        <v>570.01186182745948</v>
      </c>
      <c r="Y54" s="5">
        <f t="shared" si="429"/>
        <v>571.88765720430411</v>
      </c>
      <c r="Z54" s="5">
        <f t="shared" si="429"/>
        <v>573.76345258114873</v>
      </c>
      <c r="AA54" s="5">
        <f t="shared" si="429"/>
        <v>575.63924795799335</v>
      </c>
      <c r="AB54" s="4">
        <v>577.51504333483786</v>
      </c>
      <c r="AC54" s="5">
        <f t="shared" ref="AC54:AF54" si="430">AB54+(($AG54-$AB54)/5)</f>
        <v>578.70599136502096</v>
      </c>
      <c r="AD54" s="5">
        <f t="shared" si="430"/>
        <v>579.89693939520407</v>
      </c>
      <c r="AE54" s="5">
        <f t="shared" si="430"/>
        <v>581.08788742538718</v>
      </c>
      <c r="AF54" s="5">
        <f t="shared" si="430"/>
        <v>582.27883545557029</v>
      </c>
      <c r="AG54" s="4">
        <v>583.46978348575362</v>
      </c>
    </row>
    <row r="55" spans="1:33" x14ac:dyDescent="0.3">
      <c r="A55" t="str">
        <f>A54</f>
        <v>LT</v>
      </c>
      <c r="B55" t="s">
        <v>142</v>
      </c>
      <c r="C55" s="4">
        <f t="shared" ref="C55" si="431">SUM(C53:C54)</f>
        <v>2142.3627721282182</v>
      </c>
      <c r="D55" s="5">
        <f t="shared" ref="D55:G55" si="432">C55+(($H55-$C55)/5)</f>
        <v>2134.3831287546091</v>
      </c>
      <c r="E55" s="5">
        <f t="shared" si="432"/>
        <v>2126.4034853809999</v>
      </c>
      <c r="F55" s="5">
        <f t="shared" si="432"/>
        <v>2118.4238420073907</v>
      </c>
      <c r="G55" s="5">
        <f t="shared" si="432"/>
        <v>2110.4441986337815</v>
      </c>
      <c r="H55" s="4">
        <f t="shared" ref="H55" si="433">SUM(H53:H54)</f>
        <v>2102.4645552601719</v>
      </c>
      <c r="I55" s="5">
        <f t="shared" ref="I55:L55" si="434">H55+(($M55-$H55)/5)</f>
        <v>2073.2356484707643</v>
      </c>
      <c r="J55" s="5">
        <f t="shared" si="434"/>
        <v>2044.006741681357</v>
      </c>
      <c r="K55" s="5">
        <f t="shared" si="434"/>
        <v>2014.7778348919496</v>
      </c>
      <c r="L55" s="5">
        <f t="shared" si="434"/>
        <v>1985.5489281025423</v>
      </c>
      <c r="M55" s="4">
        <f t="shared" ref="M55" si="435">SUM(M53:M54)</f>
        <v>1956.3200213131349</v>
      </c>
      <c r="N55" s="5">
        <f t="shared" ref="N55:Q55" si="436">M55+(($R55-$M55)/5)</f>
        <v>1938.9416387057979</v>
      </c>
      <c r="O55" s="5">
        <f t="shared" si="436"/>
        <v>1921.5632560984609</v>
      </c>
      <c r="P55" s="5">
        <f t="shared" si="436"/>
        <v>1904.1848734911239</v>
      </c>
      <c r="Q55" s="5">
        <f t="shared" si="436"/>
        <v>1886.8064908837869</v>
      </c>
      <c r="R55" s="4">
        <f t="shared" ref="R55" si="437">SUM(R53:R54)</f>
        <v>1869.4281082764501</v>
      </c>
      <c r="S55" s="5">
        <f t="shared" ref="S55:V55" si="438">R55+(($W55-$R55)/5)</f>
        <v>1859.0005263923345</v>
      </c>
      <c r="T55" s="5">
        <f t="shared" si="438"/>
        <v>1848.5729445082188</v>
      </c>
      <c r="U55" s="5">
        <f t="shared" si="438"/>
        <v>1838.1453626241032</v>
      </c>
      <c r="V55" s="5">
        <f t="shared" si="438"/>
        <v>1827.7177807399876</v>
      </c>
      <c r="W55" s="4">
        <f t="shared" ref="W55" si="439">SUM(W53:W54)</f>
        <v>1817.2901988558719</v>
      </c>
      <c r="X55" s="5">
        <f t="shared" ref="X55:AA55" si="440">W55+(($AB55-$W55)/5)</f>
        <v>1808.8787927621815</v>
      </c>
      <c r="Y55" s="5">
        <f t="shared" si="440"/>
        <v>1800.4673866684911</v>
      </c>
      <c r="Z55" s="5">
        <f t="shared" si="440"/>
        <v>1792.0559805748007</v>
      </c>
      <c r="AA55" s="5">
        <f t="shared" si="440"/>
        <v>1783.6445744811103</v>
      </c>
      <c r="AB55" s="4">
        <f t="shared" ref="AB55" si="441">SUM(AB53:AB54)</f>
        <v>1775.2331683874197</v>
      </c>
      <c r="AC55" s="5">
        <f t="shared" ref="AC55:AF55" si="442">AB55+(($AG55-$AB55)/5)</f>
        <v>1768.8299669231042</v>
      </c>
      <c r="AD55" s="5">
        <f t="shared" si="442"/>
        <v>1762.4267654587886</v>
      </c>
      <c r="AE55" s="5">
        <f t="shared" si="442"/>
        <v>1756.0235639944731</v>
      </c>
      <c r="AF55" s="5">
        <f t="shared" si="442"/>
        <v>1749.6203625301575</v>
      </c>
      <c r="AG55" s="4">
        <f t="shared" ref="AG55" si="443">SUM(AG53:AG54)</f>
        <v>1743.2171610658422</v>
      </c>
    </row>
    <row r="56" spans="1:33" x14ac:dyDescent="0.3">
      <c r="A56" t="s">
        <v>132</v>
      </c>
      <c r="B56" t="s">
        <v>111</v>
      </c>
      <c r="C56" s="4">
        <v>473.06630080043891</v>
      </c>
      <c r="D56" s="5">
        <f t="shared" ref="D56:G56" si="444">C56+(($H56-$C56)/5)</f>
        <v>463.67691221312663</v>
      </c>
      <c r="E56" s="5">
        <f t="shared" si="444"/>
        <v>454.28752362581434</v>
      </c>
      <c r="F56" s="5">
        <f t="shared" si="444"/>
        <v>444.89813503850206</v>
      </c>
      <c r="G56" s="5">
        <f t="shared" si="444"/>
        <v>435.50874645118978</v>
      </c>
      <c r="H56" s="4">
        <v>426.11935786387744</v>
      </c>
      <c r="I56" s="5">
        <f t="shared" ref="I56:L56" si="445">H56+(($M56-$H56)/5)</f>
        <v>413.7305145786712</v>
      </c>
      <c r="J56" s="5">
        <f t="shared" si="445"/>
        <v>401.34167129346497</v>
      </c>
      <c r="K56" s="5">
        <f t="shared" si="445"/>
        <v>388.95282800825873</v>
      </c>
      <c r="L56" s="5">
        <f t="shared" si="445"/>
        <v>376.5639847230525</v>
      </c>
      <c r="M56" s="4">
        <v>364.17514143784638</v>
      </c>
      <c r="N56" s="5">
        <f t="shared" ref="N56:Q56" si="446">M56+(($R56-$M56)/5)</f>
        <v>361.89821673518657</v>
      </c>
      <c r="O56" s="5">
        <f t="shared" si="446"/>
        <v>359.62129203252675</v>
      </c>
      <c r="P56" s="5">
        <f t="shared" si="446"/>
        <v>357.34436732986694</v>
      </c>
      <c r="Q56" s="5">
        <f t="shared" si="446"/>
        <v>355.06744262720713</v>
      </c>
      <c r="R56" s="4">
        <v>352.7905179245472</v>
      </c>
      <c r="S56" s="5">
        <f t="shared" ref="S56:V56" si="447">R56+(($W56-$R56)/5)</f>
        <v>350.42341953974784</v>
      </c>
      <c r="T56" s="5">
        <f t="shared" si="447"/>
        <v>348.05632115494848</v>
      </c>
      <c r="U56" s="5">
        <f t="shared" si="447"/>
        <v>345.68922277014912</v>
      </c>
      <c r="V56" s="5">
        <f t="shared" si="447"/>
        <v>343.32212438534975</v>
      </c>
      <c r="W56" s="4">
        <v>340.9550260005505</v>
      </c>
      <c r="X56" s="5">
        <f t="shared" ref="X56:AA56" si="448">W56+(($AB56-$W56)/5)</f>
        <v>338.89676925927176</v>
      </c>
      <c r="Y56" s="5">
        <f t="shared" si="448"/>
        <v>336.83851251799302</v>
      </c>
      <c r="Z56" s="5">
        <f t="shared" si="448"/>
        <v>334.78025577671428</v>
      </c>
      <c r="AA56" s="5">
        <f t="shared" si="448"/>
        <v>332.72199903543554</v>
      </c>
      <c r="AB56" s="4">
        <v>330.6637422941568</v>
      </c>
      <c r="AC56" s="5">
        <f t="shared" ref="AC56:AF56" si="449">AB56+(($AG56-$AB56)/5)</f>
        <v>328.83033805692583</v>
      </c>
      <c r="AD56" s="5">
        <f t="shared" si="449"/>
        <v>326.99693381969485</v>
      </c>
      <c r="AE56" s="5">
        <f t="shared" si="449"/>
        <v>325.16352958246387</v>
      </c>
      <c r="AF56" s="5">
        <f t="shared" si="449"/>
        <v>323.33012534523289</v>
      </c>
      <c r="AG56" s="4">
        <v>321.49672110800185</v>
      </c>
    </row>
    <row r="57" spans="1:33" x14ac:dyDescent="0.3">
      <c r="A57" t="s">
        <v>132</v>
      </c>
      <c r="B57" t="s">
        <v>112</v>
      </c>
      <c r="C57" s="4">
        <v>447.12991004562969</v>
      </c>
      <c r="D57" s="5">
        <f t="shared" ref="D57:G57" si="450">C57+(($H57-$C57)/5)</f>
        <v>420.75518573309847</v>
      </c>
      <c r="E57" s="5">
        <f t="shared" si="450"/>
        <v>394.38046142056726</v>
      </c>
      <c r="F57" s="5">
        <f t="shared" si="450"/>
        <v>368.00573710803604</v>
      </c>
      <c r="G57" s="5">
        <f t="shared" si="450"/>
        <v>341.63101279550483</v>
      </c>
      <c r="H57" s="4">
        <v>315.25628848297373</v>
      </c>
      <c r="I57" s="5">
        <f t="shared" ref="I57:L57" si="451">H57+(($M57-$H57)/5)</f>
        <v>315.83710954373987</v>
      </c>
      <c r="J57" s="5">
        <f t="shared" si="451"/>
        <v>316.41793060450601</v>
      </c>
      <c r="K57" s="5">
        <f t="shared" si="451"/>
        <v>316.99875166527215</v>
      </c>
      <c r="L57" s="5">
        <f t="shared" si="451"/>
        <v>317.57957272603829</v>
      </c>
      <c r="M57" s="4">
        <v>318.16039378680455</v>
      </c>
      <c r="N57" s="5">
        <f t="shared" ref="N57:Q57" si="452">M57+(($R57-$M57)/5)</f>
        <v>318.28457785235628</v>
      </c>
      <c r="O57" s="5">
        <f t="shared" si="452"/>
        <v>318.40876191790801</v>
      </c>
      <c r="P57" s="5">
        <f t="shared" si="452"/>
        <v>318.53294598345974</v>
      </c>
      <c r="Q57" s="5">
        <f t="shared" si="452"/>
        <v>318.65713004901147</v>
      </c>
      <c r="R57" s="4">
        <v>318.78131411456309</v>
      </c>
      <c r="S57" s="5">
        <f t="shared" ref="S57:V57" si="453">R57+(($W57-$R57)/5)</f>
        <v>315.64075560055414</v>
      </c>
      <c r="T57" s="5">
        <f t="shared" si="453"/>
        <v>312.5001970865452</v>
      </c>
      <c r="U57" s="5">
        <f t="shared" si="453"/>
        <v>309.35963857253626</v>
      </c>
      <c r="V57" s="5">
        <f t="shared" si="453"/>
        <v>306.21908005852731</v>
      </c>
      <c r="W57" s="4">
        <v>303.07852154451848</v>
      </c>
      <c r="X57" s="5">
        <f t="shared" ref="X57:AA57" si="454">W57+(($AB57-$W57)/5)</f>
        <v>300.62581161836835</v>
      </c>
      <c r="Y57" s="5">
        <f t="shared" si="454"/>
        <v>298.17310169221821</v>
      </c>
      <c r="Z57" s="5">
        <f t="shared" si="454"/>
        <v>295.72039176606808</v>
      </c>
      <c r="AA57" s="5">
        <f t="shared" si="454"/>
        <v>293.26768183991794</v>
      </c>
      <c r="AB57" s="4">
        <v>290.81497191376775</v>
      </c>
      <c r="AC57" s="5">
        <f t="shared" ref="AC57:AF57" si="455">AB57+(($AG57-$AB57)/5)</f>
        <v>288.84039474494409</v>
      </c>
      <c r="AD57" s="5">
        <f t="shared" si="455"/>
        <v>286.86581757612043</v>
      </c>
      <c r="AE57" s="5">
        <f t="shared" si="455"/>
        <v>284.89124040729678</v>
      </c>
      <c r="AF57" s="5">
        <f t="shared" si="455"/>
        <v>282.91666323847312</v>
      </c>
      <c r="AG57" s="4">
        <v>280.94208606964946</v>
      </c>
    </row>
    <row r="58" spans="1:33" x14ac:dyDescent="0.3">
      <c r="A58" t="str">
        <f>A57</f>
        <v>LU</v>
      </c>
      <c r="B58" t="s">
        <v>142</v>
      </c>
      <c r="C58" s="4">
        <f t="shared" ref="C58" si="456">SUM(C56:C57)</f>
        <v>920.19621084606865</v>
      </c>
      <c r="D58" s="5">
        <f t="shared" ref="D58:G58" si="457">C58+(($H58-$C58)/5)</f>
        <v>884.43209794622521</v>
      </c>
      <c r="E58" s="5">
        <f t="shared" si="457"/>
        <v>848.66798504638177</v>
      </c>
      <c r="F58" s="5">
        <f t="shared" si="457"/>
        <v>812.90387214653833</v>
      </c>
      <c r="G58" s="5">
        <f t="shared" si="457"/>
        <v>777.13975924669489</v>
      </c>
      <c r="H58" s="4">
        <f t="shared" ref="H58" si="458">SUM(H56:H57)</f>
        <v>741.37564634685123</v>
      </c>
      <c r="I58" s="5">
        <f t="shared" ref="I58:L58" si="459">H58+(($M58-$H58)/5)</f>
        <v>729.56762412241119</v>
      </c>
      <c r="J58" s="5">
        <f t="shared" si="459"/>
        <v>717.75960189797115</v>
      </c>
      <c r="K58" s="5">
        <f t="shared" si="459"/>
        <v>705.95157967353111</v>
      </c>
      <c r="L58" s="5">
        <f t="shared" si="459"/>
        <v>694.14355744909108</v>
      </c>
      <c r="M58" s="4">
        <f t="shared" ref="M58" si="460">SUM(M56:M57)</f>
        <v>682.33553522465093</v>
      </c>
      <c r="N58" s="5">
        <f t="shared" ref="N58:Q58" si="461">M58+(($R58-$M58)/5)</f>
        <v>680.18279458754284</v>
      </c>
      <c r="O58" s="5">
        <f t="shared" si="461"/>
        <v>678.03005395043476</v>
      </c>
      <c r="P58" s="5">
        <f t="shared" si="461"/>
        <v>675.87731331332668</v>
      </c>
      <c r="Q58" s="5">
        <f t="shared" si="461"/>
        <v>673.7245726762186</v>
      </c>
      <c r="R58" s="4">
        <f t="shared" ref="R58" si="462">SUM(R56:R57)</f>
        <v>671.57183203911029</v>
      </c>
      <c r="S58" s="5">
        <f t="shared" ref="S58:V58" si="463">R58+(($W58-$R58)/5)</f>
        <v>666.06417514030204</v>
      </c>
      <c r="T58" s="5">
        <f t="shared" si="463"/>
        <v>660.55651824149379</v>
      </c>
      <c r="U58" s="5">
        <f t="shared" si="463"/>
        <v>655.04886134268554</v>
      </c>
      <c r="V58" s="5">
        <f t="shared" si="463"/>
        <v>649.54120444387729</v>
      </c>
      <c r="W58" s="4">
        <f t="shared" ref="W58" si="464">SUM(W56:W57)</f>
        <v>644.03354754506904</v>
      </c>
      <c r="X58" s="5">
        <f t="shared" ref="X58:AA58" si="465">W58+(($AB58-$W58)/5)</f>
        <v>639.52258087764017</v>
      </c>
      <c r="Y58" s="5">
        <f t="shared" si="465"/>
        <v>635.01161421021129</v>
      </c>
      <c r="Z58" s="5">
        <f t="shared" si="465"/>
        <v>630.50064754278242</v>
      </c>
      <c r="AA58" s="5">
        <f t="shared" si="465"/>
        <v>625.98968087535354</v>
      </c>
      <c r="AB58" s="4">
        <f t="shared" ref="AB58" si="466">SUM(AB56:AB57)</f>
        <v>621.47871420792455</v>
      </c>
      <c r="AC58" s="5">
        <f t="shared" ref="AC58:AF58" si="467">AB58+(($AG58-$AB58)/5)</f>
        <v>617.67073280186992</v>
      </c>
      <c r="AD58" s="5">
        <f t="shared" si="467"/>
        <v>613.86275139581528</v>
      </c>
      <c r="AE58" s="5">
        <f t="shared" si="467"/>
        <v>610.05476998976064</v>
      </c>
      <c r="AF58" s="5">
        <f t="shared" si="467"/>
        <v>606.24678858370601</v>
      </c>
      <c r="AG58" s="4">
        <f t="shared" ref="AG58" si="468">SUM(AG56:AG57)</f>
        <v>602.43880717765137</v>
      </c>
    </row>
    <row r="59" spans="1:33" x14ac:dyDescent="0.3">
      <c r="A59" t="s">
        <v>133</v>
      </c>
      <c r="B59" t="s">
        <v>111</v>
      </c>
      <c r="C59" s="4">
        <v>1213.8946260957887</v>
      </c>
      <c r="D59" s="5">
        <f t="shared" ref="D59:G59" si="469">C59+(($H59-$C59)/5)</f>
        <v>1168.4707041271663</v>
      </c>
      <c r="E59" s="5">
        <f t="shared" si="469"/>
        <v>1123.0467821585439</v>
      </c>
      <c r="F59" s="5">
        <f t="shared" si="469"/>
        <v>1077.6228601899215</v>
      </c>
      <c r="G59" s="5">
        <f t="shared" si="469"/>
        <v>1032.1989382212992</v>
      </c>
      <c r="H59" s="4">
        <v>986.77501625267632</v>
      </c>
      <c r="I59" s="5">
        <f t="shared" ref="I59:L59" si="470">H59+(($M59-$H59)/5)</f>
        <v>974.19572234334009</v>
      </c>
      <c r="J59" s="5">
        <f t="shared" si="470"/>
        <v>961.61642843400386</v>
      </c>
      <c r="K59" s="5">
        <f t="shared" si="470"/>
        <v>949.03713452466764</v>
      </c>
      <c r="L59" s="5">
        <f t="shared" si="470"/>
        <v>936.45784061533141</v>
      </c>
      <c r="M59" s="4">
        <v>923.87854670599495</v>
      </c>
      <c r="N59" s="5">
        <f t="shared" ref="N59:Q59" si="471">M59+(($R59-$M59)/5)</f>
        <v>914.62239810592268</v>
      </c>
      <c r="O59" s="5">
        <f t="shared" si="471"/>
        <v>905.36624950585042</v>
      </c>
      <c r="P59" s="5">
        <f t="shared" si="471"/>
        <v>896.11010090577815</v>
      </c>
      <c r="Q59" s="5">
        <f t="shared" si="471"/>
        <v>886.85395230570589</v>
      </c>
      <c r="R59" s="4">
        <v>877.59780370563374</v>
      </c>
      <c r="S59" s="5">
        <f t="shared" ref="S59:V59" si="472">R59+(($W59-$R59)/5)</f>
        <v>868.06341545826888</v>
      </c>
      <c r="T59" s="5">
        <f t="shared" si="472"/>
        <v>858.52902721090402</v>
      </c>
      <c r="U59" s="5">
        <f t="shared" si="472"/>
        <v>848.99463896353916</v>
      </c>
      <c r="V59" s="5">
        <f t="shared" si="472"/>
        <v>839.4602507161743</v>
      </c>
      <c r="W59" s="4">
        <v>829.92586246880967</v>
      </c>
      <c r="X59" s="5">
        <f t="shared" ref="X59:AA59" si="473">W59+(($AB59-$W59)/5)</f>
        <v>821.2868538057611</v>
      </c>
      <c r="Y59" s="5">
        <f t="shared" si="473"/>
        <v>812.64784514271253</v>
      </c>
      <c r="Z59" s="5">
        <f t="shared" si="473"/>
        <v>804.00883647966396</v>
      </c>
      <c r="AA59" s="5">
        <f t="shared" si="473"/>
        <v>795.36982781661538</v>
      </c>
      <c r="AB59" s="4">
        <v>786.73081915356704</v>
      </c>
      <c r="AC59" s="5">
        <f t="shared" ref="AC59:AF59" si="474">AB59+(($AG59-$AB59)/5)</f>
        <v>780.03821686646131</v>
      </c>
      <c r="AD59" s="5">
        <f t="shared" si="474"/>
        <v>773.34561457935558</v>
      </c>
      <c r="AE59" s="5">
        <f t="shared" si="474"/>
        <v>766.65301229224985</v>
      </c>
      <c r="AF59" s="5">
        <f t="shared" si="474"/>
        <v>759.96041000514413</v>
      </c>
      <c r="AG59" s="4">
        <v>753.26780771803851</v>
      </c>
    </row>
    <row r="60" spans="1:33" x14ac:dyDescent="0.3">
      <c r="A60" t="s">
        <v>133</v>
      </c>
      <c r="B60" t="s">
        <v>112</v>
      </c>
      <c r="C60" s="4">
        <v>719.9939079116167</v>
      </c>
      <c r="D60" s="5">
        <f t="shared" ref="D60:G60" si="475">C60+(($H60-$C60)/5)</f>
        <v>739.24496114288843</v>
      </c>
      <c r="E60" s="5">
        <f t="shared" si="475"/>
        <v>758.49601437416015</v>
      </c>
      <c r="F60" s="5">
        <f t="shared" si="475"/>
        <v>777.74706760543188</v>
      </c>
      <c r="G60" s="5">
        <f t="shared" si="475"/>
        <v>796.99812083670361</v>
      </c>
      <c r="H60" s="4">
        <v>816.24917406797522</v>
      </c>
      <c r="I60" s="5">
        <f t="shared" ref="I60:L60" si="476">H60+(($M60-$H60)/5)</f>
        <v>810.58884046573917</v>
      </c>
      <c r="J60" s="5">
        <f t="shared" si="476"/>
        <v>804.92850686350312</v>
      </c>
      <c r="K60" s="5">
        <f t="shared" si="476"/>
        <v>799.26817326126707</v>
      </c>
      <c r="L60" s="5">
        <f t="shared" si="476"/>
        <v>793.60783965903101</v>
      </c>
      <c r="M60" s="4">
        <v>787.94750605679485</v>
      </c>
      <c r="N60" s="5">
        <f t="shared" ref="N60:Q60" si="477">M60+(($R60-$M60)/5)</f>
        <v>790.54628326999762</v>
      </c>
      <c r="O60" s="5">
        <f t="shared" si="477"/>
        <v>793.14506048320038</v>
      </c>
      <c r="P60" s="5">
        <f t="shared" si="477"/>
        <v>795.74383769640315</v>
      </c>
      <c r="Q60" s="5">
        <f t="shared" si="477"/>
        <v>798.34261490960591</v>
      </c>
      <c r="R60" s="4">
        <v>800.94139212280845</v>
      </c>
      <c r="S60" s="5">
        <f t="shared" ref="S60:V60" si="478">R60+(($W60-$R60)/5)</f>
        <v>799.6738890823666</v>
      </c>
      <c r="T60" s="5">
        <f t="shared" si="478"/>
        <v>798.40638604192475</v>
      </c>
      <c r="U60" s="5">
        <f t="shared" si="478"/>
        <v>797.1388830014829</v>
      </c>
      <c r="V60" s="5">
        <f t="shared" si="478"/>
        <v>795.87137996104104</v>
      </c>
      <c r="W60" s="4">
        <v>794.60387692059908</v>
      </c>
      <c r="X60" s="5">
        <f t="shared" ref="X60:AA60" si="479">W60+(($AB60-$W60)/5)</f>
        <v>790.20713135187282</v>
      </c>
      <c r="Y60" s="5">
        <f t="shared" si="479"/>
        <v>785.81038578314656</v>
      </c>
      <c r="Z60" s="5">
        <f t="shared" si="479"/>
        <v>781.4136402144203</v>
      </c>
      <c r="AA60" s="5">
        <f t="shared" si="479"/>
        <v>777.01689464569404</v>
      </c>
      <c r="AB60" s="4">
        <v>772.620149076968</v>
      </c>
      <c r="AC60" s="5">
        <f t="shared" ref="AC60:AF60" si="480">AB60+(($AG60-$AB60)/5)</f>
        <v>767.79257848622751</v>
      </c>
      <c r="AD60" s="5">
        <f t="shared" si="480"/>
        <v>762.96500789548702</v>
      </c>
      <c r="AE60" s="5">
        <f t="shared" si="480"/>
        <v>758.13743730474653</v>
      </c>
      <c r="AF60" s="5">
        <f t="shared" si="480"/>
        <v>753.30986671400603</v>
      </c>
      <c r="AG60" s="4">
        <v>748.48229612326531</v>
      </c>
    </row>
    <row r="61" spans="1:33" x14ac:dyDescent="0.3">
      <c r="A61" t="str">
        <f>A60</f>
        <v>LV</v>
      </c>
      <c r="B61" t="s">
        <v>142</v>
      </c>
      <c r="C61" s="4">
        <f t="shared" ref="C61" si="481">SUM(C59:C60)</f>
        <v>1933.8885340074053</v>
      </c>
      <c r="D61" s="5">
        <f t="shared" ref="D61:G61" si="482">C61+(($H61-$C61)/5)</f>
        <v>1907.7156652700546</v>
      </c>
      <c r="E61" s="5">
        <f t="shared" si="482"/>
        <v>1881.542796532704</v>
      </c>
      <c r="F61" s="5">
        <f t="shared" si="482"/>
        <v>1855.3699277953533</v>
      </c>
      <c r="G61" s="5">
        <f t="shared" si="482"/>
        <v>1829.1970590580027</v>
      </c>
      <c r="H61" s="4">
        <f t="shared" ref="H61" si="483">SUM(H59:H60)</f>
        <v>1803.0241903206515</v>
      </c>
      <c r="I61" s="5">
        <f t="shared" ref="I61:L61" si="484">H61+(($M61-$H61)/5)</f>
        <v>1784.7845628090793</v>
      </c>
      <c r="J61" s="5">
        <f t="shared" si="484"/>
        <v>1766.544935297507</v>
      </c>
      <c r="K61" s="5">
        <f t="shared" si="484"/>
        <v>1748.3053077859347</v>
      </c>
      <c r="L61" s="5">
        <f t="shared" si="484"/>
        <v>1730.0656802743624</v>
      </c>
      <c r="M61" s="4">
        <f t="shared" ref="M61" si="485">SUM(M59:M60)</f>
        <v>1711.8260527627899</v>
      </c>
      <c r="N61" s="5">
        <f t="shared" ref="N61:Q61" si="486">M61+(($R61-$M61)/5)</f>
        <v>1705.1686813759204</v>
      </c>
      <c r="O61" s="5">
        <f t="shared" si="486"/>
        <v>1698.5113099890509</v>
      </c>
      <c r="P61" s="5">
        <f t="shared" si="486"/>
        <v>1691.8539386021814</v>
      </c>
      <c r="Q61" s="5">
        <f t="shared" si="486"/>
        <v>1685.1965672153119</v>
      </c>
      <c r="R61" s="4">
        <f t="shared" ref="R61" si="487">SUM(R59:R60)</f>
        <v>1678.5391958284422</v>
      </c>
      <c r="S61" s="5">
        <f t="shared" ref="S61:V61" si="488">R61+(($W61-$R61)/5)</f>
        <v>1667.7373045406355</v>
      </c>
      <c r="T61" s="5">
        <f t="shared" si="488"/>
        <v>1656.9354132528288</v>
      </c>
      <c r="U61" s="5">
        <f t="shared" si="488"/>
        <v>1646.1335219650221</v>
      </c>
      <c r="V61" s="5">
        <f t="shared" si="488"/>
        <v>1635.3316306772153</v>
      </c>
      <c r="W61" s="4">
        <f t="shared" ref="W61" si="489">SUM(W59:W60)</f>
        <v>1624.5297393894089</v>
      </c>
      <c r="X61" s="5">
        <f t="shared" ref="X61:AA61" si="490">W61+(($AB61-$W61)/5)</f>
        <v>1611.4939851576341</v>
      </c>
      <c r="Y61" s="5">
        <f t="shared" si="490"/>
        <v>1598.4582309258594</v>
      </c>
      <c r="Z61" s="5">
        <f t="shared" si="490"/>
        <v>1585.4224766940847</v>
      </c>
      <c r="AA61" s="5">
        <f t="shared" si="490"/>
        <v>1572.38672246231</v>
      </c>
      <c r="AB61" s="4">
        <f t="shared" ref="AB61" si="491">SUM(AB59:AB60)</f>
        <v>1559.350968230535</v>
      </c>
      <c r="AC61" s="5">
        <f t="shared" ref="AC61:AF61" si="492">AB61+(($AG61-$AB61)/5)</f>
        <v>1547.8307953526887</v>
      </c>
      <c r="AD61" s="5">
        <f t="shared" si="492"/>
        <v>1536.3106224748424</v>
      </c>
      <c r="AE61" s="5">
        <f t="shared" si="492"/>
        <v>1524.790449596996</v>
      </c>
      <c r="AF61" s="5">
        <f t="shared" si="492"/>
        <v>1513.2702767191497</v>
      </c>
      <c r="AG61" s="4">
        <f t="shared" ref="AG61" si="493">SUM(AG59:AG60)</f>
        <v>1501.7501038413038</v>
      </c>
    </row>
    <row r="62" spans="1:33" x14ac:dyDescent="0.3">
      <c r="A62" t="s">
        <v>134</v>
      </c>
      <c r="B62" t="s">
        <v>111</v>
      </c>
      <c r="C62" s="4">
        <v>104.7196065226253</v>
      </c>
      <c r="D62" s="5">
        <f t="shared" ref="D62:G62" si="494">C62+(($H62-$C62)/5)</f>
        <v>101.32157874461824</v>
      </c>
      <c r="E62" s="5">
        <f t="shared" si="494"/>
        <v>97.923550966611174</v>
      </c>
      <c r="F62" s="5">
        <f t="shared" si="494"/>
        <v>94.525523188604112</v>
      </c>
      <c r="G62" s="5">
        <f t="shared" si="494"/>
        <v>91.127495410597049</v>
      </c>
      <c r="H62" s="4">
        <v>87.729467632590016</v>
      </c>
      <c r="I62" s="5">
        <f t="shared" ref="I62:L62" si="495">H62+(($M62-$H62)/5)</f>
        <v>88.68589318711301</v>
      </c>
      <c r="J62" s="5">
        <f t="shared" si="495"/>
        <v>89.642318741636004</v>
      </c>
      <c r="K62" s="5">
        <f t="shared" si="495"/>
        <v>90.598744296158998</v>
      </c>
      <c r="L62" s="5">
        <f t="shared" si="495"/>
        <v>91.555169850681992</v>
      </c>
      <c r="M62" s="4">
        <v>92.511595405204972</v>
      </c>
      <c r="N62" s="5">
        <f t="shared" ref="N62:Q62" si="496">M62+(($R62-$M62)/5)</f>
        <v>92.955228397583539</v>
      </c>
      <c r="O62" s="5">
        <f t="shared" si="496"/>
        <v>93.398861389962107</v>
      </c>
      <c r="P62" s="5">
        <f t="shared" si="496"/>
        <v>93.842494382340675</v>
      </c>
      <c r="Q62" s="5">
        <f t="shared" si="496"/>
        <v>94.286127374719243</v>
      </c>
      <c r="R62" s="4">
        <v>94.729760367097796</v>
      </c>
      <c r="S62" s="5">
        <f t="shared" ref="S62:V62" si="497">R62+(($W62-$R62)/5)</f>
        <v>94.869869832268236</v>
      </c>
      <c r="T62" s="5">
        <f t="shared" si="497"/>
        <v>95.009979297438676</v>
      </c>
      <c r="U62" s="5">
        <f t="shared" si="497"/>
        <v>95.150088762609116</v>
      </c>
      <c r="V62" s="5">
        <f t="shared" si="497"/>
        <v>95.290198227779555</v>
      </c>
      <c r="W62" s="4">
        <v>95.430307692949995</v>
      </c>
      <c r="X62" s="5">
        <f t="shared" ref="X62:AA62" si="498">W62+(($AB62-$W62)/5)</f>
        <v>95.472866413752968</v>
      </c>
      <c r="Y62" s="5">
        <f t="shared" si="498"/>
        <v>95.51542513455594</v>
      </c>
      <c r="Z62" s="5">
        <f t="shared" si="498"/>
        <v>95.557983855358913</v>
      </c>
      <c r="AA62" s="5">
        <f t="shared" si="498"/>
        <v>95.600542576161885</v>
      </c>
      <c r="AB62" s="4">
        <v>95.643101296964858</v>
      </c>
      <c r="AC62" s="5">
        <f t="shared" ref="AC62:AF62" si="499">AB62+(($AG62-$AB62)/5)</f>
        <v>95.629546144965403</v>
      </c>
      <c r="AD62" s="5">
        <f t="shared" si="499"/>
        <v>95.615990992965948</v>
      </c>
      <c r="AE62" s="5">
        <f t="shared" si="499"/>
        <v>95.602435840966493</v>
      </c>
      <c r="AF62" s="5">
        <f t="shared" si="499"/>
        <v>95.588880688967038</v>
      </c>
      <c r="AG62" s="4">
        <v>95.575325536967611</v>
      </c>
    </row>
    <row r="63" spans="1:33" x14ac:dyDescent="0.3">
      <c r="A63" t="s">
        <v>134</v>
      </c>
      <c r="B63" t="s">
        <v>112</v>
      </c>
      <c r="C63" s="4">
        <v>127.24487972377702</v>
      </c>
      <c r="D63" s="5">
        <f t="shared" ref="D63:G63" si="500">C63+(($H63-$C63)/5)</f>
        <v>147.61999320486788</v>
      </c>
      <c r="E63" s="5">
        <f t="shared" si="500"/>
        <v>167.99510668595875</v>
      </c>
      <c r="F63" s="5">
        <f t="shared" si="500"/>
        <v>188.37022016704961</v>
      </c>
      <c r="G63" s="5">
        <f t="shared" si="500"/>
        <v>208.74533364814047</v>
      </c>
      <c r="H63" s="4">
        <v>229.12044712923128</v>
      </c>
      <c r="I63" s="5">
        <f t="shared" ref="I63:L63" si="501">H63+(($M63-$H63)/5)</f>
        <v>230.78966497700247</v>
      </c>
      <c r="J63" s="5">
        <f t="shared" si="501"/>
        <v>232.45888282477367</v>
      </c>
      <c r="K63" s="5">
        <f t="shared" si="501"/>
        <v>234.12810067254486</v>
      </c>
      <c r="L63" s="5">
        <f t="shared" si="501"/>
        <v>235.79731852031605</v>
      </c>
      <c r="M63" s="4">
        <v>237.46653636808725</v>
      </c>
      <c r="N63" s="5">
        <f t="shared" ref="N63:Q63" si="502">M63+(($R63-$M63)/5)</f>
        <v>238.2625348105029</v>
      </c>
      <c r="O63" s="5">
        <f t="shared" si="502"/>
        <v>239.05853325291855</v>
      </c>
      <c r="P63" s="5">
        <f t="shared" si="502"/>
        <v>239.8545316953342</v>
      </c>
      <c r="Q63" s="5">
        <f t="shared" si="502"/>
        <v>240.65053013774985</v>
      </c>
      <c r="R63" s="4">
        <v>241.44652858016545</v>
      </c>
      <c r="S63" s="5">
        <f t="shared" ref="S63:V63" si="503">R63+(($W63-$R63)/5)</f>
        <v>239.02538806318321</v>
      </c>
      <c r="T63" s="5">
        <f t="shared" si="503"/>
        <v>236.60424754620098</v>
      </c>
      <c r="U63" s="5">
        <f t="shared" si="503"/>
        <v>234.18310702921875</v>
      </c>
      <c r="V63" s="5">
        <f t="shared" si="503"/>
        <v>231.76196651223651</v>
      </c>
      <c r="W63" s="4">
        <v>229.34082599525433</v>
      </c>
      <c r="X63" s="5">
        <f t="shared" ref="X63:AA63" si="504">W63+(($AB63-$W63)/5)</f>
        <v>229.52610318315902</v>
      </c>
      <c r="Y63" s="5">
        <f t="shared" si="504"/>
        <v>229.71138037106371</v>
      </c>
      <c r="Z63" s="5">
        <f t="shared" si="504"/>
        <v>229.8966575589684</v>
      </c>
      <c r="AA63" s="5">
        <f t="shared" si="504"/>
        <v>230.08193474687309</v>
      </c>
      <c r="AB63" s="4">
        <v>230.26721193477783</v>
      </c>
      <c r="AC63" s="5">
        <f t="shared" ref="AC63:AF63" si="505">AB63+(($AG63-$AB63)/5)</f>
        <v>230.91312790621225</v>
      </c>
      <c r="AD63" s="5">
        <f t="shared" si="505"/>
        <v>231.55904387764667</v>
      </c>
      <c r="AE63" s="5">
        <f t="shared" si="505"/>
        <v>232.20495984908109</v>
      </c>
      <c r="AF63" s="5">
        <f t="shared" si="505"/>
        <v>232.85087582051551</v>
      </c>
      <c r="AG63" s="4">
        <v>233.49679179194993</v>
      </c>
    </row>
    <row r="64" spans="1:33" x14ac:dyDescent="0.3">
      <c r="A64" t="str">
        <f>A63</f>
        <v>MT</v>
      </c>
      <c r="B64" t="s">
        <v>142</v>
      </c>
      <c r="C64" s="4">
        <f t="shared" ref="C64" si="506">SUM(C62:C63)</f>
        <v>231.96448624640232</v>
      </c>
      <c r="D64" s="5">
        <f t="shared" ref="D64:G64" si="507">C64+(($H64-$C64)/5)</f>
        <v>248.9415719494861</v>
      </c>
      <c r="E64" s="5">
        <f t="shared" si="507"/>
        <v>265.91865765256989</v>
      </c>
      <c r="F64" s="5">
        <f t="shared" si="507"/>
        <v>282.89574335565368</v>
      </c>
      <c r="G64" s="5">
        <f t="shared" si="507"/>
        <v>299.87282905873747</v>
      </c>
      <c r="H64" s="4">
        <f t="shared" ref="H64" si="508">SUM(H62:H63)</f>
        <v>316.84991476182131</v>
      </c>
      <c r="I64" s="5">
        <f t="shared" ref="I64:L64" si="509">H64+(($M64-$H64)/5)</f>
        <v>319.47555816411551</v>
      </c>
      <c r="J64" s="5">
        <f t="shared" si="509"/>
        <v>322.10120156640971</v>
      </c>
      <c r="K64" s="5">
        <f t="shared" si="509"/>
        <v>324.72684496870392</v>
      </c>
      <c r="L64" s="5">
        <f t="shared" si="509"/>
        <v>327.35248837099812</v>
      </c>
      <c r="M64" s="4">
        <f t="shared" ref="M64" si="510">SUM(M62:M63)</f>
        <v>329.9781317732922</v>
      </c>
      <c r="N64" s="5">
        <f t="shared" ref="N64:Q64" si="511">M64+(($R64-$M64)/5)</f>
        <v>331.21776320808641</v>
      </c>
      <c r="O64" s="5">
        <f t="shared" si="511"/>
        <v>332.45739464288062</v>
      </c>
      <c r="P64" s="5">
        <f t="shared" si="511"/>
        <v>333.69702607767482</v>
      </c>
      <c r="Q64" s="5">
        <f t="shared" si="511"/>
        <v>334.93665751246903</v>
      </c>
      <c r="R64" s="4">
        <f t="shared" ref="R64" si="512">SUM(R62:R63)</f>
        <v>336.17628894726323</v>
      </c>
      <c r="S64" s="5">
        <f t="shared" ref="S64:V64" si="513">R64+(($W64-$R64)/5)</f>
        <v>333.89525789545144</v>
      </c>
      <c r="T64" s="5">
        <f t="shared" si="513"/>
        <v>331.61422684363964</v>
      </c>
      <c r="U64" s="5">
        <f t="shared" si="513"/>
        <v>329.33319579182785</v>
      </c>
      <c r="V64" s="5">
        <f t="shared" si="513"/>
        <v>327.05216474001605</v>
      </c>
      <c r="W64" s="4">
        <f t="shared" ref="W64" si="514">SUM(W62:W63)</f>
        <v>324.77113368820432</v>
      </c>
      <c r="X64" s="5">
        <f t="shared" ref="X64:AA64" si="515">W64+(($AB64-$W64)/5)</f>
        <v>324.99896959691199</v>
      </c>
      <c r="Y64" s="5">
        <f t="shared" si="515"/>
        <v>325.22680550561967</v>
      </c>
      <c r="Z64" s="5">
        <f t="shared" si="515"/>
        <v>325.45464141432734</v>
      </c>
      <c r="AA64" s="5">
        <f t="shared" si="515"/>
        <v>325.68247732303502</v>
      </c>
      <c r="AB64" s="4">
        <f t="shared" ref="AB64" si="516">SUM(AB62:AB63)</f>
        <v>325.91031323174269</v>
      </c>
      <c r="AC64" s="5">
        <f t="shared" ref="AC64:AF64" si="517">AB64+(($AG64-$AB64)/5)</f>
        <v>326.54267405117764</v>
      </c>
      <c r="AD64" s="5">
        <f t="shared" si="517"/>
        <v>327.17503487061259</v>
      </c>
      <c r="AE64" s="5">
        <f t="shared" si="517"/>
        <v>327.80739569004754</v>
      </c>
      <c r="AF64" s="5">
        <f t="shared" si="517"/>
        <v>328.43975650948249</v>
      </c>
      <c r="AG64" s="4">
        <f t="shared" ref="AG64" si="518">SUM(AG62:AG63)</f>
        <v>329.07211732891756</v>
      </c>
    </row>
    <row r="65" spans="1:33" x14ac:dyDescent="0.3">
      <c r="A65" t="s">
        <v>135</v>
      </c>
      <c r="B65" t="s">
        <v>111</v>
      </c>
      <c r="C65" s="4">
        <v>9479.7260832954526</v>
      </c>
      <c r="D65" s="5">
        <f t="shared" ref="D65:G65" si="519">C65+(($H65-$C65)/5)</f>
        <v>9343.9710854477235</v>
      </c>
      <c r="E65" s="5">
        <f t="shared" si="519"/>
        <v>9208.2160875999944</v>
      </c>
      <c r="F65" s="5">
        <f t="shared" si="519"/>
        <v>9072.4610897522653</v>
      </c>
      <c r="G65" s="5">
        <f t="shared" si="519"/>
        <v>8936.7060919045362</v>
      </c>
      <c r="H65" s="4">
        <v>8800.9510940568071</v>
      </c>
      <c r="I65" s="5">
        <f t="shared" ref="I65:L65" si="520">H65+(($M65-$H65)/5)</f>
        <v>8692.4759000779522</v>
      </c>
      <c r="J65" s="5">
        <f t="shared" si="520"/>
        <v>8584.0007060990974</v>
      </c>
      <c r="K65" s="5">
        <f t="shared" si="520"/>
        <v>8475.5255121202426</v>
      </c>
      <c r="L65" s="5">
        <f t="shared" si="520"/>
        <v>8367.0503181413878</v>
      </c>
      <c r="M65" s="4">
        <v>8258.575124162533</v>
      </c>
      <c r="N65" s="5">
        <f t="shared" ref="N65:Q65" si="521">M65+(($R65-$M65)/5)</f>
        <v>8218.0579484581976</v>
      </c>
      <c r="O65" s="5">
        <f t="shared" si="521"/>
        <v>8177.5407727538613</v>
      </c>
      <c r="P65" s="5">
        <f t="shared" si="521"/>
        <v>8137.0235970495251</v>
      </c>
      <c r="Q65" s="5">
        <f t="shared" si="521"/>
        <v>8096.5064213451888</v>
      </c>
      <c r="R65" s="4">
        <v>8055.9892456408515</v>
      </c>
      <c r="S65" s="5">
        <f t="shared" ref="S65:V65" si="522">R65+(($W65-$R65)/5)</f>
        <v>8005.1385147189912</v>
      </c>
      <c r="T65" s="5">
        <f t="shared" si="522"/>
        <v>7954.2877837971309</v>
      </c>
      <c r="U65" s="5">
        <f t="shared" si="522"/>
        <v>7903.4370528752706</v>
      </c>
      <c r="V65" s="5">
        <f t="shared" si="522"/>
        <v>7852.5863219534103</v>
      </c>
      <c r="W65" s="4">
        <v>7801.7355910315491</v>
      </c>
      <c r="X65" s="5">
        <f t="shared" ref="X65:AA65" si="523">W65+(($AB65-$W65)/5)</f>
        <v>7774.2162789153817</v>
      </c>
      <c r="Y65" s="5">
        <f t="shared" si="523"/>
        <v>7746.6969667992144</v>
      </c>
      <c r="Z65" s="5">
        <f t="shared" si="523"/>
        <v>7719.177654683047</v>
      </c>
      <c r="AA65" s="5">
        <f t="shared" si="523"/>
        <v>7691.6583425668796</v>
      </c>
      <c r="AB65" s="4">
        <v>7664.1390304507104</v>
      </c>
      <c r="AC65" s="5">
        <f t="shared" ref="AC65:AF65" si="524">AB65+(($AG65-$AB65)/5)</f>
        <v>7656.3861076948151</v>
      </c>
      <c r="AD65" s="5">
        <f t="shared" si="524"/>
        <v>7648.6331849389198</v>
      </c>
      <c r="AE65" s="5">
        <f t="shared" si="524"/>
        <v>7640.8802621830246</v>
      </c>
      <c r="AF65" s="5">
        <f t="shared" si="524"/>
        <v>7633.1273394271293</v>
      </c>
      <c r="AG65" s="4">
        <v>7625.3744166712331</v>
      </c>
    </row>
    <row r="66" spans="1:33" x14ac:dyDescent="0.3">
      <c r="A66" t="s">
        <v>135</v>
      </c>
      <c r="B66" t="s">
        <v>112</v>
      </c>
      <c r="C66" s="4">
        <v>9703.6340554376893</v>
      </c>
      <c r="D66" s="5">
        <f t="shared" ref="D66:G66" si="525">C66+(($H66-$C66)/5)</f>
        <v>9887.6790278973313</v>
      </c>
      <c r="E66" s="5">
        <f t="shared" si="525"/>
        <v>10071.724000356973</v>
      </c>
      <c r="F66" s="5">
        <f t="shared" si="525"/>
        <v>10255.768972816615</v>
      </c>
      <c r="G66" s="5">
        <f t="shared" si="525"/>
        <v>10439.813945276257</v>
      </c>
      <c r="H66" s="4">
        <v>10623.858917735903</v>
      </c>
      <c r="I66" s="5">
        <f t="shared" ref="I66:L66" si="526">H66+(($M66-$H66)/5)</f>
        <v>10624.77975616193</v>
      </c>
      <c r="J66" s="5">
        <f t="shared" si="526"/>
        <v>10625.700594587957</v>
      </c>
      <c r="K66" s="5">
        <f t="shared" si="526"/>
        <v>10626.621433013985</v>
      </c>
      <c r="L66" s="5">
        <f t="shared" si="526"/>
        <v>10627.542271440012</v>
      </c>
      <c r="M66" s="4">
        <v>10628.463109866043</v>
      </c>
      <c r="N66" s="5">
        <f t="shared" ref="N66:Q66" si="527">M66+(($R66-$M66)/5)</f>
        <v>10694.12105100798</v>
      </c>
      <c r="O66" s="5">
        <f t="shared" si="527"/>
        <v>10759.778992149917</v>
      </c>
      <c r="P66" s="5">
        <f t="shared" si="527"/>
        <v>10825.436933291854</v>
      </c>
      <c r="Q66" s="5">
        <f t="shared" si="527"/>
        <v>10891.094874433791</v>
      </c>
      <c r="R66" s="4">
        <v>10956.752815575732</v>
      </c>
      <c r="S66" s="5">
        <f t="shared" ref="S66:V66" si="528">R66+(($W66-$R66)/5)</f>
        <v>10903.650907917472</v>
      </c>
      <c r="T66" s="5">
        <f t="shared" si="528"/>
        <v>10850.549000259212</v>
      </c>
      <c r="U66" s="5">
        <f t="shared" si="528"/>
        <v>10797.447092600953</v>
      </c>
      <c r="V66" s="5">
        <f t="shared" si="528"/>
        <v>10744.345184942693</v>
      </c>
      <c r="W66" s="4">
        <v>10691.243277284435</v>
      </c>
      <c r="X66" s="5">
        <f t="shared" ref="X66:AA66" si="529">W66+(($AB66-$W66)/5)</f>
        <v>10655.465980882427</v>
      </c>
      <c r="Y66" s="5">
        <f t="shared" si="529"/>
        <v>10619.688684480419</v>
      </c>
      <c r="Z66" s="5">
        <f t="shared" si="529"/>
        <v>10583.911388078412</v>
      </c>
      <c r="AA66" s="5">
        <f t="shared" si="529"/>
        <v>10548.134091676404</v>
      </c>
      <c r="AB66" s="4">
        <v>10512.356795274398</v>
      </c>
      <c r="AC66" s="5">
        <f t="shared" ref="AC66:AF66" si="530">AB66+(($AG66-$AB66)/5)</f>
        <v>10491.479831764573</v>
      </c>
      <c r="AD66" s="5">
        <f t="shared" si="530"/>
        <v>10470.602868254748</v>
      </c>
      <c r="AE66" s="5">
        <f t="shared" si="530"/>
        <v>10449.725904744922</v>
      </c>
      <c r="AF66" s="5">
        <f t="shared" si="530"/>
        <v>10428.848941235097</v>
      </c>
      <c r="AG66" s="4">
        <v>10407.971977725272</v>
      </c>
    </row>
    <row r="67" spans="1:33" x14ac:dyDescent="0.3">
      <c r="A67" t="str">
        <f>A66</f>
        <v>NL</v>
      </c>
      <c r="B67" t="s">
        <v>142</v>
      </c>
      <c r="C67" s="4">
        <f t="shared" ref="C67" si="531">SUM(C65:C66)</f>
        <v>19183.360138733144</v>
      </c>
      <c r="D67" s="5">
        <f t="shared" ref="D67:G67" si="532">C67+(($H67-$C67)/5)</f>
        <v>19231.650113345058</v>
      </c>
      <c r="E67" s="5">
        <f t="shared" si="532"/>
        <v>19279.940087956973</v>
      </c>
      <c r="F67" s="5">
        <f t="shared" si="532"/>
        <v>19328.230062568888</v>
      </c>
      <c r="G67" s="5">
        <f t="shared" si="532"/>
        <v>19376.520037180802</v>
      </c>
      <c r="H67" s="4">
        <f t="shared" ref="H67" si="533">SUM(H65:H66)</f>
        <v>19424.81001179271</v>
      </c>
      <c r="I67" s="5">
        <f t="shared" ref="I67:L67" si="534">H67+(($M67-$H67)/5)</f>
        <v>19317.255656239882</v>
      </c>
      <c r="J67" s="5">
        <f t="shared" si="534"/>
        <v>19209.701300687055</v>
      </c>
      <c r="K67" s="5">
        <f t="shared" si="534"/>
        <v>19102.146945134227</v>
      </c>
      <c r="L67" s="5">
        <f t="shared" si="534"/>
        <v>18994.5925895814</v>
      </c>
      <c r="M67" s="4">
        <f t="shared" ref="M67" si="535">SUM(M65:M66)</f>
        <v>18887.038234028576</v>
      </c>
      <c r="N67" s="5">
        <f t="shared" ref="N67:Q67" si="536">M67+(($R67-$M67)/5)</f>
        <v>18912.178999466178</v>
      </c>
      <c r="O67" s="5">
        <f t="shared" si="536"/>
        <v>18937.319764903779</v>
      </c>
      <c r="P67" s="5">
        <f t="shared" si="536"/>
        <v>18962.460530341381</v>
      </c>
      <c r="Q67" s="5">
        <f t="shared" si="536"/>
        <v>18987.601295778983</v>
      </c>
      <c r="R67" s="4">
        <f t="shared" ref="R67" si="537">SUM(R65:R66)</f>
        <v>19012.742061216584</v>
      </c>
      <c r="S67" s="5">
        <f t="shared" ref="S67:V67" si="538">R67+(($W67-$R67)/5)</f>
        <v>18908.789422636466</v>
      </c>
      <c r="T67" s="5">
        <f t="shared" si="538"/>
        <v>18804.836784056348</v>
      </c>
      <c r="U67" s="5">
        <f t="shared" si="538"/>
        <v>18700.88414547623</v>
      </c>
      <c r="V67" s="5">
        <f t="shared" si="538"/>
        <v>18596.931506896111</v>
      </c>
      <c r="W67" s="4">
        <f t="shared" ref="W67" si="539">SUM(W65:W66)</f>
        <v>18492.978868315986</v>
      </c>
      <c r="X67" s="5">
        <f t="shared" ref="X67:AA67" si="540">W67+(($AB67-$W67)/5)</f>
        <v>18429.68225979781</v>
      </c>
      <c r="Y67" s="5">
        <f t="shared" si="540"/>
        <v>18366.385651279634</v>
      </c>
      <c r="Z67" s="5">
        <f t="shared" si="540"/>
        <v>18303.089042761458</v>
      </c>
      <c r="AA67" s="5">
        <f t="shared" si="540"/>
        <v>18239.792434243282</v>
      </c>
      <c r="AB67" s="4">
        <f t="shared" ref="AB67" si="541">SUM(AB65:AB66)</f>
        <v>18176.495825725109</v>
      </c>
      <c r="AC67" s="5">
        <f t="shared" ref="AC67:AF67" si="542">AB67+(($AG67-$AB67)/5)</f>
        <v>18147.865939459389</v>
      </c>
      <c r="AD67" s="5">
        <f t="shared" si="542"/>
        <v>18119.236053193668</v>
      </c>
      <c r="AE67" s="5">
        <f t="shared" si="542"/>
        <v>18090.606166927948</v>
      </c>
      <c r="AF67" s="5">
        <f t="shared" si="542"/>
        <v>18061.976280662228</v>
      </c>
      <c r="AG67" s="4">
        <f t="shared" ref="AG67" si="543">SUM(AG65:AG66)</f>
        <v>18033.346394396503</v>
      </c>
    </row>
    <row r="68" spans="1:33" x14ac:dyDescent="0.3">
      <c r="A68" t="s">
        <v>136</v>
      </c>
      <c r="B68" t="s">
        <v>111</v>
      </c>
      <c r="C68" s="4">
        <v>18545.224076282815</v>
      </c>
      <c r="D68" s="5">
        <f t="shared" ref="D68:G68" si="544">C68+(($H68-$C68)/5)</f>
        <v>18703.382159827543</v>
      </c>
      <c r="E68" s="5">
        <f t="shared" si="544"/>
        <v>18861.54024337227</v>
      </c>
      <c r="F68" s="5">
        <f t="shared" si="544"/>
        <v>19019.698326916998</v>
      </c>
      <c r="G68" s="5">
        <f t="shared" si="544"/>
        <v>19177.856410461725</v>
      </c>
      <c r="H68" s="4">
        <v>19336.014494006446</v>
      </c>
      <c r="I68" s="5">
        <f t="shared" ref="I68:L68" si="545">H68+(($M68-$H68)/5)</f>
        <v>19126.399439036861</v>
      </c>
      <c r="J68" s="5">
        <f t="shared" si="545"/>
        <v>18916.784384067276</v>
      </c>
      <c r="K68" s="5">
        <f t="shared" si="545"/>
        <v>18707.169329097691</v>
      </c>
      <c r="L68" s="5">
        <f t="shared" si="545"/>
        <v>18497.554274128106</v>
      </c>
      <c r="M68" s="4">
        <v>18287.939219158521</v>
      </c>
      <c r="N68" s="5">
        <f t="shared" ref="N68:Q68" si="546">M68+(($R68-$M68)/5)</f>
        <v>18231.361435542811</v>
      </c>
      <c r="O68" s="5">
        <f t="shared" si="546"/>
        <v>18174.7836519271</v>
      </c>
      <c r="P68" s="5">
        <f t="shared" si="546"/>
        <v>18118.20586831139</v>
      </c>
      <c r="Q68" s="5">
        <f t="shared" si="546"/>
        <v>18061.62808469568</v>
      </c>
      <c r="R68" s="4">
        <v>18005.050301079966</v>
      </c>
      <c r="S68" s="5">
        <f t="shared" ref="S68:V68" si="547">R68+(($W68-$R68)/5)</f>
        <v>17914.46191741644</v>
      </c>
      <c r="T68" s="5">
        <f t="shared" si="547"/>
        <v>17823.873533752914</v>
      </c>
      <c r="U68" s="5">
        <f t="shared" si="547"/>
        <v>17733.285150089388</v>
      </c>
      <c r="V68" s="5">
        <f t="shared" si="547"/>
        <v>17642.696766425863</v>
      </c>
      <c r="W68" s="4">
        <v>17552.108382762337</v>
      </c>
      <c r="X68" s="5">
        <f t="shared" ref="X68:AA68" si="548">W68+(($AB68-$W68)/5)</f>
        <v>17485.474690891751</v>
      </c>
      <c r="Y68" s="5">
        <f t="shared" si="548"/>
        <v>17418.840999021166</v>
      </c>
      <c r="Z68" s="5">
        <f t="shared" si="548"/>
        <v>17352.20730715058</v>
      </c>
      <c r="AA68" s="5">
        <f t="shared" si="548"/>
        <v>17285.573615279995</v>
      </c>
      <c r="AB68" s="4">
        <v>17218.939923409402</v>
      </c>
      <c r="AC68" s="5">
        <f t="shared" ref="AC68:AF68" si="549">AB68+(($AG68-$AB68)/5)</f>
        <v>17150.045933685713</v>
      </c>
      <c r="AD68" s="5">
        <f t="shared" si="549"/>
        <v>17081.151943962024</v>
      </c>
      <c r="AE68" s="5">
        <f t="shared" si="549"/>
        <v>17012.257954238336</v>
      </c>
      <c r="AF68" s="5">
        <f t="shared" si="549"/>
        <v>16943.363964514647</v>
      </c>
      <c r="AG68" s="4">
        <v>16874.469974790951</v>
      </c>
    </row>
    <row r="69" spans="1:33" x14ac:dyDescent="0.3">
      <c r="A69" t="s">
        <v>136</v>
      </c>
      <c r="B69" t="s">
        <v>112</v>
      </c>
      <c r="C69" s="4">
        <v>10519.670784652062</v>
      </c>
      <c r="D69" s="5">
        <f t="shared" ref="D69:G69" si="550">C69+(($H69-$C69)/5)</f>
        <v>10881.392420229315</v>
      </c>
      <c r="E69" s="5">
        <f t="shared" si="550"/>
        <v>11243.114055806567</v>
      </c>
      <c r="F69" s="5">
        <f t="shared" si="550"/>
        <v>11604.83569138382</v>
      </c>
      <c r="G69" s="5">
        <f t="shared" si="550"/>
        <v>11966.557326961072</v>
      </c>
      <c r="H69" s="4">
        <v>12328.278962538327</v>
      </c>
      <c r="I69" s="5">
        <f t="shared" ref="I69:L69" si="551">H69+(($M69-$H69)/5)</f>
        <v>12313.936694847336</v>
      </c>
      <c r="J69" s="5">
        <f t="shared" si="551"/>
        <v>12299.594427156346</v>
      </c>
      <c r="K69" s="5">
        <f t="shared" si="551"/>
        <v>12285.252159465355</v>
      </c>
      <c r="L69" s="5">
        <f t="shared" si="551"/>
        <v>12270.909891774365</v>
      </c>
      <c r="M69" s="4">
        <v>12256.567624083376</v>
      </c>
      <c r="N69" s="5">
        <f t="shared" ref="N69:Q69" si="552">M69+(($R69-$M69)/5)</f>
        <v>12283.4411217983</v>
      </c>
      <c r="O69" s="5">
        <f t="shared" si="552"/>
        <v>12310.314619513223</v>
      </c>
      <c r="P69" s="5">
        <f t="shared" si="552"/>
        <v>12337.188117228146</v>
      </c>
      <c r="Q69" s="5">
        <f t="shared" si="552"/>
        <v>12364.06161494307</v>
      </c>
      <c r="R69" s="4">
        <v>12390.935112657995</v>
      </c>
      <c r="S69" s="5">
        <f t="shared" ref="S69:V69" si="553">R69+(($W69-$R69)/5)</f>
        <v>12383.913438500798</v>
      </c>
      <c r="T69" s="5">
        <f t="shared" si="553"/>
        <v>12376.891764343602</v>
      </c>
      <c r="U69" s="5">
        <f t="shared" si="553"/>
        <v>12369.870090186405</v>
      </c>
      <c r="V69" s="5">
        <f t="shared" si="553"/>
        <v>12362.848416029208</v>
      </c>
      <c r="W69" s="4">
        <v>12355.82674187201</v>
      </c>
      <c r="X69" s="5">
        <f t="shared" ref="X69:AA69" si="554">W69+(($AB69-$W69)/5)</f>
        <v>12357.17519679181</v>
      </c>
      <c r="Y69" s="5">
        <f t="shared" si="554"/>
        <v>12358.52365171161</v>
      </c>
      <c r="Z69" s="5">
        <f t="shared" si="554"/>
        <v>12359.87210663141</v>
      </c>
      <c r="AA69" s="5">
        <f t="shared" si="554"/>
        <v>12361.22056155121</v>
      </c>
      <c r="AB69" s="4">
        <v>12362.569016471007</v>
      </c>
      <c r="AC69" s="5">
        <f t="shared" ref="AC69:AF69" si="555">AB69+(($AG69-$AB69)/5)</f>
        <v>12371.027986704343</v>
      </c>
      <c r="AD69" s="5">
        <f t="shared" si="555"/>
        <v>12379.486956937679</v>
      </c>
      <c r="AE69" s="5">
        <f t="shared" si="555"/>
        <v>12387.945927171015</v>
      </c>
      <c r="AF69" s="5">
        <f t="shared" si="555"/>
        <v>12396.404897404351</v>
      </c>
      <c r="AG69" s="4">
        <v>12404.863867637685</v>
      </c>
    </row>
    <row r="70" spans="1:33" x14ac:dyDescent="0.3">
      <c r="A70" t="str">
        <f>A69</f>
        <v>PL</v>
      </c>
      <c r="B70" t="s">
        <v>142</v>
      </c>
      <c r="C70" s="4">
        <f t="shared" ref="C70" si="556">SUM(C68:C69)</f>
        <v>29064.894860934877</v>
      </c>
      <c r="D70" s="5">
        <f t="shared" ref="D70:G70" si="557">C70+(($H70-$C70)/5)</f>
        <v>29584.774580056855</v>
      </c>
      <c r="E70" s="5">
        <f t="shared" si="557"/>
        <v>30104.654299178834</v>
      </c>
      <c r="F70" s="5">
        <f t="shared" si="557"/>
        <v>30624.534018300812</v>
      </c>
      <c r="G70" s="5">
        <f t="shared" si="557"/>
        <v>31144.41373742279</v>
      </c>
      <c r="H70" s="4">
        <f t="shared" ref="H70" si="558">SUM(H68:H69)</f>
        <v>31664.293456544772</v>
      </c>
      <c r="I70" s="5">
        <f t="shared" ref="I70:L70" si="559">H70+(($M70-$H70)/5)</f>
        <v>31440.336133884197</v>
      </c>
      <c r="J70" s="5">
        <f t="shared" si="559"/>
        <v>31216.378811223622</v>
      </c>
      <c r="K70" s="5">
        <f t="shared" si="559"/>
        <v>30992.421488563046</v>
      </c>
      <c r="L70" s="5">
        <f t="shared" si="559"/>
        <v>30768.464165902471</v>
      </c>
      <c r="M70" s="4">
        <f t="shared" ref="M70" si="560">SUM(M68:M69)</f>
        <v>30544.506843241899</v>
      </c>
      <c r="N70" s="5">
        <f t="shared" ref="N70:Q70" si="561">M70+(($R70-$M70)/5)</f>
        <v>30514.802557341111</v>
      </c>
      <c r="O70" s="5">
        <f t="shared" si="561"/>
        <v>30485.098271440322</v>
      </c>
      <c r="P70" s="5">
        <f t="shared" si="561"/>
        <v>30455.393985539533</v>
      </c>
      <c r="Q70" s="5">
        <f t="shared" si="561"/>
        <v>30425.689699638744</v>
      </c>
      <c r="R70" s="4">
        <f t="shared" ref="R70" si="562">SUM(R68:R69)</f>
        <v>30395.985413737959</v>
      </c>
      <c r="S70" s="5">
        <f t="shared" ref="S70:V70" si="563">R70+(($W70-$R70)/5)</f>
        <v>30298.375355917236</v>
      </c>
      <c r="T70" s="5">
        <f t="shared" si="563"/>
        <v>30200.765298096514</v>
      </c>
      <c r="U70" s="5">
        <f t="shared" si="563"/>
        <v>30103.155240275792</v>
      </c>
      <c r="V70" s="5">
        <f t="shared" si="563"/>
        <v>30005.545182455069</v>
      </c>
      <c r="W70" s="4">
        <f t="shared" ref="W70" si="564">SUM(W68:W69)</f>
        <v>29907.935124634347</v>
      </c>
      <c r="X70" s="5">
        <f t="shared" ref="X70:AA70" si="565">W70+(($AB70-$W70)/5)</f>
        <v>29842.649887683558</v>
      </c>
      <c r="Y70" s="5">
        <f t="shared" si="565"/>
        <v>29777.364650732768</v>
      </c>
      <c r="Z70" s="5">
        <f t="shared" si="565"/>
        <v>29712.079413781979</v>
      </c>
      <c r="AA70" s="5">
        <f t="shared" si="565"/>
        <v>29646.79417683119</v>
      </c>
      <c r="AB70" s="4">
        <f t="shared" ref="AB70" si="566">SUM(AB68:AB69)</f>
        <v>29581.508939880408</v>
      </c>
      <c r="AC70" s="5">
        <f t="shared" ref="AC70:AF70" si="567">AB70+(($AG70-$AB70)/5)</f>
        <v>29521.073920390052</v>
      </c>
      <c r="AD70" s="5">
        <f t="shared" si="567"/>
        <v>29460.638900899696</v>
      </c>
      <c r="AE70" s="5">
        <f t="shared" si="567"/>
        <v>29400.203881409339</v>
      </c>
      <c r="AF70" s="5">
        <f t="shared" si="567"/>
        <v>29339.768861918983</v>
      </c>
      <c r="AG70" s="4">
        <f t="shared" ref="AG70" si="568">SUM(AG68:AG69)</f>
        <v>29279.333842428634</v>
      </c>
    </row>
    <row r="71" spans="1:33" x14ac:dyDescent="0.3">
      <c r="A71" t="s">
        <v>137</v>
      </c>
      <c r="B71" t="s">
        <v>111</v>
      </c>
      <c r="C71" s="4">
        <v>2703.6847279076014</v>
      </c>
      <c r="D71" s="5">
        <f t="shared" ref="D71:G71" si="569">C71+(($H71-$C71)/5)</f>
        <v>2658.6430746319738</v>
      </c>
      <c r="E71" s="5">
        <f t="shared" si="569"/>
        <v>2613.6014213563462</v>
      </c>
      <c r="F71" s="5">
        <f t="shared" si="569"/>
        <v>2568.5597680807186</v>
      </c>
      <c r="G71" s="5">
        <f t="shared" si="569"/>
        <v>2523.518114805091</v>
      </c>
      <c r="H71" s="4">
        <v>2478.4764615294639</v>
      </c>
      <c r="I71" s="5">
        <f t="shared" ref="I71:L71" si="570">H71+(($M71-$H71)/5)</f>
        <v>2465.9877697159563</v>
      </c>
      <c r="J71" s="5">
        <f t="shared" si="570"/>
        <v>2453.4990779024488</v>
      </c>
      <c r="K71" s="5">
        <f t="shared" si="570"/>
        <v>2441.0103860889412</v>
      </c>
      <c r="L71" s="5">
        <f t="shared" si="570"/>
        <v>2428.5216942754337</v>
      </c>
      <c r="M71" s="4">
        <v>2416.0330024619257</v>
      </c>
      <c r="N71" s="5">
        <f t="shared" ref="N71:Q71" si="571">M71+(($R71-$M71)/5)</f>
        <v>2410.7055921758365</v>
      </c>
      <c r="O71" s="5">
        <f t="shared" si="571"/>
        <v>2405.3781818897473</v>
      </c>
      <c r="P71" s="5">
        <f t="shared" si="571"/>
        <v>2400.0507716036582</v>
      </c>
      <c r="Q71" s="5">
        <f t="shared" si="571"/>
        <v>2394.723361317569</v>
      </c>
      <c r="R71" s="4">
        <v>2389.3959510314808</v>
      </c>
      <c r="S71" s="5">
        <f t="shared" ref="S71:V71" si="572">R71+(($W71-$R71)/5)</f>
        <v>2390.0498016205174</v>
      </c>
      <c r="T71" s="5">
        <f t="shared" si="572"/>
        <v>2390.7036522095541</v>
      </c>
      <c r="U71" s="5">
        <f t="shared" si="572"/>
        <v>2391.3575027985908</v>
      </c>
      <c r="V71" s="5">
        <f t="shared" si="572"/>
        <v>2392.0113533876274</v>
      </c>
      <c r="W71" s="4">
        <v>2392.665203976665</v>
      </c>
      <c r="X71" s="5">
        <f t="shared" ref="X71:AA71" si="573">W71+(($AB71-$W71)/5)</f>
        <v>2366.339362819132</v>
      </c>
      <c r="Y71" s="5">
        <f t="shared" si="573"/>
        <v>2340.013521661599</v>
      </c>
      <c r="Z71" s="5">
        <f t="shared" si="573"/>
        <v>2313.6876805040661</v>
      </c>
      <c r="AA71" s="5">
        <f t="shared" si="573"/>
        <v>2287.3618393465331</v>
      </c>
      <c r="AB71" s="4">
        <v>2261.0359981889992</v>
      </c>
      <c r="AC71" s="5">
        <f t="shared" ref="AC71:AF71" si="574">AB71+(($AG71-$AB71)/5)</f>
        <v>2265.6361879864735</v>
      </c>
      <c r="AD71" s="5">
        <f t="shared" si="574"/>
        <v>2270.2363777839478</v>
      </c>
      <c r="AE71" s="5">
        <f t="shared" si="574"/>
        <v>2274.8365675814221</v>
      </c>
      <c r="AF71" s="5">
        <f t="shared" si="574"/>
        <v>2279.4367573788963</v>
      </c>
      <c r="AG71" s="4">
        <v>2284.0369471763711</v>
      </c>
    </row>
    <row r="72" spans="1:33" x14ac:dyDescent="0.3">
      <c r="A72" t="s">
        <v>137</v>
      </c>
      <c r="B72" t="s">
        <v>112</v>
      </c>
      <c r="C72" s="4">
        <v>2777.1196659628044</v>
      </c>
      <c r="D72" s="5">
        <f t="shared" ref="D72:G72" si="575">C72+(($H72-$C72)/5)</f>
        <v>2797.2376091632782</v>
      </c>
      <c r="E72" s="5">
        <f t="shared" si="575"/>
        <v>2817.3555523637519</v>
      </c>
      <c r="F72" s="5">
        <f t="shared" si="575"/>
        <v>2837.4734955642257</v>
      </c>
      <c r="G72" s="5">
        <f t="shared" si="575"/>
        <v>2857.5914387646994</v>
      </c>
      <c r="H72" s="4">
        <v>2877.7093819651736</v>
      </c>
      <c r="I72" s="5">
        <f t="shared" ref="I72:L72" si="576">H72+(($M72-$H72)/5)</f>
        <v>2831.8768376290636</v>
      </c>
      <c r="J72" s="5">
        <f t="shared" si="576"/>
        <v>2786.0442932929536</v>
      </c>
      <c r="K72" s="5">
        <f t="shared" si="576"/>
        <v>2740.2117489568436</v>
      </c>
      <c r="L72" s="5">
        <f t="shared" si="576"/>
        <v>2694.3792046207336</v>
      </c>
      <c r="M72" s="4">
        <v>2648.5466602846236</v>
      </c>
      <c r="N72" s="5">
        <f t="shared" ref="N72:Q72" si="577">M72+(($R72-$M72)/5)</f>
        <v>2655.1533631085845</v>
      </c>
      <c r="O72" s="5">
        <f t="shared" si="577"/>
        <v>2661.7600659325453</v>
      </c>
      <c r="P72" s="5">
        <f t="shared" si="577"/>
        <v>2668.3667687565062</v>
      </c>
      <c r="Q72" s="5">
        <f t="shared" si="577"/>
        <v>2674.973471580467</v>
      </c>
      <c r="R72" s="4">
        <v>2681.5801744044288</v>
      </c>
      <c r="S72" s="5">
        <f t="shared" ref="S72:V72" si="578">R72+(($W72-$R72)/5)</f>
        <v>2680.7663830692782</v>
      </c>
      <c r="T72" s="5">
        <f t="shared" si="578"/>
        <v>2679.9525917341275</v>
      </c>
      <c r="U72" s="5">
        <f t="shared" si="578"/>
        <v>2679.1388003989769</v>
      </c>
      <c r="V72" s="5">
        <f t="shared" si="578"/>
        <v>2678.3250090638262</v>
      </c>
      <c r="W72" s="4">
        <v>2677.5112177286746</v>
      </c>
      <c r="X72" s="5">
        <f t="shared" ref="X72:AA72" si="579">W72+(($AB72-$W72)/5)</f>
        <v>2677.8434862869017</v>
      </c>
      <c r="Y72" s="5">
        <f t="shared" si="579"/>
        <v>2678.1757548451287</v>
      </c>
      <c r="Z72" s="5">
        <f t="shared" si="579"/>
        <v>2678.5080234033558</v>
      </c>
      <c r="AA72" s="5">
        <f t="shared" si="579"/>
        <v>2678.8402919615828</v>
      </c>
      <c r="AB72" s="4">
        <v>2679.1725605198089</v>
      </c>
      <c r="AC72" s="5">
        <f t="shared" ref="AC72:AF72" si="580">AB72+(($AG72-$AB72)/5)</f>
        <v>2680.9474833875611</v>
      </c>
      <c r="AD72" s="5">
        <f t="shared" si="580"/>
        <v>2682.7224062553132</v>
      </c>
      <c r="AE72" s="5">
        <f t="shared" si="580"/>
        <v>2684.4973291230654</v>
      </c>
      <c r="AF72" s="5">
        <f t="shared" si="580"/>
        <v>2686.2722519908175</v>
      </c>
      <c r="AG72" s="4">
        <v>2688.0471748585692</v>
      </c>
    </row>
    <row r="73" spans="1:33" x14ac:dyDescent="0.3">
      <c r="A73" t="str">
        <f>A72</f>
        <v>PT</v>
      </c>
      <c r="B73" t="s">
        <v>142</v>
      </c>
      <c r="C73" s="4">
        <f t="shared" ref="C73" si="581">SUM(C71:C72)</f>
        <v>5480.8043938704059</v>
      </c>
      <c r="D73" s="5">
        <f t="shared" ref="D73:G73" si="582">C73+(($H73-$C73)/5)</f>
        <v>5455.8806837952525</v>
      </c>
      <c r="E73" s="5">
        <f t="shared" si="582"/>
        <v>5430.9569737200991</v>
      </c>
      <c r="F73" s="5">
        <f t="shared" si="582"/>
        <v>5406.0332636449457</v>
      </c>
      <c r="G73" s="5">
        <f t="shared" si="582"/>
        <v>5381.1095535697923</v>
      </c>
      <c r="H73" s="4">
        <f t="shared" ref="H73" si="583">SUM(H71:H72)</f>
        <v>5356.1858434946371</v>
      </c>
      <c r="I73" s="5">
        <f t="shared" ref="I73:L73" si="584">H73+(($M73-$H73)/5)</f>
        <v>5297.86460734502</v>
      </c>
      <c r="J73" s="5">
        <f t="shared" si="584"/>
        <v>5239.5433711954029</v>
      </c>
      <c r="K73" s="5">
        <f t="shared" si="584"/>
        <v>5181.2221350457858</v>
      </c>
      <c r="L73" s="5">
        <f t="shared" si="584"/>
        <v>5122.9008988961687</v>
      </c>
      <c r="M73" s="4">
        <f t="shared" ref="M73" si="585">SUM(M71:M72)</f>
        <v>5064.5796627465497</v>
      </c>
      <c r="N73" s="5">
        <f t="shared" ref="N73:Q73" si="586">M73+(($R73-$M73)/5)</f>
        <v>5065.8589552844214</v>
      </c>
      <c r="O73" s="5">
        <f t="shared" si="586"/>
        <v>5067.1382478222931</v>
      </c>
      <c r="P73" s="5">
        <f t="shared" si="586"/>
        <v>5068.4175403601648</v>
      </c>
      <c r="Q73" s="5">
        <f t="shared" si="586"/>
        <v>5069.6968328980365</v>
      </c>
      <c r="R73" s="4">
        <f t="shared" ref="R73" si="587">SUM(R71:R72)</f>
        <v>5070.9761254359091</v>
      </c>
      <c r="S73" s="5">
        <f t="shared" ref="S73:V73" si="588">R73+(($W73-$R73)/5)</f>
        <v>5070.8161846897956</v>
      </c>
      <c r="T73" s="5">
        <f t="shared" si="588"/>
        <v>5070.6562439436821</v>
      </c>
      <c r="U73" s="5">
        <f t="shared" si="588"/>
        <v>5070.4963031975685</v>
      </c>
      <c r="V73" s="5">
        <f t="shared" si="588"/>
        <v>5070.336362451455</v>
      </c>
      <c r="W73" s="4">
        <f t="shared" ref="W73" si="589">SUM(W71:W72)</f>
        <v>5070.1764217053396</v>
      </c>
      <c r="X73" s="5">
        <f t="shared" ref="X73:AA73" si="590">W73+(($AB73-$W73)/5)</f>
        <v>5044.1828491060332</v>
      </c>
      <c r="Y73" s="5">
        <f t="shared" si="590"/>
        <v>5018.1892765067269</v>
      </c>
      <c r="Z73" s="5">
        <f t="shared" si="590"/>
        <v>4992.1957039074205</v>
      </c>
      <c r="AA73" s="5">
        <f t="shared" si="590"/>
        <v>4966.2021313081141</v>
      </c>
      <c r="AB73" s="4">
        <f t="shared" ref="AB73" si="591">SUM(AB71:AB72)</f>
        <v>4940.2085587088077</v>
      </c>
      <c r="AC73" s="5">
        <f t="shared" ref="AC73:AF73" si="592">AB73+(($AG73-$AB73)/5)</f>
        <v>4946.5836713740346</v>
      </c>
      <c r="AD73" s="5">
        <f t="shared" si="592"/>
        <v>4952.9587840392614</v>
      </c>
      <c r="AE73" s="5">
        <f t="shared" si="592"/>
        <v>4959.3338967044883</v>
      </c>
      <c r="AF73" s="5">
        <f t="shared" si="592"/>
        <v>4965.7090093697152</v>
      </c>
      <c r="AG73" s="4">
        <f t="shared" ref="AG73" si="593">SUM(AG71:AG72)</f>
        <v>4972.0841220349403</v>
      </c>
    </row>
    <row r="74" spans="1:33" x14ac:dyDescent="0.3">
      <c r="A74" t="s">
        <v>138</v>
      </c>
      <c r="B74" t="s">
        <v>111</v>
      </c>
      <c r="C74" s="4">
        <v>7970.4618597115486</v>
      </c>
      <c r="D74" s="5">
        <f t="shared" ref="D74:G74" si="594">C74+(($H74-$C74)/5)</f>
        <v>7899.2492543754033</v>
      </c>
      <c r="E74" s="5">
        <f t="shared" si="594"/>
        <v>7828.036649039258</v>
      </c>
      <c r="F74" s="5">
        <f t="shared" si="594"/>
        <v>7756.8240437031127</v>
      </c>
      <c r="G74" s="5">
        <f t="shared" si="594"/>
        <v>7685.6114383669674</v>
      </c>
      <c r="H74" s="4">
        <v>7614.398833030823</v>
      </c>
      <c r="I74" s="5">
        <f t="shared" ref="I74:L74" si="595">H74+(($M74-$H74)/5)</f>
        <v>7620.618850035532</v>
      </c>
      <c r="J74" s="5">
        <f t="shared" si="595"/>
        <v>7626.838867040241</v>
      </c>
      <c r="K74" s="5">
        <f t="shared" si="595"/>
        <v>7633.05888404495</v>
      </c>
      <c r="L74" s="5">
        <f t="shared" si="595"/>
        <v>7639.278901049659</v>
      </c>
      <c r="M74" s="4">
        <v>7645.4989180543671</v>
      </c>
      <c r="N74" s="5">
        <f t="shared" ref="N74:Q74" si="596">M74+(($R74-$M74)/5)</f>
        <v>7632.3648133662382</v>
      </c>
      <c r="O74" s="5">
        <f t="shared" si="596"/>
        <v>7619.2307086781093</v>
      </c>
      <c r="P74" s="5">
        <f t="shared" si="596"/>
        <v>7606.0966039899804</v>
      </c>
      <c r="Q74" s="5">
        <f t="shared" si="596"/>
        <v>7592.9624993018515</v>
      </c>
      <c r="R74" s="4">
        <v>7579.8283946137226</v>
      </c>
      <c r="S74" s="5">
        <f t="shared" ref="S74:V74" si="597">R74+(($W74-$R74)/5)</f>
        <v>7533.7172640125691</v>
      </c>
      <c r="T74" s="5">
        <f t="shared" si="597"/>
        <v>7487.6061334114156</v>
      </c>
      <c r="U74" s="5">
        <f t="shared" si="597"/>
        <v>7441.4950028102621</v>
      </c>
      <c r="V74" s="5">
        <f t="shared" si="597"/>
        <v>7395.3838722091086</v>
      </c>
      <c r="W74" s="4">
        <v>7349.2727416079551</v>
      </c>
      <c r="X74" s="5">
        <f t="shared" ref="X74:AA74" si="598">W74+(($AB74-$W74)/5)</f>
        <v>7311.311616074292</v>
      </c>
      <c r="Y74" s="5">
        <f t="shared" si="598"/>
        <v>7273.3504905406289</v>
      </c>
      <c r="Z74" s="5">
        <f t="shared" si="598"/>
        <v>7235.3893650069658</v>
      </c>
      <c r="AA74" s="5">
        <f t="shared" si="598"/>
        <v>7197.4282394733027</v>
      </c>
      <c r="AB74" s="4">
        <v>7159.4671139396405</v>
      </c>
      <c r="AC74" s="5">
        <f t="shared" ref="AC74:AF74" si="599">AB74+(($AG74-$AB74)/5)</f>
        <v>7125.0661543634114</v>
      </c>
      <c r="AD74" s="5">
        <f t="shared" si="599"/>
        <v>7090.6651947871824</v>
      </c>
      <c r="AE74" s="5">
        <f t="shared" si="599"/>
        <v>7056.2642352109533</v>
      </c>
      <c r="AF74" s="5">
        <f t="shared" si="599"/>
        <v>7021.8632756347242</v>
      </c>
      <c r="AG74" s="4">
        <v>6987.4623160584943</v>
      </c>
    </row>
    <row r="75" spans="1:33" x14ac:dyDescent="0.3">
      <c r="A75" t="s">
        <v>138</v>
      </c>
      <c r="B75" t="s">
        <v>112</v>
      </c>
      <c r="C75" s="4">
        <v>2430.8037133814205</v>
      </c>
      <c r="D75" s="5">
        <f t="shared" ref="D75:G75" si="600">C75+(($H75-$C75)/5)</f>
        <v>2583.0974714661766</v>
      </c>
      <c r="E75" s="5">
        <f t="shared" si="600"/>
        <v>2735.3912295509326</v>
      </c>
      <c r="F75" s="5">
        <f t="shared" si="600"/>
        <v>2887.6849876356887</v>
      </c>
      <c r="G75" s="5">
        <f t="shared" si="600"/>
        <v>3039.9787457204447</v>
      </c>
      <c r="H75" s="4">
        <v>3192.2725038052004</v>
      </c>
      <c r="I75" s="5">
        <f t="shared" ref="I75:L75" si="601">H75+(($M75-$H75)/5)</f>
        <v>3165.4782924152846</v>
      </c>
      <c r="J75" s="5">
        <f t="shared" si="601"/>
        <v>3138.6840810253689</v>
      </c>
      <c r="K75" s="5">
        <f t="shared" si="601"/>
        <v>3111.8898696354531</v>
      </c>
      <c r="L75" s="5">
        <f t="shared" si="601"/>
        <v>3085.0956582455374</v>
      </c>
      <c r="M75" s="4">
        <v>3058.3014468556212</v>
      </c>
      <c r="N75" s="5">
        <f t="shared" ref="N75:Q75" si="602">M75+(($R75-$M75)/5)</f>
        <v>3036.9458073328428</v>
      </c>
      <c r="O75" s="5">
        <f t="shared" si="602"/>
        <v>3015.5901678100645</v>
      </c>
      <c r="P75" s="5">
        <f t="shared" si="602"/>
        <v>2994.2345282872861</v>
      </c>
      <c r="Q75" s="5">
        <f t="shared" si="602"/>
        <v>2972.8788887645078</v>
      </c>
      <c r="R75" s="4">
        <v>2951.5232492417294</v>
      </c>
      <c r="S75" s="5">
        <f t="shared" ref="S75:V75" si="603">R75+(($W75-$R75)/5)</f>
        <v>2910.2309202132283</v>
      </c>
      <c r="T75" s="5">
        <f t="shared" si="603"/>
        <v>2868.9385911847271</v>
      </c>
      <c r="U75" s="5">
        <f t="shared" si="603"/>
        <v>2827.6462621562259</v>
      </c>
      <c r="V75" s="5">
        <f t="shared" si="603"/>
        <v>2786.3539331277248</v>
      </c>
      <c r="W75" s="4">
        <v>2745.0616040992227</v>
      </c>
      <c r="X75" s="5">
        <f t="shared" ref="X75:AA75" si="604">W75+(($AB75-$W75)/5)</f>
        <v>2714.1787147496793</v>
      </c>
      <c r="Y75" s="5">
        <f t="shared" si="604"/>
        <v>2683.295825400136</v>
      </c>
      <c r="Z75" s="5">
        <f t="shared" si="604"/>
        <v>2652.4129360505926</v>
      </c>
      <c r="AA75" s="5">
        <f t="shared" si="604"/>
        <v>2621.5300467010493</v>
      </c>
      <c r="AB75" s="4">
        <v>2590.6471573515059</v>
      </c>
      <c r="AC75" s="5">
        <f t="shared" ref="AC75:AF75" si="605">AB75+(($AG75-$AB75)/5)</f>
        <v>2562.232694082998</v>
      </c>
      <c r="AD75" s="5">
        <f t="shared" si="605"/>
        <v>2533.8182308144901</v>
      </c>
      <c r="AE75" s="5">
        <f t="shared" si="605"/>
        <v>2505.4037675459822</v>
      </c>
      <c r="AF75" s="5">
        <f t="shared" si="605"/>
        <v>2476.9893042774743</v>
      </c>
      <c r="AG75" s="4">
        <v>2448.5748410089673</v>
      </c>
    </row>
    <row r="76" spans="1:33" x14ac:dyDescent="0.3">
      <c r="A76" t="str">
        <f>A75</f>
        <v>RO</v>
      </c>
      <c r="B76" t="s">
        <v>142</v>
      </c>
      <c r="C76" s="4">
        <f t="shared" ref="C76" si="606">SUM(C74:C75)</f>
        <v>10401.265573092969</v>
      </c>
      <c r="D76" s="5">
        <f t="shared" ref="D76:G76" si="607">C76+(($H76-$C76)/5)</f>
        <v>10482.34672584158</v>
      </c>
      <c r="E76" s="5">
        <f t="shared" si="607"/>
        <v>10563.427878590192</v>
      </c>
      <c r="F76" s="5">
        <f t="shared" si="607"/>
        <v>10644.509031338803</v>
      </c>
      <c r="G76" s="5">
        <f t="shared" si="607"/>
        <v>10725.590184087414</v>
      </c>
      <c r="H76" s="4">
        <f t="shared" ref="H76" si="608">SUM(H74:H75)</f>
        <v>10806.671336836023</v>
      </c>
      <c r="I76" s="5">
        <f t="shared" ref="I76:L76" si="609">H76+(($M76-$H76)/5)</f>
        <v>10786.097142450817</v>
      </c>
      <c r="J76" s="5">
        <f t="shared" si="609"/>
        <v>10765.522948065611</v>
      </c>
      <c r="K76" s="5">
        <f t="shared" si="609"/>
        <v>10744.948753680404</v>
      </c>
      <c r="L76" s="5">
        <f t="shared" si="609"/>
        <v>10724.374559295198</v>
      </c>
      <c r="M76" s="4">
        <f t="shared" ref="M76" si="610">SUM(M74:M75)</f>
        <v>10703.800364909988</v>
      </c>
      <c r="N76" s="5">
        <f t="shared" ref="N76:Q76" si="611">M76+(($R76-$M76)/5)</f>
        <v>10669.310620699081</v>
      </c>
      <c r="O76" s="5">
        <f t="shared" si="611"/>
        <v>10634.820876488175</v>
      </c>
      <c r="P76" s="5">
        <f t="shared" si="611"/>
        <v>10600.331132277268</v>
      </c>
      <c r="Q76" s="5">
        <f t="shared" si="611"/>
        <v>10565.841388066361</v>
      </c>
      <c r="R76" s="4">
        <f t="shared" ref="R76" si="612">SUM(R74:R75)</f>
        <v>10531.351643855452</v>
      </c>
      <c r="S76" s="5">
        <f t="shared" ref="S76:V76" si="613">R76+(($W76-$R76)/5)</f>
        <v>10443.948184225797</v>
      </c>
      <c r="T76" s="5">
        <f t="shared" si="613"/>
        <v>10356.544724596142</v>
      </c>
      <c r="U76" s="5">
        <f t="shared" si="613"/>
        <v>10269.141264966487</v>
      </c>
      <c r="V76" s="5">
        <f t="shared" si="613"/>
        <v>10181.737805336832</v>
      </c>
      <c r="W76" s="4">
        <f t="shared" ref="W76" si="614">SUM(W74:W75)</f>
        <v>10094.334345707179</v>
      </c>
      <c r="X76" s="5">
        <f t="shared" ref="X76:AA76" si="615">W76+(($AB76-$W76)/5)</f>
        <v>10025.490330823972</v>
      </c>
      <c r="Y76" s="5">
        <f t="shared" si="615"/>
        <v>9956.6463159407649</v>
      </c>
      <c r="Z76" s="5">
        <f t="shared" si="615"/>
        <v>9887.802301057558</v>
      </c>
      <c r="AA76" s="5">
        <f t="shared" si="615"/>
        <v>9818.9582861743511</v>
      </c>
      <c r="AB76" s="4">
        <f t="shared" ref="AB76" si="616">SUM(AB74:AB75)</f>
        <v>9750.114271291146</v>
      </c>
      <c r="AC76" s="5">
        <f t="shared" ref="AC76:AF76" si="617">AB76+(($AG76-$AB76)/5)</f>
        <v>9687.2988484464095</v>
      </c>
      <c r="AD76" s="5">
        <f t="shared" si="617"/>
        <v>9624.4834256016729</v>
      </c>
      <c r="AE76" s="5">
        <f t="shared" si="617"/>
        <v>9561.6680027569364</v>
      </c>
      <c r="AF76" s="5">
        <f t="shared" si="617"/>
        <v>9498.8525799121999</v>
      </c>
      <c r="AG76" s="4">
        <f t="shared" ref="AG76" si="618">SUM(AG74:AG75)</f>
        <v>9436.0371570674615</v>
      </c>
    </row>
    <row r="77" spans="1:33" x14ac:dyDescent="0.3">
      <c r="A77" t="s">
        <v>139</v>
      </c>
      <c r="B77" t="s">
        <v>111</v>
      </c>
      <c r="C77" s="4">
        <v>8875.0479434802364</v>
      </c>
      <c r="D77" s="5">
        <f t="shared" ref="D77:G77" si="619">C77+(($H77-$C77)/5)</f>
        <v>8808.0553049251812</v>
      </c>
      <c r="E77" s="5">
        <f t="shared" si="619"/>
        <v>8741.062666370126</v>
      </c>
      <c r="F77" s="5">
        <f t="shared" si="619"/>
        <v>8674.0700278150707</v>
      </c>
      <c r="G77" s="5">
        <f t="shared" si="619"/>
        <v>8607.0773892600155</v>
      </c>
      <c r="H77" s="4">
        <v>8540.0847507049621</v>
      </c>
      <c r="I77" s="5">
        <f t="shared" ref="I77:L77" si="620">H77+(($M77-$H77)/5)</f>
        <v>8512.3534847635347</v>
      </c>
      <c r="J77" s="5">
        <f t="shared" si="620"/>
        <v>8484.6222188221072</v>
      </c>
      <c r="K77" s="5">
        <f t="shared" si="620"/>
        <v>8456.8909528806798</v>
      </c>
      <c r="L77" s="5">
        <f t="shared" si="620"/>
        <v>8429.1596869392524</v>
      </c>
      <c r="M77" s="4">
        <v>8401.428420997825</v>
      </c>
      <c r="N77" s="5">
        <f t="shared" ref="N77:Q77" si="621">M77+(($R77-$M77)/5)</f>
        <v>8271.5351545199865</v>
      </c>
      <c r="O77" s="5">
        <f t="shared" si="621"/>
        <v>8141.6418880421479</v>
      </c>
      <c r="P77" s="5">
        <f t="shared" si="621"/>
        <v>8011.7486215643094</v>
      </c>
      <c r="Q77" s="5">
        <f t="shared" si="621"/>
        <v>7881.8553550864708</v>
      </c>
      <c r="R77" s="4">
        <v>7751.9620886086323</v>
      </c>
      <c r="S77" s="5">
        <f t="shared" ref="S77:V77" si="622">R77+(($W77-$R77)/5)</f>
        <v>7700.3199378356203</v>
      </c>
      <c r="T77" s="5">
        <f t="shared" si="622"/>
        <v>7648.6777870626083</v>
      </c>
      <c r="U77" s="5">
        <f t="shared" si="622"/>
        <v>7597.0356362895964</v>
      </c>
      <c r="V77" s="5">
        <f t="shared" si="622"/>
        <v>7545.3934855165844</v>
      </c>
      <c r="W77" s="4">
        <v>7493.7513347435706</v>
      </c>
      <c r="X77" s="5">
        <f t="shared" ref="X77:AA77" si="623">W77+(($AB77-$W77)/5)</f>
        <v>7452.5605476457167</v>
      </c>
      <c r="Y77" s="5">
        <f t="shared" si="623"/>
        <v>7411.3697605478628</v>
      </c>
      <c r="Z77" s="5">
        <f t="shared" si="623"/>
        <v>7370.1789734500089</v>
      </c>
      <c r="AA77" s="5">
        <f t="shared" si="623"/>
        <v>7328.988186352155</v>
      </c>
      <c r="AB77" s="4">
        <v>7287.7973992543011</v>
      </c>
      <c r="AC77" s="5">
        <f t="shared" ref="AC77:AF77" si="624">AB77+(($AG77-$AB77)/5)</f>
        <v>7257.5169858587578</v>
      </c>
      <c r="AD77" s="5">
        <f t="shared" si="624"/>
        <v>7227.2365724632145</v>
      </c>
      <c r="AE77" s="5">
        <f t="shared" si="624"/>
        <v>7196.9561590676713</v>
      </c>
      <c r="AF77" s="5">
        <f t="shared" si="624"/>
        <v>7166.675745672128</v>
      </c>
      <c r="AG77" s="4">
        <v>7136.3953322765847</v>
      </c>
    </row>
    <row r="78" spans="1:33" x14ac:dyDescent="0.3">
      <c r="A78" t="s">
        <v>139</v>
      </c>
      <c r="B78" t="s">
        <v>112</v>
      </c>
      <c r="C78" s="4">
        <v>3980.674270250498</v>
      </c>
      <c r="D78" s="5">
        <f t="shared" ref="D78:G78" si="625">C78+(($H78-$C78)/5)</f>
        <v>3974.4717645010501</v>
      </c>
      <c r="E78" s="5">
        <f t="shared" si="625"/>
        <v>3968.2692587516021</v>
      </c>
      <c r="F78" s="5">
        <f t="shared" si="625"/>
        <v>3962.0667530021542</v>
      </c>
      <c r="G78" s="5">
        <f t="shared" si="625"/>
        <v>3955.8642472527063</v>
      </c>
      <c r="H78" s="4">
        <v>3949.6617415032583</v>
      </c>
      <c r="I78" s="5">
        <f t="shared" ref="I78:L78" si="626">H78+(($M78-$H78)/5)</f>
        <v>3956.2279399993877</v>
      </c>
      <c r="J78" s="5">
        <f t="shared" si="626"/>
        <v>3962.794138495517</v>
      </c>
      <c r="K78" s="5">
        <f t="shared" si="626"/>
        <v>3969.3603369916464</v>
      </c>
      <c r="L78" s="5">
        <f t="shared" si="626"/>
        <v>3975.9265354877757</v>
      </c>
      <c r="M78" s="4">
        <v>3982.4927339839046</v>
      </c>
      <c r="N78" s="5">
        <f t="shared" ref="N78:Q78" si="627">M78+(($R78-$M78)/5)</f>
        <v>3983.1572140510334</v>
      </c>
      <c r="O78" s="5">
        <f t="shared" si="627"/>
        <v>3983.8216941181622</v>
      </c>
      <c r="P78" s="5">
        <f t="shared" si="627"/>
        <v>3984.486174185291</v>
      </c>
      <c r="Q78" s="5">
        <f t="shared" si="627"/>
        <v>3985.1506542524198</v>
      </c>
      <c r="R78" s="4">
        <v>3985.8151343195482</v>
      </c>
      <c r="S78" s="5">
        <f t="shared" ref="S78:V78" si="628">R78+(($W78-$R78)/5)</f>
        <v>3976.5759511502824</v>
      </c>
      <c r="T78" s="5">
        <f t="shared" si="628"/>
        <v>3967.3367679810167</v>
      </c>
      <c r="U78" s="5">
        <f t="shared" si="628"/>
        <v>3958.0975848117509</v>
      </c>
      <c r="V78" s="5">
        <f t="shared" si="628"/>
        <v>3948.8584016424852</v>
      </c>
      <c r="W78" s="4">
        <v>3939.6192184732199</v>
      </c>
      <c r="X78" s="5">
        <f t="shared" ref="X78:AA78" si="629">W78+(($AB78-$W78)/5)</f>
        <v>3924.8376097275341</v>
      </c>
      <c r="Y78" s="5">
        <f t="shared" si="629"/>
        <v>3910.0560009818482</v>
      </c>
      <c r="Z78" s="5">
        <f t="shared" si="629"/>
        <v>3895.2743922361624</v>
      </c>
      <c r="AA78" s="5">
        <f t="shared" si="629"/>
        <v>3880.4927834904765</v>
      </c>
      <c r="AB78" s="4">
        <v>3865.7111747447912</v>
      </c>
      <c r="AC78" s="5">
        <f t="shared" ref="AC78:AF78" si="630">AB78+(($AG78-$AB78)/5)</f>
        <v>3859.1617893312336</v>
      </c>
      <c r="AD78" s="5">
        <f t="shared" si="630"/>
        <v>3852.6124039176761</v>
      </c>
      <c r="AE78" s="5">
        <f t="shared" si="630"/>
        <v>3846.0630185041186</v>
      </c>
      <c r="AF78" s="5">
        <f t="shared" si="630"/>
        <v>3839.5136330905611</v>
      </c>
      <c r="AG78" s="4">
        <v>3832.9642476770027</v>
      </c>
    </row>
    <row r="79" spans="1:33" x14ac:dyDescent="0.3">
      <c r="A79" t="str">
        <f>A78</f>
        <v>SE</v>
      </c>
      <c r="B79" t="s">
        <v>142</v>
      </c>
      <c r="C79" s="4">
        <f t="shared" ref="C79" si="631">SUM(C77:C78)</f>
        <v>12855.722213730734</v>
      </c>
      <c r="D79" s="5">
        <f t="shared" ref="D79:G79" si="632">C79+(($H79-$C79)/5)</f>
        <v>12782.527069426231</v>
      </c>
      <c r="E79" s="5">
        <f t="shared" si="632"/>
        <v>12709.331925121727</v>
      </c>
      <c r="F79" s="5">
        <f t="shared" si="632"/>
        <v>12636.136780817224</v>
      </c>
      <c r="G79" s="5">
        <f t="shared" si="632"/>
        <v>12562.94163651272</v>
      </c>
      <c r="H79" s="4">
        <f t="shared" ref="H79" si="633">SUM(H77:H78)</f>
        <v>12489.74649220822</v>
      </c>
      <c r="I79" s="5">
        <f t="shared" ref="I79:L79" si="634">H79+(($M79-$H79)/5)</f>
        <v>12468.581424762922</v>
      </c>
      <c r="J79" s="5">
        <f t="shared" si="634"/>
        <v>12447.416357317625</v>
      </c>
      <c r="K79" s="5">
        <f t="shared" si="634"/>
        <v>12426.251289872327</v>
      </c>
      <c r="L79" s="5">
        <f t="shared" si="634"/>
        <v>12405.086222427029</v>
      </c>
      <c r="M79" s="4">
        <f t="shared" ref="M79" si="635">SUM(M77:M78)</f>
        <v>12383.92115498173</v>
      </c>
      <c r="N79" s="5">
        <f t="shared" ref="N79:Q79" si="636">M79+(($R79-$M79)/5)</f>
        <v>12254.692368571021</v>
      </c>
      <c r="O79" s="5">
        <f t="shared" si="636"/>
        <v>12125.463582160311</v>
      </c>
      <c r="P79" s="5">
        <f t="shared" si="636"/>
        <v>11996.234795749602</v>
      </c>
      <c r="Q79" s="5">
        <f t="shared" si="636"/>
        <v>11867.006009338893</v>
      </c>
      <c r="R79" s="4">
        <f t="shared" ref="R79" si="637">SUM(R77:R78)</f>
        <v>11737.77722292818</v>
      </c>
      <c r="S79" s="5">
        <f t="shared" ref="S79:V79" si="638">R79+(($W79-$R79)/5)</f>
        <v>11676.895888985902</v>
      </c>
      <c r="T79" s="5">
        <f t="shared" si="638"/>
        <v>11616.014555043625</v>
      </c>
      <c r="U79" s="5">
        <f t="shared" si="638"/>
        <v>11555.133221101347</v>
      </c>
      <c r="V79" s="5">
        <f t="shared" si="638"/>
        <v>11494.251887159069</v>
      </c>
      <c r="W79" s="4">
        <f t="shared" ref="W79" si="639">SUM(W77:W78)</f>
        <v>11433.370553216791</v>
      </c>
      <c r="X79" s="5">
        <f t="shared" ref="X79:AA79" si="640">W79+(($AB79-$W79)/5)</f>
        <v>11377.398157373251</v>
      </c>
      <c r="Y79" s="5">
        <f t="shared" si="640"/>
        <v>11321.42576152971</v>
      </c>
      <c r="Z79" s="5">
        <f t="shared" si="640"/>
        <v>11265.453365686169</v>
      </c>
      <c r="AA79" s="5">
        <f t="shared" si="640"/>
        <v>11209.480969842629</v>
      </c>
      <c r="AB79" s="4">
        <f t="shared" ref="AB79" si="641">SUM(AB77:AB78)</f>
        <v>11153.508573999092</v>
      </c>
      <c r="AC79" s="5">
        <f t="shared" ref="AC79:AF79" si="642">AB79+(($AG79-$AB79)/5)</f>
        <v>11116.67877518999</v>
      </c>
      <c r="AD79" s="5">
        <f t="shared" si="642"/>
        <v>11079.848976380888</v>
      </c>
      <c r="AE79" s="5">
        <f t="shared" si="642"/>
        <v>11043.019177571787</v>
      </c>
      <c r="AF79" s="5">
        <f t="shared" si="642"/>
        <v>11006.189378762685</v>
      </c>
      <c r="AG79" s="4">
        <f t="shared" ref="AG79" si="643">SUM(AG77:AG78)</f>
        <v>10969.359579953587</v>
      </c>
    </row>
    <row r="80" spans="1:33" x14ac:dyDescent="0.3">
      <c r="A80" t="s">
        <v>140</v>
      </c>
      <c r="B80" t="s">
        <v>111</v>
      </c>
      <c r="C80" s="4">
        <v>1028.6125439818632</v>
      </c>
      <c r="D80" s="5">
        <f t="shared" ref="D80:G80" si="644">C80+(($H80-$C80)/5)</f>
        <v>1057.3167478619951</v>
      </c>
      <c r="E80" s="5">
        <f t="shared" si="644"/>
        <v>1086.020951742127</v>
      </c>
      <c r="F80" s="5">
        <f t="shared" si="644"/>
        <v>1114.7251556222589</v>
      </c>
      <c r="G80" s="5">
        <f t="shared" si="644"/>
        <v>1143.4293595023908</v>
      </c>
      <c r="H80" s="4">
        <v>1172.1335633825227</v>
      </c>
      <c r="I80" s="5">
        <f t="shared" ref="I80:L80" si="645">H80+(($M80-$H80)/5)</f>
        <v>1168.3998853982041</v>
      </c>
      <c r="J80" s="5">
        <f t="shared" si="645"/>
        <v>1164.6662074138856</v>
      </c>
      <c r="K80" s="5">
        <f t="shared" si="645"/>
        <v>1160.932529429567</v>
      </c>
      <c r="L80" s="5">
        <f t="shared" si="645"/>
        <v>1157.1988514452485</v>
      </c>
      <c r="M80" s="4">
        <v>1153.4651734609299</v>
      </c>
      <c r="N80" s="5">
        <f t="shared" ref="N80:Q80" si="646">M80+(($R80-$M80)/5)</f>
        <v>1147.2231124169894</v>
      </c>
      <c r="O80" s="5">
        <f t="shared" si="646"/>
        <v>1140.9810513730488</v>
      </c>
      <c r="P80" s="5">
        <f t="shared" si="646"/>
        <v>1134.7389903291082</v>
      </c>
      <c r="Q80" s="5">
        <f t="shared" si="646"/>
        <v>1128.4969292851677</v>
      </c>
      <c r="R80" s="4">
        <v>1122.2548682412266</v>
      </c>
      <c r="S80" s="5">
        <f t="shared" ref="S80:V80" si="647">R80+(($W80-$R80)/5)</f>
        <v>1116.5214420734021</v>
      </c>
      <c r="T80" s="5">
        <f t="shared" si="647"/>
        <v>1110.7880159055776</v>
      </c>
      <c r="U80" s="5">
        <f t="shared" si="647"/>
        <v>1105.0545897377531</v>
      </c>
      <c r="V80" s="5">
        <f t="shared" si="647"/>
        <v>1099.3211635699286</v>
      </c>
      <c r="W80" s="4">
        <v>1093.587737402104</v>
      </c>
      <c r="X80" s="5">
        <f t="shared" ref="X80:AA80" si="648">W80+(($AB80-$W80)/5)</f>
        <v>1087.4065154481764</v>
      </c>
      <c r="Y80" s="5">
        <f t="shared" si="648"/>
        <v>1081.2252934942487</v>
      </c>
      <c r="Z80" s="5">
        <f t="shared" si="648"/>
        <v>1075.0440715403211</v>
      </c>
      <c r="AA80" s="5">
        <f t="shared" si="648"/>
        <v>1068.8628495863934</v>
      </c>
      <c r="AB80" s="4">
        <v>1062.6816276324662</v>
      </c>
      <c r="AC80" s="5">
        <f t="shared" ref="AC80:AF80" si="649">AB80+(($AG80-$AB80)/5)</f>
        <v>1053.170982720917</v>
      </c>
      <c r="AD80" s="5">
        <f t="shared" si="649"/>
        <v>1043.6603378093678</v>
      </c>
      <c r="AE80" s="5">
        <f t="shared" si="649"/>
        <v>1034.1496928978186</v>
      </c>
      <c r="AF80" s="5">
        <f t="shared" si="649"/>
        <v>1024.6390479862694</v>
      </c>
      <c r="AG80" s="4">
        <v>1015.1284030747202</v>
      </c>
    </row>
    <row r="81" spans="1:33" x14ac:dyDescent="0.3">
      <c r="A81" t="s">
        <v>140</v>
      </c>
      <c r="B81" t="s">
        <v>112</v>
      </c>
      <c r="C81" s="4">
        <v>517.03178680724318</v>
      </c>
      <c r="D81" s="5">
        <f t="shared" ref="D81:G81" si="650">C81+(($H81-$C81)/5)</f>
        <v>538.94977021749139</v>
      </c>
      <c r="E81" s="5">
        <f t="shared" si="650"/>
        <v>560.8677536277396</v>
      </c>
      <c r="F81" s="5">
        <f t="shared" si="650"/>
        <v>582.78573703798781</v>
      </c>
      <c r="G81" s="5">
        <f t="shared" si="650"/>
        <v>604.70372044823603</v>
      </c>
      <c r="H81" s="4">
        <v>626.62170385848412</v>
      </c>
      <c r="I81" s="5">
        <f t="shared" ref="I81:L81" si="651">H81+(($M81-$H81)/5)</f>
        <v>622.31412796369648</v>
      </c>
      <c r="J81" s="5">
        <f t="shared" si="651"/>
        <v>618.00655206890883</v>
      </c>
      <c r="K81" s="5">
        <f t="shared" si="651"/>
        <v>613.69897617412119</v>
      </c>
      <c r="L81" s="5">
        <f t="shared" si="651"/>
        <v>609.39140027933354</v>
      </c>
      <c r="M81" s="4">
        <v>605.08382438454601</v>
      </c>
      <c r="N81" s="5">
        <f t="shared" ref="N81:Q81" si="652">M81+(($R81-$M81)/5)</f>
        <v>608.74885766860757</v>
      </c>
      <c r="O81" s="5">
        <f t="shared" si="652"/>
        <v>612.41389095266914</v>
      </c>
      <c r="P81" s="5">
        <f t="shared" si="652"/>
        <v>616.0789242367307</v>
      </c>
      <c r="Q81" s="5">
        <f t="shared" si="652"/>
        <v>619.74395752079226</v>
      </c>
      <c r="R81" s="4">
        <v>623.40899080485406</v>
      </c>
      <c r="S81" s="5">
        <f t="shared" ref="S81:V81" si="653">R81+(($W81-$R81)/5)</f>
        <v>622.32754141009298</v>
      </c>
      <c r="T81" s="5">
        <f t="shared" si="653"/>
        <v>621.2460920153319</v>
      </c>
      <c r="U81" s="5">
        <f t="shared" si="653"/>
        <v>620.16464262057082</v>
      </c>
      <c r="V81" s="5">
        <f t="shared" si="653"/>
        <v>619.08319322580974</v>
      </c>
      <c r="W81" s="4">
        <v>618.00174383104866</v>
      </c>
      <c r="X81" s="5">
        <f t="shared" ref="X81:AA81" si="654">W81+(($AB81-$W81)/5)</f>
        <v>624.05537237509236</v>
      </c>
      <c r="Y81" s="5">
        <f t="shared" si="654"/>
        <v>630.10900091913607</v>
      </c>
      <c r="Z81" s="5">
        <f t="shared" si="654"/>
        <v>636.16262946317977</v>
      </c>
      <c r="AA81" s="5">
        <f t="shared" si="654"/>
        <v>642.21625800722347</v>
      </c>
      <c r="AB81" s="4">
        <v>648.2698865512674</v>
      </c>
      <c r="AC81" s="5">
        <f t="shared" ref="AC81:AF81" si="655">AB81+(($AG81-$AB81)/5)</f>
        <v>652.95206199318227</v>
      </c>
      <c r="AD81" s="5">
        <f t="shared" si="655"/>
        <v>657.63423743509713</v>
      </c>
      <c r="AE81" s="5">
        <f t="shared" si="655"/>
        <v>662.316412877012</v>
      </c>
      <c r="AF81" s="5">
        <f t="shared" si="655"/>
        <v>666.99858831892686</v>
      </c>
      <c r="AG81" s="4">
        <v>671.68076376084184</v>
      </c>
    </row>
    <row r="82" spans="1:33" x14ac:dyDescent="0.3">
      <c r="A82" t="str">
        <f>A81</f>
        <v>SI</v>
      </c>
      <c r="B82" t="s">
        <v>142</v>
      </c>
      <c r="C82" s="4">
        <f t="shared" ref="C82" si="656">SUM(C80:C81)</f>
        <v>1545.6443307891063</v>
      </c>
      <c r="D82" s="5">
        <f t="shared" ref="D82:G82" si="657">C82+(($H82-$C82)/5)</f>
        <v>1596.2665180794863</v>
      </c>
      <c r="E82" s="5">
        <f t="shared" si="657"/>
        <v>1646.8887053698663</v>
      </c>
      <c r="F82" s="5">
        <f t="shared" si="657"/>
        <v>1697.5108926602463</v>
      </c>
      <c r="G82" s="5">
        <f t="shared" si="657"/>
        <v>1748.1330799506263</v>
      </c>
      <c r="H82" s="4">
        <f t="shared" ref="H82" si="658">SUM(H80:H81)</f>
        <v>1798.7552672410068</v>
      </c>
      <c r="I82" s="5">
        <f t="shared" ref="I82:L82" si="659">H82+(($M82-$H82)/5)</f>
        <v>1790.7140133619007</v>
      </c>
      <c r="J82" s="5">
        <f t="shared" si="659"/>
        <v>1782.6727594827946</v>
      </c>
      <c r="K82" s="5">
        <f t="shared" si="659"/>
        <v>1774.6315056036885</v>
      </c>
      <c r="L82" s="5">
        <f t="shared" si="659"/>
        <v>1766.5902517245825</v>
      </c>
      <c r="M82" s="4">
        <f t="shared" ref="M82" si="660">SUM(M80:M81)</f>
        <v>1758.5489978454759</v>
      </c>
      <c r="N82" s="5">
        <f t="shared" ref="N82:Q82" si="661">M82+(($R82-$M82)/5)</f>
        <v>1755.9719700855969</v>
      </c>
      <c r="O82" s="5">
        <f t="shared" si="661"/>
        <v>1753.3949423257179</v>
      </c>
      <c r="P82" s="5">
        <f t="shared" si="661"/>
        <v>1750.8179145658389</v>
      </c>
      <c r="Q82" s="5">
        <f t="shared" si="661"/>
        <v>1748.2408868059599</v>
      </c>
      <c r="R82" s="4">
        <f t="shared" ref="R82" si="662">SUM(R80:R81)</f>
        <v>1745.6638590460807</v>
      </c>
      <c r="S82" s="5">
        <f t="shared" ref="S82:V82" si="663">R82+(($W82-$R82)/5)</f>
        <v>1738.848983483495</v>
      </c>
      <c r="T82" s="5">
        <f t="shared" si="663"/>
        <v>1732.0341079209093</v>
      </c>
      <c r="U82" s="5">
        <f t="shared" si="663"/>
        <v>1725.2192323583236</v>
      </c>
      <c r="V82" s="5">
        <f t="shared" si="663"/>
        <v>1718.4043567957378</v>
      </c>
      <c r="W82" s="4">
        <f t="shared" ref="W82" si="664">SUM(W80:W81)</f>
        <v>1711.5894812331526</v>
      </c>
      <c r="X82" s="5">
        <f t="shared" ref="X82:AA82" si="665">W82+(($AB82-$W82)/5)</f>
        <v>1711.4618878232689</v>
      </c>
      <c r="Y82" s="5">
        <f t="shared" si="665"/>
        <v>1711.3342944133851</v>
      </c>
      <c r="Z82" s="5">
        <f t="shared" si="665"/>
        <v>1711.2067010035014</v>
      </c>
      <c r="AA82" s="5">
        <f t="shared" si="665"/>
        <v>1711.0791075936177</v>
      </c>
      <c r="AB82" s="4">
        <f t="shared" ref="AB82" si="666">SUM(AB80:AB81)</f>
        <v>1710.9515141837337</v>
      </c>
      <c r="AC82" s="5">
        <f t="shared" ref="AC82:AF82" si="667">AB82+(($AG82-$AB82)/5)</f>
        <v>1706.1230447140993</v>
      </c>
      <c r="AD82" s="5">
        <f t="shared" si="667"/>
        <v>1701.2945752444648</v>
      </c>
      <c r="AE82" s="5">
        <f t="shared" si="667"/>
        <v>1696.4661057748303</v>
      </c>
      <c r="AF82" s="5">
        <f t="shared" si="667"/>
        <v>1691.6376363051959</v>
      </c>
      <c r="AG82" s="4">
        <f t="shared" ref="AG82" si="668">SUM(AG80:AG81)</f>
        <v>1686.8091668355619</v>
      </c>
    </row>
    <row r="83" spans="1:33" x14ac:dyDescent="0.3">
      <c r="A83" t="s">
        <v>141</v>
      </c>
      <c r="B83" t="s">
        <v>111</v>
      </c>
      <c r="C83" s="4">
        <v>2640.8507330213683</v>
      </c>
      <c r="D83" s="5">
        <f t="shared" ref="D83:G83" si="669">C83+(($H83-$C83)/5)</f>
        <v>2525.9412259874739</v>
      </c>
      <c r="E83" s="5">
        <f t="shared" si="669"/>
        <v>2411.0317189535795</v>
      </c>
      <c r="F83" s="5">
        <f t="shared" si="669"/>
        <v>2296.122211919685</v>
      </c>
      <c r="G83" s="5">
        <f t="shared" si="669"/>
        <v>2181.2127048857906</v>
      </c>
      <c r="H83" s="4">
        <v>2066.3031978518957</v>
      </c>
      <c r="I83" s="5">
        <f t="shared" ref="I83:L83" si="670">H83+(($M83-$H83)/5)</f>
        <v>2067.8800138972906</v>
      </c>
      <c r="J83" s="5">
        <f t="shared" si="670"/>
        <v>2069.4568299426855</v>
      </c>
      <c r="K83" s="5">
        <f t="shared" si="670"/>
        <v>2071.0336459880805</v>
      </c>
      <c r="L83" s="5">
        <f t="shared" si="670"/>
        <v>2072.6104620334754</v>
      </c>
      <c r="M83" s="4">
        <v>2074.1872780788708</v>
      </c>
      <c r="N83" s="5">
        <f t="shared" ref="N83:Q83" si="671">M83+(($R83-$M83)/5)</f>
        <v>2084.1670753338958</v>
      </c>
      <c r="O83" s="5">
        <f t="shared" si="671"/>
        <v>2094.1468725889208</v>
      </c>
      <c r="P83" s="5">
        <f t="shared" si="671"/>
        <v>2104.1266698439458</v>
      </c>
      <c r="Q83" s="5">
        <f t="shared" si="671"/>
        <v>2114.1064670989708</v>
      </c>
      <c r="R83" s="4">
        <v>2124.0862643539954</v>
      </c>
      <c r="S83" s="5">
        <f t="shared" ref="S83:V83" si="672">R83+(($W83-$R83)/5)</f>
        <v>2123.0080039347436</v>
      </c>
      <c r="T83" s="5">
        <f t="shared" si="672"/>
        <v>2121.9297435154917</v>
      </c>
      <c r="U83" s="5">
        <f t="shared" si="672"/>
        <v>2120.8514830962399</v>
      </c>
      <c r="V83" s="5">
        <f t="shared" si="672"/>
        <v>2119.7732226769881</v>
      </c>
      <c r="W83" s="4">
        <v>2118.6949622577363</v>
      </c>
      <c r="X83" s="5">
        <f t="shared" ref="X83:AA83" si="673">W83+(($AB83-$W83)/5)</f>
        <v>2120.5129532466726</v>
      </c>
      <c r="Y83" s="5">
        <f t="shared" si="673"/>
        <v>2122.330944235609</v>
      </c>
      <c r="Z83" s="5">
        <f t="shared" si="673"/>
        <v>2124.1489352245453</v>
      </c>
      <c r="AA83" s="5">
        <f t="shared" si="673"/>
        <v>2125.9669262134817</v>
      </c>
      <c r="AB83" s="4">
        <v>2127.784917202418</v>
      </c>
      <c r="AC83" s="5">
        <f t="shared" ref="AC83:AF83" si="674">AB83+(($AG83-$AB83)/5)</f>
        <v>2126.3316393754985</v>
      </c>
      <c r="AD83" s="5">
        <f t="shared" si="674"/>
        <v>2124.8783615485791</v>
      </c>
      <c r="AE83" s="5">
        <f t="shared" si="674"/>
        <v>2123.4250837216596</v>
      </c>
      <c r="AF83" s="5">
        <f t="shared" si="674"/>
        <v>2121.9718058947401</v>
      </c>
      <c r="AG83" s="4">
        <v>2120.5185280678215</v>
      </c>
    </row>
    <row r="84" spans="1:33" x14ac:dyDescent="0.3">
      <c r="A84" t="s">
        <v>141</v>
      </c>
      <c r="B84" t="s">
        <v>112</v>
      </c>
      <c r="C84" s="4">
        <v>1199.7593402469079</v>
      </c>
      <c r="D84" s="5">
        <f t="shared" ref="D84:G84" si="675">C84+(($H84-$C84)/5)</f>
        <v>1351.3026374012352</v>
      </c>
      <c r="E84" s="5">
        <f t="shared" si="675"/>
        <v>1502.8459345555625</v>
      </c>
      <c r="F84" s="5">
        <f t="shared" si="675"/>
        <v>1654.3892317098898</v>
      </c>
      <c r="G84" s="5">
        <f t="shared" si="675"/>
        <v>1805.9325288642171</v>
      </c>
      <c r="H84" s="4">
        <v>1957.4758260185445</v>
      </c>
      <c r="I84" s="5">
        <f t="shared" ref="I84:L84" si="676">H84+(($M84-$H84)/5)</f>
        <v>1967.9521463191265</v>
      </c>
      <c r="J84" s="5">
        <f t="shared" si="676"/>
        <v>1978.4284666197086</v>
      </c>
      <c r="K84" s="5">
        <f t="shared" si="676"/>
        <v>1988.9047869202907</v>
      </c>
      <c r="L84" s="5">
        <f t="shared" si="676"/>
        <v>1999.3811072208728</v>
      </c>
      <c r="M84" s="4">
        <v>2009.8574275214548</v>
      </c>
      <c r="N84" s="5">
        <f t="shared" ref="N84:Q84" si="677">M84+(($R84-$M84)/5)</f>
        <v>2034.4589303943042</v>
      </c>
      <c r="O84" s="5">
        <f t="shared" si="677"/>
        <v>2059.0604332671537</v>
      </c>
      <c r="P84" s="5">
        <f t="shared" si="677"/>
        <v>2083.661936140003</v>
      </c>
      <c r="Q84" s="5">
        <f t="shared" si="677"/>
        <v>2108.2634390128524</v>
      </c>
      <c r="R84" s="4">
        <v>2132.8649418857017</v>
      </c>
      <c r="S84" s="5">
        <f t="shared" ref="S84:V84" si="678">R84+(($W84-$R84)/5)</f>
        <v>2134.8188619289422</v>
      </c>
      <c r="T84" s="5">
        <f t="shared" si="678"/>
        <v>2136.7727819721827</v>
      </c>
      <c r="U84" s="5">
        <f t="shared" si="678"/>
        <v>2138.7267020154231</v>
      </c>
      <c r="V84" s="5">
        <f t="shared" si="678"/>
        <v>2140.6806220586636</v>
      </c>
      <c r="W84" s="4">
        <v>2142.6345421019037</v>
      </c>
      <c r="X84" s="5">
        <f t="shared" ref="X84:AA84" si="679">W84+(($AB84-$W84)/5)</f>
        <v>2134.8568975217372</v>
      </c>
      <c r="Y84" s="5">
        <f t="shared" si="679"/>
        <v>2127.0792529415708</v>
      </c>
      <c r="Z84" s="5">
        <f t="shared" si="679"/>
        <v>2119.3016083614043</v>
      </c>
      <c r="AA84" s="5">
        <f t="shared" si="679"/>
        <v>2111.5239637812379</v>
      </c>
      <c r="AB84" s="4">
        <v>2103.7463192010719</v>
      </c>
      <c r="AC84" s="5">
        <f t="shared" ref="AC84:AF84" si="680">AB84+(($AG84-$AB84)/5)</f>
        <v>2102.2375552965423</v>
      </c>
      <c r="AD84" s="5">
        <f t="shared" si="680"/>
        <v>2100.7287913920127</v>
      </c>
      <c r="AE84" s="5">
        <f t="shared" si="680"/>
        <v>2099.2200274874831</v>
      </c>
      <c r="AF84" s="5">
        <f t="shared" si="680"/>
        <v>2097.7112635829535</v>
      </c>
      <c r="AG84" s="4">
        <v>2096.2024996784235</v>
      </c>
    </row>
    <row r="85" spans="1:33" x14ac:dyDescent="0.3">
      <c r="A85" t="str">
        <f>A84</f>
        <v>SK</v>
      </c>
      <c r="B85" t="s">
        <v>142</v>
      </c>
      <c r="C85" s="4">
        <f t="shared" ref="C85" si="681">SUM(C83:C84)</f>
        <v>3840.6100732682762</v>
      </c>
      <c r="D85" s="5">
        <f t="shared" ref="D85:G85" si="682">C85+(($H85-$C85)/5)</f>
        <v>3877.2438633887091</v>
      </c>
      <c r="E85" s="5">
        <f t="shared" si="682"/>
        <v>3913.877653509142</v>
      </c>
      <c r="F85" s="5">
        <f t="shared" si="682"/>
        <v>3950.5114436295748</v>
      </c>
      <c r="G85" s="5">
        <f t="shared" si="682"/>
        <v>3987.1452337500077</v>
      </c>
      <c r="H85" s="4">
        <f t="shared" ref="H85" si="683">SUM(H83:H84)</f>
        <v>4023.7790238704401</v>
      </c>
      <c r="I85" s="5">
        <f t="shared" ref="I85:L85" si="684">H85+(($M85-$H85)/5)</f>
        <v>4035.8321602164174</v>
      </c>
      <c r="J85" s="5">
        <f t="shared" si="684"/>
        <v>4047.8852965623946</v>
      </c>
      <c r="K85" s="5">
        <f t="shared" si="684"/>
        <v>4059.9384329083719</v>
      </c>
      <c r="L85" s="5">
        <f t="shared" si="684"/>
        <v>4071.9915692543491</v>
      </c>
      <c r="M85" s="4">
        <f t="shared" ref="M85" si="685">SUM(M83:M84)</f>
        <v>4084.0447056003259</v>
      </c>
      <c r="N85" s="5">
        <f t="shared" ref="N85:Q85" si="686">M85+(($R85-$M85)/5)</f>
        <v>4118.6260057281997</v>
      </c>
      <c r="O85" s="5">
        <f t="shared" si="686"/>
        <v>4153.2073058560736</v>
      </c>
      <c r="P85" s="5">
        <f t="shared" si="686"/>
        <v>4187.7886059839475</v>
      </c>
      <c r="Q85" s="5">
        <f t="shared" si="686"/>
        <v>4222.3699061118214</v>
      </c>
      <c r="R85" s="4">
        <f t="shared" ref="R85" si="687">SUM(R83:R84)</f>
        <v>4256.9512062396971</v>
      </c>
      <c r="S85" s="5">
        <f t="shared" ref="S85:V85" si="688">R85+(($W85-$R85)/5)</f>
        <v>4257.8268658636853</v>
      </c>
      <c r="T85" s="5">
        <f t="shared" si="688"/>
        <v>4258.7025254876735</v>
      </c>
      <c r="U85" s="5">
        <f t="shared" si="688"/>
        <v>4259.5781851116617</v>
      </c>
      <c r="V85" s="5">
        <f t="shared" si="688"/>
        <v>4260.4538447356499</v>
      </c>
      <c r="W85" s="4">
        <f t="shared" ref="W85" si="689">SUM(W83:W84)</f>
        <v>4261.3295043596399</v>
      </c>
      <c r="X85" s="5">
        <f t="shared" ref="X85:AA85" si="690">W85+(($AB85-$W85)/5)</f>
        <v>4255.3698507684103</v>
      </c>
      <c r="Y85" s="5">
        <f t="shared" si="690"/>
        <v>4249.4101971771806</v>
      </c>
      <c r="Z85" s="5">
        <f t="shared" si="690"/>
        <v>4243.450543585951</v>
      </c>
      <c r="AA85" s="5">
        <f t="shared" si="690"/>
        <v>4237.4908899947213</v>
      </c>
      <c r="AB85" s="4">
        <f t="shared" ref="AB85" si="691">SUM(AB83:AB84)</f>
        <v>4231.5312364034899</v>
      </c>
      <c r="AC85" s="5">
        <f t="shared" ref="AC85:AF85" si="692">AB85+(($AG85-$AB85)/5)</f>
        <v>4228.5691946720408</v>
      </c>
      <c r="AD85" s="5">
        <f t="shared" si="692"/>
        <v>4225.6071529405917</v>
      </c>
      <c r="AE85" s="5">
        <f t="shared" si="692"/>
        <v>4222.6451112091427</v>
      </c>
      <c r="AF85" s="5">
        <f t="shared" si="692"/>
        <v>4219.6830694776936</v>
      </c>
      <c r="AG85" s="4">
        <f t="shared" ref="AG85" si="693">SUM(AG83:AG84)</f>
        <v>4216.7210277462455</v>
      </c>
    </row>
    <row r="94" spans="1:33" x14ac:dyDescent="0.3">
      <c r="A94" t="s">
        <v>117</v>
      </c>
      <c r="C94" s="3">
        <v>2020</v>
      </c>
      <c r="D94" s="3">
        <v>2021</v>
      </c>
      <c r="E94" s="3">
        <v>2022</v>
      </c>
      <c r="F94" s="3">
        <v>2023</v>
      </c>
      <c r="G94" s="3">
        <v>2024</v>
      </c>
      <c r="H94" s="3">
        <v>2025</v>
      </c>
      <c r="I94" s="3">
        <v>2026</v>
      </c>
      <c r="J94" s="3">
        <v>2027</v>
      </c>
      <c r="K94" s="3">
        <v>2028</v>
      </c>
      <c r="L94" s="3">
        <v>2029</v>
      </c>
      <c r="M94" s="3">
        <v>2030</v>
      </c>
      <c r="N94" s="3">
        <v>2031</v>
      </c>
      <c r="O94" s="3">
        <v>2032</v>
      </c>
      <c r="P94" s="3">
        <v>2033</v>
      </c>
      <c r="Q94" s="3">
        <v>2034</v>
      </c>
      <c r="R94" s="3">
        <v>2035</v>
      </c>
      <c r="S94" s="3">
        <v>2036</v>
      </c>
      <c r="T94" s="3">
        <v>2037</v>
      </c>
      <c r="U94" s="3">
        <v>2038</v>
      </c>
      <c r="V94" s="3">
        <v>2039</v>
      </c>
      <c r="W94" s="3">
        <v>2040</v>
      </c>
      <c r="X94" s="3">
        <v>2041</v>
      </c>
      <c r="Y94" s="3">
        <v>2042</v>
      </c>
      <c r="Z94" s="3">
        <v>2043</v>
      </c>
      <c r="AA94" s="3">
        <v>2044</v>
      </c>
      <c r="AB94" s="3">
        <v>2045</v>
      </c>
      <c r="AC94" s="3">
        <v>2046</v>
      </c>
      <c r="AD94" s="3">
        <v>2047</v>
      </c>
      <c r="AE94" s="3">
        <v>2048</v>
      </c>
      <c r="AF94" s="3">
        <v>2049</v>
      </c>
      <c r="AG94" s="3">
        <v>2050</v>
      </c>
    </row>
    <row r="95" spans="1:33" x14ac:dyDescent="0.3">
      <c r="A95" t="s">
        <v>113</v>
      </c>
      <c r="B95" t="s">
        <v>142</v>
      </c>
      <c r="C95" s="4">
        <v>391370.66748788476</v>
      </c>
      <c r="D95" s="5">
        <v>391836.57732914109</v>
      </c>
      <c r="E95" s="5">
        <v>392302.48717039742</v>
      </c>
      <c r="F95" s="5">
        <v>392768.39701165375</v>
      </c>
      <c r="G95" s="5">
        <v>393234.30685291009</v>
      </c>
      <c r="H95" s="4">
        <v>393700.21669416642</v>
      </c>
      <c r="I95" s="5">
        <v>390183.223572922</v>
      </c>
      <c r="J95" s="5">
        <v>386666.23045167758</v>
      </c>
      <c r="K95" s="5">
        <v>383149.23733043316</v>
      </c>
      <c r="L95" s="5">
        <v>379632.24420918874</v>
      </c>
      <c r="M95" s="4">
        <v>376115.25108794437</v>
      </c>
      <c r="N95" s="5">
        <v>375034.74032472906</v>
      </c>
      <c r="O95" s="5">
        <v>373954.22956151376</v>
      </c>
      <c r="P95" s="5">
        <v>372873.71879829845</v>
      </c>
      <c r="Q95" s="5">
        <v>371793.20803508314</v>
      </c>
      <c r="R95" s="4">
        <v>370712.69727186789</v>
      </c>
      <c r="S95" s="5">
        <v>369298.76427876856</v>
      </c>
      <c r="T95" s="5">
        <v>367884.83128566924</v>
      </c>
      <c r="U95" s="5">
        <v>366470.89829256991</v>
      </c>
      <c r="V95" s="5">
        <v>365056.96529947058</v>
      </c>
      <c r="W95" s="4">
        <v>363643.03230637126</v>
      </c>
      <c r="X95" s="5">
        <v>362440.41763963498</v>
      </c>
      <c r="Y95" s="5">
        <v>361237.8029728987</v>
      </c>
      <c r="Z95" s="5">
        <v>360035.18830616242</v>
      </c>
      <c r="AA95" s="5">
        <v>358832.57363942615</v>
      </c>
      <c r="AB95" s="4">
        <v>357629.95897268999</v>
      </c>
      <c r="AC95" s="5">
        <v>356618.82501468697</v>
      </c>
      <c r="AD95" s="5">
        <v>355607.69105668395</v>
      </c>
      <c r="AE95" s="5">
        <v>354596.55709868093</v>
      </c>
      <c r="AF95" s="5">
        <v>353585.42314067791</v>
      </c>
      <c r="AG95" s="4">
        <v>352574.28918267495</v>
      </c>
    </row>
    <row r="96" spans="1:33" x14ac:dyDescent="0.3">
      <c r="A96" t="s">
        <v>114</v>
      </c>
      <c r="B96" t="s">
        <v>142</v>
      </c>
      <c r="C96" s="4">
        <v>9703.454978249445</v>
      </c>
      <c r="D96" s="5">
        <v>9628.7564261130956</v>
      </c>
      <c r="E96" s="5">
        <v>9554.0578739767461</v>
      </c>
      <c r="F96" s="5">
        <v>9479.3593218403967</v>
      </c>
      <c r="G96" s="5">
        <v>9404.6607697040472</v>
      </c>
      <c r="H96" s="4">
        <v>9329.9622175677014</v>
      </c>
      <c r="I96" s="5">
        <v>9255.6351939513534</v>
      </c>
      <c r="J96" s="5">
        <v>9181.3081703350053</v>
      </c>
      <c r="K96" s="5">
        <v>9106.9811467186573</v>
      </c>
      <c r="L96" s="5">
        <v>9032.6541231023093</v>
      </c>
      <c r="M96" s="4">
        <v>8958.3270994859577</v>
      </c>
      <c r="N96" s="5">
        <v>8968.7307793532582</v>
      </c>
      <c r="O96" s="5">
        <v>8979.1344592205587</v>
      </c>
      <c r="P96" s="5">
        <v>8989.5381390878592</v>
      </c>
      <c r="Q96" s="5">
        <v>8999.9418189551598</v>
      </c>
      <c r="R96" s="4">
        <v>9010.3454988224621</v>
      </c>
      <c r="S96" s="5">
        <v>9002.886403915636</v>
      </c>
      <c r="T96" s="5">
        <v>8995.42730900881</v>
      </c>
      <c r="U96" s="5">
        <v>8987.9682141019839</v>
      </c>
      <c r="V96" s="5">
        <v>8980.5091191951578</v>
      </c>
      <c r="W96" s="4">
        <v>8973.0500242883281</v>
      </c>
      <c r="X96" s="5">
        <v>8975.2313728582631</v>
      </c>
      <c r="Y96" s="5">
        <v>8977.412721428198</v>
      </c>
      <c r="Z96" s="5">
        <v>8979.5940699981329</v>
      </c>
      <c r="AA96" s="5">
        <v>8981.7754185680678</v>
      </c>
      <c r="AB96" s="4">
        <v>8983.9567671380046</v>
      </c>
      <c r="AC96" s="5">
        <v>8979.4685057975985</v>
      </c>
      <c r="AD96" s="5">
        <v>8974.9802444571924</v>
      </c>
      <c r="AE96" s="5">
        <v>8970.4919831167863</v>
      </c>
      <c r="AF96" s="5">
        <v>8966.0037217763802</v>
      </c>
      <c r="AG96" s="4">
        <v>8961.5154604359723</v>
      </c>
    </row>
    <row r="97" spans="1:33" x14ac:dyDescent="0.3">
      <c r="A97" t="s">
        <v>115</v>
      </c>
      <c r="B97" t="s">
        <v>142</v>
      </c>
      <c r="C97" s="4">
        <v>12700.269509858575</v>
      </c>
      <c r="D97" s="5">
        <v>12724.686324707329</v>
      </c>
      <c r="E97" s="5">
        <v>12749.103139556082</v>
      </c>
      <c r="F97" s="5">
        <v>12773.519954404836</v>
      </c>
      <c r="G97" s="5">
        <v>12797.936769253589</v>
      </c>
      <c r="H97" s="4">
        <v>12822.35358410234</v>
      </c>
      <c r="I97" s="5">
        <v>12657.767370823596</v>
      </c>
      <c r="J97" s="5">
        <v>12493.181157544852</v>
      </c>
      <c r="K97" s="5">
        <v>12328.594944266108</v>
      </c>
      <c r="L97" s="5">
        <v>12164.008730987363</v>
      </c>
      <c r="M97" s="4">
        <v>11999.422517708617</v>
      </c>
      <c r="N97" s="5">
        <v>11956.597383471277</v>
      </c>
      <c r="O97" s="5">
        <v>11913.772249233936</v>
      </c>
      <c r="P97" s="5">
        <v>11870.947114996596</v>
      </c>
      <c r="Q97" s="5">
        <v>11828.121980759255</v>
      </c>
      <c r="R97" s="4">
        <v>11785.296846521911</v>
      </c>
      <c r="S97" s="5">
        <v>11763.913997347101</v>
      </c>
      <c r="T97" s="5">
        <v>11742.531148172291</v>
      </c>
      <c r="U97" s="5">
        <v>11721.148298997481</v>
      </c>
      <c r="V97" s="5">
        <v>11699.765449822671</v>
      </c>
      <c r="W97" s="4">
        <v>11678.382600647859</v>
      </c>
      <c r="X97" s="5">
        <v>11667.278431921648</v>
      </c>
      <c r="Y97" s="5">
        <v>11656.174263195437</v>
      </c>
      <c r="Z97" s="5">
        <v>11645.070094469225</v>
      </c>
      <c r="AA97" s="5">
        <v>11633.965925743014</v>
      </c>
      <c r="AB97" s="4">
        <v>11622.861757016803</v>
      </c>
      <c r="AC97" s="5">
        <v>11587.911761972862</v>
      </c>
      <c r="AD97" s="5">
        <v>11552.961766928922</v>
      </c>
      <c r="AE97" s="5">
        <v>11518.011771884981</v>
      </c>
      <c r="AF97" s="5">
        <v>11483.061776841041</v>
      </c>
      <c r="AG97" s="4">
        <v>11448.111781797097</v>
      </c>
    </row>
    <row r="98" spans="1:33" x14ac:dyDescent="0.3">
      <c r="A98" t="s">
        <v>116</v>
      </c>
      <c r="B98" t="s">
        <v>142</v>
      </c>
      <c r="C98" s="4">
        <v>3413.9683762531222</v>
      </c>
      <c r="D98" s="5">
        <v>3474.0894923549877</v>
      </c>
      <c r="E98" s="5">
        <v>3534.2106084568532</v>
      </c>
      <c r="F98" s="5">
        <v>3594.3317245587186</v>
      </c>
      <c r="G98" s="5">
        <v>3654.4528406605841</v>
      </c>
      <c r="H98" s="4">
        <v>3714.5739567624487</v>
      </c>
      <c r="I98" s="5">
        <v>3708.4388993814705</v>
      </c>
      <c r="J98" s="5">
        <v>3702.3038420004923</v>
      </c>
      <c r="K98" s="5">
        <v>3696.1687846195141</v>
      </c>
      <c r="L98" s="5">
        <v>3690.0337272385359</v>
      </c>
      <c r="M98" s="4">
        <v>3683.8986698575577</v>
      </c>
      <c r="N98" s="5">
        <v>3690.4386620400874</v>
      </c>
      <c r="O98" s="5">
        <v>3696.978654222617</v>
      </c>
      <c r="P98" s="5">
        <v>3703.5186464051467</v>
      </c>
      <c r="Q98" s="5">
        <v>3710.0586385876763</v>
      </c>
      <c r="R98" s="4">
        <v>3716.5986307702055</v>
      </c>
      <c r="S98" s="5">
        <v>3709.0692888014114</v>
      </c>
      <c r="T98" s="5">
        <v>3701.5399468326173</v>
      </c>
      <c r="U98" s="5">
        <v>3694.0106048638231</v>
      </c>
      <c r="V98" s="5">
        <v>3686.481262895029</v>
      </c>
      <c r="W98" s="4">
        <v>3678.9519209262344</v>
      </c>
      <c r="X98" s="5">
        <v>3675.1583062516156</v>
      </c>
      <c r="Y98" s="5">
        <v>3671.3646915769968</v>
      </c>
      <c r="Z98" s="5">
        <v>3667.5710769023781</v>
      </c>
      <c r="AA98" s="5">
        <v>3663.7774622277593</v>
      </c>
      <c r="AB98" s="4">
        <v>3659.9838475531401</v>
      </c>
      <c r="AC98" s="5">
        <v>3652.9481497122206</v>
      </c>
      <c r="AD98" s="5">
        <v>3645.9124518713011</v>
      </c>
      <c r="AE98" s="5">
        <v>3638.8767540303816</v>
      </c>
      <c r="AF98" s="5">
        <v>3631.8410561894621</v>
      </c>
      <c r="AG98" s="4">
        <v>3624.8053583485425</v>
      </c>
    </row>
    <row r="99" spans="1:33" x14ac:dyDescent="0.3">
      <c r="A99" t="s">
        <v>118</v>
      </c>
      <c r="B99" t="s">
        <v>142</v>
      </c>
      <c r="C99" s="4">
        <v>662.14151643191963</v>
      </c>
      <c r="D99" s="5">
        <v>693.36812518551733</v>
      </c>
      <c r="E99" s="5">
        <v>724.59473393911503</v>
      </c>
      <c r="F99" s="5">
        <v>755.82134269271273</v>
      </c>
      <c r="G99" s="5">
        <v>787.04795144631044</v>
      </c>
      <c r="H99" s="4">
        <v>818.27456019990836</v>
      </c>
      <c r="I99" s="5">
        <v>830.5916720204084</v>
      </c>
      <c r="J99" s="5">
        <v>842.90878384090843</v>
      </c>
      <c r="K99" s="5">
        <v>855.22589566140846</v>
      </c>
      <c r="L99" s="5">
        <v>867.54300748190849</v>
      </c>
      <c r="M99" s="4">
        <v>879.86011930240829</v>
      </c>
      <c r="N99" s="5">
        <v>888.50569504854514</v>
      </c>
      <c r="O99" s="5">
        <v>897.15127079468198</v>
      </c>
      <c r="P99" s="5">
        <v>905.79684654081882</v>
      </c>
      <c r="Q99" s="5">
        <v>914.44242228695566</v>
      </c>
      <c r="R99" s="4">
        <v>923.08799803309228</v>
      </c>
      <c r="S99" s="5">
        <v>924.93380138103373</v>
      </c>
      <c r="T99" s="5">
        <v>926.77960472897519</v>
      </c>
      <c r="U99" s="5">
        <v>928.62540807691664</v>
      </c>
      <c r="V99" s="5">
        <v>930.4712114248581</v>
      </c>
      <c r="W99" s="4">
        <v>932.31701477279944</v>
      </c>
      <c r="X99" s="5">
        <v>933.30667427477556</v>
      </c>
      <c r="Y99" s="5">
        <v>934.29633377675168</v>
      </c>
      <c r="Z99" s="5">
        <v>935.2859932787278</v>
      </c>
      <c r="AA99" s="5">
        <v>936.27565278070392</v>
      </c>
      <c r="AB99" s="4">
        <v>937.26531228268004</v>
      </c>
      <c r="AC99" s="5">
        <v>939.57296524193907</v>
      </c>
      <c r="AD99" s="5">
        <v>941.8806182011981</v>
      </c>
      <c r="AE99" s="5">
        <v>944.18827116045713</v>
      </c>
      <c r="AF99" s="5">
        <v>946.49592411971616</v>
      </c>
      <c r="AG99" s="4">
        <v>948.80357707897531</v>
      </c>
    </row>
    <row r="100" spans="1:33" x14ac:dyDescent="0.3">
      <c r="A100" t="s">
        <v>119</v>
      </c>
      <c r="B100" t="s">
        <v>142</v>
      </c>
      <c r="C100" s="4">
        <v>10358.779492840809</v>
      </c>
      <c r="D100" s="5">
        <v>10424.787025241612</v>
      </c>
      <c r="E100" s="5">
        <v>10490.794557642415</v>
      </c>
      <c r="F100" s="5">
        <v>10556.802090043218</v>
      </c>
      <c r="G100" s="5">
        <v>10622.809622444021</v>
      </c>
      <c r="H100" s="4">
        <v>10688.817154844828</v>
      </c>
      <c r="I100" s="5">
        <v>10581.51969736275</v>
      </c>
      <c r="J100" s="5">
        <v>10474.222239880672</v>
      </c>
      <c r="K100" s="5">
        <v>10366.924782398593</v>
      </c>
      <c r="L100" s="5">
        <v>10259.627324916515</v>
      </c>
      <c r="M100" s="4">
        <v>10152.329867434437</v>
      </c>
      <c r="N100" s="5">
        <v>10131.107264057058</v>
      </c>
      <c r="O100" s="5">
        <v>10109.88466067968</v>
      </c>
      <c r="P100" s="5">
        <v>10088.662057302301</v>
      </c>
      <c r="Q100" s="5">
        <v>10067.439453924922</v>
      </c>
      <c r="R100" s="4">
        <v>10046.21685054754</v>
      </c>
      <c r="S100" s="5">
        <v>10013.151774819706</v>
      </c>
      <c r="T100" s="5">
        <v>9980.0866990918712</v>
      </c>
      <c r="U100" s="5">
        <v>9947.0216233640367</v>
      </c>
      <c r="V100" s="5">
        <v>9913.9565476362022</v>
      </c>
      <c r="W100" s="4">
        <v>9880.8914719083659</v>
      </c>
      <c r="X100" s="5">
        <v>9851.7508222198048</v>
      </c>
      <c r="Y100" s="5">
        <v>9822.6101725312437</v>
      </c>
      <c r="Z100" s="5">
        <v>9793.4695228426826</v>
      </c>
      <c r="AA100" s="5">
        <v>9764.3288731541215</v>
      </c>
      <c r="AB100" s="4">
        <v>9735.1882234655641</v>
      </c>
      <c r="AC100" s="5">
        <v>9716.5209240494532</v>
      </c>
      <c r="AD100" s="5">
        <v>9697.8536246333424</v>
      </c>
      <c r="AE100" s="5">
        <v>9679.1863252172316</v>
      </c>
      <c r="AF100" s="5">
        <v>9660.5190258011207</v>
      </c>
      <c r="AG100" s="4">
        <v>9641.8517263850099</v>
      </c>
    </row>
    <row r="101" spans="1:33" x14ac:dyDescent="0.3">
      <c r="A101" t="s">
        <v>120</v>
      </c>
      <c r="B101" t="s">
        <v>142</v>
      </c>
      <c r="C101" s="4">
        <v>86655.267114644652</v>
      </c>
      <c r="D101" s="5">
        <v>86117.332466312684</v>
      </c>
      <c r="E101" s="5">
        <v>85579.397817980716</v>
      </c>
      <c r="F101" s="5">
        <v>85041.463169648749</v>
      </c>
      <c r="G101" s="5">
        <v>84503.528521316781</v>
      </c>
      <c r="H101" s="4">
        <v>83965.593872984813</v>
      </c>
      <c r="I101" s="5">
        <v>83067.134034814502</v>
      </c>
      <c r="J101" s="5">
        <v>82168.674196644191</v>
      </c>
      <c r="K101" s="5">
        <v>81270.214358473881</v>
      </c>
      <c r="L101" s="5">
        <v>80371.75452030357</v>
      </c>
      <c r="M101" s="4">
        <v>79473.294682133288</v>
      </c>
      <c r="N101" s="5">
        <v>79374.894320671607</v>
      </c>
      <c r="O101" s="5">
        <v>79276.493959209925</v>
      </c>
      <c r="P101" s="5">
        <v>79178.093597748244</v>
      </c>
      <c r="Q101" s="5">
        <v>79079.693236286563</v>
      </c>
      <c r="R101" s="4">
        <v>78981.292874824867</v>
      </c>
      <c r="S101" s="5">
        <v>78631.927656693297</v>
      </c>
      <c r="T101" s="5">
        <v>78282.562438561727</v>
      </c>
      <c r="U101" s="5">
        <v>77933.197220430156</v>
      </c>
      <c r="V101" s="5">
        <v>77583.832002298586</v>
      </c>
      <c r="W101" s="4">
        <v>77234.466784167002</v>
      </c>
      <c r="X101" s="5">
        <v>77062.551911317045</v>
      </c>
      <c r="Y101" s="5">
        <v>76890.637038467088</v>
      </c>
      <c r="Z101" s="5">
        <v>76718.722165617131</v>
      </c>
      <c r="AA101" s="5">
        <v>76546.807292767175</v>
      </c>
      <c r="AB101" s="4">
        <v>76374.892419917218</v>
      </c>
      <c r="AC101" s="5">
        <v>76287.414627579303</v>
      </c>
      <c r="AD101" s="5">
        <v>76199.936835241388</v>
      </c>
      <c r="AE101" s="5">
        <v>76112.459042903472</v>
      </c>
      <c r="AF101" s="5">
        <v>76024.981250565557</v>
      </c>
      <c r="AG101" s="4">
        <v>75937.503458227657</v>
      </c>
    </row>
    <row r="102" spans="1:33" x14ac:dyDescent="0.3">
      <c r="A102" t="s">
        <v>121</v>
      </c>
      <c r="B102" t="s">
        <v>142</v>
      </c>
      <c r="C102" s="4">
        <v>6832.1940910357716</v>
      </c>
      <c r="D102" s="5">
        <v>7104.3863423337816</v>
      </c>
      <c r="E102" s="5">
        <v>7376.5785936317916</v>
      </c>
      <c r="F102" s="5">
        <v>7648.7708449298016</v>
      </c>
      <c r="G102" s="5">
        <v>7920.9630962278115</v>
      </c>
      <c r="H102" s="4">
        <v>8193.1553475258224</v>
      </c>
      <c r="I102" s="5">
        <v>8232.705726100181</v>
      </c>
      <c r="J102" s="5">
        <v>8272.2561046745395</v>
      </c>
      <c r="K102" s="5">
        <v>8311.8064832488981</v>
      </c>
      <c r="L102" s="5">
        <v>8351.3568618232566</v>
      </c>
      <c r="M102" s="4">
        <v>8390.907240397617</v>
      </c>
      <c r="N102" s="5">
        <v>8413.900185535982</v>
      </c>
      <c r="O102" s="5">
        <v>8436.893130674347</v>
      </c>
      <c r="P102" s="5">
        <v>8459.8860758127121</v>
      </c>
      <c r="Q102" s="5">
        <v>8482.8790209510771</v>
      </c>
      <c r="R102" s="4">
        <v>8505.8719660894421</v>
      </c>
      <c r="S102" s="5">
        <v>8506.1208591034883</v>
      </c>
      <c r="T102" s="5">
        <v>8506.3697521175345</v>
      </c>
      <c r="U102" s="5">
        <v>8506.6186451315807</v>
      </c>
      <c r="V102" s="5">
        <v>8506.8675381456269</v>
      </c>
      <c r="W102" s="4">
        <v>8507.1164311596749</v>
      </c>
      <c r="X102" s="5">
        <v>8510.5093267118737</v>
      </c>
      <c r="Y102" s="5">
        <v>8513.9022222640724</v>
      </c>
      <c r="Z102" s="5">
        <v>8517.2951178162712</v>
      </c>
      <c r="AA102" s="5">
        <v>8520.6880133684699</v>
      </c>
      <c r="AB102" s="4">
        <v>8524.0809089206668</v>
      </c>
      <c r="AC102" s="5">
        <v>8544.6995830362448</v>
      </c>
      <c r="AD102" s="5">
        <v>8565.3182571518228</v>
      </c>
      <c r="AE102" s="5">
        <v>8585.9369312674007</v>
      </c>
      <c r="AF102" s="5">
        <v>8606.5556053829787</v>
      </c>
      <c r="AG102" s="4">
        <v>8627.1742794985603</v>
      </c>
    </row>
    <row r="103" spans="1:33" x14ac:dyDescent="0.3">
      <c r="A103" t="s">
        <v>122</v>
      </c>
      <c r="B103" t="s">
        <v>142</v>
      </c>
      <c r="C103" s="4">
        <v>1514.7728220776717</v>
      </c>
      <c r="D103" s="5">
        <v>1506.3208295180857</v>
      </c>
      <c r="E103" s="5">
        <v>1497.8688369584997</v>
      </c>
      <c r="F103" s="5">
        <v>1489.4168443989138</v>
      </c>
      <c r="G103" s="5">
        <v>1480.9648518393278</v>
      </c>
      <c r="H103" s="4">
        <v>1472.5128592797419</v>
      </c>
      <c r="I103" s="5">
        <v>1457.7778980672301</v>
      </c>
      <c r="J103" s="5">
        <v>1443.0429368547184</v>
      </c>
      <c r="K103" s="5">
        <v>1428.3079756422067</v>
      </c>
      <c r="L103" s="5">
        <v>1413.5730144296949</v>
      </c>
      <c r="M103" s="4">
        <v>1398.838053217183</v>
      </c>
      <c r="N103" s="5">
        <v>1394.0728190863549</v>
      </c>
      <c r="O103" s="5">
        <v>1389.3075849555269</v>
      </c>
      <c r="P103" s="5">
        <v>1384.5423508246988</v>
      </c>
      <c r="Q103" s="5">
        <v>1379.7771166938708</v>
      </c>
      <c r="R103" s="4">
        <v>1375.0118825630429</v>
      </c>
      <c r="S103" s="5">
        <v>1371.162364819678</v>
      </c>
      <c r="T103" s="5">
        <v>1367.3128470763131</v>
      </c>
      <c r="U103" s="5">
        <v>1363.4633293329482</v>
      </c>
      <c r="V103" s="5">
        <v>1359.6138115895833</v>
      </c>
      <c r="W103" s="4">
        <v>1355.7642938462182</v>
      </c>
      <c r="X103" s="5">
        <v>1351.5077583391774</v>
      </c>
      <c r="Y103" s="5">
        <v>1347.2512228321366</v>
      </c>
      <c r="Z103" s="5">
        <v>1342.9946873250958</v>
      </c>
      <c r="AA103" s="5">
        <v>1338.738151818055</v>
      </c>
      <c r="AB103" s="4">
        <v>1334.4816163110142</v>
      </c>
      <c r="AC103" s="5">
        <v>1332.2616571719152</v>
      </c>
      <c r="AD103" s="5">
        <v>1330.0416980328162</v>
      </c>
      <c r="AE103" s="5">
        <v>1327.8217388937171</v>
      </c>
      <c r="AF103" s="5">
        <v>1325.6017797546181</v>
      </c>
      <c r="AG103" s="4">
        <v>1323.3818206155195</v>
      </c>
    </row>
    <row r="104" spans="1:33" x14ac:dyDescent="0.3">
      <c r="A104" t="s">
        <v>123</v>
      </c>
      <c r="B104" t="s">
        <v>142</v>
      </c>
      <c r="C104" s="4">
        <v>6429.4446281633855</v>
      </c>
      <c r="D104" s="5">
        <v>6641.9274500414977</v>
      </c>
      <c r="E104" s="5">
        <v>6854.4102719196098</v>
      </c>
      <c r="F104" s="5">
        <v>7066.893093797722</v>
      </c>
      <c r="G104" s="5">
        <v>7279.3759156758342</v>
      </c>
      <c r="H104" s="4">
        <v>7491.8587375539482</v>
      </c>
      <c r="I104" s="5">
        <v>7443.7921348934724</v>
      </c>
      <c r="J104" s="5">
        <v>7395.7255322329966</v>
      </c>
      <c r="K104" s="5">
        <v>7347.6589295725207</v>
      </c>
      <c r="L104" s="5">
        <v>7299.5923269120449</v>
      </c>
      <c r="M104" s="4">
        <v>7251.5257242515672</v>
      </c>
      <c r="N104" s="5">
        <v>7212.2555416569221</v>
      </c>
      <c r="O104" s="5">
        <v>7172.985359062277</v>
      </c>
      <c r="P104" s="5">
        <v>7133.7151764676319</v>
      </c>
      <c r="Q104" s="5">
        <v>7094.4449938729867</v>
      </c>
      <c r="R104" s="4">
        <v>7055.1748112783434</v>
      </c>
      <c r="S104" s="5">
        <v>7042.2882914028769</v>
      </c>
      <c r="T104" s="5">
        <v>7029.4017715274103</v>
      </c>
      <c r="U104" s="5">
        <v>7016.5152516519438</v>
      </c>
      <c r="V104" s="5">
        <v>7003.6287317764773</v>
      </c>
      <c r="W104" s="4">
        <v>6990.7422119010098</v>
      </c>
      <c r="X104" s="5">
        <v>7005.5145202434542</v>
      </c>
      <c r="Y104" s="5">
        <v>7020.2868285858985</v>
      </c>
      <c r="Z104" s="5">
        <v>7035.0591369283429</v>
      </c>
      <c r="AA104" s="5">
        <v>7049.8314452707873</v>
      </c>
      <c r="AB104" s="4">
        <v>7064.6037536132335</v>
      </c>
      <c r="AC104" s="5">
        <v>7126.7429317942142</v>
      </c>
      <c r="AD104" s="5">
        <v>7188.8821099751949</v>
      </c>
      <c r="AE104" s="5">
        <v>7251.0212881561756</v>
      </c>
      <c r="AF104" s="5">
        <v>7313.1604663371563</v>
      </c>
      <c r="AG104" s="4">
        <v>7375.2996445181379</v>
      </c>
    </row>
    <row r="105" spans="1:33" x14ac:dyDescent="0.3">
      <c r="A105" t="s">
        <v>124</v>
      </c>
      <c r="B105" t="s">
        <v>142</v>
      </c>
      <c r="C105" s="4">
        <v>26651.200166527538</v>
      </c>
      <c r="D105" s="5">
        <v>26547.292981633764</v>
      </c>
      <c r="E105" s="5">
        <v>26443.385796739989</v>
      </c>
      <c r="F105" s="5">
        <v>26339.478611846214</v>
      </c>
      <c r="G105" s="5">
        <v>26235.57142695244</v>
      </c>
      <c r="H105" s="4">
        <v>26131.664242058658</v>
      </c>
      <c r="I105" s="5">
        <v>25946.827790817151</v>
      </c>
      <c r="J105" s="5">
        <v>25761.991339575645</v>
      </c>
      <c r="K105" s="5">
        <v>25577.154888334138</v>
      </c>
      <c r="L105" s="5">
        <v>25392.318437092632</v>
      </c>
      <c r="M105" s="4">
        <v>25207.481985851126</v>
      </c>
      <c r="N105" s="5">
        <v>25227.248010876672</v>
      </c>
      <c r="O105" s="5">
        <v>25247.014035902219</v>
      </c>
      <c r="P105" s="5">
        <v>25266.780060927766</v>
      </c>
      <c r="Q105" s="5">
        <v>25286.546085953312</v>
      </c>
      <c r="R105" s="4">
        <v>25306.312110978863</v>
      </c>
      <c r="S105" s="5">
        <v>25238.809853999312</v>
      </c>
      <c r="T105" s="5">
        <v>25171.307597019761</v>
      </c>
      <c r="U105" s="5">
        <v>25103.80534004021</v>
      </c>
      <c r="V105" s="5">
        <v>25036.303083060659</v>
      </c>
      <c r="W105" s="4">
        <v>24968.800826081115</v>
      </c>
      <c r="X105" s="5">
        <v>24843.984322431876</v>
      </c>
      <c r="Y105" s="5">
        <v>24719.167818782636</v>
      </c>
      <c r="Z105" s="5">
        <v>24594.351315133397</v>
      </c>
      <c r="AA105" s="5">
        <v>24469.534811484158</v>
      </c>
      <c r="AB105" s="4">
        <v>24344.718307834926</v>
      </c>
      <c r="AC105" s="5">
        <v>24219.748121199431</v>
      </c>
      <c r="AD105" s="5">
        <v>24094.777934563936</v>
      </c>
      <c r="AE105" s="5">
        <v>23969.80774792844</v>
      </c>
      <c r="AF105" s="5">
        <v>23844.837561292945</v>
      </c>
      <c r="AG105" s="4">
        <v>23719.867374657457</v>
      </c>
    </row>
    <row r="106" spans="1:33" x14ac:dyDescent="0.3">
      <c r="A106" t="s">
        <v>125</v>
      </c>
      <c r="B106" t="s">
        <v>142</v>
      </c>
      <c r="C106" s="4">
        <v>9174.0495143218177</v>
      </c>
      <c r="D106" s="5">
        <v>9269.2130286705851</v>
      </c>
      <c r="E106" s="5">
        <v>9364.3765430193525</v>
      </c>
      <c r="F106" s="5">
        <v>9459.54005736812</v>
      </c>
      <c r="G106" s="5">
        <v>9554.7035717168874</v>
      </c>
      <c r="H106" s="4">
        <v>9649.8670860656512</v>
      </c>
      <c r="I106" s="5">
        <v>9678.5253866765834</v>
      </c>
      <c r="J106" s="5">
        <v>9707.1836872875156</v>
      </c>
      <c r="K106" s="5">
        <v>9735.8419878984478</v>
      </c>
      <c r="L106" s="5">
        <v>9764.50028850938</v>
      </c>
      <c r="M106" s="4">
        <v>9793.1585891203085</v>
      </c>
      <c r="N106" s="5">
        <v>9773.0886041052781</v>
      </c>
      <c r="O106" s="5">
        <v>9753.0186190902477</v>
      </c>
      <c r="P106" s="5">
        <v>9732.9486340752173</v>
      </c>
      <c r="Q106" s="5">
        <v>9712.8786490601869</v>
      </c>
      <c r="R106" s="4">
        <v>9692.8086640451602</v>
      </c>
      <c r="S106" s="5">
        <v>9689.2812932458473</v>
      </c>
      <c r="T106" s="5">
        <v>9685.7539224465345</v>
      </c>
      <c r="U106" s="5">
        <v>9682.2265516472216</v>
      </c>
      <c r="V106" s="5">
        <v>9678.6991808479088</v>
      </c>
      <c r="W106" s="4">
        <v>9675.1718100485941</v>
      </c>
      <c r="X106" s="5">
        <v>9684.5880940590177</v>
      </c>
      <c r="Y106" s="5">
        <v>9694.0043780694414</v>
      </c>
      <c r="Z106" s="5">
        <v>9703.420662079865</v>
      </c>
      <c r="AA106" s="5">
        <v>9712.8369460902886</v>
      </c>
      <c r="AB106" s="4">
        <v>9722.2532301007159</v>
      </c>
      <c r="AC106" s="5">
        <v>9734.1094718652221</v>
      </c>
      <c r="AD106" s="5">
        <v>9745.9657136297283</v>
      </c>
      <c r="AE106" s="5">
        <v>9757.8219553942345</v>
      </c>
      <c r="AF106" s="5">
        <v>9769.6781971587407</v>
      </c>
      <c r="AG106" s="4">
        <v>9781.5344389232487</v>
      </c>
    </row>
    <row r="107" spans="1:33" x14ac:dyDescent="0.3">
      <c r="A107" t="s">
        <v>126</v>
      </c>
      <c r="B107" t="s">
        <v>142</v>
      </c>
      <c r="C107" s="4">
        <v>63276.447191540523</v>
      </c>
      <c r="D107" s="5">
        <v>62875.78622026815</v>
      </c>
      <c r="E107" s="5">
        <v>62475.125248995777</v>
      </c>
      <c r="F107" s="5">
        <v>62074.464277723404</v>
      </c>
      <c r="G107" s="5">
        <v>61673.803306451031</v>
      </c>
      <c r="H107" s="4">
        <v>61273.142335178651</v>
      </c>
      <c r="I107" s="5">
        <v>60363.388727202335</v>
      </c>
      <c r="J107" s="5">
        <v>59453.635119226019</v>
      </c>
      <c r="K107" s="5">
        <v>58543.881511249703</v>
      </c>
      <c r="L107" s="5">
        <v>57634.127903273387</v>
      </c>
      <c r="M107" s="4">
        <v>56724.374295297086</v>
      </c>
      <c r="N107" s="5">
        <v>56512.849926556766</v>
      </c>
      <c r="O107" s="5">
        <v>56301.325557816446</v>
      </c>
      <c r="P107" s="5">
        <v>56089.801189076126</v>
      </c>
      <c r="Q107" s="5">
        <v>55878.276820335806</v>
      </c>
      <c r="R107" s="4">
        <v>55666.752451595501</v>
      </c>
      <c r="S107" s="5">
        <v>55524.855383501112</v>
      </c>
      <c r="T107" s="5">
        <v>55382.958315406722</v>
      </c>
      <c r="U107" s="5">
        <v>55241.061247312333</v>
      </c>
      <c r="V107" s="5">
        <v>55099.164179217943</v>
      </c>
      <c r="W107" s="4">
        <v>54957.267111123569</v>
      </c>
      <c r="X107" s="5">
        <v>54686.484361946736</v>
      </c>
      <c r="Y107" s="5">
        <v>54415.701612769903</v>
      </c>
      <c r="Z107" s="5">
        <v>54144.91886359307</v>
      </c>
      <c r="AA107" s="5">
        <v>53874.136114416237</v>
      </c>
      <c r="AB107" s="4">
        <v>53603.353365239396</v>
      </c>
      <c r="AC107" s="5">
        <v>53294.775720234422</v>
      </c>
      <c r="AD107" s="5">
        <v>52986.198075229448</v>
      </c>
      <c r="AE107" s="5">
        <v>52677.620430224473</v>
      </c>
      <c r="AF107" s="5">
        <v>52369.042785219499</v>
      </c>
      <c r="AG107" s="4">
        <v>52060.465140214517</v>
      </c>
    </row>
    <row r="108" spans="1:33" x14ac:dyDescent="0.3">
      <c r="A108" t="s">
        <v>127</v>
      </c>
      <c r="B108" t="s">
        <v>142</v>
      </c>
      <c r="C108" s="4">
        <v>3239.317893166407</v>
      </c>
      <c r="D108" s="5">
        <v>3288.0857567842786</v>
      </c>
      <c r="E108" s="5">
        <v>3336.8536204021502</v>
      </c>
      <c r="F108" s="5">
        <v>3385.6214840200219</v>
      </c>
      <c r="G108" s="5">
        <v>3434.3893476378935</v>
      </c>
      <c r="H108" s="4">
        <v>3483.1572112557651</v>
      </c>
      <c r="I108" s="5">
        <v>3492.938567949649</v>
      </c>
      <c r="J108" s="5">
        <v>3502.719924643533</v>
      </c>
      <c r="K108" s="5">
        <v>3512.5012813374169</v>
      </c>
      <c r="L108" s="5">
        <v>3522.2826380313008</v>
      </c>
      <c r="M108" s="4">
        <v>3532.0639947251852</v>
      </c>
      <c r="N108" s="5">
        <v>3530.2482595102838</v>
      </c>
      <c r="O108" s="5">
        <v>3528.4325242953823</v>
      </c>
      <c r="P108" s="5">
        <v>3526.6167890804809</v>
      </c>
      <c r="Q108" s="5">
        <v>3524.8010538655794</v>
      </c>
      <c r="R108" s="4">
        <v>3522.9853186506789</v>
      </c>
      <c r="S108" s="5">
        <v>3498.2066189110869</v>
      </c>
      <c r="T108" s="5">
        <v>3473.427919171495</v>
      </c>
      <c r="U108" s="5">
        <v>3448.649219431903</v>
      </c>
      <c r="V108" s="5">
        <v>3423.8705196923111</v>
      </c>
      <c r="W108" s="4">
        <v>3399.0918199527196</v>
      </c>
      <c r="X108" s="5">
        <v>3375.2679685542935</v>
      </c>
      <c r="Y108" s="5">
        <v>3351.4441171558674</v>
      </c>
      <c r="Z108" s="5">
        <v>3327.6202657574413</v>
      </c>
      <c r="AA108" s="5">
        <v>3303.7964143590152</v>
      </c>
      <c r="AB108" s="4">
        <v>3279.9725629605882</v>
      </c>
      <c r="AC108" s="5">
        <v>3263.3035265287954</v>
      </c>
      <c r="AD108" s="5">
        <v>3246.6344900970025</v>
      </c>
      <c r="AE108" s="5">
        <v>3229.9654536652097</v>
      </c>
      <c r="AF108" s="5">
        <v>3213.2964172334168</v>
      </c>
      <c r="AG108" s="4">
        <v>3196.6273808016231</v>
      </c>
    </row>
    <row r="109" spans="1:33" x14ac:dyDescent="0.3">
      <c r="A109" t="s">
        <v>128</v>
      </c>
      <c r="B109" t="s">
        <v>142</v>
      </c>
      <c r="C109" s="4">
        <v>8239.6094249492744</v>
      </c>
      <c r="D109" s="5">
        <v>8382.0262423333461</v>
      </c>
      <c r="E109" s="5">
        <v>8524.4430597174178</v>
      </c>
      <c r="F109" s="5">
        <v>8666.8598771014895</v>
      </c>
      <c r="G109" s="5">
        <v>8809.2766944855612</v>
      </c>
      <c r="H109" s="4">
        <v>8951.6935118696292</v>
      </c>
      <c r="I109" s="5">
        <v>8877.7954054640159</v>
      </c>
      <c r="J109" s="5">
        <v>8803.8972990584025</v>
      </c>
      <c r="K109" s="5">
        <v>8729.9991926527891</v>
      </c>
      <c r="L109" s="5">
        <v>8656.1010862471758</v>
      </c>
      <c r="M109" s="4">
        <v>8582.2029798415606</v>
      </c>
      <c r="N109" s="5">
        <v>8574.1434987780322</v>
      </c>
      <c r="O109" s="5">
        <v>8566.0840177145037</v>
      </c>
      <c r="P109" s="5">
        <v>8558.0245366509753</v>
      </c>
      <c r="Q109" s="5">
        <v>8549.9650555874468</v>
      </c>
      <c r="R109" s="4">
        <v>8541.9055745239202</v>
      </c>
      <c r="S109" s="5">
        <v>8506.0033892279098</v>
      </c>
      <c r="T109" s="5">
        <v>8470.1012039318994</v>
      </c>
      <c r="U109" s="5">
        <v>8434.1990186358889</v>
      </c>
      <c r="V109" s="5">
        <v>8398.2968333398785</v>
      </c>
      <c r="W109" s="4">
        <v>8362.3946480438644</v>
      </c>
      <c r="X109" s="5">
        <v>8361.2352118920735</v>
      </c>
      <c r="Y109" s="5">
        <v>8360.0757757402826</v>
      </c>
      <c r="Z109" s="5">
        <v>8358.9163395884916</v>
      </c>
      <c r="AA109" s="5">
        <v>8357.7569034367007</v>
      </c>
      <c r="AB109" s="4">
        <v>8356.5974672849115</v>
      </c>
      <c r="AC109" s="5">
        <v>8368.6464600760719</v>
      </c>
      <c r="AD109" s="5">
        <v>8380.6954528672322</v>
      </c>
      <c r="AE109" s="5">
        <v>8392.7444456583926</v>
      </c>
      <c r="AF109" s="5">
        <v>8404.7934384495529</v>
      </c>
      <c r="AG109" s="4">
        <v>8416.8424312407151</v>
      </c>
    </row>
    <row r="110" spans="1:33" x14ac:dyDescent="0.3">
      <c r="A110" t="s">
        <v>129</v>
      </c>
      <c r="B110" t="s">
        <v>142</v>
      </c>
      <c r="C110" s="4">
        <v>4500.1813307672073</v>
      </c>
      <c r="D110" s="5">
        <v>4514.4316361496394</v>
      </c>
      <c r="E110" s="5">
        <v>4528.6819415320715</v>
      </c>
      <c r="F110" s="5">
        <v>4542.9322469145036</v>
      </c>
      <c r="G110" s="5">
        <v>4557.1825522969357</v>
      </c>
      <c r="H110" s="4">
        <v>4571.4328576793687</v>
      </c>
      <c r="I110" s="5">
        <v>4527.418779497747</v>
      </c>
      <c r="J110" s="5">
        <v>4483.4047013161253</v>
      </c>
      <c r="K110" s="5">
        <v>4439.3906231345036</v>
      </c>
      <c r="L110" s="5">
        <v>4395.3765449528819</v>
      </c>
      <c r="M110" s="4">
        <v>4351.362466771262</v>
      </c>
      <c r="N110" s="5">
        <v>4361.2786460919269</v>
      </c>
      <c r="O110" s="5">
        <v>4371.1948254125919</v>
      </c>
      <c r="P110" s="5">
        <v>4381.1110047332568</v>
      </c>
      <c r="Q110" s="5">
        <v>4391.0271840539217</v>
      </c>
      <c r="R110" s="4">
        <v>4400.9433633745848</v>
      </c>
      <c r="S110" s="5">
        <v>4407.7538195094758</v>
      </c>
      <c r="T110" s="5">
        <v>4414.5642756443667</v>
      </c>
      <c r="U110" s="5">
        <v>4421.3747317792577</v>
      </c>
      <c r="V110" s="5">
        <v>4428.1851879141486</v>
      </c>
      <c r="W110" s="4">
        <v>4434.9956440490414</v>
      </c>
      <c r="X110" s="5">
        <v>4445.4081934000269</v>
      </c>
      <c r="Y110" s="5">
        <v>4455.8207427510124</v>
      </c>
      <c r="Z110" s="5">
        <v>4466.2332921019979</v>
      </c>
      <c r="AA110" s="5">
        <v>4476.6458414529834</v>
      </c>
      <c r="AB110" s="4">
        <v>4487.058390803968</v>
      </c>
      <c r="AC110" s="5">
        <v>4509.6340046621017</v>
      </c>
      <c r="AD110" s="5">
        <v>4532.2096185202354</v>
      </c>
      <c r="AE110" s="5">
        <v>4554.7852323783691</v>
      </c>
      <c r="AF110" s="5">
        <v>4577.3608462365028</v>
      </c>
      <c r="AG110" s="4">
        <v>4599.9364600946355</v>
      </c>
    </row>
    <row r="111" spans="1:33" x14ac:dyDescent="0.3">
      <c r="A111" t="s">
        <v>130</v>
      </c>
      <c r="B111" t="s">
        <v>142</v>
      </c>
      <c r="C111" s="4">
        <v>50418.855849409083</v>
      </c>
      <c r="D111" s="5">
        <v>50457.924963639249</v>
      </c>
      <c r="E111" s="5">
        <v>50496.994077869414</v>
      </c>
      <c r="F111" s="5">
        <v>50536.06319209958</v>
      </c>
      <c r="G111" s="5">
        <v>50575.132306329746</v>
      </c>
      <c r="H111" s="4">
        <v>50614.201420559897</v>
      </c>
      <c r="I111" s="5">
        <v>50017.221756072075</v>
      </c>
      <c r="J111" s="5">
        <v>49420.242091584252</v>
      </c>
      <c r="K111" s="5">
        <v>48823.26242709643</v>
      </c>
      <c r="L111" s="5">
        <v>48226.282762608607</v>
      </c>
      <c r="M111" s="4">
        <v>47629.303098120778</v>
      </c>
      <c r="N111" s="5">
        <v>47078.428372836039</v>
      </c>
      <c r="O111" s="5">
        <v>46527.5536475513</v>
      </c>
      <c r="P111" s="5">
        <v>45976.678922266561</v>
      </c>
      <c r="Q111" s="5">
        <v>45425.804196981822</v>
      </c>
      <c r="R111" s="4">
        <v>44874.929471697076</v>
      </c>
      <c r="S111" s="5">
        <v>44546.201332318444</v>
      </c>
      <c r="T111" s="5">
        <v>44217.473192939811</v>
      </c>
      <c r="U111" s="5">
        <v>43888.745053561179</v>
      </c>
      <c r="V111" s="5">
        <v>43560.016914182546</v>
      </c>
      <c r="W111" s="4">
        <v>43231.288774803921</v>
      </c>
      <c r="X111" s="5">
        <v>42939.510811442677</v>
      </c>
      <c r="Y111" s="5">
        <v>42647.732848081432</v>
      </c>
      <c r="Z111" s="5">
        <v>42355.954884720188</v>
      </c>
      <c r="AA111" s="5">
        <v>42064.176921358943</v>
      </c>
      <c r="AB111" s="4">
        <v>41772.398957997706</v>
      </c>
      <c r="AC111" s="5">
        <v>41445.999040390292</v>
      </c>
      <c r="AD111" s="5">
        <v>41119.599122782878</v>
      </c>
      <c r="AE111" s="5">
        <v>40793.199205175464</v>
      </c>
      <c r="AF111" s="5">
        <v>40466.79928756805</v>
      </c>
      <c r="AG111" s="4">
        <v>40140.399369960622</v>
      </c>
    </row>
    <row r="112" spans="1:33" x14ac:dyDescent="0.3">
      <c r="A112" t="s">
        <v>131</v>
      </c>
      <c r="B112" t="s">
        <v>142</v>
      </c>
      <c r="C112" s="4">
        <v>2142.3627721282182</v>
      </c>
      <c r="D112" s="5">
        <v>2134.3831287546091</v>
      </c>
      <c r="E112" s="5">
        <v>2126.4034853809999</v>
      </c>
      <c r="F112" s="5">
        <v>2118.4238420073907</v>
      </c>
      <c r="G112" s="5">
        <v>2110.4441986337815</v>
      </c>
      <c r="H112" s="4">
        <v>2102.4645552601719</v>
      </c>
      <c r="I112" s="5">
        <v>2073.2356484707643</v>
      </c>
      <c r="J112" s="5">
        <v>2044.006741681357</v>
      </c>
      <c r="K112" s="5">
        <v>2014.7778348919496</v>
      </c>
      <c r="L112" s="5">
        <v>1985.5489281025423</v>
      </c>
      <c r="M112" s="4">
        <v>1956.3200213131349</v>
      </c>
      <c r="N112" s="5">
        <v>1938.9416387057979</v>
      </c>
      <c r="O112" s="5">
        <v>1921.5632560984609</v>
      </c>
      <c r="P112" s="5">
        <v>1904.1848734911239</v>
      </c>
      <c r="Q112" s="5">
        <v>1886.8064908837869</v>
      </c>
      <c r="R112" s="4">
        <v>1869.4281082764501</v>
      </c>
      <c r="S112" s="5">
        <v>1859.0005263923345</v>
      </c>
      <c r="T112" s="5">
        <v>1848.5729445082188</v>
      </c>
      <c r="U112" s="5">
        <v>1838.1453626241032</v>
      </c>
      <c r="V112" s="5">
        <v>1827.7177807399876</v>
      </c>
      <c r="W112" s="4">
        <v>1817.2901988558719</v>
      </c>
      <c r="X112" s="5">
        <v>1808.8787927621815</v>
      </c>
      <c r="Y112" s="5">
        <v>1800.4673866684911</v>
      </c>
      <c r="Z112" s="5">
        <v>1792.0559805748007</v>
      </c>
      <c r="AA112" s="5">
        <v>1783.6445744811103</v>
      </c>
      <c r="AB112" s="4">
        <v>1775.2331683874197</v>
      </c>
      <c r="AC112" s="5">
        <v>1768.8299669231042</v>
      </c>
      <c r="AD112" s="5">
        <v>1762.4267654587886</v>
      </c>
      <c r="AE112" s="5">
        <v>1756.0235639944731</v>
      </c>
      <c r="AF112" s="5">
        <v>1749.6203625301575</v>
      </c>
      <c r="AG112" s="4">
        <v>1743.2171610658422</v>
      </c>
    </row>
    <row r="113" spans="1:33" x14ac:dyDescent="0.3">
      <c r="A113" t="s">
        <v>132</v>
      </c>
      <c r="B113" t="s">
        <v>142</v>
      </c>
      <c r="C113" s="4">
        <v>920.19621084606865</v>
      </c>
      <c r="D113" s="5">
        <v>884.43209794622521</v>
      </c>
      <c r="E113" s="5">
        <v>848.66798504638177</v>
      </c>
      <c r="F113" s="5">
        <v>812.90387214653833</v>
      </c>
      <c r="G113" s="5">
        <v>777.13975924669489</v>
      </c>
      <c r="H113" s="4">
        <v>741.37564634685123</v>
      </c>
      <c r="I113" s="5">
        <v>729.56762412241119</v>
      </c>
      <c r="J113" s="5">
        <v>717.75960189797115</v>
      </c>
      <c r="K113" s="5">
        <v>705.95157967353111</v>
      </c>
      <c r="L113" s="5">
        <v>694.14355744909108</v>
      </c>
      <c r="M113" s="4">
        <v>682.33553522465093</v>
      </c>
      <c r="N113" s="5">
        <v>680.18279458754284</v>
      </c>
      <c r="O113" s="5">
        <v>678.03005395043476</v>
      </c>
      <c r="P113" s="5">
        <v>675.87731331332668</v>
      </c>
      <c r="Q113" s="5">
        <v>673.7245726762186</v>
      </c>
      <c r="R113" s="4">
        <v>671.57183203911029</v>
      </c>
      <c r="S113" s="5">
        <v>666.06417514030204</v>
      </c>
      <c r="T113" s="5">
        <v>660.55651824149379</v>
      </c>
      <c r="U113" s="5">
        <v>655.04886134268554</v>
      </c>
      <c r="V113" s="5">
        <v>649.54120444387729</v>
      </c>
      <c r="W113" s="4">
        <v>644.03354754506904</v>
      </c>
      <c r="X113" s="5">
        <v>639.52258087764017</v>
      </c>
      <c r="Y113" s="5">
        <v>635.01161421021129</v>
      </c>
      <c r="Z113" s="5">
        <v>630.50064754278242</v>
      </c>
      <c r="AA113" s="5">
        <v>625.98968087535354</v>
      </c>
      <c r="AB113" s="4">
        <v>621.47871420792455</v>
      </c>
      <c r="AC113" s="5">
        <v>617.67073280186992</v>
      </c>
      <c r="AD113" s="5">
        <v>613.86275139581528</v>
      </c>
      <c r="AE113" s="5">
        <v>610.05476998976064</v>
      </c>
      <c r="AF113" s="5">
        <v>606.24678858370601</v>
      </c>
      <c r="AG113" s="4">
        <v>602.43880717765137</v>
      </c>
    </row>
    <row r="114" spans="1:33" x14ac:dyDescent="0.3">
      <c r="A114" t="s">
        <v>133</v>
      </c>
      <c r="B114" t="s">
        <v>142</v>
      </c>
      <c r="C114" s="4">
        <v>1933.8885340074053</v>
      </c>
      <c r="D114" s="5">
        <v>1907.7156652700546</v>
      </c>
      <c r="E114" s="5">
        <v>1881.542796532704</v>
      </c>
      <c r="F114" s="5">
        <v>1855.3699277953533</v>
      </c>
      <c r="G114" s="5">
        <v>1829.1970590580027</v>
      </c>
      <c r="H114" s="4">
        <v>1803.0241903206515</v>
      </c>
      <c r="I114" s="5">
        <v>1784.7845628090793</v>
      </c>
      <c r="J114" s="5">
        <v>1766.544935297507</v>
      </c>
      <c r="K114" s="5">
        <v>1748.3053077859347</v>
      </c>
      <c r="L114" s="5">
        <v>1730.0656802743624</v>
      </c>
      <c r="M114" s="4">
        <v>1711.8260527627899</v>
      </c>
      <c r="N114" s="5">
        <v>1705.1686813759204</v>
      </c>
      <c r="O114" s="5">
        <v>1698.5113099890509</v>
      </c>
      <c r="P114" s="5">
        <v>1691.8539386021814</v>
      </c>
      <c r="Q114" s="5">
        <v>1685.1965672153119</v>
      </c>
      <c r="R114" s="4">
        <v>1678.5391958284422</v>
      </c>
      <c r="S114" s="5">
        <v>1667.7373045406355</v>
      </c>
      <c r="T114" s="5">
        <v>1656.9354132528288</v>
      </c>
      <c r="U114" s="5">
        <v>1646.1335219650221</v>
      </c>
      <c r="V114" s="5">
        <v>1635.3316306772153</v>
      </c>
      <c r="W114" s="4">
        <v>1624.5297393894089</v>
      </c>
      <c r="X114" s="5">
        <v>1611.4939851576341</v>
      </c>
      <c r="Y114" s="5">
        <v>1598.4582309258594</v>
      </c>
      <c r="Z114" s="5">
        <v>1585.4224766940847</v>
      </c>
      <c r="AA114" s="5">
        <v>1572.38672246231</v>
      </c>
      <c r="AB114" s="4">
        <v>1559.350968230535</v>
      </c>
      <c r="AC114" s="5">
        <v>1547.8307953526887</v>
      </c>
      <c r="AD114" s="5">
        <v>1536.3106224748424</v>
      </c>
      <c r="AE114" s="5">
        <v>1524.790449596996</v>
      </c>
      <c r="AF114" s="5">
        <v>1513.2702767191497</v>
      </c>
      <c r="AG114" s="4">
        <v>1501.7501038413038</v>
      </c>
    </row>
    <row r="115" spans="1:33" x14ac:dyDescent="0.3">
      <c r="A115" t="s">
        <v>134</v>
      </c>
      <c r="B115" t="s">
        <v>142</v>
      </c>
      <c r="C115" s="4">
        <v>231.96448624640232</v>
      </c>
      <c r="D115" s="5">
        <v>248.9415719494861</v>
      </c>
      <c r="E115" s="5">
        <v>265.91865765256989</v>
      </c>
      <c r="F115" s="5">
        <v>282.89574335565368</v>
      </c>
      <c r="G115" s="5">
        <v>299.87282905873747</v>
      </c>
      <c r="H115" s="4">
        <v>316.84991476182131</v>
      </c>
      <c r="I115" s="5">
        <v>319.47555816411551</v>
      </c>
      <c r="J115" s="5">
        <v>322.10120156640971</v>
      </c>
      <c r="K115" s="5">
        <v>324.72684496870392</v>
      </c>
      <c r="L115" s="5">
        <v>327.35248837099812</v>
      </c>
      <c r="M115" s="4">
        <v>329.9781317732922</v>
      </c>
      <c r="N115" s="5">
        <v>331.21776320808641</v>
      </c>
      <c r="O115" s="5">
        <v>332.45739464288062</v>
      </c>
      <c r="P115" s="5">
        <v>333.69702607767482</v>
      </c>
      <c r="Q115" s="5">
        <v>334.93665751246903</v>
      </c>
      <c r="R115" s="4">
        <v>336.17628894726323</v>
      </c>
      <c r="S115" s="5">
        <v>333.89525789545144</v>
      </c>
      <c r="T115" s="5">
        <v>331.61422684363964</v>
      </c>
      <c r="U115" s="5">
        <v>329.33319579182785</v>
      </c>
      <c r="V115" s="5">
        <v>327.05216474001605</v>
      </c>
      <c r="W115" s="4">
        <v>324.77113368820432</v>
      </c>
      <c r="X115" s="5">
        <v>324.99896959691199</v>
      </c>
      <c r="Y115" s="5">
        <v>325.22680550561967</v>
      </c>
      <c r="Z115" s="5">
        <v>325.45464141432734</v>
      </c>
      <c r="AA115" s="5">
        <v>325.68247732303502</v>
      </c>
      <c r="AB115" s="4">
        <v>325.91031323174269</v>
      </c>
      <c r="AC115" s="5">
        <v>326.54267405117764</v>
      </c>
      <c r="AD115" s="5">
        <v>327.17503487061259</v>
      </c>
      <c r="AE115" s="5">
        <v>327.80739569004754</v>
      </c>
      <c r="AF115" s="5">
        <v>328.43975650948249</v>
      </c>
      <c r="AG115" s="4">
        <v>329.07211732891756</v>
      </c>
    </row>
    <row r="116" spans="1:33" x14ac:dyDescent="0.3">
      <c r="A116" t="s">
        <v>135</v>
      </c>
      <c r="B116" t="s">
        <v>142</v>
      </c>
      <c r="C116" s="4">
        <v>19183.360138733144</v>
      </c>
      <c r="D116" s="5">
        <v>19231.650113345058</v>
      </c>
      <c r="E116" s="5">
        <v>19279.940087956973</v>
      </c>
      <c r="F116" s="5">
        <v>19328.230062568888</v>
      </c>
      <c r="G116" s="5">
        <v>19376.520037180802</v>
      </c>
      <c r="H116" s="4">
        <v>19424.81001179271</v>
      </c>
      <c r="I116" s="5">
        <v>19317.255656239882</v>
      </c>
      <c r="J116" s="5">
        <v>19209.701300687055</v>
      </c>
      <c r="K116" s="5">
        <v>19102.146945134227</v>
      </c>
      <c r="L116" s="5">
        <v>18994.5925895814</v>
      </c>
      <c r="M116" s="4">
        <v>18887.038234028576</v>
      </c>
      <c r="N116" s="5">
        <v>18912.178999466178</v>
      </c>
      <c r="O116" s="5">
        <v>18937.319764903779</v>
      </c>
      <c r="P116" s="5">
        <v>18962.460530341381</v>
      </c>
      <c r="Q116" s="5">
        <v>18987.601295778983</v>
      </c>
      <c r="R116" s="4">
        <v>19012.742061216584</v>
      </c>
      <c r="S116" s="5">
        <v>18908.789422636466</v>
      </c>
      <c r="T116" s="5">
        <v>18804.836784056348</v>
      </c>
      <c r="U116" s="5">
        <v>18700.88414547623</v>
      </c>
      <c r="V116" s="5">
        <v>18596.931506896111</v>
      </c>
      <c r="W116" s="4">
        <v>18492.978868315986</v>
      </c>
      <c r="X116" s="5">
        <v>18429.68225979781</v>
      </c>
      <c r="Y116" s="5">
        <v>18366.385651279634</v>
      </c>
      <c r="Z116" s="5">
        <v>18303.089042761458</v>
      </c>
      <c r="AA116" s="5">
        <v>18239.792434243282</v>
      </c>
      <c r="AB116" s="4">
        <v>18176.495825725109</v>
      </c>
      <c r="AC116" s="5">
        <v>18147.865939459389</v>
      </c>
      <c r="AD116" s="5">
        <v>18119.236053193668</v>
      </c>
      <c r="AE116" s="5">
        <v>18090.606166927948</v>
      </c>
      <c r="AF116" s="5">
        <v>18061.976280662228</v>
      </c>
      <c r="AG116" s="4">
        <v>18033.346394396503</v>
      </c>
    </row>
    <row r="117" spans="1:33" x14ac:dyDescent="0.3">
      <c r="A117" t="s">
        <v>136</v>
      </c>
      <c r="B117" t="s">
        <v>142</v>
      </c>
      <c r="C117" s="4">
        <v>29064.894860934877</v>
      </c>
      <c r="D117" s="5">
        <v>29584.774580056855</v>
      </c>
      <c r="E117" s="5">
        <v>30104.654299178834</v>
      </c>
      <c r="F117" s="5">
        <v>30624.534018300812</v>
      </c>
      <c r="G117" s="5">
        <v>31144.41373742279</v>
      </c>
      <c r="H117" s="4">
        <v>31664.293456544772</v>
      </c>
      <c r="I117" s="5">
        <v>31440.336133884197</v>
      </c>
      <c r="J117" s="5">
        <v>31216.378811223622</v>
      </c>
      <c r="K117" s="5">
        <v>30992.421488563046</v>
      </c>
      <c r="L117" s="5">
        <v>30768.464165902471</v>
      </c>
      <c r="M117" s="4">
        <v>30544.506843241899</v>
      </c>
      <c r="N117" s="5">
        <v>30514.802557341111</v>
      </c>
      <c r="O117" s="5">
        <v>30485.098271440322</v>
      </c>
      <c r="P117" s="5">
        <v>30455.393985539533</v>
      </c>
      <c r="Q117" s="5">
        <v>30425.689699638744</v>
      </c>
      <c r="R117" s="4">
        <v>30395.985413737959</v>
      </c>
      <c r="S117" s="5">
        <v>30298.375355917236</v>
      </c>
      <c r="T117" s="5">
        <v>30200.765298096514</v>
      </c>
      <c r="U117" s="5">
        <v>30103.155240275792</v>
      </c>
      <c r="V117" s="5">
        <v>30005.545182455069</v>
      </c>
      <c r="W117" s="4">
        <v>29907.935124634347</v>
      </c>
      <c r="X117" s="5">
        <v>29842.649887683558</v>
      </c>
      <c r="Y117" s="5">
        <v>29777.364650732768</v>
      </c>
      <c r="Z117" s="5">
        <v>29712.079413781979</v>
      </c>
      <c r="AA117" s="5">
        <v>29646.79417683119</v>
      </c>
      <c r="AB117" s="4">
        <v>29581.508939880408</v>
      </c>
      <c r="AC117" s="5">
        <v>29521.073920390052</v>
      </c>
      <c r="AD117" s="5">
        <v>29460.638900899696</v>
      </c>
      <c r="AE117" s="5">
        <v>29400.203881409339</v>
      </c>
      <c r="AF117" s="5">
        <v>29339.768861918983</v>
      </c>
      <c r="AG117" s="4">
        <v>29279.333842428634</v>
      </c>
    </row>
    <row r="118" spans="1:33" x14ac:dyDescent="0.3">
      <c r="A118" t="s">
        <v>137</v>
      </c>
      <c r="B118" t="s">
        <v>142</v>
      </c>
      <c r="C118" s="4">
        <v>5480.8043938704059</v>
      </c>
      <c r="D118" s="5">
        <v>5455.8806837952525</v>
      </c>
      <c r="E118" s="5">
        <v>5430.9569737200991</v>
      </c>
      <c r="F118" s="5">
        <v>5406.0332636449457</v>
      </c>
      <c r="G118" s="5">
        <v>5381.1095535697923</v>
      </c>
      <c r="H118" s="4">
        <v>5356.1858434946371</v>
      </c>
      <c r="I118" s="5">
        <v>5297.86460734502</v>
      </c>
      <c r="J118" s="5">
        <v>5239.5433711954029</v>
      </c>
      <c r="K118" s="5">
        <v>5181.2221350457858</v>
      </c>
      <c r="L118" s="5">
        <v>5122.9008988961687</v>
      </c>
      <c r="M118" s="4">
        <v>5064.5796627465497</v>
      </c>
      <c r="N118" s="5">
        <v>5065.8589552844214</v>
      </c>
      <c r="O118" s="5">
        <v>5067.1382478222931</v>
      </c>
      <c r="P118" s="5">
        <v>5068.4175403601648</v>
      </c>
      <c r="Q118" s="5">
        <v>5069.6968328980365</v>
      </c>
      <c r="R118" s="4">
        <v>5070.9761254359091</v>
      </c>
      <c r="S118" s="5">
        <v>5070.8161846897956</v>
      </c>
      <c r="T118" s="5">
        <v>5070.6562439436821</v>
      </c>
      <c r="U118" s="5">
        <v>5070.4963031975685</v>
      </c>
      <c r="V118" s="5">
        <v>5070.336362451455</v>
      </c>
      <c r="W118" s="4">
        <v>5070.1764217053396</v>
      </c>
      <c r="X118" s="5">
        <v>5044.1828491060332</v>
      </c>
      <c r="Y118" s="5">
        <v>5018.1892765067269</v>
      </c>
      <c r="Z118" s="5">
        <v>4992.1957039074205</v>
      </c>
      <c r="AA118" s="5">
        <v>4966.2021313081141</v>
      </c>
      <c r="AB118" s="4">
        <v>4940.2085587088077</v>
      </c>
      <c r="AC118" s="5">
        <v>4946.5836713740346</v>
      </c>
      <c r="AD118" s="5">
        <v>4952.9587840392614</v>
      </c>
      <c r="AE118" s="5">
        <v>4959.3338967044883</v>
      </c>
      <c r="AF118" s="5">
        <v>4965.7090093697152</v>
      </c>
      <c r="AG118" s="4">
        <v>4972.0841220349403</v>
      </c>
    </row>
    <row r="119" spans="1:33" x14ac:dyDescent="0.3">
      <c r="A119" t="s">
        <v>138</v>
      </c>
      <c r="B119" t="s">
        <v>142</v>
      </c>
      <c r="C119" s="4">
        <v>10401.265573092969</v>
      </c>
      <c r="D119" s="5">
        <v>10482.34672584158</v>
      </c>
      <c r="E119" s="5">
        <v>10563.427878590192</v>
      </c>
      <c r="F119" s="5">
        <v>10644.509031338803</v>
      </c>
      <c r="G119" s="5">
        <v>10725.590184087414</v>
      </c>
      <c r="H119" s="4">
        <v>10806.671336836023</v>
      </c>
      <c r="I119" s="5">
        <v>10786.097142450817</v>
      </c>
      <c r="J119" s="5">
        <v>10765.522948065611</v>
      </c>
      <c r="K119" s="5">
        <v>10744.948753680404</v>
      </c>
      <c r="L119" s="5">
        <v>10724.374559295198</v>
      </c>
      <c r="M119" s="4">
        <v>10703.800364909988</v>
      </c>
      <c r="N119" s="5">
        <v>10669.310620699081</v>
      </c>
      <c r="O119" s="5">
        <v>10634.820876488175</v>
      </c>
      <c r="P119" s="5">
        <v>10600.331132277268</v>
      </c>
      <c r="Q119" s="5">
        <v>10565.841388066361</v>
      </c>
      <c r="R119" s="4">
        <v>10531.351643855452</v>
      </c>
      <c r="S119" s="5">
        <v>10443.948184225797</v>
      </c>
      <c r="T119" s="5">
        <v>10356.544724596142</v>
      </c>
      <c r="U119" s="5">
        <v>10269.141264966487</v>
      </c>
      <c r="V119" s="5">
        <v>10181.737805336832</v>
      </c>
      <c r="W119" s="4">
        <v>10094.334345707179</v>
      </c>
      <c r="X119" s="5">
        <v>10025.490330823972</v>
      </c>
      <c r="Y119" s="5">
        <v>9956.6463159407649</v>
      </c>
      <c r="Z119" s="5">
        <v>9887.802301057558</v>
      </c>
      <c r="AA119" s="5">
        <v>9818.9582861743511</v>
      </c>
      <c r="AB119" s="4">
        <v>9750.114271291146</v>
      </c>
      <c r="AC119" s="5">
        <v>9687.2988484464095</v>
      </c>
      <c r="AD119" s="5">
        <v>9624.4834256016729</v>
      </c>
      <c r="AE119" s="5">
        <v>9561.6680027569364</v>
      </c>
      <c r="AF119" s="5">
        <v>9498.8525799121999</v>
      </c>
      <c r="AG119" s="4">
        <v>9436.0371570674615</v>
      </c>
    </row>
    <row r="120" spans="1:33" x14ac:dyDescent="0.3">
      <c r="A120" t="s">
        <v>139</v>
      </c>
      <c r="B120" t="s">
        <v>142</v>
      </c>
      <c r="C120" s="4">
        <v>12855.722213730734</v>
      </c>
      <c r="D120" s="5">
        <v>12782.527069426231</v>
      </c>
      <c r="E120" s="5">
        <v>12709.331925121727</v>
      </c>
      <c r="F120" s="5">
        <v>12636.136780817224</v>
      </c>
      <c r="G120" s="5">
        <v>12562.94163651272</v>
      </c>
      <c r="H120" s="4">
        <v>12489.74649220822</v>
      </c>
      <c r="I120" s="5">
        <v>12468.581424762922</v>
      </c>
      <c r="J120" s="5">
        <v>12447.416357317625</v>
      </c>
      <c r="K120" s="5">
        <v>12426.251289872327</v>
      </c>
      <c r="L120" s="5">
        <v>12405.086222427029</v>
      </c>
      <c r="M120" s="4">
        <v>12383.92115498173</v>
      </c>
      <c r="N120" s="5">
        <v>12254.692368571021</v>
      </c>
      <c r="O120" s="5">
        <v>12125.463582160311</v>
      </c>
      <c r="P120" s="5">
        <v>11996.234795749602</v>
      </c>
      <c r="Q120" s="5">
        <v>11867.006009338893</v>
      </c>
      <c r="R120" s="4">
        <v>11737.77722292818</v>
      </c>
      <c r="S120" s="5">
        <v>11676.895888985902</v>
      </c>
      <c r="T120" s="5">
        <v>11616.014555043625</v>
      </c>
      <c r="U120" s="5">
        <v>11555.133221101347</v>
      </c>
      <c r="V120" s="5">
        <v>11494.251887159069</v>
      </c>
      <c r="W120" s="4">
        <v>11433.370553216791</v>
      </c>
      <c r="X120" s="5">
        <v>11377.398157373251</v>
      </c>
      <c r="Y120" s="5">
        <v>11321.42576152971</v>
      </c>
      <c r="Z120" s="5">
        <v>11265.453365686169</v>
      </c>
      <c r="AA120" s="5">
        <v>11209.480969842629</v>
      </c>
      <c r="AB120" s="4">
        <v>11153.508573999092</v>
      </c>
      <c r="AC120" s="5">
        <v>11116.67877518999</v>
      </c>
      <c r="AD120" s="5">
        <v>11079.848976380888</v>
      </c>
      <c r="AE120" s="5">
        <v>11043.019177571787</v>
      </c>
      <c r="AF120" s="5">
        <v>11006.189378762685</v>
      </c>
      <c r="AG120" s="4">
        <v>10969.359579953587</v>
      </c>
    </row>
    <row r="121" spans="1:33" x14ac:dyDescent="0.3">
      <c r="A121" t="s">
        <v>140</v>
      </c>
      <c r="B121" t="s">
        <v>142</v>
      </c>
      <c r="C121" s="4">
        <v>1545.6443307891063</v>
      </c>
      <c r="D121" s="5">
        <v>1596.2665180794863</v>
      </c>
      <c r="E121" s="5">
        <v>1646.8887053698663</v>
      </c>
      <c r="F121" s="5">
        <v>1697.5108926602463</v>
      </c>
      <c r="G121" s="5">
        <v>1748.1330799506263</v>
      </c>
      <c r="H121" s="4">
        <v>1798.7552672410068</v>
      </c>
      <c r="I121" s="5">
        <v>1790.7140133619007</v>
      </c>
      <c r="J121" s="5">
        <v>1782.6727594827946</v>
      </c>
      <c r="K121" s="5">
        <v>1774.6315056036885</v>
      </c>
      <c r="L121" s="5">
        <v>1766.5902517245825</v>
      </c>
      <c r="M121" s="4">
        <v>1758.5489978454759</v>
      </c>
      <c r="N121" s="5">
        <v>1755.9719700855969</v>
      </c>
      <c r="O121" s="5">
        <v>1753.3949423257179</v>
      </c>
      <c r="P121" s="5">
        <v>1750.8179145658389</v>
      </c>
      <c r="Q121" s="5">
        <v>1748.2408868059599</v>
      </c>
      <c r="R121" s="4">
        <v>1745.6638590460807</v>
      </c>
      <c r="S121" s="5">
        <v>1738.848983483495</v>
      </c>
      <c r="T121" s="5">
        <v>1732.0341079209093</v>
      </c>
      <c r="U121" s="5">
        <v>1725.2192323583236</v>
      </c>
      <c r="V121" s="5">
        <v>1718.4043567957378</v>
      </c>
      <c r="W121" s="4">
        <v>1711.5894812331526</v>
      </c>
      <c r="X121" s="5">
        <v>1711.4618878232689</v>
      </c>
      <c r="Y121" s="5">
        <v>1711.3342944133851</v>
      </c>
      <c r="Z121" s="5">
        <v>1711.2067010035014</v>
      </c>
      <c r="AA121" s="5">
        <v>1711.0791075936177</v>
      </c>
      <c r="AB121" s="4">
        <v>1710.9515141837337</v>
      </c>
      <c r="AC121" s="5">
        <v>1706.1230447140993</v>
      </c>
      <c r="AD121" s="5">
        <v>1701.2945752444648</v>
      </c>
      <c r="AE121" s="5">
        <v>1696.4661057748303</v>
      </c>
      <c r="AF121" s="5">
        <v>1691.6376363051959</v>
      </c>
      <c r="AG121" s="4">
        <v>1686.8091668355619</v>
      </c>
    </row>
    <row r="122" spans="1:33" x14ac:dyDescent="0.3">
      <c r="A122" t="s">
        <v>141</v>
      </c>
      <c r="B122" t="s">
        <v>142</v>
      </c>
      <c r="C122" s="4">
        <v>3840.6100732682762</v>
      </c>
      <c r="D122" s="5">
        <v>3877.2438633887091</v>
      </c>
      <c r="E122" s="5">
        <v>3913.877653509142</v>
      </c>
      <c r="F122" s="5">
        <v>3950.5114436295748</v>
      </c>
      <c r="G122" s="5">
        <v>3987.1452337500077</v>
      </c>
      <c r="H122" s="4">
        <v>4023.7790238704401</v>
      </c>
      <c r="I122" s="5">
        <v>4035.8321602164174</v>
      </c>
      <c r="J122" s="5">
        <v>4047.8852965623946</v>
      </c>
      <c r="K122" s="5">
        <v>4059.9384329083719</v>
      </c>
      <c r="L122" s="5">
        <v>4071.9915692543491</v>
      </c>
      <c r="M122" s="4">
        <v>4084.0447056003259</v>
      </c>
      <c r="N122" s="5">
        <v>4118.6260057281997</v>
      </c>
      <c r="O122" s="5">
        <v>4153.2073058560736</v>
      </c>
      <c r="P122" s="5">
        <v>4187.7886059839475</v>
      </c>
      <c r="Q122" s="5">
        <v>4222.3699061118214</v>
      </c>
      <c r="R122" s="4">
        <v>4256.9512062396971</v>
      </c>
      <c r="S122" s="5">
        <v>4257.8268658636853</v>
      </c>
      <c r="T122" s="5">
        <v>4258.7025254876735</v>
      </c>
      <c r="U122" s="5">
        <v>4259.5781851116617</v>
      </c>
      <c r="V122" s="5">
        <v>4260.4538447356499</v>
      </c>
      <c r="W122" s="4">
        <v>4261.3295043596399</v>
      </c>
      <c r="X122" s="5">
        <v>4255.3698507684103</v>
      </c>
      <c r="Y122" s="5">
        <v>4249.4101971771806</v>
      </c>
      <c r="Z122" s="5">
        <v>4243.450543585951</v>
      </c>
      <c r="AA122" s="5">
        <v>4237.4908899947213</v>
      </c>
      <c r="AB122" s="4">
        <v>4231.5312364034899</v>
      </c>
      <c r="AC122" s="5">
        <v>4228.5691946720408</v>
      </c>
      <c r="AD122" s="5">
        <v>4225.6071529405917</v>
      </c>
      <c r="AE122" s="5">
        <v>4222.6451112091427</v>
      </c>
      <c r="AF122" s="5">
        <v>4219.6830694776936</v>
      </c>
      <c r="AG122" s="4">
        <v>4216.7210277462455</v>
      </c>
    </row>
    <row r="125" spans="1:33" x14ac:dyDescent="0.3">
      <c r="A125" s="3" t="s">
        <v>143</v>
      </c>
      <c r="C125" s="3">
        <v>2022</v>
      </c>
      <c r="D125" s="3">
        <v>2023</v>
      </c>
      <c r="E125" s="3">
        <v>2024</v>
      </c>
      <c r="F125" s="3">
        <v>2025</v>
      </c>
      <c r="G125" s="3">
        <v>2026</v>
      </c>
      <c r="H125" s="3">
        <v>2027</v>
      </c>
      <c r="I125" s="3">
        <v>2028</v>
      </c>
      <c r="J125" s="3">
        <v>2029</v>
      </c>
      <c r="K125" s="3">
        <v>2030</v>
      </c>
      <c r="L125" s="3">
        <v>2031</v>
      </c>
      <c r="M125" s="3">
        <v>2032</v>
      </c>
      <c r="N125" s="3">
        <v>2033</v>
      </c>
      <c r="O125" s="3">
        <v>2034</v>
      </c>
      <c r="P125" s="3">
        <v>2035</v>
      </c>
      <c r="Q125" s="3">
        <v>2036</v>
      </c>
      <c r="R125" s="3">
        <v>2037</v>
      </c>
      <c r="S125" s="3">
        <v>2038</v>
      </c>
      <c r="T125" s="3">
        <v>2039</v>
      </c>
      <c r="U125" s="3">
        <v>2040</v>
      </c>
      <c r="V125" s="3">
        <v>2041</v>
      </c>
      <c r="W125" s="3">
        <v>2042</v>
      </c>
      <c r="X125" s="3">
        <v>2043</v>
      </c>
      <c r="Y125" s="3">
        <v>2044</v>
      </c>
      <c r="Z125" s="3">
        <v>2045</v>
      </c>
      <c r="AA125" s="3">
        <v>2046</v>
      </c>
      <c r="AB125" s="3">
        <v>2047</v>
      </c>
      <c r="AC125" s="3">
        <v>2048</v>
      </c>
      <c r="AD125" s="3">
        <v>2049</v>
      </c>
      <c r="AE125" s="3">
        <v>2050</v>
      </c>
    </row>
    <row r="126" spans="1:33" x14ac:dyDescent="0.3">
      <c r="A126" t="s">
        <v>113</v>
      </c>
      <c r="B126" t="s">
        <v>142</v>
      </c>
      <c r="C126" s="6">
        <f t="shared" ref="C126:C153" si="694">E95/D95</f>
        <v>1.0011890412182347</v>
      </c>
      <c r="D126" s="6">
        <f t="shared" ref="D126:D153" si="695">F95/E95</f>
        <v>1.0011876290783086</v>
      </c>
      <c r="E126" s="6">
        <f t="shared" ref="E126:E153" si="696">G95/F95</f>
        <v>1.0011862202886006</v>
      </c>
      <c r="F126" s="6">
        <f t="shared" ref="F126:F153" si="697">H95/G95</f>
        <v>1.0011848148372025</v>
      </c>
      <c r="G126" s="6">
        <f t="shared" ref="G126:G153" si="698">I95/H95</f>
        <v>0.99106682452253647</v>
      </c>
      <c r="H126" s="6">
        <f t="shared" ref="H126:H153" si="699">J95/I95</f>
        <v>0.99098630359081252</v>
      </c>
      <c r="I126" s="6">
        <f t="shared" ref="I126:I153" si="700">K95/J95</f>
        <v>0.99090431787348976</v>
      </c>
      <c r="J126" s="6">
        <f t="shared" ref="J126:J153" si="701">L95/K95</f>
        <v>0.99082082703400676</v>
      </c>
      <c r="K126" s="6">
        <f t="shared" ref="K126:K153" si="702">M95/L95</f>
        <v>0.99073578924105721</v>
      </c>
      <c r="L126" s="6">
        <f t="shared" ref="L126:L153" si="703">N95/M95</f>
        <v>0.99712718173461501</v>
      </c>
      <c r="M126" s="6">
        <f t="shared" ref="M126:M153" si="704">O95/N95</f>
        <v>0.99711890487190669</v>
      </c>
      <c r="N126" s="6">
        <f t="shared" ref="N126:N153" si="705">P95/O95</f>
        <v>0.99711058017853604</v>
      </c>
      <c r="O126" s="6">
        <f t="shared" ref="O126:O153" si="706">Q95/P95</f>
        <v>0.99710220723869303</v>
      </c>
      <c r="P126" s="6">
        <f t="shared" ref="P126:P153" si="707">R95/Q95</f>
        <v>0.99709378563173401</v>
      </c>
      <c r="Q126" s="6">
        <f t="shared" ref="Q126:Q153" si="708">S95/R95</f>
        <v>0.99618590621927794</v>
      </c>
      <c r="R126" s="6">
        <f t="shared" ref="R126:R153" si="709">T95/S95</f>
        <v>0.99617130321066549</v>
      </c>
      <c r="S126" s="6">
        <f t="shared" ref="S126:S153" si="710">U95/T95</f>
        <v>0.99615658795129447</v>
      </c>
      <c r="T126" s="6">
        <f t="shared" ref="T126:T153" si="711">V95/U95</f>
        <v>0.99614175914189362</v>
      </c>
      <c r="U126" s="6">
        <f t="shared" ref="U126:U153" si="712">W95/V95</f>
        <v>0.99612681546306225</v>
      </c>
      <c r="V126" s="6">
        <f t="shared" ref="V126:V153" si="713">X95/W95</f>
        <v>0.99669287031540577</v>
      </c>
      <c r="W126" s="6">
        <f t="shared" ref="W126:W153" si="714">Y95/X95</f>
        <v>0.99668189691820741</v>
      </c>
      <c r="X126" s="6">
        <f t="shared" ref="X126:X153" si="715">Z95/Y95</f>
        <v>0.99667085045684845</v>
      </c>
      <c r="Y126" s="6">
        <f t="shared" ref="Y126:Y153" si="716">AA95/Z95</f>
        <v>0.99665973019916709</v>
      </c>
      <c r="Z126" s="6">
        <f t="shared" ref="Z126:Z153" si="717">AB95/AA95</f>
        <v>0.9966485354031861</v>
      </c>
      <c r="AA126" s="6">
        <f t="shared" ref="AA126:AA153" si="718">AC95/AB95</f>
        <v>0.99717268105583901</v>
      </c>
      <c r="AB126" s="6">
        <f t="shared" ref="AB126:AB153" si="719">AD95/AC95</f>
        <v>0.99716466465851494</v>
      </c>
      <c r="AC126" s="6">
        <f t="shared" ref="AC126:AC153" si="720">AE95/AD95</f>
        <v>0.99715660267358552</v>
      </c>
      <c r="AD126" s="6">
        <f t="shared" ref="AD126:AD153" si="721">AF95/AE95</f>
        <v>0.9971484947110707</v>
      </c>
      <c r="AE126" s="6">
        <f t="shared" ref="AE126:AE153" si="722">AG95/AF95</f>
        <v>0.99714034037652999</v>
      </c>
    </row>
    <row r="127" spans="1:33" x14ac:dyDescent="0.3">
      <c r="A127" t="s">
        <v>114</v>
      </c>
      <c r="B127" t="s">
        <v>142</v>
      </c>
      <c r="C127" s="6">
        <f t="shared" si="694"/>
        <v>0.99224213918904758</v>
      </c>
      <c r="D127" s="6">
        <f t="shared" si="695"/>
        <v>0.99218148423197094</v>
      </c>
      <c r="E127" s="6">
        <f t="shared" si="696"/>
        <v>0.99211987333740537</v>
      </c>
      <c r="F127" s="6">
        <f t="shared" si="697"/>
        <v>0.99205728372713053</v>
      </c>
      <c r="G127" s="6">
        <f t="shared" si="698"/>
        <v>0.99203351290357911</v>
      </c>
      <c r="H127" s="6">
        <f t="shared" si="699"/>
        <v>0.99196953833434132</v>
      </c>
      <c r="I127" s="6">
        <f t="shared" si="700"/>
        <v>0.99190452795643003</v>
      </c>
      <c r="J127" s="6">
        <f t="shared" si="701"/>
        <v>0.99183845640845225</v>
      </c>
      <c r="K127" s="6">
        <f t="shared" si="702"/>
        <v>0.9917712974942493</v>
      </c>
      <c r="L127" s="6">
        <f t="shared" si="703"/>
        <v>1.0011613418165872</v>
      </c>
      <c r="M127" s="6">
        <f t="shared" si="704"/>
        <v>1.0011599946662744</v>
      </c>
      <c r="N127" s="6">
        <f t="shared" si="705"/>
        <v>1.0011586506377146</v>
      </c>
      <c r="O127" s="6">
        <f t="shared" si="706"/>
        <v>1.0011573097200694</v>
      </c>
      <c r="P127" s="6">
        <f t="shared" si="707"/>
        <v>1.0011559719025507</v>
      </c>
      <c r="Q127" s="6">
        <f t="shared" si="708"/>
        <v>0.99917216327522618</v>
      </c>
      <c r="R127" s="6">
        <f t="shared" si="709"/>
        <v>0.99917147739378542</v>
      </c>
      <c r="S127" s="6">
        <f t="shared" si="710"/>
        <v>0.99917079037486567</v>
      </c>
      <c r="T127" s="6">
        <f t="shared" si="711"/>
        <v>0.99917010221563507</v>
      </c>
      <c r="U127" s="6">
        <f t="shared" si="712"/>
        <v>0.99916941291325156</v>
      </c>
      <c r="V127" s="6">
        <f t="shared" si="713"/>
        <v>1.0002431000121508</v>
      </c>
      <c r="W127" s="6">
        <f t="shared" si="714"/>
        <v>1.000243040928898</v>
      </c>
      <c r="X127" s="6">
        <f t="shared" si="715"/>
        <v>1.0002429818743577</v>
      </c>
      <c r="Y127" s="6">
        <f t="shared" si="716"/>
        <v>1.0002429228485086</v>
      </c>
      <c r="Z127" s="6">
        <f t="shared" si="717"/>
        <v>1.0002428638513303</v>
      </c>
      <c r="AA127" s="6">
        <f t="shared" si="718"/>
        <v>0.99950041374232523</v>
      </c>
      <c r="AB127" s="6">
        <f t="shared" si="719"/>
        <v>0.99950016403114417</v>
      </c>
      <c r="AC127" s="6">
        <f t="shared" si="720"/>
        <v>0.99949991407020888</v>
      </c>
      <c r="AD127" s="6">
        <f t="shared" si="721"/>
        <v>0.99949966385914468</v>
      </c>
      <c r="AE127" s="6">
        <f t="shared" si="722"/>
        <v>0.99949941339757564</v>
      </c>
    </row>
    <row r="128" spans="1:33" x14ac:dyDescent="0.3">
      <c r="A128" t="s">
        <v>115</v>
      </c>
      <c r="B128" t="s">
        <v>142</v>
      </c>
      <c r="C128" s="6">
        <f t="shared" si="694"/>
        <v>1.0019188539682384</v>
      </c>
      <c r="D128" s="6">
        <f t="shared" si="695"/>
        <v>1.0019151790193772</v>
      </c>
      <c r="E128" s="6">
        <f t="shared" si="696"/>
        <v>1.0019115181199787</v>
      </c>
      <c r="F128" s="6">
        <f t="shared" si="697"/>
        <v>1.001907871189629</v>
      </c>
      <c r="G128" s="6">
        <f t="shared" si="698"/>
        <v>0.98716411833449946</v>
      </c>
      <c r="H128" s="6">
        <f t="shared" si="699"/>
        <v>0.98699721613954461</v>
      </c>
      <c r="I128" s="6">
        <f t="shared" si="700"/>
        <v>0.9868259163776435</v>
      </c>
      <c r="J128" s="6">
        <f t="shared" si="701"/>
        <v>0.98665004292680636</v>
      </c>
      <c r="K128" s="6">
        <f t="shared" si="702"/>
        <v>0.98646941013290557</v>
      </c>
      <c r="L128" s="6">
        <f t="shared" si="703"/>
        <v>0.99643106706392415</v>
      </c>
      <c r="M128" s="6">
        <f t="shared" si="704"/>
        <v>0.99641828416029621</v>
      </c>
      <c r="N128" s="6">
        <f t="shared" si="705"/>
        <v>0.99640540935805666</v>
      </c>
      <c r="O128" s="6">
        <f t="shared" si="706"/>
        <v>0.99639244166261687</v>
      </c>
      <c r="P128" s="6">
        <f t="shared" si="707"/>
        <v>0.9963793800649835</v>
      </c>
      <c r="Q128" s="6">
        <f t="shared" si="708"/>
        <v>0.99818563338257194</v>
      </c>
      <c r="R128" s="6">
        <f t="shared" si="709"/>
        <v>0.99818233547273194</v>
      </c>
      <c r="S128" s="6">
        <f t="shared" si="710"/>
        <v>0.99817902555207294</v>
      </c>
      <c r="T128" s="6">
        <f t="shared" si="711"/>
        <v>0.99817570355486085</v>
      </c>
      <c r="U128" s="6">
        <f t="shared" si="712"/>
        <v>0.99817236941488119</v>
      </c>
      <c r="V128" s="6">
        <f t="shared" si="713"/>
        <v>0.99904916895550289</v>
      </c>
      <c r="W128" s="6">
        <f t="shared" si="714"/>
        <v>0.99904826401538249</v>
      </c>
      <c r="X128" s="6">
        <f t="shared" si="715"/>
        <v>0.99904735735109307</v>
      </c>
      <c r="Y128" s="6">
        <f t="shared" si="716"/>
        <v>0.99904644895770223</v>
      </c>
      <c r="Z128" s="6">
        <f t="shared" si="717"/>
        <v>0.99904553883025904</v>
      </c>
      <c r="AA128" s="6">
        <f t="shared" si="718"/>
        <v>0.9969929957204523</v>
      </c>
      <c r="AB128" s="6">
        <f t="shared" si="719"/>
        <v>0.99698392637415201</v>
      </c>
      <c r="AC128" s="6">
        <f t="shared" si="720"/>
        <v>0.9969748021547179</v>
      </c>
      <c r="AD128" s="6">
        <f t="shared" si="721"/>
        <v>0.99696562256263255</v>
      </c>
      <c r="AE128" s="6">
        <f t="shared" si="722"/>
        <v>0.99695638709229706</v>
      </c>
    </row>
    <row r="129" spans="1:31" x14ac:dyDescent="0.3">
      <c r="A129" t="s">
        <v>116</v>
      </c>
      <c r="B129" t="s">
        <v>142</v>
      </c>
      <c r="C129" s="6">
        <f t="shared" si="694"/>
        <v>1.0173055749525644</v>
      </c>
      <c r="D129" s="6">
        <f t="shared" si="695"/>
        <v>1.0170111865880331</v>
      </c>
      <c r="E129" s="6">
        <f t="shared" si="696"/>
        <v>1.0167266464837066</v>
      </c>
      <c r="F129" s="6">
        <f t="shared" si="697"/>
        <v>1.0164514685845547</v>
      </c>
      <c r="G129" s="6">
        <f t="shared" si="698"/>
        <v>0.99834838195378794</v>
      </c>
      <c r="H129" s="6">
        <f t="shared" si="699"/>
        <v>0.99834564959881056</v>
      </c>
      <c r="I129" s="6">
        <f t="shared" si="700"/>
        <v>0.99834290818830707</v>
      </c>
      <c r="J129" s="6">
        <f t="shared" si="701"/>
        <v>0.9983401576771852</v>
      </c>
      <c r="K129" s="6">
        <f t="shared" si="702"/>
        <v>0.99833739802005295</v>
      </c>
      <c r="L129" s="6">
        <f t="shared" si="703"/>
        <v>1.0017752910078774</v>
      </c>
      <c r="M129" s="6">
        <f t="shared" si="704"/>
        <v>1.0017721449349097</v>
      </c>
      <c r="N129" s="6">
        <f t="shared" si="705"/>
        <v>1.0017690099928112</v>
      </c>
      <c r="O129" s="6">
        <f t="shared" si="706"/>
        <v>1.0017658861226142</v>
      </c>
      <c r="P129" s="6">
        <f t="shared" si="707"/>
        <v>1.0017627732657668</v>
      </c>
      <c r="Q129" s="6">
        <f t="shared" si="708"/>
        <v>0.99797413099535215</v>
      </c>
      <c r="R129" s="6">
        <f t="shared" si="709"/>
        <v>0.9979700185187893</v>
      </c>
      <c r="S129" s="6">
        <f t="shared" si="710"/>
        <v>0.99796588931176144</v>
      </c>
      <c r="T129" s="6">
        <f t="shared" si="711"/>
        <v>0.99796174327196563</v>
      </c>
      <c r="U129" s="6">
        <f t="shared" si="712"/>
        <v>0.9979575802962628</v>
      </c>
      <c r="V129" s="6">
        <f t="shared" si="713"/>
        <v>0.99896883276646253</v>
      </c>
      <c r="W129" s="6">
        <f t="shared" si="714"/>
        <v>0.99896776836302104</v>
      </c>
      <c r="X129" s="6">
        <f t="shared" si="715"/>
        <v>0.99896670175988722</v>
      </c>
      <c r="Y129" s="6">
        <f t="shared" si="716"/>
        <v>0.99896563295023511</v>
      </c>
      <c r="Z129" s="6">
        <f t="shared" si="717"/>
        <v>0.99896456192721039</v>
      </c>
      <c r="AA129" s="6">
        <f t="shared" si="718"/>
        <v>0.9980776697018422</v>
      </c>
      <c r="AB129" s="6">
        <f t="shared" si="719"/>
        <v>0.99807396723069453</v>
      </c>
      <c r="AC129" s="6">
        <f t="shared" si="720"/>
        <v>0.99807025046986297</v>
      </c>
      <c r="AD129" s="6">
        <f t="shared" si="721"/>
        <v>0.99806651933646096</v>
      </c>
      <c r="AE129" s="6">
        <f t="shared" si="722"/>
        <v>0.99806277374695984</v>
      </c>
    </row>
    <row r="130" spans="1:31" x14ac:dyDescent="0.3">
      <c r="A130" t="s">
        <v>118</v>
      </c>
      <c r="B130" t="s">
        <v>142</v>
      </c>
      <c r="C130" s="6">
        <f t="shared" si="694"/>
        <v>1.0450361180725503</v>
      </c>
      <c r="D130" s="6">
        <f t="shared" si="695"/>
        <v>1.0430952742146502</v>
      </c>
      <c r="E130" s="6">
        <f t="shared" si="696"/>
        <v>1.041314801514269</v>
      </c>
      <c r="F130" s="6">
        <f t="shared" si="697"/>
        <v>1.039675611500182</v>
      </c>
      <c r="G130" s="6">
        <f t="shared" si="698"/>
        <v>1.015052541554623</v>
      </c>
      <c r="H130" s="6">
        <f t="shared" si="699"/>
        <v>1.0148293225605534</v>
      </c>
      <c r="I130" s="6">
        <f t="shared" si="700"/>
        <v>1.0146126271983718</v>
      </c>
      <c r="J130" s="6">
        <f t="shared" si="701"/>
        <v>1.0144021736046409</v>
      </c>
      <c r="K130" s="6">
        <f t="shared" si="702"/>
        <v>1.0141976959231691</v>
      </c>
      <c r="L130" s="6">
        <f t="shared" si="703"/>
        <v>1.0098260798011751</v>
      </c>
      <c r="M130" s="6">
        <f t="shared" si="704"/>
        <v>1.009730467451494</v>
      </c>
      <c r="N130" s="6">
        <f t="shared" si="705"/>
        <v>1.009636697876467</v>
      </c>
      <c r="O130" s="6">
        <f t="shared" si="706"/>
        <v>1.0095447183097996</v>
      </c>
      <c r="P130" s="6">
        <f t="shared" si="707"/>
        <v>1.0094544779807073</v>
      </c>
      <c r="Q130" s="6">
        <f t="shared" si="708"/>
        <v>1.0019995963027084</v>
      </c>
      <c r="R130" s="6">
        <f t="shared" si="709"/>
        <v>1.001995605896536</v>
      </c>
      <c r="S130" s="6">
        <f t="shared" si="710"/>
        <v>1.0019916313852</v>
      </c>
      <c r="T130" s="6">
        <f t="shared" si="711"/>
        <v>1.0019876726739192</v>
      </c>
      <c r="U130" s="6">
        <f t="shared" si="712"/>
        <v>1.0019837296686642</v>
      </c>
      <c r="V130" s="6">
        <f t="shared" si="713"/>
        <v>1.0010615053531091</v>
      </c>
      <c r="W130" s="6">
        <f t="shared" si="714"/>
        <v>1.0010603797543236</v>
      </c>
      <c r="X130" s="6">
        <f t="shared" si="715"/>
        <v>1.0010592565401339</v>
      </c>
      <c r="Y130" s="6">
        <f t="shared" si="716"/>
        <v>1.0010581357029702</v>
      </c>
      <c r="Z130" s="6">
        <f t="shared" si="717"/>
        <v>1.0010570172352948</v>
      </c>
      <c r="AA130" s="6">
        <f t="shared" si="718"/>
        <v>1.0024621128393612</v>
      </c>
      <c r="AB130" s="6">
        <f t="shared" si="719"/>
        <v>1.002456065728397</v>
      </c>
      <c r="AC130" s="6">
        <f t="shared" si="720"/>
        <v>1.0024500482488601</v>
      </c>
      <c r="AD130" s="6">
        <f t="shared" si="721"/>
        <v>1.0024440601834874</v>
      </c>
      <c r="AE130" s="6">
        <f t="shared" si="722"/>
        <v>1.0024381013171348</v>
      </c>
    </row>
    <row r="131" spans="1:31" x14ac:dyDescent="0.3">
      <c r="A131" t="s">
        <v>119</v>
      </c>
      <c r="B131" t="s">
        <v>142</v>
      </c>
      <c r="C131" s="6">
        <f t="shared" si="694"/>
        <v>1.006331787137807</v>
      </c>
      <c r="D131" s="6">
        <f t="shared" si="695"/>
        <v>1.0062919478632548</v>
      </c>
      <c r="E131" s="6">
        <f t="shared" si="696"/>
        <v>1.0062526067873394</v>
      </c>
      <c r="F131" s="6">
        <f t="shared" si="697"/>
        <v>1.006213754623009</v>
      </c>
      <c r="G131" s="6">
        <f t="shared" si="698"/>
        <v>0.98996170895921398</v>
      </c>
      <c r="H131" s="6">
        <f t="shared" si="699"/>
        <v>0.98985991988383104</v>
      </c>
      <c r="I131" s="6">
        <f t="shared" si="700"/>
        <v>0.98975604536310657</v>
      </c>
      <c r="J131" s="6">
        <f t="shared" si="701"/>
        <v>0.9896500206440918</v>
      </c>
      <c r="K131" s="6">
        <f t="shared" si="702"/>
        <v>0.98954177826503542</v>
      </c>
      <c r="L131" s="6">
        <f t="shared" si="703"/>
        <v>0.99790958295736087</v>
      </c>
      <c r="M131" s="6">
        <f t="shared" si="704"/>
        <v>0.99790520396001814</v>
      </c>
      <c r="N131" s="6">
        <f t="shared" si="705"/>
        <v>0.99790080657795044</v>
      </c>
      <c r="O131" s="6">
        <f t="shared" si="706"/>
        <v>0.99789639069513514</v>
      </c>
      <c r="P131" s="6">
        <f t="shared" si="707"/>
        <v>0.99789195619457061</v>
      </c>
      <c r="Q131" s="6">
        <f t="shared" si="708"/>
        <v>0.99670870376185117</v>
      </c>
      <c r="R131" s="6">
        <f t="shared" si="709"/>
        <v>0.99669783535979306</v>
      </c>
      <c r="S131" s="6">
        <f t="shared" si="710"/>
        <v>0.99668689494141938</v>
      </c>
      <c r="T131" s="6">
        <f t="shared" si="711"/>
        <v>0.9966758817885577</v>
      </c>
      <c r="U131" s="6">
        <f t="shared" si="712"/>
        <v>0.99666479517345474</v>
      </c>
      <c r="V131" s="6">
        <f t="shared" si="713"/>
        <v>0.99705080763497822</v>
      </c>
      <c r="W131" s="6">
        <f t="shared" si="714"/>
        <v>0.99704208417220253</v>
      </c>
      <c r="X131" s="6">
        <f t="shared" si="715"/>
        <v>0.99703330894978892</v>
      </c>
      <c r="Y131" s="6">
        <f t="shared" si="716"/>
        <v>0.99702448150570211</v>
      </c>
      <c r="Z131" s="6">
        <f t="shared" si="717"/>
        <v>0.99701560137239165</v>
      </c>
      <c r="AA131" s="6">
        <f t="shared" si="718"/>
        <v>0.99808249219351353</v>
      </c>
      <c r="AB131" s="6">
        <f t="shared" si="719"/>
        <v>0.99807880829341833</v>
      </c>
      <c r="AC131" s="6">
        <f t="shared" si="720"/>
        <v>0.99807511021111983</v>
      </c>
      <c r="AD131" s="6">
        <f t="shared" si="721"/>
        <v>0.99807139786456256</v>
      </c>
      <c r="AE131" s="6">
        <f t="shared" si="722"/>
        <v>0.99806767117105666</v>
      </c>
    </row>
    <row r="132" spans="1:31" x14ac:dyDescent="0.3">
      <c r="A132" t="s">
        <v>120</v>
      </c>
      <c r="B132" t="s">
        <v>142</v>
      </c>
      <c r="C132" s="6">
        <f t="shared" si="694"/>
        <v>0.99375346828651023</v>
      </c>
      <c r="D132" s="6">
        <f t="shared" si="695"/>
        <v>0.99371420386158704</v>
      </c>
      <c r="E132" s="6">
        <f t="shared" si="696"/>
        <v>0.99367444269792438</v>
      </c>
      <c r="F132" s="6">
        <f t="shared" si="697"/>
        <v>0.99363417530906695</v>
      </c>
      <c r="G132" s="6">
        <f t="shared" si="698"/>
        <v>0.98929966672385583</v>
      </c>
      <c r="H132" s="6">
        <f t="shared" si="699"/>
        <v>0.9891839311827737</v>
      </c>
      <c r="I132" s="6">
        <f t="shared" si="700"/>
        <v>0.9890656646592576</v>
      </c>
      <c r="J132" s="6">
        <f t="shared" si="701"/>
        <v>0.98894478321162904</v>
      </c>
      <c r="K132" s="6">
        <f t="shared" si="702"/>
        <v>0.98882119914474043</v>
      </c>
      <c r="L132" s="6">
        <f t="shared" si="703"/>
        <v>0.99876184368780418</v>
      </c>
      <c r="M132" s="6">
        <f t="shared" si="704"/>
        <v>0.99876030875626554</v>
      </c>
      <c r="N132" s="6">
        <f t="shared" si="705"/>
        <v>0.9987587700143209</v>
      </c>
      <c r="O132" s="6">
        <f t="shared" si="706"/>
        <v>0.99875722744776363</v>
      </c>
      <c r="P132" s="6">
        <f t="shared" si="707"/>
        <v>0.9987556810423166</v>
      </c>
      <c r="Q132" s="6">
        <f t="shared" si="708"/>
        <v>0.99557660801165582</v>
      </c>
      <c r="R132" s="6">
        <f t="shared" si="709"/>
        <v>0.99555695468058603</v>
      </c>
      <c r="S132" s="6">
        <f t="shared" si="710"/>
        <v>0.99553712592883303</v>
      </c>
      <c r="T132" s="6">
        <f t="shared" si="711"/>
        <v>0.99551711939722676</v>
      </c>
      <c r="U132" s="6">
        <f t="shared" si="712"/>
        <v>0.99549693268410311</v>
      </c>
      <c r="V132" s="6">
        <f t="shared" si="713"/>
        <v>0.99777411717840458</v>
      </c>
      <c r="W132" s="6">
        <f t="shared" si="714"/>
        <v>0.99776915157120938</v>
      </c>
      <c r="X132" s="6">
        <f t="shared" si="715"/>
        <v>0.9977641637594451</v>
      </c>
      <c r="Y132" s="6">
        <f t="shared" si="716"/>
        <v>0.99775915359384071</v>
      </c>
      <c r="Z132" s="6">
        <f t="shared" si="717"/>
        <v>0.99775412092378413</v>
      </c>
      <c r="AA132" s="6">
        <f t="shared" si="718"/>
        <v>0.99885462631021527</v>
      </c>
      <c r="AB132" s="6">
        <f t="shared" si="719"/>
        <v>0.99885331292500912</v>
      </c>
      <c r="AC132" s="6">
        <f t="shared" si="720"/>
        <v>0.99885199652426149</v>
      </c>
      <c r="AD132" s="6">
        <f t="shared" si="721"/>
        <v>0.99885067709757469</v>
      </c>
      <c r="AE132" s="6">
        <f t="shared" si="722"/>
        <v>0.99884935463450375</v>
      </c>
    </row>
    <row r="133" spans="1:31" x14ac:dyDescent="0.3">
      <c r="A133" t="s">
        <v>121</v>
      </c>
      <c r="B133" t="s">
        <v>142</v>
      </c>
      <c r="C133" s="6">
        <f t="shared" si="694"/>
        <v>1.0383132670693969</v>
      </c>
      <c r="D133" s="6">
        <f t="shared" si="695"/>
        <v>1.0368995256870162</v>
      </c>
      <c r="E133" s="6">
        <f t="shared" si="696"/>
        <v>1.0355864042493101</v>
      </c>
      <c r="F133" s="6">
        <f t="shared" si="697"/>
        <v>1.0343635297868812</v>
      </c>
      <c r="G133" s="6">
        <f t="shared" si="698"/>
        <v>1.0048272462679841</v>
      </c>
      <c r="H133" s="6">
        <f t="shared" si="699"/>
        <v>1.0048040559070357</v>
      </c>
      <c r="I133" s="6">
        <f t="shared" si="700"/>
        <v>1.0047810872963676</v>
      </c>
      <c r="J133" s="6">
        <f t="shared" si="701"/>
        <v>1.0047583372704918</v>
      </c>
      <c r="K133" s="6">
        <f t="shared" si="702"/>
        <v>1.0047358027238853</v>
      </c>
      <c r="L133" s="6">
        <f t="shared" si="703"/>
        <v>1.0027402215850589</v>
      </c>
      <c r="M133" s="6">
        <f t="shared" si="704"/>
        <v>1.0027327332903107</v>
      </c>
      <c r="N133" s="6">
        <f t="shared" si="705"/>
        <v>1.0027252858110491</v>
      </c>
      <c r="O133" s="6">
        <f t="shared" si="706"/>
        <v>1.0027178788144799</v>
      </c>
      <c r="P133" s="6">
        <f t="shared" si="707"/>
        <v>1.0027105119714164</v>
      </c>
      <c r="Q133" s="6">
        <f t="shared" si="708"/>
        <v>1.0000292613167749</v>
      </c>
      <c r="R133" s="6">
        <f t="shared" si="709"/>
        <v>1.0000292604605752</v>
      </c>
      <c r="S133" s="6">
        <f t="shared" si="710"/>
        <v>1.0000292596044258</v>
      </c>
      <c r="T133" s="6">
        <f t="shared" si="711"/>
        <v>1.0000292587483264</v>
      </c>
      <c r="U133" s="6">
        <f t="shared" si="712"/>
        <v>1.0000292578922774</v>
      </c>
      <c r="V133" s="6">
        <f t="shared" si="713"/>
        <v>1.0003988302710625</v>
      </c>
      <c r="W133" s="6">
        <f t="shared" si="714"/>
        <v>1.0003986712688921</v>
      </c>
      <c r="X133" s="6">
        <f t="shared" si="715"/>
        <v>1.0003985123934507</v>
      </c>
      <c r="Y133" s="6">
        <f t="shared" si="716"/>
        <v>1.0003983536445862</v>
      </c>
      <c r="Z133" s="6">
        <f t="shared" si="717"/>
        <v>1.0003981950221477</v>
      </c>
      <c r="AA133" s="6">
        <f t="shared" si="718"/>
        <v>1.0024188735813149</v>
      </c>
      <c r="AB133" s="6">
        <f t="shared" si="719"/>
        <v>1.0024130367504684</v>
      </c>
      <c r="AC133" s="6">
        <f t="shared" si="720"/>
        <v>1.0024072280207874</v>
      </c>
      <c r="AD133" s="6">
        <f t="shared" si="721"/>
        <v>1.0024014471898217</v>
      </c>
      <c r="AE133" s="6">
        <f t="shared" si="722"/>
        <v>1.0023956940570611</v>
      </c>
    </row>
    <row r="134" spans="1:31" x14ac:dyDescent="0.3">
      <c r="A134" t="s">
        <v>122</v>
      </c>
      <c r="B134" t="s">
        <v>142</v>
      </c>
      <c r="C134" s="6">
        <f t="shared" si="694"/>
        <v>0.994388982483705</v>
      </c>
      <c r="D134" s="6">
        <f t="shared" si="695"/>
        <v>0.99435732131476329</v>
      </c>
      <c r="E134" s="6">
        <f t="shared" si="696"/>
        <v>0.99432530081060222</v>
      </c>
      <c r="F134" s="6">
        <f t="shared" si="697"/>
        <v>0.99429291481895143</v>
      </c>
      <c r="G134" s="6">
        <f t="shared" si="698"/>
        <v>0.98999332255765893</v>
      </c>
      <c r="H134" s="6">
        <f t="shared" si="699"/>
        <v>0.98989217683156827</v>
      </c>
      <c r="I134" s="6">
        <f t="shared" si="700"/>
        <v>0.98978896550048034</v>
      </c>
      <c r="J134" s="6">
        <f t="shared" si="701"/>
        <v>0.98968362463572568</v>
      </c>
      <c r="K134" s="6">
        <f t="shared" si="702"/>
        <v>0.98957608764308735</v>
      </c>
      <c r="L134" s="6">
        <f t="shared" si="703"/>
        <v>0.99659343401484646</v>
      </c>
      <c r="M134" s="6">
        <f t="shared" si="704"/>
        <v>0.99658178965575772</v>
      </c>
      <c r="N134" s="6">
        <f t="shared" si="705"/>
        <v>0.99657006541788906</v>
      </c>
      <c r="O134" s="6">
        <f t="shared" si="706"/>
        <v>0.99655826047647467</v>
      </c>
      <c r="P134" s="6">
        <f t="shared" si="707"/>
        <v>0.99654637399535517</v>
      </c>
      <c r="Q134" s="6">
        <f t="shared" si="708"/>
        <v>0.99720037492607749</v>
      </c>
      <c r="R134" s="6">
        <f t="shared" si="709"/>
        <v>0.99719251502073492</v>
      </c>
      <c r="S134" s="6">
        <f t="shared" si="710"/>
        <v>0.99718461085800791</v>
      </c>
      <c r="T134" s="6">
        <f t="shared" si="711"/>
        <v>0.99717666206303601</v>
      </c>
      <c r="U134" s="6">
        <f t="shared" si="712"/>
        <v>0.99716866825671291</v>
      </c>
      <c r="V134" s="6">
        <f t="shared" si="713"/>
        <v>0.99686041627858091</v>
      </c>
      <c r="W134" s="6">
        <f t="shared" si="714"/>
        <v>0.99685052824833842</v>
      </c>
      <c r="X134" s="6">
        <f t="shared" si="715"/>
        <v>0.99684057773717005</v>
      </c>
      <c r="Y134" s="6">
        <f t="shared" si="716"/>
        <v>0.99683056415098803</v>
      </c>
      <c r="Z134" s="6">
        <f t="shared" si="717"/>
        <v>0.99682048688814895</v>
      </c>
      <c r="AA134" s="6">
        <f t="shared" si="718"/>
        <v>0.99833646330382897</v>
      </c>
      <c r="AB134" s="6">
        <f t="shared" si="719"/>
        <v>0.99833369133822292</v>
      </c>
      <c r="AC134" s="6">
        <f t="shared" si="720"/>
        <v>0.99833091011929742</v>
      </c>
      <c r="AD134" s="6">
        <f t="shared" si="721"/>
        <v>0.99832811960064116</v>
      </c>
      <c r="AE134" s="6">
        <f t="shared" si="722"/>
        <v>0.99832531973553207</v>
      </c>
    </row>
    <row r="135" spans="1:31" x14ac:dyDescent="0.3">
      <c r="A135" t="s">
        <v>123</v>
      </c>
      <c r="B135" t="s">
        <v>142</v>
      </c>
      <c r="C135" s="6">
        <f t="shared" si="694"/>
        <v>1.0319911386380447</v>
      </c>
      <c r="D135" s="6">
        <f t="shared" si="695"/>
        <v>1.0309994315263835</v>
      </c>
      <c r="E135" s="6">
        <f t="shared" si="696"/>
        <v>1.030067360445087</v>
      </c>
      <c r="F135" s="6">
        <f t="shared" si="697"/>
        <v>1.0291897031200905</v>
      </c>
      <c r="G135" s="6">
        <f t="shared" si="698"/>
        <v>0.99358415523513066</v>
      </c>
      <c r="H135" s="6">
        <f t="shared" si="699"/>
        <v>0.99354272636991581</v>
      </c>
      <c r="I135" s="6">
        <f t="shared" si="700"/>
        <v>0.99350075899234147</v>
      </c>
      <c r="J135" s="6">
        <f t="shared" si="701"/>
        <v>0.99345824253395598</v>
      </c>
      <c r="K135" s="6">
        <f t="shared" si="702"/>
        <v>0.99341516614794145</v>
      </c>
      <c r="L135" s="6">
        <f t="shared" si="703"/>
        <v>0.99458456274059504</v>
      </c>
      <c r="M135" s="6">
        <f t="shared" si="704"/>
        <v>0.99455507609681515</v>
      </c>
      <c r="N135" s="6">
        <f t="shared" si="705"/>
        <v>0.99452526659000751</v>
      </c>
      <c r="O135" s="6">
        <f t="shared" si="706"/>
        <v>0.99449512888821412</v>
      </c>
      <c r="P135" s="6">
        <f t="shared" si="707"/>
        <v>0.99446465754142033</v>
      </c>
      <c r="Q135" s="6">
        <f t="shared" si="708"/>
        <v>0.99817346554547925</v>
      </c>
      <c r="R135" s="6">
        <f t="shared" si="709"/>
        <v>0.99817012321247933</v>
      </c>
      <c r="S135" s="6">
        <f t="shared" si="710"/>
        <v>0.99816676862494003</v>
      </c>
      <c r="T135" s="6">
        <f t="shared" si="711"/>
        <v>0.99816340171534113</v>
      </c>
      <c r="U135" s="6">
        <f t="shared" si="712"/>
        <v>0.99816002241566582</v>
      </c>
      <c r="V135" s="6">
        <f t="shared" si="713"/>
        <v>1.002113124457271</v>
      </c>
      <c r="W135" s="6">
        <f t="shared" si="714"/>
        <v>1.0021086685781262</v>
      </c>
      <c r="X135" s="6">
        <f t="shared" si="715"/>
        <v>1.0021042314513835</v>
      </c>
      <c r="Y135" s="6">
        <f t="shared" si="716"/>
        <v>1.0020998129589134</v>
      </c>
      <c r="Z135" s="6">
        <f t="shared" si="717"/>
        <v>1.0020954129835764</v>
      </c>
      <c r="AA135" s="6">
        <f t="shared" si="718"/>
        <v>1.0087958476296988</v>
      </c>
      <c r="AB135" s="6">
        <f t="shared" si="719"/>
        <v>1.0087191552684975</v>
      </c>
      <c r="AC135" s="6">
        <f t="shared" si="720"/>
        <v>1.0086437887324313</v>
      </c>
      <c r="AD135" s="6">
        <f t="shared" si="721"/>
        <v>1.008569713935674</v>
      </c>
      <c r="AE135" s="6">
        <f t="shared" si="722"/>
        <v>1.0084968979508944</v>
      </c>
    </row>
    <row r="136" spans="1:31" x14ac:dyDescent="0.3">
      <c r="A136" t="s">
        <v>124</v>
      </c>
      <c r="B136" t="s">
        <v>142</v>
      </c>
      <c r="C136" s="6">
        <f t="shared" si="694"/>
        <v>0.99608595931172117</v>
      </c>
      <c r="D136" s="6">
        <f t="shared" si="695"/>
        <v>0.99607057939960986</v>
      </c>
      <c r="E136" s="6">
        <f t="shared" si="696"/>
        <v>0.99605507814239569</v>
      </c>
      <c r="F136" s="6">
        <f t="shared" si="697"/>
        <v>0.99603945409829975</v>
      </c>
      <c r="G136" s="6">
        <f t="shared" si="698"/>
        <v>0.99292672485267841</v>
      </c>
      <c r="H136" s="6">
        <f t="shared" si="699"/>
        <v>0.99287633722581992</v>
      </c>
      <c r="I136" s="6">
        <f t="shared" si="700"/>
        <v>0.99282522655934757</v>
      </c>
      <c r="J136" s="6">
        <f t="shared" si="701"/>
        <v>0.99277337717785763</v>
      </c>
      <c r="K136" s="6">
        <f t="shared" si="702"/>
        <v>0.9927207729495271</v>
      </c>
      <c r="L136" s="6">
        <f t="shared" si="703"/>
        <v>1.0007841332599838</v>
      </c>
      <c r="M136" s="6">
        <f t="shared" si="704"/>
        <v>1.0007835188767726</v>
      </c>
      <c r="N136" s="6">
        <f t="shared" si="705"/>
        <v>1.0007829054555695</v>
      </c>
      <c r="O136" s="6">
        <f t="shared" si="706"/>
        <v>1.0007822929941166</v>
      </c>
      <c r="P136" s="6">
        <f t="shared" si="707"/>
        <v>1.0007816814901633</v>
      </c>
      <c r="Q136" s="6">
        <f t="shared" si="708"/>
        <v>0.99733259209467084</v>
      </c>
      <c r="R136" s="6">
        <f t="shared" si="709"/>
        <v>0.99732545800019745</v>
      </c>
      <c r="S136" s="6">
        <f t="shared" si="710"/>
        <v>0.9973182856425169</v>
      </c>
      <c r="T136" s="6">
        <f t="shared" si="711"/>
        <v>0.99731107471296843</v>
      </c>
      <c r="U136" s="6">
        <f t="shared" si="712"/>
        <v>0.99730382489956293</v>
      </c>
      <c r="V136" s="6">
        <f t="shared" si="713"/>
        <v>0.99500110139374964</v>
      </c>
      <c r="W136" s="6">
        <f t="shared" si="714"/>
        <v>0.9949759868614737</v>
      </c>
      <c r="X136" s="6">
        <f t="shared" si="715"/>
        <v>0.99495061870349866</v>
      </c>
      <c r="Y136" s="6">
        <f t="shared" si="716"/>
        <v>0.9949249930583679</v>
      </c>
      <c r="Z136" s="6">
        <f t="shared" si="717"/>
        <v>0.99489910598583786</v>
      </c>
      <c r="AA136" s="6">
        <f t="shared" si="718"/>
        <v>0.99486664067929365</v>
      </c>
      <c r="AB136" s="6">
        <f t="shared" si="719"/>
        <v>0.99484015333230857</v>
      </c>
      <c r="AC136" s="6">
        <f t="shared" si="720"/>
        <v>0.99481339122631107</v>
      </c>
      <c r="AD136" s="6">
        <f t="shared" si="721"/>
        <v>0.99478635006380911</v>
      </c>
      <c r="AE136" s="6">
        <f t="shared" si="722"/>
        <v>0.99475902545721884</v>
      </c>
    </row>
    <row r="137" spans="1:31" x14ac:dyDescent="0.3">
      <c r="A137" t="s">
        <v>125</v>
      </c>
      <c r="B137" t="s">
        <v>142</v>
      </c>
      <c r="C137" s="6">
        <f t="shared" si="694"/>
        <v>1.010266622857239</v>
      </c>
      <c r="D137" s="6">
        <f t="shared" si="695"/>
        <v>1.0101622904537844</v>
      </c>
      <c r="E137" s="6">
        <f t="shared" si="696"/>
        <v>1.010060057230229</v>
      </c>
      <c r="F137" s="6">
        <f t="shared" si="697"/>
        <v>1.0099598604639561</v>
      </c>
      <c r="G137" s="6">
        <f t="shared" si="698"/>
        <v>1.0029698129886488</v>
      </c>
      <c r="H137" s="6">
        <f t="shared" si="699"/>
        <v>1.0029610193150273</v>
      </c>
      <c r="I137" s="6">
        <f t="shared" si="700"/>
        <v>1.0029522775641366</v>
      </c>
      <c r="J137" s="6">
        <f t="shared" si="701"/>
        <v>1.0029435872774592</v>
      </c>
      <c r="K137" s="6">
        <f t="shared" si="702"/>
        <v>1.0029349480018608</v>
      </c>
      <c r="L137" s="6">
        <f t="shared" si="703"/>
        <v>0.99795061166094801</v>
      </c>
      <c r="M137" s="6">
        <f t="shared" si="704"/>
        <v>0.99794640304329174</v>
      </c>
      <c r="N137" s="6">
        <f t="shared" si="705"/>
        <v>0.9979421771044561</v>
      </c>
      <c r="O137" s="6">
        <f t="shared" si="706"/>
        <v>0.99793793373728856</v>
      </c>
      <c r="P137" s="6">
        <f t="shared" si="707"/>
        <v>0.99793367283375167</v>
      </c>
      <c r="Q137" s="6">
        <f t="shared" si="708"/>
        <v>0.99963608372747548</v>
      </c>
      <c r="R137" s="6">
        <f t="shared" si="709"/>
        <v>0.99963595124420923</v>
      </c>
      <c r="S137" s="6">
        <f t="shared" si="710"/>
        <v>0.99963581866444717</v>
      </c>
      <c r="T137" s="6">
        <f t="shared" si="711"/>
        <v>0.99963568598808372</v>
      </c>
      <c r="U137" s="6">
        <f t="shared" si="712"/>
        <v>0.99963555321501318</v>
      </c>
      <c r="V137" s="6">
        <f t="shared" si="713"/>
        <v>1.0009732420462698</v>
      </c>
      <c r="W137" s="6">
        <f t="shared" si="714"/>
        <v>1.0009722957671479</v>
      </c>
      <c r="X137" s="6">
        <f t="shared" si="715"/>
        <v>1.0009713513263647</v>
      </c>
      <c r="Y137" s="6">
        <f t="shared" si="716"/>
        <v>1.0009704087185689</v>
      </c>
      <c r="Z137" s="6">
        <f t="shared" si="717"/>
        <v>1.0009694679384293</v>
      </c>
      <c r="AA137" s="6">
        <f t="shared" si="718"/>
        <v>1.0012194952634847</v>
      </c>
      <c r="AB137" s="6">
        <f t="shared" si="719"/>
        <v>1.0012180099061732</v>
      </c>
      <c r="AC137" s="6">
        <f t="shared" si="720"/>
        <v>1.0012165281628198</v>
      </c>
      <c r="AD137" s="6">
        <f t="shared" si="721"/>
        <v>1.0012150500202508</v>
      </c>
      <c r="AE137" s="6">
        <f t="shared" si="722"/>
        <v>1.0012135754653573</v>
      </c>
    </row>
    <row r="138" spans="1:31" x14ac:dyDescent="0.3">
      <c r="A138" t="s">
        <v>126</v>
      </c>
      <c r="B138" t="s">
        <v>142</v>
      </c>
      <c r="C138" s="6">
        <f t="shared" si="694"/>
        <v>0.99362773819052108</v>
      </c>
      <c r="D138" s="6">
        <f t="shared" si="695"/>
        <v>0.99358687206027152</v>
      </c>
      <c r="E138" s="6">
        <f t="shared" si="696"/>
        <v>0.99354547838738005</v>
      </c>
      <c r="F138" s="6">
        <f t="shared" si="697"/>
        <v>0.99350354689037845</v>
      </c>
      <c r="G138" s="6">
        <f t="shared" si="698"/>
        <v>0.98515248976460601</v>
      </c>
      <c r="H138" s="6">
        <f t="shared" si="699"/>
        <v>0.98492871876216681</v>
      </c>
      <c r="I138" s="6">
        <f t="shared" si="700"/>
        <v>0.98469809951650678</v>
      </c>
      <c r="J138" s="6">
        <f t="shared" si="701"/>
        <v>0.98446031276895263</v>
      </c>
      <c r="K138" s="6">
        <f t="shared" si="702"/>
        <v>0.98421501910286335</v>
      </c>
      <c r="L138" s="6">
        <f t="shared" si="703"/>
        <v>0.99627101450887479</v>
      </c>
      <c r="M138" s="6">
        <f t="shared" si="704"/>
        <v>0.99625705712921553</v>
      </c>
      <c r="N138" s="6">
        <f t="shared" si="705"/>
        <v>0.99624299487366241</v>
      </c>
      <c r="O138" s="6">
        <f t="shared" si="706"/>
        <v>0.99622882655569989</v>
      </c>
      <c r="P138" s="6">
        <f t="shared" si="707"/>
        <v>0.99621455097084655</v>
      </c>
      <c r="Q138" s="6">
        <f t="shared" si="708"/>
        <v>0.99745095480075341</v>
      </c>
      <c r="R138" s="6">
        <f t="shared" si="709"/>
        <v>0.99744444056424231</v>
      </c>
      <c r="S138" s="6">
        <f t="shared" si="710"/>
        <v>0.9974378929473886</v>
      </c>
      <c r="T138" s="6">
        <f t="shared" si="711"/>
        <v>0.99743131169296118</v>
      </c>
      <c r="U138" s="6">
        <f t="shared" si="712"/>
        <v>0.99742469654107935</v>
      </c>
      <c r="V138" s="6">
        <f t="shared" si="713"/>
        <v>0.9950728490805536</v>
      </c>
      <c r="W138" s="6">
        <f t="shared" si="714"/>
        <v>0.99504845205655135</v>
      </c>
      <c r="X138" s="6">
        <f t="shared" si="715"/>
        <v>0.99502381222420389</v>
      </c>
      <c r="Y138" s="6">
        <f t="shared" si="716"/>
        <v>0.99499892594060368</v>
      </c>
      <c r="Z138" s="6">
        <f t="shared" si="717"/>
        <v>0.99497378948960291</v>
      </c>
      <c r="AA138" s="6">
        <f t="shared" si="718"/>
        <v>0.99424331453850645</v>
      </c>
      <c r="AB138" s="6">
        <f t="shared" si="719"/>
        <v>0.99420998323316301</v>
      </c>
      <c r="AC138" s="6">
        <f t="shared" si="720"/>
        <v>0.99417626370235401</v>
      </c>
      <c r="AD138" s="6">
        <f t="shared" si="721"/>
        <v>0.99414214912357879</v>
      </c>
      <c r="AE138" s="6">
        <f t="shared" si="722"/>
        <v>0.99410763251353385</v>
      </c>
    </row>
    <row r="139" spans="1:31" x14ac:dyDescent="0.3">
      <c r="A139" t="s">
        <v>127</v>
      </c>
      <c r="B139" t="s">
        <v>142</v>
      </c>
      <c r="C139" s="6">
        <f t="shared" si="694"/>
        <v>1.0148316884732247</v>
      </c>
      <c r="D139" s="6">
        <f t="shared" si="695"/>
        <v>1.0146149244664782</v>
      </c>
      <c r="E139" s="6">
        <f t="shared" si="696"/>
        <v>1.0144044051728918</v>
      </c>
      <c r="F139" s="6">
        <f t="shared" si="697"/>
        <v>1.0141998645702222</v>
      </c>
      <c r="G139" s="6">
        <f t="shared" si="698"/>
        <v>1.0028081869696479</v>
      </c>
      <c r="H139" s="6">
        <f t="shared" si="699"/>
        <v>1.002800323138699</v>
      </c>
      <c r="I139" s="6">
        <f t="shared" si="700"/>
        <v>1.0027925032272968</v>
      </c>
      <c r="J139" s="6">
        <f t="shared" si="701"/>
        <v>1.0027847268685293</v>
      </c>
      <c r="K139" s="6">
        <f t="shared" si="702"/>
        <v>1.0027769936995605</v>
      </c>
      <c r="L139" s="6">
        <f t="shared" si="703"/>
        <v>0.99948592799631797</v>
      </c>
      <c r="M139" s="6">
        <f t="shared" si="704"/>
        <v>0.99948566359036928</v>
      </c>
      <c r="N139" s="6">
        <f t="shared" si="705"/>
        <v>0.99948539891229349</v>
      </c>
      <c r="O139" s="6">
        <f t="shared" si="706"/>
        <v>0.99948513396167016</v>
      </c>
      <c r="P139" s="6">
        <f t="shared" si="707"/>
        <v>0.9994848687380784</v>
      </c>
      <c r="Q139" s="6">
        <f t="shared" si="708"/>
        <v>0.99296656173716835</v>
      </c>
      <c r="R139" s="6">
        <f t="shared" si="709"/>
        <v>0.99291674207988745</v>
      </c>
      <c r="S139" s="6">
        <f t="shared" si="710"/>
        <v>0.99286621161682198</v>
      </c>
      <c r="T139" s="6">
        <f t="shared" si="711"/>
        <v>0.99281495502645711</v>
      </c>
      <c r="U139" s="6">
        <f t="shared" si="712"/>
        <v>0.99276295654374858</v>
      </c>
      <c r="V139" s="6">
        <f t="shared" si="713"/>
        <v>0.99299111272647012</v>
      </c>
      <c r="W139" s="6">
        <f t="shared" si="714"/>
        <v>0.99294164148731856</v>
      </c>
      <c r="X139" s="6">
        <f t="shared" si="715"/>
        <v>0.99289146691228625</v>
      </c>
      <c r="Y139" s="6">
        <f t="shared" si="716"/>
        <v>0.9928405738949293</v>
      </c>
      <c r="Z139" s="6">
        <f t="shared" si="717"/>
        <v>0.99278894689307029</v>
      </c>
      <c r="AA139" s="6">
        <f t="shared" si="718"/>
        <v>0.99491793418639241</v>
      </c>
      <c r="AB139" s="6">
        <f t="shared" si="719"/>
        <v>0.99489197486648639</v>
      </c>
      <c r="AC139" s="6">
        <f t="shared" si="720"/>
        <v>0.99486574898325097</v>
      </c>
      <c r="AD139" s="6">
        <f t="shared" si="721"/>
        <v>0.99483925240968829</v>
      </c>
      <c r="AE139" s="6">
        <f t="shared" si="722"/>
        <v>0.9948124809331641</v>
      </c>
    </row>
    <row r="140" spans="1:31" x14ac:dyDescent="0.3">
      <c r="A140" t="s">
        <v>128</v>
      </c>
      <c r="B140" t="s">
        <v>142</v>
      </c>
      <c r="C140" s="6">
        <f t="shared" si="694"/>
        <v>1.0169907386670776</v>
      </c>
      <c r="D140" s="6">
        <f t="shared" si="695"/>
        <v>1.0167068764946143</v>
      </c>
      <c r="E140" s="6">
        <f t="shared" si="696"/>
        <v>1.0164323433635229</v>
      </c>
      <c r="F140" s="6">
        <f t="shared" si="697"/>
        <v>1.0161666868147323</v>
      </c>
      <c r="G140" s="6">
        <f t="shared" si="698"/>
        <v>0.99174479037875607</v>
      </c>
      <c r="H140" s="6">
        <f t="shared" si="699"/>
        <v>0.99167607462995477</v>
      </c>
      <c r="I140" s="6">
        <f t="shared" si="700"/>
        <v>0.99160620530937849</v>
      </c>
      <c r="J140" s="6">
        <f t="shared" si="701"/>
        <v>0.9915351531226021</v>
      </c>
      <c r="K140" s="6">
        <f t="shared" si="702"/>
        <v>0.99146288777484071</v>
      </c>
      <c r="L140" s="6">
        <f t="shared" si="703"/>
        <v>0.99906090766176714</v>
      </c>
      <c r="M140" s="6">
        <f t="shared" si="704"/>
        <v>0.99906002493838864</v>
      </c>
      <c r="N140" s="6">
        <f t="shared" si="705"/>
        <v>0.99905914055397294</v>
      </c>
      <c r="O140" s="6">
        <f t="shared" si="706"/>
        <v>0.99905825450382713</v>
      </c>
      <c r="P140" s="6">
        <f t="shared" si="707"/>
        <v>0.99905736678324086</v>
      </c>
      <c r="Q140" s="6">
        <f t="shared" si="708"/>
        <v>0.99579693488967047</v>
      </c>
      <c r="R140" s="6">
        <f t="shared" si="709"/>
        <v>0.9957791945696286</v>
      </c>
      <c r="S140" s="6">
        <f t="shared" si="710"/>
        <v>0.99576130385793449</v>
      </c>
      <c r="T140" s="6">
        <f t="shared" si="711"/>
        <v>0.99574326083405407</v>
      </c>
      <c r="U140" s="6">
        <f t="shared" si="712"/>
        <v>0.99572506354461199</v>
      </c>
      <c r="V140" s="6">
        <f t="shared" si="713"/>
        <v>0.99986135117982478</v>
      </c>
      <c r="W140" s="6">
        <f t="shared" si="714"/>
        <v>0.99986133195366378</v>
      </c>
      <c r="X140" s="6">
        <f t="shared" si="715"/>
        <v>0.99986131272216983</v>
      </c>
      <c r="Y140" s="6">
        <f t="shared" si="716"/>
        <v>0.99986129348534092</v>
      </c>
      <c r="Z140" s="6">
        <f t="shared" si="717"/>
        <v>0.99986127424317495</v>
      </c>
      <c r="AA140" s="6">
        <f t="shared" si="718"/>
        <v>1.0014418539170196</v>
      </c>
      <c r="AB140" s="6">
        <f t="shared" si="719"/>
        <v>1.0014397779675175</v>
      </c>
      <c r="AC140" s="6">
        <f t="shared" si="720"/>
        <v>1.0014377079872336</v>
      </c>
      <c r="AD140" s="6">
        <f t="shared" si="721"/>
        <v>1.0014356439504593</v>
      </c>
      <c r="AE140" s="6">
        <f t="shared" si="722"/>
        <v>1.0014335858316328</v>
      </c>
    </row>
    <row r="141" spans="1:31" x14ac:dyDescent="0.3">
      <c r="A141" t="s">
        <v>129</v>
      </c>
      <c r="B141" t="s">
        <v>142</v>
      </c>
      <c r="C141" s="6">
        <f t="shared" si="694"/>
        <v>1.0031566111818644</v>
      </c>
      <c r="D141" s="6">
        <f t="shared" si="695"/>
        <v>1.0031466783418248</v>
      </c>
      <c r="E141" s="6">
        <f t="shared" si="696"/>
        <v>1.0031368078166059</v>
      </c>
      <c r="F141" s="6">
        <f t="shared" si="697"/>
        <v>1.0031269990216325</v>
      </c>
      <c r="G141" s="6">
        <f t="shared" si="698"/>
        <v>0.99037192942521635</v>
      </c>
      <c r="H141" s="6">
        <f t="shared" si="699"/>
        <v>0.99027832848577257</v>
      </c>
      <c r="I141" s="6">
        <f t="shared" si="700"/>
        <v>0.99018288976484747</v>
      </c>
      <c r="J141" s="6">
        <f t="shared" si="701"/>
        <v>0.99008555860071068</v>
      </c>
      <c r="K141" s="6">
        <f t="shared" si="702"/>
        <v>0.98998627814216278</v>
      </c>
      <c r="L141" s="6">
        <f t="shared" si="703"/>
        <v>1.0022788676871643</v>
      </c>
      <c r="M141" s="6">
        <f t="shared" si="704"/>
        <v>1.0022736862570225</v>
      </c>
      <c r="N141" s="6">
        <f t="shared" si="705"/>
        <v>1.0022685283353228</v>
      </c>
      <c r="O141" s="6">
        <f t="shared" si="706"/>
        <v>1.0022633937624388</v>
      </c>
      <c r="P141" s="6">
        <f t="shared" si="707"/>
        <v>1.0022582823801851</v>
      </c>
      <c r="Q141" s="6">
        <f t="shared" si="708"/>
        <v>1.0015474991547424</v>
      </c>
      <c r="R141" s="6">
        <f t="shared" si="709"/>
        <v>1.0015451081012616</v>
      </c>
      <c r="S141" s="6">
        <f t="shared" si="710"/>
        <v>1.0015427244252542</v>
      </c>
      <c r="T141" s="6">
        <f t="shared" si="711"/>
        <v>1.0015403480926282</v>
      </c>
      <c r="U141" s="6">
        <f t="shared" si="712"/>
        <v>1.0015379790695025</v>
      </c>
      <c r="V141" s="6">
        <f t="shared" si="713"/>
        <v>1.0023478150119396</v>
      </c>
      <c r="W141" s="6">
        <f t="shared" si="714"/>
        <v>1.0023423156880047</v>
      </c>
      <c r="X141" s="6">
        <f t="shared" si="715"/>
        <v>1.0023368420661727</v>
      </c>
      <c r="Y141" s="6">
        <f t="shared" si="716"/>
        <v>1.0023313939666785</v>
      </c>
      <c r="Z141" s="6">
        <f t="shared" si="717"/>
        <v>1.0023259712114294</v>
      </c>
      <c r="AA141" s="6">
        <f t="shared" si="718"/>
        <v>1.0050312725825903</v>
      </c>
      <c r="AB141" s="6">
        <f t="shared" si="719"/>
        <v>1.0050060856013581</v>
      </c>
      <c r="AC141" s="6">
        <f t="shared" si="720"/>
        <v>1.0049811495403658</v>
      </c>
      <c r="AD141" s="6">
        <f t="shared" si="721"/>
        <v>1.0049564606685846</v>
      </c>
      <c r="AE141" s="6">
        <f t="shared" si="722"/>
        <v>1.0049320153285914</v>
      </c>
    </row>
    <row r="142" spans="1:31" x14ac:dyDescent="0.3">
      <c r="A142" t="s">
        <v>130</v>
      </c>
      <c r="B142" t="s">
        <v>142</v>
      </c>
      <c r="C142" s="6">
        <f t="shared" si="694"/>
        <v>1.000774290941578</v>
      </c>
      <c r="D142" s="6">
        <f t="shared" si="695"/>
        <v>1.0007736918789645</v>
      </c>
      <c r="E142" s="6">
        <f t="shared" si="696"/>
        <v>1.0007730937426143</v>
      </c>
      <c r="F142" s="6">
        <f t="shared" si="697"/>
        <v>1.0007724965303801</v>
      </c>
      <c r="G142" s="6">
        <f t="shared" si="698"/>
        <v>0.98820529322338924</v>
      </c>
      <c r="H142" s="6">
        <f t="shared" si="699"/>
        <v>0.98806451770953574</v>
      </c>
      <c r="I142" s="6">
        <f t="shared" si="700"/>
        <v>0.98792034115532024</v>
      </c>
      <c r="J142" s="6">
        <f t="shared" si="701"/>
        <v>0.98777263880349575</v>
      </c>
      <c r="K142" s="6">
        <f t="shared" si="702"/>
        <v>0.98762127971947511</v>
      </c>
      <c r="L142" s="6">
        <f t="shared" si="703"/>
        <v>0.98843412165511035</v>
      </c>
      <c r="M142" s="6">
        <f t="shared" si="704"/>
        <v>0.98829878684729866</v>
      </c>
      <c r="N142" s="6">
        <f t="shared" si="705"/>
        <v>0.98816024737819563</v>
      </c>
      <c r="O142" s="6">
        <f t="shared" si="706"/>
        <v>0.98801838805677744</v>
      </c>
      <c r="P142" s="6">
        <f t="shared" si="707"/>
        <v>0.98787308810437424</v>
      </c>
      <c r="Q142" s="6">
        <f t="shared" si="708"/>
        <v>0.99267457033919204</v>
      </c>
      <c r="R142" s="6">
        <f t="shared" si="709"/>
        <v>0.99262051242200666</v>
      </c>
      <c r="S142" s="6">
        <f t="shared" si="710"/>
        <v>0.99256565073394742</v>
      </c>
      <c r="T142" s="6">
        <f t="shared" si="711"/>
        <v>0.99250996721420359</v>
      </c>
      <c r="U142" s="6">
        <f t="shared" si="712"/>
        <v>0.9924534432567772</v>
      </c>
      <c r="V142" s="6">
        <f t="shared" si="713"/>
        <v>0.99325076879199359</v>
      </c>
      <c r="W142" s="6">
        <f t="shared" si="714"/>
        <v>0.99320490713919618</v>
      </c>
      <c r="X142" s="6">
        <f t="shared" si="715"/>
        <v>0.99315841795387794</v>
      </c>
      <c r="Y142" s="6">
        <f t="shared" si="716"/>
        <v>0.99311128826736705</v>
      </c>
      <c r="Z142" s="6">
        <f t="shared" si="717"/>
        <v>0.99306350475116323</v>
      </c>
      <c r="AA142" s="6">
        <f t="shared" si="718"/>
        <v>0.99218623000475481</v>
      </c>
      <c r="AB142" s="6">
        <f t="shared" si="719"/>
        <v>0.99212469417640703</v>
      </c>
      <c r="AC142" s="6">
        <f t="shared" si="720"/>
        <v>0.99206218142757696</v>
      </c>
      <c r="AD142" s="6">
        <f t="shared" si="721"/>
        <v>0.99199866830827033</v>
      </c>
      <c r="AE142" s="6">
        <f t="shared" si="722"/>
        <v>0.99193413061191371</v>
      </c>
    </row>
    <row r="143" spans="1:31" x14ac:dyDescent="0.3">
      <c r="A143" t="s">
        <v>131</v>
      </c>
      <c r="B143" t="s">
        <v>142</v>
      </c>
      <c r="C143" s="6">
        <f t="shared" si="694"/>
        <v>0.99626138191119173</v>
      </c>
      <c r="D143" s="6">
        <f t="shared" si="695"/>
        <v>0.99624735219422411</v>
      </c>
      <c r="E143" s="6">
        <f t="shared" si="696"/>
        <v>0.99623321678345167</v>
      </c>
      <c r="F143" s="6">
        <f t="shared" si="697"/>
        <v>0.99621897447998131</v>
      </c>
      <c r="G143" s="6">
        <f t="shared" si="698"/>
        <v>0.98609778856139119</v>
      </c>
      <c r="H143" s="6">
        <f t="shared" si="699"/>
        <v>0.9859017922969987</v>
      </c>
      <c r="I143" s="6">
        <f t="shared" si="700"/>
        <v>0.98570019061416392</v>
      </c>
      <c r="J143" s="6">
        <f t="shared" si="701"/>
        <v>0.98549273955509098</v>
      </c>
      <c r="K143" s="6">
        <f t="shared" si="702"/>
        <v>0.98527918079694998</v>
      </c>
      <c r="L143" s="6">
        <f t="shared" si="703"/>
        <v>0.99111679969636457</v>
      </c>
      <c r="M143" s="6">
        <f t="shared" si="704"/>
        <v>0.99103718118151474</v>
      </c>
      <c r="N143" s="6">
        <f t="shared" si="705"/>
        <v>0.99095612254648224</v>
      </c>
      <c r="O143" s="6">
        <f t="shared" si="706"/>
        <v>0.99087358436186102</v>
      </c>
      <c r="P143" s="6">
        <f t="shared" si="707"/>
        <v>0.99078952574559109</v>
      </c>
      <c r="Q143" s="6">
        <f t="shared" si="708"/>
        <v>0.99442204712877169</v>
      </c>
      <c r="R143" s="6">
        <f t="shared" si="709"/>
        <v>0.99439075904709295</v>
      </c>
      <c r="S143" s="6">
        <f t="shared" si="710"/>
        <v>0.99435911798065957</v>
      </c>
      <c r="T143" s="6">
        <f t="shared" si="711"/>
        <v>0.99432711792214878</v>
      </c>
      <c r="U143" s="6">
        <f t="shared" si="712"/>
        <v>0.99429475272714485</v>
      </c>
      <c r="V143" s="6">
        <f t="shared" si="713"/>
        <v>0.99537145685428441</v>
      </c>
      <c r="W143" s="6">
        <f t="shared" si="714"/>
        <v>0.99534993382235082</v>
      </c>
      <c r="X143" s="6">
        <f t="shared" si="715"/>
        <v>0.99532820968823299</v>
      </c>
      <c r="Y143" s="6">
        <f t="shared" si="716"/>
        <v>0.99530628162017998</v>
      </c>
      <c r="Z143" s="6">
        <f t="shared" si="717"/>
        <v>0.99528414673302412</v>
      </c>
      <c r="AA143" s="6">
        <f t="shared" si="718"/>
        <v>0.99639303637497256</v>
      </c>
      <c r="AB143" s="6">
        <f t="shared" si="719"/>
        <v>0.99637997909123288</v>
      </c>
      <c r="AC143" s="6">
        <f t="shared" si="720"/>
        <v>0.99636682692874978</v>
      </c>
      <c r="AD143" s="6">
        <f t="shared" si="721"/>
        <v>0.99635357884961973</v>
      </c>
      <c r="AE143" s="6">
        <f t="shared" si="722"/>
        <v>0.99634023380074543</v>
      </c>
    </row>
    <row r="144" spans="1:31" x14ac:dyDescent="0.3">
      <c r="A144" t="s">
        <v>132</v>
      </c>
      <c r="B144" t="s">
        <v>142</v>
      </c>
      <c r="C144" s="6">
        <f t="shared" si="694"/>
        <v>0.9595626244424047</v>
      </c>
      <c r="D144" s="6">
        <f t="shared" si="695"/>
        <v>0.95785853416175604</v>
      </c>
      <c r="E144" s="6">
        <f t="shared" si="696"/>
        <v>0.95600449927073738</v>
      </c>
      <c r="F144" s="6">
        <f t="shared" si="697"/>
        <v>0.95397981833472156</v>
      </c>
      <c r="G144" s="6">
        <f t="shared" si="698"/>
        <v>0.98407282154111164</v>
      </c>
      <c r="H144" s="6">
        <f t="shared" si="699"/>
        <v>0.9838150408077061</v>
      </c>
      <c r="I144" s="6">
        <f t="shared" si="700"/>
        <v>0.98354877845839184</v>
      </c>
      <c r="J144" s="6">
        <f t="shared" si="701"/>
        <v>0.98327360889269388</v>
      </c>
      <c r="K144" s="6">
        <f t="shared" si="702"/>
        <v>0.98298907755071085</v>
      </c>
      <c r="L144" s="6">
        <f t="shared" si="703"/>
        <v>0.9968450410011267</v>
      </c>
      <c r="M144" s="6">
        <f t="shared" si="704"/>
        <v>0.99683505573172648</v>
      </c>
      <c r="N144" s="6">
        <f t="shared" si="705"/>
        <v>0.99682500705600663</v>
      </c>
      <c r="O144" s="6">
        <f t="shared" si="706"/>
        <v>0.99681489436809945</v>
      </c>
      <c r="P144" s="6">
        <f t="shared" si="707"/>
        <v>0.99680471705439355</v>
      </c>
      <c r="Q144" s="6">
        <f t="shared" si="708"/>
        <v>0.99179885659872713</v>
      </c>
      <c r="R144" s="6">
        <f t="shared" si="709"/>
        <v>0.99173104168581339</v>
      </c>
      <c r="S144" s="6">
        <f t="shared" si="710"/>
        <v>0.99166209590441934</v>
      </c>
      <c r="T144" s="6">
        <f t="shared" si="711"/>
        <v>0.99159199072948701</v>
      </c>
      <c r="U144" s="6">
        <f t="shared" si="712"/>
        <v>0.99152069666846809</v>
      </c>
      <c r="V144" s="6">
        <f t="shared" si="713"/>
        <v>0.99299575824175024</v>
      </c>
      <c r="W144" s="6">
        <f t="shared" si="714"/>
        <v>0.99294635279142407</v>
      </c>
      <c r="X144" s="6">
        <f t="shared" si="715"/>
        <v>0.99289624541270893</v>
      </c>
      <c r="Y144" s="6">
        <f t="shared" si="716"/>
        <v>0.99284542103959883</v>
      </c>
      <c r="Z144" s="6">
        <f t="shared" si="717"/>
        <v>0.99279386417181659</v>
      </c>
      <c r="AA144" s="6">
        <f t="shared" si="718"/>
        <v>0.99387270823762985</v>
      </c>
      <c r="AB144" s="6">
        <f t="shared" si="719"/>
        <v>0.99383493307383863</v>
      </c>
      <c r="AC144" s="6">
        <f t="shared" si="720"/>
        <v>0.99379668924788811</v>
      </c>
      <c r="AD144" s="6">
        <f t="shared" si="721"/>
        <v>0.99375796798356553</v>
      </c>
      <c r="AE144" s="6">
        <f t="shared" si="722"/>
        <v>0.9937187602841564</v>
      </c>
    </row>
    <row r="145" spans="1:31" x14ac:dyDescent="0.3">
      <c r="A145" t="s">
        <v>133</v>
      </c>
      <c r="B145" t="s">
        <v>142</v>
      </c>
      <c r="C145" s="6">
        <f t="shared" si="694"/>
        <v>0.98628051904493552</v>
      </c>
      <c r="D145" s="6">
        <f t="shared" si="695"/>
        <v>0.98608967662835956</v>
      </c>
      <c r="E145" s="6">
        <f t="shared" si="696"/>
        <v>0.98589344995558348</v>
      </c>
      <c r="F145" s="6">
        <f t="shared" si="697"/>
        <v>0.9856916079064606</v>
      </c>
      <c r="G145" s="6">
        <f t="shared" si="698"/>
        <v>0.98988386977307907</v>
      </c>
      <c r="H145" s="6">
        <f t="shared" si="699"/>
        <v>0.98978048785738892</v>
      </c>
      <c r="I145" s="6">
        <f t="shared" si="700"/>
        <v>0.98967497109916391</v>
      </c>
      <c r="J145" s="6">
        <f t="shared" si="701"/>
        <v>0.98956725268158618</v>
      </c>
      <c r="K145" s="6">
        <f t="shared" si="702"/>
        <v>0.98945726297010872</v>
      </c>
      <c r="L145" s="6">
        <f t="shared" si="703"/>
        <v>0.99611095334358013</v>
      </c>
      <c r="M145" s="6">
        <f t="shared" si="704"/>
        <v>0.9960957696094338</v>
      </c>
      <c r="N145" s="6">
        <f t="shared" si="705"/>
        <v>0.99608046684898888</v>
      </c>
      <c r="O145" s="6">
        <f t="shared" si="706"/>
        <v>0.99606504365715531</v>
      </c>
      <c r="P145" s="6">
        <f t="shared" si="707"/>
        <v>0.99604949860663994</v>
      </c>
      <c r="Q145" s="6">
        <f t="shared" si="708"/>
        <v>0.99356470714854206</v>
      </c>
      <c r="R145" s="6">
        <f t="shared" si="709"/>
        <v>0.99352302592356889</v>
      </c>
      <c r="S145" s="6">
        <f t="shared" si="710"/>
        <v>0.99348080124221572</v>
      </c>
      <c r="T145" s="6">
        <f t="shared" si="711"/>
        <v>0.99343802240603651</v>
      </c>
      <c r="U145" s="6">
        <f t="shared" si="712"/>
        <v>0.99339467843391904</v>
      </c>
      <c r="V145" s="6">
        <f t="shared" si="713"/>
        <v>0.99197567522729724</v>
      </c>
      <c r="W145" s="6">
        <f t="shared" si="714"/>
        <v>0.99191076457508487</v>
      </c>
      <c r="X145" s="6">
        <f t="shared" si="715"/>
        <v>0.99184479520354807</v>
      </c>
      <c r="Y145" s="6">
        <f t="shared" si="716"/>
        <v>0.99177774099749305</v>
      </c>
      <c r="Z145" s="6">
        <f t="shared" si="717"/>
        <v>0.99170957497570233</v>
      </c>
      <c r="AA145" s="6">
        <f t="shared" si="718"/>
        <v>0.99261220013162343</v>
      </c>
      <c r="AB145" s="6">
        <f t="shared" si="719"/>
        <v>0.99255721432056054</v>
      </c>
      <c r="AC145" s="6">
        <f t="shared" si="720"/>
        <v>0.99250140387671826</v>
      </c>
      <c r="AD145" s="6">
        <f t="shared" si="721"/>
        <v>0.99244475010917654</v>
      </c>
      <c r="AE145" s="6">
        <f t="shared" si="722"/>
        <v>0.99238723375785709</v>
      </c>
    </row>
    <row r="146" spans="1:31" x14ac:dyDescent="0.3">
      <c r="A146" t="s">
        <v>134</v>
      </c>
      <c r="B146" t="s">
        <v>142</v>
      </c>
      <c r="C146" s="6">
        <f t="shared" si="694"/>
        <v>1.0681970695779517</v>
      </c>
      <c r="D146" s="6">
        <f t="shared" si="695"/>
        <v>1.0638431535904669</v>
      </c>
      <c r="E146" s="6">
        <f t="shared" si="696"/>
        <v>1.0600118103641467</v>
      </c>
      <c r="F146" s="6">
        <f t="shared" si="697"/>
        <v>1.056614284649839</v>
      </c>
      <c r="G146" s="6">
        <f t="shared" si="698"/>
        <v>1.0082867101424595</v>
      </c>
      <c r="H146" s="6">
        <f t="shared" si="699"/>
        <v>1.0082186049455006</v>
      </c>
      <c r="I146" s="6">
        <f t="shared" si="700"/>
        <v>1.0081516100825623</v>
      </c>
      <c r="J146" s="6">
        <f t="shared" si="701"/>
        <v>1.0080856986201656</v>
      </c>
      <c r="K146" s="6">
        <f t="shared" si="702"/>
        <v>1.0080208444889485</v>
      </c>
      <c r="L146" s="6">
        <f t="shared" si="703"/>
        <v>1.0037567078404028</v>
      </c>
      <c r="M146" s="6">
        <f t="shared" si="704"/>
        <v>1.0037426478060461</v>
      </c>
      <c r="N146" s="6">
        <f t="shared" si="705"/>
        <v>1.003728692622782</v>
      </c>
      <c r="O146" s="6">
        <f t="shared" si="706"/>
        <v>1.0037148411220951</v>
      </c>
      <c r="P146" s="6">
        <f t="shared" si="707"/>
        <v>1.0037010921527694</v>
      </c>
      <c r="Q146" s="6">
        <f t="shared" si="708"/>
        <v>0.99321477710710993</v>
      </c>
      <c r="R146" s="6">
        <f t="shared" si="709"/>
        <v>0.99316842333673983</v>
      </c>
      <c r="S146" s="6">
        <f t="shared" si="710"/>
        <v>0.99312143187123469</v>
      </c>
      <c r="T146" s="6">
        <f t="shared" si="711"/>
        <v>0.99307378946016234</v>
      </c>
      <c r="U146" s="6">
        <f t="shared" si="712"/>
        <v>0.99302548248342892</v>
      </c>
      <c r="V146" s="6">
        <f t="shared" si="713"/>
        <v>1.0007015275838105</v>
      </c>
      <c r="W146" s="6">
        <f t="shared" si="714"/>
        <v>1.0007010357878681</v>
      </c>
      <c r="X146" s="6">
        <f t="shared" si="715"/>
        <v>1.0007005446809756</v>
      </c>
      <c r="Y146" s="6">
        <f t="shared" si="716"/>
        <v>1.0007000542616862</v>
      </c>
      <c r="Z146" s="6">
        <f t="shared" si="717"/>
        <v>1.0006995645285568</v>
      </c>
      <c r="AA146" s="6">
        <f t="shared" si="718"/>
        <v>1.0019402909136701</v>
      </c>
      <c r="AB146" s="6">
        <f t="shared" si="719"/>
        <v>1.0019365334753638</v>
      </c>
      <c r="AC146" s="6">
        <f t="shared" si="720"/>
        <v>1.0019327905617403</v>
      </c>
      <c r="AD146" s="6">
        <f t="shared" si="721"/>
        <v>1.001929062088742</v>
      </c>
      <c r="AE146" s="6">
        <f t="shared" si="722"/>
        <v>1.0019253479729602</v>
      </c>
    </row>
    <row r="147" spans="1:31" x14ac:dyDescent="0.3">
      <c r="A147" t="s">
        <v>135</v>
      </c>
      <c r="B147" t="s">
        <v>142</v>
      </c>
      <c r="C147" s="6">
        <f t="shared" si="694"/>
        <v>1.0025109636628844</v>
      </c>
      <c r="D147" s="6">
        <f t="shared" si="695"/>
        <v>1.0025046745161867</v>
      </c>
      <c r="E147" s="6">
        <f t="shared" si="696"/>
        <v>1.0024984167953088</v>
      </c>
      <c r="F147" s="6">
        <f t="shared" si="697"/>
        <v>1.0024921902652926</v>
      </c>
      <c r="G147" s="6">
        <f t="shared" si="698"/>
        <v>0.99446304208445113</v>
      </c>
      <c r="H147" s="6">
        <f t="shared" si="699"/>
        <v>0.9944322134848339</v>
      </c>
      <c r="I147" s="6">
        <f t="shared" si="700"/>
        <v>0.99440103966900406</v>
      </c>
      <c r="J147" s="6">
        <f t="shared" si="701"/>
        <v>0.9943695148057573</v>
      </c>
      <c r="K147" s="6">
        <f t="shared" si="702"/>
        <v>0.99433763293181565</v>
      </c>
      <c r="L147" s="6">
        <f t="shared" si="703"/>
        <v>1.001331112116473</v>
      </c>
      <c r="M147" s="6">
        <f t="shared" si="704"/>
        <v>1.0013293426124146</v>
      </c>
      <c r="N147" s="6">
        <f t="shared" si="705"/>
        <v>1.0013275778066648</v>
      </c>
      <c r="O147" s="6">
        <f t="shared" si="706"/>
        <v>1.0013258176805364</v>
      </c>
      <c r="P147" s="6">
        <f t="shared" si="707"/>
        <v>1.0013240622154411</v>
      </c>
      <c r="Q147" s="6">
        <f t="shared" si="708"/>
        <v>0.99453247520818333</v>
      </c>
      <c r="R147" s="6">
        <f t="shared" si="709"/>
        <v>0.99450241703703823</v>
      </c>
      <c r="S147" s="6">
        <f t="shared" si="710"/>
        <v>0.99447202654434874</v>
      </c>
      <c r="T147" s="6">
        <f t="shared" si="711"/>
        <v>0.99444129818828564</v>
      </c>
      <c r="U147" s="6">
        <f t="shared" si="712"/>
        <v>0.99441022630310927</v>
      </c>
      <c r="V147" s="6">
        <f t="shared" si="713"/>
        <v>0.99657726270229929</v>
      </c>
      <c r="W147" s="6">
        <f t="shared" si="714"/>
        <v>0.99656550733616012</v>
      </c>
      <c r="X147" s="6">
        <f t="shared" si="715"/>
        <v>0.99655367094430114</v>
      </c>
      <c r="Y147" s="6">
        <f t="shared" si="716"/>
        <v>0.99654175268610146</v>
      </c>
      <c r="Z147" s="6">
        <f t="shared" si="717"/>
        <v>0.99652975170927172</v>
      </c>
      <c r="AA147" s="6">
        <f t="shared" si="718"/>
        <v>0.99842489517560362</v>
      </c>
      <c r="AB147" s="6">
        <f t="shared" si="719"/>
        <v>0.99842241030646639</v>
      </c>
      <c r="AC147" s="6">
        <f t="shared" si="720"/>
        <v>0.99841991758473314</v>
      </c>
      <c r="AD147" s="6">
        <f t="shared" si="721"/>
        <v>0.9984174169731217</v>
      </c>
      <c r="AE147" s="6">
        <f t="shared" si="722"/>
        <v>0.99841490843411329</v>
      </c>
    </row>
    <row r="148" spans="1:31" x14ac:dyDescent="0.3">
      <c r="A148" t="s">
        <v>136</v>
      </c>
      <c r="B148" t="s">
        <v>142</v>
      </c>
      <c r="C148" s="6">
        <f t="shared" si="694"/>
        <v>1.0175725428535944</v>
      </c>
      <c r="D148" s="6">
        <f t="shared" si="695"/>
        <v>1.0172690811844387</v>
      </c>
      <c r="E148" s="6">
        <f t="shared" si="696"/>
        <v>1.0169759225988975</v>
      </c>
      <c r="F148" s="6">
        <f t="shared" si="697"/>
        <v>1.0166925511427207</v>
      </c>
      <c r="G148" s="6">
        <f t="shared" si="698"/>
        <v>0.99292713342971228</v>
      </c>
      <c r="H148" s="6">
        <f t="shared" si="699"/>
        <v>0.99287675164454714</v>
      </c>
      <c r="I148" s="6">
        <f t="shared" si="700"/>
        <v>0.99282564694595343</v>
      </c>
      <c r="J148" s="6">
        <f t="shared" si="701"/>
        <v>0.99277380366218815</v>
      </c>
      <c r="K148" s="6">
        <f t="shared" si="702"/>
        <v>0.99272120566522259</v>
      </c>
      <c r="L148" s="6">
        <f t="shared" si="703"/>
        <v>0.99902750808670004</v>
      </c>
      <c r="M148" s="6">
        <f t="shared" si="704"/>
        <v>0.99902656142555823</v>
      </c>
      <c r="N148" s="6">
        <f t="shared" si="705"/>
        <v>0.9990256129195878</v>
      </c>
      <c r="O148" s="6">
        <f t="shared" si="706"/>
        <v>0.99902466256339051</v>
      </c>
      <c r="P148" s="6">
        <f t="shared" si="707"/>
        <v>0.99902371035154747</v>
      </c>
      <c r="Q148" s="6">
        <f t="shared" si="708"/>
        <v>0.99678871875703012</v>
      </c>
      <c r="R148" s="6">
        <f t="shared" si="709"/>
        <v>0.99677837320733897</v>
      </c>
      <c r="S148" s="6">
        <f t="shared" si="710"/>
        <v>0.99676796078320329</v>
      </c>
      <c r="T148" s="6">
        <f t="shared" si="711"/>
        <v>0.99675748083409788</v>
      </c>
      <c r="U148" s="6">
        <f t="shared" si="712"/>
        <v>0.99674693270103298</v>
      </c>
      <c r="V148" s="6">
        <f t="shared" si="713"/>
        <v>0.99781712656929578</v>
      </c>
      <c r="W148" s="6">
        <f t="shared" si="714"/>
        <v>0.9978123512088739</v>
      </c>
      <c r="X148" s="6">
        <f t="shared" si="715"/>
        <v>0.99780755490902107</v>
      </c>
      <c r="Y148" s="6">
        <f t="shared" si="716"/>
        <v>0.99780273753170889</v>
      </c>
      <c r="Z148" s="6">
        <f t="shared" si="717"/>
        <v>0.99779789893769355</v>
      </c>
      <c r="AA148" s="6">
        <f t="shared" si="718"/>
        <v>0.99795700011067112</v>
      </c>
      <c r="AB148" s="6">
        <f t="shared" si="719"/>
        <v>0.99795281771749456</v>
      </c>
      <c r="AC148" s="6">
        <f t="shared" si="720"/>
        <v>0.99794861816494718</v>
      </c>
      <c r="AD148" s="6">
        <f t="shared" si="721"/>
        <v>0.99794440134721063</v>
      </c>
      <c r="AE148" s="6">
        <f t="shared" si="722"/>
        <v>0.99794016715759515</v>
      </c>
    </row>
    <row r="149" spans="1:31" x14ac:dyDescent="0.3">
      <c r="A149" t="s">
        <v>137</v>
      </c>
      <c r="B149" t="s">
        <v>142</v>
      </c>
      <c r="C149" s="6">
        <f t="shared" si="694"/>
        <v>0.99543177141883243</v>
      </c>
      <c r="D149" s="6">
        <f t="shared" si="695"/>
        <v>0.99541080693591255</v>
      </c>
      <c r="E149" s="6">
        <f t="shared" si="696"/>
        <v>0.99538964914574923</v>
      </c>
      <c r="F149" s="6">
        <f t="shared" si="697"/>
        <v>0.99536829536231597</v>
      </c>
      <c r="G149" s="6">
        <f t="shared" si="698"/>
        <v>0.98911142408913033</v>
      </c>
      <c r="H149" s="6">
        <f t="shared" si="699"/>
        <v>0.98899155783091175</v>
      </c>
      <c r="I149" s="6">
        <f t="shared" si="700"/>
        <v>0.98886902311559433</v>
      </c>
      <c r="J149" s="6">
        <f t="shared" si="701"/>
        <v>0.98874372983255587</v>
      </c>
      <c r="K149" s="6">
        <f t="shared" si="702"/>
        <v>0.98861558376774661</v>
      </c>
      <c r="L149" s="6">
        <f t="shared" si="703"/>
        <v>1.0002525959947439</v>
      </c>
      <c r="M149" s="6">
        <f t="shared" si="704"/>
        <v>1.0002525322061202</v>
      </c>
      <c r="N149" s="6">
        <f t="shared" si="705"/>
        <v>1.0002524684497056</v>
      </c>
      <c r="O149" s="6">
        <f t="shared" si="706"/>
        <v>1.0002524047254759</v>
      </c>
      <c r="P149" s="6">
        <f t="shared" si="707"/>
        <v>1.0002523410334068</v>
      </c>
      <c r="Q149" s="6">
        <f t="shared" si="708"/>
        <v>0.99996845957422054</v>
      </c>
      <c r="R149" s="6">
        <f t="shared" si="709"/>
        <v>0.99996845857939076</v>
      </c>
      <c r="S149" s="6">
        <f t="shared" si="710"/>
        <v>0.99996845758449815</v>
      </c>
      <c r="T149" s="6">
        <f t="shared" si="711"/>
        <v>0.99996845658954281</v>
      </c>
      <c r="U149" s="6">
        <f t="shared" si="712"/>
        <v>0.9999684555945243</v>
      </c>
      <c r="V149" s="6">
        <f t="shared" si="713"/>
        <v>0.99487324100044561</v>
      </c>
      <c r="W149" s="6">
        <f t="shared" si="714"/>
        <v>0.99484682189823603</v>
      </c>
      <c r="X149" s="6">
        <f t="shared" si="715"/>
        <v>0.99482012910094908</v>
      </c>
      <c r="Y149" s="6">
        <f t="shared" si="716"/>
        <v>0.99479315833332393</v>
      </c>
      <c r="Z149" s="6">
        <f t="shared" si="717"/>
        <v>0.99476590523059127</v>
      </c>
      <c r="AA149" s="6">
        <f t="shared" si="718"/>
        <v>1.0012904541558247</v>
      </c>
      <c r="AB149" s="6">
        <f t="shared" si="719"/>
        <v>1.0012887910300841</v>
      </c>
      <c r="AC149" s="6">
        <f t="shared" si="720"/>
        <v>1.0012871321856687</v>
      </c>
      <c r="AD149" s="6">
        <f t="shared" si="721"/>
        <v>1.0012854776060678</v>
      </c>
      <c r="AE149" s="6">
        <f t="shared" si="722"/>
        <v>1.0012838272748557</v>
      </c>
    </row>
    <row r="150" spans="1:31" x14ac:dyDescent="0.3">
      <c r="A150" t="s">
        <v>138</v>
      </c>
      <c r="B150" t="s">
        <v>142</v>
      </c>
      <c r="C150" s="6">
        <f t="shared" si="694"/>
        <v>1.007735019158327</v>
      </c>
      <c r="D150" s="6">
        <f t="shared" si="695"/>
        <v>1.0076756478749616</v>
      </c>
      <c r="E150" s="6">
        <f t="shared" si="696"/>
        <v>1.0076171810752284</v>
      </c>
      <c r="F150" s="6">
        <f t="shared" si="697"/>
        <v>1.0075595982465284</v>
      </c>
      <c r="G150" s="6">
        <f t="shared" si="698"/>
        <v>0.99809615803572405</v>
      </c>
      <c r="H150" s="6">
        <f t="shared" si="699"/>
        <v>0.99809252650764357</v>
      </c>
      <c r="I150" s="6">
        <f t="shared" si="700"/>
        <v>0.99808888109899918</v>
      </c>
      <c r="J150" s="6">
        <f t="shared" si="701"/>
        <v>0.99808522173005632</v>
      </c>
      <c r="K150" s="6">
        <f t="shared" si="702"/>
        <v>0.99808154832046803</v>
      </c>
      <c r="L150" s="6">
        <f t="shared" si="703"/>
        <v>0.99677780386076953</v>
      </c>
      <c r="M150" s="6">
        <f t="shared" si="704"/>
        <v>0.99676738775005813</v>
      </c>
      <c r="N150" s="6">
        <f t="shared" si="705"/>
        <v>0.99675690407845441</v>
      </c>
      <c r="O150" s="6">
        <f t="shared" si="706"/>
        <v>0.99674635218650032</v>
      </c>
      <c r="P150" s="6">
        <f t="shared" si="707"/>
        <v>0.99673573140612703</v>
      </c>
      <c r="Q150" s="6">
        <f t="shared" si="708"/>
        <v>0.99170064179932205</v>
      </c>
      <c r="R150" s="6">
        <f t="shared" si="709"/>
        <v>0.99163118601434019</v>
      </c>
      <c r="S150" s="6">
        <f t="shared" si="710"/>
        <v>0.99156055789320574</v>
      </c>
      <c r="T150" s="6">
        <f t="shared" si="711"/>
        <v>0.99148872750170114</v>
      </c>
      <c r="U150" s="6">
        <f t="shared" si="712"/>
        <v>0.99141566387774782</v>
      </c>
      <c r="V150" s="6">
        <f t="shared" si="713"/>
        <v>0.9931799351472359</v>
      </c>
      <c r="W150" s="6">
        <f t="shared" si="714"/>
        <v>0.99313310246068043</v>
      </c>
      <c r="X150" s="6">
        <f t="shared" si="715"/>
        <v>0.99308562213634255</v>
      </c>
      <c r="Y150" s="6">
        <f t="shared" si="716"/>
        <v>0.99303748064665054</v>
      </c>
      <c r="Z150" s="6">
        <f t="shared" si="717"/>
        <v>0.99298866408464725</v>
      </c>
      <c r="AA150" s="6">
        <f t="shared" si="718"/>
        <v>0.9935574680360727</v>
      </c>
      <c r="AB150" s="6">
        <f t="shared" si="719"/>
        <v>0.99351569267889261</v>
      </c>
      <c r="AC150" s="6">
        <f t="shared" si="720"/>
        <v>0.99347337201728214</v>
      </c>
      <c r="AD150" s="6">
        <f t="shared" si="721"/>
        <v>0.99343049530410121</v>
      </c>
      <c r="AE150" s="6">
        <f t="shared" si="722"/>
        <v>0.99338705150792861</v>
      </c>
    </row>
    <row r="151" spans="1:31" x14ac:dyDescent="0.3">
      <c r="A151" t="s">
        <v>139</v>
      </c>
      <c r="B151" t="s">
        <v>142</v>
      </c>
      <c r="C151" s="6">
        <f t="shared" si="694"/>
        <v>0.99427381268923143</v>
      </c>
      <c r="D151" s="6">
        <f t="shared" si="695"/>
        <v>0.99424083462956669</v>
      </c>
      <c r="E151" s="6">
        <f t="shared" si="696"/>
        <v>0.99420747451739999</v>
      </c>
      <c r="F151" s="6">
        <f t="shared" si="697"/>
        <v>0.99417372567490347</v>
      </c>
      <c r="G151" s="6">
        <f t="shared" si="698"/>
        <v>0.99830540456057282</v>
      </c>
      <c r="H151" s="6">
        <f t="shared" si="699"/>
        <v>0.99830252803231778</v>
      </c>
      <c r="I151" s="6">
        <f t="shared" si="700"/>
        <v>0.99829964172180563</v>
      </c>
      <c r="J151" s="6">
        <f t="shared" si="701"/>
        <v>0.99829674557905101</v>
      </c>
      <c r="K151" s="6">
        <f t="shared" si="702"/>
        <v>0.99829383955372797</v>
      </c>
      <c r="L151" s="6">
        <f t="shared" si="703"/>
        <v>0.98956479254079199</v>
      </c>
      <c r="M151" s="6">
        <f t="shared" si="704"/>
        <v>0.9894547506763911</v>
      </c>
      <c r="N151" s="6">
        <f t="shared" si="705"/>
        <v>0.98934236323955171</v>
      </c>
      <c r="O151" s="6">
        <f t="shared" si="706"/>
        <v>0.98922755442761956</v>
      </c>
      <c r="P151" s="6">
        <f t="shared" si="707"/>
        <v>0.98911024513605073</v>
      </c>
      <c r="Q151" s="6">
        <f t="shared" si="708"/>
        <v>0.99481321439434423</v>
      </c>
      <c r="R151" s="6">
        <f t="shared" si="709"/>
        <v>0.99478617138312386</v>
      </c>
      <c r="S151" s="6">
        <f t="shared" si="710"/>
        <v>0.99475884489867106</v>
      </c>
      <c r="T151" s="6">
        <f t="shared" si="711"/>
        <v>0.99473123046032053</v>
      </c>
      <c r="U151" s="6">
        <f t="shared" si="712"/>
        <v>0.99470332349247614</v>
      </c>
      <c r="V151" s="6">
        <f t="shared" si="713"/>
        <v>0.99510447111085776</v>
      </c>
      <c r="W151" s="6">
        <f t="shared" si="714"/>
        <v>0.99508038700330914</v>
      </c>
      <c r="X151" s="6">
        <f t="shared" si="715"/>
        <v>0.99505606475522412</v>
      </c>
      <c r="Y151" s="6">
        <f t="shared" si="716"/>
        <v>0.99503150081699965</v>
      </c>
      <c r="Z151" s="6">
        <f t="shared" si="717"/>
        <v>0.9950066915681357</v>
      </c>
      <c r="AA151" s="6">
        <f t="shared" si="718"/>
        <v>0.99669791809772224</v>
      </c>
      <c r="AB151" s="6">
        <f t="shared" si="719"/>
        <v>0.99668697822848873</v>
      </c>
      <c r="AC151" s="6">
        <f t="shared" si="720"/>
        <v>0.99667596563025251</v>
      </c>
      <c r="AD151" s="6">
        <f t="shared" si="721"/>
        <v>0.99666487957533367</v>
      </c>
      <c r="AE151" s="6">
        <f t="shared" si="722"/>
        <v>0.99665371932631253</v>
      </c>
    </row>
    <row r="152" spans="1:31" x14ac:dyDescent="0.3">
      <c r="A152" t="s">
        <v>140</v>
      </c>
      <c r="B152" t="s">
        <v>142</v>
      </c>
      <c r="C152" s="6">
        <f t="shared" si="694"/>
        <v>1.0317128666905104</v>
      </c>
      <c r="D152" s="6">
        <f t="shared" si="695"/>
        <v>1.03073807423982</v>
      </c>
      <c r="E152" s="6">
        <f t="shared" si="696"/>
        <v>1.029821421181603</v>
      </c>
      <c r="F152" s="6">
        <f t="shared" si="697"/>
        <v>1.028957856739265</v>
      </c>
      <c r="G152" s="6">
        <f t="shared" si="698"/>
        <v>0.99552954533306803</v>
      </c>
      <c r="H152" s="6">
        <f t="shared" si="699"/>
        <v>0.99550947062506678</v>
      </c>
      <c r="I152" s="6">
        <f t="shared" si="700"/>
        <v>0.99548921481167463</v>
      </c>
      <c r="J152" s="6">
        <f t="shared" si="701"/>
        <v>0.99546877543100387</v>
      </c>
      <c r="K152" s="6">
        <f t="shared" si="702"/>
        <v>0.99544814997634201</v>
      </c>
      <c r="L152" s="6">
        <f t="shared" si="703"/>
        <v>0.99853457153423852</v>
      </c>
      <c r="M152" s="6">
        <f t="shared" si="704"/>
        <v>0.99853242090205263</v>
      </c>
      <c r="N152" s="6">
        <f t="shared" si="705"/>
        <v>0.99853026394814348</v>
      </c>
      <c r="O152" s="6">
        <f t="shared" si="706"/>
        <v>0.99852810064459618</v>
      </c>
      <c r="P152" s="6">
        <f t="shared" si="707"/>
        <v>0.99852593096333109</v>
      </c>
      <c r="Q152" s="6">
        <f t="shared" si="708"/>
        <v>0.99609611236019424</v>
      </c>
      <c r="R152" s="6">
        <f t="shared" si="709"/>
        <v>0.99608081229174184</v>
      </c>
      <c r="S152" s="6">
        <f t="shared" si="710"/>
        <v>0.99606539182374065</v>
      </c>
      <c r="T152" s="6">
        <f t="shared" si="711"/>
        <v>0.99604984952940157</v>
      </c>
      <c r="U152" s="6">
        <f t="shared" si="712"/>
        <v>0.99603418395930232</v>
      </c>
      <c r="V152" s="6">
        <f t="shared" si="713"/>
        <v>0.99992545326359927</v>
      </c>
      <c r="W152" s="6">
        <f t="shared" si="714"/>
        <v>0.99992544770596903</v>
      </c>
      <c r="X152" s="6">
        <f t="shared" si="715"/>
        <v>0.99992544214751011</v>
      </c>
      <c r="Y152" s="6">
        <f t="shared" si="716"/>
        <v>0.99992543658822231</v>
      </c>
      <c r="Z152" s="6">
        <f t="shared" si="717"/>
        <v>0.99992543102810516</v>
      </c>
      <c r="AA152" s="6">
        <f t="shared" si="718"/>
        <v>0.99717790397354533</v>
      </c>
      <c r="AB152" s="6">
        <f t="shared" si="719"/>
        <v>0.99716991720814396</v>
      </c>
      <c r="AC152" s="6">
        <f t="shared" si="720"/>
        <v>0.99716188510802684</v>
      </c>
      <c r="AD152" s="6">
        <f t="shared" si="721"/>
        <v>0.99715380728610015</v>
      </c>
      <c r="AE152" s="6">
        <f t="shared" si="722"/>
        <v>0.99714568335085041</v>
      </c>
    </row>
    <row r="153" spans="1:31" x14ac:dyDescent="0.3">
      <c r="A153" t="s">
        <v>141</v>
      </c>
      <c r="B153" t="s">
        <v>142</v>
      </c>
      <c r="C153" s="6">
        <f t="shared" si="694"/>
        <v>1.0094484101106849</v>
      </c>
      <c r="D153" s="6">
        <f t="shared" si="695"/>
        <v>1.0093599732448426</v>
      </c>
      <c r="E153" s="6">
        <f t="shared" si="696"/>
        <v>1.0092731765603431</v>
      </c>
      <c r="F153" s="6">
        <f t="shared" si="697"/>
        <v>1.0091879748473516</v>
      </c>
      <c r="G153" s="6">
        <f t="shared" si="698"/>
        <v>1.0029954767084559</v>
      </c>
      <c r="H153" s="6">
        <f t="shared" si="699"/>
        <v>1.0029865306255281</v>
      </c>
      <c r="I153" s="6">
        <f t="shared" si="700"/>
        <v>1.0029776378189899</v>
      </c>
      <c r="J153" s="6">
        <f t="shared" si="701"/>
        <v>1.0029687978143409</v>
      </c>
      <c r="K153" s="6">
        <f t="shared" si="702"/>
        <v>1.0029600101426988</v>
      </c>
      <c r="L153" s="6">
        <f t="shared" si="703"/>
        <v>1.0084674146882999</v>
      </c>
      <c r="M153" s="6">
        <f t="shared" si="704"/>
        <v>1.0083963195686567</v>
      </c>
      <c r="N153" s="6">
        <f t="shared" si="705"/>
        <v>1.0083264083830137</v>
      </c>
      <c r="O153" s="6">
        <f t="shared" si="706"/>
        <v>1.0082576518018269</v>
      </c>
      <c r="P153" s="6">
        <f t="shared" si="707"/>
        <v>1.008190021456391</v>
      </c>
      <c r="Q153" s="6">
        <f t="shared" si="708"/>
        <v>1.0002057011183743</v>
      </c>
      <c r="R153" s="6">
        <f t="shared" si="709"/>
        <v>1.0002056588141262</v>
      </c>
      <c r="S153" s="6">
        <f t="shared" si="710"/>
        <v>1.000205616527275</v>
      </c>
      <c r="T153" s="6">
        <f t="shared" si="711"/>
        <v>1.00020557425781</v>
      </c>
      <c r="U153" s="6">
        <f t="shared" si="712"/>
        <v>1.000205532005721</v>
      </c>
      <c r="V153" s="6">
        <f t="shared" si="713"/>
        <v>0.99860145675542511</v>
      </c>
      <c r="W153" s="6">
        <f t="shared" si="714"/>
        <v>0.99859949809294402</v>
      </c>
      <c r="X153" s="6">
        <f t="shared" si="715"/>
        <v>0.9985975339365476</v>
      </c>
      <c r="Y153" s="6">
        <f t="shared" si="716"/>
        <v>0.99859556426308826</v>
      </c>
      <c r="Z153" s="6">
        <f t="shared" si="717"/>
        <v>0.99859358904928786</v>
      </c>
      <c r="AA153" s="6">
        <f t="shared" si="718"/>
        <v>0.99930000712130707</v>
      </c>
      <c r="AB153" s="6">
        <f t="shared" si="719"/>
        <v>0.99929951678804707</v>
      </c>
      <c r="AC153" s="6">
        <f t="shared" si="720"/>
        <v>0.99929902576736507</v>
      </c>
      <c r="AD153" s="6">
        <f t="shared" si="721"/>
        <v>0.99929853405781455</v>
      </c>
      <c r="AE153" s="6">
        <f t="shared" si="722"/>
        <v>0.999298041657945</v>
      </c>
    </row>
  </sheetData>
  <autoFilter ref="A1:AG85" xr:uid="{EBA65129-0D58-4B65-8D44-EA3C932046C9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Specified Annual Demand</vt:lpstr>
      <vt:lpstr>EU Ref Scenario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Taliotis</dc:creator>
  <cp:lastModifiedBy>Constantinos Taliotis</cp:lastModifiedBy>
  <dcterms:created xsi:type="dcterms:W3CDTF">2015-06-05T18:19:34Z</dcterms:created>
  <dcterms:modified xsi:type="dcterms:W3CDTF">2025-10-26T12:57:50Z</dcterms:modified>
</cp:coreProperties>
</file>